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23256" windowHeight="12456" firstSheet="3" activeTab="5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АВР (БУХГ)" sheetId="28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РеєстрАВР!$A$5:$AL$80</definedName>
    <definedName name="_xlnm._FilterDatabase" localSheetId="5" hidden="1">'РеєстрАВР (БУХГ)'!$A$5:$AM$80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'!$A$2:$I$57</definedName>
    <definedName name="_xlnm.Print_Area" localSheetId="4">РеєстрАВР!$A:$K</definedName>
    <definedName name="_xlnm.Print_Area" localSheetId="5">'РеєстрАВР (БУХГ)'!$A$1:$L$80</definedName>
  </definedNames>
  <calcPr calcId="145621"/>
</workbook>
</file>

<file path=xl/calcChain.xml><?xml version="1.0" encoding="utf-8"?>
<calcChain xmlns="http://schemas.openxmlformats.org/spreadsheetml/2006/main">
  <c r="G81" i="28" l="1"/>
  <c r="F81" i="28"/>
  <c r="H81" i="28" l="1"/>
  <c r="C81" i="28"/>
  <c r="H80" i="28"/>
  <c r="G80" i="28"/>
  <c r="F80" i="28"/>
  <c r="C80" i="28"/>
  <c r="E78" i="28"/>
  <c r="E77" i="28"/>
  <c r="E71" i="28"/>
  <c r="E70" i="28"/>
  <c r="E69" i="28"/>
  <c r="E68" i="28"/>
  <c r="E67" i="28"/>
  <c r="E66" i="28"/>
  <c r="E65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2" i="28"/>
  <c r="E31" i="28"/>
  <c r="E30" i="28"/>
  <c r="E29" i="28"/>
  <c r="E28" i="28"/>
  <c r="E26" i="28"/>
  <c r="E25" i="28"/>
  <c r="E24" i="28"/>
  <c r="E23" i="28"/>
  <c r="E22" i="28"/>
  <c r="E21" i="28"/>
  <c r="E20" i="28"/>
  <c r="E18" i="28"/>
  <c r="E17" i="28"/>
  <c r="E16" i="28"/>
  <c r="E15" i="28"/>
  <c r="E14" i="28"/>
  <c r="E11" i="28"/>
  <c r="E10" i="28"/>
  <c r="E8" i="28"/>
  <c r="E7" i="28"/>
  <c r="E6" i="28"/>
  <c r="F81" i="27" l="1"/>
  <c r="E11" i="27" l="1"/>
  <c r="E17" i="27"/>
  <c r="E38" i="27"/>
  <c r="E39" i="27"/>
  <c r="E63" i="27"/>
  <c r="F80" i="27"/>
  <c r="E37" i="27" l="1"/>
  <c r="E54" i="27" l="1"/>
  <c r="E51" i="27" l="1"/>
  <c r="E35" i="27" l="1"/>
  <c r="C81" i="27" l="1"/>
  <c r="H81" i="27"/>
  <c r="G81" i="27"/>
  <c r="E78" i="27"/>
  <c r="E77" i="27"/>
  <c r="E71" i="27"/>
  <c r="E70" i="27"/>
  <c r="E69" i="27"/>
  <c r="E68" i="27"/>
  <c r="E67" i="27"/>
  <c r="E66" i="27"/>
  <c r="E65" i="27"/>
  <c r="E62" i="27"/>
  <c r="E61" i="27"/>
  <c r="E60" i="27"/>
  <c r="E59" i="27"/>
  <c r="E58" i="27"/>
  <c r="E57" i="27"/>
  <c r="E56" i="27"/>
  <c r="E55" i="27"/>
  <c r="E53" i="27"/>
  <c r="E52" i="27"/>
  <c r="E50" i="27"/>
  <c r="E49" i="27"/>
  <c r="E48" i="27"/>
  <c r="E47" i="27"/>
  <c r="E46" i="27"/>
  <c r="E45" i="27"/>
  <c r="E44" i="27"/>
  <c r="E43" i="27"/>
  <c r="E42" i="27"/>
  <c r="E41" i="27"/>
  <c r="E40" i="27"/>
  <c r="E36" i="27"/>
  <c r="E34" i="27"/>
  <c r="E32" i="27"/>
  <c r="E31" i="27"/>
  <c r="E30" i="27"/>
  <c r="E29" i="27"/>
  <c r="E28" i="27"/>
  <c r="E26" i="27"/>
  <c r="E25" i="27"/>
  <c r="E24" i="27"/>
  <c r="E23" i="27"/>
  <c r="E22" i="27"/>
  <c r="E21" i="27"/>
  <c r="E20" i="27"/>
  <c r="E18" i="27"/>
  <c r="E16" i="27"/>
  <c r="E15" i="27"/>
  <c r="E14" i="27"/>
  <c r="E10" i="27"/>
  <c r="E8" i="27"/>
  <c r="E7" i="27"/>
  <c r="E6" i="27"/>
  <c r="H80" i="27" l="1"/>
  <c r="F57" i="22" l="1"/>
  <c r="G80" i="27" l="1"/>
  <c r="C80" i="27" l="1"/>
  <c r="C12" i="22" l="1"/>
  <c r="C20" i="22" l="1"/>
  <c r="C21" i="22"/>
  <c r="C22" i="22"/>
  <c r="D57" i="22" l="1"/>
  <c r="E57" i="22"/>
  <c r="C19" i="22" l="1"/>
  <c r="C16" i="22" l="1"/>
  <c r="C15" i="22"/>
  <c r="C18" i="22" l="1"/>
  <c r="C14" i="22" l="1"/>
  <c r="C13" i="22" l="1"/>
  <c r="C11" i="22" l="1"/>
  <c r="C57" i="22" s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s="1"/>
  <c r="H9" i="18" l="1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<sst xmlns="http://schemas.openxmlformats.org/spreadsheetml/2006/main" count="1281" uniqueCount="356">
  <si>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</si>
  <si>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</si>
  <si>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</si>
  <si>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</si>
  <si>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</si>
  <si>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</si>
  <si>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</si>
  <si>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</si>
  <si>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</si>
  <si>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</si>
  <si>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</si>
  <si>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</si>
  <si>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</si>
  <si>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</si>
  <si>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</si>
  <si>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</si>
  <si>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</si>
  <si>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</si>
  <si>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</si>
  <si>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</si>
  <si>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</si>
  <si>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</si>
  <si>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</si>
  <si>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</si>
  <si>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</si>
  <si>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</si>
  <si>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</si>
  <si>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</si>
  <si>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</si>
  <si>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</si>
  <si>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</si>
  <si>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</si>
  <si>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</si>
  <si>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</si>
  <si>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</si>
  <si>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</si>
  <si>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</si>
  <si>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</si>
  <si>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</si>
  <si>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</si>
  <si>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</si>
  <si>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</si>
  <si>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</si>
  <si>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</si>
  <si>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</si>
  <si>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</si>
  <si>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</si>
  <si>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</si>
  <si>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</si>
  <si>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</si>
  <si>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</si>
  <si>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</si>
  <si>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</si>
  <si>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</si>
  <si>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</si>
  <si>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</si>
  <si>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</si>
  <si>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</si>
  <si>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</si>
  <si>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</si>
  <si>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</si>
  <si>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</si>
  <si>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</si>
  <si>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</si>
  <si>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</si>
  <si>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</si>
  <si>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</si>
  <si>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</si>
  <si>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</si>
  <si>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</si>
  <si>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</si>
  <si>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</si>
  <si>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</si>
  <si>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</si>
  <si>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</si>
  <si>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</si>
  <si>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</si>
  <si>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</si>
  <si>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</si>
  <si>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</si>
  <si>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</si>
  <si>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</si>
  <si>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</si>
  <si>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</si>
  <si>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</si>
  <si>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</si>
  <si>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</si>
  <si>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</si>
  <si>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</si>
  <si>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</si>
  <si>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</si>
  <si>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</si>
  <si>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</si>
  <si>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</si>
  <si>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</si>
  <si>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</si>
  <si>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</si>
  <si>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</si>
  <si>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</si>
  <si>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</si>
  <si>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</si>
  <si>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</si>
  <si>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</si>
  <si>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</si>
  <si>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</si>
  <si>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</si>
  <si>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</si>
  <si>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</si>
  <si>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</si>
  <si>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</si>
  <si>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</si>
  <si>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</si>
  <si>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</si>
  <si>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</si>
  <si>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</si>
  <si>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</si>
  <si>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</si>
  <si>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</si>
  <si>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</si>
  <si>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</si>
  <si>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</si>
  <si>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</si>
  <si>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</si>
  <si>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</si>
  <si>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</si>
  <si>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</si>
  <si>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</si>
  <si>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</si>
  <si>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</si>
  <si>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</si>
  <si>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</si>
  <si>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</si>
  <si>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</si>
  <si>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</si>
  <si>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</si>
  <si>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</si>
  <si>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</si>
  <si>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</si>
  <si>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</si>
  <si>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</si>
  <si>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</si>
  <si>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</si>
  <si>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</si>
  <si>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</si>
  <si>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</si>
  <si>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</si>
  <si>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</si>
  <si>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</si>
  <si>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</si>
  <si>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</si>
  <si>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</si>
  <si>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</si>
  <si>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</si>
  <si>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</si>
  <si>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</si>
  <si>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</si>
  <si>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</si>
  <si>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</si>
  <si>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</si>
  <si>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</si>
  <si>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</si>
  <si>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</si>
  <si>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</si>
  <si>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</si>
  <si>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</si>
  <si>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</si>
  <si>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</si>
  <si>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</si>
  <si>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</si>
  <si>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</si>
  <si>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</si>
  <si>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</si>
  <si>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</si>
  <si>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</si>
  <si>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</si>
  <si>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</si>
  <si>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</si>
  <si>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</si>
  <si>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</si>
  <si>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</si>
  <si>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</si>
  <si>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</si>
  <si>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</si>
  <si>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</si>
  <si>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</si>
  <si>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</si>
  <si>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</si>
  <si>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</si>
  <si>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</si>
  <si>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</si>
  <si>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</si>
  <si>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</si>
  <si>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</si>
  <si>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</si>
  <si>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</si>
  <si>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</si>
  <si>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</si>
  <si>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</si>
  <si>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</si>
  <si>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</si>
  <si>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</si>
  <si>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</si>
  <si>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</si>
  <si>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</si>
  <si>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</si>
  <si>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</si>
  <si>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</si>
  <si>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</si>
  <si>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</si>
  <si>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</si>
  <si>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</si>
  <si>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</si>
  <si>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</si>
  <si>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</si>
  <si>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</si>
  <si>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</si>
  <si>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</si>
  <si>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</si>
  <si>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</si>
  <si>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</si>
  <si>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</si>
  <si>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</si>
  <si>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</si>
  <si>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</si>
  <si>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</si>
  <si>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</si>
  <si>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</si>
  <si>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</si>
  <si>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</si>
  <si>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</si>
  <si>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</si>
  <si>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</si>
  <si>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</si>
  <si>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</si>
  <si>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</si>
  <si>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</si>
  <si>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</si>
  <si>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</si>
  <si>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</si>
  <si>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</si>
  <si>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</si>
  <si>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</si>
  <si>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</si>
  <si>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</si>
  <si>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</si>
  <si>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</si>
  <si>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</si>
  <si>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</si>
  <si>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</si>
  <si>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</si>
  <si>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</si>
  <si>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</si>
  <si>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</si>
  <si>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</si>
  <si>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</si>
  <si>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</si>
  <si>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</si>
  <si>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</si>
  <si>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</si>
  <si>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</si>
  <si>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</si>
  <si>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</si>
  <si>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</si>
  <si>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</si>
  <si>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</si>
  <si>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</si>
  <si>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</si>
  <si>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</si>
  <si>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</si>
  <si>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</si>
  <si>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</si>
  <si>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</si>
  <si>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</si>
  <si>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</si>
  <si>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</si>
  <si>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</si>
  <si>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</si>
  <si>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</si>
  <si>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</si>
  <si>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</si>
  <si>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</si>
  <si>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</si>
  <si>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</si>
  <si>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</si>
  <si>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</si>
  <si>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</si>
  <si>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</si>
  <si>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</si>
  <si>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</si>
  <si>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</si>
  <si>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</si>
  <si>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</si>
  <si>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</si>
  <si>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</si>
  <si>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</si>
  <si>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</si>
  <si>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</si>
  <si>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</si>
  <si>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</si>
  <si>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</si>
  <si>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</si>
  <si>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</si>
  <si>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</si>
  <si>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</si>
  <si>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болти ?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</si>
  <si>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</si>
  <si>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</si>
  <si>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</si>
  <si>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</si>
  <si>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</si>
  <si>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</si>
  <si>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</si>
  <si>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</si>
  <si>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</si>
  <si>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</si>
  <si>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</si>
  <si>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</si>
  <si>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</si>
  <si>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</si>
  <si>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</si>
  <si>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</si>
  <si>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</si>
  <si>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</si>
  <si>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</si>
  <si>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</si>
  <si>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</si>
  <si>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</si>
  <si>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</si>
  <si>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</si>
  <si>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</si>
  <si>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Аренда техніки від 14.05.2024</t>
  </si>
  <si>
    <t>Аренда техніки від 14.05.2025</t>
  </si>
  <si>
    <t>№46</t>
  </si>
  <si>
    <t>№47</t>
  </si>
  <si>
    <t>Переоформлюють  табелі, розписують склад робіт</t>
  </si>
  <si>
    <t>11 07 2024</t>
  </si>
  <si>
    <t>№48</t>
  </si>
  <si>
    <t>№49</t>
  </si>
  <si>
    <t>310-2023-10-КМ- Виносна площадка</t>
  </si>
  <si>
    <t>15 07 2024</t>
  </si>
  <si>
    <t>№50</t>
  </si>
  <si>
    <t>Герметизація деформаційних швів</t>
  </si>
  <si>
    <t>18 07 2024</t>
  </si>
  <si>
    <t>з печеткою у Діми</t>
  </si>
  <si>
    <t>планує підпис 19 07</t>
  </si>
  <si>
    <t>№51</t>
  </si>
  <si>
    <t>№52</t>
  </si>
  <si>
    <t>питання по вартості матер. З Підрядником</t>
  </si>
  <si>
    <t>№53</t>
  </si>
  <si>
    <t>№54</t>
  </si>
  <si>
    <t>з печаткою у Діми, сьогодні відправить</t>
  </si>
  <si>
    <t>Не буде, Віканов попросив відразу вкл до АВР, підписан</t>
  </si>
  <si>
    <t>22 07 2024</t>
  </si>
  <si>
    <t>Свердло?</t>
  </si>
  <si>
    <t>віза Є.П є, але гідроізол.ще не готова</t>
  </si>
  <si>
    <t>ДАТА В 1С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</si>
</sst>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  <numFmt numFmtId="178" formatCode="_-* #,##0.00\ &quot;₽&quot;_-;\-* #,##0.00\ &quot;₽&quot;_-;_-* &quot;-&quot;??\ &quot;₽&quot;_-;_-@_-"/>
    <numFmt numFmtId="179" formatCode="_-* #,##0.00\ &quot;грн.&quot;_-;\-* #,##0.00\ &quot;грн.&quot;_-;_-* &quot;-&quot;??\ &quot;грн.&quot;_-;_-@_-"/>
    <numFmt numFmtId="180" formatCode="0.000"/>
  </numFmts>
  <fonts count="7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0"/>
      <name val="Tahoma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sz val="12"/>
      <name val="新細明體"/>
      <charset val="136"/>
    </font>
    <font>
      <sz val="10"/>
      <color rgb="FF000000"/>
      <name val="Arial"/>
      <family val="2"/>
      <charset val="204"/>
    </font>
    <font>
      <sz val="10"/>
      <name val="Arial"/>
      <family val="2"/>
    </font>
    <font>
      <sz val="11"/>
      <color theme="1"/>
      <name val="Times New Roman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 Cyr"/>
      <charset val="204"/>
    </font>
    <font>
      <sz val="11"/>
      <color indexed="8"/>
      <name val="Calibri"/>
      <family val="2"/>
      <charset val="204"/>
    </font>
    <font>
      <sz val="12"/>
      <color indexed="8"/>
      <name val="Verdana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2"/>
      <charset val="1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67">
    <xf numFmtId="0" fontId="0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1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23" fillId="0" borderId="0"/>
    <xf numFmtId="0" fontId="13" fillId="0" borderId="0"/>
    <xf numFmtId="0" fontId="25" fillId="0" borderId="0"/>
    <xf numFmtId="0" fontId="11" fillId="0" borderId="0"/>
    <xf numFmtId="0" fontId="5" fillId="0" borderId="0"/>
    <xf numFmtId="0" fontId="23" fillId="0" borderId="0"/>
    <xf numFmtId="170" fontId="2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3" fillId="0" borderId="0"/>
    <xf numFmtId="0" fontId="2" fillId="0" borderId="0"/>
    <xf numFmtId="9" fontId="11" fillId="0" borderId="0" applyFont="0" applyFill="0" applyBorder="0" applyAlignment="0" applyProtection="0"/>
    <xf numFmtId="165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23" fillId="0" borderId="0"/>
    <xf numFmtId="0" fontId="1" fillId="0" borderId="0"/>
    <xf numFmtId="0" fontId="1" fillId="0" borderId="0"/>
    <xf numFmtId="0" fontId="54" fillId="0" borderId="0"/>
    <xf numFmtId="0" fontId="1" fillId="0" borderId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11" fillId="0" borderId="0"/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55" fillId="0" borderId="0">
      <alignment horizontal="left"/>
    </xf>
    <xf numFmtId="0" fontId="11" fillId="0" borderId="0"/>
    <xf numFmtId="0" fontId="11" fillId="0" borderId="0"/>
    <xf numFmtId="0" fontId="56" fillId="0" borderId="0"/>
    <xf numFmtId="179" fontId="13" fillId="0" borderId="0" applyFont="0" applyFill="0" applyBorder="0" applyAlignment="0" applyProtection="0"/>
    <xf numFmtId="0" fontId="57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ont="0" applyFill="0" applyBorder="0" applyAlignment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54" fillId="0" borderId="0" applyFont="0" applyFill="0" applyBorder="0" applyAlignment="0" applyProtection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3" fillId="0" borderId="0"/>
    <xf numFmtId="0" fontId="13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1" fillId="0" borderId="0"/>
    <xf numFmtId="0" fontId="1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11" fillId="0" borderId="0"/>
    <xf numFmtId="0" fontId="1" fillId="0" borderId="0"/>
    <xf numFmtId="0" fontId="59" fillId="0" borderId="0"/>
    <xf numFmtId="164" fontId="1" fillId="0" borderId="0" applyFont="0" applyFill="0" applyBorder="0" applyAlignment="0" applyProtection="0"/>
    <xf numFmtId="0" fontId="1" fillId="0" borderId="0"/>
    <xf numFmtId="49" fontId="60" fillId="0" borderId="0">
      <alignment horizontal="left" vertical="center" wrapText="1"/>
    </xf>
    <xf numFmtId="0" fontId="61" fillId="0" borderId="68">
      <alignment horizontal="left" vertical="center" wrapText="1"/>
    </xf>
    <xf numFmtId="0" fontId="61" fillId="0" borderId="69">
      <alignment horizontal="left" vertical="center" wrapText="1"/>
    </xf>
    <xf numFmtId="0" fontId="61" fillId="0" borderId="70">
      <alignment horizontal="center" vertical="center" wrapText="1"/>
    </xf>
    <xf numFmtId="0" fontId="61" fillId="0" borderId="70">
      <alignment horizontal="right" vertical="center" wrapText="1"/>
    </xf>
    <xf numFmtId="49" fontId="61" fillId="0" borderId="71">
      <alignment horizontal="right" vertical="top" wrapText="1"/>
    </xf>
    <xf numFmtId="0" fontId="62" fillId="0" borderId="70">
      <alignment horizontal="center" vertical="center" wrapText="1"/>
    </xf>
    <xf numFmtId="49" fontId="62" fillId="0" borderId="70">
      <alignment horizontal="left" vertical="center" wrapText="1"/>
    </xf>
    <xf numFmtId="49" fontId="62" fillId="0" borderId="69">
      <alignment horizontal="left" vertical="center" wrapText="1"/>
    </xf>
    <xf numFmtId="0" fontId="62" fillId="0" borderId="70">
      <alignment horizontal="right" vertical="center" wrapText="1"/>
    </xf>
    <xf numFmtId="49" fontId="62" fillId="0" borderId="70">
      <alignment horizontal="right" vertical="center" wrapText="1"/>
    </xf>
    <xf numFmtId="0" fontId="62" fillId="0" borderId="70">
      <alignment horizontal="left" vertical="center" wrapText="1"/>
    </xf>
    <xf numFmtId="49" fontId="62" fillId="0" borderId="70">
      <alignment horizontal="center" vertical="center" wrapText="1"/>
    </xf>
    <xf numFmtId="0" fontId="61" fillId="0" borderId="72">
      <alignment horizontal="left" vertical="center" wrapText="1"/>
    </xf>
    <xf numFmtId="49" fontId="62" fillId="0" borderId="73">
      <alignment horizontal="center" vertical="top" wrapText="1"/>
    </xf>
    <xf numFmtId="0" fontId="62" fillId="0" borderId="70">
      <alignment horizontal="left" wrapText="1"/>
    </xf>
    <xf numFmtId="0" fontId="62" fillId="0" borderId="74">
      <alignment horizontal="left" vertical="center" wrapText="1"/>
    </xf>
    <xf numFmtId="49" fontId="62" fillId="0" borderId="69">
      <alignment horizontal="left" vertical="center" wrapText="1"/>
    </xf>
    <xf numFmtId="0" fontId="61" fillId="0" borderId="75">
      <alignment horizontal="left" vertical="center" wrapText="1"/>
    </xf>
    <xf numFmtId="0" fontId="61" fillId="0" borderId="76">
      <alignment horizontal="left" vertical="center" wrapText="1"/>
    </xf>
    <xf numFmtId="49" fontId="62" fillId="0" borderId="70">
      <alignment horizontal="right" vertical="center" wrapText="1"/>
    </xf>
    <xf numFmtId="0" fontId="62" fillId="0" borderId="70">
      <alignment horizontal="left" wrapText="1"/>
    </xf>
    <xf numFmtId="0" fontId="62" fillId="0" borderId="74">
      <alignment horizontal="left" vertical="center" wrapText="1"/>
    </xf>
    <xf numFmtId="49" fontId="63" fillId="0" borderId="77">
      <alignment horizontal="center" vertical="center" wrapText="1"/>
    </xf>
    <xf numFmtId="0" fontId="61" fillId="0" borderId="75">
      <alignment horizontal="left" vertical="center" wrapText="1"/>
    </xf>
    <xf numFmtId="0" fontId="61" fillId="0" borderId="76">
      <alignment horizontal="left" vertical="center" wrapText="1"/>
    </xf>
    <xf numFmtId="0" fontId="61" fillId="0" borderId="74">
      <alignment horizontal="left" vertical="center" wrapText="1"/>
    </xf>
    <xf numFmtId="0" fontId="61" fillId="0" borderId="78">
      <alignment horizontal="left" vertical="center" wrapText="1"/>
    </xf>
    <xf numFmtId="0" fontId="61" fillId="0" borderId="79">
      <alignment horizontal="left" vertical="center" wrapText="1"/>
    </xf>
    <xf numFmtId="49" fontId="62" fillId="0" borderId="80">
      <alignment horizontal="left" vertical="center" wrapText="1"/>
    </xf>
    <xf numFmtId="0" fontId="61" fillId="0" borderId="81">
      <alignment horizontal="left" vertical="center" wrapText="1"/>
    </xf>
    <xf numFmtId="0" fontId="61" fillId="0" borderId="82">
      <alignment horizontal="left" vertical="center" wrapText="1"/>
    </xf>
    <xf numFmtId="49" fontId="62" fillId="0" borderId="78">
      <alignment horizontal="right" vertical="center" wrapText="1"/>
    </xf>
    <xf numFmtId="0" fontId="62" fillId="0" borderId="78">
      <alignment horizontal="left" vertical="center" wrapText="1"/>
    </xf>
    <xf numFmtId="49" fontId="61" fillId="0" borderId="83">
      <alignment horizontal="center" vertical="center" wrapText="1"/>
    </xf>
    <xf numFmtId="0" fontId="62" fillId="0" borderId="84">
      <alignment horizontal="left" vertical="center" wrapText="1"/>
    </xf>
    <xf numFmtId="49" fontId="62" fillId="0" borderId="84">
      <alignment horizontal="left" wrapText="1"/>
    </xf>
    <xf numFmtId="0" fontId="61" fillId="0" borderId="85">
      <alignment horizontal="left" vertical="center" wrapText="1"/>
    </xf>
    <xf numFmtId="0" fontId="61" fillId="0" borderId="86">
      <alignment horizontal="left" vertical="center" wrapText="1"/>
    </xf>
    <xf numFmtId="49" fontId="62" fillId="0" borderId="87">
      <alignment horizontal="right" vertical="center" wrapText="1"/>
    </xf>
    <xf numFmtId="0" fontId="62" fillId="0" borderId="88">
      <alignment horizontal="left" vertical="center" wrapText="1"/>
    </xf>
    <xf numFmtId="0" fontId="61" fillId="0" borderId="84">
      <alignment horizontal="left" vertical="center" wrapText="1"/>
    </xf>
    <xf numFmtId="49" fontId="62" fillId="0" borderId="74">
      <alignment horizontal="right" vertical="center" wrapText="1"/>
    </xf>
    <xf numFmtId="0" fontId="62" fillId="0" borderId="89">
      <alignment horizontal="left" vertical="center" wrapText="1"/>
    </xf>
    <xf numFmtId="49" fontId="62" fillId="0" borderId="89">
      <alignment horizontal="left" vertical="center" wrapText="1"/>
    </xf>
    <xf numFmtId="49" fontId="62" fillId="0" borderId="69">
      <alignment horizontal="center" vertical="center" wrapText="1"/>
    </xf>
    <xf numFmtId="0" fontId="62" fillId="0" borderId="90">
      <alignment horizontal="left" vertical="center" wrapText="1"/>
    </xf>
    <xf numFmtId="0" fontId="62" fillId="0" borderId="91">
      <alignment horizontal="left" vertical="center" wrapText="1"/>
    </xf>
    <xf numFmtId="0" fontId="62" fillId="0" borderId="77">
      <alignment horizontal="right" vertical="center" wrapText="1"/>
    </xf>
    <xf numFmtId="0" fontId="62" fillId="0" borderId="92">
      <alignment horizontal="left" vertical="center" wrapText="1"/>
    </xf>
    <xf numFmtId="49" fontId="61" fillId="0" borderId="93">
      <alignment horizontal="left" vertical="center" wrapText="1"/>
    </xf>
    <xf numFmtId="0" fontId="61" fillId="0" borderId="94">
      <alignment horizontal="left" vertical="center" wrapText="1"/>
    </xf>
    <xf numFmtId="49" fontId="61" fillId="0" borderId="95">
      <alignment horizontal="right" vertical="center" wrapText="1"/>
    </xf>
    <xf numFmtId="49" fontId="61" fillId="0" borderId="71">
      <alignment horizontal="left" vertical="center" wrapText="1"/>
    </xf>
    <xf numFmtId="49" fontId="61" fillId="0" borderId="74">
      <alignment horizontal="right" vertical="center" wrapText="1"/>
    </xf>
    <xf numFmtId="0" fontId="62" fillId="0" borderId="75">
      <alignment horizontal="left" vertical="center" wrapText="1"/>
    </xf>
    <xf numFmtId="0" fontId="61" fillId="0" borderId="90">
      <alignment horizontal="center" vertical="center" wrapText="1"/>
    </xf>
    <xf numFmtId="0" fontId="62" fillId="0" borderId="76">
      <alignment horizontal="left" vertical="center" wrapText="1"/>
    </xf>
    <xf numFmtId="0" fontId="62" fillId="0" borderId="75">
      <alignment horizontal="left" vertical="center" wrapText="1"/>
    </xf>
    <xf numFmtId="0" fontId="62" fillId="0" borderId="76">
      <alignment horizontal="left" vertical="center" wrapText="1"/>
    </xf>
    <xf numFmtId="49" fontId="62" fillId="0" borderId="74">
      <alignment horizontal="right" vertical="center" wrapText="1"/>
    </xf>
    <xf numFmtId="0" fontId="62" fillId="0" borderId="69">
      <alignment horizontal="left" vertical="center" wrapText="1"/>
    </xf>
    <xf numFmtId="0" fontId="61" fillId="0" borderId="90">
      <alignment horizontal="left" vertical="center" wrapText="1"/>
    </xf>
    <xf numFmtId="49" fontId="61" fillId="0" borderId="0">
      <alignment horizontal="left" vertical="center"/>
    </xf>
    <xf numFmtId="0" fontId="61" fillId="0" borderId="0">
      <alignment horizontal="left" vertical="center"/>
    </xf>
    <xf numFmtId="0" fontId="61" fillId="0" borderId="91">
      <alignment horizontal="center" vertical="center" wrapText="1"/>
    </xf>
    <xf numFmtId="0" fontId="61" fillId="0" borderId="93">
      <alignment horizontal="left" vertical="center" wrapText="1"/>
    </xf>
    <xf numFmtId="49" fontId="62" fillId="0" borderId="73">
      <alignment horizontal="center" vertical="center" wrapText="1"/>
    </xf>
    <xf numFmtId="0" fontId="61" fillId="0" borderId="96">
      <alignment horizontal="center" vertical="center" wrapText="1"/>
    </xf>
    <xf numFmtId="0" fontId="61" fillId="0" borderId="0">
      <alignment horizontal="left" vertical="center" wrapText="1"/>
    </xf>
    <xf numFmtId="0" fontId="61" fillId="0" borderId="97">
      <alignment horizontal="left" vertical="center" wrapText="1"/>
    </xf>
    <xf numFmtId="0" fontId="61" fillId="0" borderId="98">
      <alignment horizontal="left" vertical="center" wrapText="1"/>
    </xf>
    <xf numFmtId="0" fontId="61" fillId="0" borderId="71">
      <alignment horizontal="left" vertical="center" wrapText="1"/>
    </xf>
    <xf numFmtId="49" fontId="61" fillId="0" borderId="70">
      <alignment horizontal="center" vertical="center" wrapText="1"/>
    </xf>
    <xf numFmtId="49" fontId="61" fillId="0" borderId="74">
      <alignment horizontal="center" vertical="center" wrapText="1"/>
    </xf>
    <xf numFmtId="49" fontId="61" fillId="0" borderId="69">
      <alignment horizontal="center" vertical="center" wrapText="1"/>
    </xf>
    <xf numFmtId="0" fontId="61" fillId="0" borderId="71">
      <alignment horizontal="center" vertical="center" wrapText="1"/>
    </xf>
    <xf numFmtId="0" fontId="62" fillId="0" borderId="70">
      <alignment horizontal="center" vertical="center" wrapText="1"/>
    </xf>
    <xf numFmtId="49" fontId="62" fillId="0" borderId="70">
      <alignment horizontal="left" vertical="center" wrapText="1"/>
    </xf>
    <xf numFmtId="0" fontId="62" fillId="0" borderId="75">
      <alignment horizontal="center" vertical="center" wrapText="1"/>
    </xf>
    <xf numFmtId="49" fontId="64" fillId="0" borderId="0">
      <alignment horizontal="center" vertical="center" wrapText="1"/>
    </xf>
    <xf numFmtId="0" fontId="62" fillId="0" borderId="75">
      <alignment horizontal="right" vertical="center" wrapText="1"/>
    </xf>
    <xf numFmtId="0" fontId="62" fillId="0" borderId="76">
      <alignment horizontal="right" vertical="center" wrapText="1"/>
    </xf>
    <xf numFmtId="0" fontId="62" fillId="0" borderId="74">
      <alignment horizontal="right" vertical="center" wrapText="1"/>
    </xf>
    <xf numFmtId="0" fontId="62" fillId="0" borderId="69">
      <alignment horizontal="left" vertical="center" wrapText="1"/>
    </xf>
    <xf numFmtId="0" fontId="62" fillId="0" borderId="70">
      <alignment horizontal="right" vertical="center" wrapText="1"/>
    </xf>
    <xf numFmtId="0" fontId="62" fillId="0" borderId="70">
      <alignment horizontal="left" vertical="center" wrapText="1"/>
    </xf>
    <xf numFmtId="0" fontId="62" fillId="0" borderId="70">
      <alignment horizontal="center" vertical="center" wrapText="1"/>
    </xf>
    <xf numFmtId="49" fontId="62" fillId="0" borderId="70">
      <alignment horizontal="left" vertical="center" wrapText="1"/>
    </xf>
    <xf numFmtId="0" fontId="62" fillId="0" borderId="75">
      <alignment horizontal="center" vertical="center" wrapText="1"/>
    </xf>
    <xf numFmtId="0" fontId="62" fillId="0" borderId="75">
      <alignment horizontal="right" vertical="center" wrapText="1"/>
    </xf>
    <xf numFmtId="49" fontId="61" fillId="0" borderId="0">
      <alignment horizontal="left" vertical="center" wrapText="1"/>
    </xf>
    <xf numFmtId="0" fontId="62" fillId="0" borderId="76">
      <alignment horizontal="right" vertical="center" wrapText="1"/>
    </xf>
    <xf numFmtId="0" fontId="62" fillId="0" borderId="74">
      <alignment horizontal="right" vertical="center" wrapText="1"/>
    </xf>
    <xf numFmtId="0" fontId="62" fillId="0" borderId="69">
      <alignment horizontal="left" vertical="center" wrapText="1"/>
    </xf>
    <xf numFmtId="0" fontId="62" fillId="0" borderId="70">
      <alignment horizontal="right" vertical="center" wrapText="1"/>
    </xf>
    <xf numFmtId="0" fontId="62" fillId="0" borderId="70">
      <alignment horizontal="left" vertical="center" wrapText="1"/>
    </xf>
    <xf numFmtId="49" fontId="61" fillId="0" borderId="70">
      <alignment horizontal="center" vertical="center" wrapText="1"/>
    </xf>
    <xf numFmtId="49" fontId="61" fillId="0" borderId="70">
      <alignment horizontal="left" vertical="center" wrapText="1"/>
    </xf>
    <xf numFmtId="49" fontId="61" fillId="0" borderId="89">
      <alignment horizontal="left" vertical="center" wrapText="1"/>
    </xf>
    <xf numFmtId="49" fontId="61" fillId="0" borderId="70">
      <alignment horizontal="right" vertical="center" wrapText="1"/>
    </xf>
    <xf numFmtId="49" fontId="65" fillId="0" borderId="89">
      <alignment horizontal="center" wrapText="1"/>
    </xf>
    <xf numFmtId="49" fontId="60" fillId="0" borderId="0">
      <alignment horizontal="center" vertical="center" wrapText="1"/>
    </xf>
    <xf numFmtId="49" fontId="65" fillId="0" borderId="77">
      <alignment horizontal="center" wrapText="1"/>
    </xf>
    <xf numFmtId="49" fontId="61" fillId="0" borderId="69">
      <alignment horizontal="left" vertical="center" wrapText="1"/>
    </xf>
    <xf numFmtId="0" fontId="61" fillId="0" borderId="70">
      <alignment horizontal="left" vertical="center" wrapText="1"/>
    </xf>
    <xf numFmtId="49" fontId="61" fillId="0" borderId="71">
      <alignment horizontal="center" vertical="top" wrapText="1"/>
    </xf>
    <xf numFmtId="49" fontId="61" fillId="0" borderId="73">
      <alignment horizontal="center" vertical="top" wrapText="1"/>
    </xf>
    <xf numFmtId="0" fontId="61" fillId="0" borderId="99">
      <alignment horizontal="left" vertical="center" wrapText="1"/>
    </xf>
    <xf numFmtId="0" fontId="61" fillId="0" borderId="71">
      <alignment horizontal="left" vertical="center" wrapText="1"/>
    </xf>
    <xf numFmtId="0" fontId="61" fillId="0" borderId="71">
      <alignment horizontal="right" vertical="top" wrapText="1"/>
    </xf>
    <xf numFmtId="0" fontId="61" fillId="0" borderId="73">
      <alignment horizontal="left" vertical="center" wrapText="1"/>
    </xf>
    <xf numFmtId="0" fontId="61" fillId="0" borderId="100">
      <alignment horizontal="left" vertical="center" wrapText="1"/>
    </xf>
    <xf numFmtId="0" fontId="60" fillId="0" borderId="0">
      <alignment horizontal="center" vertical="center" wrapText="1"/>
    </xf>
    <xf numFmtId="49" fontId="61" fillId="0" borderId="89">
      <alignment horizontal="center" vertical="center" wrapText="1"/>
    </xf>
    <xf numFmtId="49" fontId="61" fillId="0" borderId="89">
      <alignment horizontal="right" vertical="center" wrapText="1"/>
    </xf>
    <xf numFmtId="49" fontId="61" fillId="0" borderId="92">
      <alignment horizontal="left" vertical="center" wrapText="1"/>
    </xf>
    <xf numFmtId="0" fontId="61" fillId="0" borderId="89">
      <alignment horizontal="left" vertical="center" wrapText="1"/>
    </xf>
    <xf numFmtId="49" fontId="61" fillId="0" borderId="93">
      <alignment horizontal="center" vertical="top" wrapText="1"/>
    </xf>
    <xf numFmtId="49" fontId="61" fillId="0" borderId="95">
      <alignment horizontal="center" vertical="top" wrapText="1"/>
    </xf>
    <xf numFmtId="0" fontId="61" fillId="0" borderId="93">
      <alignment horizontal="right" vertical="top" wrapText="1"/>
    </xf>
    <xf numFmtId="0" fontId="61" fillId="0" borderId="95">
      <alignment horizontal="left" vertical="center" wrapText="1"/>
    </xf>
    <xf numFmtId="0" fontId="61" fillId="0" borderId="71">
      <alignment horizontal="center" vertical="center" wrapText="1"/>
    </xf>
    <xf numFmtId="0" fontId="61" fillId="0" borderId="71">
      <alignment horizontal="right" vertical="center" wrapText="1"/>
    </xf>
    <xf numFmtId="0" fontId="61" fillId="0" borderId="0">
      <alignment horizontal="center" vertical="center" wrapText="1"/>
    </xf>
    <xf numFmtId="0" fontId="61" fillId="0" borderId="73">
      <alignment horizontal="right" vertical="center" wrapText="1"/>
    </xf>
    <xf numFmtId="49" fontId="61" fillId="0" borderId="100">
      <alignment horizontal="left" vertical="center" wrapText="1"/>
    </xf>
    <xf numFmtId="49" fontId="61" fillId="0" borderId="71">
      <alignment horizontal="center" vertical="center" wrapText="1"/>
    </xf>
    <xf numFmtId="49" fontId="61" fillId="0" borderId="71">
      <alignment horizontal="right" vertical="center" wrapText="1"/>
    </xf>
    <xf numFmtId="0" fontId="61" fillId="0" borderId="93">
      <alignment horizontal="center" vertical="center" wrapText="1"/>
    </xf>
    <xf numFmtId="0" fontId="61" fillId="0" borderId="93">
      <alignment horizontal="right" vertical="center" wrapText="1"/>
    </xf>
    <xf numFmtId="0" fontId="61" fillId="0" borderId="95">
      <alignment horizontal="right" vertical="center" wrapText="1"/>
    </xf>
    <xf numFmtId="49" fontId="61" fillId="0" borderId="99">
      <alignment horizontal="left" vertical="center" wrapText="1"/>
    </xf>
    <xf numFmtId="49" fontId="61" fillId="0" borderId="93">
      <alignment horizontal="center" vertical="center" wrapText="1"/>
    </xf>
    <xf numFmtId="49" fontId="61" fillId="0" borderId="93">
      <alignment horizontal="right" vertical="center" wrapText="1"/>
    </xf>
    <xf numFmtId="0" fontId="62" fillId="0" borderId="0">
      <alignment horizontal="right" vertical="center" wrapText="1"/>
    </xf>
    <xf numFmtId="0" fontId="62" fillId="0" borderId="90">
      <alignment horizontal="center" vertical="center" wrapText="1"/>
    </xf>
    <xf numFmtId="0" fontId="62" fillId="0" borderId="90">
      <alignment horizontal="right" vertical="center" wrapText="1"/>
    </xf>
    <xf numFmtId="0" fontId="62" fillId="0" borderId="91">
      <alignment horizontal="right" vertical="center" wrapText="1"/>
    </xf>
    <xf numFmtId="49" fontId="63" fillId="0" borderId="77">
      <alignment horizontal="center" wrapText="1"/>
    </xf>
    <xf numFmtId="49" fontId="62" fillId="0" borderId="69">
      <alignment horizontal="left" vertical="center" wrapText="1"/>
    </xf>
    <xf numFmtId="49" fontId="62" fillId="0" borderId="70">
      <alignment horizontal="right" vertical="center" wrapText="1"/>
    </xf>
    <xf numFmtId="0" fontId="61" fillId="0" borderId="72">
      <alignment horizontal="left" vertical="center" wrapText="1"/>
    </xf>
    <xf numFmtId="0" fontId="61" fillId="0" borderId="68">
      <alignment horizontal="left" vertical="center" wrapText="1"/>
    </xf>
    <xf numFmtId="0" fontId="61" fillId="0" borderId="98">
      <alignment horizontal="left" vertical="center" wrapText="1"/>
    </xf>
    <xf numFmtId="49" fontId="62" fillId="0" borderId="73">
      <alignment horizontal="center" vertical="top" wrapText="1"/>
    </xf>
    <xf numFmtId="49" fontId="61" fillId="0" borderId="0">
      <alignment horizontal="right" vertical="center"/>
    </xf>
    <xf numFmtId="0" fontId="61" fillId="0" borderId="97">
      <alignment horizontal="left" vertical="center" wrapText="1"/>
    </xf>
    <xf numFmtId="0" fontId="66" fillId="0" borderId="70">
      <alignment horizontal="center" vertical="center" wrapText="1"/>
    </xf>
    <xf numFmtId="49" fontId="66" fillId="0" borderId="70">
      <alignment horizontal="left" vertical="center" wrapText="1"/>
    </xf>
    <xf numFmtId="0" fontId="66" fillId="0" borderId="75">
      <alignment horizontal="center" vertical="center" wrapText="1"/>
    </xf>
    <xf numFmtId="0" fontId="66" fillId="0" borderId="75">
      <alignment horizontal="right" vertical="center" wrapText="1"/>
    </xf>
    <xf numFmtId="0" fontId="66" fillId="0" borderId="76">
      <alignment horizontal="right" vertical="center" wrapText="1"/>
    </xf>
    <xf numFmtId="0" fontId="66" fillId="0" borderId="74">
      <alignment horizontal="right" vertical="center" wrapText="1"/>
    </xf>
    <xf numFmtId="0" fontId="66" fillId="0" borderId="69">
      <alignment horizontal="left" vertical="center" wrapText="1"/>
    </xf>
    <xf numFmtId="0" fontId="66" fillId="0" borderId="70">
      <alignment horizontal="right" vertical="center" wrapText="1"/>
    </xf>
    <xf numFmtId="0" fontId="66" fillId="0" borderId="70">
      <alignment horizontal="left" vertical="center" wrapText="1"/>
    </xf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80" fontId="69" fillId="0" borderId="0"/>
    <xf numFmtId="0" fontId="67" fillId="0" borderId="0">
      <alignment horizontal="left" vertical="center"/>
    </xf>
    <xf numFmtId="0" fontId="67" fillId="0" borderId="68">
      <alignment horizontal="right" vertical="center"/>
    </xf>
    <xf numFmtId="0" fontId="67" fillId="0" borderId="68">
      <alignment horizontal="right" vertical="center" wrapText="1"/>
    </xf>
    <xf numFmtId="0" fontId="67" fillId="0" borderId="89">
      <alignment horizontal="center" vertical="center" wrapText="1"/>
    </xf>
    <xf numFmtId="0" fontId="67" fillId="0" borderId="101">
      <alignment horizontal="center" vertical="center" wrapText="1"/>
    </xf>
    <xf numFmtId="0" fontId="67" fillId="0" borderId="70">
      <alignment horizontal="center" vertical="center" wrapText="1"/>
    </xf>
    <xf numFmtId="0" fontId="68" fillId="0" borderId="0">
      <alignment horizontal="left" vertical="center"/>
    </xf>
    <xf numFmtId="0" fontId="67" fillId="0" borderId="89">
      <alignment horizontal="left" vertical="center" wrapText="1"/>
    </xf>
    <xf numFmtId="0" fontId="67" fillId="0" borderId="93">
      <alignment horizontal="left" vertical="center" wrapText="1"/>
    </xf>
    <xf numFmtId="0" fontId="67" fillId="0" borderId="93">
      <alignment horizontal="center" vertical="center" wrapText="1"/>
    </xf>
    <xf numFmtId="0" fontId="67" fillId="0" borderId="93">
      <alignment horizontal="center" vertical="center" wrapText="1"/>
    </xf>
    <xf numFmtId="0" fontId="67" fillId="0" borderId="102">
      <alignment horizontal="left" vertical="center" wrapText="1"/>
    </xf>
    <xf numFmtId="0" fontId="67" fillId="0" borderId="102">
      <alignment horizontal="center" vertical="center" wrapText="1"/>
    </xf>
    <xf numFmtId="0" fontId="67" fillId="0" borderId="102">
      <alignment horizontal="center" vertical="center" wrapText="1"/>
    </xf>
    <xf numFmtId="0" fontId="68" fillId="0" borderId="103">
      <alignment horizontal="left" vertical="center" wrapText="1"/>
    </xf>
    <xf numFmtId="0" fontId="68" fillId="0" borderId="103">
      <alignment horizontal="center" vertical="center" wrapText="1"/>
    </xf>
    <xf numFmtId="0" fontId="68" fillId="0" borderId="103">
      <alignment horizontal="center" vertical="center" wrapText="1"/>
    </xf>
    <xf numFmtId="0" fontId="68" fillId="0" borderId="0">
      <alignment horizontal="right" vertical="center"/>
    </xf>
    <xf numFmtId="0" fontId="67" fillId="0" borderId="104">
      <alignment horizontal="left" vertical="center" wrapText="1"/>
    </xf>
    <xf numFmtId="0" fontId="67" fillId="0" borderId="104">
      <alignment horizontal="center" vertical="center" wrapText="1"/>
    </xf>
    <xf numFmtId="0" fontId="67" fillId="0" borderId="104">
      <alignment horizontal="center" vertical="center" wrapText="1"/>
    </xf>
    <xf numFmtId="0" fontId="67" fillId="0" borderId="71">
      <alignment horizontal="left" vertical="center" wrapText="1"/>
    </xf>
    <xf numFmtId="0" fontId="67" fillId="0" borderId="71">
      <alignment horizontal="center" vertical="center" wrapText="1"/>
    </xf>
    <xf numFmtId="0" fontId="67" fillId="0" borderId="71">
      <alignment horizontal="center" vertical="center" wrapText="1"/>
    </xf>
    <xf numFmtId="0" fontId="67" fillId="0" borderId="90">
      <alignment horizontal="left" vertical="center" wrapText="1"/>
    </xf>
    <xf numFmtId="0" fontId="67" fillId="0" borderId="0">
      <alignment horizontal="left" vertical="center"/>
    </xf>
    <xf numFmtId="0" fontId="67" fillId="0" borderId="0">
      <alignment horizontal="left" vertical="center" wrapText="1"/>
    </xf>
    <xf numFmtId="0" fontId="68" fillId="0" borderId="0">
      <alignment horizontal="left" vertical="center"/>
    </xf>
    <xf numFmtId="0" fontId="67" fillId="0" borderId="0">
      <alignment horizontal="left" vertical="center" wrapText="1"/>
    </xf>
    <xf numFmtId="0" fontId="68" fillId="0" borderId="0">
      <alignment horizontal="center" vertical="center" wrapText="1"/>
    </xf>
    <xf numFmtId="0" fontId="67" fillId="0" borderId="68">
      <alignment horizontal="left" vertical="center"/>
    </xf>
    <xf numFmtId="0" fontId="70" fillId="0" borderId="0"/>
    <xf numFmtId="0" fontId="13" fillId="0" borderId="0"/>
    <xf numFmtId="0" fontId="13" fillId="0" borderId="0"/>
    <xf numFmtId="0" fontId="71" fillId="0" borderId="0"/>
    <xf numFmtId="0" fontId="58" fillId="0" borderId="0"/>
    <xf numFmtId="0" fontId="58" fillId="0" borderId="0"/>
    <xf numFmtId="0" fontId="1" fillId="0" borderId="0"/>
    <xf numFmtId="0" fontId="71" fillId="0" borderId="0"/>
    <xf numFmtId="166" fontId="71" fillId="0" borderId="0" applyFont="0" applyFill="0" applyBorder="0" applyAlignment="0" applyProtection="0"/>
    <xf numFmtId="0" fontId="72" fillId="0" borderId="0" applyNumberFormat="0" applyFill="0" applyBorder="0" applyProtection="0">
      <alignment vertical="top" wrapText="1"/>
    </xf>
    <xf numFmtId="166" fontId="72" fillId="0" borderId="0" applyFont="0" applyFill="0" applyBorder="0" applyAlignment="0" applyProtection="0"/>
    <xf numFmtId="0" fontId="72" fillId="0" borderId="0" applyNumberFormat="0" applyFill="0" applyBorder="0" applyProtection="0">
      <alignment vertical="top" wrapText="1"/>
    </xf>
    <xf numFmtId="0" fontId="72" fillId="0" borderId="0" applyNumberFormat="0" applyFill="0" applyBorder="0" applyProtection="0">
      <alignment vertical="top" wrapText="1"/>
    </xf>
    <xf numFmtId="0" fontId="11" fillId="0" borderId="0"/>
    <xf numFmtId="0" fontId="13" fillId="0" borderId="0"/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23" fillId="0" borderId="0"/>
    <xf numFmtId="0" fontId="53" fillId="0" borderId="0">
      <alignment vertical="top"/>
    </xf>
    <xf numFmtId="0" fontId="53" fillId="0" borderId="0">
      <alignment vertical="top"/>
    </xf>
    <xf numFmtId="0" fontId="11" fillId="0" borderId="0"/>
    <xf numFmtId="0" fontId="1" fillId="0" borderId="0"/>
    <xf numFmtId="0" fontId="23" fillId="0" borderId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1" fillId="0" borderId="0"/>
    <xf numFmtId="166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23" fillId="0" borderId="0"/>
    <xf numFmtId="170" fontId="2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73" fillId="0" borderId="0"/>
    <xf numFmtId="0" fontId="1" fillId="0" borderId="0"/>
    <xf numFmtId="0" fontId="74" fillId="0" borderId="0"/>
    <xf numFmtId="0" fontId="1" fillId="0" borderId="0"/>
    <xf numFmtId="0" fontId="1" fillId="0" borderId="0"/>
    <xf numFmtId="43" fontId="2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57" fillId="0" borderId="0"/>
    <xf numFmtId="164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53" fillId="0" borderId="0"/>
    <xf numFmtId="178" fontId="5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5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" fillId="0" borderId="0"/>
    <xf numFmtId="0" fontId="59" fillId="0" borderId="0"/>
    <xf numFmtId="164" fontId="5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3" fillId="0" borderId="0"/>
    <xf numFmtId="0" fontId="58" fillId="0" borderId="0"/>
    <xf numFmtId="0" fontId="1" fillId="0" borderId="0"/>
    <xf numFmtId="166" fontId="71" fillId="0" borderId="0" applyFont="0" applyFill="0" applyBorder="0" applyAlignment="0" applyProtection="0"/>
    <xf numFmtId="0" fontId="72" fillId="0" borderId="0" applyNumberFormat="0" applyFill="0" applyBorder="0" applyProtection="0">
      <alignment vertical="top" wrapText="1"/>
    </xf>
    <xf numFmtId="0" fontId="53" fillId="0" borderId="0">
      <alignment vertical="top"/>
    </xf>
    <xf numFmtId="0" fontId="53" fillId="0" borderId="0">
      <alignment vertical="top"/>
    </xf>
    <xf numFmtId="0" fontId="23" fillId="0" borderId="0"/>
    <xf numFmtId="0" fontId="53" fillId="0" borderId="0">
      <alignment vertical="top"/>
    </xf>
    <xf numFmtId="0" fontId="53" fillId="0" borderId="0">
      <alignment vertical="top"/>
    </xf>
    <xf numFmtId="0" fontId="11" fillId="0" borderId="0"/>
    <xf numFmtId="170" fontId="24" fillId="0" borderId="0" applyFont="0" applyFill="0" applyBorder="0" applyAlignment="0" applyProtection="0"/>
    <xf numFmtId="0" fontId="1" fillId="0" borderId="0"/>
    <xf numFmtId="166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7" fillId="0" borderId="0"/>
    <xf numFmtId="164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0" fontId="5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7" fillId="0" borderId="0"/>
    <xf numFmtId="164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75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5" fillId="0" borderId="0">
      <alignment horizontal="left"/>
    </xf>
    <xf numFmtId="0" fontId="1" fillId="0" borderId="0"/>
    <xf numFmtId="0" fontId="54" fillId="0" borderId="0"/>
    <xf numFmtId="9" fontId="11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</cellStyleXfs>
  <cellXfs count="936">
    <xf numFmtId="0" fontId="0" fillId="0" borderId="0" xfId="0"/>
    <xf numFmtId="0" fontId="17" fillId="2" borderId="0" xfId="1" applyFont="1" applyFill="1" applyAlignment="1">
      <alignment horizontal="left" vertical="center" wrapText="1"/>
    </xf>
    <xf numFmtId="167" fontId="15" fillId="0" borderId="10" xfId="1" applyNumberFormat="1" applyFont="1" applyBorder="1" applyAlignment="1">
      <alignment horizontal="center" vertical="center"/>
    </xf>
    <xf numFmtId="167" fontId="15" fillId="0" borderId="9" xfId="1" applyNumberFormat="1" applyFont="1" applyBorder="1" applyAlignment="1">
      <alignment horizontal="center" vertical="center"/>
    </xf>
    <xf numFmtId="167" fontId="15" fillId="0" borderId="12" xfId="1" applyNumberFormat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167" fontId="15" fillId="0" borderId="15" xfId="1" applyNumberFormat="1" applyFont="1" applyBorder="1" applyAlignment="1">
      <alignment horizontal="center" vertical="center"/>
    </xf>
    <xf numFmtId="167" fontId="15" fillId="0" borderId="14" xfId="1" applyNumberFormat="1" applyFont="1" applyBorder="1" applyAlignment="1">
      <alignment horizontal="center" vertical="center"/>
    </xf>
    <xf numFmtId="0" fontId="17" fillId="2" borderId="0" xfId="1" applyFont="1" applyFill="1" applyAlignment="1">
      <alignment wrapText="1"/>
    </xf>
    <xf numFmtId="167" fontId="15" fillId="0" borderId="11" xfId="1" applyNumberFormat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43" fontId="17" fillId="2" borderId="0" xfId="2" applyFont="1" applyFill="1" applyBorder="1" applyAlignment="1">
      <alignment horizontal="left" vertical="center" wrapText="1"/>
    </xf>
    <xf numFmtId="0" fontId="27" fillId="0" borderId="25" xfId="0" applyFont="1" applyBorder="1" applyAlignment="1">
      <alignment horizontal="center" vertical="center" wrapText="1"/>
    </xf>
    <xf numFmtId="17" fontId="20" fillId="2" borderId="2" xfId="1" applyNumberFormat="1" applyFont="1" applyFill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167" fontId="20" fillId="2" borderId="2" xfId="2" applyNumberFormat="1" applyFont="1" applyFill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43" fontId="20" fillId="2" borderId="2" xfId="2" applyFont="1" applyFill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/>
    </xf>
    <xf numFmtId="167" fontId="22" fillId="2" borderId="2" xfId="3" applyNumberFormat="1" applyFont="1" applyFill="1" applyBorder="1" applyAlignment="1">
      <alignment horizontal="center"/>
    </xf>
    <xf numFmtId="0" fontId="15" fillId="2" borderId="2" xfId="3" applyFont="1" applyFill="1" applyBorder="1" applyAlignment="1">
      <alignment horizontal="left" vertical="top" wrapText="1"/>
    </xf>
    <xf numFmtId="4" fontId="16" fillId="2" borderId="2" xfId="1" applyNumberFormat="1" applyFont="1" applyFill="1" applyBorder="1" applyAlignment="1">
      <alignment horizontal="left" vertical="top"/>
    </xf>
    <xf numFmtId="0" fontId="15" fillId="0" borderId="0" xfId="1" applyFont="1"/>
    <xf numFmtId="0" fontId="19" fillId="0" borderId="0" xfId="1" applyFont="1"/>
    <xf numFmtId="167" fontId="15" fillId="0" borderId="0" xfId="1" applyNumberFormat="1" applyFont="1"/>
    <xf numFmtId="0" fontId="17" fillId="2" borderId="0" xfId="1" applyFont="1" applyFill="1" applyAlignment="1">
      <alignment horizontal="left" wrapText="1"/>
    </xf>
    <xf numFmtId="167" fontId="20" fillId="0" borderId="0" xfId="1" applyNumberFormat="1" applyFont="1" applyAlignment="1">
      <alignment horizontal="center" vertical="center"/>
    </xf>
    <xf numFmtId="167" fontId="20" fillId="2" borderId="0" xfId="1" applyNumberFormat="1" applyFont="1" applyFill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/>
    </xf>
    <xf numFmtId="167" fontId="15" fillId="2" borderId="2" xfId="1" applyNumberFormat="1" applyFont="1" applyFill="1" applyBorder="1" applyAlignment="1">
      <alignment vertical="center"/>
    </xf>
    <xf numFmtId="49" fontId="15" fillId="2" borderId="2" xfId="1" applyNumberFormat="1" applyFont="1" applyFill="1" applyBorder="1" applyAlignment="1">
      <alignment vertical="center"/>
    </xf>
    <xf numFmtId="4" fontId="15" fillId="2" borderId="2" xfId="1" applyNumberFormat="1" applyFont="1" applyFill="1" applyBorder="1" applyAlignment="1">
      <alignment vertical="center"/>
    </xf>
    <xf numFmtId="167" fontId="19" fillId="2" borderId="2" xfId="1" applyNumberFormat="1" applyFont="1" applyFill="1" applyBorder="1" applyAlignment="1">
      <alignment vertical="center"/>
    </xf>
    <xf numFmtId="167" fontId="15" fillId="0" borderId="2" xfId="1" applyNumberFormat="1" applyFont="1" applyBorder="1" applyAlignment="1">
      <alignment vertical="center"/>
    </xf>
    <xf numFmtId="0" fontId="15" fillId="2" borderId="2" xfId="1" applyFont="1" applyFill="1" applyBorder="1" applyAlignment="1">
      <alignment vertical="center" wrapText="1"/>
    </xf>
    <xf numFmtId="167" fontId="19" fillId="2" borderId="2" xfId="1" applyNumberFormat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vertical="center"/>
    </xf>
    <xf numFmtId="0" fontId="15" fillId="0" borderId="0" xfId="1" applyFont="1" applyAlignment="1">
      <alignment vertical="center"/>
    </xf>
    <xf numFmtId="49" fontId="20" fillId="2" borderId="2" xfId="2" applyNumberFormat="1" applyFont="1" applyFill="1" applyBorder="1" applyAlignment="1">
      <alignment vertical="center"/>
    </xf>
    <xf numFmtId="167" fontId="20" fillId="2" borderId="2" xfId="2" applyNumberFormat="1" applyFont="1" applyFill="1" applyBorder="1" applyAlignment="1">
      <alignment vertical="center"/>
    </xf>
    <xf numFmtId="0" fontId="20" fillId="0" borderId="2" xfId="1" applyFont="1" applyBorder="1" applyAlignment="1">
      <alignment vertical="center"/>
    </xf>
    <xf numFmtId="0" fontId="20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22" fillId="0" borderId="0" xfId="1" applyFont="1" applyAlignment="1">
      <alignment vertical="center"/>
    </xf>
    <xf numFmtId="167" fontId="20" fillId="0" borderId="0" xfId="1" applyNumberFormat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67" fontId="15" fillId="0" borderId="0" xfId="1" applyNumberFormat="1" applyFont="1" applyAlignment="1">
      <alignment horizontal="center"/>
    </xf>
    <xf numFmtId="0" fontId="16" fillId="0" borderId="0" xfId="1" applyFont="1"/>
    <xf numFmtId="43" fontId="15" fillId="2" borderId="0" xfId="2" applyFont="1" applyFill="1" applyAlignment="1">
      <alignment horizontal="center"/>
    </xf>
    <xf numFmtId="167" fontId="15" fillId="2" borderId="0" xfId="2" applyNumberFormat="1" applyFont="1" applyFill="1" applyAlignment="1">
      <alignment horizontal="center"/>
    </xf>
    <xf numFmtId="167" fontId="16" fillId="2" borderId="0" xfId="1" applyNumberFormat="1" applyFont="1" applyFill="1"/>
    <xf numFmtId="167" fontId="16" fillId="0" borderId="0" xfId="1" applyNumberFormat="1" applyFont="1"/>
    <xf numFmtId="0" fontId="16" fillId="2" borderId="0" xfId="1" applyFont="1" applyFill="1" applyAlignment="1">
      <alignment horizontal="center" vertical="center"/>
    </xf>
    <xf numFmtId="167" fontId="15" fillId="2" borderId="2" xfId="1" applyNumberFormat="1" applyFont="1" applyFill="1" applyBorder="1" applyAlignment="1">
      <alignment horizontal="center" vertical="center"/>
    </xf>
    <xf numFmtId="167" fontId="15" fillId="2" borderId="2" xfId="1" applyNumberFormat="1" applyFont="1" applyFill="1" applyBorder="1" applyAlignment="1">
      <alignment horizontal="left" vertical="center"/>
    </xf>
    <xf numFmtId="167" fontId="15" fillId="0" borderId="2" xfId="1" applyNumberFormat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17" fontId="21" fillId="2" borderId="2" xfId="3" applyNumberFormat="1" applyFont="1" applyFill="1" applyBorder="1" applyAlignment="1">
      <alignment horizontal="center" vertical="center"/>
    </xf>
    <xf numFmtId="17" fontId="19" fillId="2" borderId="2" xfId="3" applyNumberFormat="1" applyFont="1" applyFill="1" applyBorder="1" applyAlignment="1">
      <alignment horizontal="center" vertical="center"/>
    </xf>
    <xf numFmtId="167" fontId="20" fillId="2" borderId="2" xfId="3" applyNumberFormat="1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0" fontId="21" fillId="2" borderId="2" xfId="3" applyFont="1" applyFill="1" applyBorder="1" applyAlignment="1">
      <alignment horizontal="center"/>
    </xf>
    <xf numFmtId="17" fontId="15" fillId="2" borderId="2" xfId="3" applyNumberFormat="1" applyFont="1" applyFill="1" applyBorder="1" applyAlignment="1">
      <alignment horizontal="center" vertical="center"/>
    </xf>
    <xf numFmtId="167" fontId="15" fillId="2" borderId="2" xfId="3" applyNumberFormat="1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0" fontId="16" fillId="2" borderId="2" xfId="3" applyFont="1" applyFill="1" applyBorder="1" applyAlignment="1">
      <alignment horizontal="center"/>
    </xf>
    <xf numFmtId="168" fontId="15" fillId="0" borderId="2" xfId="1" applyNumberFormat="1" applyFont="1" applyBorder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9" fontId="15" fillId="0" borderId="2" xfId="1" applyNumberFormat="1" applyFont="1" applyBorder="1" applyAlignment="1">
      <alignment horizontal="center" vertical="center"/>
    </xf>
    <xf numFmtId="169" fontId="20" fillId="0" borderId="0" xfId="1" applyNumberFormat="1" applyFont="1" applyAlignment="1">
      <alignment horizontal="center" vertical="center"/>
    </xf>
    <xf numFmtId="169" fontId="16" fillId="0" borderId="0" xfId="1" applyNumberFormat="1" applyFont="1" applyAlignment="1">
      <alignment horizontal="center" vertical="center"/>
    </xf>
    <xf numFmtId="167" fontId="15" fillId="3" borderId="0" xfId="1" applyNumberFormat="1" applyFont="1" applyFill="1"/>
    <xf numFmtId="167" fontId="17" fillId="2" borderId="0" xfId="1" applyNumberFormat="1" applyFont="1" applyFill="1" applyAlignment="1">
      <alignment horizontal="left" wrapText="1"/>
    </xf>
    <xf numFmtId="167" fontId="16" fillId="2" borderId="0" xfId="1" applyNumberFormat="1" applyFont="1" applyFill="1" applyAlignment="1">
      <alignment horizontal="left"/>
    </xf>
    <xf numFmtId="0" fontId="15" fillId="2" borderId="0" xfId="1" applyFont="1" applyFill="1"/>
    <xf numFmtId="0" fontId="19" fillId="2" borderId="0" xfId="1" applyFont="1" applyFill="1"/>
    <xf numFmtId="167" fontId="15" fillId="2" borderId="0" xfId="1" applyNumberFormat="1" applyFont="1" applyFill="1"/>
    <xf numFmtId="169" fontId="15" fillId="2" borderId="0" xfId="1" applyNumberFormat="1" applyFont="1" applyFill="1" applyAlignment="1">
      <alignment horizontal="center" vertical="center"/>
    </xf>
    <xf numFmtId="167" fontId="17" fillId="2" borderId="0" xfId="2" applyNumberFormat="1" applyFont="1" applyFill="1" applyBorder="1" applyAlignment="1">
      <alignment horizontal="left" vertical="center" wrapText="1"/>
    </xf>
    <xf numFmtId="167" fontId="17" fillId="2" borderId="0" xfId="1" applyNumberFormat="1" applyFont="1" applyFill="1" applyAlignment="1">
      <alignment horizontal="left" vertical="center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horizontal="left" vertical="center" wrapText="1"/>
    </xf>
    <xf numFmtId="43" fontId="20" fillId="0" borderId="0" xfId="2" applyFont="1" applyFill="1" applyBorder="1" applyAlignment="1">
      <alignment horizontal="center" vertical="center"/>
    </xf>
    <xf numFmtId="167" fontId="20" fillId="0" borderId="0" xfId="2" applyNumberFormat="1" applyFont="1" applyFill="1" applyBorder="1" applyAlignment="1">
      <alignment horizontal="center" vertical="center"/>
    </xf>
    <xf numFmtId="167" fontId="20" fillId="0" borderId="0" xfId="2" applyNumberFormat="1" applyFont="1" applyFill="1" applyBorder="1" applyAlignment="1"/>
    <xf numFmtId="43" fontId="15" fillId="0" borderId="0" xfId="2" applyFont="1" applyFill="1" applyBorder="1" applyAlignment="1">
      <alignment horizontal="center"/>
    </xf>
    <xf numFmtId="167" fontId="15" fillId="0" borderId="0" xfId="2" applyNumberFormat="1" applyFont="1" applyFill="1" applyBorder="1" applyAlignment="1">
      <alignment horizontal="center"/>
    </xf>
    <xf numFmtId="4" fontId="15" fillId="0" borderId="0" xfId="1" applyNumberFormat="1" applyFont="1" applyAlignment="1">
      <alignment horizontal="center" vertical="center"/>
    </xf>
    <xf numFmtId="43" fontId="15" fillId="0" borderId="0" xfId="2" applyFont="1" applyFill="1" applyAlignment="1">
      <alignment horizontal="center"/>
    </xf>
    <xf numFmtId="167" fontId="15" fillId="0" borderId="0" xfId="2" applyNumberFormat="1" applyFont="1" applyFill="1" applyAlignment="1">
      <alignment horizontal="center"/>
    </xf>
    <xf numFmtId="43" fontId="16" fillId="0" borderId="0" xfId="1" applyNumberFormat="1" applyFont="1" applyAlignment="1">
      <alignment horizontal="center" vertical="center"/>
    </xf>
    <xf numFmtId="4" fontId="16" fillId="0" borderId="0" xfId="1" applyNumberFormat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20" fillId="2" borderId="0" xfId="2" applyNumberFormat="1" applyFont="1" applyFill="1" applyBorder="1" applyAlignment="1">
      <alignment vertical="center"/>
    </xf>
    <xf numFmtId="43" fontId="20" fillId="2" borderId="0" xfId="2" applyFont="1" applyFill="1" applyBorder="1" applyAlignment="1">
      <alignment horizontal="right" vertical="center"/>
    </xf>
    <xf numFmtId="0" fontId="20" fillId="0" borderId="2" xfId="1" applyFont="1" applyBorder="1" applyAlignment="1">
      <alignment horizontal="center" vertical="center"/>
    </xf>
    <xf numFmtId="0" fontId="17" fillId="2" borderId="0" xfId="1" applyFont="1" applyFill="1" applyAlignment="1">
      <alignment horizontal="left" vertical="center" wrapText="1"/>
    </xf>
    <xf numFmtId="167" fontId="22" fillId="2" borderId="2" xfId="3" applyNumberFormat="1" applyFont="1" applyFill="1" applyBorder="1" applyAlignment="1">
      <alignment horizontal="center"/>
    </xf>
    <xf numFmtId="0" fontId="20" fillId="0" borderId="2" xfId="1" applyFont="1" applyBorder="1" applyAlignment="1">
      <alignment horizontal="left" vertical="center"/>
    </xf>
    <xf numFmtId="43" fontId="20" fillId="0" borderId="2" xfId="2" applyFont="1" applyFill="1" applyBorder="1" applyAlignment="1">
      <alignment horizontal="center" vertical="center"/>
    </xf>
    <xf numFmtId="167" fontId="20" fillId="0" borderId="2" xfId="2" applyNumberFormat="1" applyFont="1" applyFill="1" applyBorder="1" applyAlignment="1">
      <alignment horizontal="center" vertical="center"/>
    </xf>
    <xf numFmtId="167" fontId="20" fillId="0" borderId="2" xfId="2" applyNumberFormat="1" applyFont="1" applyFill="1" applyBorder="1" applyAlignment="1"/>
    <xf numFmtId="0" fontId="20" fillId="0" borderId="0" xfId="1" applyFont="1" applyAlignment="1">
      <alignment horizontal="left" vertical="center"/>
    </xf>
    <xf numFmtId="0" fontId="15" fillId="0" borderId="2" xfId="1" applyFont="1" applyBorder="1" applyAlignment="1">
      <alignment vertical="center"/>
    </xf>
    <xf numFmtId="49" fontId="15" fillId="2" borderId="2" xfId="1" applyNumberFormat="1" applyFont="1" applyFill="1" applyBorder="1" applyAlignment="1">
      <alignment horizontal="center" vertical="center"/>
    </xf>
    <xf numFmtId="0" fontId="11" fillId="0" borderId="0" xfId="9" applyFont="1"/>
    <xf numFmtId="0" fontId="11" fillId="0" borderId="0" xfId="9" applyFont="1" applyAlignment="1">
      <alignment vertical="center"/>
    </xf>
    <xf numFmtId="0" fontId="11" fillId="0" borderId="0" xfId="9" applyFont="1" applyAlignment="1">
      <alignment horizontal="center" vertical="top"/>
    </xf>
    <xf numFmtId="0" fontId="11" fillId="0" borderId="0" xfId="9" applyFont="1" applyAlignment="1">
      <alignment horizontal="left" vertical="center"/>
    </xf>
    <xf numFmtId="49" fontId="11" fillId="0" borderId="0" xfId="9" applyNumberFormat="1" applyFont="1" applyAlignment="1">
      <alignment horizontal="center" vertical="center" wrapText="1"/>
    </xf>
    <xf numFmtId="4" fontId="14" fillId="0" borderId="0" xfId="9" applyNumberFormat="1" applyFont="1"/>
    <xf numFmtId="43" fontId="11" fillId="0" borderId="0" xfId="10" applyFont="1" applyFill="1" applyBorder="1" applyAlignment="1">
      <alignment horizontal="center" vertical="center"/>
    </xf>
    <xf numFmtId="0" fontId="10" fillId="0" borderId="0" xfId="9" applyFont="1" applyAlignment="1">
      <alignment vertical="center"/>
    </xf>
    <xf numFmtId="0" fontId="11" fillId="0" borderId="0" xfId="9" applyFont="1" applyAlignment="1">
      <alignment horizontal="center" vertical="center"/>
    </xf>
    <xf numFmtId="0" fontId="10" fillId="0" borderId="0" xfId="9" applyFont="1" applyAlignment="1">
      <alignment horizontal="left"/>
    </xf>
    <xf numFmtId="43" fontId="10" fillId="0" borderId="0" xfId="10" applyFont="1" applyFill="1" applyBorder="1" applyAlignment="1">
      <alignment horizontal="center" vertical="center"/>
    </xf>
    <xf numFmtId="43" fontId="10" fillId="0" borderId="0" xfId="10" applyFont="1" applyFill="1" applyBorder="1" applyAlignment="1">
      <alignment horizontal="right"/>
    </xf>
    <xf numFmtId="0" fontId="11" fillId="0" borderId="0" xfId="9" applyFont="1" applyAlignment="1">
      <alignment horizontal="center"/>
    </xf>
    <xf numFmtId="4" fontId="12" fillId="0" borderId="0" xfId="9" applyNumberFormat="1" applyFont="1" applyAlignment="1">
      <alignment horizontal="right"/>
    </xf>
    <xf numFmtId="0" fontId="9" fillId="0" borderId="0" xfId="9" applyFont="1"/>
    <xf numFmtId="0" fontId="12" fillId="0" borderId="2" xfId="9" applyFont="1" applyBorder="1" applyAlignment="1">
      <alignment horizontal="center" vertical="center" wrapText="1"/>
    </xf>
    <xf numFmtId="0" fontId="10" fillId="0" borderId="5" xfId="9" applyFont="1" applyBorder="1" applyAlignment="1">
      <alignment horizontal="center" vertical="center" wrapText="1"/>
    </xf>
    <xf numFmtId="0" fontId="10" fillId="0" borderId="4" xfId="9" applyFont="1" applyBorder="1" applyAlignment="1">
      <alignment horizontal="center" vertical="center"/>
    </xf>
    <xf numFmtId="0" fontId="10" fillId="0" borderId="4" xfId="9" applyFont="1" applyBorder="1" applyAlignment="1">
      <alignment horizontal="center" vertical="center" wrapText="1"/>
    </xf>
    <xf numFmtId="43" fontId="10" fillId="0" borderId="4" xfId="10" applyFont="1" applyFill="1" applyBorder="1" applyAlignment="1">
      <alignment horizontal="center" vertical="center" wrapText="1"/>
    </xf>
    <xf numFmtId="17" fontId="10" fillId="0" borderId="4" xfId="9" applyNumberFormat="1" applyFont="1" applyBorder="1" applyAlignment="1">
      <alignment horizontal="center" vertical="center" wrapText="1"/>
    </xf>
    <xf numFmtId="49" fontId="11" fillId="0" borderId="1" xfId="3" applyNumberFormat="1" applyFont="1" applyBorder="1" applyAlignment="1">
      <alignment horizontal="center" vertical="center" wrapText="1"/>
    </xf>
    <xf numFmtId="0" fontId="11" fillId="0" borderId="7" xfId="9" applyFont="1" applyBorder="1" applyAlignment="1">
      <alignment horizontal="center" vertical="top"/>
    </xf>
    <xf numFmtId="0" fontId="11" fillId="0" borderId="8" xfId="9" applyFont="1" applyBorder="1" applyAlignment="1">
      <alignment horizontal="left" vertical="top" wrapText="1"/>
    </xf>
    <xf numFmtId="49" fontId="11" fillId="0" borderId="13" xfId="9" applyNumberFormat="1" applyFont="1" applyBorder="1" applyAlignment="1">
      <alignment horizontal="left" vertical="center" wrapText="1"/>
    </xf>
    <xf numFmtId="0" fontId="12" fillId="0" borderId="8" xfId="9" applyFont="1" applyBorder="1" applyAlignment="1">
      <alignment horizontal="left" vertical="center" wrapText="1"/>
    </xf>
    <xf numFmtId="165" fontId="10" fillId="0" borderId="8" xfId="9" applyNumberFormat="1" applyFont="1" applyBorder="1" applyAlignment="1">
      <alignment horizontal="right" vertical="top"/>
    </xf>
    <xf numFmtId="14" fontId="11" fillId="0" borderId="8" xfId="9" applyNumberFormat="1" applyFont="1" applyBorder="1" applyAlignment="1">
      <alignment horizontal="left" vertical="top"/>
    </xf>
    <xf numFmtId="0" fontId="11" fillId="0" borderId="0" xfId="9" applyFont="1" applyAlignment="1">
      <alignment horizontal="left" vertical="top" wrapText="1"/>
    </xf>
    <xf numFmtId="49" fontId="11" fillId="0" borderId="0" xfId="9" applyNumberFormat="1" applyFont="1" applyAlignment="1">
      <alignment horizontal="left" vertical="center" wrapText="1"/>
    </xf>
    <xf numFmtId="0" fontId="12" fillId="0" borderId="0" xfId="9" applyFont="1" applyAlignment="1">
      <alignment horizontal="left" vertical="center" wrapText="1"/>
    </xf>
    <xf numFmtId="4" fontId="11" fillId="0" borderId="0" xfId="9" applyNumberFormat="1" applyFont="1" applyAlignment="1">
      <alignment horizontal="left" vertical="top"/>
    </xf>
    <xf numFmtId="14" fontId="11" fillId="0" borderId="0" xfId="9" applyNumberFormat="1" applyFont="1" applyAlignment="1">
      <alignment horizontal="left" vertical="top"/>
    </xf>
    <xf numFmtId="43" fontId="11" fillId="0" borderId="0" xfId="10" applyFont="1" applyFill="1" applyAlignment="1">
      <alignment horizontal="center" vertical="center"/>
    </xf>
    <xf numFmtId="0" fontId="9" fillId="0" borderId="0" xfId="9" applyFont="1" applyAlignment="1">
      <alignment horizontal="right"/>
    </xf>
    <xf numFmtId="0" fontId="11" fillId="0" borderId="3" xfId="9" applyFont="1" applyBorder="1" applyAlignment="1">
      <alignment horizontal="center" vertical="center"/>
    </xf>
    <xf numFmtId="0" fontId="11" fillId="0" borderId="2" xfId="3" applyFont="1" applyBorder="1" applyAlignment="1">
      <alignment horizontal="left" vertical="center" wrapText="1"/>
    </xf>
    <xf numFmtId="14" fontId="11" fillId="0" borderId="2" xfId="9" applyNumberFormat="1" applyFont="1" applyBorder="1" applyAlignment="1">
      <alignment horizontal="center" vertical="center"/>
    </xf>
    <xf numFmtId="165" fontId="11" fillId="0" borderId="3" xfId="3" applyNumberFormat="1" applyFont="1" applyBorder="1" applyAlignment="1">
      <alignment horizontal="right" vertical="center"/>
    </xf>
    <xf numFmtId="0" fontId="10" fillId="0" borderId="0" xfId="9" applyFont="1" applyAlignment="1">
      <alignment horizontal="center" vertical="center"/>
    </xf>
    <xf numFmtId="2" fontId="11" fillId="0" borderId="0" xfId="9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2" xfId="0" applyFont="1" applyBorder="1" applyAlignment="1">
      <alignment vertical="center" wrapText="1"/>
    </xf>
    <xf numFmtId="4" fontId="29" fillId="0" borderId="2" xfId="0" applyNumberFormat="1" applyFont="1" applyBorder="1" applyAlignment="1">
      <alignment vertical="center"/>
    </xf>
    <xf numFmtId="0" fontId="29" fillId="4" borderId="2" xfId="0" applyFont="1" applyFill="1" applyBorder="1" applyAlignment="1">
      <alignment horizontal="center" vertical="center"/>
    </xf>
    <xf numFmtId="0" fontId="26" fillId="4" borderId="31" xfId="9" applyFont="1" applyFill="1" applyBorder="1" applyAlignment="1">
      <alignment horizontal="center" vertical="center" wrapText="1"/>
    </xf>
    <xf numFmtId="0" fontId="26" fillId="4" borderId="4" xfId="9" applyFont="1" applyFill="1" applyBorder="1" applyAlignment="1">
      <alignment horizontal="center" vertical="center" wrapText="1"/>
    </xf>
    <xf numFmtId="0" fontId="26" fillId="4" borderId="32" xfId="9" applyFont="1" applyFill="1" applyBorder="1" applyAlignment="1">
      <alignment horizontal="center" vertical="center" wrapText="1"/>
    </xf>
    <xf numFmtId="0" fontId="30" fillId="0" borderId="2" xfId="0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7" fillId="0" borderId="34" xfId="0" applyFont="1" applyBorder="1" applyAlignment="1">
      <alignment vertical="center" wrapText="1"/>
    </xf>
    <xf numFmtId="0" fontId="26" fillId="4" borderId="41" xfId="9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6" fillId="4" borderId="5" xfId="9" applyFont="1" applyFill="1" applyBorder="1" applyAlignment="1">
      <alignment horizontal="center" vertical="center" wrapText="1"/>
    </xf>
    <xf numFmtId="0" fontId="28" fillId="4" borderId="18" xfId="0" applyFont="1" applyFill="1" applyBorder="1" applyAlignment="1">
      <alignment horizontal="center" vertical="center" wrapText="1"/>
    </xf>
    <xf numFmtId="4" fontId="31" fillId="0" borderId="18" xfId="0" applyNumberFormat="1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27" fillId="0" borderId="37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30" fillId="0" borderId="43" xfId="0" applyFont="1" applyBorder="1" applyAlignment="1">
      <alignment vertical="center" wrapText="1"/>
    </xf>
    <xf numFmtId="4" fontId="31" fillId="0" borderId="33" xfId="0" applyNumberFormat="1" applyFont="1" applyBorder="1" applyAlignment="1">
      <alignment vertical="center" wrapText="1"/>
    </xf>
    <xf numFmtId="4" fontId="30" fillId="0" borderId="34" xfId="0" applyNumberFormat="1" applyFont="1" applyBorder="1" applyAlignment="1">
      <alignment vertical="center"/>
    </xf>
    <xf numFmtId="0" fontId="30" fillId="0" borderId="3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30" fillId="0" borderId="30" xfId="0" applyFont="1" applyBorder="1" applyAlignment="1">
      <alignment vertical="center" wrapText="1"/>
    </xf>
    <xf numFmtId="4" fontId="31" fillId="0" borderId="23" xfId="0" applyNumberFormat="1" applyFont="1" applyBorder="1" applyAlignment="1">
      <alignment vertical="center" wrapText="1"/>
    </xf>
    <xf numFmtId="4" fontId="30" fillId="0" borderId="19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6" xfId="0" applyFont="1" applyBorder="1" applyAlignment="1">
      <alignment vertical="center" wrapText="1"/>
    </xf>
    <xf numFmtId="4" fontId="31" fillId="0" borderId="36" xfId="0" applyNumberFormat="1" applyFont="1" applyBorder="1" applyAlignment="1">
      <alignment vertical="center" wrapText="1"/>
    </xf>
    <xf numFmtId="4" fontId="30" fillId="0" borderId="20" xfId="0" applyNumberFormat="1" applyFont="1" applyBorder="1" applyAlignment="1">
      <alignment vertical="center"/>
    </xf>
    <xf numFmtId="4" fontId="30" fillId="0" borderId="2" xfId="0" applyNumberFormat="1" applyFont="1" applyBorder="1" applyAlignment="1">
      <alignment vertical="center"/>
    </xf>
    <xf numFmtId="0" fontId="27" fillId="6" borderId="44" xfId="0" applyFont="1" applyFill="1" applyBorder="1" applyAlignment="1">
      <alignment vertical="center"/>
    </xf>
    <xf numFmtId="0" fontId="27" fillId="6" borderId="6" xfId="0" applyFont="1" applyFill="1" applyBorder="1" applyAlignment="1">
      <alignment vertical="center"/>
    </xf>
    <xf numFmtId="0" fontId="27" fillId="6" borderId="12" xfId="0" applyFont="1" applyFill="1" applyBorder="1" applyAlignment="1">
      <alignment vertical="center"/>
    </xf>
    <xf numFmtId="4" fontId="26" fillId="6" borderId="46" xfId="0" applyNumberFormat="1" applyFont="1" applyFill="1" applyBorder="1" applyAlignment="1">
      <alignment vertical="center"/>
    </xf>
    <xf numFmtId="4" fontId="27" fillId="6" borderId="12" xfId="0" applyNumberFormat="1" applyFont="1" applyFill="1" applyBorder="1" applyAlignment="1">
      <alignment vertical="center"/>
    </xf>
    <xf numFmtId="4" fontId="27" fillId="6" borderId="6" xfId="0" applyNumberFormat="1" applyFont="1" applyFill="1" applyBorder="1" applyAlignment="1">
      <alignment vertical="center"/>
    </xf>
    <xf numFmtId="0" fontId="27" fillId="6" borderId="43" xfId="0" applyFont="1" applyFill="1" applyBorder="1" applyAlignment="1">
      <alignment vertical="center"/>
    </xf>
    <xf numFmtId="0" fontId="27" fillId="6" borderId="11" xfId="0" applyFont="1" applyFill="1" applyBorder="1" applyAlignment="1">
      <alignment vertical="center"/>
    </xf>
    <xf numFmtId="0" fontId="26" fillId="7" borderId="7" xfId="0" applyFont="1" applyFill="1" applyBorder="1" applyAlignment="1">
      <alignment vertical="center"/>
    </xf>
    <xf numFmtId="0" fontId="26" fillId="7" borderId="8" xfId="0" applyFont="1" applyFill="1" applyBorder="1" applyAlignment="1">
      <alignment vertical="center"/>
    </xf>
    <xf numFmtId="0" fontId="26" fillId="7" borderId="47" xfId="0" applyFont="1" applyFill="1" applyBorder="1" applyAlignment="1">
      <alignment vertical="center"/>
    </xf>
    <xf numFmtId="4" fontId="26" fillId="7" borderId="8" xfId="0" applyNumberFormat="1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4" fontId="34" fillId="8" borderId="0" xfId="0" applyNumberFormat="1" applyFont="1" applyFill="1" applyAlignment="1">
      <alignment vertical="center"/>
    </xf>
    <xf numFmtId="0" fontId="29" fillId="0" borderId="22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 wrapText="1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4" fontId="28" fillId="0" borderId="33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4" fontId="28" fillId="4" borderId="23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4" fontId="28" fillId="0" borderId="18" xfId="0" applyNumberFormat="1" applyFont="1" applyBorder="1" applyAlignment="1">
      <alignment vertical="center"/>
    </xf>
    <xf numFmtId="0" fontId="29" fillId="4" borderId="18" xfId="0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0" borderId="37" xfId="0" applyFont="1" applyBorder="1" applyAlignment="1">
      <alignment vertical="center" wrapText="1"/>
    </xf>
    <xf numFmtId="4" fontId="29" fillId="4" borderId="35" xfId="0" applyNumberFormat="1" applyFont="1" applyFill="1" applyBorder="1" applyAlignment="1">
      <alignment vertical="center"/>
    </xf>
    <xf numFmtId="4" fontId="28" fillId="4" borderId="33" xfId="0" applyNumberFormat="1" applyFont="1" applyFill="1" applyBorder="1" applyAlignment="1">
      <alignment vertical="center"/>
    </xf>
    <xf numFmtId="4" fontId="29" fillId="0" borderId="0" xfId="0" applyNumberFormat="1" applyFont="1" applyAlignment="1">
      <alignment vertical="center"/>
    </xf>
    <xf numFmtId="4" fontId="28" fillId="8" borderId="56" xfId="0" applyNumberFormat="1" applyFont="1" applyFill="1" applyBorder="1" applyAlignment="1">
      <alignment vertical="center"/>
    </xf>
    <xf numFmtId="4" fontId="28" fillId="8" borderId="8" xfId="0" applyNumberFormat="1" applyFont="1" applyFill="1" applyBorder="1" applyAlignment="1">
      <alignment vertical="center"/>
    </xf>
    <xf numFmtId="4" fontId="28" fillId="8" borderId="57" xfId="0" applyNumberFormat="1" applyFont="1" applyFill="1" applyBorder="1" applyAlignment="1">
      <alignment vertical="center"/>
    </xf>
    <xf numFmtId="4" fontId="28" fillId="0" borderId="59" xfId="0" applyNumberFormat="1" applyFont="1" applyBorder="1" applyAlignment="1">
      <alignment vertical="center"/>
    </xf>
    <xf numFmtId="0" fontId="29" fillId="0" borderId="60" xfId="0" applyFont="1" applyBorder="1" applyAlignment="1">
      <alignment vertical="center"/>
    </xf>
    <xf numFmtId="0" fontId="30" fillId="0" borderId="1" xfId="0" applyFont="1" applyBorder="1" applyAlignment="1">
      <alignment vertical="center" wrapText="1"/>
    </xf>
    <xf numFmtId="4" fontId="28" fillId="8" borderId="61" xfId="0" applyNumberFormat="1" applyFont="1" applyFill="1" applyBorder="1" applyAlignment="1">
      <alignment vertical="center"/>
    </xf>
    <xf numFmtId="0" fontId="29" fillId="0" borderId="0" xfId="0" applyFont="1" applyAlignment="1">
      <alignment horizontal="right" vertical="center"/>
    </xf>
    <xf numFmtId="0" fontId="29" fillId="0" borderId="45" xfId="0" applyFont="1" applyBorder="1" applyAlignment="1">
      <alignment horizontal="right" vertical="center"/>
    </xf>
    <xf numFmtId="3" fontId="28" fillId="0" borderId="51" xfId="0" applyNumberFormat="1" applyFont="1" applyBorder="1" applyAlignment="1">
      <alignment horizontal="right" vertical="center"/>
    </xf>
    <xf numFmtId="0" fontId="28" fillId="0" borderId="53" xfId="0" applyFont="1" applyBorder="1" applyAlignment="1">
      <alignment horizontal="right" vertical="center"/>
    </xf>
    <xf numFmtId="3" fontId="28" fillId="0" borderId="42" xfId="0" applyNumberFormat="1" applyFont="1" applyBorder="1" applyAlignment="1">
      <alignment horizontal="right" vertical="center"/>
    </xf>
    <xf numFmtId="0" fontId="29" fillId="0" borderId="58" xfId="0" applyFont="1" applyBorder="1" applyAlignment="1">
      <alignment horizontal="right" vertical="center"/>
    </xf>
    <xf numFmtId="0" fontId="26" fillId="0" borderId="53" xfId="0" applyFont="1" applyBorder="1" applyAlignment="1">
      <alignment horizontal="right" vertical="center"/>
    </xf>
    <xf numFmtId="4" fontId="27" fillId="0" borderId="2" xfId="0" applyNumberFormat="1" applyFont="1" applyBorder="1" applyAlignment="1">
      <alignment vertical="center"/>
    </xf>
    <xf numFmtId="14" fontId="33" fillId="0" borderId="0" xfId="0" applyNumberFormat="1" applyFont="1" applyAlignment="1">
      <alignment vertical="center"/>
    </xf>
    <xf numFmtId="0" fontId="27" fillId="0" borderId="1" xfId="0" applyFont="1" applyBorder="1" applyAlignment="1">
      <alignment vertical="center" wrapText="1"/>
    </xf>
    <xf numFmtId="3" fontId="26" fillId="0" borderId="42" xfId="0" applyNumberFormat="1" applyFont="1" applyBorder="1" applyAlignment="1">
      <alignment horizontal="right" vertical="center"/>
    </xf>
    <xf numFmtId="4" fontId="26" fillId="0" borderId="33" xfId="0" applyNumberFormat="1" applyFont="1" applyBorder="1" applyAlignment="1">
      <alignment vertical="center"/>
    </xf>
    <xf numFmtId="4" fontId="27" fillId="0" borderId="34" xfId="0" applyNumberFormat="1" applyFont="1" applyBorder="1" applyAlignment="1">
      <alignment vertical="center"/>
    </xf>
    <xf numFmtId="14" fontId="27" fillId="0" borderId="26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0" borderId="58" xfId="0" applyFont="1" applyBorder="1" applyAlignment="1">
      <alignment horizontal="right" vertical="center"/>
    </xf>
    <xf numFmtId="4" fontId="28" fillId="5" borderId="31" xfId="0" applyNumberFormat="1" applyFont="1" applyFill="1" applyBorder="1" applyAlignment="1">
      <alignment vertical="center"/>
    </xf>
    <xf numFmtId="10" fontId="30" fillId="0" borderId="37" xfId="0" applyNumberFormat="1" applyFont="1" applyBorder="1" applyAlignment="1">
      <alignment vertical="center"/>
    </xf>
    <xf numFmtId="0" fontId="27" fillId="5" borderId="34" xfId="0" applyFont="1" applyFill="1" applyBorder="1" applyAlignment="1">
      <alignment vertical="center"/>
    </xf>
    <xf numFmtId="0" fontId="27" fillId="5" borderId="35" xfId="0" applyFont="1" applyFill="1" applyBorder="1" applyAlignment="1">
      <alignment vertical="center" wrapText="1"/>
    </xf>
    <xf numFmtId="0" fontId="27" fillId="5" borderId="28" xfId="0" applyFont="1" applyFill="1" applyBorder="1" applyAlignment="1">
      <alignment vertical="center"/>
    </xf>
    <xf numFmtId="4" fontId="30" fillId="0" borderId="1" xfId="0" applyNumberFormat="1" applyFont="1" applyBorder="1" applyAlignment="1">
      <alignment vertical="center"/>
    </xf>
    <xf numFmtId="0" fontId="27" fillId="5" borderId="3" xfId="0" applyFont="1" applyFill="1" applyBorder="1" applyAlignment="1">
      <alignment vertical="center"/>
    </xf>
    <xf numFmtId="0" fontId="27" fillId="5" borderId="2" xfId="0" applyFont="1" applyFill="1" applyBorder="1" applyAlignment="1">
      <alignment vertical="center"/>
    </xf>
    <xf numFmtId="0" fontId="27" fillId="5" borderId="37" xfId="0" applyFont="1" applyFill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0" fontId="27" fillId="0" borderId="43" xfId="0" applyFont="1" applyBorder="1" applyAlignment="1">
      <alignment vertical="center"/>
    </xf>
    <xf numFmtId="0" fontId="29" fillId="4" borderId="23" xfId="0" applyFont="1" applyFill="1" applyBorder="1" applyAlignment="1">
      <alignment vertical="center"/>
    </xf>
    <xf numFmtId="0" fontId="29" fillId="4" borderId="19" xfId="0" applyFont="1" applyFill="1" applyBorder="1" applyAlignment="1">
      <alignment vertical="center"/>
    </xf>
    <xf numFmtId="0" fontId="29" fillId="4" borderId="30" xfId="0" applyFont="1" applyFill="1" applyBorder="1" applyAlignment="1">
      <alignment vertical="center"/>
    </xf>
    <xf numFmtId="4" fontId="26" fillId="0" borderId="18" xfId="0" applyNumberFormat="1" applyFont="1" applyBorder="1" applyAlignment="1">
      <alignment vertical="center"/>
    </xf>
    <xf numFmtId="14" fontId="27" fillId="0" borderId="1" xfId="0" applyNumberFormat="1" applyFont="1" applyBorder="1" applyAlignment="1">
      <alignment vertical="center"/>
    </xf>
    <xf numFmtId="4" fontId="31" fillId="4" borderId="33" xfId="0" applyNumberFormat="1" applyFont="1" applyFill="1" applyBorder="1" applyAlignment="1">
      <alignment vertical="center"/>
    </xf>
    <xf numFmtId="4" fontId="31" fillId="4" borderId="23" xfId="0" applyNumberFormat="1" applyFont="1" applyFill="1" applyBorder="1" applyAlignment="1">
      <alignment vertical="center"/>
    </xf>
    <xf numFmtId="0" fontId="29" fillId="0" borderId="14" xfId="0" applyFont="1" applyBorder="1" applyAlignment="1">
      <alignment vertical="center"/>
    </xf>
    <xf numFmtId="0" fontId="29" fillId="0" borderId="61" xfId="0" applyFont="1" applyBorder="1" applyAlignment="1">
      <alignment horizontal="center" vertical="center" wrapText="1"/>
    </xf>
    <xf numFmtId="0" fontId="31" fillId="4" borderId="36" xfId="0" applyFont="1" applyFill="1" applyBorder="1" applyAlignment="1">
      <alignment vertical="center"/>
    </xf>
    <xf numFmtId="0" fontId="28" fillId="0" borderId="55" xfId="0" applyFont="1" applyBorder="1" applyAlignment="1">
      <alignment horizontal="right" vertical="center"/>
    </xf>
    <xf numFmtId="4" fontId="31" fillId="0" borderId="23" xfId="0" applyNumberFormat="1" applyFont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4" fontId="31" fillId="5" borderId="36" xfId="0" applyNumberFormat="1" applyFont="1" applyFill="1" applyBorder="1" applyAlignment="1">
      <alignment vertical="center"/>
    </xf>
    <xf numFmtId="4" fontId="30" fillId="5" borderId="20" xfId="0" applyNumberFormat="1" applyFont="1" applyFill="1" applyBorder="1" applyAlignment="1">
      <alignment vertical="center"/>
    </xf>
    <xf numFmtId="0" fontId="29" fillId="5" borderId="15" xfId="0" applyFont="1" applyFill="1" applyBorder="1" applyAlignment="1">
      <alignment vertical="center"/>
    </xf>
    <xf numFmtId="0" fontId="29" fillId="5" borderId="62" xfId="0" applyFont="1" applyFill="1" applyBorder="1" applyAlignment="1">
      <alignment vertical="center" wrapText="1"/>
    </xf>
    <xf numFmtId="4" fontId="29" fillId="5" borderId="4" xfId="0" applyNumberFormat="1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" borderId="32" xfId="0" applyFont="1" applyFill="1" applyBorder="1" applyAlignment="1">
      <alignment vertical="center" wrapText="1"/>
    </xf>
    <xf numFmtId="4" fontId="28" fillId="4" borderId="58" xfId="0" applyNumberFormat="1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9" fillId="4" borderId="58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60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/>
    </xf>
    <xf numFmtId="0" fontId="29" fillId="0" borderId="61" xfId="0" applyFont="1" applyBorder="1" applyAlignment="1">
      <alignment vertical="center" wrapText="1"/>
    </xf>
    <xf numFmtId="4" fontId="28" fillId="9" borderId="58" xfId="0" applyNumberFormat="1" applyFont="1" applyFill="1" applyBorder="1" applyAlignment="1">
      <alignment vertical="center"/>
    </xf>
    <xf numFmtId="4" fontId="28" fillId="9" borderId="13" xfId="0" applyNumberFormat="1" applyFont="1" applyFill="1" applyBorder="1" applyAlignment="1">
      <alignment vertical="center"/>
    </xf>
    <xf numFmtId="0" fontId="29" fillId="9" borderId="47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1" fillId="4" borderId="18" xfId="0" applyFont="1" applyFill="1" applyBorder="1" applyAlignment="1">
      <alignment vertical="center"/>
    </xf>
    <xf numFmtId="0" fontId="28" fillId="0" borderId="54" xfId="0" applyFont="1" applyBorder="1" applyAlignment="1">
      <alignment horizontal="right" vertical="center"/>
    </xf>
    <xf numFmtId="0" fontId="26" fillId="4" borderId="31" xfId="0" applyFont="1" applyFill="1" applyBorder="1" applyAlignment="1">
      <alignment vertical="center"/>
    </xf>
    <xf numFmtId="0" fontId="26" fillId="0" borderId="58" xfId="0" applyFont="1" applyBorder="1" applyAlignment="1">
      <alignment horizontal="right" vertical="center"/>
    </xf>
    <xf numFmtId="4" fontId="26" fillId="5" borderId="31" xfId="0" applyNumberFormat="1" applyFont="1" applyFill="1" applyBorder="1" applyAlignment="1">
      <alignment vertical="center"/>
    </xf>
    <xf numFmtId="4" fontId="27" fillId="5" borderId="4" xfId="0" applyNumberFormat="1" applyFont="1" applyFill="1" applyBorder="1" applyAlignment="1">
      <alignment vertical="center"/>
    </xf>
    <xf numFmtId="14" fontId="27" fillId="5" borderId="41" xfId="0" applyNumberFormat="1" applyFont="1" applyFill="1" applyBorder="1" applyAlignment="1">
      <alignment vertical="center"/>
    </xf>
    <xf numFmtId="0" fontId="27" fillId="5" borderId="32" xfId="0" applyFont="1" applyFill="1" applyBorder="1" applyAlignment="1">
      <alignment vertical="center" wrapText="1"/>
    </xf>
    <xf numFmtId="0" fontId="27" fillId="4" borderId="31" xfId="0" applyFont="1" applyFill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4" borderId="32" xfId="0" applyFont="1" applyFill="1" applyBorder="1" applyAlignment="1">
      <alignment vertical="center"/>
    </xf>
    <xf numFmtId="4" fontId="29" fillId="4" borderId="34" xfId="0" applyNumberFormat="1" applyFont="1" applyFill="1" applyBorder="1" applyAlignment="1">
      <alignment vertical="center"/>
    </xf>
    <xf numFmtId="4" fontId="30" fillId="4" borderId="19" xfId="0" applyNumberFormat="1" applyFont="1" applyFill="1" applyBorder="1" applyAlignment="1">
      <alignment vertical="center"/>
    </xf>
    <xf numFmtId="4" fontId="30" fillId="4" borderId="30" xfId="0" applyNumberFormat="1" applyFont="1" applyFill="1" applyBorder="1" applyAlignment="1">
      <alignment vertical="center"/>
    </xf>
    <xf numFmtId="0" fontId="30" fillId="4" borderId="2" xfId="0" applyFont="1" applyFill="1" applyBorder="1" applyAlignment="1">
      <alignment vertical="center"/>
    </xf>
    <xf numFmtId="0" fontId="30" fillId="4" borderId="37" xfId="0" applyFont="1" applyFill="1" applyBorder="1" applyAlignment="1">
      <alignment vertical="center"/>
    </xf>
    <xf numFmtId="0" fontId="30" fillId="4" borderId="20" xfId="0" applyFont="1" applyFill="1" applyBorder="1" applyAlignment="1">
      <alignment vertical="center"/>
    </xf>
    <xf numFmtId="0" fontId="30" fillId="4" borderId="62" xfId="0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 wrapText="1"/>
    </xf>
    <xf numFmtId="4" fontId="30" fillId="4" borderId="34" xfId="0" applyNumberFormat="1" applyFont="1" applyFill="1" applyBorder="1" applyAlignment="1">
      <alignment vertical="center"/>
    </xf>
    <xf numFmtId="4" fontId="30" fillId="4" borderId="35" xfId="0" applyNumberFormat="1" applyFont="1" applyFill="1" applyBorder="1" applyAlignment="1">
      <alignment vertical="center"/>
    </xf>
    <xf numFmtId="0" fontId="31" fillId="0" borderId="42" xfId="0" applyFont="1" applyBorder="1" applyAlignment="1">
      <alignment horizontal="right" vertical="center"/>
    </xf>
    <xf numFmtId="4" fontId="31" fillId="0" borderId="33" xfId="0" applyNumberFormat="1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0" fontId="30" fillId="0" borderId="58" xfId="0" applyFont="1" applyBorder="1" applyAlignment="1">
      <alignment vertical="center" wrapText="1"/>
    </xf>
    <xf numFmtId="4" fontId="31" fillId="4" borderId="31" xfId="0" applyNumberFormat="1" applyFont="1" applyFill="1" applyBorder="1" applyAlignment="1">
      <alignment vertical="center"/>
    </xf>
    <xf numFmtId="0" fontId="31" fillId="4" borderId="4" xfId="0" applyFont="1" applyFill="1" applyBorder="1" applyAlignment="1">
      <alignment vertical="center"/>
    </xf>
    <xf numFmtId="0" fontId="31" fillId="4" borderId="32" xfId="0" applyFont="1" applyFill="1" applyBorder="1" applyAlignment="1">
      <alignment vertical="center"/>
    </xf>
    <xf numFmtId="0" fontId="31" fillId="0" borderId="58" xfId="0" applyFont="1" applyBorder="1" applyAlignment="1">
      <alignment horizontal="right" vertical="center"/>
    </xf>
    <xf numFmtId="4" fontId="31" fillId="5" borderId="58" xfId="0" applyNumberFormat="1" applyFont="1" applyFill="1" applyBorder="1" applyAlignment="1">
      <alignment vertical="center"/>
    </xf>
    <xf numFmtId="4" fontId="31" fillId="5" borderId="41" xfId="0" applyNumberFormat="1" applyFont="1" applyFill="1" applyBorder="1" applyAlignment="1">
      <alignment vertical="center"/>
    </xf>
    <xf numFmtId="4" fontId="31" fillId="5" borderId="22" xfId="0" applyNumberFormat="1" applyFont="1" applyFill="1" applyBorder="1" applyAlignment="1">
      <alignment vertical="center"/>
    </xf>
    <xf numFmtId="0" fontId="30" fillId="5" borderId="32" xfId="0" applyFont="1" applyFill="1" applyBorder="1" applyAlignment="1">
      <alignment vertical="center"/>
    </xf>
    <xf numFmtId="0" fontId="30" fillId="4" borderId="31" xfId="0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14" fontId="27" fillId="0" borderId="1" xfId="0" applyNumberFormat="1" applyFont="1" applyBorder="1" applyAlignment="1">
      <alignment horizontal="right" vertical="center" wrapText="1"/>
    </xf>
    <xf numFmtId="0" fontId="38" fillId="2" borderId="0" xfId="20" applyFont="1" applyFill="1" applyAlignment="1">
      <alignment horizontal="center" vertical="center"/>
    </xf>
    <xf numFmtId="0" fontId="38" fillId="0" borderId="0" xfId="20" applyFont="1"/>
    <xf numFmtId="0" fontId="39" fillId="0" borderId="0" xfId="20" applyFont="1" applyAlignment="1">
      <alignment horizontal="center" vertical="center"/>
    </xf>
    <xf numFmtId="167" fontId="39" fillId="0" borderId="0" xfId="20" applyNumberFormat="1" applyFont="1" applyAlignment="1">
      <alignment horizontal="center" vertical="center"/>
    </xf>
    <xf numFmtId="0" fontId="38" fillId="0" borderId="0" xfId="20" applyFont="1" applyAlignment="1">
      <alignment horizontal="left"/>
    </xf>
    <xf numFmtId="167" fontId="39" fillId="2" borderId="0" xfId="20" applyNumberFormat="1" applyFont="1" applyFill="1" applyAlignment="1">
      <alignment horizontal="center" vertical="center"/>
    </xf>
    <xf numFmtId="0" fontId="39" fillId="2" borderId="0" xfId="20" applyFont="1" applyFill="1" applyAlignment="1">
      <alignment horizontal="center" vertical="center"/>
    </xf>
    <xf numFmtId="43" fontId="39" fillId="2" borderId="2" xfId="21" applyFont="1" applyFill="1" applyBorder="1" applyAlignment="1">
      <alignment horizontal="center" vertical="center" wrapText="1"/>
    </xf>
    <xf numFmtId="167" fontId="39" fillId="2" borderId="2" xfId="21" applyNumberFormat="1" applyFont="1" applyFill="1" applyBorder="1" applyAlignment="1">
      <alignment horizontal="center" vertical="center" wrapText="1"/>
    </xf>
    <xf numFmtId="0" fontId="39" fillId="2" borderId="2" xfId="20" applyFont="1" applyFill="1" applyBorder="1" applyAlignment="1">
      <alignment horizontal="center" vertical="center"/>
    </xf>
    <xf numFmtId="17" fontId="39" fillId="2" borderId="2" xfId="18" applyNumberFormat="1" applyFont="1" applyFill="1" applyBorder="1" applyAlignment="1">
      <alignment horizontal="center" vertical="center"/>
    </xf>
    <xf numFmtId="0" fontId="38" fillId="0" borderId="0" xfId="20" applyFont="1" applyAlignment="1">
      <alignment horizontal="center" vertical="center"/>
    </xf>
    <xf numFmtId="165" fontId="38" fillId="10" borderId="2" xfId="20" applyNumberFormat="1" applyFont="1" applyFill="1" applyBorder="1" applyAlignment="1">
      <alignment horizontal="left" vertical="center"/>
    </xf>
    <xf numFmtId="165" fontId="38" fillId="10" borderId="1" xfId="20" applyNumberFormat="1" applyFont="1" applyFill="1" applyBorder="1" applyAlignment="1">
      <alignment horizontal="center" vertical="center"/>
    </xf>
    <xf numFmtId="173" fontId="38" fillId="10" borderId="2" xfId="20" applyNumberFormat="1" applyFont="1" applyFill="1" applyBorder="1" applyAlignment="1">
      <alignment horizontal="center" vertical="center"/>
    </xf>
    <xf numFmtId="165" fontId="38" fillId="10" borderId="2" xfId="20" applyNumberFormat="1" applyFont="1" applyFill="1" applyBorder="1" applyAlignment="1">
      <alignment horizontal="center" vertical="center"/>
    </xf>
    <xf numFmtId="0" fontId="38" fillId="10" borderId="0" xfId="20" applyFont="1" applyFill="1" applyAlignment="1">
      <alignment horizontal="center" vertical="center"/>
    </xf>
    <xf numFmtId="0" fontId="39" fillId="0" borderId="0" xfId="20" applyFont="1" applyAlignment="1">
      <alignment vertical="center"/>
    </xf>
    <xf numFmtId="0" fontId="39" fillId="0" borderId="0" xfId="20" applyFont="1" applyAlignment="1">
      <alignment horizontal="left" vertical="center"/>
    </xf>
    <xf numFmtId="43" fontId="39" fillId="0" borderId="0" xfId="21" applyFont="1" applyFill="1" applyBorder="1" applyAlignment="1">
      <alignment horizontal="center" vertical="center"/>
    </xf>
    <xf numFmtId="167" fontId="39" fillId="0" borderId="0" xfId="21" applyNumberFormat="1" applyFont="1" applyFill="1" applyBorder="1" applyAlignment="1">
      <alignment horizontal="center" vertical="center"/>
    </xf>
    <xf numFmtId="167" fontId="39" fillId="0" borderId="0" xfId="21" applyNumberFormat="1" applyFont="1" applyFill="1" applyBorder="1" applyAlignment="1"/>
    <xf numFmtId="0" fontId="38" fillId="0" borderId="0" xfId="20" applyFont="1" applyAlignment="1">
      <alignment horizontal="left" vertical="center"/>
    </xf>
    <xf numFmtId="165" fontId="39" fillId="0" borderId="0" xfId="20" applyNumberFormat="1" applyFont="1" applyAlignment="1">
      <alignment vertical="center"/>
    </xf>
    <xf numFmtId="0" fontId="38" fillId="0" borderId="0" xfId="20" applyFont="1" applyAlignment="1">
      <alignment horizontal="center"/>
    </xf>
    <xf numFmtId="43" fontId="38" fillId="0" borderId="0" xfId="21" applyFont="1" applyFill="1" applyBorder="1" applyAlignment="1">
      <alignment horizontal="center"/>
    </xf>
    <xf numFmtId="167" fontId="38" fillId="0" borderId="0" xfId="21" applyNumberFormat="1" applyFont="1" applyFill="1" applyBorder="1" applyAlignment="1">
      <alignment horizontal="center"/>
    </xf>
    <xf numFmtId="167" fontId="38" fillId="0" borderId="0" xfId="20" applyNumberFormat="1" applyFont="1"/>
    <xf numFmtId="4" fontId="38" fillId="0" borderId="0" xfId="20" applyNumberFormat="1" applyFont="1" applyAlignment="1">
      <alignment horizontal="center" vertical="center"/>
    </xf>
    <xf numFmtId="164" fontId="38" fillId="0" borderId="0" xfId="20" applyNumberFormat="1" applyFont="1" applyAlignment="1">
      <alignment horizontal="center"/>
    </xf>
    <xf numFmtId="4" fontId="38" fillId="0" borderId="0" xfId="20" applyNumberFormat="1" applyFont="1" applyAlignment="1">
      <alignment horizontal="center"/>
    </xf>
    <xf numFmtId="43" fontId="38" fillId="0" borderId="0" xfId="21" applyFont="1" applyFill="1" applyAlignment="1">
      <alignment horizontal="center"/>
    </xf>
    <xf numFmtId="167" fontId="38" fillId="0" borderId="0" xfId="21" applyNumberFormat="1" applyFont="1" applyFill="1" applyAlignment="1">
      <alignment horizontal="center"/>
    </xf>
    <xf numFmtId="43" fontId="38" fillId="0" borderId="0" xfId="20" applyNumberFormat="1" applyFont="1" applyAlignment="1">
      <alignment horizontal="center" vertical="center"/>
    </xf>
    <xf numFmtId="43" fontId="38" fillId="2" borderId="0" xfId="21" applyFont="1" applyFill="1" applyAlignment="1">
      <alignment horizontal="center"/>
    </xf>
    <xf numFmtId="167" fontId="38" fillId="2" borderId="0" xfId="21" applyNumberFormat="1" applyFont="1" applyFill="1" applyAlignment="1">
      <alignment horizontal="center"/>
    </xf>
    <xf numFmtId="167" fontId="38" fillId="2" borderId="0" xfId="20" applyNumberFormat="1" applyFont="1" applyFill="1"/>
    <xf numFmtId="165" fontId="35" fillId="10" borderId="1" xfId="20" applyNumberFormat="1" applyFont="1" applyFill="1" applyBorder="1" applyAlignment="1">
      <alignment horizontal="center" vertical="center"/>
    </xf>
    <xf numFmtId="0" fontId="38" fillId="10" borderId="2" xfId="20" applyFont="1" applyFill="1" applyBorder="1" applyAlignment="1">
      <alignment horizontal="center" vertical="center"/>
    </xf>
    <xf numFmtId="167" fontId="38" fillId="10" borderId="2" xfId="20" applyNumberFormat="1" applyFont="1" applyFill="1" applyBorder="1" applyAlignment="1">
      <alignment horizontal="center" vertical="center"/>
    </xf>
    <xf numFmtId="165" fontId="38" fillId="0" borderId="2" xfId="20" applyNumberFormat="1" applyFont="1" applyBorder="1" applyAlignment="1">
      <alignment horizontal="left" vertical="center"/>
    </xf>
    <xf numFmtId="165" fontId="38" fillId="0" borderId="1" xfId="20" applyNumberFormat="1" applyFont="1" applyBorder="1" applyAlignment="1">
      <alignment horizontal="center" vertical="center"/>
    </xf>
    <xf numFmtId="173" fontId="38" fillId="0" borderId="2" xfId="20" applyNumberFormat="1" applyFont="1" applyBorder="1" applyAlignment="1">
      <alignment horizontal="center" vertical="center"/>
    </xf>
    <xf numFmtId="165" fontId="38" fillId="0" borderId="2" xfId="20" applyNumberFormat="1" applyFont="1" applyBorder="1" applyAlignment="1">
      <alignment horizontal="center" vertical="center"/>
    </xf>
    <xf numFmtId="172" fontId="38" fillId="0" borderId="1" xfId="20" applyNumberFormat="1" applyFont="1" applyBorder="1" applyAlignment="1">
      <alignment horizontal="center" vertical="center"/>
    </xf>
    <xf numFmtId="173" fontId="38" fillId="0" borderId="1" xfId="20" applyNumberFormat="1" applyFont="1" applyBorder="1" applyAlignment="1">
      <alignment horizontal="center" vertical="center"/>
    </xf>
    <xf numFmtId="165" fontId="38" fillId="0" borderId="1" xfId="20" applyNumberFormat="1" applyFont="1" applyBorder="1" applyAlignment="1">
      <alignment horizontal="left" vertical="center"/>
    </xf>
    <xf numFmtId="43" fontId="39" fillId="0" borderId="0" xfId="21" applyFont="1" applyFill="1" applyBorder="1" applyAlignment="1">
      <alignment vertical="center"/>
    </xf>
    <xf numFmtId="167" fontId="41" fillId="0" borderId="0" xfId="21" applyNumberFormat="1" applyFont="1" applyFill="1" applyBorder="1" applyAlignment="1">
      <alignment vertical="center"/>
    </xf>
    <xf numFmtId="43" fontId="39" fillId="0" borderId="0" xfId="21" applyFont="1" applyFill="1" applyBorder="1" applyAlignment="1">
      <alignment horizontal="left" vertical="center"/>
    </xf>
    <xf numFmtId="167" fontId="39" fillId="0" borderId="0" xfId="21" applyNumberFormat="1" applyFont="1" applyFill="1" applyBorder="1" applyAlignment="1">
      <alignment vertical="center"/>
    </xf>
    <xf numFmtId="165" fontId="39" fillId="0" borderId="0" xfId="21" applyNumberFormat="1" applyFont="1" applyFill="1" applyBorder="1" applyAlignment="1">
      <alignment vertical="center"/>
    </xf>
    <xf numFmtId="165" fontId="38" fillId="10" borderId="1" xfId="20" applyNumberFormat="1" applyFont="1" applyFill="1" applyBorder="1" applyAlignment="1">
      <alignment horizontal="left" vertical="center"/>
    </xf>
    <xf numFmtId="165" fontId="38" fillId="0" borderId="12" xfId="20" applyNumberFormat="1" applyFont="1" applyBorder="1" applyAlignment="1">
      <alignment horizontal="center" vertical="center"/>
    </xf>
    <xf numFmtId="165" fontId="38" fillId="0" borderId="56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2" fontId="39" fillId="0" borderId="13" xfId="20" applyNumberFormat="1" applyFont="1" applyBorder="1" applyAlignment="1">
      <alignment horizontal="center" vertical="center"/>
    </xf>
    <xf numFmtId="165" fontId="39" fillId="0" borderId="8" xfId="20" applyNumberFormat="1" applyFont="1" applyBorder="1" applyAlignment="1">
      <alignment horizontal="center" vertical="center"/>
    </xf>
    <xf numFmtId="173" fontId="39" fillId="0" borderId="8" xfId="20" applyNumberFormat="1" applyFont="1" applyBorder="1" applyAlignment="1">
      <alignment horizontal="center" vertical="center"/>
    </xf>
    <xf numFmtId="165" fontId="39" fillId="0" borderId="47" xfId="20" applyNumberFormat="1" applyFont="1" applyBorder="1" applyAlignment="1">
      <alignment horizontal="center" vertical="center"/>
    </xf>
    <xf numFmtId="165" fontId="39" fillId="0" borderId="13" xfId="20" applyNumberFormat="1" applyFont="1" applyBorder="1" applyAlignment="1">
      <alignment horizontal="center" vertical="center"/>
    </xf>
    <xf numFmtId="173" fontId="39" fillId="0" borderId="13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65" fontId="44" fillId="0" borderId="12" xfId="20" applyNumberFormat="1" applyFont="1" applyBorder="1" applyAlignment="1">
      <alignment horizontal="center" vertical="center"/>
    </xf>
    <xf numFmtId="165" fontId="44" fillId="10" borderId="1" xfId="20" applyNumberFormat="1" applyFont="1" applyFill="1" applyBorder="1" applyAlignment="1">
      <alignment horizontal="center" vertical="center"/>
    </xf>
    <xf numFmtId="172" fontId="44" fillId="10" borderId="2" xfId="20" applyNumberFormat="1" applyFont="1" applyFill="1" applyBorder="1" applyAlignment="1">
      <alignment horizontal="center" vertical="center"/>
    </xf>
    <xf numFmtId="173" fontId="44" fillId="10" borderId="2" xfId="20" applyNumberFormat="1" applyFont="1" applyFill="1" applyBorder="1" applyAlignment="1">
      <alignment horizontal="center" vertical="center"/>
    </xf>
    <xf numFmtId="165" fontId="38" fillId="0" borderId="0" xfId="20" applyNumberFormat="1" applyFont="1" applyAlignment="1">
      <alignment horizontal="center" vertical="center"/>
    </xf>
    <xf numFmtId="165" fontId="38" fillId="0" borderId="15" xfId="20" applyNumberFormat="1" applyFont="1" applyBorder="1" applyAlignment="1">
      <alignment horizontal="center" vertical="center"/>
    </xf>
    <xf numFmtId="172" fontId="39" fillId="0" borderId="15" xfId="20" applyNumberFormat="1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73" fontId="39" fillId="0" borderId="20" xfId="20" applyNumberFormat="1" applyFont="1" applyBorder="1" applyAlignment="1">
      <alignment horizontal="center" vertical="center"/>
    </xf>
    <xf numFmtId="0" fontId="39" fillId="0" borderId="7" xfId="20" applyFont="1" applyBorder="1" applyAlignment="1">
      <alignment vertical="center"/>
    </xf>
    <xf numFmtId="0" fontId="39" fillId="0" borderId="8" xfId="20" applyFont="1" applyBorder="1" applyAlignment="1">
      <alignment vertical="center"/>
    </xf>
    <xf numFmtId="43" fontId="39" fillId="0" borderId="8" xfId="21" applyFont="1" applyFill="1" applyBorder="1" applyAlignment="1">
      <alignment vertical="center"/>
    </xf>
    <xf numFmtId="167" fontId="41" fillId="0" borderId="8" xfId="21" applyNumberFormat="1" applyFont="1" applyFill="1" applyBorder="1" applyAlignment="1">
      <alignment vertical="center"/>
    </xf>
    <xf numFmtId="43" fontId="39" fillId="0" borderId="8" xfId="21" applyFont="1" applyFill="1" applyBorder="1" applyAlignment="1">
      <alignment horizontal="left" vertical="center"/>
    </xf>
    <xf numFmtId="167" fontId="39" fillId="0" borderId="13" xfId="21" applyNumberFormat="1" applyFont="1" applyFill="1" applyBorder="1" applyAlignment="1">
      <alignment vertical="center"/>
    </xf>
    <xf numFmtId="165" fontId="39" fillId="10" borderId="64" xfId="20" applyNumberFormat="1" applyFont="1" applyFill="1" applyBorder="1" applyAlignment="1">
      <alignment horizontal="center" vertical="center"/>
    </xf>
    <xf numFmtId="165" fontId="39" fillId="10" borderId="40" xfId="20" applyNumberFormat="1" applyFont="1" applyFill="1" applyBorder="1" applyAlignment="1">
      <alignment horizontal="center" vertical="center"/>
    </xf>
    <xf numFmtId="172" fontId="39" fillId="10" borderId="40" xfId="20" applyNumberFormat="1" applyFont="1" applyFill="1" applyBorder="1" applyAlignment="1">
      <alignment horizontal="center" vertical="center"/>
    </xf>
    <xf numFmtId="173" fontId="39" fillId="10" borderId="40" xfId="20" applyNumberFormat="1" applyFont="1" applyFill="1" applyBorder="1" applyAlignment="1">
      <alignment horizontal="center" vertical="center"/>
    </xf>
    <xf numFmtId="173" fontId="39" fillId="10" borderId="25" xfId="20" applyNumberFormat="1" applyFont="1" applyFill="1" applyBorder="1" applyAlignment="1">
      <alignment horizontal="center" vertical="center"/>
    </xf>
    <xf numFmtId="165" fontId="39" fillId="10" borderId="29" xfId="20" applyNumberFormat="1" applyFont="1" applyFill="1" applyBorder="1" applyAlignment="1">
      <alignment horizontal="center" vertical="center"/>
    </xf>
    <xf numFmtId="165" fontId="38" fillId="10" borderId="34" xfId="20" applyNumberFormat="1" applyFont="1" applyFill="1" applyBorder="1" applyAlignment="1">
      <alignment horizontal="left" vertical="center"/>
    </xf>
    <xf numFmtId="165" fontId="38" fillId="10" borderId="26" xfId="20" applyNumberFormat="1" applyFont="1" applyFill="1" applyBorder="1" applyAlignment="1">
      <alignment horizontal="center" vertical="center"/>
    </xf>
    <xf numFmtId="172" fontId="38" fillId="10" borderId="26" xfId="20" applyNumberFormat="1" applyFont="1" applyFill="1" applyBorder="1" applyAlignment="1">
      <alignment horizontal="center" vertical="center"/>
    </xf>
    <xf numFmtId="173" fontId="38" fillId="10" borderId="26" xfId="20" applyNumberFormat="1" applyFont="1" applyFill="1" applyBorder="1" applyAlignment="1">
      <alignment horizontal="center" vertical="center"/>
    </xf>
    <xf numFmtId="165" fontId="38" fillId="10" borderId="35" xfId="20" applyNumberFormat="1" applyFont="1" applyFill="1" applyBorder="1" applyAlignment="1">
      <alignment horizontal="center" vertical="center"/>
    </xf>
    <xf numFmtId="0" fontId="38" fillId="10" borderId="65" xfId="20" applyFont="1" applyFill="1" applyBorder="1" applyAlignment="1">
      <alignment horizontal="center" vertical="center"/>
    </xf>
    <xf numFmtId="0" fontId="38" fillId="10" borderId="4" xfId="20" applyFont="1" applyFill="1" applyBorder="1" applyAlignment="1">
      <alignment horizontal="center" vertical="center"/>
    </xf>
    <xf numFmtId="165" fontId="38" fillId="10" borderId="22" xfId="20" applyNumberFormat="1" applyFont="1" applyFill="1" applyBorder="1" applyAlignment="1">
      <alignment horizontal="left" vertical="center"/>
    </xf>
    <xf numFmtId="165" fontId="38" fillId="10" borderId="38" xfId="20" applyNumberFormat="1" applyFont="1" applyFill="1" applyBorder="1" applyAlignment="1">
      <alignment horizontal="center" vertical="center"/>
    </xf>
    <xf numFmtId="172" fontId="38" fillId="10" borderId="38" xfId="20" applyNumberFormat="1" applyFont="1" applyFill="1" applyBorder="1" applyAlignment="1">
      <alignment horizontal="center" vertical="center"/>
    </xf>
    <xf numFmtId="173" fontId="38" fillId="10" borderId="38" xfId="20" applyNumberFormat="1" applyFont="1" applyFill="1" applyBorder="1" applyAlignment="1">
      <alignment horizontal="center" vertical="center"/>
    </xf>
    <xf numFmtId="165" fontId="38" fillId="10" borderId="39" xfId="20" applyNumberFormat="1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72" fontId="39" fillId="4" borderId="15" xfId="20" applyNumberFormat="1" applyFont="1" applyFill="1" applyBorder="1" applyAlignment="1">
      <alignment horizontal="center" vertical="center"/>
    </xf>
    <xf numFmtId="173" fontId="39" fillId="4" borderId="15" xfId="20" applyNumberFormat="1" applyFont="1" applyFill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left" vertical="center"/>
    </xf>
    <xf numFmtId="165" fontId="39" fillId="0" borderId="41" xfId="20" applyNumberFormat="1" applyFont="1" applyBorder="1" applyAlignment="1">
      <alignment horizontal="center" vertical="center"/>
    </xf>
    <xf numFmtId="172" fontId="39" fillId="0" borderId="41" xfId="20" applyNumberFormat="1" applyFont="1" applyBorder="1" applyAlignment="1">
      <alignment horizontal="center" vertical="center"/>
    </xf>
    <xf numFmtId="165" fontId="38" fillId="0" borderId="26" xfId="20" applyNumberFormat="1" applyFont="1" applyBorder="1" applyAlignment="1">
      <alignment horizontal="center" vertical="center"/>
    </xf>
    <xf numFmtId="0" fontId="44" fillId="10" borderId="2" xfId="20" applyFont="1" applyFill="1" applyBorder="1" applyAlignment="1">
      <alignment horizontal="center" vertical="center"/>
    </xf>
    <xf numFmtId="167" fontId="44" fillId="10" borderId="2" xfId="20" applyNumberFormat="1" applyFont="1" applyFill="1" applyBorder="1" applyAlignment="1">
      <alignment horizontal="center" vertical="center"/>
    </xf>
    <xf numFmtId="165" fontId="44" fillId="10" borderId="2" xfId="20" applyNumberFormat="1" applyFont="1" applyFill="1" applyBorder="1" applyAlignment="1">
      <alignment horizontal="center" vertical="center"/>
    </xf>
    <xf numFmtId="172" fontId="45" fillId="0" borderId="1" xfId="20" applyNumberFormat="1" applyFont="1" applyBorder="1" applyAlignment="1">
      <alignment horizontal="center" vertical="center"/>
    </xf>
    <xf numFmtId="165" fontId="45" fillId="0" borderId="1" xfId="20" applyNumberFormat="1" applyFont="1" applyBorder="1" applyAlignment="1">
      <alignment horizontal="center" vertical="center"/>
    </xf>
    <xf numFmtId="172" fontId="45" fillId="0" borderId="12" xfId="20" applyNumberFormat="1" applyFont="1" applyBorder="1" applyAlignment="1">
      <alignment horizontal="center" vertical="center"/>
    </xf>
    <xf numFmtId="173" fontId="45" fillId="0" borderId="41" xfId="20" applyNumberFormat="1" applyFont="1" applyBorder="1" applyAlignment="1">
      <alignment horizontal="center" vertical="center"/>
    </xf>
    <xf numFmtId="165" fontId="45" fillId="0" borderId="41" xfId="20" applyNumberFormat="1" applyFont="1" applyBorder="1" applyAlignment="1">
      <alignment horizontal="center" vertical="center"/>
    </xf>
    <xf numFmtId="165" fontId="45" fillId="0" borderId="32" xfId="20" applyNumberFormat="1" applyFont="1" applyBorder="1" applyAlignment="1">
      <alignment horizontal="center" vertical="center"/>
    </xf>
    <xf numFmtId="164" fontId="38" fillId="10" borderId="2" xfId="20" applyNumberFormat="1" applyFont="1" applyFill="1" applyBorder="1" applyAlignment="1">
      <alignment horizontal="center" vertical="center"/>
    </xf>
    <xf numFmtId="173" fontId="39" fillId="10" borderId="19" xfId="20" applyNumberFormat="1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165" fontId="38" fillId="0" borderId="58" xfId="20" applyNumberFormat="1" applyFont="1" applyBorder="1" applyAlignment="1">
      <alignment horizontal="center" vertical="center"/>
    </xf>
    <xf numFmtId="165" fontId="38" fillId="0" borderId="41" xfId="20" applyNumberFormat="1" applyFont="1" applyBorder="1" applyAlignment="1">
      <alignment horizontal="center" vertical="center"/>
    </xf>
    <xf numFmtId="165" fontId="39" fillId="0" borderId="8" xfId="21" applyNumberFormat="1" applyFont="1" applyFill="1" applyBorder="1" applyAlignment="1">
      <alignment vertical="center"/>
    </xf>
    <xf numFmtId="167" fontId="39" fillId="0" borderId="8" xfId="21" applyNumberFormat="1" applyFont="1" applyFill="1" applyBorder="1" applyAlignment="1">
      <alignment vertical="center"/>
    </xf>
    <xf numFmtId="167" fontId="39" fillId="0" borderId="47" xfId="21" applyNumberFormat="1" applyFont="1" applyFill="1" applyBorder="1" applyAlignment="1">
      <alignment vertical="center"/>
    </xf>
    <xf numFmtId="165" fontId="38" fillId="0" borderId="34" xfId="20" applyNumberFormat="1" applyFont="1" applyBorder="1" applyAlignment="1">
      <alignment horizontal="left" vertical="center"/>
    </xf>
    <xf numFmtId="165" fontId="38" fillId="0" borderId="35" xfId="20" applyNumberFormat="1" applyFont="1" applyBorder="1" applyAlignment="1">
      <alignment horizontal="center" vertical="center"/>
    </xf>
    <xf numFmtId="165" fontId="38" fillId="0" borderId="37" xfId="20" applyNumberFormat="1" applyFont="1" applyBorder="1" applyAlignment="1">
      <alignment horizontal="center" vertical="center"/>
    </xf>
    <xf numFmtId="165" fontId="38" fillId="0" borderId="38" xfId="20" applyNumberFormat="1" applyFont="1" applyBorder="1" applyAlignment="1">
      <alignment horizontal="left" vertical="center"/>
    </xf>
    <xf numFmtId="0" fontId="38" fillId="4" borderId="0" xfId="20" applyFont="1" applyFill="1" applyAlignment="1">
      <alignment horizontal="center" vertical="center"/>
    </xf>
    <xf numFmtId="0" fontId="40" fillId="4" borderId="15" xfId="20" applyFont="1" applyFill="1" applyBorder="1" applyAlignment="1">
      <alignment horizontal="left" vertical="center" wrapText="1"/>
    </xf>
    <xf numFmtId="0" fontId="38" fillId="4" borderId="20" xfId="20" applyFont="1" applyFill="1" applyBorder="1" applyAlignment="1">
      <alignment horizontal="center" vertical="center"/>
    </xf>
    <xf numFmtId="165" fontId="40" fillId="4" borderId="15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left" vertical="center"/>
    </xf>
    <xf numFmtId="165" fontId="38" fillId="4" borderId="15" xfId="20" applyNumberFormat="1" applyFont="1" applyFill="1" applyBorder="1" applyAlignment="1">
      <alignment horizontal="center" vertical="center"/>
    </xf>
    <xf numFmtId="165" fontId="38" fillId="0" borderId="26" xfId="20" applyNumberFormat="1" applyFont="1" applyBorder="1" applyAlignment="1">
      <alignment horizontal="left" vertical="center"/>
    </xf>
    <xf numFmtId="165" fontId="43" fillId="0" borderId="26" xfId="20" applyNumberFormat="1" applyFont="1" applyBorder="1" applyAlignment="1">
      <alignment horizontal="center" vertical="center"/>
    </xf>
    <xf numFmtId="165" fontId="44" fillId="0" borderId="26" xfId="20" applyNumberFormat="1" applyFont="1" applyBorder="1" applyAlignment="1">
      <alignment horizontal="center" vertical="center"/>
    </xf>
    <xf numFmtId="165" fontId="44" fillId="0" borderId="34" xfId="20" applyNumberFormat="1" applyFont="1" applyBorder="1" applyAlignment="1">
      <alignment horizontal="center" vertical="center"/>
    </xf>
    <xf numFmtId="165" fontId="44" fillId="0" borderId="35" xfId="20" applyNumberFormat="1" applyFont="1" applyBorder="1" applyAlignment="1">
      <alignment horizontal="center" vertical="center"/>
    </xf>
    <xf numFmtId="165" fontId="45" fillId="0" borderId="37" xfId="20" applyNumberFormat="1" applyFont="1" applyBorder="1" applyAlignment="1">
      <alignment horizontal="center" vertical="center"/>
    </xf>
    <xf numFmtId="165" fontId="45" fillId="0" borderId="43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38" fillId="10" borderId="38" xfId="20" applyNumberFormat="1" applyFont="1" applyFill="1" applyBorder="1" applyAlignment="1">
      <alignment horizontal="left" vertical="center"/>
    </xf>
    <xf numFmtId="165" fontId="38" fillId="10" borderId="26" xfId="20" applyNumberFormat="1" applyFont="1" applyFill="1" applyBorder="1" applyAlignment="1">
      <alignment horizontal="left" vertical="center"/>
    </xf>
    <xf numFmtId="165" fontId="38" fillId="0" borderId="66" xfId="20" applyNumberFormat="1" applyFont="1" applyBorder="1" applyAlignment="1">
      <alignment horizontal="center" vertical="center"/>
    </xf>
    <xf numFmtId="165" fontId="38" fillId="0" borderId="40" xfId="20" applyNumberFormat="1" applyFont="1" applyBorder="1" applyAlignment="1">
      <alignment horizontal="center" vertical="center"/>
    </xf>
    <xf numFmtId="172" fontId="39" fillId="0" borderId="40" xfId="20" applyNumberFormat="1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73" fontId="39" fillId="0" borderId="25" xfId="20" applyNumberFormat="1" applyFont="1" applyBorder="1" applyAlignment="1">
      <alignment horizontal="center" vertical="center"/>
    </xf>
    <xf numFmtId="165" fontId="39" fillId="0" borderId="29" xfId="20" applyNumberFormat="1" applyFont="1" applyBorder="1" applyAlignment="1">
      <alignment horizontal="center" vertical="center"/>
    </xf>
    <xf numFmtId="165" fontId="39" fillId="0" borderId="62" xfId="20" applyNumberFormat="1" applyFont="1" applyBorder="1" applyAlignment="1">
      <alignment horizontal="center" vertical="center"/>
    </xf>
    <xf numFmtId="165" fontId="38" fillId="0" borderId="59" xfId="20" applyNumberFormat="1" applyFont="1" applyBorder="1" applyAlignment="1">
      <alignment horizontal="center" vertical="center"/>
    </xf>
    <xf numFmtId="173" fontId="39" fillId="0" borderId="4" xfId="20" applyNumberFormat="1" applyFont="1" applyBorder="1" applyAlignment="1">
      <alignment horizontal="center" vertical="center"/>
    </xf>
    <xf numFmtId="165" fontId="39" fillId="0" borderId="32" xfId="20" applyNumberFormat="1" applyFont="1" applyBorder="1" applyAlignment="1">
      <alignment horizontal="center" vertical="center"/>
    </xf>
    <xf numFmtId="0" fontId="38" fillId="0" borderId="44" xfId="20" applyFont="1" applyBorder="1" applyAlignment="1">
      <alignment horizontal="center" vertical="center"/>
    </xf>
    <xf numFmtId="0" fontId="38" fillId="0" borderId="6" xfId="20" applyFont="1" applyBorder="1" applyAlignment="1">
      <alignment horizontal="center" vertical="center"/>
    </xf>
    <xf numFmtId="0" fontId="38" fillId="2" borderId="6" xfId="20" applyFont="1" applyFill="1" applyBorder="1" applyAlignment="1">
      <alignment horizontal="center" vertical="center"/>
    </xf>
    <xf numFmtId="172" fontId="38" fillId="2" borderId="12" xfId="20" applyNumberFormat="1" applyFont="1" applyFill="1" applyBorder="1" applyAlignment="1">
      <alignment horizontal="center" vertical="center"/>
    </xf>
    <xf numFmtId="172" fontId="38" fillId="2" borderId="6" xfId="20" applyNumberFormat="1" applyFont="1" applyFill="1" applyBorder="1" applyAlignment="1">
      <alignment horizontal="center" vertical="center"/>
    </xf>
    <xf numFmtId="165" fontId="35" fillId="10" borderId="26" xfId="20" applyNumberFormat="1" applyFont="1" applyFill="1" applyBorder="1" applyAlignment="1">
      <alignment horizontal="center" vertical="center"/>
    </xf>
    <xf numFmtId="0" fontId="44" fillId="10" borderId="34" xfId="20" applyFont="1" applyFill="1" applyBorder="1" applyAlignment="1">
      <alignment horizontal="center" vertical="center"/>
    </xf>
    <xf numFmtId="173" fontId="44" fillId="10" borderId="34" xfId="20" applyNumberFormat="1" applyFont="1" applyFill="1" applyBorder="1" applyAlignment="1">
      <alignment horizontal="center" vertical="center"/>
    </xf>
    <xf numFmtId="167" fontId="44" fillId="10" borderId="34" xfId="20" applyNumberFormat="1" applyFont="1" applyFill="1" applyBorder="1" applyAlignment="1">
      <alignment horizontal="center" vertical="center"/>
    </xf>
    <xf numFmtId="165" fontId="38" fillId="10" borderId="34" xfId="20" applyNumberFormat="1" applyFont="1" applyFill="1" applyBorder="1" applyAlignment="1">
      <alignment horizontal="center" vertical="center"/>
    </xf>
    <xf numFmtId="165" fontId="38" fillId="10" borderId="37" xfId="20" applyNumberFormat="1" applyFont="1" applyFill="1" applyBorder="1" applyAlignment="1">
      <alignment horizontal="center" vertical="center"/>
    </xf>
    <xf numFmtId="0" fontId="38" fillId="10" borderId="22" xfId="20" applyFont="1" applyFill="1" applyBorder="1" applyAlignment="1">
      <alignment horizontal="center" vertical="center"/>
    </xf>
    <xf numFmtId="165" fontId="44" fillId="10" borderId="38" xfId="20" applyNumberFormat="1" applyFont="1" applyFill="1" applyBorder="1" applyAlignment="1">
      <alignment horizontal="center" vertical="center"/>
    </xf>
    <xf numFmtId="173" fontId="44" fillId="10" borderId="22" xfId="20" applyNumberFormat="1" applyFont="1" applyFill="1" applyBorder="1" applyAlignment="1">
      <alignment horizontal="center" vertical="center"/>
    </xf>
    <xf numFmtId="165" fontId="44" fillId="10" borderId="22" xfId="20" applyNumberFormat="1" applyFont="1" applyFill="1" applyBorder="1" applyAlignment="1">
      <alignment horizontal="center" vertical="center"/>
    </xf>
    <xf numFmtId="165" fontId="38" fillId="10" borderId="22" xfId="20" applyNumberFormat="1" applyFont="1" applyFill="1" applyBorder="1" applyAlignment="1">
      <alignment horizontal="center" vertical="center"/>
    </xf>
    <xf numFmtId="171" fontId="36" fillId="0" borderId="19" xfId="18" applyNumberFormat="1" applyFont="1" applyBorder="1" applyAlignment="1">
      <alignment horizontal="center" vertical="center" wrapText="1"/>
    </xf>
    <xf numFmtId="165" fontId="39" fillId="0" borderId="19" xfId="20" applyNumberFormat="1" applyFont="1" applyBorder="1" applyAlignment="1">
      <alignment horizontal="left" vertical="center"/>
    </xf>
    <xf numFmtId="165" fontId="39" fillId="0" borderId="14" xfId="20" applyNumberFormat="1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0" borderId="14" xfId="20" applyNumberFormat="1" applyFont="1" applyBorder="1" applyAlignment="1">
      <alignment horizontal="center" vertical="center"/>
    </xf>
    <xf numFmtId="174" fontId="47" fillId="0" borderId="30" xfId="23" applyNumberFormat="1" applyFont="1" applyBorder="1" applyAlignment="1">
      <alignment horizontal="right" vertical="center" wrapText="1"/>
    </xf>
    <xf numFmtId="174" fontId="47" fillId="0" borderId="14" xfId="23" applyNumberFormat="1" applyFont="1" applyBorder="1" applyAlignment="1">
      <alignment horizontal="right" vertical="center" wrapText="1"/>
    </xf>
    <xf numFmtId="165" fontId="45" fillId="0" borderId="14" xfId="20" applyNumberFormat="1" applyFont="1" applyBorder="1" applyAlignment="1">
      <alignment horizontal="center" vertical="center"/>
    </xf>
    <xf numFmtId="165" fontId="45" fillId="0" borderId="30" xfId="20" applyNumberFormat="1" applyFont="1" applyBorder="1" applyAlignment="1">
      <alignment horizontal="center" vertical="center"/>
    </xf>
    <xf numFmtId="0" fontId="39" fillId="10" borderId="24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40" xfId="20" applyNumberFormat="1" applyFont="1" applyFill="1" applyBorder="1" applyAlignment="1">
      <alignment horizontal="left" vertical="center"/>
    </xf>
    <xf numFmtId="0" fontId="39" fillId="4" borderId="31" xfId="20" applyFont="1" applyFill="1" applyBorder="1" applyAlignment="1">
      <alignment horizontal="center" vertical="center"/>
    </xf>
    <xf numFmtId="0" fontId="39" fillId="4" borderId="4" xfId="20" applyFont="1" applyFill="1" applyBorder="1" applyAlignment="1">
      <alignment horizontal="left" vertical="center" wrapText="1"/>
    </xf>
    <xf numFmtId="0" fontId="39" fillId="4" borderId="4" xfId="20" applyFont="1" applyFill="1" applyBorder="1" applyAlignment="1">
      <alignment horizontal="center" vertical="center"/>
    </xf>
    <xf numFmtId="165" fontId="39" fillId="4" borderId="4" xfId="20" applyNumberFormat="1" applyFont="1" applyFill="1" applyBorder="1" applyAlignment="1">
      <alignment horizontal="center" vertical="center"/>
    </xf>
    <xf numFmtId="165" fontId="39" fillId="4" borderId="4" xfId="20" applyNumberFormat="1" applyFont="1" applyFill="1" applyBorder="1" applyAlignment="1">
      <alignment horizontal="left" vertical="center"/>
    </xf>
    <xf numFmtId="165" fontId="39" fillId="4" borderId="41" xfId="20" applyNumberFormat="1" applyFont="1" applyFill="1" applyBorder="1" applyAlignment="1">
      <alignment horizontal="center" vertical="center"/>
    </xf>
    <xf numFmtId="172" fontId="39" fillId="4" borderId="41" xfId="20" applyNumberFormat="1" applyFont="1" applyFill="1" applyBorder="1" applyAlignment="1">
      <alignment horizontal="center" vertical="center"/>
    </xf>
    <xf numFmtId="173" fontId="39" fillId="4" borderId="41" xfId="20" applyNumberFormat="1" applyFont="1" applyFill="1" applyBorder="1" applyAlignment="1">
      <alignment horizontal="center" vertical="center"/>
    </xf>
    <xf numFmtId="173" fontId="39" fillId="4" borderId="4" xfId="20" applyNumberFormat="1" applyFont="1" applyFill="1" applyBorder="1" applyAlignment="1">
      <alignment horizontal="center" vertical="center"/>
    </xf>
    <xf numFmtId="165" fontId="39" fillId="4" borderId="32" xfId="20" applyNumberFormat="1" applyFont="1" applyFill="1" applyBorder="1" applyAlignment="1">
      <alignment horizontal="center" vertical="center"/>
    </xf>
    <xf numFmtId="0" fontId="38" fillId="0" borderId="2" xfId="20" applyFont="1" applyBorder="1" applyAlignment="1">
      <alignment horizontal="center" vertical="center"/>
    </xf>
    <xf numFmtId="165" fontId="38" fillId="0" borderId="12" xfId="20" applyNumberFormat="1" applyFont="1" applyBorder="1" applyAlignment="1">
      <alignment horizontal="left" vertical="center"/>
    </xf>
    <xf numFmtId="0" fontId="38" fillId="0" borderId="15" xfId="20" applyFont="1" applyBorder="1" applyAlignment="1">
      <alignment horizontal="center" vertical="center"/>
    </xf>
    <xf numFmtId="173" fontId="38" fillId="10" borderId="6" xfId="20" applyNumberFormat="1" applyFont="1" applyFill="1" applyBorder="1" applyAlignment="1">
      <alignment horizontal="center" vertical="center"/>
    </xf>
    <xf numFmtId="173" fontId="43" fillId="0" borderId="2" xfId="20" applyNumberFormat="1" applyFont="1" applyBorder="1" applyAlignment="1">
      <alignment horizontal="center" vertical="center"/>
    </xf>
    <xf numFmtId="0" fontId="38" fillId="0" borderId="1" xfId="20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4" fillId="0" borderId="14" xfId="20" applyNumberFormat="1" applyFont="1" applyBorder="1" applyAlignment="1">
      <alignment horizontal="center" vertical="center"/>
    </xf>
    <xf numFmtId="165" fontId="44" fillId="0" borderId="2" xfId="20" applyNumberFormat="1" applyFont="1" applyBorder="1" applyAlignment="1">
      <alignment horizontal="center" vertical="center"/>
    </xf>
    <xf numFmtId="164" fontId="39" fillId="0" borderId="0" xfId="20" applyNumberFormat="1" applyFont="1" applyAlignment="1">
      <alignment vertical="center"/>
    </xf>
    <xf numFmtId="0" fontId="38" fillId="10" borderId="25" xfId="20" applyFont="1" applyFill="1" applyBorder="1" applyAlignment="1">
      <alignment horizontal="center" vertical="center"/>
    </xf>
    <xf numFmtId="0" fontId="38" fillId="10" borderId="20" xfId="20" applyFont="1" applyFill="1" applyBorder="1" applyAlignment="1">
      <alignment horizontal="center" vertical="center"/>
    </xf>
    <xf numFmtId="43" fontId="39" fillId="2" borderId="17" xfId="21" applyFont="1" applyFill="1" applyBorder="1" applyAlignment="1">
      <alignment horizontal="center" vertical="center" wrapText="1"/>
    </xf>
    <xf numFmtId="43" fontId="39" fillId="2" borderId="16" xfId="21" applyFont="1" applyFill="1" applyBorder="1" applyAlignment="1">
      <alignment horizontal="center" vertical="center" wrapText="1"/>
    </xf>
    <xf numFmtId="173" fontId="44" fillId="11" borderId="2" xfId="20" applyNumberFormat="1" applyFont="1" applyFill="1" applyBorder="1" applyAlignment="1">
      <alignment horizontal="center" vertical="center"/>
    </xf>
    <xf numFmtId="173" fontId="44" fillId="11" borderId="6" xfId="20" applyNumberFormat="1" applyFont="1" applyFill="1" applyBorder="1" applyAlignment="1">
      <alignment horizontal="center" vertical="center"/>
    </xf>
    <xf numFmtId="165" fontId="38" fillId="10" borderId="6" xfId="20" applyNumberFormat="1" applyFont="1" applyFill="1" applyBorder="1" applyAlignment="1">
      <alignment horizontal="center" vertical="center"/>
    </xf>
    <xf numFmtId="165" fontId="38" fillId="0" borderId="19" xfId="20" applyNumberFormat="1" applyFont="1" applyBorder="1" applyAlignment="1">
      <alignment horizontal="center" vertical="center"/>
    </xf>
    <xf numFmtId="0" fontId="39" fillId="0" borderId="31" xfId="20" applyFont="1" applyBorder="1" applyAlignment="1">
      <alignment vertical="center"/>
    </xf>
    <xf numFmtId="0" fontId="39" fillId="0" borderId="4" xfId="20" applyFont="1" applyBorder="1" applyAlignment="1">
      <alignment vertical="center"/>
    </xf>
    <xf numFmtId="17" fontId="39" fillId="2" borderId="6" xfId="18" applyNumberFormat="1" applyFont="1" applyFill="1" applyBorder="1" applyAlignment="1">
      <alignment horizontal="center" vertical="center"/>
    </xf>
    <xf numFmtId="0" fontId="9" fillId="0" borderId="2" xfId="20" applyFont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/>
    </xf>
    <xf numFmtId="43" fontId="39" fillId="2" borderId="6" xfId="21" applyFont="1" applyFill="1" applyBorder="1" applyAlignment="1">
      <alignment horizontal="center" vertical="center" wrapText="1"/>
    </xf>
    <xf numFmtId="0" fontId="38" fillId="10" borderId="7" xfId="20" applyFont="1" applyFill="1" applyBorder="1" applyAlignment="1">
      <alignment horizontal="center" vertical="center"/>
    </xf>
    <xf numFmtId="0" fontId="39" fillId="10" borderId="8" xfId="20" applyFont="1" applyFill="1" applyBorder="1" applyAlignment="1">
      <alignment horizontal="left" vertical="center" wrapText="1"/>
    </xf>
    <xf numFmtId="165" fontId="38" fillId="10" borderId="8" xfId="20" applyNumberFormat="1" applyFont="1" applyFill="1" applyBorder="1" applyAlignment="1">
      <alignment horizontal="center" vertical="center"/>
    </xf>
    <xf numFmtId="0" fontId="39" fillId="0" borderId="7" xfId="20" applyFont="1" applyBorder="1" applyAlignment="1">
      <alignment horizontal="center" vertical="center"/>
    </xf>
    <xf numFmtId="0" fontId="39" fillId="0" borderId="8" xfId="20" applyFont="1" applyBorder="1" applyAlignment="1">
      <alignment horizontal="left" vertical="center" wrapText="1"/>
    </xf>
    <xf numFmtId="167" fontId="39" fillId="0" borderId="61" xfId="21" applyNumberFormat="1" applyFont="1" applyFill="1" applyBorder="1" applyAlignment="1">
      <alignment vertical="center"/>
    </xf>
    <xf numFmtId="0" fontId="39" fillId="10" borderId="7" xfId="20" applyFont="1" applyFill="1" applyBorder="1" applyAlignment="1">
      <alignment horizontal="center" vertical="center"/>
    </xf>
    <xf numFmtId="172" fontId="39" fillId="6" borderId="13" xfId="20" applyNumberFormat="1" applyFont="1" applyFill="1" applyBorder="1" applyAlignment="1">
      <alignment horizontal="center" vertical="center"/>
    </xf>
    <xf numFmtId="165" fontId="39" fillId="6" borderId="47" xfId="20" applyNumberFormat="1" applyFont="1" applyFill="1" applyBorder="1" applyAlignment="1">
      <alignment horizontal="center" vertical="center"/>
    </xf>
    <xf numFmtId="14" fontId="38" fillId="0" borderId="0" xfId="20" applyNumberFormat="1" applyFont="1" applyAlignment="1">
      <alignment horizontal="center" vertical="center"/>
    </xf>
    <xf numFmtId="164" fontId="38" fillId="0" borderId="0" xfId="20" applyNumberFormat="1" applyFont="1" applyAlignment="1">
      <alignment horizontal="center" vertical="center"/>
    </xf>
    <xf numFmtId="0" fontId="43" fillId="0" borderId="0" xfId="20" applyFont="1" applyAlignment="1">
      <alignment horizontal="center" vertical="center"/>
    </xf>
    <xf numFmtId="0" fontId="43" fillId="0" borderId="0" xfId="20" applyFont="1" applyBorder="1" applyAlignment="1">
      <alignment horizontal="center" vertical="center"/>
    </xf>
    <xf numFmtId="0" fontId="38" fillId="0" borderId="0" xfId="20" applyFont="1" applyBorder="1" applyAlignment="1">
      <alignment horizontal="center" vertical="center"/>
    </xf>
    <xf numFmtId="0" fontId="43" fillId="2" borderId="0" xfId="20" applyFont="1" applyFill="1" applyBorder="1" applyAlignment="1">
      <alignment horizontal="center" vertical="center"/>
    </xf>
    <xf numFmtId="0" fontId="38" fillId="2" borderId="0" xfId="20" applyFont="1" applyFill="1" applyBorder="1" applyAlignment="1">
      <alignment horizontal="center" vertical="center"/>
    </xf>
    <xf numFmtId="164" fontId="38" fillId="2" borderId="0" xfId="20" applyNumberFormat="1" applyFont="1" applyFill="1" applyBorder="1" applyAlignment="1">
      <alignment horizontal="center" vertical="center"/>
    </xf>
    <xf numFmtId="165" fontId="41" fillId="2" borderId="0" xfId="20" applyNumberFormat="1" applyFont="1" applyFill="1" applyBorder="1" applyAlignment="1">
      <alignment horizontal="center" vertical="center"/>
    </xf>
    <xf numFmtId="165" fontId="40" fillId="2" borderId="0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vertical="center"/>
    </xf>
    <xf numFmtId="1" fontId="50" fillId="10" borderId="2" xfId="20" applyNumberFormat="1" applyFont="1" applyFill="1" applyBorder="1" applyAlignment="1">
      <alignment horizontal="center" vertical="center"/>
    </xf>
    <xf numFmtId="1" fontId="50" fillId="10" borderId="2" xfId="20" applyNumberFormat="1" applyFont="1" applyFill="1" applyBorder="1" applyAlignment="1">
      <alignment horizontal="center" vertical="center" wrapText="1"/>
    </xf>
    <xf numFmtId="0" fontId="50" fillId="10" borderId="2" xfId="20" applyNumberFormat="1" applyFont="1" applyFill="1" applyBorder="1" applyAlignment="1">
      <alignment horizontal="center" vertical="center" wrapText="1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165" fontId="50" fillId="10" borderId="6" xfId="20" applyNumberFormat="1" applyFont="1" applyFill="1" applyBorder="1" applyAlignment="1">
      <alignment vertical="center"/>
    </xf>
    <xf numFmtId="165" fontId="50" fillId="10" borderId="20" xfId="20" applyNumberFormat="1" applyFont="1" applyFill="1" applyBorder="1" applyAlignment="1">
      <alignment vertical="center"/>
    </xf>
    <xf numFmtId="165" fontId="50" fillId="10" borderId="2" xfId="20" applyNumberFormat="1" applyFont="1" applyFill="1" applyBorder="1" applyAlignment="1">
      <alignment horizontal="center" vertical="center" wrapText="1"/>
    </xf>
    <xf numFmtId="165" fontId="50" fillId="10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vertical="center"/>
    </xf>
    <xf numFmtId="0" fontId="50" fillId="10" borderId="2" xfId="20" applyFont="1" applyFill="1" applyBorder="1" applyAlignment="1">
      <alignment vertical="center" wrapText="1"/>
    </xf>
    <xf numFmtId="0" fontId="49" fillId="0" borderId="2" xfId="20" applyFont="1" applyBorder="1" applyAlignment="1">
      <alignment vertical="center"/>
    </xf>
    <xf numFmtId="167" fontId="49" fillId="0" borderId="2" xfId="21" applyNumberFormat="1" applyFont="1" applyFill="1" applyBorder="1" applyAlignment="1">
      <alignment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6" xfId="20" applyFont="1" applyFill="1" applyBorder="1" applyAlignment="1">
      <alignment horizontal="left" vertical="center" wrapText="1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0" fontId="50" fillId="10" borderId="2" xfId="20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6" xfId="20" applyFont="1" applyFill="1" applyBorder="1" applyAlignment="1">
      <alignment horizontal="left" vertical="center" wrapText="1"/>
    </xf>
    <xf numFmtId="0" fontId="50" fillId="10" borderId="2" xfId="20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6" xfId="20" applyFont="1" applyFill="1" applyBorder="1" applyAlignment="1">
      <alignment horizontal="left" vertical="center" wrapText="1"/>
    </xf>
    <xf numFmtId="0" fontId="50" fillId="10" borderId="2" xfId="20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6" xfId="20" applyFont="1" applyFill="1" applyBorder="1" applyAlignment="1">
      <alignment horizontal="center" vertical="center"/>
    </xf>
    <xf numFmtId="0" fontId="50" fillId="10" borderId="6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 wrapText="1"/>
    </xf>
    <xf numFmtId="165" fontId="49" fillId="10" borderId="2" xfId="20" applyNumberFormat="1" applyFont="1" applyFill="1" applyBorder="1" applyAlignment="1">
      <alignment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0" fontId="50" fillId="12" borderId="2" xfId="20" applyFont="1" applyFill="1" applyBorder="1" applyAlignment="1">
      <alignment horizontal="center" vertical="center"/>
    </xf>
    <xf numFmtId="0" fontId="50" fillId="12" borderId="2" xfId="20" applyFont="1" applyFill="1" applyBorder="1" applyAlignment="1">
      <alignment horizontal="left" vertical="center" wrapText="1"/>
    </xf>
    <xf numFmtId="165" fontId="50" fillId="12" borderId="2" xfId="20" applyNumberFormat="1" applyFont="1" applyFill="1" applyBorder="1" applyAlignment="1">
      <alignment horizontal="center" vertical="center"/>
    </xf>
    <xf numFmtId="175" fontId="50" fillId="12" borderId="2" xfId="20" applyNumberFormat="1" applyFont="1" applyFill="1" applyBorder="1" applyAlignment="1">
      <alignment horizontal="center" vertical="center"/>
    </xf>
    <xf numFmtId="165" fontId="49" fillId="12" borderId="2" xfId="20" applyNumberFormat="1" applyFont="1" applyFill="1" applyBorder="1" applyAlignment="1">
      <alignment horizontal="center" vertical="center"/>
    </xf>
    <xf numFmtId="165" fontId="50" fillId="12" borderId="2" xfId="20" applyNumberFormat="1" applyFont="1" applyFill="1" applyBorder="1" applyAlignment="1">
      <alignment vertical="center"/>
    </xf>
    <xf numFmtId="165" fontId="49" fillId="12" borderId="2" xfId="20" applyNumberFormat="1" applyFont="1" applyFill="1" applyBorder="1" applyAlignment="1">
      <alignment vertical="center"/>
    </xf>
    <xf numFmtId="165" fontId="50" fillId="12" borderId="2" xfId="20" applyNumberFormat="1" applyFont="1" applyFill="1" applyBorder="1" applyAlignment="1">
      <alignment horizontal="center" vertical="center" wrapText="1"/>
    </xf>
    <xf numFmtId="165" fontId="49" fillId="12" borderId="6" xfId="20" applyNumberFormat="1" applyFont="1" applyFill="1" applyBorder="1" applyAlignment="1">
      <alignment horizontal="center" vertical="center"/>
    </xf>
    <xf numFmtId="165" fontId="50" fillId="12" borderId="6" xfId="20" applyNumberFormat="1" applyFont="1" applyFill="1" applyBorder="1" applyAlignment="1">
      <alignment horizontal="center" vertical="center"/>
    </xf>
    <xf numFmtId="0" fontId="50" fillId="12" borderId="6" xfId="20" applyNumberFormat="1" applyFont="1" applyFill="1" applyBorder="1" applyAlignment="1">
      <alignment horizontal="center" vertical="center" wrapText="1"/>
    </xf>
    <xf numFmtId="0" fontId="50" fillId="12" borderId="6" xfId="20" applyFont="1" applyFill="1" applyBorder="1" applyAlignment="1">
      <alignment horizontal="center" vertical="center"/>
    </xf>
    <xf numFmtId="0" fontId="50" fillId="12" borderId="6" xfId="20" applyFont="1" applyFill="1" applyBorder="1" applyAlignment="1">
      <alignment horizontal="left" vertical="center" wrapText="1"/>
    </xf>
    <xf numFmtId="0" fontId="50" fillId="12" borderId="2" xfId="20" applyNumberFormat="1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2" borderId="2" xfId="20" applyNumberFormat="1" applyFont="1" applyFill="1" applyBorder="1" applyAlignment="1">
      <alignment horizontal="center" vertical="center" wrapText="1"/>
    </xf>
    <xf numFmtId="1" fontId="50" fillId="12" borderId="2" xfId="20" applyNumberFormat="1" applyFont="1" applyFill="1" applyBorder="1" applyAlignment="1">
      <alignment horizontal="center" vertical="center"/>
    </xf>
    <xf numFmtId="1" fontId="50" fillId="12" borderId="2" xfId="20" applyNumberFormat="1" applyFont="1" applyFill="1" applyBorder="1" applyAlignment="1">
      <alignment horizontal="center" vertical="center" wrapText="1"/>
    </xf>
    <xf numFmtId="165" fontId="49" fillId="12" borderId="2" xfId="20" applyNumberFormat="1" applyFont="1" applyFill="1" applyBorder="1" applyAlignment="1">
      <alignment horizontal="center" vertical="center" wrapText="1"/>
    </xf>
    <xf numFmtId="165" fontId="49" fillId="12" borderId="2" xfId="20" applyNumberFormat="1" applyFont="1" applyFill="1" applyBorder="1" applyAlignment="1">
      <alignment vertical="center" wrapText="1"/>
    </xf>
    <xf numFmtId="165" fontId="50" fillId="12" borderId="2" xfId="20" applyNumberFormat="1" applyFont="1" applyFill="1" applyBorder="1" applyAlignment="1">
      <alignment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0" fontId="52" fillId="10" borderId="2" xfId="20" applyNumberFormat="1" applyFont="1" applyFill="1" applyBorder="1" applyAlignment="1">
      <alignment horizontal="center" vertical="center" wrapText="1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NumberFormat="1" applyFont="1" applyFill="1" applyBorder="1" applyAlignment="1">
      <alignment horizontal="left" vertical="center" wrapText="1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2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0" fontId="50" fillId="10" borderId="2" xfId="20" applyFont="1" applyFill="1" applyBorder="1" applyAlignment="1">
      <alignment vertical="center"/>
    </xf>
    <xf numFmtId="0" fontId="50" fillId="10" borderId="2" xfId="20" applyFont="1" applyFill="1" applyBorder="1" applyAlignment="1">
      <alignment horizontal="center" vertical="center"/>
    </xf>
    <xf numFmtId="165" fontId="50" fillId="10" borderId="6" xfId="20" applyNumberFormat="1" applyFont="1" applyFill="1" applyBorder="1" applyAlignment="1">
      <alignment horizontal="center" vertical="center"/>
    </xf>
    <xf numFmtId="0" fontId="50" fillId="12" borderId="19" xfId="20" applyFont="1" applyFill="1" applyBorder="1" applyAlignment="1">
      <alignment horizontal="center" vertical="center"/>
    </xf>
    <xf numFmtId="0" fontId="50" fillId="12" borderId="19" xfId="20" applyFont="1" applyFill="1" applyBorder="1" applyAlignment="1">
      <alignment horizontal="left" vertical="center" wrapText="1"/>
    </xf>
    <xf numFmtId="165" fontId="50" fillId="12" borderId="19" xfId="20" applyNumberFormat="1" applyFont="1" applyFill="1" applyBorder="1" applyAlignment="1">
      <alignment horizontal="center" vertical="center"/>
    </xf>
    <xf numFmtId="176" fontId="50" fillId="12" borderId="2" xfId="20" applyNumberFormat="1" applyFont="1" applyFill="1" applyBorder="1" applyAlignment="1">
      <alignment horizontal="center" vertical="center"/>
    </xf>
    <xf numFmtId="176" fontId="50" fillId="10" borderId="2" xfId="20" applyNumberFormat="1" applyFont="1" applyFill="1" applyBorder="1" applyAlignment="1">
      <alignment horizontal="center" vertical="center" wrapText="1"/>
    </xf>
    <xf numFmtId="176" fontId="50" fillId="10" borderId="2" xfId="20" applyNumberFormat="1" applyFont="1" applyFill="1" applyBorder="1" applyAlignment="1">
      <alignment vertical="center"/>
    </xf>
    <xf numFmtId="176" fontId="50" fillId="12" borderId="2" xfId="20" applyNumberFormat="1" applyFont="1" applyFill="1" applyBorder="1" applyAlignment="1">
      <alignment vertical="center"/>
    </xf>
    <xf numFmtId="176" fontId="50" fillId="10" borderId="2" xfId="20" applyNumberFormat="1" applyFont="1" applyFill="1" applyBorder="1" applyAlignment="1">
      <alignment horizontal="center" vertical="center"/>
    </xf>
    <xf numFmtId="177" fontId="50" fillId="10" borderId="2" xfId="20" applyNumberFormat="1" applyFont="1" applyFill="1" applyBorder="1" applyAlignment="1">
      <alignment horizontal="center" vertical="center" wrapText="1"/>
    </xf>
    <xf numFmtId="175" fontId="50" fillId="12" borderId="19" xfId="20" applyNumberFormat="1" applyFont="1" applyFill="1" applyBorder="1" applyAlignment="1">
      <alignment horizontal="center" vertical="center"/>
    </xf>
    <xf numFmtId="165" fontId="49" fillId="12" borderId="19" xfId="20" applyNumberFormat="1" applyFont="1" applyFill="1" applyBorder="1" applyAlignment="1">
      <alignment horizontal="center" vertical="center"/>
    </xf>
    <xf numFmtId="165" fontId="50" fillId="12" borderId="19" xfId="20" applyNumberFormat="1" applyFont="1" applyFill="1" applyBorder="1" applyAlignment="1">
      <alignment vertical="center"/>
    </xf>
    <xf numFmtId="165" fontId="50" fillId="10" borderId="6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left" vertical="center" wrapText="1"/>
    </xf>
    <xf numFmtId="0" fontId="50" fillId="12" borderId="19" xfId="20" applyFont="1" applyFill="1" applyBorder="1" applyAlignment="1">
      <alignment horizontal="center" vertical="center"/>
    </xf>
    <xf numFmtId="0" fontId="50" fillId="12" borderId="19" xfId="20" applyFont="1" applyFill="1" applyBorder="1" applyAlignment="1">
      <alignment horizontal="left" vertical="center" wrapText="1"/>
    </xf>
    <xf numFmtId="165" fontId="50" fillId="12" borderId="19" xfId="20" applyNumberFormat="1" applyFont="1" applyFill="1" applyBorder="1" applyAlignment="1">
      <alignment horizontal="center" vertical="center"/>
    </xf>
    <xf numFmtId="0" fontId="50" fillId="10" borderId="2" xfId="20" applyFont="1" applyFill="1" applyBorder="1" applyAlignment="1">
      <alignment horizontal="center" vertical="center"/>
    </xf>
    <xf numFmtId="1" fontId="50" fillId="12" borderId="19" xfId="20" applyNumberFormat="1" applyFont="1" applyFill="1" applyBorder="1" applyAlignment="1">
      <alignment horizontal="center" vertical="center"/>
    </xf>
    <xf numFmtId="176" fontId="50" fillId="12" borderId="19" xfId="20" applyNumberFormat="1" applyFont="1" applyFill="1" applyBorder="1" applyAlignment="1">
      <alignment horizontal="center" vertical="center"/>
    </xf>
    <xf numFmtId="165" fontId="50" fillId="12" borderId="20" xfId="20" applyNumberFormat="1" applyFont="1" applyFill="1" applyBorder="1" applyAlignment="1">
      <alignment horizontal="center" vertical="center"/>
    </xf>
    <xf numFmtId="43" fontId="49" fillId="4" borderId="22" xfId="21" applyFont="1" applyFill="1" applyBorder="1" applyAlignment="1">
      <alignment horizontal="center" vertical="center" wrapText="1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6" xfId="20" applyNumberFormat="1" applyFont="1" applyFill="1" applyBorder="1" applyAlignment="1">
      <alignment horizontal="center" vertical="center"/>
    </xf>
    <xf numFmtId="0" fontId="40" fillId="0" borderId="2" xfId="20" applyFont="1" applyBorder="1" applyAlignment="1">
      <alignment horizontal="center" vertical="center" wrapText="1"/>
    </xf>
    <xf numFmtId="0" fontId="50" fillId="10" borderId="2" xfId="20" applyNumberFormat="1" applyFont="1" applyFill="1" applyBorder="1" applyAlignment="1">
      <alignment vertical="center" wrapText="1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19" xfId="20" applyNumberFormat="1" applyFont="1" applyFill="1" applyBorder="1" applyAlignment="1">
      <alignment horizontal="center" vertical="center"/>
    </xf>
    <xf numFmtId="43" fontId="49" fillId="4" borderId="66" xfId="21" applyFont="1" applyFill="1" applyBorder="1" applyAlignment="1">
      <alignment horizontal="center" vertical="center" wrapText="1"/>
    </xf>
    <xf numFmtId="0" fontId="50" fillId="0" borderId="19" xfId="20" applyFont="1" applyFill="1" applyBorder="1" applyAlignment="1">
      <alignment horizontal="center" vertical="center"/>
    </xf>
    <xf numFmtId="0" fontId="50" fillId="0" borderId="19" xfId="20" applyFont="1" applyFill="1" applyBorder="1" applyAlignment="1">
      <alignment horizontal="left" vertical="center" wrapText="1"/>
    </xf>
    <xf numFmtId="165" fontId="50" fillId="0" borderId="19" xfId="20" applyNumberFormat="1" applyFont="1" applyFill="1" applyBorder="1" applyAlignment="1">
      <alignment horizontal="center" vertical="center"/>
    </xf>
    <xf numFmtId="1" fontId="50" fillId="0" borderId="19" xfId="20" applyNumberFormat="1" applyFont="1" applyFill="1" applyBorder="1" applyAlignment="1">
      <alignment horizontal="center" vertical="center"/>
    </xf>
    <xf numFmtId="176" fontId="50" fillId="0" borderId="19" xfId="20" applyNumberFormat="1" applyFont="1" applyFill="1" applyBorder="1" applyAlignment="1">
      <alignment horizontal="center" vertical="center"/>
    </xf>
    <xf numFmtId="165" fontId="50" fillId="0" borderId="20" xfId="20" applyNumberFormat="1" applyFont="1" applyFill="1" applyBorder="1" applyAlignment="1">
      <alignment horizontal="center" vertical="center"/>
    </xf>
    <xf numFmtId="14" fontId="38" fillId="0" borderId="0" xfId="20" applyNumberFormat="1" applyFont="1" applyFill="1" applyAlignment="1">
      <alignment horizontal="center" vertical="center"/>
    </xf>
    <xf numFmtId="0" fontId="40" fillId="0" borderId="2" xfId="20" applyFont="1" applyFill="1" applyBorder="1" applyAlignment="1">
      <alignment horizontal="center" vertical="center" wrapText="1"/>
    </xf>
    <xf numFmtId="0" fontId="38" fillId="0" borderId="0" xfId="20" applyFont="1" applyFill="1" applyAlignment="1">
      <alignment horizontal="center" vertical="center"/>
    </xf>
    <xf numFmtId="0" fontId="50" fillId="0" borderId="2" xfId="20" applyFont="1" applyFill="1" applyBorder="1" applyAlignment="1">
      <alignment horizontal="center" vertical="center"/>
    </xf>
    <xf numFmtId="0" fontId="50" fillId="0" borderId="2" xfId="20" applyFont="1" applyFill="1" applyBorder="1" applyAlignment="1">
      <alignment horizontal="left" vertical="center" wrapText="1"/>
    </xf>
    <xf numFmtId="165" fontId="50" fillId="0" borderId="6" xfId="20" applyNumberFormat="1" applyFont="1" applyFill="1" applyBorder="1" applyAlignment="1">
      <alignment horizontal="center" vertical="center"/>
    </xf>
    <xf numFmtId="1" fontId="50" fillId="0" borderId="2" xfId="20" applyNumberFormat="1" applyFont="1" applyFill="1" applyBorder="1" applyAlignment="1">
      <alignment horizontal="center" vertical="center" wrapText="1"/>
    </xf>
    <xf numFmtId="176" fontId="50" fillId="0" borderId="2" xfId="20" applyNumberFormat="1" applyFont="1" applyFill="1" applyBorder="1" applyAlignment="1">
      <alignment horizontal="center" vertical="center"/>
    </xf>
    <xf numFmtId="165" fontId="50" fillId="0" borderId="2" xfId="20" applyNumberFormat="1" applyFont="1" applyFill="1" applyBorder="1" applyAlignment="1">
      <alignment horizontal="center" vertical="center"/>
    </xf>
    <xf numFmtId="0" fontId="50" fillId="0" borderId="2" xfId="20" applyNumberFormat="1" applyFont="1" applyFill="1" applyBorder="1" applyAlignment="1">
      <alignment horizontal="center" vertical="center" wrapText="1"/>
    </xf>
    <xf numFmtId="1" fontId="50" fillId="0" borderId="2" xfId="20" applyNumberFormat="1" applyFont="1" applyFill="1" applyBorder="1" applyAlignment="1">
      <alignment horizontal="center" vertical="center"/>
    </xf>
    <xf numFmtId="165" fontId="49" fillId="0" borderId="2" xfId="20" applyNumberFormat="1" applyFont="1" applyFill="1" applyBorder="1" applyAlignment="1">
      <alignment horizontal="center" vertical="center"/>
    </xf>
    <xf numFmtId="165" fontId="50" fillId="0" borderId="2" xfId="20" applyNumberFormat="1" applyFont="1" applyFill="1" applyBorder="1" applyAlignment="1">
      <alignment horizontal="center" vertical="center" wrapText="1"/>
    </xf>
    <xf numFmtId="0" fontId="52" fillId="0" borderId="2" xfId="20" applyNumberFormat="1" applyFont="1" applyFill="1" applyBorder="1" applyAlignment="1">
      <alignment horizontal="center" vertical="center" wrapText="1"/>
    </xf>
    <xf numFmtId="165" fontId="50" fillId="0" borderId="2" xfId="20" applyNumberFormat="1" applyFont="1" applyFill="1" applyBorder="1" applyAlignment="1">
      <alignment vertical="center"/>
    </xf>
    <xf numFmtId="164" fontId="38" fillId="0" borderId="0" xfId="20" applyNumberFormat="1" applyFont="1" applyFill="1" applyAlignment="1">
      <alignment horizontal="center" vertical="center"/>
    </xf>
    <xf numFmtId="0" fontId="43" fillId="0" borderId="0" xfId="20" applyFont="1" applyFill="1" applyAlignment="1">
      <alignment horizontal="center" vertical="center"/>
    </xf>
    <xf numFmtId="165" fontId="49" fillId="0" borderId="2" xfId="20" applyNumberFormat="1" applyFont="1" applyFill="1" applyBorder="1" applyAlignment="1">
      <alignment horizontal="center" vertical="center" wrapText="1"/>
    </xf>
    <xf numFmtId="0" fontId="50" fillId="0" borderId="6" xfId="20" applyFont="1" applyFill="1" applyBorder="1" applyAlignment="1">
      <alignment horizontal="center" vertical="center"/>
    </xf>
    <xf numFmtId="0" fontId="50" fillId="0" borderId="6" xfId="20" applyFont="1" applyFill="1" applyBorder="1" applyAlignment="1">
      <alignment horizontal="left" vertical="center" wrapText="1"/>
    </xf>
    <xf numFmtId="0" fontId="38" fillId="0" borderId="0" xfId="20" applyFont="1" applyFill="1" applyBorder="1" applyAlignment="1">
      <alignment horizontal="center" vertical="center"/>
    </xf>
    <xf numFmtId="164" fontId="38" fillId="0" borderId="0" xfId="20" applyNumberFormat="1" applyFont="1" applyFill="1" applyBorder="1" applyAlignment="1">
      <alignment horizontal="center" vertical="center"/>
    </xf>
    <xf numFmtId="165" fontId="41" fillId="0" borderId="0" xfId="20" applyNumberFormat="1" applyFont="1" applyFill="1" applyBorder="1" applyAlignment="1">
      <alignment horizontal="center" vertical="center"/>
    </xf>
    <xf numFmtId="165" fontId="40" fillId="0" borderId="0" xfId="20" applyNumberFormat="1" applyFont="1" applyFill="1" applyBorder="1" applyAlignment="1">
      <alignment horizontal="center" vertical="center"/>
    </xf>
    <xf numFmtId="0" fontId="43" fillId="0" borderId="0" xfId="20" applyFont="1" applyFill="1" applyBorder="1" applyAlignment="1">
      <alignment horizontal="center" vertical="center"/>
    </xf>
    <xf numFmtId="165" fontId="49" fillId="0" borderId="2" xfId="20" applyNumberFormat="1" applyFont="1" applyFill="1" applyBorder="1" applyAlignment="1">
      <alignment vertical="center"/>
    </xf>
    <xf numFmtId="165" fontId="50" fillId="0" borderId="2" xfId="20" applyNumberFormat="1" applyFont="1" applyFill="1" applyBorder="1" applyAlignment="1">
      <alignment vertical="center" wrapText="1"/>
    </xf>
    <xf numFmtId="176" fontId="50" fillId="0" borderId="2" xfId="20" applyNumberFormat="1" applyFont="1" applyFill="1" applyBorder="1" applyAlignment="1">
      <alignment horizontal="center" vertical="center" wrapText="1"/>
    </xf>
    <xf numFmtId="177" fontId="50" fillId="0" borderId="2" xfId="20" applyNumberFormat="1" applyFont="1" applyFill="1" applyBorder="1" applyAlignment="1">
      <alignment horizontal="center" vertical="center" wrapText="1"/>
    </xf>
    <xf numFmtId="176" fontId="50" fillId="0" borderId="2" xfId="20" applyNumberFormat="1" applyFont="1" applyFill="1" applyBorder="1" applyAlignment="1">
      <alignment vertical="center"/>
    </xf>
    <xf numFmtId="165" fontId="50" fillId="0" borderId="6" xfId="20" applyNumberFormat="1" applyFont="1" applyFill="1" applyBorder="1" applyAlignment="1">
      <alignment vertical="center"/>
    </xf>
    <xf numFmtId="0" fontId="50" fillId="0" borderId="2" xfId="20" applyNumberFormat="1" applyFont="1" applyFill="1" applyBorder="1" applyAlignment="1">
      <alignment horizontal="left" vertical="center" wrapText="1"/>
    </xf>
    <xf numFmtId="165" fontId="49" fillId="11" borderId="19" xfId="20" applyNumberFormat="1" applyFont="1" applyFill="1" applyBorder="1" applyAlignment="1">
      <alignment horizontal="center" vertical="center"/>
    </xf>
    <xf numFmtId="165" fontId="49" fillId="11" borderId="6" xfId="20" applyNumberFormat="1" applyFont="1" applyFill="1" applyBorder="1" applyAlignment="1">
      <alignment horizontal="center" vertical="center"/>
    </xf>
    <xf numFmtId="165" fontId="49" fillId="11" borderId="2" xfId="20" applyNumberFormat="1" applyFont="1" applyFill="1" applyBorder="1" applyAlignment="1">
      <alignment horizontal="center" vertical="center"/>
    </xf>
    <xf numFmtId="165" fontId="49" fillId="5" borderId="2" xfId="20" applyNumberFormat="1" applyFont="1" applyFill="1" applyBorder="1" applyAlignment="1">
      <alignment horizontal="center" vertical="center"/>
    </xf>
    <xf numFmtId="43" fontId="49" fillId="4" borderId="0" xfId="21" applyFont="1" applyFill="1" applyBorder="1" applyAlignment="1">
      <alignment horizontal="center" vertical="center" wrapText="1"/>
    </xf>
    <xf numFmtId="43" fontId="49" fillId="4" borderId="41" xfId="21" applyFont="1" applyFill="1" applyBorder="1" applyAlignment="1">
      <alignment horizontal="center" vertical="center" wrapText="1"/>
    </xf>
    <xf numFmtId="165" fontId="50" fillId="0" borderId="105" xfId="20" applyNumberFormat="1" applyFont="1" applyFill="1" applyBorder="1" applyAlignment="1">
      <alignment horizontal="center" vertical="center"/>
    </xf>
    <xf numFmtId="165" fontId="50" fillId="0" borderId="106" xfId="20" applyNumberFormat="1" applyFont="1" applyFill="1" applyBorder="1" applyAlignment="1">
      <alignment vertical="center"/>
    </xf>
    <xf numFmtId="165" fontId="50" fillId="0" borderId="106" xfId="20" applyNumberFormat="1" applyFont="1" applyFill="1" applyBorder="1" applyAlignment="1">
      <alignment horizontal="center" vertical="center"/>
    </xf>
    <xf numFmtId="165" fontId="50" fillId="0" borderId="106" xfId="20" applyNumberFormat="1" applyFont="1" applyFill="1" applyBorder="1" applyAlignment="1">
      <alignment horizontal="center" vertical="center" wrapText="1"/>
    </xf>
    <xf numFmtId="165" fontId="50" fillId="0" borderId="105" xfId="20" applyNumberFormat="1" applyFont="1" applyFill="1" applyBorder="1" applyAlignment="1">
      <alignment vertical="center"/>
    </xf>
    <xf numFmtId="165" fontId="50" fillId="0" borderId="105" xfId="20" applyNumberFormat="1" applyFont="1" applyFill="1" applyBorder="1" applyAlignment="1">
      <alignment horizontal="center" vertical="center" wrapText="1"/>
    </xf>
    <xf numFmtId="0" fontId="50" fillId="0" borderId="106" xfId="20" applyNumberFormat="1" applyFont="1" applyFill="1" applyBorder="1" applyAlignment="1">
      <alignment horizontal="left" vertical="center" wrapText="1"/>
    </xf>
    <xf numFmtId="167" fontId="49" fillId="0" borderId="106" xfId="21" applyNumberFormat="1" applyFont="1" applyFill="1" applyBorder="1" applyAlignment="1">
      <alignment vertical="center"/>
    </xf>
    <xf numFmtId="165" fontId="50" fillId="12" borderId="106" xfId="20" applyNumberFormat="1" applyFont="1" applyFill="1" applyBorder="1" applyAlignment="1">
      <alignment horizontal="center" vertical="center"/>
    </xf>
    <xf numFmtId="165" fontId="49" fillId="11" borderId="2" xfId="20" applyNumberFormat="1" applyFont="1" applyFill="1" applyBorder="1" applyAlignment="1">
      <alignment horizontal="center" vertical="center" wrapText="1"/>
    </xf>
    <xf numFmtId="165" fontId="49" fillId="11" borderId="2" xfId="20" applyNumberFormat="1" applyFont="1" applyFill="1" applyBorder="1" applyAlignment="1">
      <alignment vertical="center"/>
    </xf>
    <xf numFmtId="165" fontId="49" fillId="11" borderId="2" xfId="20" applyNumberFormat="1" applyFont="1" applyFill="1" applyBorder="1" applyAlignment="1">
      <alignment vertical="center" wrapText="1"/>
    </xf>
    <xf numFmtId="165" fontId="49" fillId="5" borderId="2" xfId="20" applyNumberFormat="1" applyFont="1" applyFill="1" applyBorder="1" applyAlignment="1">
      <alignment vertical="center"/>
    </xf>
    <xf numFmtId="165" fontId="49" fillId="13" borderId="2" xfId="20" applyNumberFormat="1" applyFont="1" applyFill="1" applyBorder="1" applyAlignment="1">
      <alignment vertical="center"/>
    </xf>
    <xf numFmtId="165" fontId="49" fillId="13" borderId="2" xfId="20" applyNumberFormat="1" applyFont="1" applyFill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6" fillId="4" borderId="40" xfId="9" applyFont="1" applyFill="1" applyBorder="1" applyAlignment="1">
      <alignment horizontal="center" vertical="center" wrapText="1"/>
    </xf>
    <xf numFmtId="0" fontId="26" fillId="4" borderId="14" xfId="9" applyFont="1" applyFill="1" applyBorder="1" applyAlignment="1">
      <alignment horizontal="center" vertical="center" wrapText="1"/>
    </xf>
    <xf numFmtId="17" fontId="26" fillId="4" borderId="29" xfId="9" applyNumberFormat="1" applyFont="1" applyFill="1" applyBorder="1" applyAlignment="1">
      <alignment horizontal="center" vertical="center" wrapText="1"/>
    </xf>
    <xf numFmtId="17" fontId="26" fillId="4" borderId="30" xfId="9" applyNumberFormat="1" applyFont="1" applyFill="1" applyBorder="1" applyAlignment="1">
      <alignment horizontal="center" vertical="center" wrapText="1"/>
    </xf>
    <xf numFmtId="0" fontId="26" fillId="4" borderId="42" xfId="9" applyFont="1" applyFill="1" applyBorder="1" applyAlignment="1">
      <alignment horizontal="center" vertical="center" wrapText="1"/>
    </xf>
    <xf numFmtId="0" fontId="26" fillId="4" borderId="27" xfId="9" applyFont="1" applyFill="1" applyBorder="1" applyAlignment="1">
      <alignment horizontal="center" vertical="center" wrapText="1"/>
    </xf>
    <xf numFmtId="0" fontId="26" fillId="4" borderId="28" xfId="9" applyFont="1" applyFill="1" applyBorder="1" applyAlignment="1">
      <alignment horizontal="center" vertical="center" wrapText="1"/>
    </xf>
    <xf numFmtId="43" fontId="26" fillId="4" borderId="27" xfId="10" applyFont="1" applyFill="1" applyBorder="1" applyAlignment="1">
      <alignment horizontal="center" vertical="center" wrapText="1"/>
    </xf>
    <xf numFmtId="43" fontId="26" fillId="4" borderId="28" xfId="10" applyFont="1" applyFill="1" applyBorder="1" applyAlignment="1">
      <alignment horizontal="center" vertical="center" wrapText="1"/>
    </xf>
    <xf numFmtId="0" fontId="26" fillId="4" borderId="24" xfId="9" applyFont="1" applyFill="1" applyBorder="1" applyAlignment="1">
      <alignment horizontal="center" vertical="center" wrapText="1"/>
    </xf>
    <xf numFmtId="0" fontId="26" fillId="4" borderId="23" xfId="9" applyFont="1" applyFill="1" applyBorder="1" applyAlignment="1">
      <alignment horizontal="center" vertical="center" wrapText="1"/>
    </xf>
    <xf numFmtId="0" fontId="26" fillId="4" borderId="25" xfId="9" applyFont="1" applyFill="1" applyBorder="1" applyAlignment="1">
      <alignment horizontal="center" vertical="center" wrapText="1"/>
    </xf>
    <xf numFmtId="0" fontId="26" fillId="4" borderId="19" xfId="9" applyFont="1" applyFill="1" applyBorder="1" applyAlignment="1">
      <alignment horizontal="center" vertical="center" wrapText="1"/>
    </xf>
    <xf numFmtId="0" fontId="28" fillId="4" borderId="42" xfId="0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center" vertical="center" wrapText="1"/>
    </xf>
    <xf numFmtId="0" fontId="28" fillId="4" borderId="49" xfId="0" applyFont="1" applyFill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 wrapText="1"/>
    </xf>
    <xf numFmtId="0" fontId="28" fillId="5" borderId="27" xfId="0" applyFont="1" applyFill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51" fillId="0" borderId="0" xfId="20" applyFont="1" applyAlignment="1">
      <alignment horizontal="center" vertical="center" wrapText="1"/>
    </xf>
    <xf numFmtId="43" fontId="49" fillId="4" borderId="24" xfId="21" applyFont="1" applyFill="1" applyBorder="1" applyAlignment="1">
      <alignment horizontal="center" vertical="center" wrapText="1"/>
    </xf>
    <xf numFmtId="43" fontId="49" fillId="4" borderId="36" xfId="21" applyFont="1" applyFill="1" applyBorder="1" applyAlignment="1">
      <alignment horizontal="center" vertical="center" wrapText="1"/>
    </xf>
    <xf numFmtId="43" fontId="49" fillId="4" borderId="31" xfId="21" applyFont="1" applyFill="1" applyBorder="1" applyAlignment="1">
      <alignment horizontal="center" vertical="center" wrapText="1"/>
    </xf>
    <xf numFmtId="167" fontId="49" fillId="4" borderId="25" xfId="21" applyNumberFormat="1" applyFont="1" applyFill="1" applyBorder="1" applyAlignment="1">
      <alignment horizontal="center" vertical="center" wrapText="1"/>
    </xf>
    <xf numFmtId="167" fontId="49" fillId="4" borderId="20" xfId="21" applyNumberFormat="1" applyFont="1" applyFill="1" applyBorder="1" applyAlignment="1">
      <alignment horizontal="center" vertical="center" wrapText="1"/>
    </xf>
    <xf numFmtId="167" fontId="49" fillId="4" borderId="4" xfId="21" applyNumberFormat="1" applyFont="1" applyFill="1" applyBorder="1" applyAlignment="1">
      <alignment horizontal="center" vertical="center" wrapText="1"/>
    </xf>
    <xf numFmtId="43" fontId="49" fillId="4" borderId="26" xfId="21" applyFont="1" applyFill="1" applyBorder="1" applyAlignment="1">
      <alignment horizontal="center" vertical="center" wrapText="1"/>
    </xf>
    <xf numFmtId="43" fontId="49" fillId="4" borderId="28" xfId="21" applyFont="1" applyFill="1" applyBorder="1" applyAlignment="1">
      <alignment horizontal="center" vertical="center" wrapText="1"/>
    </xf>
    <xf numFmtId="43" fontId="49" fillId="4" borderId="6" xfId="21" applyFont="1" applyFill="1" applyBorder="1" applyAlignment="1">
      <alignment horizontal="center" vertical="center" wrapText="1"/>
    </xf>
    <xf numFmtId="43" fontId="49" fillId="4" borderId="4" xfId="21" applyFont="1" applyFill="1" applyBorder="1" applyAlignment="1">
      <alignment horizontal="center" vertical="center" wrapText="1"/>
    </xf>
    <xf numFmtId="43" fontId="49" fillId="4" borderId="29" xfId="21" applyFont="1" applyFill="1" applyBorder="1" applyAlignment="1">
      <alignment horizontal="center" vertical="center" wrapText="1"/>
    </xf>
    <xf numFmtId="43" fontId="49" fillId="4" borderId="62" xfId="21" applyFont="1" applyFill="1" applyBorder="1" applyAlignment="1">
      <alignment horizontal="center" vertical="center" wrapText="1"/>
    </xf>
    <xf numFmtId="43" fontId="49" fillId="4" borderId="32" xfId="21" applyFont="1" applyFill="1" applyBorder="1" applyAlignment="1">
      <alignment horizontal="center" vertical="center" wrapText="1"/>
    </xf>
    <xf numFmtId="0" fontId="49" fillId="4" borderId="34" xfId="20" applyFont="1" applyFill="1" applyBorder="1" applyAlignment="1">
      <alignment horizontal="center" vertical="center"/>
    </xf>
    <xf numFmtId="0" fontId="49" fillId="4" borderId="2" xfId="20" applyFont="1" applyFill="1" applyBorder="1" applyAlignment="1">
      <alignment horizontal="center" vertical="center"/>
    </xf>
    <xf numFmtId="0" fontId="49" fillId="4" borderId="22" xfId="20" applyFont="1" applyFill="1" applyBorder="1" applyAlignment="1">
      <alignment horizontal="center" vertical="center"/>
    </xf>
    <xf numFmtId="165" fontId="50" fillId="10" borderId="6" xfId="20" applyNumberFormat="1" applyFont="1" applyFill="1" applyBorder="1" applyAlignment="1">
      <alignment horizontal="center" vertical="center"/>
    </xf>
    <xf numFmtId="165" fontId="50" fillId="10" borderId="20" xfId="20" applyNumberFormat="1" applyFont="1" applyFill="1" applyBorder="1" applyAlignment="1">
      <alignment horizontal="center" vertical="center"/>
    </xf>
    <xf numFmtId="165" fontId="50" fillId="10" borderId="19" xfId="20" applyNumberFormat="1" applyFont="1" applyFill="1" applyBorder="1" applyAlignment="1">
      <alignment horizontal="center" vertical="center"/>
    </xf>
    <xf numFmtId="0" fontId="50" fillId="10" borderId="6" xfId="20" applyFont="1" applyFill="1" applyBorder="1" applyAlignment="1">
      <alignment horizontal="left" vertical="center" wrapText="1"/>
    </xf>
    <xf numFmtId="0" fontId="50" fillId="10" borderId="20" xfId="20" applyFont="1" applyFill="1" applyBorder="1" applyAlignment="1">
      <alignment horizontal="left" vertical="center" wrapText="1"/>
    </xf>
    <xf numFmtId="0" fontId="50" fillId="10" borderId="19" xfId="20" applyFont="1" applyFill="1" applyBorder="1" applyAlignment="1">
      <alignment horizontal="left" vertical="center" wrapText="1"/>
    </xf>
    <xf numFmtId="0" fontId="50" fillId="10" borderId="6" xfId="20" applyFont="1" applyFill="1" applyBorder="1" applyAlignment="1">
      <alignment horizontal="center" vertical="center"/>
    </xf>
    <xf numFmtId="0" fontId="50" fillId="10" borderId="20" xfId="20" applyFont="1" applyFill="1" applyBorder="1" applyAlignment="1">
      <alignment horizontal="center" vertical="center"/>
    </xf>
    <xf numFmtId="0" fontId="50" fillId="10" borderId="19" xfId="20" applyFont="1" applyFill="1" applyBorder="1" applyAlignment="1">
      <alignment horizontal="center" vertical="center"/>
    </xf>
    <xf numFmtId="0" fontId="50" fillId="10" borderId="6" xfId="20" applyNumberFormat="1" applyFont="1" applyFill="1" applyBorder="1" applyAlignment="1">
      <alignment horizontal="center" vertical="center" wrapText="1"/>
    </xf>
    <xf numFmtId="0" fontId="50" fillId="10" borderId="20" xfId="20" applyNumberFormat="1" applyFont="1" applyFill="1" applyBorder="1" applyAlignment="1">
      <alignment horizontal="center" vertical="center" wrapText="1"/>
    </xf>
    <xf numFmtId="0" fontId="50" fillId="10" borderId="19" xfId="20" applyNumberFormat="1" applyFont="1" applyFill="1" applyBorder="1" applyAlignment="1">
      <alignment horizontal="center" vertical="center" wrapText="1"/>
    </xf>
    <xf numFmtId="0" fontId="51" fillId="0" borderId="0" xfId="20" applyFont="1" applyBorder="1" applyAlignment="1">
      <alignment horizontal="center" vertical="center" wrapText="1"/>
    </xf>
    <xf numFmtId="43" fontId="49" fillId="4" borderId="40" xfId="21" applyFont="1" applyFill="1" applyBorder="1" applyAlignment="1">
      <alignment horizontal="center" vertical="center" wrapText="1"/>
    </xf>
    <xf numFmtId="43" fontId="49" fillId="4" borderId="66" xfId="21" applyFont="1" applyFill="1" applyBorder="1" applyAlignment="1">
      <alignment horizontal="center" vertical="center" wrapText="1"/>
    </xf>
    <xf numFmtId="43" fontId="49" fillId="4" borderId="67" xfId="21" applyFont="1" applyFill="1" applyBorder="1" applyAlignment="1">
      <alignment horizontal="center" vertical="center" wrapText="1"/>
    </xf>
    <xf numFmtId="43" fontId="49" fillId="4" borderId="14" xfId="21" applyFont="1" applyFill="1" applyBorder="1" applyAlignment="1">
      <alignment horizontal="center" vertical="center" wrapText="1"/>
    </xf>
    <xf numFmtId="43" fontId="49" fillId="4" borderId="16" xfId="21" applyFont="1" applyFill="1" applyBorder="1" applyAlignment="1">
      <alignment horizontal="center" vertical="center" wrapText="1"/>
    </xf>
    <xf numFmtId="43" fontId="49" fillId="4" borderId="10" xfId="21" applyFont="1" applyFill="1" applyBorder="1" applyAlignment="1">
      <alignment horizontal="center" vertical="center" wrapText="1"/>
    </xf>
    <xf numFmtId="0" fontId="50" fillId="10" borderId="6" xfId="20" applyFont="1" applyFill="1" applyBorder="1" applyAlignment="1">
      <alignment horizontal="center" vertical="center" wrapText="1"/>
    </xf>
    <xf numFmtId="0" fontId="50" fillId="10" borderId="20" xfId="20" applyFont="1" applyFill="1" applyBorder="1" applyAlignment="1">
      <alignment horizontal="center" vertical="center" wrapText="1"/>
    </xf>
    <xf numFmtId="0" fontId="50" fillId="10" borderId="19" xfId="20" applyFont="1" applyFill="1" applyBorder="1" applyAlignment="1">
      <alignment horizontal="center" vertical="center" wrapText="1"/>
    </xf>
    <xf numFmtId="0" fontId="50" fillId="0" borderId="6" xfId="20" applyFont="1" applyFill="1" applyBorder="1" applyAlignment="1">
      <alignment horizontal="center" vertical="center"/>
    </xf>
    <xf numFmtId="0" fontId="50" fillId="0" borderId="20" xfId="20" applyFont="1" applyFill="1" applyBorder="1" applyAlignment="1">
      <alignment horizontal="center" vertical="center"/>
    </xf>
    <xf numFmtId="0" fontId="50" fillId="0" borderId="19" xfId="20" applyFont="1" applyFill="1" applyBorder="1" applyAlignment="1">
      <alignment horizontal="center" vertical="center"/>
    </xf>
    <xf numFmtId="0" fontId="50" fillId="0" borderId="6" xfId="20" applyFont="1" applyFill="1" applyBorder="1" applyAlignment="1">
      <alignment horizontal="left" vertical="center" wrapText="1"/>
    </xf>
    <xf numFmtId="0" fontId="50" fillId="0" borderId="20" xfId="20" applyFont="1" applyFill="1" applyBorder="1" applyAlignment="1">
      <alignment horizontal="left" vertical="center" wrapText="1"/>
    </xf>
    <xf numFmtId="0" fontId="50" fillId="0" borderId="19" xfId="20" applyFont="1" applyFill="1" applyBorder="1" applyAlignment="1">
      <alignment horizontal="left" vertical="center" wrapText="1"/>
    </xf>
    <xf numFmtId="165" fontId="50" fillId="0" borderId="6" xfId="20" applyNumberFormat="1" applyFont="1" applyFill="1" applyBorder="1" applyAlignment="1">
      <alignment horizontal="center" vertical="center"/>
    </xf>
    <xf numFmtId="165" fontId="50" fillId="0" borderId="20" xfId="20" applyNumberFormat="1" applyFont="1" applyFill="1" applyBorder="1" applyAlignment="1">
      <alignment horizontal="center" vertical="center"/>
    </xf>
    <xf numFmtId="165" fontId="50" fillId="0" borderId="19" xfId="20" applyNumberFormat="1" applyFont="1" applyFill="1" applyBorder="1" applyAlignment="1">
      <alignment horizontal="center" vertical="center"/>
    </xf>
    <xf numFmtId="0" fontId="50" fillId="0" borderId="6" xfId="20" applyFont="1" applyFill="1" applyBorder="1" applyAlignment="1">
      <alignment horizontal="center" vertical="center" wrapText="1"/>
    </xf>
    <xf numFmtId="0" fontId="50" fillId="0" borderId="20" xfId="20" applyFont="1" applyFill="1" applyBorder="1" applyAlignment="1">
      <alignment horizontal="center" vertical="center" wrapText="1"/>
    </xf>
    <xf numFmtId="0" fontId="50" fillId="0" borderId="19" xfId="20" applyFont="1" applyFill="1" applyBorder="1" applyAlignment="1">
      <alignment horizontal="center" vertical="center" wrapText="1"/>
    </xf>
    <xf numFmtId="0" fontId="50" fillId="0" borderId="6" xfId="20" applyNumberFormat="1" applyFont="1" applyFill="1" applyBorder="1" applyAlignment="1">
      <alignment horizontal="center" vertical="center" wrapText="1"/>
    </xf>
    <xf numFmtId="0" fontId="50" fillId="0" borderId="20" xfId="20" applyNumberFormat="1" applyFont="1" applyFill="1" applyBorder="1" applyAlignment="1">
      <alignment horizontal="center" vertical="center" wrapText="1"/>
    </xf>
    <xf numFmtId="0" fontId="50" fillId="0" borderId="19" xfId="20" applyNumberFormat="1" applyFont="1" applyFill="1" applyBorder="1" applyAlignment="1">
      <alignment horizontal="center" vertical="center" wrapText="1"/>
    </xf>
    <xf numFmtId="173" fontId="45" fillId="0" borderId="25" xfId="20" applyNumberFormat="1" applyFont="1" applyBorder="1" applyAlignment="1">
      <alignment horizontal="center" vertical="center"/>
    </xf>
    <xf numFmtId="173" fontId="45" fillId="0" borderId="20" xfId="20" applyNumberFormat="1" applyFont="1" applyBorder="1" applyAlignment="1">
      <alignment horizontal="center" vertical="center"/>
    </xf>
    <xf numFmtId="173" fontId="39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8" fillId="0" borderId="24" xfId="20" applyFont="1" applyBorder="1" applyAlignment="1">
      <alignment horizontal="center" vertical="center"/>
    </xf>
    <xf numFmtId="0" fontId="38" fillId="0" borderId="36" xfId="20" applyFont="1" applyBorder="1" applyAlignment="1">
      <alignment horizontal="center" vertical="center"/>
    </xf>
    <xf numFmtId="0" fontId="38" fillId="0" borderId="31" xfId="20" applyFont="1" applyBorder="1" applyAlignment="1">
      <alignment horizontal="center" vertical="center"/>
    </xf>
    <xf numFmtId="0" fontId="40" fillId="0" borderId="25" xfId="20" applyFont="1" applyBorder="1" applyAlignment="1">
      <alignment horizontal="left" vertical="center" wrapText="1"/>
    </xf>
    <xf numFmtId="0" fontId="40" fillId="0" borderId="20" xfId="20" applyFont="1" applyBorder="1" applyAlignment="1">
      <alignment horizontal="left" vertical="center" wrapText="1"/>
    </xf>
    <xf numFmtId="0" fontId="40" fillId="0" borderId="4" xfId="20" applyFont="1" applyBorder="1" applyAlignment="1">
      <alignment horizontal="left" vertical="center" wrapText="1"/>
    </xf>
    <xf numFmtId="0" fontId="38" fillId="0" borderId="25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4" xfId="20" applyFont="1" applyBorder="1" applyAlignment="1">
      <alignment horizontal="center" vertical="center"/>
    </xf>
    <xf numFmtId="165" fontId="40" fillId="0" borderId="25" xfId="20" applyNumberFormat="1" applyFont="1" applyBorder="1" applyAlignment="1">
      <alignment horizontal="center" vertical="center"/>
    </xf>
    <xf numFmtId="165" fontId="40" fillId="0" borderId="20" xfId="20" applyNumberFormat="1" applyFont="1" applyBorder="1" applyAlignment="1">
      <alignment horizontal="center" vertical="center"/>
    </xf>
    <xf numFmtId="165" fontId="40" fillId="0" borderId="4" xfId="20" applyNumberFormat="1" applyFont="1" applyBorder="1" applyAlignment="1">
      <alignment horizontal="center" vertical="center"/>
    </xf>
    <xf numFmtId="165" fontId="45" fillId="0" borderId="25" xfId="20" applyNumberFormat="1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8" fillId="10" borderId="25" xfId="20" applyFont="1" applyFill="1" applyBorder="1" applyAlignment="1">
      <alignment horizontal="center" vertical="center"/>
    </xf>
    <xf numFmtId="0" fontId="38" fillId="10" borderId="20" xfId="20" applyFont="1" applyFill="1" applyBorder="1" applyAlignment="1">
      <alignment horizontal="center" vertical="center"/>
    </xf>
    <xf numFmtId="165" fontId="40" fillId="10" borderId="25" xfId="20" applyNumberFormat="1" applyFont="1" applyFill="1" applyBorder="1" applyAlignment="1">
      <alignment horizontal="center" vertical="center"/>
    </xf>
    <xf numFmtId="165" fontId="40" fillId="10" borderId="20" xfId="20" applyNumberFormat="1" applyFont="1" applyFill="1" applyBorder="1" applyAlignment="1">
      <alignment horizontal="center" vertical="center"/>
    </xf>
    <xf numFmtId="165" fontId="40" fillId="10" borderId="4" xfId="20" applyNumberFormat="1" applyFont="1" applyFill="1" applyBorder="1" applyAlignment="1">
      <alignment horizontal="center" vertical="center"/>
    </xf>
    <xf numFmtId="173" fontId="45" fillId="10" borderId="25" xfId="20" applyNumberFormat="1" applyFont="1" applyFill="1" applyBorder="1" applyAlignment="1">
      <alignment horizontal="center" vertical="center"/>
    </xf>
    <xf numFmtId="173" fontId="45" fillId="10" borderId="20" xfId="20" applyNumberFormat="1" applyFont="1" applyFill="1" applyBorder="1" applyAlignment="1">
      <alignment horizontal="center" vertical="center"/>
    </xf>
    <xf numFmtId="173" fontId="45" fillId="10" borderId="4" xfId="20" applyNumberFormat="1" applyFont="1" applyFill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165" fontId="40" fillId="10" borderId="25" xfId="20" applyNumberFormat="1" applyFont="1" applyFill="1" applyBorder="1" applyAlignment="1">
      <alignment horizontal="left" vertical="center"/>
    </xf>
    <xf numFmtId="165" fontId="40" fillId="10" borderId="20" xfId="20" applyNumberFormat="1" applyFont="1" applyFill="1" applyBorder="1" applyAlignment="1">
      <alignment horizontal="left" vertical="center"/>
    </xf>
    <xf numFmtId="165" fontId="40" fillId="10" borderId="4" xfId="20" applyNumberFormat="1" applyFont="1" applyFill="1" applyBorder="1" applyAlignment="1">
      <alignment horizontal="left" vertical="center"/>
    </xf>
    <xf numFmtId="0" fontId="39" fillId="0" borderId="36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9" fillId="0" borderId="20" xfId="20" applyFont="1" applyBorder="1" applyAlignment="1">
      <alignment horizontal="center" vertical="center"/>
    </xf>
    <xf numFmtId="173" fontId="45" fillId="0" borderId="19" xfId="20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8" fillId="10" borderId="36" xfId="20" applyFont="1" applyFill="1" applyBorder="1" applyAlignment="1">
      <alignment horizontal="center" vertical="center"/>
    </xf>
    <xf numFmtId="0" fontId="38" fillId="10" borderId="31" xfId="20" applyFont="1" applyFill="1" applyBorder="1" applyAlignment="1">
      <alignment horizontal="center" vertical="center"/>
    </xf>
    <xf numFmtId="0" fontId="40" fillId="10" borderId="25" xfId="20" applyFont="1" applyFill="1" applyBorder="1" applyAlignment="1">
      <alignment horizontal="left" vertical="center" wrapText="1"/>
    </xf>
    <xf numFmtId="0" fontId="40" fillId="10" borderId="20" xfId="20" applyFont="1" applyFill="1" applyBorder="1" applyAlignment="1">
      <alignment horizontal="left" vertical="center" wrapText="1"/>
    </xf>
    <xf numFmtId="0" fontId="40" fillId="10" borderId="4" xfId="20" applyFont="1" applyFill="1" applyBorder="1" applyAlignment="1">
      <alignment horizontal="left" vertical="center" wrapText="1"/>
    </xf>
    <xf numFmtId="0" fontId="39" fillId="0" borderId="12" xfId="20" applyFont="1" applyBorder="1" applyAlignment="1">
      <alignment horizontal="center" vertical="center"/>
    </xf>
    <xf numFmtId="0" fontId="39" fillId="0" borderId="17" xfId="20" applyFont="1" applyBorder="1" applyAlignment="1">
      <alignment horizontal="center" vertical="center"/>
    </xf>
    <xf numFmtId="0" fontId="39" fillId="0" borderId="11" xfId="20" applyFont="1" applyBorder="1" applyAlignment="1">
      <alignment horizontal="center" vertical="center"/>
    </xf>
    <xf numFmtId="0" fontId="39" fillId="0" borderId="14" xfId="20" applyFont="1" applyBorder="1" applyAlignment="1">
      <alignment horizontal="center" vertical="center"/>
    </xf>
    <xf numFmtId="0" fontId="39" fillId="0" borderId="16" xfId="20" applyFont="1" applyBorder="1" applyAlignment="1">
      <alignment horizontal="center" vertical="center"/>
    </xf>
    <xf numFmtId="0" fontId="39" fillId="0" borderId="10" xfId="20" applyFont="1" applyBorder="1" applyAlignment="1">
      <alignment horizontal="center" vertical="center"/>
    </xf>
    <xf numFmtId="43" fontId="39" fillId="2" borderId="1" xfId="21" applyFont="1" applyFill="1" applyBorder="1" applyAlignment="1">
      <alignment horizontal="center" vertical="center" wrapText="1"/>
    </xf>
    <xf numFmtId="43" fontId="39" fillId="2" borderId="3" xfId="21" applyFont="1" applyFill="1" applyBorder="1" applyAlignment="1">
      <alignment horizontal="center" vertical="center" wrapText="1"/>
    </xf>
    <xf numFmtId="0" fontId="39" fillId="0" borderId="0" xfId="20" applyFont="1" applyAlignment="1">
      <alignment horizontal="center" vertical="center"/>
    </xf>
    <xf numFmtId="0" fontId="9" fillId="0" borderId="6" xfId="20" applyFont="1" applyBorder="1" applyAlignment="1">
      <alignment horizontal="center" vertical="center" wrapText="1"/>
    </xf>
    <xf numFmtId="0" fontId="9" fillId="0" borderId="20" xfId="20" applyFont="1" applyBorder="1" applyAlignment="1">
      <alignment horizontal="center" vertical="center" wrapText="1"/>
    </xf>
    <xf numFmtId="0" fontId="9" fillId="0" borderId="19" xfId="20" applyFont="1" applyBorder="1" applyAlignment="1">
      <alignment horizontal="center" vertical="center" wrapText="1"/>
    </xf>
    <xf numFmtId="0" fontId="39" fillId="0" borderId="6" xfId="20" applyFont="1" applyBorder="1" applyAlignment="1">
      <alignment horizontal="center" vertical="center"/>
    </xf>
    <xf numFmtId="0" fontId="39" fillId="0" borderId="19" xfId="20" applyFont="1" applyBorder="1" applyAlignment="1">
      <alignment horizontal="center" vertical="center"/>
    </xf>
    <xf numFmtId="43" fontId="39" fillId="2" borderId="12" xfId="21" applyFont="1" applyFill="1" applyBorder="1" applyAlignment="1">
      <alignment horizontal="center" vertical="center" wrapText="1"/>
    </xf>
    <xf numFmtId="43" fontId="39" fillId="2" borderId="11" xfId="21" applyFont="1" applyFill="1" applyBorder="1" applyAlignment="1">
      <alignment horizontal="center" vertical="center" wrapText="1"/>
    </xf>
    <xf numFmtId="43" fontId="39" fillId="2" borderId="14" xfId="21" applyFont="1" applyFill="1" applyBorder="1" applyAlignment="1">
      <alignment horizontal="center" vertical="center" wrapText="1"/>
    </xf>
    <xf numFmtId="43" fontId="39" fillId="2" borderId="10" xfId="21" applyFont="1" applyFill="1" applyBorder="1" applyAlignment="1">
      <alignment horizontal="center" vertical="center" wrapText="1"/>
    </xf>
    <xf numFmtId="17" fontId="39" fillId="2" borderId="6" xfId="18" applyNumberFormat="1" applyFont="1" applyFill="1" applyBorder="1" applyAlignment="1">
      <alignment horizontal="center" vertical="center"/>
    </xf>
    <xf numFmtId="17" fontId="39" fillId="2" borderId="20" xfId="18" applyNumberFormat="1" applyFont="1" applyFill="1" applyBorder="1" applyAlignment="1">
      <alignment horizontal="center" vertical="center"/>
    </xf>
    <xf numFmtId="17" fontId="39" fillId="2" borderId="19" xfId="18" applyNumberFormat="1" applyFont="1" applyFill="1" applyBorder="1" applyAlignment="1">
      <alignment horizontal="center" vertical="center"/>
    </xf>
    <xf numFmtId="43" fontId="39" fillId="2" borderId="63" xfId="21" applyFont="1" applyFill="1" applyBorder="1" applyAlignment="1">
      <alignment horizontal="center" vertical="center" wrapText="1"/>
    </xf>
    <xf numFmtId="43" fontId="39" fillId="2" borderId="17" xfId="21" applyFont="1" applyFill="1" applyBorder="1" applyAlignment="1">
      <alignment horizontal="center" vertical="center" wrapText="1"/>
    </xf>
    <xf numFmtId="43" fontId="39" fillId="2" borderId="16" xfId="21" applyFont="1" applyFill="1" applyBorder="1" applyAlignment="1">
      <alignment horizontal="center" vertical="center" wrapText="1"/>
    </xf>
    <xf numFmtId="0" fontId="41" fillId="0" borderId="0" xfId="20" applyFont="1" applyAlignment="1">
      <alignment horizontal="center" vertical="center"/>
    </xf>
    <xf numFmtId="0" fontId="0" fillId="0" borderId="0" xfId="0"/>
    <xf numFmtId="0" fontId="8" fillId="0" borderId="0" xfId="9" applyFont="1" applyAlignment="1">
      <alignment horizontal="center" wrapText="1"/>
    </xf>
    <xf numFmtId="0" fontId="10" fillId="0" borderId="0" xfId="9" applyFont="1" applyAlignment="1">
      <alignment horizontal="center" vertical="center"/>
    </xf>
  </cellXfs>
  <cellStyles count="8867">
    <cellStyle name="01" xfId="119"/>
    <cellStyle name="Comma 2" xfId="619"/>
    <cellStyle name="Excel Built-in Normal" xfId="577"/>
    <cellStyle name="IvkDocStyle 1" xfId="416"/>
    <cellStyle name="IvkDocStyle 1 2" xfId="578"/>
    <cellStyle name="IvkDocStyle 10" xfId="417"/>
    <cellStyle name="IvkDocStyle 10 2" xfId="579"/>
    <cellStyle name="IvkDocStyle 100" xfId="418"/>
    <cellStyle name="IvkDocStyle 101" xfId="419"/>
    <cellStyle name="IvkDocStyle 102" xfId="420"/>
    <cellStyle name="IvkDocStyle 103" xfId="421"/>
    <cellStyle name="IvkDocStyle 104" xfId="422"/>
    <cellStyle name="IvkDocStyle 105" xfId="423"/>
    <cellStyle name="IvkDocStyle 106" xfId="424"/>
    <cellStyle name="IvkDocStyle 107" xfId="425"/>
    <cellStyle name="IvkDocStyle 108" xfId="426"/>
    <cellStyle name="IvkDocStyle 109" xfId="427"/>
    <cellStyle name="IvkDocStyle 11" xfId="428"/>
    <cellStyle name="IvkDocStyle 11 2" xfId="580"/>
    <cellStyle name="IvkDocStyle 110" xfId="429"/>
    <cellStyle name="IvkDocStyle 111" xfId="430"/>
    <cellStyle name="IvkDocStyle 112" xfId="431"/>
    <cellStyle name="IvkDocStyle 113" xfId="432"/>
    <cellStyle name="IvkDocStyle 114" xfId="433"/>
    <cellStyle name="IvkDocStyle 115" xfId="434"/>
    <cellStyle name="IvkDocStyle 116" xfId="435"/>
    <cellStyle name="IvkDocStyle 117" xfId="436"/>
    <cellStyle name="IvkDocStyle 118" xfId="437"/>
    <cellStyle name="IvkDocStyle 119" xfId="438"/>
    <cellStyle name="IvkDocStyle 12" xfId="439"/>
    <cellStyle name="IvkDocStyle 12 2" xfId="581"/>
    <cellStyle name="IvkDocStyle 120" xfId="440"/>
    <cellStyle name="IvkDocStyle 121" xfId="441"/>
    <cellStyle name="IvkDocStyle 122" xfId="442"/>
    <cellStyle name="IvkDocStyle 123" xfId="443"/>
    <cellStyle name="IvkDocStyle 124" xfId="444"/>
    <cellStyle name="IvkDocStyle 125" xfId="445"/>
    <cellStyle name="IvkDocStyle 126" xfId="446"/>
    <cellStyle name="IvkDocStyle 127" xfId="447"/>
    <cellStyle name="IvkDocStyle 128" xfId="448"/>
    <cellStyle name="IvkDocStyle 129" xfId="449"/>
    <cellStyle name="IvkDocStyle 13" xfId="450"/>
    <cellStyle name="IvkDocStyle 13 2" xfId="582"/>
    <cellStyle name="IvkDocStyle 130" xfId="451"/>
    <cellStyle name="IvkDocStyle 131" xfId="452"/>
    <cellStyle name="IvkDocStyle 132" xfId="453"/>
    <cellStyle name="IvkDocStyle 133" xfId="454"/>
    <cellStyle name="IvkDocStyle 134" xfId="455"/>
    <cellStyle name="IvkDocStyle 135" xfId="456"/>
    <cellStyle name="IvkDocStyle 136" xfId="457"/>
    <cellStyle name="IvkDocStyle 137" xfId="458"/>
    <cellStyle name="IvkDocStyle 138" xfId="459"/>
    <cellStyle name="IvkDocStyle 139" xfId="460"/>
    <cellStyle name="IvkDocStyle 14" xfId="461"/>
    <cellStyle name="IvkDocStyle 140" xfId="462"/>
    <cellStyle name="IvkDocStyle 141" xfId="463"/>
    <cellStyle name="IvkDocStyle 142" xfId="464"/>
    <cellStyle name="IvkDocStyle 143" xfId="465"/>
    <cellStyle name="IvkDocStyle 144" xfId="466"/>
    <cellStyle name="IvkDocStyle 145" xfId="467"/>
    <cellStyle name="IvkDocStyle 146" xfId="468"/>
    <cellStyle name="IvkDocStyle 147" xfId="469"/>
    <cellStyle name="IvkDocStyle 148" xfId="470"/>
    <cellStyle name="IvkDocStyle 149" xfId="471"/>
    <cellStyle name="IvkDocStyle 15" xfId="472"/>
    <cellStyle name="IvkDocStyle 150" xfId="473"/>
    <cellStyle name="IvkDocStyle 151" xfId="474"/>
    <cellStyle name="IvkDocStyle 152" xfId="475"/>
    <cellStyle name="IvkDocStyle 153" xfId="476"/>
    <cellStyle name="IvkDocStyle 154" xfId="477"/>
    <cellStyle name="IvkDocStyle 155" xfId="478"/>
    <cellStyle name="IvkDocStyle 156" xfId="479"/>
    <cellStyle name="IvkDocStyle 157" xfId="480"/>
    <cellStyle name="IvkDocStyle 16" xfId="481"/>
    <cellStyle name="IvkDocStyle 17" xfId="482"/>
    <cellStyle name="IvkDocStyle 18" xfId="483"/>
    <cellStyle name="IvkDocStyle 19" xfId="484"/>
    <cellStyle name="IvkDocStyle 19 2" xfId="583"/>
    <cellStyle name="IvkDocStyle 2" xfId="485"/>
    <cellStyle name="IvkDocStyle 2 2" xfId="584"/>
    <cellStyle name="IvkDocStyle 20" xfId="486"/>
    <cellStyle name="IvkDocStyle 20 2" xfId="585"/>
    <cellStyle name="IvkDocStyle 21" xfId="487"/>
    <cellStyle name="IvkDocStyle 21 2" xfId="586"/>
    <cellStyle name="IvkDocStyle 22" xfId="488"/>
    <cellStyle name="IvkDocStyle 22 2" xfId="587"/>
    <cellStyle name="IvkDocStyle 23" xfId="489"/>
    <cellStyle name="IvkDocStyle 23 2" xfId="588"/>
    <cellStyle name="IvkDocStyle 24" xfId="490"/>
    <cellStyle name="IvkDocStyle 24 2" xfId="589"/>
    <cellStyle name="IvkDocStyle 25" xfId="491"/>
    <cellStyle name="IvkDocStyle 25 2" xfId="590"/>
    <cellStyle name="IvkDocStyle 26" xfId="492"/>
    <cellStyle name="IvkDocStyle 26 2" xfId="591"/>
    <cellStyle name="IvkDocStyle 27" xfId="493"/>
    <cellStyle name="IvkDocStyle 27 2" xfId="592"/>
    <cellStyle name="IvkDocStyle 28" xfId="494"/>
    <cellStyle name="IvkDocStyle 28 2" xfId="593"/>
    <cellStyle name="IvkDocStyle 29" xfId="495"/>
    <cellStyle name="IvkDocStyle 29 2" xfId="594"/>
    <cellStyle name="IvkDocStyle 3" xfId="496"/>
    <cellStyle name="IvkDocStyle 3 2" xfId="595"/>
    <cellStyle name="IvkDocStyle 30" xfId="497"/>
    <cellStyle name="IvkDocStyle 30 2" xfId="596"/>
    <cellStyle name="IvkDocStyle 31" xfId="498"/>
    <cellStyle name="IvkDocStyle 31 2" xfId="597"/>
    <cellStyle name="IvkDocStyle 32" xfId="499"/>
    <cellStyle name="IvkDocStyle 32 2" xfId="598"/>
    <cellStyle name="IvkDocStyle 33" xfId="500"/>
    <cellStyle name="IvkDocStyle 33 2" xfId="599"/>
    <cellStyle name="IvkDocStyle 34" xfId="501"/>
    <cellStyle name="IvkDocStyle 34 2" xfId="600"/>
    <cellStyle name="IvkDocStyle 35" xfId="502"/>
    <cellStyle name="IvkDocStyle 35 2" xfId="601"/>
    <cellStyle name="IvkDocStyle 36" xfId="503"/>
    <cellStyle name="IvkDocStyle 36 2" xfId="602"/>
    <cellStyle name="IvkDocStyle 37" xfId="504"/>
    <cellStyle name="IvkDocStyle 38" xfId="505"/>
    <cellStyle name="IvkDocStyle 39" xfId="506"/>
    <cellStyle name="IvkDocStyle 39 2" xfId="603"/>
    <cellStyle name="IvkDocStyle 4" xfId="507"/>
    <cellStyle name="IvkDocStyle 4 2" xfId="604"/>
    <cellStyle name="IvkDocStyle 40" xfId="508"/>
    <cellStyle name="IvkDocStyle 41" xfId="509"/>
    <cellStyle name="IvkDocStyle 42" xfId="510"/>
    <cellStyle name="IvkDocStyle 43" xfId="511"/>
    <cellStyle name="IvkDocStyle 44" xfId="512"/>
    <cellStyle name="IvkDocStyle 45" xfId="513"/>
    <cellStyle name="IvkDocStyle 46" xfId="514"/>
    <cellStyle name="IvkDocStyle 47" xfId="515"/>
    <cellStyle name="IvkDocStyle 48" xfId="516"/>
    <cellStyle name="IvkDocStyle 49" xfId="517"/>
    <cellStyle name="IvkDocStyle 5" xfId="518"/>
    <cellStyle name="IvkDocStyle 5 2" xfId="605"/>
    <cellStyle name="IvkDocStyle 50" xfId="519"/>
    <cellStyle name="IvkDocStyle 51" xfId="520"/>
    <cellStyle name="IvkDocStyle 52" xfId="521"/>
    <cellStyle name="IvkDocStyle 53" xfId="522"/>
    <cellStyle name="IvkDocStyle 54" xfId="523"/>
    <cellStyle name="IvkDocStyle 55" xfId="524"/>
    <cellStyle name="IvkDocStyle 56" xfId="525"/>
    <cellStyle name="IvkDocStyle 57" xfId="526"/>
    <cellStyle name="IvkDocStyle 58" xfId="527"/>
    <cellStyle name="IvkDocStyle 59" xfId="528"/>
    <cellStyle name="IvkDocStyle 6" xfId="529"/>
    <cellStyle name="IvkDocStyle 6 2" xfId="606"/>
    <cellStyle name="IvkDocStyle 60" xfId="530"/>
    <cellStyle name="IvkDocStyle 61" xfId="531"/>
    <cellStyle name="IvkDocStyle 62" xfId="532"/>
    <cellStyle name="IvkDocStyle 63" xfId="533"/>
    <cellStyle name="IvkDocStyle 64" xfId="534"/>
    <cellStyle name="IvkDocStyle 65" xfId="535"/>
    <cellStyle name="IvkDocStyle 66" xfId="536"/>
    <cellStyle name="IvkDocStyle 67" xfId="537"/>
    <cellStyle name="IvkDocStyle 68" xfId="538"/>
    <cellStyle name="IvkDocStyle 69" xfId="539"/>
    <cellStyle name="IvkDocStyle 7" xfId="540"/>
    <cellStyle name="IvkDocStyle 7 2" xfId="607"/>
    <cellStyle name="IvkDocStyle 70" xfId="541"/>
    <cellStyle name="IvkDocStyle 71" xfId="542"/>
    <cellStyle name="IvkDocStyle 72" xfId="543"/>
    <cellStyle name="IvkDocStyle 73" xfId="544"/>
    <cellStyle name="IvkDocStyle 74" xfId="545"/>
    <cellStyle name="IvkDocStyle 75" xfId="546"/>
    <cellStyle name="IvkDocStyle 76" xfId="547"/>
    <cellStyle name="IvkDocStyle 77" xfId="548"/>
    <cellStyle name="IvkDocStyle 78" xfId="549"/>
    <cellStyle name="IvkDocStyle 79" xfId="550"/>
    <cellStyle name="IvkDocStyle 8" xfId="551"/>
    <cellStyle name="IvkDocStyle 80" xfId="552"/>
    <cellStyle name="IvkDocStyle 81" xfId="553"/>
    <cellStyle name="IvkDocStyle 82" xfId="554"/>
    <cellStyle name="IvkDocStyle 83" xfId="555"/>
    <cellStyle name="IvkDocStyle 84" xfId="556"/>
    <cellStyle name="IvkDocStyle 85" xfId="557"/>
    <cellStyle name="IvkDocStyle 86" xfId="558"/>
    <cellStyle name="IvkDocStyle 87" xfId="559"/>
    <cellStyle name="IvkDocStyle 88" xfId="560"/>
    <cellStyle name="IvkDocStyle 89" xfId="561"/>
    <cellStyle name="IvkDocStyle 9" xfId="562"/>
    <cellStyle name="IvkDocStyle 9 2" xfId="608"/>
    <cellStyle name="IvkDocStyle 90" xfId="563"/>
    <cellStyle name="IvkDocStyle 91" xfId="564"/>
    <cellStyle name="IvkDocStyle 92" xfId="565"/>
    <cellStyle name="IvkDocStyle 93" xfId="566"/>
    <cellStyle name="IvkDocStyle 94" xfId="567"/>
    <cellStyle name="IvkDocStyle 95" xfId="568"/>
    <cellStyle name="IvkDocStyle 96" xfId="569"/>
    <cellStyle name="IvkDocStyle 97" xfId="570"/>
    <cellStyle name="IvkDocStyle 98" xfId="571"/>
    <cellStyle name="IvkDocStyle 99" xfId="572"/>
    <cellStyle name="Normal 2" xfId="611"/>
    <cellStyle name="Normal 3" xfId="618"/>
    <cellStyle name="Normal_Cost Plan Alupka -- Notes -- Issue 1" xfId="625"/>
    <cellStyle name="TableStyleLight1" xfId="116"/>
    <cellStyle name="TableStyleLight1 2" xfId="13"/>
    <cellStyle name="TableStyleLight1_первоначальные работы" xfId="612"/>
    <cellStyle name="Гиперссылка" xfId="8865"/>
    <cellStyle name="Гиперссылка 2" xfId="8866"/>
    <cellStyle name="Денежный 2" xfId="115"/>
    <cellStyle name="Денежный 3" xfId="4334"/>
    <cellStyle name="Денежный 4" xfId="8757"/>
    <cellStyle name="Денежный 5" xfId="1055"/>
    <cellStyle name="Звичайний_Лист 1" xfId="8778"/>
    <cellStyle name="Обычный" xfId="0" builtinId="0"/>
    <cellStyle name="Обычный 10" xfId="120"/>
    <cellStyle name="Обычный 10 10" xfId="2240"/>
    <cellStyle name="Обычный 10 10 2" xfId="6091"/>
    <cellStyle name="Обычный 10 11" xfId="2536"/>
    <cellStyle name="Обычный 10 11 2" xfId="6387"/>
    <cellStyle name="Обычный 10 12" xfId="2832"/>
    <cellStyle name="Обычный 10 12 2" xfId="6683"/>
    <cellStyle name="Обычный 10 13" xfId="3128"/>
    <cellStyle name="Обычный 10 13 2" xfId="6979"/>
    <cellStyle name="Обычный 10 14" xfId="3424"/>
    <cellStyle name="Обычный 10 14 2" xfId="7275"/>
    <cellStyle name="Обычный 10 15" xfId="3720"/>
    <cellStyle name="Обычный 10 15 2" xfId="7571"/>
    <cellStyle name="Обычный 10 16" xfId="4016"/>
    <cellStyle name="Обычный 10 16 2" xfId="7867"/>
    <cellStyle name="Обычный 10 17" xfId="8163"/>
    <cellStyle name="Обычный 10 18" xfId="4312"/>
    <cellStyle name="Обычный 10 2" xfId="168"/>
    <cellStyle name="Обычный 10 2 10" xfId="2880"/>
    <cellStyle name="Обычный 10 2 10 2" xfId="6731"/>
    <cellStyle name="Обычный 10 2 11" xfId="3176"/>
    <cellStyle name="Обычный 10 2 11 2" xfId="7027"/>
    <cellStyle name="Обычный 10 2 12" xfId="3472"/>
    <cellStyle name="Обычный 10 2 12 2" xfId="7323"/>
    <cellStyle name="Обычный 10 2 13" xfId="3768"/>
    <cellStyle name="Обычный 10 2 13 2" xfId="7619"/>
    <cellStyle name="Обычный 10 2 14" xfId="4064"/>
    <cellStyle name="Обычный 10 2 14 2" xfId="7915"/>
    <cellStyle name="Обычный 10 2 15" xfId="8213"/>
    <cellStyle name="Обычный 10 2 16" xfId="4361"/>
    <cellStyle name="Обычный 10 2 17" xfId="8801"/>
    <cellStyle name="Обычный 10 2 18" xfId="8805"/>
    <cellStyle name="Обычный 10 2 2" xfId="268"/>
    <cellStyle name="Обычный 10 2 2 10" xfId="3324"/>
    <cellStyle name="Обычный 10 2 2 10 2" xfId="7175"/>
    <cellStyle name="Обычный 10 2 2 11" xfId="3620"/>
    <cellStyle name="Обычный 10 2 2 11 2" xfId="7471"/>
    <cellStyle name="Обычный 10 2 2 12" xfId="3916"/>
    <cellStyle name="Обычный 10 2 2 12 2" xfId="7767"/>
    <cellStyle name="Обычный 10 2 2 13" xfId="4212"/>
    <cellStyle name="Обычный 10 2 2 13 2" xfId="8063"/>
    <cellStyle name="Обычный 10 2 2 14" xfId="8314"/>
    <cellStyle name="Обычный 10 2 2 15" xfId="4511"/>
    <cellStyle name="Обычный 10 2 2 2" xfId="726"/>
    <cellStyle name="Обычный 10 2 2 2 2" xfId="1051"/>
    <cellStyle name="Обычный 10 2 2 2 3" xfId="4807"/>
    <cellStyle name="Обычный 10 2 2 3" xfId="1269"/>
    <cellStyle name="Обычный 10 2 2 3 2" xfId="5103"/>
    <cellStyle name="Обычный 10 2 2 4" xfId="1555"/>
    <cellStyle name="Обычный 10 2 2 4 2" xfId="5399"/>
    <cellStyle name="Обычный 10 2 2 5" xfId="1848"/>
    <cellStyle name="Обычный 10 2 2 5 2" xfId="5695"/>
    <cellStyle name="Обычный 10 2 2 6" xfId="2141"/>
    <cellStyle name="Обычный 10 2 2 6 2" xfId="5991"/>
    <cellStyle name="Обычный 10 2 2 7" xfId="2436"/>
    <cellStyle name="Обычный 10 2 2 7 2" xfId="6287"/>
    <cellStyle name="Обычный 10 2 2 8" xfId="2732"/>
    <cellStyle name="Обычный 10 2 2 8 2" xfId="6583"/>
    <cellStyle name="Обычный 10 2 2 9" xfId="3028"/>
    <cellStyle name="Обычный 10 2 2 9 2" xfId="6879"/>
    <cellStyle name="Обычный 10 2 3" xfId="369"/>
    <cellStyle name="Обычный 10 2 3 2" xfId="727"/>
    <cellStyle name="Обычный 10 2 3 3" xfId="8414"/>
    <cellStyle name="Обычный 10 2 3 4" xfId="4659"/>
    <cellStyle name="Обычный 10 2 4" xfId="634"/>
    <cellStyle name="Обычный 10 2 4 2" xfId="8462"/>
    <cellStyle name="Обычный 10 2 4 3" xfId="4955"/>
    <cellStyle name="Обычный 10 2 5" xfId="1411"/>
    <cellStyle name="Обычный 10 2 5 2" xfId="5251"/>
    <cellStyle name="Обычный 10 2 6" xfId="1701"/>
    <cellStyle name="Обычный 10 2 6 2" xfId="5547"/>
    <cellStyle name="Обычный 10 2 7" xfId="1050"/>
    <cellStyle name="Обычный 10 2 7 2" xfId="5843"/>
    <cellStyle name="Обычный 10 2 8" xfId="2288"/>
    <cellStyle name="Обычный 10 2 8 2" xfId="6139"/>
    <cellStyle name="Обычный 10 2 9" xfId="2584"/>
    <cellStyle name="Обычный 10 2 9 2" xfId="6435"/>
    <cellStyle name="Обычный 10 3" xfId="219"/>
    <cellStyle name="Обычный 10 3 10" xfId="2930"/>
    <cellStyle name="Обычный 10 3 10 2" xfId="6781"/>
    <cellStyle name="Обычный 10 3 11" xfId="3226"/>
    <cellStyle name="Обычный 10 3 11 2" xfId="7077"/>
    <cellStyle name="Обычный 10 3 12" xfId="3522"/>
    <cellStyle name="Обычный 10 3 12 2" xfId="7373"/>
    <cellStyle name="Обычный 10 3 13" xfId="3818"/>
    <cellStyle name="Обычный 10 3 13 2" xfId="7669"/>
    <cellStyle name="Обычный 10 3 14" xfId="4114"/>
    <cellStyle name="Обычный 10 3 14 2" xfId="7965"/>
    <cellStyle name="Обычный 10 3 15" xfId="8264"/>
    <cellStyle name="Обычный 10 3 16" xfId="4412"/>
    <cellStyle name="Обычный 10 3 2" xfId="631"/>
    <cellStyle name="Обычный 10 3 2 10" xfId="3374"/>
    <cellStyle name="Обычный 10 3 2 10 2" xfId="7225"/>
    <cellStyle name="Обычный 10 3 2 11" xfId="3670"/>
    <cellStyle name="Обычный 10 3 2 11 2" xfId="7521"/>
    <cellStyle name="Обычный 10 3 2 12" xfId="3966"/>
    <cellStyle name="Обычный 10 3 2 12 2" xfId="7817"/>
    <cellStyle name="Обычный 10 3 2 13" xfId="4262"/>
    <cellStyle name="Обычный 10 3 2 13 2" xfId="8113"/>
    <cellStyle name="Обычный 10 3 2 14" xfId="8459"/>
    <cellStyle name="Обычный 10 3 2 15" xfId="4561"/>
    <cellStyle name="Обычный 10 3 2 2" xfId="1128"/>
    <cellStyle name="Обычный 10 3 2 2 2" xfId="4857"/>
    <cellStyle name="Обычный 10 3 2 3" xfId="1317"/>
    <cellStyle name="Обычный 10 3 2 3 2" xfId="5153"/>
    <cellStyle name="Обычный 10 3 2 4" xfId="1604"/>
    <cellStyle name="Обычный 10 3 2 4 2" xfId="5449"/>
    <cellStyle name="Обычный 10 3 2 5" xfId="1897"/>
    <cellStyle name="Обычный 10 3 2 5 2" xfId="5745"/>
    <cellStyle name="Обычный 10 3 2 6" xfId="2191"/>
    <cellStyle name="Обычный 10 3 2 6 2" xfId="6041"/>
    <cellStyle name="Обычный 10 3 2 7" xfId="2486"/>
    <cellStyle name="Обычный 10 3 2 7 2" xfId="6337"/>
    <cellStyle name="Обычный 10 3 2 8" xfId="2782"/>
    <cellStyle name="Обычный 10 3 2 8 2" xfId="6633"/>
    <cellStyle name="Обычный 10 3 2 9" xfId="3078"/>
    <cellStyle name="Обычный 10 3 2 9 2" xfId="6929"/>
    <cellStyle name="Обычный 10 3 3" xfId="1081"/>
    <cellStyle name="Обычный 10 3 3 2" xfId="4709"/>
    <cellStyle name="Обычный 10 3 4" xfId="1175"/>
    <cellStyle name="Обычный 10 3 4 2" xfId="5005"/>
    <cellStyle name="Обычный 10 3 5" xfId="1459"/>
    <cellStyle name="Обычный 10 3 5 2" xfId="5301"/>
    <cellStyle name="Обычный 10 3 6" xfId="1750"/>
    <cellStyle name="Обычный 10 3 6 2" xfId="5597"/>
    <cellStyle name="Обычный 10 3 7" xfId="2043"/>
    <cellStyle name="Обычный 10 3 7 2" xfId="5893"/>
    <cellStyle name="Обычный 10 3 8" xfId="2338"/>
    <cellStyle name="Обычный 10 3 8 2" xfId="6189"/>
    <cellStyle name="Обычный 10 3 9" xfId="2634"/>
    <cellStyle name="Обычный 10 3 9 2" xfId="6485"/>
    <cellStyle name="Обычный 10 4" xfId="319"/>
    <cellStyle name="Обычный 10 4 10" xfId="3276"/>
    <cellStyle name="Обычный 10 4 10 2" xfId="7127"/>
    <cellStyle name="Обычный 10 4 11" xfId="3572"/>
    <cellStyle name="Обычный 10 4 11 2" xfId="7423"/>
    <cellStyle name="Обычный 10 4 12" xfId="3868"/>
    <cellStyle name="Обычный 10 4 12 2" xfId="7719"/>
    <cellStyle name="Обычный 10 4 13" xfId="4164"/>
    <cellStyle name="Обычный 10 4 13 2" xfId="8015"/>
    <cellStyle name="Обычный 10 4 14" xfId="8364"/>
    <cellStyle name="Обычный 10 4 15" xfId="4463"/>
    <cellStyle name="Обычный 10 4 2" xfId="678"/>
    <cellStyle name="Обычный 10 4 2 2" xfId="8481"/>
    <cellStyle name="Обычный 10 4 2 3" xfId="4759"/>
    <cellStyle name="Обычный 10 4 3" xfId="1223"/>
    <cellStyle name="Обычный 10 4 3 2" xfId="5055"/>
    <cellStyle name="Обычный 10 4 4" xfId="1508"/>
    <cellStyle name="Обычный 10 4 4 2" xfId="5351"/>
    <cellStyle name="Обычный 10 4 5" xfId="1800"/>
    <cellStyle name="Обычный 10 4 5 2" xfId="5647"/>
    <cellStyle name="Обычный 10 4 6" xfId="2093"/>
    <cellStyle name="Обычный 10 4 6 2" xfId="5943"/>
    <cellStyle name="Обычный 10 4 7" xfId="2388"/>
    <cellStyle name="Обычный 10 4 7 2" xfId="6239"/>
    <cellStyle name="Обычный 10 4 8" xfId="2684"/>
    <cellStyle name="Обычный 10 4 8 2" xfId="6535"/>
    <cellStyle name="Обычный 10 4 9" xfId="2980"/>
    <cellStyle name="Обычный 10 4 9 2" xfId="6831"/>
    <cellStyle name="Обычный 10 5" xfId="412"/>
    <cellStyle name="Обычный 10 5 2" xfId="8448"/>
    <cellStyle name="Обычный 10 5 3" xfId="4611"/>
    <cellStyle name="Обычный 10 6" xfId="728"/>
    <cellStyle name="Обычный 10 6 2" xfId="8499"/>
    <cellStyle name="Обычный 10 6 3" xfId="4907"/>
    <cellStyle name="Обычный 10 7" xfId="1364"/>
    <cellStyle name="Обычный 10 7 2" xfId="5203"/>
    <cellStyle name="Обычный 10 8" xfId="1653"/>
    <cellStyle name="Обычный 10 8 2" xfId="5499"/>
    <cellStyle name="Обычный 10 9" xfId="1946"/>
    <cellStyle name="Обычный 10 9 2" xfId="5795"/>
    <cellStyle name="Обычный 11" xfId="71"/>
    <cellStyle name="Обычный 11 10" xfId="1926"/>
    <cellStyle name="Обычный 11 10 2" xfId="5774"/>
    <cellStyle name="Обычный 11 10 3" xfId="8845"/>
    <cellStyle name="Обычный 11 11" xfId="2220"/>
    <cellStyle name="Обычный 11 11 2" xfId="6070"/>
    <cellStyle name="Обычный 11 11 3" xfId="8847"/>
    <cellStyle name="Обычный 11 12" xfId="2515"/>
    <cellStyle name="Обычный 11 12 2" xfId="6366"/>
    <cellStyle name="Обычный 11 12 3" xfId="8849"/>
    <cellStyle name="Обычный 11 13" xfId="2811"/>
    <cellStyle name="Обычный 11 13 2" xfId="6662"/>
    <cellStyle name="Обычный 11 14" xfId="3107"/>
    <cellStyle name="Обычный 11 14 2" xfId="6958"/>
    <cellStyle name="Обычный 11 15" xfId="3403"/>
    <cellStyle name="Обычный 11 15 2" xfId="7254"/>
    <cellStyle name="Обычный 11 16" xfId="3699"/>
    <cellStyle name="Обычный 11 16 2" xfId="7550"/>
    <cellStyle name="Обычный 11 17" xfId="3995"/>
    <cellStyle name="Обычный 11 17 2" xfId="7846"/>
    <cellStyle name="Обычный 11 18" xfId="8142"/>
    <cellStyle name="Обычный 11 19" xfId="4291"/>
    <cellStyle name="Обычный 11 2" xfId="121"/>
    <cellStyle name="Обычный 11 2 10" xfId="2241"/>
    <cellStyle name="Обычный 11 2 10 2" xfId="6092"/>
    <cellStyle name="Обычный 11 2 11" xfId="2537"/>
    <cellStyle name="Обычный 11 2 11 2" xfId="6388"/>
    <cellStyle name="Обычный 11 2 12" xfId="2833"/>
    <cellStyle name="Обычный 11 2 12 2" xfId="6684"/>
    <cellStyle name="Обычный 11 2 13" xfId="3129"/>
    <cellStyle name="Обычный 11 2 13 2" xfId="6980"/>
    <cellStyle name="Обычный 11 2 14" xfId="3425"/>
    <cellStyle name="Обычный 11 2 14 2" xfId="7276"/>
    <cellStyle name="Обычный 11 2 15" xfId="3721"/>
    <cellStyle name="Обычный 11 2 15 2" xfId="7572"/>
    <cellStyle name="Обычный 11 2 16" xfId="4017"/>
    <cellStyle name="Обычный 11 2 16 2" xfId="7868"/>
    <cellStyle name="Обычный 11 2 17" xfId="8164"/>
    <cellStyle name="Обычный 11 2 18" xfId="4313"/>
    <cellStyle name="Обычный 11 2 2" xfId="169"/>
    <cellStyle name="Обычный 11 2 2 10" xfId="2881"/>
    <cellStyle name="Обычный 11 2 2 10 2" xfId="6732"/>
    <cellStyle name="Обычный 11 2 2 11" xfId="3177"/>
    <cellStyle name="Обычный 11 2 2 11 2" xfId="7028"/>
    <cellStyle name="Обычный 11 2 2 12" xfId="3473"/>
    <cellStyle name="Обычный 11 2 2 12 2" xfId="7324"/>
    <cellStyle name="Обычный 11 2 2 13" xfId="3769"/>
    <cellStyle name="Обычный 11 2 2 13 2" xfId="7620"/>
    <cellStyle name="Обычный 11 2 2 14" xfId="4065"/>
    <cellStyle name="Обычный 11 2 2 14 2" xfId="7916"/>
    <cellStyle name="Обычный 11 2 2 15" xfId="8214"/>
    <cellStyle name="Обычный 11 2 2 16" xfId="4362"/>
    <cellStyle name="Обычный 11 2 2 2" xfId="269"/>
    <cellStyle name="Обычный 11 2 2 2 10" xfId="3325"/>
    <cellStyle name="Обычный 11 2 2 2 10 2" xfId="7176"/>
    <cellStyle name="Обычный 11 2 2 2 11" xfId="3621"/>
    <cellStyle name="Обычный 11 2 2 2 11 2" xfId="7472"/>
    <cellStyle name="Обычный 11 2 2 2 12" xfId="3917"/>
    <cellStyle name="Обычный 11 2 2 2 12 2" xfId="7768"/>
    <cellStyle name="Обычный 11 2 2 2 13" xfId="4213"/>
    <cellStyle name="Обычный 11 2 2 2 13 2" xfId="8064"/>
    <cellStyle name="Обычный 11 2 2 2 14" xfId="8315"/>
    <cellStyle name="Обычный 11 2 2 2 15" xfId="4512"/>
    <cellStyle name="Обычный 11 2 2 2 2" xfId="729"/>
    <cellStyle name="Обычный 11 2 2 2 2 2" xfId="8500"/>
    <cellStyle name="Обычный 11 2 2 2 2 3" xfId="4808"/>
    <cellStyle name="Обычный 11 2 2 2 3" xfId="1270"/>
    <cellStyle name="Обычный 11 2 2 2 3 2" xfId="5104"/>
    <cellStyle name="Обычный 11 2 2 2 4" xfId="1556"/>
    <cellStyle name="Обычный 11 2 2 2 4 2" xfId="5400"/>
    <cellStyle name="Обычный 11 2 2 2 5" xfId="1849"/>
    <cellStyle name="Обычный 11 2 2 2 5 2" xfId="5696"/>
    <cellStyle name="Обычный 11 2 2 2 6" xfId="2142"/>
    <cellStyle name="Обычный 11 2 2 2 6 2" xfId="5992"/>
    <cellStyle name="Обычный 11 2 2 2 7" xfId="2437"/>
    <cellStyle name="Обычный 11 2 2 2 7 2" xfId="6288"/>
    <cellStyle name="Обычный 11 2 2 2 8" xfId="2733"/>
    <cellStyle name="Обычный 11 2 2 2 8 2" xfId="6584"/>
    <cellStyle name="Обычный 11 2 2 2 9" xfId="3029"/>
    <cellStyle name="Обычный 11 2 2 2 9 2" xfId="6880"/>
    <cellStyle name="Обычный 11 2 2 3" xfId="370"/>
    <cellStyle name="Обычный 11 2 2 3 2" xfId="730"/>
    <cellStyle name="Обычный 11 2 2 3 3" xfId="8415"/>
    <cellStyle name="Обычный 11 2 2 3 4" xfId="4660"/>
    <cellStyle name="Обычный 11 2 2 4" xfId="731"/>
    <cellStyle name="Обычный 11 2 2 4 2" xfId="8501"/>
    <cellStyle name="Обычный 11 2 2 4 3" xfId="4956"/>
    <cellStyle name="Обычный 11 2 2 5" xfId="1412"/>
    <cellStyle name="Обычный 11 2 2 5 2" xfId="5252"/>
    <cellStyle name="Обычный 11 2 2 6" xfId="1702"/>
    <cellStyle name="Обычный 11 2 2 6 2" xfId="5548"/>
    <cellStyle name="Обычный 11 2 2 7" xfId="1994"/>
    <cellStyle name="Обычный 11 2 2 7 2" xfId="5844"/>
    <cellStyle name="Обычный 11 2 2 8" xfId="2289"/>
    <cellStyle name="Обычный 11 2 2 8 2" xfId="6140"/>
    <cellStyle name="Обычный 11 2 2 9" xfId="2585"/>
    <cellStyle name="Обычный 11 2 2 9 2" xfId="6436"/>
    <cellStyle name="Обычный 11 2 3" xfId="220"/>
    <cellStyle name="Обычный 11 2 3 10" xfId="2931"/>
    <cellStyle name="Обычный 11 2 3 10 2" xfId="6782"/>
    <cellStyle name="Обычный 11 2 3 11" xfId="3227"/>
    <cellStyle name="Обычный 11 2 3 11 2" xfId="7078"/>
    <cellStyle name="Обычный 11 2 3 12" xfId="3523"/>
    <cellStyle name="Обычный 11 2 3 12 2" xfId="7374"/>
    <cellStyle name="Обычный 11 2 3 13" xfId="3819"/>
    <cellStyle name="Обычный 11 2 3 13 2" xfId="7670"/>
    <cellStyle name="Обычный 11 2 3 14" xfId="4115"/>
    <cellStyle name="Обычный 11 2 3 14 2" xfId="7966"/>
    <cellStyle name="Обычный 11 2 3 15" xfId="8265"/>
    <cellStyle name="Обычный 11 2 3 16" xfId="4413"/>
    <cellStyle name="Обычный 11 2 3 2" xfId="732"/>
    <cellStyle name="Обычный 11 2 3 2 10" xfId="3375"/>
    <cellStyle name="Обычный 11 2 3 2 10 2" xfId="7226"/>
    <cellStyle name="Обычный 11 2 3 2 11" xfId="3671"/>
    <cellStyle name="Обычный 11 2 3 2 11 2" xfId="7522"/>
    <cellStyle name="Обычный 11 2 3 2 12" xfId="3967"/>
    <cellStyle name="Обычный 11 2 3 2 12 2" xfId="7818"/>
    <cellStyle name="Обычный 11 2 3 2 13" xfId="4263"/>
    <cellStyle name="Обычный 11 2 3 2 13 2" xfId="8114"/>
    <cellStyle name="Обычный 11 2 3 2 14" xfId="8502"/>
    <cellStyle name="Обычный 11 2 3 2 15" xfId="4562"/>
    <cellStyle name="Обычный 11 2 3 2 2" xfId="1129"/>
    <cellStyle name="Обычный 11 2 3 2 2 2" xfId="4858"/>
    <cellStyle name="Обычный 11 2 3 2 3" xfId="1318"/>
    <cellStyle name="Обычный 11 2 3 2 3 2" xfId="5154"/>
    <cellStyle name="Обычный 11 2 3 2 4" xfId="1605"/>
    <cellStyle name="Обычный 11 2 3 2 4 2" xfId="5450"/>
    <cellStyle name="Обычный 11 2 3 2 5" xfId="1898"/>
    <cellStyle name="Обычный 11 2 3 2 5 2" xfId="5746"/>
    <cellStyle name="Обычный 11 2 3 2 6" xfId="2192"/>
    <cellStyle name="Обычный 11 2 3 2 6 2" xfId="6042"/>
    <cellStyle name="Обычный 11 2 3 2 7" xfId="2487"/>
    <cellStyle name="Обычный 11 2 3 2 7 2" xfId="6338"/>
    <cellStyle name="Обычный 11 2 3 2 8" xfId="2783"/>
    <cellStyle name="Обычный 11 2 3 2 8 2" xfId="6634"/>
    <cellStyle name="Обычный 11 2 3 2 9" xfId="3079"/>
    <cellStyle name="Обычный 11 2 3 2 9 2" xfId="6930"/>
    <cellStyle name="Обычный 11 2 3 3" xfId="1082"/>
    <cellStyle name="Обычный 11 2 3 3 2" xfId="4710"/>
    <cellStyle name="Обычный 11 2 3 4" xfId="1176"/>
    <cellStyle name="Обычный 11 2 3 4 2" xfId="5006"/>
    <cellStyle name="Обычный 11 2 3 5" xfId="1460"/>
    <cellStyle name="Обычный 11 2 3 5 2" xfId="5302"/>
    <cellStyle name="Обычный 11 2 3 6" xfId="1751"/>
    <cellStyle name="Обычный 11 2 3 6 2" xfId="5598"/>
    <cellStyle name="Обычный 11 2 3 7" xfId="2044"/>
    <cellStyle name="Обычный 11 2 3 7 2" xfId="5894"/>
    <cellStyle name="Обычный 11 2 3 8" xfId="2339"/>
    <cellStyle name="Обычный 11 2 3 8 2" xfId="6190"/>
    <cellStyle name="Обычный 11 2 3 9" xfId="2635"/>
    <cellStyle name="Обычный 11 2 3 9 2" xfId="6486"/>
    <cellStyle name="Обычный 11 2 4" xfId="320"/>
    <cellStyle name="Обычный 11 2 4 10" xfId="3277"/>
    <cellStyle name="Обычный 11 2 4 10 2" xfId="7128"/>
    <cellStyle name="Обычный 11 2 4 11" xfId="3573"/>
    <cellStyle name="Обычный 11 2 4 11 2" xfId="7424"/>
    <cellStyle name="Обычный 11 2 4 12" xfId="3869"/>
    <cellStyle name="Обычный 11 2 4 12 2" xfId="7720"/>
    <cellStyle name="Обычный 11 2 4 13" xfId="4165"/>
    <cellStyle name="Обычный 11 2 4 13 2" xfId="8016"/>
    <cellStyle name="Обычный 11 2 4 14" xfId="8365"/>
    <cellStyle name="Обычный 11 2 4 15" xfId="4464"/>
    <cellStyle name="Обычный 11 2 4 2" xfId="733"/>
    <cellStyle name="Обычный 11 2 4 2 2" xfId="8503"/>
    <cellStyle name="Обычный 11 2 4 2 3" xfId="4760"/>
    <cellStyle name="Обычный 11 2 4 3" xfId="1224"/>
    <cellStyle name="Обычный 11 2 4 3 2" xfId="5056"/>
    <cellStyle name="Обычный 11 2 4 4" xfId="1509"/>
    <cellStyle name="Обычный 11 2 4 4 2" xfId="5352"/>
    <cellStyle name="Обычный 11 2 4 5" xfId="1801"/>
    <cellStyle name="Обычный 11 2 4 5 2" xfId="5648"/>
    <cellStyle name="Обычный 11 2 4 6" xfId="2094"/>
    <cellStyle name="Обычный 11 2 4 6 2" xfId="5944"/>
    <cellStyle name="Обычный 11 2 4 7" xfId="2389"/>
    <cellStyle name="Обычный 11 2 4 7 2" xfId="6240"/>
    <cellStyle name="Обычный 11 2 4 8" xfId="2685"/>
    <cellStyle name="Обычный 11 2 4 8 2" xfId="6536"/>
    <cellStyle name="Обычный 11 2 4 9" xfId="2981"/>
    <cellStyle name="Обычный 11 2 4 9 2" xfId="6832"/>
    <cellStyle name="Обычный 11 2 5" xfId="632"/>
    <cellStyle name="Обычный 11 2 5 2" xfId="8460"/>
    <cellStyle name="Обычный 11 2 5 3" xfId="4612"/>
    <cellStyle name="Обычный 11 2 6" xfId="734"/>
    <cellStyle name="Обычный 11 2 6 2" xfId="8504"/>
    <cellStyle name="Обычный 11 2 6 3" xfId="4908"/>
    <cellStyle name="Обычный 11 2 7" xfId="1365"/>
    <cellStyle name="Обычный 11 2 7 2" xfId="5204"/>
    <cellStyle name="Обычный 11 2 8" xfId="1654"/>
    <cellStyle name="Обычный 11 2 8 2" xfId="5500"/>
    <cellStyle name="Обычный 11 2 9" xfId="1947"/>
    <cellStyle name="Обычный 11 2 9 2" xfId="5796"/>
    <cellStyle name="Обычный 11 20" xfId="8854"/>
    <cellStyle name="Обычный 11 3" xfId="148"/>
    <cellStyle name="Обычный 11 3 10" xfId="2859"/>
    <cellStyle name="Обычный 11 3 10 2" xfId="6710"/>
    <cellStyle name="Обычный 11 3 11" xfId="3155"/>
    <cellStyle name="Обычный 11 3 11 2" xfId="7006"/>
    <cellStyle name="Обычный 11 3 12" xfId="3451"/>
    <cellStyle name="Обычный 11 3 12 2" xfId="7302"/>
    <cellStyle name="Обычный 11 3 13" xfId="3747"/>
    <cellStyle name="Обычный 11 3 13 2" xfId="7598"/>
    <cellStyle name="Обычный 11 3 14" xfId="4043"/>
    <cellStyle name="Обычный 11 3 14 2" xfId="7894"/>
    <cellStyle name="Обычный 11 3 15" xfId="8192"/>
    <cellStyle name="Обычный 11 3 16" xfId="4340"/>
    <cellStyle name="Обычный 11 3 17" xfId="8830"/>
    <cellStyle name="Обычный 11 3 2" xfId="248"/>
    <cellStyle name="Обычный 11 3 2 10" xfId="3303"/>
    <cellStyle name="Обычный 11 3 2 10 2" xfId="7154"/>
    <cellStyle name="Обычный 11 3 2 11" xfId="3599"/>
    <cellStyle name="Обычный 11 3 2 11 2" xfId="7450"/>
    <cellStyle name="Обычный 11 3 2 12" xfId="3895"/>
    <cellStyle name="Обычный 11 3 2 12 2" xfId="7746"/>
    <cellStyle name="Обычный 11 3 2 13" xfId="4191"/>
    <cellStyle name="Обычный 11 3 2 13 2" xfId="8042"/>
    <cellStyle name="Обычный 11 3 2 14" xfId="8293"/>
    <cellStyle name="Обычный 11 3 2 15" xfId="4490"/>
    <cellStyle name="Обычный 11 3 2 2" xfId="735"/>
    <cellStyle name="Обычный 11 3 2 2 2" xfId="8505"/>
    <cellStyle name="Обычный 11 3 2 2 3" xfId="4786"/>
    <cellStyle name="Обычный 11 3 2 3" xfId="1249"/>
    <cellStyle name="Обычный 11 3 2 3 2" xfId="5082"/>
    <cellStyle name="Обычный 11 3 2 4" xfId="1535"/>
    <cellStyle name="Обычный 11 3 2 4 2" xfId="5378"/>
    <cellStyle name="Обычный 11 3 2 5" xfId="1827"/>
    <cellStyle name="Обычный 11 3 2 5 2" xfId="5674"/>
    <cellStyle name="Обычный 11 3 2 6" xfId="2120"/>
    <cellStyle name="Обычный 11 3 2 6 2" xfId="5970"/>
    <cellStyle name="Обычный 11 3 2 7" xfId="2415"/>
    <cellStyle name="Обычный 11 3 2 7 2" xfId="6266"/>
    <cellStyle name="Обычный 11 3 2 8" xfId="2711"/>
    <cellStyle name="Обычный 11 3 2 8 2" xfId="6562"/>
    <cellStyle name="Обычный 11 3 2 9" xfId="3007"/>
    <cellStyle name="Обычный 11 3 2 9 2" xfId="6858"/>
    <cellStyle name="Обычный 11 3 3" xfId="348"/>
    <cellStyle name="Обычный 11 3 3 2" xfId="736"/>
    <cellStyle name="Обычный 11 3 3 3" xfId="8393"/>
    <cellStyle name="Обычный 11 3 3 4" xfId="4638"/>
    <cellStyle name="Обычный 11 3 4" xfId="737"/>
    <cellStyle name="Обычный 11 3 4 2" xfId="8506"/>
    <cellStyle name="Обычный 11 3 4 3" xfId="4934"/>
    <cellStyle name="Обычный 11 3 5" xfId="1391"/>
    <cellStyle name="Обычный 11 3 5 2" xfId="5230"/>
    <cellStyle name="Обычный 11 3 6" xfId="1680"/>
    <cellStyle name="Обычный 11 3 6 2" xfId="5526"/>
    <cellStyle name="Обычный 11 3 7" xfId="1973"/>
    <cellStyle name="Обычный 11 3 7 2" xfId="5822"/>
    <cellStyle name="Обычный 11 3 8" xfId="2267"/>
    <cellStyle name="Обычный 11 3 8 2" xfId="6118"/>
    <cellStyle name="Обычный 11 3 9" xfId="2563"/>
    <cellStyle name="Обычный 11 3 9 2" xfId="6414"/>
    <cellStyle name="Обычный 11 4" xfId="199"/>
    <cellStyle name="Обычный 11 4 10" xfId="2909"/>
    <cellStyle name="Обычный 11 4 10 2" xfId="6760"/>
    <cellStyle name="Обычный 11 4 11" xfId="3205"/>
    <cellStyle name="Обычный 11 4 11 2" xfId="7056"/>
    <cellStyle name="Обычный 11 4 12" xfId="3501"/>
    <cellStyle name="Обычный 11 4 12 2" xfId="7352"/>
    <cellStyle name="Обычный 11 4 13" xfId="3797"/>
    <cellStyle name="Обычный 11 4 13 2" xfId="7648"/>
    <cellStyle name="Обычный 11 4 14" xfId="4093"/>
    <cellStyle name="Обычный 11 4 14 2" xfId="7944"/>
    <cellStyle name="Обычный 11 4 15" xfId="8243"/>
    <cellStyle name="Обычный 11 4 16" xfId="4391"/>
    <cellStyle name="Обычный 11 4 17" xfId="8835"/>
    <cellStyle name="Обычный 11 4 2" xfId="738"/>
    <cellStyle name="Обычный 11 4 2 10" xfId="3353"/>
    <cellStyle name="Обычный 11 4 2 10 2" xfId="7204"/>
    <cellStyle name="Обычный 11 4 2 11" xfId="3649"/>
    <cellStyle name="Обычный 11 4 2 11 2" xfId="7500"/>
    <cellStyle name="Обычный 11 4 2 12" xfId="3945"/>
    <cellStyle name="Обычный 11 4 2 12 2" xfId="7796"/>
    <cellStyle name="Обычный 11 4 2 13" xfId="4241"/>
    <cellStyle name="Обычный 11 4 2 13 2" xfId="8092"/>
    <cellStyle name="Обычный 11 4 2 14" xfId="8507"/>
    <cellStyle name="Обычный 11 4 2 15" xfId="4540"/>
    <cellStyle name="Обычный 11 4 2 2" xfId="1108"/>
    <cellStyle name="Обычный 11 4 2 2 2" xfId="4836"/>
    <cellStyle name="Обычный 11 4 2 3" xfId="1297"/>
    <cellStyle name="Обычный 11 4 2 3 2" xfId="5132"/>
    <cellStyle name="Обычный 11 4 2 4" xfId="1584"/>
    <cellStyle name="Обычный 11 4 2 4 2" xfId="5428"/>
    <cellStyle name="Обычный 11 4 2 5" xfId="1877"/>
    <cellStyle name="Обычный 11 4 2 5 2" xfId="5724"/>
    <cellStyle name="Обычный 11 4 2 6" xfId="2170"/>
    <cellStyle name="Обычный 11 4 2 6 2" xfId="6020"/>
    <cellStyle name="Обычный 11 4 2 7" xfId="2465"/>
    <cellStyle name="Обычный 11 4 2 7 2" xfId="6316"/>
    <cellStyle name="Обычный 11 4 2 8" xfId="2761"/>
    <cellStyle name="Обычный 11 4 2 8 2" xfId="6612"/>
    <cellStyle name="Обычный 11 4 2 9" xfId="3057"/>
    <cellStyle name="Обычный 11 4 2 9 2" xfId="6908"/>
    <cellStyle name="Обычный 11 4 3" xfId="1061"/>
    <cellStyle name="Обычный 11 4 3 2" xfId="4688"/>
    <cellStyle name="Обычный 11 4 4" xfId="1155"/>
    <cellStyle name="Обычный 11 4 4 2" xfId="4984"/>
    <cellStyle name="Обычный 11 4 5" xfId="1438"/>
    <cellStyle name="Обычный 11 4 5 2" xfId="5280"/>
    <cellStyle name="Обычный 11 4 6" xfId="1729"/>
    <cellStyle name="Обычный 11 4 6 2" xfId="5576"/>
    <cellStyle name="Обычный 11 4 7" xfId="2022"/>
    <cellStyle name="Обычный 11 4 7 2" xfId="5872"/>
    <cellStyle name="Обычный 11 4 8" xfId="2317"/>
    <cellStyle name="Обычный 11 4 8 2" xfId="6168"/>
    <cellStyle name="Обычный 11 4 9" xfId="2613"/>
    <cellStyle name="Обычный 11 4 9 2" xfId="6464"/>
    <cellStyle name="Обычный 11 5" xfId="298"/>
    <cellStyle name="Обычный 11 5 10" xfId="3255"/>
    <cellStyle name="Обычный 11 5 10 2" xfId="7106"/>
    <cellStyle name="Обычный 11 5 11" xfId="3551"/>
    <cellStyle name="Обычный 11 5 11 2" xfId="7402"/>
    <cellStyle name="Обычный 11 5 12" xfId="3847"/>
    <cellStyle name="Обычный 11 5 12 2" xfId="7698"/>
    <cellStyle name="Обычный 11 5 13" xfId="4143"/>
    <cellStyle name="Обычный 11 5 13 2" xfId="7994"/>
    <cellStyle name="Обычный 11 5 14" xfId="8343"/>
    <cellStyle name="Обычный 11 5 15" xfId="4442"/>
    <cellStyle name="Обычный 11 5 16" xfId="8837"/>
    <cellStyle name="Обычный 11 5 2" xfId="739"/>
    <cellStyle name="Обычный 11 5 2 2" xfId="8508"/>
    <cellStyle name="Обычный 11 5 2 3" xfId="4738"/>
    <cellStyle name="Обычный 11 5 3" xfId="1202"/>
    <cellStyle name="Обычный 11 5 3 2" xfId="5034"/>
    <cellStyle name="Обычный 11 5 4" xfId="1487"/>
    <cellStyle name="Обычный 11 5 4 2" xfId="5330"/>
    <cellStyle name="Обычный 11 5 5" xfId="1779"/>
    <cellStyle name="Обычный 11 5 5 2" xfId="5626"/>
    <cellStyle name="Обычный 11 5 6" xfId="2072"/>
    <cellStyle name="Обычный 11 5 6 2" xfId="5922"/>
    <cellStyle name="Обычный 11 5 7" xfId="2367"/>
    <cellStyle name="Обычный 11 5 7 2" xfId="6218"/>
    <cellStyle name="Обычный 11 5 8" xfId="2663"/>
    <cellStyle name="Обычный 11 5 8 2" xfId="6514"/>
    <cellStyle name="Обычный 11 5 9" xfId="2959"/>
    <cellStyle name="Обычный 11 5 9 2" xfId="6810"/>
    <cellStyle name="Обычный 11 6" xfId="413"/>
    <cellStyle name="Обычный 11 6 2" xfId="8449"/>
    <cellStyle name="Обычный 11 6 3" xfId="4590"/>
    <cellStyle name="Обычный 11 6 4" xfId="8839"/>
    <cellStyle name="Обычный 11 7" xfId="740"/>
    <cellStyle name="Обычный 11 7 2" xfId="8509"/>
    <cellStyle name="Обычный 11 7 3" xfId="4886"/>
    <cellStyle name="Обычный 11 7 4" xfId="8841"/>
    <cellStyle name="Обычный 11 8" xfId="1344"/>
    <cellStyle name="Обычный 11 8 2" xfId="5182"/>
    <cellStyle name="Обычный 11 8 3" xfId="8817"/>
    <cellStyle name="Обычный 11 9" xfId="1633"/>
    <cellStyle name="Обычный 11 9 2" xfId="5478"/>
    <cellStyle name="Обычный 11 9 3" xfId="8816"/>
    <cellStyle name="Обычный 12" xfId="24"/>
    <cellStyle name="Обычный 12 10" xfId="2607"/>
    <cellStyle name="Обычный 12 10 2" xfId="6458"/>
    <cellStyle name="Обычный 12 11" xfId="2903"/>
    <cellStyle name="Обычный 12 11 2" xfId="6754"/>
    <cellStyle name="Обычный 12 12" xfId="3199"/>
    <cellStyle name="Обычный 12 12 2" xfId="7050"/>
    <cellStyle name="Обычный 12 13" xfId="3495"/>
    <cellStyle name="Обычный 12 13 2" xfId="7346"/>
    <cellStyle name="Обычный 12 14" xfId="3791"/>
    <cellStyle name="Обычный 12 14 2" xfId="7642"/>
    <cellStyle name="Обычный 12 15" xfId="4087"/>
    <cellStyle name="Обычный 12 15 2" xfId="7938"/>
    <cellStyle name="Обычный 12 16" xfId="8186"/>
    <cellStyle name="Обычный 12 17" xfId="4385"/>
    <cellStyle name="Обычный 12 18" xfId="8773"/>
    <cellStyle name="Обычный 12 19" xfId="8822"/>
    <cellStyle name="Обычный 12 2" xfId="191"/>
    <cellStyle name="Обычный 12 2 10" xfId="2953"/>
    <cellStyle name="Обычный 12 2 10 2" xfId="6804"/>
    <cellStyle name="Обычный 12 2 11" xfId="3249"/>
    <cellStyle name="Обычный 12 2 11 2" xfId="7100"/>
    <cellStyle name="Обычный 12 2 12" xfId="3545"/>
    <cellStyle name="Обычный 12 2 12 2" xfId="7396"/>
    <cellStyle name="Обычный 12 2 13" xfId="3841"/>
    <cellStyle name="Обычный 12 2 13 2" xfId="7692"/>
    <cellStyle name="Обычный 12 2 14" xfId="4137"/>
    <cellStyle name="Обычный 12 2 14 2" xfId="7988"/>
    <cellStyle name="Обычный 12 2 15" xfId="8236"/>
    <cellStyle name="Обычный 12 2 16" xfId="4436"/>
    <cellStyle name="Обычный 12 2 17" xfId="8795"/>
    <cellStyle name="Обычный 12 2 18" xfId="8826"/>
    <cellStyle name="Обычный 12 2 2" xfId="291"/>
    <cellStyle name="Обычный 12 2 2 10" xfId="3397"/>
    <cellStyle name="Обычный 12 2 2 10 2" xfId="7248"/>
    <cellStyle name="Обычный 12 2 2 11" xfId="3693"/>
    <cellStyle name="Обычный 12 2 2 11 2" xfId="7544"/>
    <cellStyle name="Обычный 12 2 2 12" xfId="3989"/>
    <cellStyle name="Обычный 12 2 2 12 2" xfId="7840"/>
    <cellStyle name="Обычный 12 2 2 13" xfId="4285"/>
    <cellStyle name="Обычный 12 2 2 13 2" xfId="8136"/>
    <cellStyle name="Обычный 12 2 2 14" xfId="8337"/>
    <cellStyle name="Обычный 12 2 2 15" xfId="4584"/>
    <cellStyle name="Обычный 12 2 2 2" xfId="741"/>
    <cellStyle name="Обычный 12 2 2 2 2" xfId="8510"/>
    <cellStyle name="Обычный 12 2 2 2 3" xfId="4880"/>
    <cellStyle name="Обычный 12 2 2 3" xfId="1339"/>
    <cellStyle name="Обычный 12 2 2 3 2" xfId="5176"/>
    <cellStyle name="Обычный 12 2 2 4" xfId="1627"/>
    <cellStyle name="Обычный 12 2 2 4 2" xfId="5472"/>
    <cellStyle name="Обычный 12 2 2 5" xfId="1920"/>
    <cellStyle name="Обычный 12 2 2 5 2" xfId="5768"/>
    <cellStyle name="Обычный 12 2 2 6" xfId="2214"/>
    <cellStyle name="Обычный 12 2 2 6 2" xfId="6064"/>
    <cellStyle name="Обычный 12 2 2 7" xfId="2509"/>
    <cellStyle name="Обычный 12 2 2 7 2" xfId="6360"/>
    <cellStyle name="Обычный 12 2 2 8" xfId="2805"/>
    <cellStyle name="Обычный 12 2 2 8 2" xfId="6656"/>
    <cellStyle name="Обычный 12 2 2 9" xfId="3101"/>
    <cellStyle name="Обычный 12 2 2 9 2" xfId="6952"/>
    <cellStyle name="Обычный 12 2 3" xfId="392"/>
    <cellStyle name="Обычный 12 2 3 2" xfId="742"/>
    <cellStyle name="Обычный 12 2 3 3" xfId="8437"/>
    <cellStyle name="Обычный 12 2 3 4" xfId="4732"/>
    <cellStyle name="Обычный 12 2 4" xfId="680"/>
    <cellStyle name="Обычный 12 2 4 2" xfId="8482"/>
    <cellStyle name="Обычный 12 2 4 3" xfId="5028"/>
    <cellStyle name="Обычный 12 2 5" xfId="1481"/>
    <cellStyle name="Обычный 12 2 5 2" xfId="5324"/>
    <cellStyle name="Обычный 12 2 6" xfId="1773"/>
    <cellStyle name="Обычный 12 2 6 2" xfId="5620"/>
    <cellStyle name="Обычный 12 2 7" xfId="2066"/>
    <cellStyle name="Обычный 12 2 7 2" xfId="5916"/>
    <cellStyle name="Обычный 12 2 8" xfId="2361"/>
    <cellStyle name="Обычный 12 2 8 2" xfId="6212"/>
    <cellStyle name="Обычный 12 2 9" xfId="2657"/>
    <cellStyle name="Обычный 12 2 9 2" xfId="6508"/>
    <cellStyle name="Обычный 12 3" xfId="242"/>
    <cellStyle name="Обычный 12 3 10" xfId="3347"/>
    <cellStyle name="Обычный 12 3 10 2" xfId="7198"/>
    <cellStyle name="Обычный 12 3 11" xfId="3643"/>
    <cellStyle name="Обычный 12 3 11 2" xfId="7494"/>
    <cellStyle name="Обычный 12 3 12" xfId="3939"/>
    <cellStyle name="Обычный 12 3 12 2" xfId="7790"/>
    <cellStyle name="Обычный 12 3 13" xfId="4235"/>
    <cellStyle name="Обычный 12 3 13 2" xfId="8086"/>
    <cellStyle name="Обычный 12 3 14" xfId="8287"/>
    <cellStyle name="Обычный 12 3 15" xfId="4534"/>
    <cellStyle name="Обычный 12 3 2" xfId="724"/>
    <cellStyle name="Обычный 12 3 2 2" xfId="8497"/>
    <cellStyle name="Обычный 12 3 2 3" xfId="4830"/>
    <cellStyle name="Обычный 12 3 3" xfId="1291"/>
    <cellStyle name="Обычный 12 3 3 2" xfId="5126"/>
    <cellStyle name="Обычный 12 3 4" xfId="1578"/>
    <cellStyle name="Обычный 12 3 4 2" xfId="5422"/>
    <cellStyle name="Обычный 12 3 5" xfId="1871"/>
    <cellStyle name="Обычный 12 3 5 2" xfId="5718"/>
    <cellStyle name="Обычный 12 3 6" xfId="2164"/>
    <cellStyle name="Обычный 12 3 6 2" xfId="6014"/>
    <cellStyle name="Обычный 12 3 7" xfId="2459"/>
    <cellStyle name="Обычный 12 3 7 2" xfId="6310"/>
    <cellStyle name="Обычный 12 3 8" xfId="2755"/>
    <cellStyle name="Обычный 12 3 8 2" xfId="6606"/>
    <cellStyle name="Обычный 12 3 9" xfId="3051"/>
    <cellStyle name="Обычный 12 3 9 2" xfId="6902"/>
    <cellStyle name="Обычный 12 4" xfId="342"/>
    <cellStyle name="Обычный 12 4 2" xfId="743"/>
    <cellStyle name="Обычный 12 4 3" xfId="8387"/>
    <cellStyle name="Обычный 12 4 4" xfId="4682"/>
    <cellStyle name="Обычный 12 5" xfId="415"/>
    <cellStyle name="Обычный 12 5 2" xfId="8451"/>
    <cellStyle name="Обычный 12 5 3" xfId="4978"/>
    <cellStyle name="Обычный 12 6" xfId="1043"/>
    <cellStyle name="Обычный 12 6 2" xfId="8754"/>
    <cellStyle name="Обычный 12 6 3" xfId="5274"/>
    <cellStyle name="Обычный 12 7" xfId="1723"/>
    <cellStyle name="Обычный 12 7 2" xfId="5570"/>
    <cellStyle name="Обычный 12 8" xfId="2016"/>
    <cellStyle name="Обычный 12 8 2" xfId="5866"/>
    <cellStyle name="Обычный 12 9" xfId="2311"/>
    <cellStyle name="Обычный 12 9 2" xfId="6162"/>
    <cellStyle name="Обычный 13" xfId="1"/>
    <cellStyle name="Обычный 13 2" xfId="3"/>
    <cellStyle name="Обычный 13 2 2" xfId="9"/>
    <cellStyle name="Обычный 13 2 2 2" xfId="18"/>
    <cellStyle name="Обычный 13 2 2 2 2" xfId="703"/>
    <cellStyle name="Обычный 13 2 2 2 2 2" xfId="722"/>
    <cellStyle name="Обычный 13 2 2 2 2 2 2" xfId="1041"/>
    <cellStyle name="Обычный 13 2 2 2 2 2 2 2" xfId="8793"/>
    <cellStyle name="Обычный 13 2 2 2 2 2 3" xfId="8771"/>
    <cellStyle name="Обычный 13 2 2 2 2 3" xfId="714"/>
    <cellStyle name="Обычный 13 2 2 2 2 3 2" xfId="8786"/>
    <cellStyle name="Обычный 13 2 2 2 2 4" xfId="1034"/>
    <cellStyle name="Обычный 13 2 2 2 2 5" xfId="8765"/>
    <cellStyle name="Обычный 13 2 2 2 3" xfId="719"/>
    <cellStyle name="Обычный 13 2 2 2 3 2" xfId="1038"/>
    <cellStyle name="Обычный 13 2 2 2 3 2 2" xfId="8790"/>
    <cellStyle name="Обычный 13 2 2 2 3 3" xfId="8768"/>
    <cellStyle name="Обычный 13 2 2 2 4" xfId="711"/>
    <cellStyle name="Обычный 13 2 2 2 4 2" xfId="8783"/>
    <cellStyle name="Обычный 13 2 2 2 5" xfId="1031"/>
    <cellStyle name="Обычный 13 2 2 2 6" xfId="8762"/>
    <cellStyle name="Обычный 13 2 2 3" xfId="697"/>
    <cellStyle name="Обычный 13 2 3" xfId="646"/>
    <cellStyle name="Обычный 13 2 3 2" xfId="693"/>
    <cellStyle name="Обычный 13 2 4" xfId="684"/>
    <cellStyle name="Обычный 13 2 5" xfId="575"/>
    <cellStyle name="Обычный 13 2 6" xfId="8796"/>
    <cellStyle name="Обычный 13 3" xfId="7"/>
    <cellStyle name="Обычный 13 3 2" xfId="20"/>
    <cellStyle name="Обычный 13 3 2 10" xfId="2606"/>
    <cellStyle name="Обычный 13 3 2 10 2" xfId="6457"/>
    <cellStyle name="Обычный 13 3 2 11" xfId="2902"/>
    <cellStyle name="Обычный 13 3 2 11 2" xfId="6753"/>
    <cellStyle name="Обычный 13 3 2 12" xfId="3198"/>
    <cellStyle name="Обычный 13 3 2 12 2" xfId="7049"/>
    <cellStyle name="Обычный 13 3 2 13" xfId="3494"/>
    <cellStyle name="Обычный 13 3 2 13 2" xfId="7345"/>
    <cellStyle name="Обычный 13 3 2 14" xfId="3790"/>
    <cellStyle name="Обычный 13 3 2 14 2" xfId="7641"/>
    <cellStyle name="Обычный 13 3 2 15" xfId="4086"/>
    <cellStyle name="Обычный 13 3 2 15 2" xfId="7937"/>
    <cellStyle name="Обычный 13 3 2 16" xfId="8185"/>
    <cellStyle name="Обычный 13 3 2 17" xfId="4384"/>
    <cellStyle name="Обычный 13 3 2 18" xfId="8760"/>
    <cellStyle name="Обычный 13 3 2 2" xfId="190"/>
    <cellStyle name="Обычный 13 3 2 2 10" xfId="2952"/>
    <cellStyle name="Обычный 13 3 2 2 10 2" xfId="6803"/>
    <cellStyle name="Обычный 13 3 2 2 11" xfId="3248"/>
    <cellStyle name="Обычный 13 3 2 2 11 2" xfId="7099"/>
    <cellStyle name="Обычный 13 3 2 2 12" xfId="3544"/>
    <cellStyle name="Обычный 13 3 2 2 12 2" xfId="7395"/>
    <cellStyle name="Обычный 13 3 2 2 13" xfId="3840"/>
    <cellStyle name="Обычный 13 3 2 2 13 2" xfId="7691"/>
    <cellStyle name="Обычный 13 3 2 2 14" xfId="4136"/>
    <cellStyle name="Обычный 13 3 2 2 14 2" xfId="7987"/>
    <cellStyle name="Обычный 13 3 2 2 15" xfId="8235"/>
    <cellStyle name="Обычный 13 3 2 2 16" xfId="4435"/>
    <cellStyle name="Обычный 13 3 2 2 17" xfId="8763"/>
    <cellStyle name="Обычный 13 3 2 2 2" xfId="290"/>
    <cellStyle name="Обычный 13 3 2 2 2 10" xfId="3396"/>
    <cellStyle name="Обычный 13 3 2 2 2 10 2" xfId="7247"/>
    <cellStyle name="Обычный 13 3 2 2 2 11" xfId="3692"/>
    <cellStyle name="Обычный 13 3 2 2 2 11 2" xfId="7543"/>
    <cellStyle name="Обычный 13 3 2 2 2 12" xfId="3988"/>
    <cellStyle name="Обычный 13 3 2 2 2 12 2" xfId="7839"/>
    <cellStyle name="Обычный 13 3 2 2 2 13" xfId="4284"/>
    <cellStyle name="Обычный 13 3 2 2 2 13 2" xfId="8135"/>
    <cellStyle name="Обычный 13 3 2 2 2 14" xfId="8336"/>
    <cellStyle name="Обычный 13 3 2 2 2 15" xfId="4583"/>
    <cellStyle name="Обычный 13 3 2 2 2 16" xfId="8769"/>
    <cellStyle name="Обычный 13 3 2 2 2 2" xfId="720"/>
    <cellStyle name="Обычный 13 3 2 2 2 2 2" xfId="8496"/>
    <cellStyle name="Обычный 13 3 2 2 2 2 3" xfId="4879"/>
    <cellStyle name="Обычный 13 3 2 2 2 2 4" xfId="8791"/>
    <cellStyle name="Обычный 13 3 2 2 2 3" xfId="1039"/>
    <cellStyle name="Обычный 13 3 2 2 2 3 2" xfId="8753"/>
    <cellStyle name="Обычный 13 3 2 2 2 3 3" xfId="5175"/>
    <cellStyle name="Обычный 13 3 2 2 2 4" xfId="1626"/>
    <cellStyle name="Обычный 13 3 2 2 2 4 2" xfId="5471"/>
    <cellStyle name="Обычный 13 3 2 2 2 5" xfId="1919"/>
    <cellStyle name="Обычный 13 3 2 2 2 5 2" xfId="5767"/>
    <cellStyle name="Обычный 13 3 2 2 2 6" xfId="2213"/>
    <cellStyle name="Обычный 13 3 2 2 2 6 2" xfId="6063"/>
    <cellStyle name="Обычный 13 3 2 2 2 7" xfId="2508"/>
    <cellStyle name="Обычный 13 3 2 2 2 7 2" xfId="6359"/>
    <cellStyle name="Обычный 13 3 2 2 2 8" xfId="2804"/>
    <cellStyle name="Обычный 13 3 2 2 2 8 2" xfId="6655"/>
    <cellStyle name="Обычный 13 3 2 2 2 9" xfId="3100"/>
    <cellStyle name="Обычный 13 3 2 2 2 9 2" xfId="6951"/>
    <cellStyle name="Обычный 13 3 2 2 3" xfId="391"/>
    <cellStyle name="Обычный 13 3 2 2 3 2" xfId="712"/>
    <cellStyle name="Обычный 13 3 2 2 3 3" xfId="8436"/>
    <cellStyle name="Обычный 13 3 2 2 3 4" xfId="4731"/>
    <cellStyle name="Обычный 13 3 2 2 3 5" xfId="8784"/>
    <cellStyle name="Обычный 13 3 2 2 4" xfId="688"/>
    <cellStyle name="Обычный 13 3 2 2 4 2" xfId="8485"/>
    <cellStyle name="Обычный 13 3 2 2 4 3" xfId="5027"/>
    <cellStyle name="Обычный 13 3 2 2 5" xfId="1032"/>
    <cellStyle name="Обычный 13 3 2 2 5 2" xfId="8751"/>
    <cellStyle name="Обычный 13 3 2 2 5 3" xfId="5323"/>
    <cellStyle name="Обычный 13 3 2 2 6" xfId="1772"/>
    <cellStyle name="Обычный 13 3 2 2 6 2" xfId="5619"/>
    <cellStyle name="Обычный 13 3 2 2 7" xfId="2065"/>
    <cellStyle name="Обычный 13 3 2 2 7 2" xfId="5915"/>
    <cellStyle name="Обычный 13 3 2 2 8" xfId="2360"/>
    <cellStyle name="Обычный 13 3 2 2 8 2" xfId="6211"/>
    <cellStyle name="Обычный 13 3 2 2 9" xfId="2656"/>
    <cellStyle name="Обычный 13 3 2 2 9 2" xfId="6507"/>
    <cellStyle name="Обычный 13 3 2 3" xfId="241"/>
    <cellStyle name="Обычный 13 3 2 3 10" xfId="3346"/>
    <cellStyle name="Обычный 13 3 2 3 10 2" xfId="7197"/>
    <cellStyle name="Обычный 13 3 2 3 11" xfId="3642"/>
    <cellStyle name="Обычный 13 3 2 3 11 2" xfId="7493"/>
    <cellStyle name="Обычный 13 3 2 3 12" xfId="3938"/>
    <cellStyle name="Обычный 13 3 2 3 12 2" xfId="7789"/>
    <cellStyle name="Обычный 13 3 2 3 13" xfId="4234"/>
    <cellStyle name="Обычный 13 3 2 3 13 2" xfId="8085"/>
    <cellStyle name="Обычный 13 3 2 3 14" xfId="8286"/>
    <cellStyle name="Обычный 13 3 2 3 15" xfId="4533"/>
    <cellStyle name="Обычный 13 3 2 3 16" xfId="8766"/>
    <cellStyle name="Обычный 13 3 2 3 2" xfId="717"/>
    <cellStyle name="Обычный 13 3 2 3 2 2" xfId="8494"/>
    <cellStyle name="Обычный 13 3 2 3 2 3" xfId="4829"/>
    <cellStyle name="Обычный 13 3 2 3 2 4" xfId="8788"/>
    <cellStyle name="Обычный 13 3 2 3 3" xfId="1036"/>
    <cellStyle name="Обычный 13 3 2 3 3 2" xfId="8752"/>
    <cellStyle name="Обычный 13 3 2 3 3 3" xfId="5125"/>
    <cellStyle name="Обычный 13 3 2 3 4" xfId="1577"/>
    <cellStyle name="Обычный 13 3 2 3 4 2" xfId="5421"/>
    <cellStyle name="Обычный 13 3 2 3 5" xfId="1870"/>
    <cellStyle name="Обычный 13 3 2 3 5 2" xfId="5717"/>
    <cellStyle name="Обычный 13 3 2 3 6" xfId="2163"/>
    <cellStyle name="Обычный 13 3 2 3 6 2" xfId="6013"/>
    <cellStyle name="Обычный 13 3 2 3 7" xfId="2458"/>
    <cellStyle name="Обычный 13 3 2 3 7 2" xfId="6309"/>
    <cellStyle name="Обычный 13 3 2 3 8" xfId="2754"/>
    <cellStyle name="Обычный 13 3 2 3 8 2" xfId="6605"/>
    <cellStyle name="Обычный 13 3 2 3 9" xfId="3050"/>
    <cellStyle name="Обычный 13 3 2 3 9 2" xfId="6901"/>
    <cellStyle name="Обычный 13 3 2 4" xfId="341"/>
    <cellStyle name="Обычный 13 3 2 4 2" xfId="709"/>
    <cellStyle name="Обычный 13 3 2 4 3" xfId="8386"/>
    <cellStyle name="Обычный 13 3 2 4 4" xfId="4681"/>
    <cellStyle name="Обычный 13 3 2 4 5" xfId="8781"/>
    <cellStyle name="Обычный 13 3 2 5" xfId="640"/>
    <cellStyle name="Обычный 13 3 2 5 2" xfId="8465"/>
    <cellStyle name="Обычный 13 3 2 5 3" xfId="4977"/>
    <cellStyle name="Обычный 13 3 2 6" xfId="744"/>
    <cellStyle name="Обычный 13 3 2 6 2" xfId="8511"/>
    <cellStyle name="Обычный 13 3 2 6 3" xfId="5273"/>
    <cellStyle name="Обычный 13 3 2 7" xfId="1029"/>
    <cellStyle name="Обычный 13 3 2 7 2" xfId="8749"/>
    <cellStyle name="Обычный 13 3 2 7 3" xfId="5569"/>
    <cellStyle name="Обычный 13 3 2 8" xfId="2015"/>
    <cellStyle name="Обычный 13 3 2 8 2" xfId="5865"/>
    <cellStyle name="Обычный 13 3 2 9" xfId="2310"/>
    <cellStyle name="Обычный 13 3 2 9 2" xfId="6161"/>
    <cellStyle name="Обычный 13 3 3" xfId="683"/>
    <cellStyle name="Обычный 13 3 4" xfId="8852"/>
    <cellStyle name="Обычный 13 4" xfId="643"/>
    <cellStyle name="Обычный 13 4 2" xfId="690"/>
    <cellStyle name="Обычный 13 5" xfId="685"/>
    <cellStyle name="Обычный 13 6" xfId="576"/>
    <cellStyle name="Обычный 13 7" xfId="1044"/>
    <cellStyle name="Обычный 13 8" xfId="8774"/>
    <cellStyle name="Обычный 13 9" xfId="8829"/>
    <cellStyle name="Обычный 14" xfId="192"/>
    <cellStyle name="Обычный 14 2" xfId="706"/>
    <cellStyle name="Обычный 14 3" xfId="660"/>
    <cellStyle name="Обычный 14 4" xfId="8237"/>
    <cellStyle name="Обычный 14 5" xfId="8831"/>
    <cellStyle name="Обычный 15" xfId="292"/>
    <cellStyle name="Обычный 15 2" xfId="745"/>
    <cellStyle name="Обычный 15 3" xfId="8832"/>
    <cellStyle name="Обычный 16" xfId="8758"/>
    <cellStyle name="Обычный 16 2" xfId="8833"/>
    <cellStyle name="Обычный 17" xfId="8800"/>
    <cellStyle name="Обычный 17 2" xfId="8821"/>
    <cellStyle name="Обычный 18" xfId="8804"/>
    <cellStyle name="Обычный 18 2" xfId="8834"/>
    <cellStyle name="Обычный 19" xfId="8806"/>
    <cellStyle name="Обычный 19 2" xfId="8836"/>
    <cellStyle name="Обычный 2" xfId="12"/>
    <cellStyle name="Обычный 2 10" xfId="73"/>
    <cellStyle name="Обычный 2 10 10" xfId="1927"/>
    <cellStyle name="Обычный 2 10 10 2" xfId="5775"/>
    <cellStyle name="Обычный 2 10 11" xfId="2221"/>
    <cellStyle name="Обычный 2 10 11 2" xfId="6071"/>
    <cellStyle name="Обычный 2 10 12" xfId="2516"/>
    <cellStyle name="Обычный 2 10 12 2" xfId="6367"/>
    <cellStyle name="Обычный 2 10 13" xfId="2812"/>
    <cellStyle name="Обычный 2 10 13 2" xfId="6663"/>
    <cellStyle name="Обычный 2 10 14" xfId="3108"/>
    <cellStyle name="Обычный 2 10 14 2" xfId="6959"/>
    <cellStyle name="Обычный 2 10 15" xfId="3404"/>
    <cellStyle name="Обычный 2 10 15 2" xfId="7255"/>
    <cellStyle name="Обычный 2 10 16" xfId="3700"/>
    <cellStyle name="Обычный 2 10 16 2" xfId="7551"/>
    <cellStyle name="Обычный 2 10 17" xfId="3996"/>
    <cellStyle name="Обычный 2 10 17 2" xfId="7847"/>
    <cellStyle name="Обычный 2 10 18" xfId="8143"/>
    <cellStyle name="Обычный 2 10 19" xfId="4292"/>
    <cellStyle name="Обычный 2 10 2" xfId="122"/>
    <cellStyle name="Обычный 2 10 2 10" xfId="2242"/>
    <cellStyle name="Обычный 2 10 2 10 2" xfId="6093"/>
    <cellStyle name="Обычный 2 10 2 11" xfId="2538"/>
    <cellStyle name="Обычный 2 10 2 11 2" xfId="6389"/>
    <cellStyle name="Обычный 2 10 2 12" xfId="2834"/>
    <cellStyle name="Обычный 2 10 2 12 2" xfId="6685"/>
    <cellStyle name="Обычный 2 10 2 13" xfId="3130"/>
    <cellStyle name="Обычный 2 10 2 13 2" xfId="6981"/>
    <cellStyle name="Обычный 2 10 2 14" xfId="3426"/>
    <cellStyle name="Обычный 2 10 2 14 2" xfId="7277"/>
    <cellStyle name="Обычный 2 10 2 15" xfId="3722"/>
    <cellStyle name="Обычный 2 10 2 15 2" xfId="7573"/>
    <cellStyle name="Обычный 2 10 2 16" xfId="4018"/>
    <cellStyle name="Обычный 2 10 2 16 2" xfId="7869"/>
    <cellStyle name="Обычный 2 10 2 17" xfId="8165"/>
    <cellStyle name="Обычный 2 10 2 18" xfId="4314"/>
    <cellStyle name="Обычный 2 10 2 2" xfId="170"/>
    <cellStyle name="Обычный 2 10 2 2 10" xfId="2882"/>
    <cellStyle name="Обычный 2 10 2 2 10 2" xfId="6733"/>
    <cellStyle name="Обычный 2 10 2 2 11" xfId="3178"/>
    <cellStyle name="Обычный 2 10 2 2 11 2" xfId="7029"/>
    <cellStyle name="Обычный 2 10 2 2 12" xfId="3474"/>
    <cellStyle name="Обычный 2 10 2 2 12 2" xfId="7325"/>
    <cellStyle name="Обычный 2 10 2 2 13" xfId="3770"/>
    <cellStyle name="Обычный 2 10 2 2 13 2" xfId="7621"/>
    <cellStyle name="Обычный 2 10 2 2 14" xfId="4066"/>
    <cellStyle name="Обычный 2 10 2 2 14 2" xfId="7917"/>
    <cellStyle name="Обычный 2 10 2 2 15" xfId="8215"/>
    <cellStyle name="Обычный 2 10 2 2 16" xfId="4363"/>
    <cellStyle name="Обычный 2 10 2 2 2" xfId="270"/>
    <cellStyle name="Обычный 2 10 2 2 2 10" xfId="3326"/>
    <cellStyle name="Обычный 2 10 2 2 2 10 2" xfId="7177"/>
    <cellStyle name="Обычный 2 10 2 2 2 11" xfId="3622"/>
    <cellStyle name="Обычный 2 10 2 2 2 11 2" xfId="7473"/>
    <cellStyle name="Обычный 2 10 2 2 2 12" xfId="3918"/>
    <cellStyle name="Обычный 2 10 2 2 2 12 2" xfId="7769"/>
    <cellStyle name="Обычный 2 10 2 2 2 13" xfId="4214"/>
    <cellStyle name="Обычный 2 10 2 2 2 13 2" xfId="8065"/>
    <cellStyle name="Обычный 2 10 2 2 2 14" xfId="8316"/>
    <cellStyle name="Обычный 2 10 2 2 2 15" xfId="4513"/>
    <cellStyle name="Обычный 2 10 2 2 2 2" xfId="746"/>
    <cellStyle name="Обычный 2 10 2 2 2 2 2" xfId="8512"/>
    <cellStyle name="Обычный 2 10 2 2 2 2 3" xfId="4809"/>
    <cellStyle name="Обычный 2 10 2 2 2 3" xfId="1271"/>
    <cellStyle name="Обычный 2 10 2 2 2 3 2" xfId="5105"/>
    <cellStyle name="Обычный 2 10 2 2 2 4" xfId="1557"/>
    <cellStyle name="Обычный 2 10 2 2 2 4 2" xfId="5401"/>
    <cellStyle name="Обычный 2 10 2 2 2 5" xfId="1850"/>
    <cellStyle name="Обычный 2 10 2 2 2 5 2" xfId="5697"/>
    <cellStyle name="Обычный 2 10 2 2 2 6" xfId="2143"/>
    <cellStyle name="Обычный 2 10 2 2 2 6 2" xfId="5993"/>
    <cellStyle name="Обычный 2 10 2 2 2 7" xfId="2438"/>
    <cellStyle name="Обычный 2 10 2 2 2 7 2" xfId="6289"/>
    <cellStyle name="Обычный 2 10 2 2 2 8" xfId="2734"/>
    <cellStyle name="Обычный 2 10 2 2 2 8 2" xfId="6585"/>
    <cellStyle name="Обычный 2 10 2 2 2 9" xfId="3030"/>
    <cellStyle name="Обычный 2 10 2 2 2 9 2" xfId="6881"/>
    <cellStyle name="Обычный 2 10 2 2 3" xfId="371"/>
    <cellStyle name="Обычный 2 10 2 2 3 2" xfId="747"/>
    <cellStyle name="Обычный 2 10 2 2 3 3" xfId="8416"/>
    <cellStyle name="Обычный 2 10 2 2 3 4" xfId="4661"/>
    <cellStyle name="Обычный 2 10 2 2 4" xfId="748"/>
    <cellStyle name="Обычный 2 10 2 2 4 2" xfId="8513"/>
    <cellStyle name="Обычный 2 10 2 2 4 3" xfId="4957"/>
    <cellStyle name="Обычный 2 10 2 2 5" xfId="1413"/>
    <cellStyle name="Обычный 2 10 2 2 5 2" xfId="5253"/>
    <cellStyle name="Обычный 2 10 2 2 6" xfId="1703"/>
    <cellStyle name="Обычный 2 10 2 2 6 2" xfId="5549"/>
    <cellStyle name="Обычный 2 10 2 2 7" xfId="1995"/>
    <cellStyle name="Обычный 2 10 2 2 7 2" xfId="5845"/>
    <cellStyle name="Обычный 2 10 2 2 8" xfId="2290"/>
    <cellStyle name="Обычный 2 10 2 2 8 2" xfId="6141"/>
    <cellStyle name="Обычный 2 10 2 2 9" xfId="2586"/>
    <cellStyle name="Обычный 2 10 2 2 9 2" xfId="6437"/>
    <cellStyle name="Обычный 2 10 2 3" xfId="221"/>
    <cellStyle name="Обычный 2 10 2 3 10" xfId="2932"/>
    <cellStyle name="Обычный 2 10 2 3 10 2" xfId="6783"/>
    <cellStyle name="Обычный 2 10 2 3 11" xfId="3228"/>
    <cellStyle name="Обычный 2 10 2 3 11 2" xfId="7079"/>
    <cellStyle name="Обычный 2 10 2 3 12" xfId="3524"/>
    <cellStyle name="Обычный 2 10 2 3 12 2" xfId="7375"/>
    <cellStyle name="Обычный 2 10 2 3 13" xfId="3820"/>
    <cellStyle name="Обычный 2 10 2 3 13 2" xfId="7671"/>
    <cellStyle name="Обычный 2 10 2 3 14" xfId="4116"/>
    <cellStyle name="Обычный 2 10 2 3 14 2" xfId="7967"/>
    <cellStyle name="Обычный 2 10 2 3 15" xfId="8266"/>
    <cellStyle name="Обычный 2 10 2 3 16" xfId="4414"/>
    <cellStyle name="Обычный 2 10 2 3 2" xfId="749"/>
    <cellStyle name="Обычный 2 10 2 3 2 10" xfId="3376"/>
    <cellStyle name="Обычный 2 10 2 3 2 10 2" xfId="7227"/>
    <cellStyle name="Обычный 2 10 2 3 2 11" xfId="3672"/>
    <cellStyle name="Обычный 2 10 2 3 2 11 2" xfId="7523"/>
    <cellStyle name="Обычный 2 10 2 3 2 12" xfId="3968"/>
    <cellStyle name="Обычный 2 10 2 3 2 12 2" xfId="7819"/>
    <cellStyle name="Обычный 2 10 2 3 2 13" xfId="4264"/>
    <cellStyle name="Обычный 2 10 2 3 2 13 2" xfId="8115"/>
    <cellStyle name="Обычный 2 10 2 3 2 14" xfId="8514"/>
    <cellStyle name="Обычный 2 10 2 3 2 15" xfId="4563"/>
    <cellStyle name="Обычный 2 10 2 3 2 2" xfId="1130"/>
    <cellStyle name="Обычный 2 10 2 3 2 2 2" xfId="4859"/>
    <cellStyle name="Обычный 2 10 2 3 2 3" xfId="1319"/>
    <cellStyle name="Обычный 2 10 2 3 2 3 2" xfId="5155"/>
    <cellStyle name="Обычный 2 10 2 3 2 4" xfId="1606"/>
    <cellStyle name="Обычный 2 10 2 3 2 4 2" xfId="5451"/>
    <cellStyle name="Обычный 2 10 2 3 2 5" xfId="1899"/>
    <cellStyle name="Обычный 2 10 2 3 2 5 2" xfId="5747"/>
    <cellStyle name="Обычный 2 10 2 3 2 6" xfId="2193"/>
    <cellStyle name="Обычный 2 10 2 3 2 6 2" xfId="6043"/>
    <cellStyle name="Обычный 2 10 2 3 2 7" xfId="2488"/>
    <cellStyle name="Обычный 2 10 2 3 2 7 2" xfId="6339"/>
    <cellStyle name="Обычный 2 10 2 3 2 8" xfId="2784"/>
    <cellStyle name="Обычный 2 10 2 3 2 8 2" xfId="6635"/>
    <cellStyle name="Обычный 2 10 2 3 2 9" xfId="3080"/>
    <cellStyle name="Обычный 2 10 2 3 2 9 2" xfId="6931"/>
    <cellStyle name="Обычный 2 10 2 3 3" xfId="1083"/>
    <cellStyle name="Обычный 2 10 2 3 3 2" xfId="4711"/>
    <cellStyle name="Обычный 2 10 2 3 4" xfId="1177"/>
    <cellStyle name="Обычный 2 10 2 3 4 2" xfId="5007"/>
    <cellStyle name="Обычный 2 10 2 3 5" xfId="1461"/>
    <cellStyle name="Обычный 2 10 2 3 5 2" xfId="5303"/>
    <cellStyle name="Обычный 2 10 2 3 6" xfId="1752"/>
    <cellStyle name="Обычный 2 10 2 3 6 2" xfId="5599"/>
    <cellStyle name="Обычный 2 10 2 3 7" xfId="2045"/>
    <cellStyle name="Обычный 2 10 2 3 7 2" xfId="5895"/>
    <cellStyle name="Обычный 2 10 2 3 8" xfId="2340"/>
    <cellStyle name="Обычный 2 10 2 3 8 2" xfId="6191"/>
    <cellStyle name="Обычный 2 10 2 3 9" xfId="2636"/>
    <cellStyle name="Обычный 2 10 2 3 9 2" xfId="6487"/>
    <cellStyle name="Обычный 2 10 2 4" xfId="321"/>
    <cellStyle name="Обычный 2 10 2 4 10" xfId="3278"/>
    <cellStyle name="Обычный 2 10 2 4 10 2" xfId="7129"/>
    <cellStyle name="Обычный 2 10 2 4 11" xfId="3574"/>
    <cellStyle name="Обычный 2 10 2 4 11 2" xfId="7425"/>
    <cellStyle name="Обычный 2 10 2 4 12" xfId="3870"/>
    <cellStyle name="Обычный 2 10 2 4 12 2" xfId="7721"/>
    <cellStyle name="Обычный 2 10 2 4 13" xfId="4166"/>
    <cellStyle name="Обычный 2 10 2 4 13 2" xfId="8017"/>
    <cellStyle name="Обычный 2 10 2 4 14" xfId="8366"/>
    <cellStyle name="Обычный 2 10 2 4 15" xfId="4465"/>
    <cellStyle name="Обычный 2 10 2 4 2" xfId="750"/>
    <cellStyle name="Обычный 2 10 2 4 2 2" xfId="8515"/>
    <cellStyle name="Обычный 2 10 2 4 2 3" xfId="4761"/>
    <cellStyle name="Обычный 2 10 2 4 3" xfId="1225"/>
    <cellStyle name="Обычный 2 10 2 4 3 2" xfId="5057"/>
    <cellStyle name="Обычный 2 10 2 4 4" xfId="1510"/>
    <cellStyle name="Обычный 2 10 2 4 4 2" xfId="5353"/>
    <cellStyle name="Обычный 2 10 2 4 5" xfId="1802"/>
    <cellStyle name="Обычный 2 10 2 4 5 2" xfId="5649"/>
    <cellStyle name="Обычный 2 10 2 4 6" xfId="2095"/>
    <cellStyle name="Обычный 2 10 2 4 6 2" xfId="5945"/>
    <cellStyle name="Обычный 2 10 2 4 7" xfId="2390"/>
    <cellStyle name="Обычный 2 10 2 4 7 2" xfId="6241"/>
    <cellStyle name="Обычный 2 10 2 4 8" xfId="2686"/>
    <cellStyle name="Обычный 2 10 2 4 8 2" xfId="6537"/>
    <cellStyle name="Обычный 2 10 2 4 9" xfId="2982"/>
    <cellStyle name="Обычный 2 10 2 4 9 2" xfId="6833"/>
    <cellStyle name="Обычный 2 10 2 5" xfId="751"/>
    <cellStyle name="Обычный 2 10 2 5 2" xfId="8516"/>
    <cellStyle name="Обычный 2 10 2 5 3" xfId="4613"/>
    <cellStyle name="Обычный 2 10 2 6" xfId="752"/>
    <cellStyle name="Обычный 2 10 2 6 2" xfId="8517"/>
    <cellStyle name="Обычный 2 10 2 6 3" xfId="4909"/>
    <cellStyle name="Обычный 2 10 2 7" xfId="1366"/>
    <cellStyle name="Обычный 2 10 2 7 2" xfId="5205"/>
    <cellStyle name="Обычный 2 10 2 8" xfId="1655"/>
    <cellStyle name="Обычный 2 10 2 8 2" xfId="5501"/>
    <cellStyle name="Обычный 2 10 2 9" xfId="1948"/>
    <cellStyle name="Обычный 2 10 2 9 2" xfId="5797"/>
    <cellStyle name="Обычный 2 10 3" xfId="149"/>
    <cellStyle name="Обычный 2 10 3 10" xfId="2860"/>
    <cellStyle name="Обычный 2 10 3 10 2" xfId="6711"/>
    <cellStyle name="Обычный 2 10 3 11" xfId="3156"/>
    <cellStyle name="Обычный 2 10 3 11 2" xfId="7007"/>
    <cellStyle name="Обычный 2 10 3 12" xfId="3452"/>
    <cellStyle name="Обычный 2 10 3 12 2" xfId="7303"/>
    <cellStyle name="Обычный 2 10 3 13" xfId="3748"/>
    <cellStyle name="Обычный 2 10 3 13 2" xfId="7599"/>
    <cellStyle name="Обычный 2 10 3 14" xfId="4044"/>
    <cellStyle name="Обычный 2 10 3 14 2" xfId="7895"/>
    <cellStyle name="Обычный 2 10 3 15" xfId="8193"/>
    <cellStyle name="Обычный 2 10 3 16" xfId="4341"/>
    <cellStyle name="Обычный 2 10 3 2" xfId="249"/>
    <cellStyle name="Обычный 2 10 3 2 10" xfId="3304"/>
    <cellStyle name="Обычный 2 10 3 2 10 2" xfId="7155"/>
    <cellStyle name="Обычный 2 10 3 2 11" xfId="3600"/>
    <cellStyle name="Обычный 2 10 3 2 11 2" xfId="7451"/>
    <cellStyle name="Обычный 2 10 3 2 12" xfId="3896"/>
    <cellStyle name="Обычный 2 10 3 2 12 2" xfId="7747"/>
    <cellStyle name="Обычный 2 10 3 2 13" xfId="4192"/>
    <cellStyle name="Обычный 2 10 3 2 13 2" xfId="8043"/>
    <cellStyle name="Обычный 2 10 3 2 14" xfId="8294"/>
    <cellStyle name="Обычный 2 10 3 2 15" xfId="4491"/>
    <cellStyle name="Обычный 2 10 3 2 2" xfId="753"/>
    <cellStyle name="Обычный 2 10 3 2 2 2" xfId="8518"/>
    <cellStyle name="Обычный 2 10 3 2 2 3" xfId="4787"/>
    <cellStyle name="Обычный 2 10 3 2 3" xfId="1250"/>
    <cellStyle name="Обычный 2 10 3 2 3 2" xfId="5083"/>
    <cellStyle name="Обычный 2 10 3 2 4" xfId="1536"/>
    <cellStyle name="Обычный 2 10 3 2 4 2" xfId="5379"/>
    <cellStyle name="Обычный 2 10 3 2 5" xfId="1828"/>
    <cellStyle name="Обычный 2 10 3 2 5 2" xfId="5675"/>
    <cellStyle name="Обычный 2 10 3 2 6" xfId="2121"/>
    <cellStyle name="Обычный 2 10 3 2 6 2" xfId="5971"/>
    <cellStyle name="Обычный 2 10 3 2 7" xfId="2416"/>
    <cellStyle name="Обычный 2 10 3 2 7 2" xfId="6267"/>
    <cellStyle name="Обычный 2 10 3 2 8" xfId="2712"/>
    <cellStyle name="Обычный 2 10 3 2 8 2" xfId="6563"/>
    <cellStyle name="Обычный 2 10 3 2 9" xfId="3008"/>
    <cellStyle name="Обычный 2 10 3 2 9 2" xfId="6859"/>
    <cellStyle name="Обычный 2 10 3 3" xfId="349"/>
    <cellStyle name="Обычный 2 10 3 3 2" xfId="754"/>
    <cellStyle name="Обычный 2 10 3 3 3" xfId="8394"/>
    <cellStyle name="Обычный 2 10 3 3 4" xfId="4639"/>
    <cellStyle name="Обычный 2 10 3 4" xfId="755"/>
    <cellStyle name="Обычный 2 10 3 4 2" xfId="8519"/>
    <cellStyle name="Обычный 2 10 3 4 3" xfId="4935"/>
    <cellStyle name="Обычный 2 10 3 5" xfId="1392"/>
    <cellStyle name="Обычный 2 10 3 5 2" xfId="5231"/>
    <cellStyle name="Обычный 2 10 3 6" xfId="1681"/>
    <cellStyle name="Обычный 2 10 3 6 2" xfId="5527"/>
    <cellStyle name="Обычный 2 10 3 7" xfId="1974"/>
    <cellStyle name="Обычный 2 10 3 7 2" xfId="5823"/>
    <cellStyle name="Обычный 2 10 3 8" xfId="2268"/>
    <cellStyle name="Обычный 2 10 3 8 2" xfId="6119"/>
    <cellStyle name="Обычный 2 10 3 9" xfId="2564"/>
    <cellStyle name="Обычный 2 10 3 9 2" xfId="6415"/>
    <cellStyle name="Обычный 2 10 4" xfId="200"/>
    <cellStyle name="Обычный 2 10 4 10" xfId="2910"/>
    <cellStyle name="Обычный 2 10 4 10 2" xfId="6761"/>
    <cellStyle name="Обычный 2 10 4 11" xfId="3206"/>
    <cellStyle name="Обычный 2 10 4 11 2" xfId="7057"/>
    <cellStyle name="Обычный 2 10 4 12" xfId="3502"/>
    <cellStyle name="Обычный 2 10 4 12 2" xfId="7353"/>
    <cellStyle name="Обычный 2 10 4 13" xfId="3798"/>
    <cellStyle name="Обычный 2 10 4 13 2" xfId="7649"/>
    <cellStyle name="Обычный 2 10 4 14" xfId="4094"/>
    <cellStyle name="Обычный 2 10 4 14 2" xfId="7945"/>
    <cellStyle name="Обычный 2 10 4 15" xfId="8244"/>
    <cellStyle name="Обычный 2 10 4 16" xfId="4392"/>
    <cellStyle name="Обычный 2 10 4 2" xfId="756"/>
    <cellStyle name="Обычный 2 10 4 2 10" xfId="3354"/>
    <cellStyle name="Обычный 2 10 4 2 10 2" xfId="7205"/>
    <cellStyle name="Обычный 2 10 4 2 11" xfId="3650"/>
    <cellStyle name="Обычный 2 10 4 2 11 2" xfId="7501"/>
    <cellStyle name="Обычный 2 10 4 2 12" xfId="3946"/>
    <cellStyle name="Обычный 2 10 4 2 12 2" xfId="7797"/>
    <cellStyle name="Обычный 2 10 4 2 13" xfId="4242"/>
    <cellStyle name="Обычный 2 10 4 2 13 2" xfId="8093"/>
    <cellStyle name="Обычный 2 10 4 2 14" xfId="8520"/>
    <cellStyle name="Обычный 2 10 4 2 15" xfId="4541"/>
    <cellStyle name="Обычный 2 10 4 2 2" xfId="1109"/>
    <cellStyle name="Обычный 2 10 4 2 2 2" xfId="4837"/>
    <cellStyle name="Обычный 2 10 4 2 3" xfId="1298"/>
    <cellStyle name="Обычный 2 10 4 2 3 2" xfId="5133"/>
    <cellStyle name="Обычный 2 10 4 2 4" xfId="1585"/>
    <cellStyle name="Обычный 2 10 4 2 4 2" xfId="5429"/>
    <cellStyle name="Обычный 2 10 4 2 5" xfId="1878"/>
    <cellStyle name="Обычный 2 10 4 2 5 2" xfId="5725"/>
    <cellStyle name="Обычный 2 10 4 2 6" xfId="2171"/>
    <cellStyle name="Обычный 2 10 4 2 6 2" xfId="6021"/>
    <cellStyle name="Обычный 2 10 4 2 7" xfId="2466"/>
    <cellStyle name="Обычный 2 10 4 2 7 2" xfId="6317"/>
    <cellStyle name="Обычный 2 10 4 2 8" xfId="2762"/>
    <cellStyle name="Обычный 2 10 4 2 8 2" xfId="6613"/>
    <cellStyle name="Обычный 2 10 4 2 9" xfId="3058"/>
    <cellStyle name="Обычный 2 10 4 2 9 2" xfId="6909"/>
    <cellStyle name="Обычный 2 10 4 3" xfId="1062"/>
    <cellStyle name="Обычный 2 10 4 3 2" xfId="4689"/>
    <cellStyle name="Обычный 2 10 4 4" xfId="1156"/>
    <cellStyle name="Обычный 2 10 4 4 2" xfId="4985"/>
    <cellStyle name="Обычный 2 10 4 5" xfId="1439"/>
    <cellStyle name="Обычный 2 10 4 5 2" xfId="5281"/>
    <cellStyle name="Обычный 2 10 4 6" xfId="1730"/>
    <cellStyle name="Обычный 2 10 4 6 2" xfId="5577"/>
    <cellStyle name="Обычный 2 10 4 7" xfId="2023"/>
    <cellStyle name="Обычный 2 10 4 7 2" xfId="5873"/>
    <cellStyle name="Обычный 2 10 4 8" xfId="2318"/>
    <cellStyle name="Обычный 2 10 4 8 2" xfId="6169"/>
    <cellStyle name="Обычный 2 10 4 9" xfId="2614"/>
    <cellStyle name="Обычный 2 10 4 9 2" xfId="6465"/>
    <cellStyle name="Обычный 2 10 5" xfId="299"/>
    <cellStyle name="Обычный 2 10 5 10" xfId="3256"/>
    <cellStyle name="Обычный 2 10 5 10 2" xfId="7107"/>
    <cellStyle name="Обычный 2 10 5 11" xfId="3552"/>
    <cellStyle name="Обычный 2 10 5 11 2" xfId="7403"/>
    <cellStyle name="Обычный 2 10 5 12" xfId="3848"/>
    <cellStyle name="Обычный 2 10 5 12 2" xfId="7699"/>
    <cellStyle name="Обычный 2 10 5 13" xfId="4144"/>
    <cellStyle name="Обычный 2 10 5 13 2" xfId="7995"/>
    <cellStyle name="Обычный 2 10 5 14" xfId="8344"/>
    <cellStyle name="Обычный 2 10 5 15" xfId="4443"/>
    <cellStyle name="Обычный 2 10 5 2" xfId="757"/>
    <cellStyle name="Обычный 2 10 5 2 2" xfId="8521"/>
    <cellStyle name="Обычный 2 10 5 2 3" xfId="4739"/>
    <cellStyle name="Обычный 2 10 5 3" xfId="1203"/>
    <cellStyle name="Обычный 2 10 5 3 2" xfId="5035"/>
    <cellStyle name="Обычный 2 10 5 4" xfId="1488"/>
    <cellStyle name="Обычный 2 10 5 4 2" xfId="5331"/>
    <cellStyle name="Обычный 2 10 5 5" xfId="1780"/>
    <cellStyle name="Обычный 2 10 5 5 2" xfId="5627"/>
    <cellStyle name="Обычный 2 10 5 6" xfId="2073"/>
    <cellStyle name="Обычный 2 10 5 6 2" xfId="5923"/>
    <cellStyle name="Обычный 2 10 5 7" xfId="2368"/>
    <cellStyle name="Обычный 2 10 5 7 2" xfId="6219"/>
    <cellStyle name="Обычный 2 10 5 8" xfId="2664"/>
    <cellStyle name="Обычный 2 10 5 8 2" xfId="6515"/>
    <cellStyle name="Обычный 2 10 5 9" xfId="2960"/>
    <cellStyle name="Обычный 2 10 5 9 2" xfId="6811"/>
    <cellStyle name="Обычный 2 10 6" xfId="715"/>
    <cellStyle name="Обычный 2 10 6 2" xfId="8492"/>
    <cellStyle name="Обычный 2 10 6 3" xfId="4591"/>
    <cellStyle name="Обычный 2 10 7" xfId="758"/>
    <cellStyle name="Обычный 2 10 7 2" xfId="8522"/>
    <cellStyle name="Обычный 2 10 7 3" xfId="4887"/>
    <cellStyle name="Обычный 2 10 8" xfId="1345"/>
    <cellStyle name="Обычный 2 10 8 2" xfId="5183"/>
    <cellStyle name="Обычный 2 10 9" xfId="1634"/>
    <cellStyle name="Обычный 2 10 9 2" xfId="5479"/>
    <cellStyle name="Обычный 2 11" xfId="74"/>
    <cellStyle name="Обычный 2 11 10" xfId="1928"/>
    <cellStyle name="Обычный 2 11 10 2" xfId="5776"/>
    <cellStyle name="Обычный 2 11 11" xfId="2222"/>
    <cellStyle name="Обычный 2 11 11 2" xfId="6072"/>
    <cellStyle name="Обычный 2 11 12" xfId="2517"/>
    <cellStyle name="Обычный 2 11 12 2" xfId="6368"/>
    <cellStyle name="Обычный 2 11 13" xfId="2813"/>
    <cellStyle name="Обычный 2 11 13 2" xfId="6664"/>
    <cellStyle name="Обычный 2 11 14" xfId="3109"/>
    <cellStyle name="Обычный 2 11 14 2" xfId="6960"/>
    <cellStyle name="Обычный 2 11 15" xfId="3405"/>
    <cellStyle name="Обычный 2 11 15 2" xfId="7256"/>
    <cellStyle name="Обычный 2 11 16" xfId="3701"/>
    <cellStyle name="Обычный 2 11 16 2" xfId="7552"/>
    <cellStyle name="Обычный 2 11 17" xfId="3997"/>
    <cellStyle name="Обычный 2 11 17 2" xfId="7848"/>
    <cellStyle name="Обычный 2 11 18" xfId="8144"/>
    <cellStyle name="Обычный 2 11 19" xfId="4293"/>
    <cellStyle name="Обычный 2 11 2" xfId="123"/>
    <cellStyle name="Обычный 2 11 2 10" xfId="2243"/>
    <cellStyle name="Обычный 2 11 2 10 2" xfId="6094"/>
    <cellStyle name="Обычный 2 11 2 11" xfId="2539"/>
    <cellStyle name="Обычный 2 11 2 11 2" xfId="6390"/>
    <cellStyle name="Обычный 2 11 2 12" xfId="2835"/>
    <cellStyle name="Обычный 2 11 2 12 2" xfId="6686"/>
    <cellStyle name="Обычный 2 11 2 13" xfId="3131"/>
    <cellStyle name="Обычный 2 11 2 13 2" xfId="6982"/>
    <cellStyle name="Обычный 2 11 2 14" xfId="3427"/>
    <cellStyle name="Обычный 2 11 2 14 2" xfId="7278"/>
    <cellStyle name="Обычный 2 11 2 15" xfId="3723"/>
    <cellStyle name="Обычный 2 11 2 15 2" xfId="7574"/>
    <cellStyle name="Обычный 2 11 2 16" xfId="4019"/>
    <cellStyle name="Обычный 2 11 2 16 2" xfId="7870"/>
    <cellStyle name="Обычный 2 11 2 17" xfId="8166"/>
    <cellStyle name="Обычный 2 11 2 18" xfId="4315"/>
    <cellStyle name="Обычный 2 11 2 2" xfId="171"/>
    <cellStyle name="Обычный 2 11 2 2 10" xfId="2883"/>
    <cellStyle name="Обычный 2 11 2 2 10 2" xfId="6734"/>
    <cellStyle name="Обычный 2 11 2 2 11" xfId="3179"/>
    <cellStyle name="Обычный 2 11 2 2 11 2" xfId="7030"/>
    <cellStyle name="Обычный 2 11 2 2 12" xfId="3475"/>
    <cellStyle name="Обычный 2 11 2 2 12 2" xfId="7326"/>
    <cellStyle name="Обычный 2 11 2 2 13" xfId="3771"/>
    <cellStyle name="Обычный 2 11 2 2 13 2" xfId="7622"/>
    <cellStyle name="Обычный 2 11 2 2 14" xfId="4067"/>
    <cellStyle name="Обычный 2 11 2 2 14 2" xfId="7918"/>
    <cellStyle name="Обычный 2 11 2 2 15" xfId="8216"/>
    <cellStyle name="Обычный 2 11 2 2 16" xfId="4364"/>
    <cellStyle name="Обычный 2 11 2 2 2" xfId="271"/>
    <cellStyle name="Обычный 2 11 2 2 2 10" xfId="3327"/>
    <cellStyle name="Обычный 2 11 2 2 2 10 2" xfId="7178"/>
    <cellStyle name="Обычный 2 11 2 2 2 11" xfId="3623"/>
    <cellStyle name="Обычный 2 11 2 2 2 11 2" xfId="7474"/>
    <cellStyle name="Обычный 2 11 2 2 2 12" xfId="3919"/>
    <cellStyle name="Обычный 2 11 2 2 2 12 2" xfId="7770"/>
    <cellStyle name="Обычный 2 11 2 2 2 13" xfId="4215"/>
    <cellStyle name="Обычный 2 11 2 2 2 13 2" xfId="8066"/>
    <cellStyle name="Обычный 2 11 2 2 2 14" xfId="8317"/>
    <cellStyle name="Обычный 2 11 2 2 2 15" xfId="4514"/>
    <cellStyle name="Обычный 2 11 2 2 2 2" xfId="759"/>
    <cellStyle name="Обычный 2 11 2 2 2 2 2" xfId="8523"/>
    <cellStyle name="Обычный 2 11 2 2 2 2 3" xfId="4810"/>
    <cellStyle name="Обычный 2 11 2 2 2 3" xfId="1272"/>
    <cellStyle name="Обычный 2 11 2 2 2 3 2" xfId="5106"/>
    <cellStyle name="Обычный 2 11 2 2 2 4" xfId="1558"/>
    <cellStyle name="Обычный 2 11 2 2 2 4 2" xfId="5402"/>
    <cellStyle name="Обычный 2 11 2 2 2 5" xfId="1851"/>
    <cellStyle name="Обычный 2 11 2 2 2 5 2" xfId="5698"/>
    <cellStyle name="Обычный 2 11 2 2 2 6" xfId="2144"/>
    <cellStyle name="Обычный 2 11 2 2 2 6 2" xfId="5994"/>
    <cellStyle name="Обычный 2 11 2 2 2 7" xfId="2439"/>
    <cellStyle name="Обычный 2 11 2 2 2 7 2" xfId="6290"/>
    <cellStyle name="Обычный 2 11 2 2 2 8" xfId="2735"/>
    <cellStyle name="Обычный 2 11 2 2 2 8 2" xfId="6586"/>
    <cellStyle name="Обычный 2 11 2 2 2 9" xfId="3031"/>
    <cellStyle name="Обычный 2 11 2 2 2 9 2" xfId="6882"/>
    <cellStyle name="Обычный 2 11 2 2 3" xfId="372"/>
    <cellStyle name="Обычный 2 11 2 2 3 2" xfId="760"/>
    <cellStyle name="Обычный 2 11 2 2 3 3" xfId="8417"/>
    <cellStyle name="Обычный 2 11 2 2 3 4" xfId="4662"/>
    <cellStyle name="Обычный 2 11 2 2 4" xfId="761"/>
    <cellStyle name="Обычный 2 11 2 2 4 2" xfId="8524"/>
    <cellStyle name="Обычный 2 11 2 2 4 3" xfId="4958"/>
    <cellStyle name="Обычный 2 11 2 2 5" xfId="1414"/>
    <cellStyle name="Обычный 2 11 2 2 5 2" xfId="5254"/>
    <cellStyle name="Обычный 2 11 2 2 6" xfId="1704"/>
    <cellStyle name="Обычный 2 11 2 2 6 2" xfId="5550"/>
    <cellStyle name="Обычный 2 11 2 2 7" xfId="1996"/>
    <cellStyle name="Обычный 2 11 2 2 7 2" xfId="5846"/>
    <cellStyle name="Обычный 2 11 2 2 8" xfId="2291"/>
    <cellStyle name="Обычный 2 11 2 2 8 2" xfId="6142"/>
    <cellStyle name="Обычный 2 11 2 2 9" xfId="2587"/>
    <cellStyle name="Обычный 2 11 2 2 9 2" xfId="6438"/>
    <cellStyle name="Обычный 2 11 2 3" xfId="222"/>
    <cellStyle name="Обычный 2 11 2 3 10" xfId="2933"/>
    <cellStyle name="Обычный 2 11 2 3 10 2" xfId="6784"/>
    <cellStyle name="Обычный 2 11 2 3 11" xfId="3229"/>
    <cellStyle name="Обычный 2 11 2 3 11 2" xfId="7080"/>
    <cellStyle name="Обычный 2 11 2 3 12" xfId="3525"/>
    <cellStyle name="Обычный 2 11 2 3 12 2" xfId="7376"/>
    <cellStyle name="Обычный 2 11 2 3 13" xfId="3821"/>
    <cellStyle name="Обычный 2 11 2 3 13 2" xfId="7672"/>
    <cellStyle name="Обычный 2 11 2 3 14" xfId="4117"/>
    <cellStyle name="Обычный 2 11 2 3 14 2" xfId="7968"/>
    <cellStyle name="Обычный 2 11 2 3 15" xfId="8267"/>
    <cellStyle name="Обычный 2 11 2 3 16" xfId="4415"/>
    <cellStyle name="Обычный 2 11 2 3 2" xfId="762"/>
    <cellStyle name="Обычный 2 11 2 3 2 10" xfId="3377"/>
    <cellStyle name="Обычный 2 11 2 3 2 10 2" xfId="7228"/>
    <cellStyle name="Обычный 2 11 2 3 2 11" xfId="3673"/>
    <cellStyle name="Обычный 2 11 2 3 2 11 2" xfId="7524"/>
    <cellStyle name="Обычный 2 11 2 3 2 12" xfId="3969"/>
    <cellStyle name="Обычный 2 11 2 3 2 12 2" xfId="7820"/>
    <cellStyle name="Обычный 2 11 2 3 2 13" xfId="4265"/>
    <cellStyle name="Обычный 2 11 2 3 2 13 2" xfId="8116"/>
    <cellStyle name="Обычный 2 11 2 3 2 14" xfId="8525"/>
    <cellStyle name="Обычный 2 11 2 3 2 15" xfId="4564"/>
    <cellStyle name="Обычный 2 11 2 3 2 2" xfId="1131"/>
    <cellStyle name="Обычный 2 11 2 3 2 2 2" xfId="4860"/>
    <cellStyle name="Обычный 2 11 2 3 2 3" xfId="1320"/>
    <cellStyle name="Обычный 2 11 2 3 2 3 2" xfId="5156"/>
    <cellStyle name="Обычный 2 11 2 3 2 4" xfId="1607"/>
    <cellStyle name="Обычный 2 11 2 3 2 4 2" xfId="5452"/>
    <cellStyle name="Обычный 2 11 2 3 2 5" xfId="1900"/>
    <cellStyle name="Обычный 2 11 2 3 2 5 2" xfId="5748"/>
    <cellStyle name="Обычный 2 11 2 3 2 6" xfId="2194"/>
    <cellStyle name="Обычный 2 11 2 3 2 6 2" xfId="6044"/>
    <cellStyle name="Обычный 2 11 2 3 2 7" xfId="2489"/>
    <cellStyle name="Обычный 2 11 2 3 2 7 2" xfId="6340"/>
    <cellStyle name="Обычный 2 11 2 3 2 8" xfId="2785"/>
    <cellStyle name="Обычный 2 11 2 3 2 8 2" xfId="6636"/>
    <cellStyle name="Обычный 2 11 2 3 2 9" xfId="3081"/>
    <cellStyle name="Обычный 2 11 2 3 2 9 2" xfId="6932"/>
    <cellStyle name="Обычный 2 11 2 3 3" xfId="1084"/>
    <cellStyle name="Обычный 2 11 2 3 3 2" xfId="4712"/>
    <cellStyle name="Обычный 2 11 2 3 4" xfId="1178"/>
    <cellStyle name="Обычный 2 11 2 3 4 2" xfId="5008"/>
    <cellStyle name="Обычный 2 11 2 3 5" xfId="1462"/>
    <cellStyle name="Обычный 2 11 2 3 5 2" xfId="5304"/>
    <cellStyle name="Обычный 2 11 2 3 6" xfId="1753"/>
    <cellStyle name="Обычный 2 11 2 3 6 2" xfId="5600"/>
    <cellStyle name="Обычный 2 11 2 3 7" xfId="2046"/>
    <cellStyle name="Обычный 2 11 2 3 7 2" xfId="5896"/>
    <cellStyle name="Обычный 2 11 2 3 8" xfId="2341"/>
    <cellStyle name="Обычный 2 11 2 3 8 2" xfId="6192"/>
    <cellStyle name="Обычный 2 11 2 3 9" xfId="2637"/>
    <cellStyle name="Обычный 2 11 2 3 9 2" xfId="6488"/>
    <cellStyle name="Обычный 2 11 2 4" xfId="322"/>
    <cellStyle name="Обычный 2 11 2 4 10" xfId="3279"/>
    <cellStyle name="Обычный 2 11 2 4 10 2" xfId="7130"/>
    <cellStyle name="Обычный 2 11 2 4 11" xfId="3575"/>
    <cellStyle name="Обычный 2 11 2 4 11 2" xfId="7426"/>
    <cellStyle name="Обычный 2 11 2 4 12" xfId="3871"/>
    <cellStyle name="Обычный 2 11 2 4 12 2" xfId="7722"/>
    <cellStyle name="Обычный 2 11 2 4 13" xfId="4167"/>
    <cellStyle name="Обычный 2 11 2 4 13 2" xfId="8018"/>
    <cellStyle name="Обычный 2 11 2 4 14" xfId="8367"/>
    <cellStyle name="Обычный 2 11 2 4 15" xfId="4466"/>
    <cellStyle name="Обычный 2 11 2 4 2" xfId="763"/>
    <cellStyle name="Обычный 2 11 2 4 2 2" xfId="8526"/>
    <cellStyle name="Обычный 2 11 2 4 2 3" xfId="4762"/>
    <cellStyle name="Обычный 2 11 2 4 3" xfId="1226"/>
    <cellStyle name="Обычный 2 11 2 4 3 2" xfId="5058"/>
    <cellStyle name="Обычный 2 11 2 4 4" xfId="1511"/>
    <cellStyle name="Обычный 2 11 2 4 4 2" xfId="5354"/>
    <cellStyle name="Обычный 2 11 2 4 5" xfId="1803"/>
    <cellStyle name="Обычный 2 11 2 4 5 2" xfId="5650"/>
    <cellStyle name="Обычный 2 11 2 4 6" xfId="2096"/>
    <cellStyle name="Обычный 2 11 2 4 6 2" xfId="5946"/>
    <cellStyle name="Обычный 2 11 2 4 7" xfId="2391"/>
    <cellStyle name="Обычный 2 11 2 4 7 2" xfId="6242"/>
    <cellStyle name="Обычный 2 11 2 4 8" xfId="2687"/>
    <cellStyle name="Обычный 2 11 2 4 8 2" xfId="6538"/>
    <cellStyle name="Обычный 2 11 2 4 9" xfId="2983"/>
    <cellStyle name="Обычный 2 11 2 4 9 2" xfId="6834"/>
    <cellStyle name="Обычный 2 11 2 5" xfId="764"/>
    <cellStyle name="Обычный 2 11 2 5 2" xfId="8527"/>
    <cellStyle name="Обычный 2 11 2 5 3" xfId="4614"/>
    <cellStyle name="Обычный 2 11 2 6" xfId="765"/>
    <cellStyle name="Обычный 2 11 2 6 2" xfId="8528"/>
    <cellStyle name="Обычный 2 11 2 6 3" xfId="4910"/>
    <cellStyle name="Обычный 2 11 2 7" xfId="1367"/>
    <cellStyle name="Обычный 2 11 2 7 2" xfId="5206"/>
    <cellStyle name="Обычный 2 11 2 8" xfId="1656"/>
    <cellStyle name="Обычный 2 11 2 8 2" xfId="5502"/>
    <cellStyle name="Обычный 2 11 2 9" xfId="1949"/>
    <cellStyle name="Обычный 2 11 2 9 2" xfId="5798"/>
    <cellStyle name="Обычный 2 11 3" xfId="150"/>
    <cellStyle name="Обычный 2 11 3 10" xfId="2861"/>
    <cellStyle name="Обычный 2 11 3 10 2" xfId="6712"/>
    <cellStyle name="Обычный 2 11 3 11" xfId="3157"/>
    <cellStyle name="Обычный 2 11 3 11 2" xfId="7008"/>
    <cellStyle name="Обычный 2 11 3 12" xfId="3453"/>
    <cellStyle name="Обычный 2 11 3 12 2" xfId="7304"/>
    <cellStyle name="Обычный 2 11 3 13" xfId="3749"/>
    <cellStyle name="Обычный 2 11 3 13 2" xfId="7600"/>
    <cellStyle name="Обычный 2 11 3 14" xfId="4045"/>
    <cellStyle name="Обычный 2 11 3 14 2" xfId="7896"/>
    <cellStyle name="Обычный 2 11 3 15" xfId="8194"/>
    <cellStyle name="Обычный 2 11 3 16" xfId="4342"/>
    <cellStyle name="Обычный 2 11 3 2" xfId="250"/>
    <cellStyle name="Обычный 2 11 3 2 10" xfId="3305"/>
    <cellStyle name="Обычный 2 11 3 2 10 2" xfId="7156"/>
    <cellStyle name="Обычный 2 11 3 2 11" xfId="3601"/>
    <cellStyle name="Обычный 2 11 3 2 11 2" xfId="7452"/>
    <cellStyle name="Обычный 2 11 3 2 12" xfId="3897"/>
    <cellStyle name="Обычный 2 11 3 2 12 2" xfId="7748"/>
    <cellStyle name="Обычный 2 11 3 2 13" xfId="4193"/>
    <cellStyle name="Обычный 2 11 3 2 13 2" xfId="8044"/>
    <cellStyle name="Обычный 2 11 3 2 14" xfId="8295"/>
    <cellStyle name="Обычный 2 11 3 2 15" xfId="4492"/>
    <cellStyle name="Обычный 2 11 3 2 2" xfId="766"/>
    <cellStyle name="Обычный 2 11 3 2 2 2" xfId="8529"/>
    <cellStyle name="Обычный 2 11 3 2 2 3" xfId="4788"/>
    <cellStyle name="Обычный 2 11 3 2 3" xfId="1251"/>
    <cellStyle name="Обычный 2 11 3 2 3 2" xfId="5084"/>
    <cellStyle name="Обычный 2 11 3 2 4" xfId="1537"/>
    <cellStyle name="Обычный 2 11 3 2 4 2" xfId="5380"/>
    <cellStyle name="Обычный 2 11 3 2 5" xfId="1829"/>
    <cellStyle name="Обычный 2 11 3 2 5 2" xfId="5676"/>
    <cellStyle name="Обычный 2 11 3 2 6" xfId="2122"/>
    <cellStyle name="Обычный 2 11 3 2 6 2" xfId="5972"/>
    <cellStyle name="Обычный 2 11 3 2 7" xfId="2417"/>
    <cellStyle name="Обычный 2 11 3 2 7 2" xfId="6268"/>
    <cellStyle name="Обычный 2 11 3 2 8" xfId="2713"/>
    <cellStyle name="Обычный 2 11 3 2 8 2" xfId="6564"/>
    <cellStyle name="Обычный 2 11 3 2 9" xfId="3009"/>
    <cellStyle name="Обычный 2 11 3 2 9 2" xfId="6860"/>
    <cellStyle name="Обычный 2 11 3 3" xfId="350"/>
    <cellStyle name="Обычный 2 11 3 3 2" xfId="767"/>
    <cellStyle name="Обычный 2 11 3 3 3" xfId="8395"/>
    <cellStyle name="Обычный 2 11 3 3 4" xfId="4640"/>
    <cellStyle name="Обычный 2 11 3 4" xfId="768"/>
    <cellStyle name="Обычный 2 11 3 4 2" xfId="8530"/>
    <cellStyle name="Обычный 2 11 3 4 3" xfId="4936"/>
    <cellStyle name="Обычный 2 11 3 5" xfId="1393"/>
    <cellStyle name="Обычный 2 11 3 5 2" xfId="5232"/>
    <cellStyle name="Обычный 2 11 3 6" xfId="1682"/>
    <cellStyle name="Обычный 2 11 3 6 2" xfId="5528"/>
    <cellStyle name="Обычный 2 11 3 7" xfId="1975"/>
    <cellStyle name="Обычный 2 11 3 7 2" xfId="5824"/>
    <cellStyle name="Обычный 2 11 3 8" xfId="2269"/>
    <cellStyle name="Обычный 2 11 3 8 2" xfId="6120"/>
    <cellStyle name="Обычный 2 11 3 9" xfId="2565"/>
    <cellStyle name="Обычный 2 11 3 9 2" xfId="6416"/>
    <cellStyle name="Обычный 2 11 4" xfId="201"/>
    <cellStyle name="Обычный 2 11 4 10" xfId="2911"/>
    <cellStyle name="Обычный 2 11 4 10 2" xfId="6762"/>
    <cellStyle name="Обычный 2 11 4 11" xfId="3207"/>
    <cellStyle name="Обычный 2 11 4 11 2" xfId="7058"/>
    <cellStyle name="Обычный 2 11 4 12" xfId="3503"/>
    <cellStyle name="Обычный 2 11 4 12 2" xfId="7354"/>
    <cellStyle name="Обычный 2 11 4 13" xfId="3799"/>
    <cellStyle name="Обычный 2 11 4 13 2" xfId="7650"/>
    <cellStyle name="Обычный 2 11 4 14" xfId="4095"/>
    <cellStyle name="Обычный 2 11 4 14 2" xfId="7946"/>
    <cellStyle name="Обычный 2 11 4 15" xfId="8245"/>
    <cellStyle name="Обычный 2 11 4 16" xfId="4393"/>
    <cellStyle name="Обычный 2 11 4 2" xfId="769"/>
    <cellStyle name="Обычный 2 11 4 2 10" xfId="3355"/>
    <cellStyle name="Обычный 2 11 4 2 10 2" xfId="7206"/>
    <cellStyle name="Обычный 2 11 4 2 11" xfId="3651"/>
    <cellStyle name="Обычный 2 11 4 2 11 2" xfId="7502"/>
    <cellStyle name="Обычный 2 11 4 2 12" xfId="3947"/>
    <cellStyle name="Обычный 2 11 4 2 12 2" xfId="7798"/>
    <cellStyle name="Обычный 2 11 4 2 13" xfId="4243"/>
    <cellStyle name="Обычный 2 11 4 2 13 2" xfId="8094"/>
    <cellStyle name="Обычный 2 11 4 2 14" xfId="8531"/>
    <cellStyle name="Обычный 2 11 4 2 15" xfId="4542"/>
    <cellStyle name="Обычный 2 11 4 2 2" xfId="1110"/>
    <cellStyle name="Обычный 2 11 4 2 2 2" xfId="4838"/>
    <cellStyle name="Обычный 2 11 4 2 3" xfId="1299"/>
    <cellStyle name="Обычный 2 11 4 2 3 2" xfId="5134"/>
    <cellStyle name="Обычный 2 11 4 2 4" xfId="1586"/>
    <cellStyle name="Обычный 2 11 4 2 4 2" xfId="5430"/>
    <cellStyle name="Обычный 2 11 4 2 5" xfId="1879"/>
    <cellStyle name="Обычный 2 11 4 2 5 2" xfId="5726"/>
    <cellStyle name="Обычный 2 11 4 2 6" xfId="2172"/>
    <cellStyle name="Обычный 2 11 4 2 6 2" xfId="6022"/>
    <cellStyle name="Обычный 2 11 4 2 7" xfId="2467"/>
    <cellStyle name="Обычный 2 11 4 2 7 2" xfId="6318"/>
    <cellStyle name="Обычный 2 11 4 2 8" xfId="2763"/>
    <cellStyle name="Обычный 2 11 4 2 8 2" xfId="6614"/>
    <cellStyle name="Обычный 2 11 4 2 9" xfId="3059"/>
    <cellStyle name="Обычный 2 11 4 2 9 2" xfId="6910"/>
    <cellStyle name="Обычный 2 11 4 3" xfId="1063"/>
    <cellStyle name="Обычный 2 11 4 3 2" xfId="4690"/>
    <cellStyle name="Обычный 2 11 4 4" xfId="1157"/>
    <cellStyle name="Обычный 2 11 4 4 2" xfId="4986"/>
    <cellStyle name="Обычный 2 11 4 5" xfId="1440"/>
    <cellStyle name="Обычный 2 11 4 5 2" xfId="5282"/>
    <cellStyle name="Обычный 2 11 4 6" xfId="1731"/>
    <cellStyle name="Обычный 2 11 4 6 2" xfId="5578"/>
    <cellStyle name="Обычный 2 11 4 7" xfId="2024"/>
    <cellStyle name="Обычный 2 11 4 7 2" xfId="5874"/>
    <cellStyle name="Обычный 2 11 4 8" xfId="2319"/>
    <cellStyle name="Обычный 2 11 4 8 2" xfId="6170"/>
    <cellStyle name="Обычный 2 11 4 9" xfId="2615"/>
    <cellStyle name="Обычный 2 11 4 9 2" xfId="6466"/>
    <cellStyle name="Обычный 2 11 5" xfId="300"/>
    <cellStyle name="Обычный 2 11 5 10" xfId="3257"/>
    <cellStyle name="Обычный 2 11 5 10 2" xfId="7108"/>
    <cellStyle name="Обычный 2 11 5 11" xfId="3553"/>
    <cellStyle name="Обычный 2 11 5 11 2" xfId="7404"/>
    <cellStyle name="Обычный 2 11 5 12" xfId="3849"/>
    <cellStyle name="Обычный 2 11 5 12 2" xfId="7700"/>
    <cellStyle name="Обычный 2 11 5 13" xfId="4145"/>
    <cellStyle name="Обычный 2 11 5 13 2" xfId="7996"/>
    <cellStyle name="Обычный 2 11 5 14" xfId="8345"/>
    <cellStyle name="Обычный 2 11 5 15" xfId="4444"/>
    <cellStyle name="Обычный 2 11 5 2" xfId="770"/>
    <cellStyle name="Обычный 2 11 5 2 2" xfId="8532"/>
    <cellStyle name="Обычный 2 11 5 2 3" xfId="4740"/>
    <cellStyle name="Обычный 2 11 5 3" xfId="1204"/>
    <cellStyle name="Обычный 2 11 5 3 2" xfId="5036"/>
    <cellStyle name="Обычный 2 11 5 4" xfId="1489"/>
    <cellStyle name="Обычный 2 11 5 4 2" xfId="5332"/>
    <cellStyle name="Обычный 2 11 5 5" xfId="1781"/>
    <cellStyle name="Обычный 2 11 5 5 2" xfId="5628"/>
    <cellStyle name="Обычный 2 11 5 6" xfId="2074"/>
    <cellStyle name="Обычный 2 11 5 6 2" xfId="5924"/>
    <cellStyle name="Обычный 2 11 5 7" xfId="2369"/>
    <cellStyle name="Обычный 2 11 5 7 2" xfId="6220"/>
    <cellStyle name="Обычный 2 11 5 8" xfId="2665"/>
    <cellStyle name="Обычный 2 11 5 8 2" xfId="6516"/>
    <cellStyle name="Обычный 2 11 5 9" xfId="2961"/>
    <cellStyle name="Обычный 2 11 5 9 2" xfId="6812"/>
    <cellStyle name="Обычный 2 11 6" xfId="771"/>
    <cellStyle name="Обычный 2 11 6 2" xfId="8533"/>
    <cellStyle name="Обычный 2 11 6 3" xfId="4592"/>
    <cellStyle name="Обычный 2 11 7" xfId="772"/>
    <cellStyle name="Обычный 2 11 7 2" xfId="8534"/>
    <cellStyle name="Обычный 2 11 7 3" xfId="4888"/>
    <cellStyle name="Обычный 2 11 8" xfId="1346"/>
    <cellStyle name="Обычный 2 11 8 2" xfId="5184"/>
    <cellStyle name="Обычный 2 11 9" xfId="1635"/>
    <cellStyle name="Обычный 2 11 9 2" xfId="5480"/>
    <cellStyle name="Обычный 2 12" xfId="75"/>
    <cellStyle name="Обычный 2 12 10" xfId="1929"/>
    <cellStyle name="Обычный 2 12 10 2" xfId="5777"/>
    <cellStyle name="Обычный 2 12 11" xfId="2223"/>
    <cellStyle name="Обычный 2 12 11 2" xfId="6073"/>
    <cellStyle name="Обычный 2 12 12" xfId="2518"/>
    <cellStyle name="Обычный 2 12 12 2" xfId="6369"/>
    <cellStyle name="Обычный 2 12 13" xfId="2814"/>
    <cellStyle name="Обычный 2 12 13 2" xfId="6665"/>
    <cellStyle name="Обычный 2 12 14" xfId="3110"/>
    <cellStyle name="Обычный 2 12 14 2" xfId="6961"/>
    <cellStyle name="Обычный 2 12 15" xfId="3406"/>
    <cellStyle name="Обычный 2 12 15 2" xfId="7257"/>
    <cellStyle name="Обычный 2 12 16" xfId="3702"/>
    <cellStyle name="Обычный 2 12 16 2" xfId="7553"/>
    <cellStyle name="Обычный 2 12 17" xfId="3998"/>
    <cellStyle name="Обычный 2 12 17 2" xfId="7849"/>
    <cellStyle name="Обычный 2 12 18" xfId="8145"/>
    <cellStyle name="Обычный 2 12 19" xfId="4294"/>
    <cellStyle name="Обычный 2 12 2" xfId="124"/>
    <cellStyle name="Обычный 2 12 2 10" xfId="2244"/>
    <cellStyle name="Обычный 2 12 2 10 2" xfId="6095"/>
    <cellStyle name="Обычный 2 12 2 11" xfId="2540"/>
    <cellStyle name="Обычный 2 12 2 11 2" xfId="6391"/>
    <cellStyle name="Обычный 2 12 2 12" xfId="2836"/>
    <cellStyle name="Обычный 2 12 2 12 2" xfId="6687"/>
    <cellStyle name="Обычный 2 12 2 13" xfId="3132"/>
    <cellStyle name="Обычный 2 12 2 13 2" xfId="6983"/>
    <cellStyle name="Обычный 2 12 2 14" xfId="3428"/>
    <cellStyle name="Обычный 2 12 2 14 2" xfId="7279"/>
    <cellStyle name="Обычный 2 12 2 15" xfId="3724"/>
    <cellStyle name="Обычный 2 12 2 15 2" xfId="7575"/>
    <cellStyle name="Обычный 2 12 2 16" xfId="4020"/>
    <cellStyle name="Обычный 2 12 2 16 2" xfId="7871"/>
    <cellStyle name="Обычный 2 12 2 17" xfId="8167"/>
    <cellStyle name="Обычный 2 12 2 18" xfId="4316"/>
    <cellStyle name="Обычный 2 12 2 2" xfId="172"/>
    <cellStyle name="Обычный 2 12 2 2 10" xfId="2884"/>
    <cellStyle name="Обычный 2 12 2 2 10 2" xfId="6735"/>
    <cellStyle name="Обычный 2 12 2 2 11" xfId="3180"/>
    <cellStyle name="Обычный 2 12 2 2 11 2" xfId="7031"/>
    <cellStyle name="Обычный 2 12 2 2 12" xfId="3476"/>
    <cellStyle name="Обычный 2 12 2 2 12 2" xfId="7327"/>
    <cellStyle name="Обычный 2 12 2 2 13" xfId="3772"/>
    <cellStyle name="Обычный 2 12 2 2 13 2" xfId="7623"/>
    <cellStyle name="Обычный 2 12 2 2 14" xfId="4068"/>
    <cellStyle name="Обычный 2 12 2 2 14 2" xfId="7919"/>
    <cellStyle name="Обычный 2 12 2 2 15" xfId="8217"/>
    <cellStyle name="Обычный 2 12 2 2 16" xfId="4365"/>
    <cellStyle name="Обычный 2 12 2 2 2" xfId="272"/>
    <cellStyle name="Обычный 2 12 2 2 2 10" xfId="3328"/>
    <cellStyle name="Обычный 2 12 2 2 2 10 2" xfId="7179"/>
    <cellStyle name="Обычный 2 12 2 2 2 11" xfId="3624"/>
    <cellStyle name="Обычный 2 12 2 2 2 11 2" xfId="7475"/>
    <cellStyle name="Обычный 2 12 2 2 2 12" xfId="3920"/>
    <cellStyle name="Обычный 2 12 2 2 2 12 2" xfId="7771"/>
    <cellStyle name="Обычный 2 12 2 2 2 13" xfId="4216"/>
    <cellStyle name="Обычный 2 12 2 2 2 13 2" xfId="8067"/>
    <cellStyle name="Обычный 2 12 2 2 2 14" xfId="8318"/>
    <cellStyle name="Обычный 2 12 2 2 2 15" xfId="4515"/>
    <cellStyle name="Обычный 2 12 2 2 2 2" xfId="773"/>
    <cellStyle name="Обычный 2 12 2 2 2 2 2" xfId="8535"/>
    <cellStyle name="Обычный 2 12 2 2 2 2 3" xfId="4811"/>
    <cellStyle name="Обычный 2 12 2 2 2 3" xfId="1273"/>
    <cellStyle name="Обычный 2 12 2 2 2 3 2" xfId="5107"/>
    <cellStyle name="Обычный 2 12 2 2 2 4" xfId="1559"/>
    <cellStyle name="Обычный 2 12 2 2 2 4 2" xfId="5403"/>
    <cellStyle name="Обычный 2 12 2 2 2 5" xfId="1852"/>
    <cellStyle name="Обычный 2 12 2 2 2 5 2" xfId="5699"/>
    <cellStyle name="Обычный 2 12 2 2 2 6" xfId="2145"/>
    <cellStyle name="Обычный 2 12 2 2 2 6 2" xfId="5995"/>
    <cellStyle name="Обычный 2 12 2 2 2 7" xfId="2440"/>
    <cellStyle name="Обычный 2 12 2 2 2 7 2" xfId="6291"/>
    <cellStyle name="Обычный 2 12 2 2 2 8" xfId="2736"/>
    <cellStyle name="Обычный 2 12 2 2 2 8 2" xfId="6587"/>
    <cellStyle name="Обычный 2 12 2 2 2 9" xfId="3032"/>
    <cellStyle name="Обычный 2 12 2 2 2 9 2" xfId="6883"/>
    <cellStyle name="Обычный 2 12 2 2 3" xfId="373"/>
    <cellStyle name="Обычный 2 12 2 2 3 2" xfId="774"/>
    <cellStyle name="Обычный 2 12 2 2 3 3" xfId="8418"/>
    <cellStyle name="Обычный 2 12 2 2 3 4" xfId="4663"/>
    <cellStyle name="Обычный 2 12 2 2 4" xfId="775"/>
    <cellStyle name="Обычный 2 12 2 2 4 2" xfId="8536"/>
    <cellStyle name="Обычный 2 12 2 2 4 3" xfId="4959"/>
    <cellStyle name="Обычный 2 12 2 2 5" xfId="1415"/>
    <cellStyle name="Обычный 2 12 2 2 5 2" xfId="5255"/>
    <cellStyle name="Обычный 2 12 2 2 6" xfId="1705"/>
    <cellStyle name="Обычный 2 12 2 2 6 2" xfId="5551"/>
    <cellStyle name="Обычный 2 12 2 2 7" xfId="1997"/>
    <cellStyle name="Обычный 2 12 2 2 7 2" xfId="5847"/>
    <cellStyle name="Обычный 2 12 2 2 8" xfId="2292"/>
    <cellStyle name="Обычный 2 12 2 2 8 2" xfId="6143"/>
    <cellStyle name="Обычный 2 12 2 2 9" xfId="2588"/>
    <cellStyle name="Обычный 2 12 2 2 9 2" xfId="6439"/>
    <cellStyle name="Обычный 2 12 2 3" xfId="223"/>
    <cellStyle name="Обычный 2 12 2 3 10" xfId="2934"/>
    <cellStyle name="Обычный 2 12 2 3 10 2" xfId="6785"/>
    <cellStyle name="Обычный 2 12 2 3 11" xfId="3230"/>
    <cellStyle name="Обычный 2 12 2 3 11 2" xfId="7081"/>
    <cellStyle name="Обычный 2 12 2 3 12" xfId="3526"/>
    <cellStyle name="Обычный 2 12 2 3 12 2" xfId="7377"/>
    <cellStyle name="Обычный 2 12 2 3 13" xfId="3822"/>
    <cellStyle name="Обычный 2 12 2 3 13 2" xfId="7673"/>
    <cellStyle name="Обычный 2 12 2 3 14" xfId="4118"/>
    <cellStyle name="Обычный 2 12 2 3 14 2" xfId="7969"/>
    <cellStyle name="Обычный 2 12 2 3 15" xfId="8268"/>
    <cellStyle name="Обычный 2 12 2 3 16" xfId="4416"/>
    <cellStyle name="Обычный 2 12 2 3 2" xfId="776"/>
    <cellStyle name="Обычный 2 12 2 3 2 10" xfId="3378"/>
    <cellStyle name="Обычный 2 12 2 3 2 10 2" xfId="7229"/>
    <cellStyle name="Обычный 2 12 2 3 2 11" xfId="3674"/>
    <cellStyle name="Обычный 2 12 2 3 2 11 2" xfId="7525"/>
    <cellStyle name="Обычный 2 12 2 3 2 12" xfId="3970"/>
    <cellStyle name="Обычный 2 12 2 3 2 12 2" xfId="7821"/>
    <cellStyle name="Обычный 2 12 2 3 2 13" xfId="4266"/>
    <cellStyle name="Обычный 2 12 2 3 2 13 2" xfId="8117"/>
    <cellStyle name="Обычный 2 12 2 3 2 14" xfId="8537"/>
    <cellStyle name="Обычный 2 12 2 3 2 15" xfId="4565"/>
    <cellStyle name="Обычный 2 12 2 3 2 2" xfId="1132"/>
    <cellStyle name="Обычный 2 12 2 3 2 2 2" xfId="4861"/>
    <cellStyle name="Обычный 2 12 2 3 2 3" xfId="1321"/>
    <cellStyle name="Обычный 2 12 2 3 2 3 2" xfId="5157"/>
    <cellStyle name="Обычный 2 12 2 3 2 4" xfId="1608"/>
    <cellStyle name="Обычный 2 12 2 3 2 4 2" xfId="5453"/>
    <cellStyle name="Обычный 2 12 2 3 2 5" xfId="1901"/>
    <cellStyle name="Обычный 2 12 2 3 2 5 2" xfId="5749"/>
    <cellStyle name="Обычный 2 12 2 3 2 6" xfId="2195"/>
    <cellStyle name="Обычный 2 12 2 3 2 6 2" xfId="6045"/>
    <cellStyle name="Обычный 2 12 2 3 2 7" xfId="2490"/>
    <cellStyle name="Обычный 2 12 2 3 2 7 2" xfId="6341"/>
    <cellStyle name="Обычный 2 12 2 3 2 8" xfId="2786"/>
    <cellStyle name="Обычный 2 12 2 3 2 8 2" xfId="6637"/>
    <cellStyle name="Обычный 2 12 2 3 2 9" xfId="3082"/>
    <cellStyle name="Обычный 2 12 2 3 2 9 2" xfId="6933"/>
    <cellStyle name="Обычный 2 12 2 3 3" xfId="1085"/>
    <cellStyle name="Обычный 2 12 2 3 3 2" xfId="4713"/>
    <cellStyle name="Обычный 2 12 2 3 4" xfId="1179"/>
    <cellStyle name="Обычный 2 12 2 3 4 2" xfId="5009"/>
    <cellStyle name="Обычный 2 12 2 3 5" xfId="1463"/>
    <cellStyle name="Обычный 2 12 2 3 5 2" xfId="5305"/>
    <cellStyle name="Обычный 2 12 2 3 6" xfId="1754"/>
    <cellStyle name="Обычный 2 12 2 3 6 2" xfId="5601"/>
    <cellStyle name="Обычный 2 12 2 3 7" xfId="2047"/>
    <cellStyle name="Обычный 2 12 2 3 7 2" xfId="5897"/>
    <cellStyle name="Обычный 2 12 2 3 8" xfId="2342"/>
    <cellStyle name="Обычный 2 12 2 3 8 2" xfId="6193"/>
    <cellStyle name="Обычный 2 12 2 3 9" xfId="2638"/>
    <cellStyle name="Обычный 2 12 2 3 9 2" xfId="6489"/>
    <cellStyle name="Обычный 2 12 2 4" xfId="323"/>
    <cellStyle name="Обычный 2 12 2 4 10" xfId="3280"/>
    <cellStyle name="Обычный 2 12 2 4 10 2" xfId="7131"/>
    <cellStyle name="Обычный 2 12 2 4 11" xfId="3576"/>
    <cellStyle name="Обычный 2 12 2 4 11 2" xfId="7427"/>
    <cellStyle name="Обычный 2 12 2 4 12" xfId="3872"/>
    <cellStyle name="Обычный 2 12 2 4 12 2" xfId="7723"/>
    <cellStyle name="Обычный 2 12 2 4 13" xfId="4168"/>
    <cellStyle name="Обычный 2 12 2 4 13 2" xfId="8019"/>
    <cellStyle name="Обычный 2 12 2 4 14" xfId="8368"/>
    <cellStyle name="Обычный 2 12 2 4 15" xfId="4467"/>
    <cellStyle name="Обычный 2 12 2 4 2" xfId="777"/>
    <cellStyle name="Обычный 2 12 2 4 2 2" xfId="8538"/>
    <cellStyle name="Обычный 2 12 2 4 2 3" xfId="4763"/>
    <cellStyle name="Обычный 2 12 2 4 3" xfId="1227"/>
    <cellStyle name="Обычный 2 12 2 4 3 2" xfId="5059"/>
    <cellStyle name="Обычный 2 12 2 4 4" xfId="1512"/>
    <cellStyle name="Обычный 2 12 2 4 4 2" xfId="5355"/>
    <cellStyle name="Обычный 2 12 2 4 5" xfId="1804"/>
    <cellStyle name="Обычный 2 12 2 4 5 2" xfId="5651"/>
    <cellStyle name="Обычный 2 12 2 4 6" xfId="2097"/>
    <cellStyle name="Обычный 2 12 2 4 6 2" xfId="5947"/>
    <cellStyle name="Обычный 2 12 2 4 7" xfId="2392"/>
    <cellStyle name="Обычный 2 12 2 4 7 2" xfId="6243"/>
    <cellStyle name="Обычный 2 12 2 4 8" xfId="2688"/>
    <cellStyle name="Обычный 2 12 2 4 8 2" xfId="6539"/>
    <cellStyle name="Обычный 2 12 2 4 9" xfId="2984"/>
    <cellStyle name="Обычный 2 12 2 4 9 2" xfId="6835"/>
    <cellStyle name="Обычный 2 12 2 5" xfId="778"/>
    <cellStyle name="Обычный 2 12 2 5 2" xfId="8539"/>
    <cellStyle name="Обычный 2 12 2 5 3" xfId="4615"/>
    <cellStyle name="Обычный 2 12 2 6" xfId="779"/>
    <cellStyle name="Обычный 2 12 2 6 2" xfId="8540"/>
    <cellStyle name="Обычный 2 12 2 6 3" xfId="4911"/>
    <cellStyle name="Обычный 2 12 2 7" xfId="1368"/>
    <cellStyle name="Обычный 2 12 2 7 2" xfId="5207"/>
    <cellStyle name="Обычный 2 12 2 8" xfId="1657"/>
    <cellStyle name="Обычный 2 12 2 8 2" xfId="5503"/>
    <cellStyle name="Обычный 2 12 2 9" xfId="1950"/>
    <cellStyle name="Обычный 2 12 2 9 2" xfId="5799"/>
    <cellStyle name="Обычный 2 12 3" xfId="151"/>
    <cellStyle name="Обычный 2 12 3 10" xfId="2862"/>
    <cellStyle name="Обычный 2 12 3 10 2" xfId="6713"/>
    <cellStyle name="Обычный 2 12 3 11" xfId="3158"/>
    <cellStyle name="Обычный 2 12 3 11 2" xfId="7009"/>
    <cellStyle name="Обычный 2 12 3 12" xfId="3454"/>
    <cellStyle name="Обычный 2 12 3 12 2" xfId="7305"/>
    <cellStyle name="Обычный 2 12 3 13" xfId="3750"/>
    <cellStyle name="Обычный 2 12 3 13 2" xfId="7601"/>
    <cellStyle name="Обычный 2 12 3 14" xfId="4046"/>
    <cellStyle name="Обычный 2 12 3 14 2" xfId="7897"/>
    <cellStyle name="Обычный 2 12 3 15" xfId="8195"/>
    <cellStyle name="Обычный 2 12 3 16" xfId="4343"/>
    <cellStyle name="Обычный 2 12 3 2" xfId="251"/>
    <cellStyle name="Обычный 2 12 3 2 10" xfId="3306"/>
    <cellStyle name="Обычный 2 12 3 2 10 2" xfId="7157"/>
    <cellStyle name="Обычный 2 12 3 2 11" xfId="3602"/>
    <cellStyle name="Обычный 2 12 3 2 11 2" xfId="7453"/>
    <cellStyle name="Обычный 2 12 3 2 12" xfId="3898"/>
    <cellStyle name="Обычный 2 12 3 2 12 2" xfId="7749"/>
    <cellStyle name="Обычный 2 12 3 2 13" xfId="4194"/>
    <cellStyle name="Обычный 2 12 3 2 13 2" xfId="8045"/>
    <cellStyle name="Обычный 2 12 3 2 14" xfId="8296"/>
    <cellStyle name="Обычный 2 12 3 2 15" xfId="4493"/>
    <cellStyle name="Обычный 2 12 3 2 2" xfId="780"/>
    <cellStyle name="Обычный 2 12 3 2 2 2" xfId="8541"/>
    <cellStyle name="Обычный 2 12 3 2 2 3" xfId="4789"/>
    <cellStyle name="Обычный 2 12 3 2 3" xfId="1252"/>
    <cellStyle name="Обычный 2 12 3 2 3 2" xfId="5085"/>
    <cellStyle name="Обычный 2 12 3 2 4" xfId="1538"/>
    <cellStyle name="Обычный 2 12 3 2 4 2" xfId="5381"/>
    <cellStyle name="Обычный 2 12 3 2 5" xfId="1830"/>
    <cellStyle name="Обычный 2 12 3 2 5 2" xfId="5677"/>
    <cellStyle name="Обычный 2 12 3 2 6" xfId="2123"/>
    <cellStyle name="Обычный 2 12 3 2 6 2" xfId="5973"/>
    <cellStyle name="Обычный 2 12 3 2 7" xfId="2418"/>
    <cellStyle name="Обычный 2 12 3 2 7 2" xfId="6269"/>
    <cellStyle name="Обычный 2 12 3 2 8" xfId="2714"/>
    <cellStyle name="Обычный 2 12 3 2 8 2" xfId="6565"/>
    <cellStyle name="Обычный 2 12 3 2 9" xfId="3010"/>
    <cellStyle name="Обычный 2 12 3 2 9 2" xfId="6861"/>
    <cellStyle name="Обычный 2 12 3 3" xfId="351"/>
    <cellStyle name="Обычный 2 12 3 3 2" xfId="781"/>
    <cellStyle name="Обычный 2 12 3 3 3" xfId="8396"/>
    <cellStyle name="Обычный 2 12 3 3 4" xfId="4641"/>
    <cellStyle name="Обычный 2 12 3 4" xfId="782"/>
    <cellStyle name="Обычный 2 12 3 4 2" xfId="8542"/>
    <cellStyle name="Обычный 2 12 3 4 3" xfId="4937"/>
    <cellStyle name="Обычный 2 12 3 5" xfId="1394"/>
    <cellStyle name="Обычный 2 12 3 5 2" xfId="5233"/>
    <cellStyle name="Обычный 2 12 3 6" xfId="1683"/>
    <cellStyle name="Обычный 2 12 3 6 2" xfId="5529"/>
    <cellStyle name="Обычный 2 12 3 7" xfId="1976"/>
    <cellStyle name="Обычный 2 12 3 7 2" xfId="5825"/>
    <cellStyle name="Обычный 2 12 3 8" xfId="2270"/>
    <cellStyle name="Обычный 2 12 3 8 2" xfId="6121"/>
    <cellStyle name="Обычный 2 12 3 9" xfId="2566"/>
    <cellStyle name="Обычный 2 12 3 9 2" xfId="6417"/>
    <cellStyle name="Обычный 2 12 4" xfId="202"/>
    <cellStyle name="Обычный 2 12 4 10" xfId="2912"/>
    <cellStyle name="Обычный 2 12 4 10 2" xfId="6763"/>
    <cellStyle name="Обычный 2 12 4 11" xfId="3208"/>
    <cellStyle name="Обычный 2 12 4 11 2" xfId="7059"/>
    <cellStyle name="Обычный 2 12 4 12" xfId="3504"/>
    <cellStyle name="Обычный 2 12 4 12 2" xfId="7355"/>
    <cellStyle name="Обычный 2 12 4 13" xfId="3800"/>
    <cellStyle name="Обычный 2 12 4 13 2" xfId="7651"/>
    <cellStyle name="Обычный 2 12 4 14" xfId="4096"/>
    <cellStyle name="Обычный 2 12 4 14 2" xfId="7947"/>
    <cellStyle name="Обычный 2 12 4 15" xfId="8246"/>
    <cellStyle name="Обычный 2 12 4 16" xfId="4394"/>
    <cellStyle name="Обычный 2 12 4 2" xfId="783"/>
    <cellStyle name="Обычный 2 12 4 2 10" xfId="3356"/>
    <cellStyle name="Обычный 2 12 4 2 10 2" xfId="7207"/>
    <cellStyle name="Обычный 2 12 4 2 11" xfId="3652"/>
    <cellStyle name="Обычный 2 12 4 2 11 2" xfId="7503"/>
    <cellStyle name="Обычный 2 12 4 2 12" xfId="3948"/>
    <cellStyle name="Обычный 2 12 4 2 12 2" xfId="7799"/>
    <cellStyle name="Обычный 2 12 4 2 13" xfId="4244"/>
    <cellStyle name="Обычный 2 12 4 2 13 2" xfId="8095"/>
    <cellStyle name="Обычный 2 12 4 2 14" xfId="8543"/>
    <cellStyle name="Обычный 2 12 4 2 15" xfId="4543"/>
    <cellStyle name="Обычный 2 12 4 2 2" xfId="1111"/>
    <cellStyle name="Обычный 2 12 4 2 2 2" xfId="4839"/>
    <cellStyle name="Обычный 2 12 4 2 3" xfId="1300"/>
    <cellStyle name="Обычный 2 12 4 2 3 2" xfId="5135"/>
    <cellStyle name="Обычный 2 12 4 2 4" xfId="1587"/>
    <cellStyle name="Обычный 2 12 4 2 4 2" xfId="5431"/>
    <cellStyle name="Обычный 2 12 4 2 5" xfId="1880"/>
    <cellStyle name="Обычный 2 12 4 2 5 2" xfId="5727"/>
    <cellStyle name="Обычный 2 12 4 2 6" xfId="2173"/>
    <cellStyle name="Обычный 2 12 4 2 6 2" xfId="6023"/>
    <cellStyle name="Обычный 2 12 4 2 7" xfId="2468"/>
    <cellStyle name="Обычный 2 12 4 2 7 2" xfId="6319"/>
    <cellStyle name="Обычный 2 12 4 2 8" xfId="2764"/>
    <cellStyle name="Обычный 2 12 4 2 8 2" xfId="6615"/>
    <cellStyle name="Обычный 2 12 4 2 9" xfId="3060"/>
    <cellStyle name="Обычный 2 12 4 2 9 2" xfId="6911"/>
    <cellStyle name="Обычный 2 12 4 3" xfId="1064"/>
    <cellStyle name="Обычный 2 12 4 3 2" xfId="4691"/>
    <cellStyle name="Обычный 2 12 4 4" xfId="1158"/>
    <cellStyle name="Обычный 2 12 4 4 2" xfId="4987"/>
    <cellStyle name="Обычный 2 12 4 5" xfId="1441"/>
    <cellStyle name="Обычный 2 12 4 5 2" xfId="5283"/>
    <cellStyle name="Обычный 2 12 4 6" xfId="1732"/>
    <cellStyle name="Обычный 2 12 4 6 2" xfId="5579"/>
    <cellStyle name="Обычный 2 12 4 7" xfId="2025"/>
    <cellStyle name="Обычный 2 12 4 7 2" xfId="5875"/>
    <cellStyle name="Обычный 2 12 4 8" xfId="2320"/>
    <cellStyle name="Обычный 2 12 4 8 2" xfId="6171"/>
    <cellStyle name="Обычный 2 12 4 9" xfId="2616"/>
    <cellStyle name="Обычный 2 12 4 9 2" xfId="6467"/>
    <cellStyle name="Обычный 2 12 5" xfId="301"/>
    <cellStyle name="Обычный 2 12 5 10" xfId="3258"/>
    <cellStyle name="Обычный 2 12 5 10 2" xfId="7109"/>
    <cellStyle name="Обычный 2 12 5 11" xfId="3554"/>
    <cellStyle name="Обычный 2 12 5 11 2" xfId="7405"/>
    <cellStyle name="Обычный 2 12 5 12" xfId="3850"/>
    <cellStyle name="Обычный 2 12 5 12 2" xfId="7701"/>
    <cellStyle name="Обычный 2 12 5 13" xfId="4146"/>
    <cellStyle name="Обычный 2 12 5 13 2" xfId="7997"/>
    <cellStyle name="Обычный 2 12 5 14" xfId="8346"/>
    <cellStyle name="Обычный 2 12 5 15" xfId="4445"/>
    <cellStyle name="Обычный 2 12 5 2" xfId="784"/>
    <cellStyle name="Обычный 2 12 5 2 2" xfId="8544"/>
    <cellStyle name="Обычный 2 12 5 2 3" xfId="4741"/>
    <cellStyle name="Обычный 2 12 5 3" xfId="1205"/>
    <cellStyle name="Обычный 2 12 5 3 2" xfId="5037"/>
    <cellStyle name="Обычный 2 12 5 4" xfId="1490"/>
    <cellStyle name="Обычный 2 12 5 4 2" xfId="5333"/>
    <cellStyle name="Обычный 2 12 5 5" xfId="1782"/>
    <cellStyle name="Обычный 2 12 5 5 2" xfId="5629"/>
    <cellStyle name="Обычный 2 12 5 6" xfId="2075"/>
    <cellStyle name="Обычный 2 12 5 6 2" xfId="5925"/>
    <cellStyle name="Обычный 2 12 5 7" xfId="2370"/>
    <cellStyle name="Обычный 2 12 5 7 2" xfId="6221"/>
    <cellStyle name="Обычный 2 12 5 8" xfId="2666"/>
    <cellStyle name="Обычный 2 12 5 8 2" xfId="6517"/>
    <cellStyle name="Обычный 2 12 5 9" xfId="2962"/>
    <cellStyle name="Обычный 2 12 5 9 2" xfId="6813"/>
    <cellStyle name="Обычный 2 12 6" xfId="785"/>
    <cellStyle name="Обычный 2 12 6 2" xfId="8545"/>
    <cellStyle name="Обычный 2 12 6 3" xfId="4593"/>
    <cellStyle name="Обычный 2 12 7" xfId="786"/>
    <cellStyle name="Обычный 2 12 7 2" xfId="8546"/>
    <cellStyle name="Обычный 2 12 7 3" xfId="4889"/>
    <cellStyle name="Обычный 2 12 8" xfId="1347"/>
    <cellStyle name="Обычный 2 12 8 2" xfId="5185"/>
    <cellStyle name="Обычный 2 12 9" xfId="1636"/>
    <cellStyle name="Обычный 2 12 9 2" xfId="5481"/>
    <cellStyle name="Обычный 2 13" xfId="72"/>
    <cellStyle name="Обычный 2 14" xfId="68"/>
    <cellStyle name="Обычный 2 14 10" xfId="2217"/>
    <cellStyle name="Обычный 2 14 10 2" xfId="6067"/>
    <cellStyle name="Обычный 2 14 11" xfId="2512"/>
    <cellStyle name="Обычный 2 14 11 2" xfId="6363"/>
    <cellStyle name="Обычный 2 14 12" xfId="2808"/>
    <cellStyle name="Обычный 2 14 12 2" xfId="6659"/>
    <cellStyle name="Обычный 2 14 13" xfId="3104"/>
    <cellStyle name="Обычный 2 14 13 2" xfId="6955"/>
    <cellStyle name="Обычный 2 14 14" xfId="3400"/>
    <cellStyle name="Обычный 2 14 14 2" xfId="7251"/>
    <cellStyle name="Обычный 2 14 15" xfId="3696"/>
    <cellStyle name="Обычный 2 14 15 2" xfId="7547"/>
    <cellStyle name="Обычный 2 14 16" xfId="3992"/>
    <cellStyle name="Обычный 2 14 16 2" xfId="7843"/>
    <cellStyle name="Обычный 2 14 17" xfId="8139"/>
    <cellStyle name="Обычный 2 14 18" xfId="4288"/>
    <cellStyle name="Обычный 2 14 2" xfId="145"/>
    <cellStyle name="Обычный 2 14 2 10" xfId="2856"/>
    <cellStyle name="Обычный 2 14 2 10 2" xfId="6707"/>
    <cellStyle name="Обычный 2 14 2 11" xfId="3152"/>
    <cellStyle name="Обычный 2 14 2 11 2" xfId="7003"/>
    <cellStyle name="Обычный 2 14 2 12" xfId="3448"/>
    <cellStyle name="Обычный 2 14 2 12 2" xfId="7299"/>
    <cellStyle name="Обычный 2 14 2 13" xfId="3744"/>
    <cellStyle name="Обычный 2 14 2 13 2" xfId="7595"/>
    <cellStyle name="Обычный 2 14 2 14" xfId="4040"/>
    <cellStyle name="Обычный 2 14 2 14 2" xfId="7891"/>
    <cellStyle name="Обычный 2 14 2 15" xfId="8189"/>
    <cellStyle name="Обычный 2 14 2 16" xfId="4337"/>
    <cellStyle name="Обычный 2 14 2 2" xfId="245"/>
    <cellStyle name="Обычный 2 14 2 2 10" xfId="3300"/>
    <cellStyle name="Обычный 2 14 2 2 10 2" xfId="7151"/>
    <cellStyle name="Обычный 2 14 2 2 11" xfId="3596"/>
    <cellStyle name="Обычный 2 14 2 2 11 2" xfId="7447"/>
    <cellStyle name="Обычный 2 14 2 2 12" xfId="3892"/>
    <cellStyle name="Обычный 2 14 2 2 12 2" xfId="7743"/>
    <cellStyle name="Обычный 2 14 2 2 13" xfId="4188"/>
    <cellStyle name="Обычный 2 14 2 2 13 2" xfId="8039"/>
    <cellStyle name="Обычный 2 14 2 2 14" xfId="8290"/>
    <cellStyle name="Обычный 2 14 2 2 15" xfId="4487"/>
    <cellStyle name="Обычный 2 14 2 2 2" xfId="787"/>
    <cellStyle name="Обычный 2 14 2 2 2 2" xfId="8547"/>
    <cellStyle name="Обычный 2 14 2 2 2 3" xfId="4783"/>
    <cellStyle name="Обычный 2 14 2 2 3" xfId="1246"/>
    <cellStyle name="Обычный 2 14 2 2 3 2" xfId="5079"/>
    <cellStyle name="Обычный 2 14 2 2 4" xfId="1532"/>
    <cellStyle name="Обычный 2 14 2 2 4 2" xfId="5375"/>
    <cellStyle name="Обычный 2 14 2 2 5" xfId="1824"/>
    <cellStyle name="Обычный 2 14 2 2 5 2" xfId="5671"/>
    <cellStyle name="Обычный 2 14 2 2 6" xfId="2117"/>
    <cellStyle name="Обычный 2 14 2 2 6 2" xfId="5967"/>
    <cellStyle name="Обычный 2 14 2 2 7" xfId="2412"/>
    <cellStyle name="Обычный 2 14 2 2 7 2" xfId="6263"/>
    <cellStyle name="Обычный 2 14 2 2 8" xfId="2708"/>
    <cellStyle name="Обычный 2 14 2 2 8 2" xfId="6559"/>
    <cellStyle name="Обычный 2 14 2 2 9" xfId="3004"/>
    <cellStyle name="Обычный 2 14 2 2 9 2" xfId="6855"/>
    <cellStyle name="Обычный 2 14 2 3" xfId="345"/>
    <cellStyle name="Обычный 2 14 2 3 2" xfId="788"/>
    <cellStyle name="Обычный 2 14 2 3 3" xfId="8390"/>
    <cellStyle name="Обычный 2 14 2 3 4" xfId="4635"/>
    <cellStyle name="Обычный 2 14 2 4" xfId="789"/>
    <cellStyle name="Обычный 2 14 2 4 2" xfId="8548"/>
    <cellStyle name="Обычный 2 14 2 4 3" xfId="4931"/>
    <cellStyle name="Обычный 2 14 2 5" xfId="1388"/>
    <cellStyle name="Обычный 2 14 2 5 2" xfId="5227"/>
    <cellStyle name="Обычный 2 14 2 6" xfId="1677"/>
    <cellStyle name="Обычный 2 14 2 6 2" xfId="5523"/>
    <cellStyle name="Обычный 2 14 2 7" xfId="1970"/>
    <cellStyle name="Обычный 2 14 2 7 2" xfId="5819"/>
    <cellStyle name="Обычный 2 14 2 8" xfId="2264"/>
    <cellStyle name="Обычный 2 14 2 8 2" xfId="6115"/>
    <cellStyle name="Обычный 2 14 2 9" xfId="2560"/>
    <cellStyle name="Обычный 2 14 2 9 2" xfId="6411"/>
    <cellStyle name="Обычный 2 14 3" xfId="196"/>
    <cellStyle name="Обычный 2 14 3 10" xfId="2906"/>
    <cellStyle name="Обычный 2 14 3 10 2" xfId="6757"/>
    <cellStyle name="Обычный 2 14 3 11" xfId="3202"/>
    <cellStyle name="Обычный 2 14 3 11 2" xfId="7053"/>
    <cellStyle name="Обычный 2 14 3 12" xfId="3498"/>
    <cellStyle name="Обычный 2 14 3 12 2" xfId="7349"/>
    <cellStyle name="Обычный 2 14 3 13" xfId="3794"/>
    <cellStyle name="Обычный 2 14 3 13 2" xfId="7645"/>
    <cellStyle name="Обычный 2 14 3 14" xfId="4090"/>
    <cellStyle name="Обычный 2 14 3 14 2" xfId="7941"/>
    <cellStyle name="Обычный 2 14 3 15" xfId="8240"/>
    <cellStyle name="Обычный 2 14 3 16" xfId="4388"/>
    <cellStyle name="Обычный 2 14 3 2" xfId="790"/>
    <cellStyle name="Обычный 2 14 3 2 10" xfId="3350"/>
    <cellStyle name="Обычный 2 14 3 2 10 2" xfId="7201"/>
    <cellStyle name="Обычный 2 14 3 2 11" xfId="3646"/>
    <cellStyle name="Обычный 2 14 3 2 11 2" xfId="7497"/>
    <cellStyle name="Обычный 2 14 3 2 12" xfId="3942"/>
    <cellStyle name="Обычный 2 14 3 2 12 2" xfId="7793"/>
    <cellStyle name="Обычный 2 14 3 2 13" xfId="4238"/>
    <cellStyle name="Обычный 2 14 3 2 13 2" xfId="8089"/>
    <cellStyle name="Обычный 2 14 3 2 14" xfId="8549"/>
    <cellStyle name="Обычный 2 14 3 2 15" xfId="4537"/>
    <cellStyle name="Обычный 2 14 3 2 2" xfId="1105"/>
    <cellStyle name="Обычный 2 14 3 2 2 2" xfId="4833"/>
    <cellStyle name="Обычный 2 14 3 2 3" xfId="1294"/>
    <cellStyle name="Обычный 2 14 3 2 3 2" xfId="5129"/>
    <cellStyle name="Обычный 2 14 3 2 4" xfId="1581"/>
    <cellStyle name="Обычный 2 14 3 2 4 2" xfId="5425"/>
    <cellStyle name="Обычный 2 14 3 2 5" xfId="1874"/>
    <cellStyle name="Обычный 2 14 3 2 5 2" xfId="5721"/>
    <cellStyle name="Обычный 2 14 3 2 6" xfId="2167"/>
    <cellStyle name="Обычный 2 14 3 2 6 2" xfId="6017"/>
    <cellStyle name="Обычный 2 14 3 2 7" xfId="2462"/>
    <cellStyle name="Обычный 2 14 3 2 7 2" xfId="6313"/>
    <cellStyle name="Обычный 2 14 3 2 8" xfId="2758"/>
    <cellStyle name="Обычный 2 14 3 2 8 2" xfId="6609"/>
    <cellStyle name="Обычный 2 14 3 2 9" xfId="3054"/>
    <cellStyle name="Обычный 2 14 3 2 9 2" xfId="6905"/>
    <cellStyle name="Обычный 2 14 3 3" xfId="1058"/>
    <cellStyle name="Обычный 2 14 3 3 2" xfId="4685"/>
    <cellStyle name="Обычный 2 14 3 4" xfId="1152"/>
    <cellStyle name="Обычный 2 14 3 4 2" xfId="4981"/>
    <cellStyle name="Обычный 2 14 3 5" xfId="1435"/>
    <cellStyle name="Обычный 2 14 3 5 2" xfId="5277"/>
    <cellStyle name="Обычный 2 14 3 6" xfId="1726"/>
    <cellStyle name="Обычный 2 14 3 6 2" xfId="5573"/>
    <cellStyle name="Обычный 2 14 3 7" xfId="2019"/>
    <cellStyle name="Обычный 2 14 3 7 2" xfId="5869"/>
    <cellStyle name="Обычный 2 14 3 8" xfId="2314"/>
    <cellStyle name="Обычный 2 14 3 8 2" xfId="6165"/>
    <cellStyle name="Обычный 2 14 3 9" xfId="2610"/>
    <cellStyle name="Обычный 2 14 3 9 2" xfId="6461"/>
    <cellStyle name="Обычный 2 14 4" xfId="295"/>
    <cellStyle name="Обычный 2 14 4 10" xfId="3252"/>
    <cellStyle name="Обычный 2 14 4 10 2" xfId="7103"/>
    <cellStyle name="Обычный 2 14 4 11" xfId="3548"/>
    <cellStyle name="Обычный 2 14 4 11 2" xfId="7399"/>
    <cellStyle name="Обычный 2 14 4 12" xfId="3844"/>
    <cellStyle name="Обычный 2 14 4 12 2" xfId="7695"/>
    <cellStyle name="Обычный 2 14 4 13" xfId="4140"/>
    <cellStyle name="Обычный 2 14 4 13 2" xfId="7991"/>
    <cellStyle name="Обычный 2 14 4 14" xfId="8340"/>
    <cellStyle name="Обычный 2 14 4 15" xfId="4439"/>
    <cellStyle name="Обычный 2 14 4 2" xfId="791"/>
    <cellStyle name="Обычный 2 14 4 2 2" xfId="8550"/>
    <cellStyle name="Обычный 2 14 4 2 3" xfId="4735"/>
    <cellStyle name="Обычный 2 14 4 3" xfId="1199"/>
    <cellStyle name="Обычный 2 14 4 3 2" xfId="5031"/>
    <cellStyle name="Обычный 2 14 4 4" xfId="1484"/>
    <cellStyle name="Обычный 2 14 4 4 2" xfId="5327"/>
    <cellStyle name="Обычный 2 14 4 5" xfId="1776"/>
    <cellStyle name="Обычный 2 14 4 5 2" xfId="5623"/>
    <cellStyle name="Обычный 2 14 4 6" xfId="2069"/>
    <cellStyle name="Обычный 2 14 4 6 2" xfId="5919"/>
    <cellStyle name="Обычный 2 14 4 7" xfId="2364"/>
    <cellStyle name="Обычный 2 14 4 7 2" xfId="6215"/>
    <cellStyle name="Обычный 2 14 4 8" xfId="2660"/>
    <cellStyle name="Обычный 2 14 4 8 2" xfId="6511"/>
    <cellStyle name="Обычный 2 14 4 9" xfId="2956"/>
    <cellStyle name="Обычный 2 14 4 9 2" xfId="6807"/>
    <cellStyle name="Обычный 2 14 5" xfId="792"/>
    <cellStyle name="Обычный 2 14 5 2" xfId="8551"/>
    <cellStyle name="Обычный 2 14 5 3" xfId="4587"/>
    <cellStyle name="Обычный 2 14 6" xfId="793"/>
    <cellStyle name="Обычный 2 14 6 2" xfId="8552"/>
    <cellStyle name="Обычный 2 14 6 3" xfId="4883"/>
    <cellStyle name="Обычный 2 14 7" xfId="1341"/>
    <cellStyle name="Обычный 2 14 7 2" xfId="5179"/>
    <cellStyle name="Обычный 2 14 8" xfId="1630"/>
    <cellStyle name="Обычный 2 14 8 2" xfId="5475"/>
    <cellStyle name="Обычный 2 14 9" xfId="1923"/>
    <cellStyle name="Обычный 2 14 9 2" xfId="5771"/>
    <cellStyle name="Обычный 2 15" xfId="393"/>
    <cellStyle name="Обычный 2 16" xfId="1054"/>
    <cellStyle name="Обычный 2 17" xfId="63"/>
    <cellStyle name="Обычный 2 2" xfId="23"/>
    <cellStyle name="Обычный 2 2 10" xfId="794"/>
    <cellStyle name="Обычный 2 2 10 2" xfId="8553"/>
    <cellStyle name="Обычный 2 2 10 3" xfId="4884"/>
    <cellStyle name="Обычный 2 2 11" xfId="1342"/>
    <cellStyle name="Обычный 2 2 11 2" xfId="5180"/>
    <cellStyle name="Обычный 2 2 12" xfId="1631"/>
    <cellStyle name="Обычный 2 2 12 2" xfId="5476"/>
    <cellStyle name="Обычный 2 2 13" xfId="1924"/>
    <cellStyle name="Обычный 2 2 13 2" xfId="5772"/>
    <cellStyle name="Обычный 2 2 14" xfId="2218"/>
    <cellStyle name="Обычный 2 2 14 2" xfId="6068"/>
    <cellStyle name="Обычный 2 2 15" xfId="2513"/>
    <cellStyle name="Обычный 2 2 15 2" xfId="6364"/>
    <cellStyle name="Обычный 2 2 16" xfId="2809"/>
    <cellStyle name="Обычный 2 2 16 2" xfId="6660"/>
    <cellStyle name="Обычный 2 2 17" xfId="3105"/>
    <cellStyle name="Обычный 2 2 17 2" xfId="6956"/>
    <cellStyle name="Обычный 2 2 18" xfId="3401"/>
    <cellStyle name="Обычный 2 2 18 2" xfId="7252"/>
    <cellStyle name="Обычный 2 2 19" xfId="3697"/>
    <cellStyle name="Обычный 2 2 19 2" xfId="7548"/>
    <cellStyle name="Обычный 2 2 2" xfId="77"/>
    <cellStyle name="Обычный 2 2 2 10" xfId="1931"/>
    <cellStyle name="Обычный 2 2 2 10 2" xfId="5779"/>
    <cellStyle name="Обычный 2 2 2 11" xfId="2225"/>
    <cellStyle name="Обычный 2 2 2 11 2" xfId="6075"/>
    <cellStyle name="Обычный 2 2 2 12" xfId="2520"/>
    <cellStyle name="Обычный 2 2 2 12 2" xfId="6371"/>
    <cellStyle name="Обычный 2 2 2 13" xfId="2816"/>
    <cellStyle name="Обычный 2 2 2 13 2" xfId="6667"/>
    <cellStyle name="Обычный 2 2 2 14" xfId="3112"/>
    <cellStyle name="Обычный 2 2 2 14 2" xfId="6963"/>
    <cellStyle name="Обычный 2 2 2 15" xfId="3408"/>
    <cellStyle name="Обычный 2 2 2 15 2" xfId="7259"/>
    <cellStyle name="Обычный 2 2 2 16" xfId="3704"/>
    <cellStyle name="Обычный 2 2 2 16 2" xfId="7555"/>
    <cellStyle name="Обычный 2 2 2 17" xfId="4000"/>
    <cellStyle name="Обычный 2 2 2 17 2" xfId="7851"/>
    <cellStyle name="Обычный 2 2 2 18" xfId="8147"/>
    <cellStyle name="Обычный 2 2 2 19" xfId="4296"/>
    <cellStyle name="Обычный 2 2 2 2" xfId="126"/>
    <cellStyle name="Обычный 2 2 2 2 10" xfId="2246"/>
    <cellStyle name="Обычный 2 2 2 2 10 2" xfId="6097"/>
    <cellStyle name="Обычный 2 2 2 2 11" xfId="2542"/>
    <cellStyle name="Обычный 2 2 2 2 11 2" xfId="6393"/>
    <cellStyle name="Обычный 2 2 2 2 12" xfId="2838"/>
    <cellStyle name="Обычный 2 2 2 2 12 2" xfId="6689"/>
    <cellStyle name="Обычный 2 2 2 2 13" xfId="3134"/>
    <cellStyle name="Обычный 2 2 2 2 13 2" xfId="6985"/>
    <cellStyle name="Обычный 2 2 2 2 14" xfId="3430"/>
    <cellStyle name="Обычный 2 2 2 2 14 2" xfId="7281"/>
    <cellStyle name="Обычный 2 2 2 2 15" xfId="3726"/>
    <cellStyle name="Обычный 2 2 2 2 15 2" xfId="7577"/>
    <cellStyle name="Обычный 2 2 2 2 16" xfId="4022"/>
    <cellStyle name="Обычный 2 2 2 2 16 2" xfId="7873"/>
    <cellStyle name="Обычный 2 2 2 2 17" xfId="8169"/>
    <cellStyle name="Обычный 2 2 2 2 18" xfId="4318"/>
    <cellStyle name="Обычный 2 2 2 2 2" xfId="174"/>
    <cellStyle name="Обычный 2 2 2 2 2 10" xfId="2886"/>
    <cellStyle name="Обычный 2 2 2 2 2 10 2" xfId="6737"/>
    <cellStyle name="Обычный 2 2 2 2 2 11" xfId="3182"/>
    <cellStyle name="Обычный 2 2 2 2 2 11 2" xfId="7033"/>
    <cellStyle name="Обычный 2 2 2 2 2 12" xfId="3478"/>
    <cellStyle name="Обычный 2 2 2 2 2 12 2" xfId="7329"/>
    <cellStyle name="Обычный 2 2 2 2 2 13" xfId="3774"/>
    <cellStyle name="Обычный 2 2 2 2 2 13 2" xfId="7625"/>
    <cellStyle name="Обычный 2 2 2 2 2 14" xfId="4070"/>
    <cellStyle name="Обычный 2 2 2 2 2 14 2" xfId="7921"/>
    <cellStyle name="Обычный 2 2 2 2 2 15" xfId="8219"/>
    <cellStyle name="Обычный 2 2 2 2 2 16" xfId="4367"/>
    <cellStyle name="Обычный 2 2 2 2 2 2" xfId="274"/>
    <cellStyle name="Обычный 2 2 2 2 2 2 10" xfId="3330"/>
    <cellStyle name="Обычный 2 2 2 2 2 2 10 2" xfId="7181"/>
    <cellStyle name="Обычный 2 2 2 2 2 2 11" xfId="3626"/>
    <cellStyle name="Обычный 2 2 2 2 2 2 11 2" xfId="7477"/>
    <cellStyle name="Обычный 2 2 2 2 2 2 12" xfId="3922"/>
    <cellStyle name="Обычный 2 2 2 2 2 2 12 2" xfId="7773"/>
    <cellStyle name="Обычный 2 2 2 2 2 2 13" xfId="4218"/>
    <cellStyle name="Обычный 2 2 2 2 2 2 13 2" xfId="8069"/>
    <cellStyle name="Обычный 2 2 2 2 2 2 14" xfId="8320"/>
    <cellStyle name="Обычный 2 2 2 2 2 2 15" xfId="4517"/>
    <cellStyle name="Обычный 2 2 2 2 2 2 2" xfId="795"/>
    <cellStyle name="Обычный 2 2 2 2 2 2 2 2" xfId="8554"/>
    <cellStyle name="Обычный 2 2 2 2 2 2 2 3" xfId="4813"/>
    <cellStyle name="Обычный 2 2 2 2 2 2 3" xfId="1275"/>
    <cellStyle name="Обычный 2 2 2 2 2 2 3 2" xfId="5109"/>
    <cellStyle name="Обычный 2 2 2 2 2 2 4" xfId="1561"/>
    <cellStyle name="Обычный 2 2 2 2 2 2 4 2" xfId="5405"/>
    <cellStyle name="Обычный 2 2 2 2 2 2 5" xfId="1854"/>
    <cellStyle name="Обычный 2 2 2 2 2 2 5 2" xfId="5701"/>
    <cellStyle name="Обычный 2 2 2 2 2 2 6" xfId="2147"/>
    <cellStyle name="Обычный 2 2 2 2 2 2 6 2" xfId="5997"/>
    <cellStyle name="Обычный 2 2 2 2 2 2 7" xfId="2442"/>
    <cellStyle name="Обычный 2 2 2 2 2 2 7 2" xfId="6293"/>
    <cellStyle name="Обычный 2 2 2 2 2 2 8" xfId="2738"/>
    <cellStyle name="Обычный 2 2 2 2 2 2 8 2" xfId="6589"/>
    <cellStyle name="Обычный 2 2 2 2 2 2 9" xfId="3034"/>
    <cellStyle name="Обычный 2 2 2 2 2 2 9 2" xfId="6885"/>
    <cellStyle name="Обычный 2 2 2 2 2 3" xfId="375"/>
    <cellStyle name="Обычный 2 2 2 2 2 3 2" xfId="796"/>
    <cellStyle name="Обычный 2 2 2 2 2 3 3" xfId="8420"/>
    <cellStyle name="Обычный 2 2 2 2 2 3 4" xfId="4665"/>
    <cellStyle name="Обычный 2 2 2 2 2 4" xfId="797"/>
    <cellStyle name="Обычный 2 2 2 2 2 4 2" xfId="8555"/>
    <cellStyle name="Обычный 2 2 2 2 2 4 3" xfId="4961"/>
    <cellStyle name="Обычный 2 2 2 2 2 5" xfId="1417"/>
    <cellStyle name="Обычный 2 2 2 2 2 5 2" xfId="5257"/>
    <cellStyle name="Обычный 2 2 2 2 2 6" xfId="1707"/>
    <cellStyle name="Обычный 2 2 2 2 2 6 2" xfId="5553"/>
    <cellStyle name="Обычный 2 2 2 2 2 7" xfId="1999"/>
    <cellStyle name="Обычный 2 2 2 2 2 7 2" xfId="5849"/>
    <cellStyle name="Обычный 2 2 2 2 2 8" xfId="2294"/>
    <cellStyle name="Обычный 2 2 2 2 2 8 2" xfId="6145"/>
    <cellStyle name="Обычный 2 2 2 2 2 9" xfId="2590"/>
    <cellStyle name="Обычный 2 2 2 2 2 9 2" xfId="6441"/>
    <cellStyle name="Обычный 2 2 2 2 3" xfId="225"/>
    <cellStyle name="Обычный 2 2 2 2 3 10" xfId="2936"/>
    <cellStyle name="Обычный 2 2 2 2 3 10 2" xfId="6787"/>
    <cellStyle name="Обычный 2 2 2 2 3 11" xfId="3232"/>
    <cellStyle name="Обычный 2 2 2 2 3 11 2" xfId="7083"/>
    <cellStyle name="Обычный 2 2 2 2 3 12" xfId="3528"/>
    <cellStyle name="Обычный 2 2 2 2 3 12 2" xfId="7379"/>
    <cellStyle name="Обычный 2 2 2 2 3 13" xfId="3824"/>
    <cellStyle name="Обычный 2 2 2 2 3 13 2" xfId="7675"/>
    <cellStyle name="Обычный 2 2 2 2 3 14" xfId="4120"/>
    <cellStyle name="Обычный 2 2 2 2 3 14 2" xfId="7971"/>
    <cellStyle name="Обычный 2 2 2 2 3 15" xfId="8270"/>
    <cellStyle name="Обычный 2 2 2 2 3 16" xfId="4418"/>
    <cellStyle name="Обычный 2 2 2 2 3 2" xfId="798"/>
    <cellStyle name="Обычный 2 2 2 2 3 2 10" xfId="3380"/>
    <cellStyle name="Обычный 2 2 2 2 3 2 10 2" xfId="7231"/>
    <cellStyle name="Обычный 2 2 2 2 3 2 11" xfId="3676"/>
    <cellStyle name="Обычный 2 2 2 2 3 2 11 2" xfId="7527"/>
    <cellStyle name="Обычный 2 2 2 2 3 2 12" xfId="3972"/>
    <cellStyle name="Обычный 2 2 2 2 3 2 12 2" xfId="7823"/>
    <cellStyle name="Обычный 2 2 2 2 3 2 13" xfId="4268"/>
    <cellStyle name="Обычный 2 2 2 2 3 2 13 2" xfId="8119"/>
    <cellStyle name="Обычный 2 2 2 2 3 2 14" xfId="8556"/>
    <cellStyle name="Обычный 2 2 2 2 3 2 15" xfId="4567"/>
    <cellStyle name="Обычный 2 2 2 2 3 2 2" xfId="1134"/>
    <cellStyle name="Обычный 2 2 2 2 3 2 2 2" xfId="4863"/>
    <cellStyle name="Обычный 2 2 2 2 3 2 3" xfId="1323"/>
    <cellStyle name="Обычный 2 2 2 2 3 2 3 2" xfId="5159"/>
    <cellStyle name="Обычный 2 2 2 2 3 2 4" xfId="1610"/>
    <cellStyle name="Обычный 2 2 2 2 3 2 4 2" xfId="5455"/>
    <cellStyle name="Обычный 2 2 2 2 3 2 5" xfId="1903"/>
    <cellStyle name="Обычный 2 2 2 2 3 2 5 2" xfId="5751"/>
    <cellStyle name="Обычный 2 2 2 2 3 2 6" xfId="2197"/>
    <cellStyle name="Обычный 2 2 2 2 3 2 6 2" xfId="6047"/>
    <cellStyle name="Обычный 2 2 2 2 3 2 7" xfId="2492"/>
    <cellStyle name="Обычный 2 2 2 2 3 2 7 2" xfId="6343"/>
    <cellStyle name="Обычный 2 2 2 2 3 2 8" xfId="2788"/>
    <cellStyle name="Обычный 2 2 2 2 3 2 8 2" xfId="6639"/>
    <cellStyle name="Обычный 2 2 2 2 3 2 9" xfId="3084"/>
    <cellStyle name="Обычный 2 2 2 2 3 2 9 2" xfId="6935"/>
    <cellStyle name="Обычный 2 2 2 2 3 3" xfId="1087"/>
    <cellStyle name="Обычный 2 2 2 2 3 3 2" xfId="4715"/>
    <cellStyle name="Обычный 2 2 2 2 3 4" xfId="1181"/>
    <cellStyle name="Обычный 2 2 2 2 3 4 2" xfId="5011"/>
    <cellStyle name="Обычный 2 2 2 2 3 5" xfId="1465"/>
    <cellStyle name="Обычный 2 2 2 2 3 5 2" xfId="5307"/>
    <cellStyle name="Обычный 2 2 2 2 3 6" xfId="1756"/>
    <cellStyle name="Обычный 2 2 2 2 3 6 2" xfId="5603"/>
    <cellStyle name="Обычный 2 2 2 2 3 7" xfId="2049"/>
    <cellStyle name="Обычный 2 2 2 2 3 7 2" xfId="5899"/>
    <cellStyle name="Обычный 2 2 2 2 3 8" xfId="2344"/>
    <cellStyle name="Обычный 2 2 2 2 3 8 2" xfId="6195"/>
    <cellStyle name="Обычный 2 2 2 2 3 9" xfId="2640"/>
    <cellStyle name="Обычный 2 2 2 2 3 9 2" xfId="6491"/>
    <cellStyle name="Обычный 2 2 2 2 4" xfId="325"/>
    <cellStyle name="Обычный 2 2 2 2 4 10" xfId="3282"/>
    <cellStyle name="Обычный 2 2 2 2 4 10 2" xfId="7133"/>
    <cellStyle name="Обычный 2 2 2 2 4 11" xfId="3578"/>
    <cellStyle name="Обычный 2 2 2 2 4 11 2" xfId="7429"/>
    <cellStyle name="Обычный 2 2 2 2 4 12" xfId="3874"/>
    <cellStyle name="Обычный 2 2 2 2 4 12 2" xfId="7725"/>
    <cellStyle name="Обычный 2 2 2 2 4 13" xfId="4170"/>
    <cellStyle name="Обычный 2 2 2 2 4 13 2" xfId="8021"/>
    <cellStyle name="Обычный 2 2 2 2 4 14" xfId="8370"/>
    <cellStyle name="Обычный 2 2 2 2 4 15" xfId="4469"/>
    <cellStyle name="Обычный 2 2 2 2 4 2" xfId="799"/>
    <cellStyle name="Обычный 2 2 2 2 4 2 2" xfId="8557"/>
    <cellStyle name="Обычный 2 2 2 2 4 2 3" xfId="4765"/>
    <cellStyle name="Обычный 2 2 2 2 4 3" xfId="1229"/>
    <cellStyle name="Обычный 2 2 2 2 4 3 2" xfId="5061"/>
    <cellStyle name="Обычный 2 2 2 2 4 4" xfId="1514"/>
    <cellStyle name="Обычный 2 2 2 2 4 4 2" xfId="5357"/>
    <cellStyle name="Обычный 2 2 2 2 4 5" xfId="1806"/>
    <cellStyle name="Обычный 2 2 2 2 4 5 2" xfId="5653"/>
    <cellStyle name="Обычный 2 2 2 2 4 6" xfId="2099"/>
    <cellStyle name="Обычный 2 2 2 2 4 6 2" xfId="5949"/>
    <cellStyle name="Обычный 2 2 2 2 4 7" xfId="2394"/>
    <cellStyle name="Обычный 2 2 2 2 4 7 2" xfId="6245"/>
    <cellStyle name="Обычный 2 2 2 2 4 8" xfId="2690"/>
    <cellStyle name="Обычный 2 2 2 2 4 8 2" xfId="6541"/>
    <cellStyle name="Обычный 2 2 2 2 4 9" xfId="2986"/>
    <cellStyle name="Обычный 2 2 2 2 4 9 2" xfId="6837"/>
    <cellStyle name="Обычный 2 2 2 2 5" xfId="614"/>
    <cellStyle name="Обычный 2 2 2 2 5 2" xfId="8454"/>
    <cellStyle name="Обычный 2 2 2 2 5 3" xfId="4617"/>
    <cellStyle name="Обычный 2 2 2 2 6" xfId="800"/>
    <cellStyle name="Обычный 2 2 2 2 6 2" xfId="8558"/>
    <cellStyle name="Обычный 2 2 2 2 6 3" xfId="4913"/>
    <cellStyle name="Обычный 2 2 2 2 7" xfId="1370"/>
    <cellStyle name="Обычный 2 2 2 2 7 2" xfId="5209"/>
    <cellStyle name="Обычный 2 2 2 2 8" xfId="1659"/>
    <cellStyle name="Обычный 2 2 2 2 8 2" xfId="5505"/>
    <cellStyle name="Обычный 2 2 2 2 9" xfId="1952"/>
    <cellStyle name="Обычный 2 2 2 2 9 2" xfId="5801"/>
    <cellStyle name="Обычный 2 2 2 20" xfId="8779"/>
    <cellStyle name="Обычный 2 2 2 21" xfId="8855"/>
    <cellStyle name="Обычный 2 2 2 3" xfId="153"/>
    <cellStyle name="Обычный 2 2 2 3 10" xfId="2864"/>
    <cellStyle name="Обычный 2 2 2 3 10 2" xfId="6715"/>
    <cellStyle name="Обычный 2 2 2 3 11" xfId="3160"/>
    <cellStyle name="Обычный 2 2 2 3 11 2" xfId="7011"/>
    <cellStyle name="Обычный 2 2 2 3 12" xfId="3456"/>
    <cellStyle name="Обычный 2 2 2 3 12 2" xfId="7307"/>
    <cellStyle name="Обычный 2 2 2 3 13" xfId="3752"/>
    <cellStyle name="Обычный 2 2 2 3 13 2" xfId="7603"/>
    <cellStyle name="Обычный 2 2 2 3 14" xfId="4048"/>
    <cellStyle name="Обычный 2 2 2 3 14 2" xfId="7899"/>
    <cellStyle name="Обычный 2 2 2 3 15" xfId="8197"/>
    <cellStyle name="Обычный 2 2 2 3 16" xfId="4345"/>
    <cellStyle name="Обычный 2 2 2 3 2" xfId="253"/>
    <cellStyle name="Обычный 2 2 2 3 2 10" xfId="3308"/>
    <cellStyle name="Обычный 2 2 2 3 2 10 2" xfId="7159"/>
    <cellStyle name="Обычный 2 2 2 3 2 11" xfId="3604"/>
    <cellStyle name="Обычный 2 2 2 3 2 11 2" xfId="7455"/>
    <cellStyle name="Обычный 2 2 2 3 2 12" xfId="3900"/>
    <cellStyle name="Обычный 2 2 2 3 2 12 2" xfId="7751"/>
    <cellStyle name="Обычный 2 2 2 3 2 13" xfId="4196"/>
    <cellStyle name="Обычный 2 2 2 3 2 13 2" xfId="8047"/>
    <cellStyle name="Обычный 2 2 2 3 2 14" xfId="8298"/>
    <cellStyle name="Обычный 2 2 2 3 2 15" xfId="4495"/>
    <cellStyle name="Обычный 2 2 2 3 2 2" xfId="801"/>
    <cellStyle name="Обычный 2 2 2 3 2 2 2" xfId="8559"/>
    <cellStyle name="Обычный 2 2 2 3 2 2 3" xfId="4791"/>
    <cellStyle name="Обычный 2 2 2 3 2 3" xfId="1254"/>
    <cellStyle name="Обычный 2 2 2 3 2 3 2" xfId="5087"/>
    <cellStyle name="Обычный 2 2 2 3 2 4" xfId="1540"/>
    <cellStyle name="Обычный 2 2 2 3 2 4 2" xfId="5383"/>
    <cellStyle name="Обычный 2 2 2 3 2 5" xfId="1832"/>
    <cellStyle name="Обычный 2 2 2 3 2 5 2" xfId="5679"/>
    <cellStyle name="Обычный 2 2 2 3 2 6" xfId="2125"/>
    <cellStyle name="Обычный 2 2 2 3 2 6 2" xfId="5975"/>
    <cellStyle name="Обычный 2 2 2 3 2 7" xfId="2420"/>
    <cellStyle name="Обычный 2 2 2 3 2 7 2" xfId="6271"/>
    <cellStyle name="Обычный 2 2 2 3 2 8" xfId="2716"/>
    <cellStyle name="Обычный 2 2 2 3 2 8 2" xfId="6567"/>
    <cellStyle name="Обычный 2 2 2 3 2 9" xfId="3012"/>
    <cellStyle name="Обычный 2 2 2 3 2 9 2" xfId="6863"/>
    <cellStyle name="Обычный 2 2 2 3 3" xfId="353"/>
    <cellStyle name="Обычный 2 2 2 3 3 2" xfId="802"/>
    <cellStyle name="Обычный 2 2 2 3 3 3" xfId="8398"/>
    <cellStyle name="Обычный 2 2 2 3 3 4" xfId="4643"/>
    <cellStyle name="Обычный 2 2 2 3 4" xfId="803"/>
    <cellStyle name="Обычный 2 2 2 3 4 2" xfId="8560"/>
    <cellStyle name="Обычный 2 2 2 3 4 3" xfId="4939"/>
    <cellStyle name="Обычный 2 2 2 3 5" xfId="1396"/>
    <cellStyle name="Обычный 2 2 2 3 5 2" xfId="5235"/>
    <cellStyle name="Обычный 2 2 2 3 6" xfId="1685"/>
    <cellStyle name="Обычный 2 2 2 3 6 2" xfId="5531"/>
    <cellStyle name="Обычный 2 2 2 3 7" xfId="1978"/>
    <cellStyle name="Обычный 2 2 2 3 7 2" xfId="5827"/>
    <cellStyle name="Обычный 2 2 2 3 8" xfId="2272"/>
    <cellStyle name="Обычный 2 2 2 3 8 2" xfId="6123"/>
    <cellStyle name="Обычный 2 2 2 3 9" xfId="2568"/>
    <cellStyle name="Обычный 2 2 2 3 9 2" xfId="6419"/>
    <cellStyle name="Обычный 2 2 2 4" xfId="204"/>
    <cellStyle name="Обычный 2 2 2 4 10" xfId="2914"/>
    <cellStyle name="Обычный 2 2 2 4 10 2" xfId="6765"/>
    <cellStyle name="Обычный 2 2 2 4 11" xfId="3210"/>
    <cellStyle name="Обычный 2 2 2 4 11 2" xfId="7061"/>
    <cellStyle name="Обычный 2 2 2 4 12" xfId="3506"/>
    <cellStyle name="Обычный 2 2 2 4 12 2" xfId="7357"/>
    <cellStyle name="Обычный 2 2 2 4 13" xfId="3802"/>
    <cellStyle name="Обычный 2 2 2 4 13 2" xfId="7653"/>
    <cellStyle name="Обычный 2 2 2 4 14" xfId="4098"/>
    <cellStyle name="Обычный 2 2 2 4 14 2" xfId="7949"/>
    <cellStyle name="Обычный 2 2 2 4 15" xfId="8248"/>
    <cellStyle name="Обычный 2 2 2 4 16" xfId="4396"/>
    <cellStyle name="Обычный 2 2 2 4 2" xfId="804"/>
    <cellStyle name="Обычный 2 2 2 4 2 10" xfId="3358"/>
    <cellStyle name="Обычный 2 2 2 4 2 10 2" xfId="7209"/>
    <cellStyle name="Обычный 2 2 2 4 2 11" xfId="3654"/>
    <cellStyle name="Обычный 2 2 2 4 2 11 2" xfId="7505"/>
    <cellStyle name="Обычный 2 2 2 4 2 12" xfId="3950"/>
    <cellStyle name="Обычный 2 2 2 4 2 12 2" xfId="7801"/>
    <cellStyle name="Обычный 2 2 2 4 2 13" xfId="4246"/>
    <cellStyle name="Обычный 2 2 2 4 2 13 2" xfId="8097"/>
    <cellStyle name="Обычный 2 2 2 4 2 14" xfId="8561"/>
    <cellStyle name="Обычный 2 2 2 4 2 15" xfId="4545"/>
    <cellStyle name="Обычный 2 2 2 4 2 2" xfId="1113"/>
    <cellStyle name="Обычный 2 2 2 4 2 2 2" xfId="4841"/>
    <cellStyle name="Обычный 2 2 2 4 2 3" xfId="1302"/>
    <cellStyle name="Обычный 2 2 2 4 2 3 2" xfId="5137"/>
    <cellStyle name="Обычный 2 2 2 4 2 4" xfId="1589"/>
    <cellStyle name="Обычный 2 2 2 4 2 4 2" xfId="5433"/>
    <cellStyle name="Обычный 2 2 2 4 2 5" xfId="1882"/>
    <cellStyle name="Обычный 2 2 2 4 2 5 2" xfId="5729"/>
    <cellStyle name="Обычный 2 2 2 4 2 6" xfId="2175"/>
    <cellStyle name="Обычный 2 2 2 4 2 6 2" xfId="6025"/>
    <cellStyle name="Обычный 2 2 2 4 2 7" xfId="2470"/>
    <cellStyle name="Обычный 2 2 2 4 2 7 2" xfId="6321"/>
    <cellStyle name="Обычный 2 2 2 4 2 8" xfId="2766"/>
    <cellStyle name="Обычный 2 2 2 4 2 8 2" xfId="6617"/>
    <cellStyle name="Обычный 2 2 2 4 2 9" xfId="3062"/>
    <cellStyle name="Обычный 2 2 2 4 2 9 2" xfId="6913"/>
    <cellStyle name="Обычный 2 2 2 4 3" xfId="1066"/>
    <cellStyle name="Обычный 2 2 2 4 3 2" xfId="4693"/>
    <cellStyle name="Обычный 2 2 2 4 4" xfId="1160"/>
    <cellStyle name="Обычный 2 2 2 4 4 2" xfId="4989"/>
    <cellStyle name="Обычный 2 2 2 4 5" xfId="1443"/>
    <cellStyle name="Обычный 2 2 2 4 5 2" xfId="5285"/>
    <cellStyle name="Обычный 2 2 2 4 6" xfId="1734"/>
    <cellStyle name="Обычный 2 2 2 4 6 2" xfId="5581"/>
    <cellStyle name="Обычный 2 2 2 4 7" xfId="2027"/>
    <cellStyle name="Обычный 2 2 2 4 7 2" xfId="5877"/>
    <cellStyle name="Обычный 2 2 2 4 8" xfId="2322"/>
    <cellStyle name="Обычный 2 2 2 4 8 2" xfId="6173"/>
    <cellStyle name="Обычный 2 2 2 4 9" xfId="2618"/>
    <cellStyle name="Обычный 2 2 2 4 9 2" xfId="6469"/>
    <cellStyle name="Обычный 2 2 2 5" xfId="303"/>
    <cellStyle name="Обычный 2 2 2 5 10" xfId="3260"/>
    <cellStyle name="Обычный 2 2 2 5 10 2" xfId="7111"/>
    <cellStyle name="Обычный 2 2 2 5 11" xfId="3556"/>
    <cellStyle name="Обычный 2 2 2 5 11 2" xfId="7407"/>
    <cellStyle name="Обычный 2 2 2 5 12" xfId="3852"/>
    <cellStyle name="Обычный 2 2 2 5 12 2" xfId="7703"/>
    <cellStyle name="Обычный 2 2 2 5 13" xfId="4148"/>
    <cellStyle name="Обычный 2 2 2 5 13 2" xfId="7999"/>
    <cellStyle name="Обычный 2 2 2 5 14" xfId="8348"/>
    <cellStyle name="Обычный 2 2 2 5 15" xfId="4447"/>
    <cellStyle name="Обычный 2 2 2 5 2" xfId="805"/>
    <cellStyle name="Обычный 2 2 2 5 2 2" xfId="8562"/>
    <cellStyle name="Обычный 2 2 2 5 2 3" xfId="4743"/>
    <cellStyle name="Обычный 2 2 2 5 3" xfId="1207"/>
    <cellStyle name="Обычный 2 2 2 5 3 2" xfId="5039"/>
    <cellStyle name="Обычный 2 2 2 5 4" xfId="1492"/>
    <cellStyle name="Обычный 2 2 2 5 4 2" xfId="5335"/>
    <cellStyle name="Обычный 2 2 2 5 5" xfId="1784"/>
    <cellStyle name="Обычный 2 2 2 5 5 2" xfId="5631"/>
    <cellStyle name="Обычный 2 2 2 5 6" xfId="2077"/>
    <cellStyle name="Обычный 2 2 2 5 6 2" xfId="5927"/>
    <cellStyle name="Обычный 2 2 2 5 7" xfId="2372"/>
    <cellStyle name="Обычный 2 2 2 5 7 2" xfId="6223"/>
    <cellStyle name="Обычный 2 2 2 5 8" xfId="2668"/>
    <cellStyle name="Обычный 2 2 2 5 8 2" xfId="6519"/>
    <cellStyle name="Обычный 2 2 2 5 9" xfId="2964"/>
    <cellStyle name="Обычный 2 2 2 5 9 2" xfId="6815"/>
    <cellStyle name="Обычный 2 2 2 6" xfId="406"/>
    <cellStyle name="Обычный 2 2 2 6 2" xfId="8446"/>
    <cellStyle name="Обычный 2 2 2 6 3" xfId="4595"/>
    <cellStyle name="Обычный 2 2 2 7" xfId="806"/>
    <cellStyle name="Обычный 2 2 2 7 2" xfId="8563"/>
    <cellStyle name="Обычный 2 2 2 7 3" xfId="4891"/>
    <cellStyle name="Обычный 2 2 2 8" xfId="1349"/>
    <cellStyle name="Обычный 2 2 2 8 2" xfId="5187"/>
    <cellStyle name="Обычный 2 2 2 9" xfId="1638"/>
    <cellStyle name="Обычный 2 2 2 9 2" xfId="5483"/>
    <cellStyle name="Обычный 2 2 20" xfId="3993"/>
    <cellStyle name="Обычный 2 2 20 2" xfId="7844"/>
    <cellStyle name="Обычный 2 2 21" xfId="8140"/>
    <cellStyle name="Обычный 2 2 22" xfId="4289"/>
    <cellStyle name="Обычный 2 2 23" xfId="8856"/>
    <cellStyle name="Обычный 2 2 3" xfId="78"/>
    <cellStyle name="Обычный 2 2 3 10" xfId="1932"/>
    <cellStyle name="Обычный 2 2 3 10 2" xfId="5780"/>
    <cellStyle name="Обычный 2 2 3 11" xfId="2226"/>
    <cellStyle name="Обычный 2 2 3 11 2" xfId="6076"/>
    <cellStyle name="Обычный 2 2 3 12" xfId="2521"/>
    <cellStyle name="Обычный 2 2 3 12 2" xfId="6372"/>
    <cellStyle name="Обычный 2 2 3 13" xfId="2817"/>
    <cellStyle name="Обычный 2 2 3 13 2" xfId="6668"/>
    <cellStyle name="Обычный 2 2 3 14" xfId="3113"/>
    <cellStyle name="Обычный 2 2 3 14 2" xfId="6964"/>
    <cellStyle name="Обычный 2 2 3 15" xfId="3409"/>
    <cellStyle name="Обычный 2 2 3 15 2" xfId="7260"/>
    <cellStyle name="Обычный 2 2 3 16" xfId="3705"/>
    <cellStyle name="Обычный 2 2 3 16 2" xfId="7556"/>
    <cellStyle name="Обычный 2 2 3 17" xfId="4001"/>
    <cellStyle name="Обычный 2 2 3 17 2" xfId="7852"/>
    <cellStyle name="Обычный 2 2 3 18" xfId="8148"/>
    <cellStyle name="Обычный 2 2 3 19" xfId="4297"/>
    <cellStyle name="Обычный 2 2 3 2" xfId="127"/>
    <cellStyle name="Обычный 2 2 3 2 10" xfId="2247"/>
    <cellStyle name="Обычный 2 2 3 2 10 2" xfId="6098"/>
    <cellStyle name="Обычный 2 2 3 2 11" xfId="2543"/>
    <cellStyle name="Обычный 2 2 3 2 11 2" xfId="6394"/>
    <cellStyle name="Обычный 2 2 3 2 12" xfId="2839"/>
    <cellStyle name="Обычный 2 2 3 2 12 2" xfId="6690"/>
    <cellStyle name="Обычный 2 2 3 2 13" xfId="3135"/>
    <cellStyle name="Обычный 2 2 3 2 13 2" xfId="6986"/>
    <cellStyle name="Обычный 2 2 3 2 14" xfId="3431"/>
    <cellStyle name="Обычный 2 2 3 2 14 2" xfId="7282"/>
    <cellStyle name="Обычный 2 2 3 2 15" xfId="3727"/>
    <cellStyle name="Обычный 2 2 3 2 15 2" xfId="7578"/>
    <cellStyle name="Обычный 2 2 3 2 16" xfId="4023"/>
    <cellStyle name="Обычный 2 2 3 2 16 2" xfId="7874"/>
    <cellStyle name="Обычный 2 2 3 2 17" xfId="8170"/>
    <cellStyle name="Обычный 2 2 3 2 18" xfId="4319"/>
    <cellStyle name="Обычный 2 2 3 2 2" xfId="175"/>
    <cellStyle name="Обычный 2 2 3 2 2 10" xfId="2887"/>
    <cellStyle name="Обычный 2 2 3 2 2 10 2" xfId="6738"/>
    <cellStyle name="Обычный 2 2 3 2 2 11" xfId="3183"/>
    <cellStyle name="Обычный 2 2 3 2 2 11 2" xfId="7034"/>
    <cellStyle name="Обычный 2 2 3 2 2 12" xfId="3479"/>
    <cellStyle name="Обычный 2 2 3 2 2 12 2" xfId="7330"/>
    <cellStyle name="Обычный 2 2 3 2 2 13" xfId="3775"/>
    <cellStyle name="Обычный 2 2 3 2 2 13 2" xfId="7626"/>
    <cellStyle name="Обычный 2 2 3 2 2 14" xfId="4071"/>
    <cellStyle name="Обычный 2 2 3 2 2 14 2" xfId="7922"/>
    <cellStyle name="Обычный 2 2 3 2 2 15" xfId="8220"/>
    <cellStyle name="Обычный 2 2 3 2 2 16" xfId="4368"/>
    <cellStyle name="Обычный 2 2 3 2 2 2" xfId="275"/>
    <cellStyle name="Обычный 2 2 3 2 2 2 10" xfId="3331"/>
    <cellStyle name="Обычный 2 2 3 2 2 2 10 2" xfId="7182"/>
    <cellStyle name="Обычный 2 2 3 2 2 2 11" xfId="3627"/>
    <cellStyle name="Обычный 2 2 3 2 2 2 11 2" xfId="7478"/>
    <cellStyle name="Обычный 2 2 3 2 2 2 12" xfId="3923"/>
    <cellStyle name="Обычный 2 2 3 2 2 2 12 2" xfId="7774"/>
    <cellStyle name="Обычный 2 2 3 2 2 2 13" xfId="4219"/>
    <cellStyle name="Обычный 2 2 3 2 2 2 13 2" xfId="8070"/>
    <cellStyle name="Обычный 2 2 3 2 2 2 14" xfId="8321"/>
    <cellStyle name="Обычный 2 2 3 2 2 2 15" xfId="4518"/>
    <cellStyle name="Обычный 2 2 3 2 2 2 2" xfId="807"/>
    <cellStyle name="Обычный 2 2 3 2 2 2 2 2" xfId="8564"/>
    <cellStyle name="Обычный 2 2 3 2 2 2 2 3" xfId="4814"/>
    <cellStyle name="Обычный 2 2 3 2 2 2 3" xfId="1276"/>
    <cellStyle name="Обычный 2 2 3 2 2 2 3 2" xfId="5110"/>
    <cellStyle name="Обычный 2 2 3 2 2 2 4" xfId="1562"/>
    <cellStyle name="Обычный 2 2 3 2 2 2 4 2" xfId="5406"/>
    <cellStyle name="Обычный 2 2 3 2 2 2 5" xfId="1855"/>
    <cellStyle name="Обычный 2 2 3 2 2 2 5 2" xfId="5702"/>
    <cellStyle name="Обычный 2 2 3 2 2 2 6" xfId="2148"/>
    <cellStyle name="Обычный 2 2 3 2 2 2 6 2" xfId="5998"/>
    <cellStyle name="Обычный 2 2 3 2 2 2 7" xfId="2443"/>
    <cellStyle name="Обычный 2 2 3 2 2 2 7 2" xfId="6294"/>
    <cellStyle name="Обычный 2 2 3 2 2 2 8" xfId="2739"/>
    <cellStyle name="Обычный 2 2 3 2 2 2 8 2" xfId="6590"/>
    <cellStyle name="Обычный 2 2 3 2 2 2 9" xfId="3035"/>
    <cellStyle name="Обычный 2 2 3 2 2 2 9 2" xfId="6886"/>
    <cellStyle name="Обычный 2 2 3 2 2 3" xfId="376"/>
    <cellStyle name="Обычный 2 2 3 2 2 3 2" xfId="808"/>
    <cellStyle name="Обычный 2 2 3 2 2 3 3" xfId="8421"/>
    <cellStyle name="Обычный 2 2 3 2 2 3 4" xfId="4666"/>
    <cellStyle name="Обычный 2 2 3 2 2 4" xfId="809"/>
    <cellStyle name="Обычный 2 2 3 2 2 4 2" xfId="8565"/>
    <cellStyle name="Обычный 2 2 3 2 2 4 3" xfId="4962"/>
    <cellStyle name="Обычный 2 2 3 2 2 5" xfId="1418"/>
    <cellStyle name="Обычный 2 2 3 2 2 5 2" xfId="5258"/>
    <cellStyle name="Обычный 2 2 3 2 2 6" xfId="1708"/>
    <cellStyle name="Обычный 2 2 3 2 2 6 2" xfId="5554"/>
    <cellStyle name="Обычный 2 2 3 2 2 7" xfId="2000"/>
    <cellStyle name="Обычный 2 2 3 2 2 7 2" xfId="5850"/>
    <cellStyle name="Обычный 2 2 3 2 2 8" xfId="2295"/>
    <cellStyle name="Обычный 2 2 3 2 2 8 2" xfId="6146"/>
    <cellStyle name="Обычный 2 2 3 2 2 9" xfId="2591"/>
    <cellStyle name="Обычный 2 2 3 2 2 9 2" xfId="6442"/>
    <cellStyle name="Обычный 2 2 3 2 3" xfId="226"/>
    <cellStyle name="Обычный 2 2 3 2 3 10" xfId="2937"/>
    <cellStyle name="Обычный 2 2 3 2 3 10 2" xfId="6788"/>
    <cellStyle name="Обычный 2 2 3 2 3 11" xfId="3233"/>
    <cellStyle name="Обычный 2 2 3 2 3 11 2" xfId="7084"/>
    <cellStyle name="Обычный 2 2 3 2 3 12" xfId="3529"/>
    <cellStyle name="Обычный 2 2 3 2 3 12 2" xfId="7380"/>
    <cellStyle name="Обычный 2 2 3 2 3 13" xfId="3825"/>
    <cellStyle name="Обычный 2 2 3 2 3 13 2" xfId="7676"/>
    <cellStyle name="Обычный 2 2 3 2 3 14" xfId="4121"/>
    <cellStyle name="Обычный 2 2 3 2 3 14 2" xfId="7972"/>
    <cellStyle name="Обычный 2 2 3 2 3 15" xfId="8271"/>
    <cellStyle name="Обычный 2 2 3 2 3 16" xfId="4419"/>
    <cellStyle name="Обычный 2 2 3 2 3 2" xfId="810"/>
    <cellStyle name="Обычный 2 2 3 2 3 2 10" xfId="3381"/>
    <cellStyle name="Обычный 2 2 3 2 3 2 10 2" xfId="7232"/>
    <cellStyle name="Обычный 2 2 3 2 3 2 11" xfId="3677"/>
    <cellStyle name="Обычный 2 2 3 2 3 2 11 2" xfId="7528"/>
    <cellStyle name="Обычный 2 2 3 2 3 2 12" xfId="3973"/>
    <cellStyle name="Обычный 2 2 3 2 3 2 12 2" xfId="7824"/>
    <cellStyle name="Обычный 2 2 3 2 3 2 13" xfId="4269"/>
    <cellStyle name="Обычный 2 2 3 2 3 2 13 2" xfId="8120"/>
    <cellStyle name="Обычный 2 2 3 2 3 2 14" xfId="8566"/>
    <cellStyle name="Обычный 2 2 3 2 3 2 15" xfId="4568"/>
    <cellStyle name="Обычный 2 2 3 2 3 2 2" xfId="1135"/>
    <cellStyle name="Обычный 2 2 3 2 3 2 2 2" xfId="4864"/>
    <cellStyle name="Обычный 2 2 3 2 3 2 3" xfId="1324"/>
    <cellStyle name="Обычный 2 2 3 2 3 2 3 2" xfId="5160"/>
    <cellStyle name="Обычный 2 2 3 2 3 2 4" xfId="1611"/>
    <cellStyle name="Обычный 2 2 3 2 3 2 4 2" xfId="5456"/>
    <cellStyle name="Обычный 2 2 3 2 3 2 5" xfId="1904"/>
    <cellStyle name="Обычный 2 2 3 2 3 2 5 2" xfId="5752"/>
    <cellStyle name="Обычный 2 2 3 2 3 2 6" xfId="2198"/>
    <cellStyle name="Обычный 2 2 3 2 3 2 6 2" xfId="6048"/>
    <cellStyle name="Обычный 2 2 3 2 3 2 7" xfId="2493"/>
    <cellStyle name="Обычный 2 2 3 2 3 2 7 2" xfId="6344"/>
    <cellStyle name="Обычный 2 2 3 2 3 2 8" xfId="2789"/>
    <cellStyle name="Обычный 2 2 3 2 3 2 8 2" xfId="6640"/>
    <cellStyle name="Обычный 2 2 3 2 3 2 9" xfId="3085"/>
    <cellStyle name="Обычный 2 2 3 2 3 2 9 2" xfId="6936"/>
    <cellStyle name="Обычный 2 2 3 2 3 3" xfId="1088"/>
    <cellStyle name="Обычный 2 2 3 2 3 3 2" xfId="4716"/>
    <cellStyle name="Обычный 2 2 3 2 3 4" xfId="1182"/>
    <cellStyle name="Обычный 2 2 3 2 3 4 2" xfId="5012"/>
    <cellStyle name="Обычный 2 2 3 2 3 5" xfId="1466"/>
    <cellStyle name="Обычный 2 2 3 2 3 5 2" xfId="5308"/>
    <cellStyle name="Обычный 2 2 3 2 3 6" xfId="1757"/>
    <cellStyle name="Обычный 2 2 3 2 3 6 2" xfId="5604"/>
    <cellStyle name="Обычный 2 2 3 2 3 7" xfId="2050"/>
    <cellStyle name="Обычный 2 2 3 2 3 7 2" xfId="5900"/>
    <cellStyle name="Обычный 2 2 3 2 3 8" xfId="2345"/>
    <cellStyle name="Обычный 2 2 3 2 3 8 2" xfId="6196"/>
    <cellStyle name="Обычный 2 2 3 2 3 9" xfId="2641"/>
    <cellStyle name="Обычный 2 2 3 2 3 9 2" xfId="6492"/>
    <cellStyle name="Обычный 2 2 3 2 4" xfId="326"/>
    <cellStyle name="Обычный 2 2 3 2 4 10" xfId="3283"/>
    <cellStyle name="Обычный 2 2 3 2 4 10 2" xfId="7134"/>
    <cellStyle name="Обычный 2 2 3 2 4 11" xfId="3579"/>
    <cellStyle name="Обычный 2 2 3 2 4 11 2" xfId="7430"/>
    <cellStyle name="Обычный 2 2 3 2 4 12" xfId="3875"/>
    <cellStyle name="Обычный 2 2 3 2 4 12 2" xfId="7726"/>
    <cellStyle name="Обычный 2 2 3 2 4 13" xfId="4171"/>
    <cellStyle name="Обычный 2 2 3 2 4 13 2" xfId="8022"/>
    <cellStyle name="Обычный 2 2 3 2 4 14" xfId="8371"/>
    <cellStyle name="Обычный 2 2 3 2 4 15" xfId="4470"/>
    <cellStyle name="Обычный 2 2 3 2 4 2" xfId="811"/>
    <cellStyle name="Обычный 2 2 3 2 4 2 2" xfId="8567"/>
    <cellStyle name="Обычный 2 2 3 2 4 2 3" xfId="4766"/>
    <cellStyle name="Обычный 2 2 3 2 4 3" xfId="1230"/>
    <cellStyle name="Обычный 2 2 3 2 4 3 2" xfId="5062"/>
    <cellStyle name="Обычный 2 2 3 2 4 4" xfId="1515"/>
    <cellStyle name="Обычный 2 2 3 2 4 4 2" xfId="5358"/>
    <cellStyle name="Обычный 2 2 3 2 4 5" xfId="1807"/>
    <cellStyle name="Обычный 2 2 3 2 4 5 2" xfId="5654"/>
    <cellStyle name="Обычный 2 2 3 2 4 6" xfId="2100"/>
    <cellStyle name="Обычный 2 2 3 2 4 6 2" xfId="5950"/>
    <cellStyle name="Обычный 2 2 3 2 4 7" xfId="2395"/>
    <cellStyle name="Обычный 2 2 3 2 4 7 2" xfId="6246"/>
    <cellStyle name="Обычный 2 2 3 2 4 8" xfId="2691"/>
    <cellStyle name="Обычный 2 2 3 2 4 8 2" xfId="6542"/>
    <cellStyle name="Обычный 2 2 3 2 4 9" xfId="2987"/>
    <cellStyle name="Обычный 2 2 3 2 4 9 2" xfId="6838"/>
    <cellStyle name="Обычный 2 2 3 2 5" xfId="812"/>
    <cellStyle name="Обычный 2 2 3 2 5 2" xfId="8568"/>
    <cellStyle name="Обычный 2 2 3 2 5 3" xfId="4618"/>
    <cellStyle name="Обычный 2 2 3 2 6" xfId="813"/>
    <cellStyle name="Обычный 2 2 3 2 6 2" xfId="8569"/>
    <cellStyle name="Обычный 2 2 3 2 6 3" xfId="4914"/>
    <cellStyle name="Обычный 2 2 3 2 7" xfId="1371"/>
    <cellStyle name="Обычный 2 2 3 2 7 2" xfId="5210"/>
    <cellStyle name="Обычный 2 2 3 2 8" xfId="1660"/>
    <cellStyle name="Обычный 2 2 3 2 8 2" xfId="5506"/>
    <cellStyle name="Обычный 2 2 3 2 9" xfId="1953"/>
    <cellStyle name="Обычный 2 2 3 2 9 2" xfId="5802"/>
    <cellStyle name="Обычный 2 2 3 20" xfId="8827"/>
    <cellStyle name="Обычный 2 2 3 3" xfId="154"/>
    <cellStyle name="Обычный 2 2 3 3 10" xfId="2865"/>
    <cellStyle name="Обычный 2 2 3 3 10 2" xfId="6716"/>
    <cellStyle name="Обычный 2 2 3 3 11" xfId="3161"/>
    <cellStyle name="Обычный 2 2 3 3 11 2" xfId="7012"/>
    <cellStyle name="Обычный 2 2 3 3 12" xfId="3457"/>
    <cellStyle name="Обычный 2 2 3 3 12 2" xfId="7308"/>
    <cellStyle name="Обычный 2 2 3 3 13" xfId="3753"/>
    <cellStyle name="Обычный 2 2 3 3 13 2" xfId="7604"/>
    <cellStyle name="Обычный 2 2 3 3 14" xfId="4049"/>
    <cellStyle name="Обычный 2 2 3 3 14 2" xfId="7900"/>
    <cellStyle name="Обычный 2 2 3 3 15" xfId="8198"/>
    <cellStyle name="Обычный 2 2 3 3 16" xfId="4346"/>
    <cellStyle name="Обычный 2 2 3 3 2" xfId="254"/>
    <cellStyle name="Обычный 2 2 3 3 2 10" xfId="3309"/>
    <cellStyle name="Обычный 2 2 3 3 2 10 2" xfId="7160"/>
    <cellStyle name="Обычный 2 2 3 3 2 11" xfId="3605"/>
    <cellStyle name="Обычный 2 2 3 3 2 11 2" xfId="7456"/>
    <cellStyle name="Обычный 2 2 3 3 2 12" xfId="3901"/>
    <cellStyle name="Обычный 2 2 3 3 2 12 2" xfId="7752"/>
    <cellStyle name="Обычный 2 2 3 3 2 13" xfId="4197"/>
    <cellStyle name="Обычный 2 2 3 3 2 13 2" xfId="8048"/>
    <cellStyle name="Обычный 2 2 3 3 2 14" xfId="8299"/>
    <cellStyle name="Обычный 2 2 3 3 2 15" xfId="4496"/>
    <cellStyle name="Обычный 2 2 3 3 2 2" xfId="814"/>
    <cellStyle name="Обычный 2 2 3 3 2 2 2" xfId="8570"/>
    <cellStyle name="Обычный 2 2 3 3 2 2 3" xfId="4792"/>
    <cellStyle name="Обычный 2 2 3 3 2 3" xfId="1255"/>
    <cellStyle name="Обычный 2 2 3 3 2 3 2" xfId="5088"/>
    <cellStyle name="Обычный 2 2 3 3 2 4" xfId="1541"/>
    <cellStyle name="Обычный 2 2 3 3 2 4 2" xfId="5384"/>
    <cellStyle name="Обычный 2 2 3 3 2 5" xfId="1833"/>
    <cellStyle name="Обычный 2 2 3 3 2 5 2" xfId="5680"/>
    <cellStyle name="Обычный 2 2 3 3 2 6" xfId="2126"/>
    <cellStyle name="Обычный 2 2 3 3 2 6 2" xfId="5976"/>
    <cellStyle name="Обычный 2 2 3 3 2 7" xfId="2421"/>
    <cellStyle name="Обычный 2 2 3 3 2 7 2" xfId="6272"/>
    <cellStyle name="Обычный 2 2 3 3 2 8" xfId="2717"/>
    <cellStyle name="Обычный 2 2 3 3 2 8 2" xfId="6568"/>
    <cellStyle name="Обычный 2 2 3 3 2 9" xfId="3013"/>
    <cellStyle name="Обычный 2 2 3 3 2 9 2" xfId="6864"/>
    <cellStyle name="Обычный 2 2 3 3 3" xfId="354"/>
    <cellStyle name="Обычный 2 2 3 3 3 2" xfId="815"/>
    <cellStyle name="Обычный 2 2 3 3 3 3" xfId="8399"/>
    <cellStyle name="Обычный 2 2 3 3 3 4" xfId="4644"/>
    <cellStyle name="Обычный 2 2 3 3 4" xfId="816"/>
    <cellStyle name="Обычный 2 2 3 3 4 2" xfId="8571"/>
    <cellStyle name="Обычный 2 2 3 3 4 3" xfId="4940"/>
    <cellStyle name="Обычный 2 2 3 3 5" xfId="1397"/>
    <cellStyle name="Обычный 2 2 3 3 5 2" xfId="5236"/>
    <cellStyle name="Обычный 2 2 3 3 6" xfId="1686"/>
    <cellStyle name="Обычный 2 2 3 3 6 2" xfId="5532"/>
    <cellStyle name="Обычный 2 2 3 3 7" xfId="1979"/>
    <cellStyle name="Обычный 2 2 3 3 7 2" xfId="5828"/>
    <cellStyle name="Обычный 2 2 3 3 8" xfId="2273"/>
    <cellStyle name="Обычный 2 2 3 3 8 2" xfId="6124"/>
    <cellStyle name="Обычный 2 2 3 3 9" xfId="2569"/>
    <cellStyle name="Обычный 2 2 3 3 9 2" xfId="6420"/>
    <cellStyle name="Обычный 2 2 3 4" xfId="205"/>
    <cellStyle name="Обычный 2 2 3 4 10" xfId="2915"/>
    <cellStyle name="Обычный 2 2 3 4 10 2" xfId="6766"/>
    <cellStyle name="Обычный 2 2 3 4 11" xfId="3211"/>
    <cellStyle name="Обычный 2 2 3 4 11 2" xfId="7062"/>
    <cellStyle name="Обычный 2 2 3 4 12" xfId="3507"/>
    <cellStyle name="Обычный 2 2 3 4 12 2" xfId="7358"/>
    <cellStyle name="Обычный 2 2 3 4 13" xfId="3803"/>
    <cellStyle name="Обычный 2 2 3 4 13 2" xfId="7654"/>
    <cellStyle name="Обычный 2 2 3 4 14" xfId="4099"/>
    <cellStyle name="Обычный 2 2 3 4 14 2" xfId="7950"/>
    <cellStyle name="Обычный 2 2 3 4 15" xfId="8249"/>
    <cellStyle name="Обычный 2 2 3 4 16" xfId="4397"/>
    <cellStyle name="Обычный 2 2 3 4 2" xfId="817"/>
    <cellStyle name="Обычный 2 2 3 4 2 10" xfId="3359"/>
    <cellStyle name="Обычный 2 2 3 4 2 10 2" xfId="7210"/>
    <cellStyle name="Обычный 2 2 3 4 2 11" xfId="3655"/>
    <cellStyle name="Обычный 2 2 3 4 2 11 2" xfId="7506"/>
    <cellStyle name="Обычный 2 2 3 4 2 12" xfId="3951"/>
    <cellStyle name="Обычный 2 2 3 4 2 12 2" xfId="7802"/>
    <cellStyle name="Обычный 2 2 3 4 2 13" xfId="4247"/>
    <cellStyle name="Обычный 2 2 3 4 2 13 2" xfId="8098"/>
    <cellStyle name="Обычный 2 2 3 4 2 14" xfId="8572"/>
    <cellStyle name="Обычный 2 2 3 4 2 15" xfId="4546"/>
    <cellStyle name="Обычный 2 2 3 4 2 2" xfId="1114"/>
    <cellStyle name="Обычный 2 2 3 4 2 2 2" xfId="4842"/>
    <cellStyle name="Обычный 2 2 3 4 2 3" xfId="1303"/>
    <cellStyle name="Обычный 2 2 3 4 2 3 2" xfId="5138"/>
    <cellStyle name="Обычный 2 2 3 4 2 4" xfId="1590"/>
    <cellStyle name="Обычный 2 2 3 4 2 4 2" xfId="5434"/>
    <cellStyle name="Обычный 2 2 3 4 2 5" xfId="1883"/>
    <cellStyle name="Обычный 2 2 3 4 2 5 2" xfId="5730"/>
    <cellStyle name="Обычный 2 2 3 4 2 6" xfId="2176"/>
    <cellStyle name="Обычный 2 2 3 4 2 6 2" xfId="6026"/>
    <cellStyle name="Обычный 2 2 3 4 2 7" xfId="2471"/>
    <cellStyle name="Обычный 2 2 3 4 2 7 2" xfId="6322"/>
    <cellStyle name="Обычный 2 2 3 4 2 8" xfId="2767"/>
    <cellStyle name="Обычный 2 2 3 4 2 8 2" xfId="6618"/>
    <cellStyle name="Обычный 2 2 3 4 2 9" xfId="3063"/>
    <cellStyle name="Обычный 2 2 3 4 2 9 2" xfId="6914"/>
    <cellStyle name="Обычный 2 2 3 4 3" xfId="1067"/>
    <cellStyle name="Обычный 2 2 3 4 3 2" xfId="4694"/>
    <cellStyle name="Обычный 2 2 3 4 4" xfId="1161"/>
    <cellStyle name="Обычный 2 2 3 4 4 2" xfId="4990"/>
    <cellStyle name="Обычный 2 2 3 4 5" xfId="1444"/>
    <cellStyle name="Обычный 2 2 3 4 5 2" xfId="5286"/>
    <cellStyle name="Обычный 2 2 3 4 6" xfId="1735"/>
    <cellStyle name="Обычный 2 2 3 4 6 2" xfId="5582"/>
    <cellStyle name="Обычный 2 2 3 4 7" xfId="2028"/>
    <cellStyle name="Обычный 2 2 3 4 7 2" xfId="5878"/>
    <cellStyle name="Обычный 2 2 3 4 8" xfId="2323"/>
    <cellStyle name="Обычный 2 2 3 4 8 2" xfId="6174"/>
    <cellStyle name="Обычный 2 2 3 4 9" xfId="2619"/>
    <cellStyle name="Обычный 2 2 3 4 9 2" xfId="6470"/>
    <cellStyle name="Обычный 2 2 3 5" xfId="304"/>
    <cellStyle name="Обычный 2 2 3 5 10" xfId="3261"/>
    <cellStyle name="Обычный 2 2 3 5 10 2" xfId="7112"/>
    <cellStyle name="Обычный 2 2 3 5 11" xfId="3557"/>
    <cellStyle name="Обычный 2 2 3 5 11 2" xfId="7408"/>
    <cellStyle name="Обычный 2 2 3 5 12" xfId="3853"/>
    <cellStyle name="Обычный 2 2 3 5 12 2" xfId="7704"/>
    <cellStyle name="Обычный 2 2 3 5 13" xfId="4149"/>
    <cellStyle name="Обычный 2 2 3 5 13 2" xfId="8000"/>
    <cellStyle name="Обычный 2 2 3 5 14" xfId="8349"/>
    <cellStyle name="Обычный 2 2 3 5 15" xfId="4448"/>
    <cellStyle name="Обычный 2 2 3 5 2" xfId="818"/>
    <cellStyle name="Обычный 2 2 3 5 2 2" xfId="8573"/>
    <cellStyle name="Обычный 2 2 3 5 2 3" xfId="4744"/>
    <cellStyle name="Обычный 2 2 3 5 3" xfId="1208"/>
    <cellStyle name="Обычный 2 2 3 5 3 2" xfId="5040"/>
    <cellStyle name="Обычный 2 2 3 5 4" xfId="1493"/>
    <cellStyle name="Обычный 2 2 3 5 4 2" xfId="5336"/>
    <cellStyle name="Обычный 2 2 3 5 5" xfId="1785"/>
    <cellStyle name="Обычный 2 2 3 5 5 2" xfId="5632"/>
    <cellStyle name="Обычный 2 2 3 5 6" xfId="2078"/>
    <cellStyle name="Обычный 2 2 3 5 6 2" xfId="5928"/>
    <cellStyle name="Обычный 2 2 3 5 7" xfId="2373"/>
    <cellStyle name="Обычный 2 2 3 5 7 2" xfId="6224"/>
    <cellStyle name="Обычный 2 2 3 5 8" xfId="2669"/>
    <cellStyle name="Обычный 2 2 3 5 8 2" xfId="6520"/>
    <cellStyle name="Обычный 2 2 3 5 9" xfId="2965"/>
    <cellStyle name="Обычный 2 2 3 5 9 2" xfId="6816"/>
    <cellStyle name="Обычный 2 2 3 6" xfId="610"/>
    <cellStyle name="Обычный 2 2 3 6 2" xfId="8453"/>
    <cellStyle name="Обычный 2 2 3 6 3" xfId="4596"/>
    <cellStyle name="Обычный 2 2 3 7" xfId="819"/>
    <cellStyle name="Обычный 2 2 3 7 2" xfId="8574"/>
    <cellStyle name="Обычный 2 2 3 7 3" xfId="4892"/>
    <cellStyle name="Обычный 2 2 3 8" xfId="1350"/>
    <cellStyle name="Обычный 2 2 3 8 2" xfId="5188"/>
    <cellStyle name="Обычный 2 2 3 9" xfId="1639"/>
    <cellStyle name="Обычный 2 2 3 9 2" xfId="5484"/>
    <cellStyle name="Обычный 2 2 4" xfId="76"/>
    <cellStyle name="Обычный 2 2 4 10" xfId="2224"/>
    <cellStyle name="Обычный 2 2 4 10 2" xfId="6074"/>
    <cellStyle name="Обычный 2 2 4 11" xfId="2519"/>
    <cellStyle name="Обычный 2 2 4 11 2" xfId="6370"/>
    <cellStyle name="Обычный 2 2 4 12" xfId="2815"/>
    <cellStyle name="Обычный 2 2 4 12 2" xfId="6666"/>
    <cellStyle name="Обычный 2 2 4 13" xfId="3111"/>
    <cellStyle name="Обычный 2 2 4 13 2" xfId="6962"/>
    <cellStyle name="Обычный 2 2 4 14" xfId="3407"/>
    <cellStyle name="Обычный 2 2 4 14 2" xfId="7258"/>
    <cellStyle name="Обычный 2 2 4 15" xfId="3703"/>
    <cellStyle name="Обычный 2 2 4 15 2" xfId="7554"/>
    <cellStyle name="Обычный 2 2 4 16" xfId="3999"/>
    <cellStyle name="Обычный 2 2 4 16 2" xfId="7850"/>
    <cellStyle name="Обычный 2 2 4 17" xfId="8146"/>
    <cellStyle name="Обычный 2 2 4 18" xfId="4295"/>
    <cellStyle name="Обычный 2 2 4 2" xfId="152"/>
    <cellStyle name="Обычный 2 2 4 2 10" xfId="2863"/>
    <cellStyle name="Обычный 2 2 4 2 10 2" xfId="6714"/>
    <cellStyle name="Обычный 2 2 4 2 11" xfId="3159"/>
    <cellStyle name="Обычный 2 2 4 2 11 2" xfId="7010"/>
    <cellStyle name="Обычный 2 2 4 2 12" xfId="3455"/>
    <cellStyle name="Обычный 2 2 4 2 12 2" xfId="7306"/>
    <cellStyle name="Обычный 2 2 4 2 13" xfId="3751"/>
    <cellStyle name="Обычный 2 2 4 2 13 2" xfId="7602"/>
    <cellStyle name="Обычный 2 2 4 2 14" xfId="4047"/>
    <cellStyle name="Обычный 2 2 4 2 14 2" xfId="7898"/>
    <cellStyle name="Обычный 2 2 4 2 15" xfId="8196"/>
    <cellStyle name="Обычный 2 2 4 2 16" xfId="4344"/>
    <cellStyle name="Обычный 2 2 4 2 2" xfId="252"/>
    <cellStyle name="Обычный 2 2 4 2 2 10" xfId="3307"/>
    <cellStyle name="Обычный 2 2 4 2 2 10 2" xfId="7158"/>
    <cellStyle name="Обычный 2 2 4 2 2 11" xfId="3603"/>
    <cellStyle name="Обычный 2 2 4 2 2 11 2" xfId="7454"/>
    <cellStyle name="Обычный 2 2 4 2 2 12" xfId="3899"/>
    <cellStyle name="Обычный 2 2 4 2 2 12 2" xfId="7750"/>
    <cellStyle name="Обычный 2 2 4 2 2 13" xfId="4195"/>
    <cellStyle name="Обычный 2 2 4 2 2 13 2" xfId="8046"/>
    <cellStyle name="Обычный 2 2 4 2 2 14" xfId="8297"/>
    <cellStyle name="Обычный 2 2 4 2 2 15" xfId="4494"/>
    <cellStyle name="Обычный 2 2 4 2 2 2" xfId="820"/>
    <cellStyle name="Обычный 2 2 4 2 2 2 2" xfId="8575"/>
    <cellStyle name="Обычный 2 2 4 2 2 2 3" xfId="4790"/>
    <cellStyle name="Обычный 2 2 4 2 2 3" xfId="1253"/>
    <cellStyle name="Обычный 2 2 4 2 2 3 2" xfId="5086"/>
    <cellStyle name="Обычный 2 2 4 2 2 4" xfId="1539"/>
    <cellStyle name="Обычный 2 2 4 2 2 4 2" xfId="5382"/>
    <cellStyle name="Обычный 2 2 4 2 2 5" xfId="1831"/>
    <cellStyle name="Обычный 2 2 4 2 2 5 2" xfId="5678"/>
    <cellStyle name="Обычный 2 2 4 2 2 6" xfId="2124"/>
    <cellStyle name="Обычный 2 2 4 2 2 6 2" xfId="5974"/>
    <cellStyle name="Обычный 2 2 4 2 2 7" xfId="2419"/>
    <cellStyle name="Обычный 2 2 4 2 2 7 2" xfId="6270"/>
    <cellStyle name="Обычный 2 2 4 2 2 8" xfId="2715"/>
    <cellStyle name="Обычный 2 2 4 2 2 8 2" xfId="6566"/>
    <cellStyle name="Обычный 2 2 4 2 2 9" xfId="3011"/>
    <cellStyle name="Обычный 2 2 4 2 2 9 2" xfId="6862"/>
    <cellStyle name="Обычный 2 2 4 2 3" xfId="352"/>
    <cellStyle name="Обычный 2 2 4 2 3 2" xfId="821"/>
    <cellStyle name="Обычный 2 2 4 2 3 3" xfId="8397"/>
    <cellStyle name="Обычный 2 2 4 2 3 4" xfId="4642"/>
    <cellStyle name="Обычный 2 2 4 2 4" xfId="822"/>
    <cellStyle name="Обычный 2 2 4 2 4 2" xfId="8576"/>
    <cellStyle name="Обычный 2 2 4 2 4 3" xfId="4938"/>
    <cellStyle name="Обычный 2 2 4 2 5" xfId="1395"/>
    <cellStyle name="Обычный 2 2 4 2 5 2" xfId="5234"/>
    <cellStyle name="Обычный 2 2 4 2 6" xfId="1684"/>
    <cellStyle name="Обычный 2 2 4 2 6 2" xfId="5530"/>
    <cellStyle name="Обычный 2 2 4 2 7" xfId="1977"/>
    <cellStyle name="Обычный 2 2 4 2 7 2" xfId="5826"/>
    <cellStyle name="Обычный 2 2 4 2 8" xfId="2271"/>
    <cellStyle name="Обычный 2 2 4 2 8 2" xfId="6122"/>
    <cellStyle name="Обычный 2 2 4 2 9" xfId="2567"/>
    <cellStyle name="Обычный 2 2 4 2 9 2" xfId="6418"/>
    <cellStyle name="Обычный 2 2 4 3" xfId="203"/>
    <cellStyle name="Обычный 2 2 4 3 10" xfId="2913"/>
    <cellStyle name="Обычный 2 2 4 3 10 2" xfId="6764"/>
    <cellStyle name="Обычный 2 2 4 3 11" xfId="3209"/>
    <cellStyle name="Обычный 2 2 4 3 11 2" xfId="7060"/>
    <cellStyle name="Обычный 2 2 4 3 12" xfId="3505"/>
    <cellStyle name="Обычный 2 2 4 3 12 2" xfId="7356"/>
    <cellStyle name="Обычный 2 2 4 3 13" xfId="3801"/>
    <cellStyle name="Обычный 2 2 4 3 13 2" xfId="7652"/>
    <cellStyle name="Обычный 2 2 4 3 14" xfId="4097"/>
    <cellStyle name="Обычный 2 2 4 3 14 2" xfId="7948"/>
    <cellStyle name="Обычный 2 2 4 3 15" xfId="8247"/>
    <cellStyle name="Обычный 2 2 4 3 16" xfId="4395"/>
    <cellStyle name="Обычный 2 2 4 3 2" xfId="823"/>
    <cellStyle name="Обычный 2 2 4 3 2 10" xfId="3357"/>
    <cellStyle name="Обычный 2 2 4 3 2 10 2" xfId="7208"/>
    <cellStyle name="Обычный 2 2 4 3 2 11" xfId="3653"/>
    <cellStyle name="Обычный 2 2 4 3 2 11 2" xfId="7504"/>
    <cellStyle name="Обычный 2 2 4 3 2 12" xfId="3949"/>
    <cellStyle name="Обычный 2 2 4 3 2 12 2" xfId="7800"/>
    <cellStyle name="Обычный 2 2 4 3 2 13" xfId="4245"/>
    <cellStyle name="Обычный 2 2 4 3 2 13 2" xfId="8096"/>
    <cellStyle name="Обычный 2 2 4 3 2 14" xfId="8577"/>
    <cellStyle name="Обычный 2 2 4 3 2 15" xfId="4544"/>
    <cellStyle name="Обычный 2 2 4 3 2 2" xfId="1112"/>
    <cellStyle name="Обычный 2 2 4 3 2 2 2" xfId="4840"/>
    <cellStyle name="Обычный 2 2 4 3 2 3" xfId="1301"/>
    <cellStyle name="Обычный 2 2 4 3 2 3 2" xfId="5136"/>
    <cellStyle name="Обычный 2 2 4 3 2 4" xfId="1588"/>
    <cellStyle name="Обычный 2 2 4 3 2 4 2" xfId="5432"/>
    <cellStyle name="Обычный 2 2 4 3 2 5" xfId="1881"/>
    <cellStyle name="Обычный 2 2 4 3 2 5 2" xfId="5728"/>
    <cellStyle name="Обычный 2 2 4 3 2 6" xfId="2174"/>
    <cellStyle name="Обычный 2 2 4 3 2 6 2" xfId="6024"/>
    <cellStyle name="Обычный 2 2 4 3 2 7" xfId="2469"/>
    <cellStyle name="Обычный 2 2 4 3 2 7 2" xfId="6320"/>
    <cellStyle name="Обычный 2 2 4 3 2 8" xfId="2765"/>
    <cellStyle name="Обычный 2 2 4 3 2 8 2" xfId="6616"/>
    <cellStyle name="Обычный 2 2 4 3 2 9" xfId="3061"/>
    <cellStyle name="Обычный 2 2 4 3 2 9 2" xfId="6912"/>
    <cellStyle name="Обычный 2 2 4 3 3" xfId="1065"/>
    <cellStyle name="Обычный 2 2 4 3 3 2" xfId="4692"/>
    <cellStyle name="Обычный 2 2 4 3 4" xfId="1159"/>
    <cellStyle name="Обычный 2 2 4 3 4 2" xfId="4988"/>
    <cellStyle name="Обычный 2 2 4 3 5" xfId="1442"/>
    <cellStyle name="Обычный 2 2 4 3 5 2" xfId="5284"/>
    <cellStyle name="Обычный 2 2 4 3 6" xfId="1733"/>
    <cellStyle name="Обычный 2 2 4 3 6 2" xfId="5580"/>
    <cellStyle name="Обычный 2 2 4 3 7" xfId="2026"/>
    <cellStyle name="Обычный 2 2 4 3 7 2" xfId="5876"/>
    <cellStyle name="Обычный 2 2 4 3 8" xfId="2321"/>
    <cellStyle name="Обычный 2 2 4 3 8 2" xfId="6172"/>
    <cellStyle name="Обычный 2 2 4 3 9" xfId="2617"/>
    <cellStyle name="Обычный 2 2 4 3 9 2" xfId="6468"/>
    <cellStyle name="Обычный 2 2 4 4" xfId="302"/>
    <cellStyle name="Обычный 2 2 4 4 10" xfId="3259"/>
    <cellStyle name="Обычный 2 2 4 4 10 2" xfId="7110"/>
    <cellStyle name="Обычный 2 2 4 4 11" xfId="3555"/>
    <cellStyle name="Обычный 2 2 4 4 11 2" xfId="7406"/>
    <cellStyle name="Обычный 2 2 4 4 12" xfId="3851"/>
    <cellStyle name="Обычный 2 2 4 4 12 2" xfId="7702"/>
    <cellStyle name="Обычный 2 2 4 4 13" xfId="4147"/>
    <cellStyle name="Обычный 2 2 4 4 13 2" xfId="7998"/>
    <cellStyle name="Обычный 2 2 4 4 14" xfId="8347"/>
    <cellStyle name="Обычный 2 2 4 4 15" xfId="4446"/>
    <cellStyle name="Обычный 2 2 4 4 2" xfId="824"/>
    <cellStyle name="Обычный 2 2 4 4 2 2" xfId="8578"/>
    <cellStyle name="Обычный 2 2 4 4 2 3" xfId="4742"/>
    <cellStyle name="Обычный 2 2 4 4 3" xfId="1206"/>
    <cellStyle name="Обычный 2 2 4 4 3 2" xfId="5038"/>
    <cellStyle name="Обычный 2 2 4 4 4" xfId="1491"/>
    <cellStyle name="Обычный 2 2 4 4 4 2" xfId="5334"/>
    <cellStyle name="Обычный 2 2 4 4 5" xfId="1783"/>
    <cellStyle name="Обычный 2 2 4 4 5 2" xfId="5630"/>
    <cellStyle name="Обычный 2 2 4 4 6" xfId="2076"/>
    <cellStyle name="Обычный 2 2 4 4 6 2" xfId="5926"/>
    <cellStyle name="Обычный 2 2 4 4 7" xfId="2371"/>
    <cellStyle name="Обычный 2 2 4 4 7 2" xfId="6222"/>
    <cellStyle name="Обычный 2 2 4 4 8" xfId="2667"/>
    <cellStyle name="Обычный 2 2 4 4 8 2" xfId="6518"/>
    <cellStyle name="Обычный 2 2 4 4 9" xfId="2963"/>
    <cellStyle name="Обычный 2 2 4 4 9 2" xfId="6814"/>
    <cellStyle name="Обычный 2 2 4 5" xfId="665"/>
    <cellStyle name="Обычный 2 2 4 5 2" xfId="8477"/>
    <cellStyle name="Обычный 2 2 4 5 3" xfId="4594"/>
    <cellStyle name="Обычный 2 2 4 6" xfId="825"/>
    <cellStyle name="Обычный 2 2 4 6 2" xfId="8579"/>
    <cellStyle name="Обычный 2 2 4 6 3" xfId="4890"/>
    <cellStyle name="Обычный 2 2 4 7" xfId="1348"/>
    <cellStyle name="Обычный 2 2 4 7 2" xfId="5186"/>
    <cellStyle name="Обычный 2 2 4 8" xfId="1637"/>
    <cellStyle name="Обычный 2 2 4 8 2" xfId="5482"/>
    <cellStyle name="Обычный 2 2 4 9" xfId="1930"/>
    <cellStyle name="Обычный 2 2 4 9 2" xfId="5778"/>
    <cellStyle name="Обычный 2 2 5" xfId="125"/>
    <cellStyle name="Обычный 2 2 5 10" xfId="2245"/>
    <cellStyle name="Обычный 2 2 5 10 2" xfId="6096"/>
    <cellStyle name="Обычный 2 2 5 11" xfId="2541"/>
    <cellStyle name="Обычный 2 2 5 11 2" xfId="6392"/>
    <cellStyle name="Обычный 2 2 5 12" xfId="2837"/>
    <cellStyle name="Обычный 2 2 5 12 2" xfId="6688"/>
    <cellStyle name="Обычный 2 2 5 13" xfId="3133"/>
    <cellStyle name="Обычный 2 2 5 13 2" xfId="6984"/>
    <cellStyle name="Обычный 2 2 5 14" xfId="3429"/>
    <cellStyle name="Обычный 2 2 5 14 2" xfId="7280"/>
    <cellStyle name="Обычный 2 2 5 15" xfId="3725"/>
    <cellStyle name="Обычный 2 2 5 15 2" xfId="7576"/>
    <cellStyle name="Обычный 2 2 5 16" xfId="4021"/>
    <cellStyle name="Обычный 2 2 5 16 2" xfId="7872"/>
    <cellStyle name="Обычный 2 2 5 17" xfId="8168"/>
    <cellStyle name="Обычный 2 2 5 18" xfId="4317"/>
    <cellStyle name="Обычный 2 2 5 2" xfId="173"/>
    <cellStyle name="Обычный 2 2 5 2 10" xfId="2885"/>
    <cellStyle name="Обычный 2 2 5 2 10 2" xfId="6736"/>
    <cellStyle name="Обычный 2 2 5 2 11" xfId="3181"/>
    <cellStyle name="Обычный 2 2 5 2 11 2" xfId="7032"/>
    <cellStyle name="Обычный 2 2 5 2 12" xfId="3477"/>
    <cellStyle name="Обычный 2 2 5 2 12 2" xfId="7328"/>
    <cellStyle name="Обычный 2 2 5 2 13" xfId="3773"/>
    <cellStyle name="Обычный 2 2 5 2 13 2" xfId="7624"/>
    <cellStyle name="Обычный 2 2 5 2 14" xfId="4069"/>
    <cellStyle name="Обычный 2 2 5 2 14 2" xfId="7920"/>
    <cellStyle name="Обычный 2 2 5 2 15" xfId="8218"/>
    <cellStyle name="Обычный 2 2 5 2 16" xfId="4366"/>
    <cellStyle name="Обычный 2 2 5 2 2" xfId="273"/>
    <cellStyle name="Обычный 2 2 5 2 2 10" xfId="3329"/>
    <cellStyle name="Обычный 2 2 5 2 2 10 2" xfId="7180"/>
    <cellStyle name="Обычный 2 2 5 2 2 11" xfId="3625"/>
    <cellStyle name="Обычный 2 2 5 2 2 11 2" xfId="7476"/>
    <cellStyle name="Обычный 2 2 5 2 2 12" xfId="3921"/>
    <cellStyle name="Обычный 2 2 5 2 2 12 2" xfId="7772"/>
    <cellStyle name="Обычный 2 2 5 2 2 13" xfId="4217"/>
    <cellStyle name="Обычный 2 2 5 2 2 13 2" xfId="8068"/>
    <cellStyle name="Обычный 2 2 5 2 2 14" xfId="8319"/>
    <cellStyle name="Обычный 2 2 5 2 2 15" xfId="4516"/>
    <cellStyle name="Обычный 2 2 5 2 2 2" xfId="826"/>
    <cellStyle name="Обычный 2 2 5 2 2 2 2" xfId="8580"/>
    <cellStyle name="Обычный 2 2 5 2 2 2 3" xfId="4812"/>
    <cellStyle name="Обычный 2 2 5 2 2 3" xfId="1274"/>
    <cellStyle name="Обычный 2 2 5 2 2 3 2" xfId="5108"/>
    <cellStyle name="Обычный 2 2 5 2 2 4" xfId="1560"/>
    <cellStyle name="Обычный 2 2 5 2 2 4 2" xfId="5404"/>
    <cellStyle name="Обычный 2 2 5 2 2 5" xfId="1853"/>
    <cellStyle name="Обычный 2 2 5 2 2 5 2" xfId="5700"/>
    <cellStyle name="Обычный 2 2 5 2 2 6" xfId="2146"/>
    <cellStyle name="Обычный 2 2 5 2 2 6 2" xfId="5996"/>
    <cellStyle name="Обычный 2 2 5 2 2 7" xfId="2441"/>
    <cellStyle name="Обычный 2 2 5 2 2 7 2" xfId="6292"/>
    <cellStyle name="Обычный 2 2 5 2 2 8" xfId="2737"/>
    <cellStyle name="Обычный 2 2 5 2 2 8 2" xfId="6588"/>
    <cellStyle name="Обычный 2 2 5 2 2 9" xfId="3033"/>
    <cellStyle name="Обычный 2 2 5 2 2 9 2" xfId="6884"/>
    <cellStyle name="Обычный 2 2 5 2 3" xfId="374"/>
    <cellStyle name="Обычный 2 2 5 2 3 2" xfId="827"/>
    <cellStyle name="Обычный 2 2 5 2 3 3" xfId="8419"/>
    <cellStyle name="Обычный 2 2 5 2 3 4" xfId="4664"/>
    <cellStyle name="Обычный 2 2 5 2 4" xfId="828"/>
    <cellStyle name="Обычный 2 2 5 2 4 2" xfId="8581"/>
    <cellStyle name="Обычный 2 2 5 2 4 3" xfId="4960"/>
    <cellStyle name="Обычный 2 2 5 2 5" xfId="1416"/>
    <cellStyle name="Обычный 2 2 5 2 5 2" xfId="5256"/>
    <cellStyle name="Обычный 2 2 5 2 6" xfId="1706"/>
    <cellStyle name="Обычный 2 2 5 2 6 2" xfId="5552"/>
    <cellStyle name="Обычный 2 2 5 2 7" xfId="1998"/>
    <cellStyle name="Обычный 2 2 5 2 7 2" xfId="5848"/>
    <cellStyle name="Обычный 2 2 5 2 8" xfId="2293"/>
    <cellStyle name="Обычный 2 2 5 2 8 2" xfId="6144"/>
    <cellStyle name="Обычный 2 2 5 2 9" xfId="2589"/>
    <cellStyle name="Обычный 2 2 5 2 9 2" xfId="6440"/>
    <cellStyle name="Обычный 2 2 5 3" xfId="224"/>
    <cellStyle name="Обычный 2 2 5 3 10" xfId="2935"/>
    <cellStyle name="Обычный 2 2 5 3 10 2" xfId="6786"/>
    <cellStyle name="Обычный 2 2 5 3 11" xfId="3231"/>
    <cellStyle name="Обычный 2 2 5 3 11 2" xfId="7082"/>
    <cellStyle name="Обычный 2 2 5 3 12" xfId="3527"/>
    <cellStyle name="Обычный 2 2 5 3 12 2" xfId="7378"/>
    <cellStyle name="Обычный 2 2 5 3 13" xfId="3823"/>
    <cellStyle name="Обычный 2 2 5 3 13 2" xfId="7674"/>
    <cellStyle name="Обычный 2 2 5 3 14" xfId="4119"/>
    <cellStyle name="Обычный 2 2 5 3 14 2" xfId="7970"/>
    <cellStyle name="Обычный 2 2 5 3 15" xfId="8269"/>
    <cellStyle name="Обычный 2 2 5 3 16" xfId="4417"/>
    <cellStyle name="Обычный 2 2 5 3 2" xfId="829"/>
    <cellStyle name="Обычный 2 2 5 3 2 10" xfId="3379"/>
    <cellStyle name="Обычный 2 2 5 3 2 10 2" xfId="7230"/>
    <cellStyle name="Обычный 2 2 5 3 2 11" xfId="3675"/>
    <cellStyle name="Обычный 2 2 5 3 2 11 2" xfId="7526"/>
    <cellStyle name="Обычный 2 2 5 3 2 12" xfId="3971"/>
    <cellStyle name="Обычный 2 2 5 3 2 12 2" xfId="7822"/>
    <cellStyle name="Обычный 2 2 5 3 2 13" xfId="4267"/>
    <cellStyle name="Обычный 2 2 5 3 2 13 2" xfId="8118"/>
    <cellStyle name="Обычный 2 2 5 3 2 14" xfId="8582"/>
    <cellStyle name="Обычный 2 2 5 3 2 15" xfId="4566"/>
    <cellStyle name="Обычный 2 2 5 3 2 2" xfId="1133"/>
    <cellStyle name="Обычный 2 2 5 3 2 2 2" xfId="4862"/>
    <cellStyle name="Обычный 2 2 5 3 2 3" xfId="1322"/>
    <cellStyle name="Обычный 2 2 5 3 2 3 2" xfId="5158"/>
    <cellStyle name="Обычный 2 2 5 3 2 4" xfId="1609"/>
    <cellStyle name="Обычный 2 2 5 3 2 4 2" xfId="5454"/>
    <cellStyle name="Обычный 2 2 5 3 2 5" xfId="1902"/>
    <cellStyle name="Обычный 2 2 5 3 2 5 2" xfId="5750"/>
    <cellStyle name="Обычный 2 2 5 3 2 6" xfId="2196"/>
    <cellStyle name="Обычный 2 2 5 3 2 6 2" xfId="6046"/>
    <cellStyle name="Обычный 2 2 5 3 2 7" xfId="2491"/>
    <cellStyle name="Обычный 2 2 5 3 2 7 2" xfId="6342"/>
    <cellStyle name="Обычный 2 2 5 3 2 8" xfId="2787"/>
    <cellStyle name="Обычный 2 2 5 3 2 8 2" xfId="6638"/>
    <cellStyle name="Обычный 2 2 5 3 2 9" xfId="3083"/>
    <cellStyle name="Обычный 2 2 5 3 2 9 2" xfId="6934"/>
    <cellStyle name="Обычный 2 2 5 3 3" xfId="1086"/>
    <cellStyle name="Обычный 2 2 5 3 3 2" xfId="4714"/>
    <cellStyle name="Обычный 2 2 5 3 4" xfId="1180"/>
    <cellStyle name="Обычный 2 2 5 3 4 2" xfId="5010"/>
    <cellStyle name="Обычный 2 2 5 3 5" xfId="1464"/>
    <cellStyle name="Обычный 2 2 5 3 5 2" xfId="5306"/>
    <cellStyle name="Обычный 2 2 5 3 6" xfId="1755"/>
    <cellStyle name="Обычный 2 2 5 3 6 2" xfId="5602"/>
    <cellStyle name="Обычный 2 2 5 3 7" xfId="2048"/>
    <cellStyle name="Обычный 2 2 5 3 7 2" xfId="5898"/>
    <cellStyle name="Обычный 2 2 5 3 8" xfId="2343"/>
    <cellStyle name="Обычный 2 2 5 3 8 2" xfId="6194"/>
    <cellStyle name="Обычный 2 2 5 3 9" xfId="2639"/>
    <cellStyle name="Обычный 2 2 5 3 9 2" xfId="6490"/>
    <cellStyle name="Обычный 2 2 5 4" xfId="324"/>
    <cellStyle name="Обычный 2 2 5 4 10" xfId="3281"/>
    <cellStyle name="Обычный 2 2 5 4 10 2" xfId="7132"/>
    <cellStyle name="Обычный 2 2 5 4 11" xfId="3577"/>
    <cellStyle name="Обычный 2 2 5 4 11 2" xfId="7428"/>
    <cellStyle name="Обычный 2 2 5 4 12" xfId="3873"/>
    <cellStyle name="Обычный 2 2 5 4 12 2" xfId="7724"/>
    <cellStyle name="Обычный 2 2 5 4 13" xfId="4169"/>
    <cellStyle name="Обычный 2 2 5 4 13 2" xfId="8020"/>
    <cellStyle name="Обычный 2 2 5 4 14" xfId="8369"/>
    <cellStyle name="Обычный 2 2 5 4 15" xfId="4468"/>
    <cellStyle name="Обычный 2 2 5 4 2" xfId="830"/>
    <cellStyle name="Обычный 2 2 5 4 2 2" xfId="8583"/>
    <cellStyle name="Обычный 2 2 5 4 2 3" xfId="4764"/>
    <cellStyle name="Обычный 2 2 5 4 3" xfId="1228"/>
    <cellStyle name="Обычный 2 2 5 4 3 2" xfId="5060"/>
    <cellStyle name="Обычный 2 2 5 4 4" xfId="1513"/>
    <cellStyle name="Обычный 2 2 5 4 4 2" xfId="5356"/>
    <cellStyle name="Обычный 2 2 5 4 5" xfId="1805"/>
    <cellStyle name="Обычный 2 2 5 4 5 2" xfId="5652"/>
    <cellStyle name="Обычный 2 2 5 4 6" xfId="2098"/>
    <cellStyle name="Обычный 2 2 5 4 6 2" xfId="5948"/>
    <cellStyle name="Обычный 2 2 5 4 7" xfId="2393"/>
    <cellStyle name="Обычный 2 2 5 4 7 2" xfId="6244"/>
    <cellStyle name="Обычный 2 2 5 4 8" xfId="2689"/>
    <cellStyle name="Обычный 2 2 5 4 8 2" xfId="6540"/>
    <cellStyle name="Обычный 2 2 5 4 9" xfId="2985"/>
    <cellStyle name="Обычный 2 2 5 4 9 2" xfId="6836"/>
    <cellStyle name="Обычный 2 2 5 5" xfId="831"/>
    <cellStyle name="Обычный 2 2 5 5 2" xfId="8584"/>
    <cellStyle name="Обычный 2 2 5 5 3" xfId="4616"/>
    <cellStyle name="Обычный 2 2 5 6" xfId="832"/>
    <cellStyle name="Обычный 2 2 5 6 2" xfId="8585"/>
    <cellStyle name="Обычный 2 2 5 6 3" xfId="4912"/>
    <cellStyle name="Обычный 2 2 5 7" xfId="1369"/>
    <cellStyle name="Обычный 2 2 5 7 2" xfId="5208"/>
    <cellStyle name="Обычный 2 2 5 8" xfId="1658"/>
    <cellStyle name="Обычный 2 2 5 8 2" xfId="5504"/>
    <cellStyle name="Обычный 2 2 5 9" xfId="1951"/>
    <cellStyle name="Обычный 2 2 5 9 2" xfId="5800"/>
    <cellStyle name="Обычный 2 2 6" xfId="146"/>
    <cellStyle name="Обычный 2 2 6 10" xfId="2857"/>
    <cellStyle name="Обычный 2 2 6 10 2" xfId="6708"/>
    <cellStyle name="Обычный 2 2 6 11" xfId="3153"/>
    <cellStyle name="Обычный 2 2 6 11 2" xfId="7004"/>
    <cellStyle name="Обычный 2 2 6 12" xfId="3449"/>
    <cellStyle name="Обычный 2 2 6 12 2" xfId="7300"/>
    <cellStyle name="Обычный 2 2 6 13" xfId="3745"/>
    <cellStyle name="Обычный 2 2 6 13 2" xfId="7596"/>
    <cellStyle name="Обычный 2 2 6 14" xfId="4041"/>
    <cellStyle name="Обычный 2 2 6 14 2" xfId="7892"/>
    <cellStyle name="Обычный 2 2 6 15" xfId="8190"/>
    <cellStyle name="Обычный 2 2 6 16" xfId="4338"/>
    <cellStyle name="Обычный 2 2 6 2" xfId="246"/>
    <cellStyle name="Обычный 2 2 6 2 10" xfId="3301"/>
    <cellStyle name="Обычный 2 2 6 2 10 2" xfId="7152"/>
    <cellStyle name="Обычный 2 2 6 2 11" xfId="3597"/>
    <cellStyle name="Обычный 2 2 6 2 11 2" xfId="7448"/>
    <cellStyle name="Обычный 2 2 6 2 12" xfId="3893"/>
    <cellStyle name="Обычный 2 2 6 2 12 2" xfId="7744"/>
    <cellStyle name="Обычный 2 2 6 2 13" xfId="4189"/>
    <cellStyle name="Обычный 2 2 6 2 13 2" xfId="8040"/>
    <cellStyle name="Обычный 2 2 6 2 14" xfId="8291"/>
    <cellStyle name="Обычный 2 2 6 2 15" xfId="4488"/>
    <cellStyle name="Обычный 2 2 6 2 2" xfId="833"/>
    <cellStyle name="Обычный 2 2 6 2 2 2" xfId="8586"/>
    <cellStyle name="Обычный 2 2 6 2 2 3" xfId="4784"/>
    <cellStyle name="Обычный 2 2 6 2 3" xfId="1247"/>
    <cellStyle name="Обычный 2 2 6 2 3 2" xfId="5080"/>
    <cellStyle name="Обычный 2 2 6 2 4" xfId="1533"/>
    <cellStyle name="Обычный 2 2 6 2 4 2" xfId="5376"/>
    <cellStyle name="Обычный 2 2 6 2 5" xfId="1825"/>
    <cellStyle name="Обычный 2 2 6 2 5 2" xfId="5672"/>
    <cellStyle name="Обычный 2 2 6 2 6" xfId="2118"/>
    <cellStyle name="Обычный 2 2 6 2 6 2" xfId="5968"/>
    <cellStyle name="Обычный 2 2 6 2 7" xfId="2413"/>
    <cellStyle name="Обычный 2 2 6 2 7 2" xfId="6264"/>
    <cellStyle name="Обычный 2 2 6 2 8" xfId="2709"/>
    <cellStyle name="Обычный 2 2 6 2 8 2" xfId="6560"/>
    <cellStyle name="Обычный 2 2 6 2 9" xfId="3005"/>
    <cellStyle name="Обычный 2 2 6 2 9 2" xfId="6856"/>
    <cellStyle name="Обычный 2 2 6 3" xfId="346"/>
    <cellStyle name="Обычный 2 2 6 3 2" xfId="834"/>
    <cellStyle name="Обычный 2 2 6 3 3" xfId="8391"/>
    <cellStyle name="Обычный 2 2 6 3 4" xfId="4636"/>
    <cellStyle name="Обычный 2 2 6 4" xfId="835"/>
    <cellStyle name="Обычный 2 2 6 4 2" xfId="8587"/>
    <cellStyle name="Обычный 2 2 6 4 3" xfId="4932"/>
    <cellStyle name="Обычный 2 2 6 5" xfId="1389"/>
    <cellStyle name="Обычный 2 2 6 5 2" xfId="5228"/>
    <cellStyle name="Обычный 2 2 6 6" xfId="1678"/>
    <cellStyle name="Обычный 2 2 6 6 2" xfId="5524"/>
    <cellStyle name="Обычный 2 2 6 7" xfId="1971"/>
    <cellStyle name="Обычный 2 2 6 7 2" xfId="5820"/>
    <cellStyle name="Обычный 2 2 6 8" xfId="2265"/>
    <cellStyle name="Обычный 2 2 6 8 2" xfId="6116"/>
    <cellStyle name="Обычный 2 2 6 9" xfId="2561"/>
    <cellStyle name="Обычный 2 2 6 9 2" xfId="6412"/>
    <cellStyle name="Обычный 2 2 7" xfId="197"/>
    <cellStyle name="Обычный 2 2 7 10" xfId="2907"/>
    <cellStyle name="Обычный 2 2 7 10 2" xfId="6758"/>
    <cellStyle name="Обычный 2 2 7 11" xfId="3203"/>
    <cellStyle name="Обычный 2 2 7 11 2" xfId="7054"/>
    <cellStyle name="Обычный 2 2 7 12" xfId="3499"/>
    <cellStyle name="Обычный 2 2 7 12 2" xfId="7350"/>
    <cellStyle name="Обычный 2 2 7 13" xfId="3795"/>
    <cellStyle name="Обычный 2 2 7 13 2" xfId="7646"/>
    <cellStyle name="Обычный 2 2 7 14" xfId="4091"/>
    <cellStyle name="Обычный 2 2 7 14 2" xfId="7942"/>
    <cellStyle name="Обычный 2 2 7 15" xfId="8241"/>
    <cellStyle name="Обычный 2 2 7 16" xfId="4389"/>
    <cellStyle name="Обычный 2 2 7 2" xfId="836"/>
    <cellStyle name="Обычный 2 2 7 2 10" xfId="3351"/>
    <cellStyle name="Обычный 2 2 7 2 10 2" xfId="7202"/>
    <cellStyle name="Обычный 2 2 7 2 11" xfId="3647"/>
    <cellStyle name="Обычный 2 2 7 2 11 2" xfId="7498"/>
    <cellStyle name="Обычный 2 2 7 2 12" xfId="3943"/>
    <cellStyle name="Обычный 2 2 7 2 12 2" xfId="7794"/>
    <cellStyle name="Обычный 2 2 7 2 13" xfId="4239"/>
    <cellStyle name="Обычный 2 2 7 2 13 2" xfId="8090"/>
    <cellStyle name="Обычный 2 2 7 2 14" xfId="8588"/>
    <cellStyle name="Обычный 2 2 7 2 15" xfId="4538"/>
    <cellStyle name="Обычный 2 2 7 2 2" xfId="1106"/>
    <cellStyle name="Обычный 2 2 7 2 2 2" xfId="4834"/>
    <cellStyle name="Обычный 2 2 7 2 3" xfId="1295"/>
    <cellStyle name="Обычный 2 2 7 2 3 2" xfId="5130"/>
    <cellStyle name="Обычный 2 2 7 2 4" xfId="1582"/>
    <cellStyle name="Обычный 2 2 7 2 4 2" xfId="5426"/>
    <cellStyle name="Обычный 2 2 7 2 5" xfId="1875"/>
    <cellStyle name="Обычный 2 2 7 2 5 2" xfId="5722"/>
    <cellStyle name="Обычный 2 2 7 2 6" xfId="2168"/>
    <cellStyle name="Обычный 2 2 7 2 6 2" xfId="6018"/>
    <cellStyle name="Обычный 2 2 7 2 7" xfId="2463"/>
    <cellStyle name="Обычный 2 2 7 2 7 2" xfId="6314"/>
    <cellStyle name="Обычный 2 2 7 2 8" xfId="2759"/>
    <cellStyle name="Обычный 2 2 7 2 8 2" xfId="6610"/>
    <cellStyle name="Обычный 2 2 7 2 9" xfId="3055"/>
    <cellStyle name="Обычный 2 2 7 2 9 2" xfId="6906"/>
    <cellStyle name="Обычный 2 2 7 3" xfId="1059"/>
    <cellStyle name="Обычный 2 2 7 3 2" xfId="4686"/>
    <cellStyle name="Обычный 2 2 7 4" xfId="1153"/>
    <cellStyle name="Обычный 2 2 7 4 2" xfId="4982"/>
    <cellStyle name="Обычный 2 2 7 5" xfId="1436"/>
    <cellStyle name="Обычный 2 2 7 5 2" xfId="5278"/>
    <cellStyle name="Обычный 2 2 7 6" xfId="1727"/>
    <cellStyle name="Обычный 2 2 7 6 2" xfId="5574"/>
    <cellStyle name="Обычный 2 2 7 7" xfId="2020"/>
    <cellStyle name="Обычный 2 2 7 7 2" xfId="5870"/>
    <cellStyle name="Обычный 2 2 7 8" xfId="2315"/>
    <cellStyle name="Обычный 2 2 7 8 2" xfId="6166"/>
    <cellStyle name="Обычный 2 2 7 9" xfId="2611"/>
    <cellStyle name="Обычный 2 2 7 9 2" xfId="6462"/>
    <cellStyle name="Обычный 2 2 8" xfId="296"/>
    <cellStyle name="Обычный 2 2 8 10" xfId="3253"/>
    <cellStyle name="Обычный 2 2 8 10 2" xfId="7104"/>
    <cellStyle name="Обычный 2 2 8 11" xfId="3549"/>
    <cellStyle name="Обычный 2 2 8 11 2" xfId="7400"/>
    <cellStyle name="Обычный 2 2 8 12" xfId="3845"/>
    <cellStyle name="Обычный 2 2 8 12 2" xfId="7696"/>
    <cellStyle name="Обычный 2 2 8 13" xfId="4141"/>
    <cellStyle name="Обычный 2 2 8 13 2" xfId="7992"/>
    <cellStyle name="Обычный 2 2 8 14" xfId="8341"/>
    <cellStyle name="Обычный 2 2 8 15" xfId="4440"/>
    <cellStyle name="Обычный 2 2 8 2" xfId="837"/>
    <cellStyle name="Обычный 2 2 8 2 2" xfId="8589"/>
    <cellStyle name="Обычный 2 2 8 2 3" xfId="4736"/>
    <cellStyle name="Обычный 2 2 8 3" xfId="1200"/>
    <cellStyle name="Обычный 2 2 8 3 2" xfId="5032"/>
    <cellStyle name="Обычный 2 2 8 4" xfId="1485"/>
    <cellStyle name="Обычный 2 2 8 4 2" xfId="5328"/>
    <cellStyle name="Обычный 2 2 8 5" xfId="1777"/>
    <cellStyle name="Обычный 2 2 8 5 2" xfId="5624"/>
    <cellStyle name="Обычный 2 2 8 6" xfId="2070"/>
    <cellStyle name="Обычный 2 2 8 6 2" xfId="5920"/>
    <cellStyle name="Обычный 2 2 8 7" xfId="2365"/>
    <cellStyle name="Обычный 2 2 8 7 2" xfId="6216"/>
    <cellStyle name="Обычный 2 2 8 8" xfId="2661"/>
    <cellStyle name="Обычный 2 2 8 8 2" xfId="6512"/>
    <cellStyle name="Обычный 2 2 8 9" xfId="2957"/>
    <cellStyle name="Обычный 2 2 8 9 2" xfId="6808"/>
    <cellStyle name="Обычный 2 2 9" xfId="395"/>
    <cellStyle name="Обычный 2 2 9 2" xfId="8439"/>
    <cellStyle name="Обычный 2 2 9 3" xfId="4588"/>
    <cellStyle name="Обычный 2 3" xfId="79"/>
    <cellStyle name="Обычный 2 3 10" xfId="1351"/>
    <cellStyle name="Обычный 2 3 10 2" xfId="5189"/>
    <cellStyle name="Обычный 2 3 11" xfId="1640"/>
    <cellStyle name="Обычный 2 3 11 2" xfId="5485"/>
    <cellStyle name="Обычный 2 3 12" xfId="1933"/>
    <cellStyle name="Обычный 2 3 12 2" xfId="5781"/>
    <cellStyle name="Обычный 2 3 13" xfId="2227"/>
    <cellStyle name="Обычный 2 3 13 2" xfId="6077"/>
    <cellStyle name="Обычный 2 3 14" xfId="2522"/>
    <cellStyle name="Обычный 2 3 14 2" xfId="6373"/>
    <cellStyle name="Обычный 2 3 15" xfId="2818"/>
    <cellStyle name="Обычный 2 3 15 2" xfId="6669"/>
    <cellStyle name="Обычный 2 3 16" xfId="3114"/>
    <cellStyle name="Обычный 2 3 16 2" xfId="6965"/>
    <cellStyle name="Обычный 2 3 17" xfId="3410"/>
    <cellStyle name="Обычный 2 3 17 2" xfId="7261"/>
    <cellStyle name="Обычный 2 3 18" xfId="3706"/>
    <cellStyle name="Обычный 2 3 18 2" xfId="7557"/>
    <cellStyle name="Обычный 2 3 19" xfId="4002"/>
    <cellStyle name="Обычный 2 3 19 2" xfId="7853"/>
    <cellStyle name="Обычный 2 3 2" xfId="80"/>
    <cellStyle name="Обычный 2 3 2 10" xfId="1934"/>
    <cellStyle name="Обычный 2 3 2 10 2" xfId="5782"/>
    <cellStyle name="Обычный 2 3 2 11" xfId="2228"/>
    <cellStyle name="Обычный 2 3 2 11 2" xfId="6078"/>
    <cellStyle name="Обычный 2 3 2 12" xfId="2523"/>
    <cellStyle name="Обычный 2 3 2 12 2" xfId="6374"/>
    <cellStyle name="Обычный 2 3 2 13" xfId="2819"/>
    <cellStyle name="Обычный 2 3 2 13 2" xfId="6670"/>
    <cellStyle name="Обычный 2 3 2 14" xfId="3115"/>
    <cellStyle name="Обычный 2 3 2 14 2" xfId="6966"/>
    <cellStyle name="Обычный 2 3 2 15" xfId="3411"/>
    <cellStyle name="Обычный 2 3 2 15 2" xfId="7262"/>
    <cellStyle name="Обычный 2 3 2 16" xfId="3707"/>
    <cellStyle name="Обычный 2 3 2 16 2" xfId="7558"/>
    <cellStyle name="Обычный 2 3 2 17" xfId="4003"/>
    <cellStyle name="Обычный 2 3 2 17 2" xfId="7854"/>
    <cellStyle name="Обычный 2 3 2 18" xfId="8150"/>
    <cellStyle name="Обычный 2 3 2 19" xfId="4299"/>
    <cellStyle name="Обычный 2 3 2 2" xfId="129"/>
    <cellStyle name="Обычный 2 3 2 2 10" xfId="2249"/>
    <cellStyle name="Обычный 2 3 2 2 10 2" xfId="6100"/>
    <cellStyle name="Обычный 2 3 2 2 11" xfId="2545"/>
    <cellStyle name="Обычный 2 3 2 2 11 2" xfId="6396"/>
    <cellStyle name="Обычный 2 3 2 2 12" xfId="2841"/>
    <cellStyle name="Обычный 2 3 2 2 12 2" xfId="6692"/>
    <cellStyle name="Обычный 2 3 2 2 13" xfId="3137"/>
    <cellStyle name="Обычный 2 3 2 2 13 2" xfId="6988"/>
    <cellStyle name="Обычный 2 3 2 2 14" xfId="3433"/>
    <cellStyle name="Обычный 2 3 2 2 14 2" xfId="7284"/>
    <cellStyle name="Обычный 2 3 2 2 15" xfId="3729"/>
    <cellStyle name="Обычный 2 3 2 2 15 2" xfId="7580"/>
    <cellStyle name="Обычный 2 3 2 2 16" xfId="4025"/>
    <cellStyle name="Обычный 2 3 2 2 16 2" xfId="7876"/>
    <cellStyle name="Обычный 2 3 2 2 17" xfId="8172"/>
    <cellStyle name="Обычный 2 3 2 2 18" xfId="4321"/>
    <cellStyle name="Обычный 2 3 2 2 2" xfId="177"/>
    <cellStyle name="Обычный 2 3 2 2 2 10" xfId="2889"/>
    <cellStyle name="Обычный 2 3 2 2 2 10 2" xfId="6740"/>
    <cellStyle name="Обычный 2 3 2 2 2 11" xfId="3185"/>
    <cellStyle name="Обычный 2 3 2 2 2 11 2" xfId="7036"/>
    <cellStyle name="Обычный 2 3 2 2 2 12" xfId="3481"/>
    <cellStyle name="Обычный 2 3 2 2 2 12 2" xfId="7332"/>
    <cellStyle name="Обычный 2 3 2 2 2 13" xfId="3777"/>
    <cellStyle name="Обычный 2 3 2 2 2 13 2" xfId="7628"/>
    <cellStyle name="Обычный 2 3 2 2 2 14" xfId="4073"/>
    <cellStyle name="Обычный 2 3 2 2 2 14 2" xfId="7924"/>
    <cellStyle name="Обычный 2 3 2 2 2 15" xfId="8222"/>
    <cellStyle name="Обычный 2 3 2 2 2 16" xfId="4370"/>
    <cellStyle name="Обычный 2 3 2 2 2 2" xfId="277"/>
    <cellStyle name="Обычный 2 3 2 2 2 2 10" xfId="3333"/>
    <cellStyle name="Обычный 2 3 2 2 2 2 10 2" xfId="7184"/>
    <cellStyle name="Обычный 2 3 2 2 2 2 11" xfId="3629"/>
    <cellStyle name="Обычный 2 3 2 2 2 2 11 2" xfId="7480"/>
    <cellStyle name="Обычный 2 3 2 2 2 2 12" xfId="3925"/>
    <cellStyle name="Обычный 2 3 2 2 2 2 12 2" xfId="7776"/>
    <cellStyle name="Обычный 2 3 2 2 2 2 13" xfId="4221"/>
    <cellStyle name="Обычный 2 3 2 2 2 2 13 2" xfId="8072"/>
    <cellStyle name="Обычный 2 3 2 2 2 2 14" xfId="8323"/>
    <cellStyle name="Обычный 2 3 2 2 2 2 15" xfId="4520"/>
    <cellStyle name="Обычный 2 3 2 2 2 2 2" xfId="838"/>
    <cellStyle name="Обычный 2 3 2 2 2 2 2 2" xfId="8590"/>
    <cellStyle name="Обычный 2 3 2 2 2 2 2 3" xfId="4816"/>
    <cellStyle name="Обычный 2 3 2 2 2 2 3" xfId="1278"/>
    <cellStyle name="Обычный 2 3 2 2 2 2 3 2" xfId="5112"/>
    <cellStyle name="Обычный 2 3 2 2 2 2 4" xfId="1564"/>
    <cellStyle name="Обычный 2 3 2 2 2 2 4 2" xfId="5408"/>
    <cellStyle name="Обычный 2 3 2 2 2 2 5" xfId="1857"/>
    <cellStyle name="Обычный 2 3 2 2 2 2 5 2" xfId="5704"/>
    <cellStyle name="Обычный 2 3 2 2 2 2 6" xfId="2150"/>
    <cellStyle name="Обычный 2 3 2 2 2 2 6 2" xfId="6000"/>
    <cellStyle name="Обычный 2 3 2 2 2 2 7" xfId="2445"/>
    <cellStyle name="Обычный 2 3 2 2 2 2 7 2" xfId="6296"/>
    <cellStyle name="Обычный 2 3 2 2 2 2 8" xfId="2741"/>
    <cellStyle name="Обычный 2 3 2 2 2 2 8 2" xfId="6592"/>
    <cellStyle name="Обычный 2 3 2 2 2 2 9" xfId="3037"/>
    <cellStyle name="Обычный 2 3 2 2 2 2 9 2" xfId="6888"/>
    <cellStyle name="Обычный 2 3 2 2 2 3" xfId="378"/>
    <cellStyle name="Обычный 2 3 2 2 2 3 2" xfId="839"/>
    <cellStyle name="Обычный 2 3 2 2 2 3 3" xfId="8423"/>
    <cellStyle name="Обычный 2 3 2 2 2 3 4" xfId="4668"/>
    <cellStyle name="Обычный 2 3 2 2 2 4" xfId="840"/>
    <cellStyle name="Обычный 2 3 2 2 2 4 2" xfId="8591"/>
    <cellStyle name="Обычный 2 3 2 2 2 4 3" xfId="4964"/>
    <cellStyle name="Обычный 2 3 2 2 2 5" xfId="1420"/>
    <cellStyle name="Обычный 2 3 2 2 2 5 2" xfId="5260"/>
    <cellStyle name="Обычный 2 3 2 2 2 6" xfId="1710"/>
    <cellStyle name="Обычный 2 3 2 2 2 6 2" xfId="5556"/>
    <cellStyle name="Обычный 2 3 2 2 2 7" xfId="2002"/>
    <cellStyle name="Обычный 2 3 2 2 2 7 2" xfId="5852"/>
    <cellStyle name="Обычный 2 3 2 2 2 8" xfId="2297"/>
    <cellStyle name="Обычный 2 3 2 2 2 8 2" xfId="6148"/>
    <cellStyle name="Обычный 2 3 2 2 2 9" xfId="2593"/>
    <cellStyle name="Обычный 2 3 2 2 2 9 2" xfId="6444"/>
    <cellStyle name="Обычный 2 3 2 2 3" xfId="228"/>
    <cellStyle name="Обычный 2 3 2 2 3 10" xfId="2939"/>
    <cellStyle name="Обычный 2 3 2 2 3 10 2" xfId="6790"/>
    <cellStyle name="Обычный 2 3 2 2 3 11" xfId="3235"/>
    <cellStyle name="Обычный 2 3 2 2 3 11 2" xfId="7086"/>
    <cellStyle name="Обычный 2 3 2 2 3 12" xfId="3531"/>
    <cellStyle name="Обычный 2 3 2 2 3 12 2" xfId="7382"/>
    <cellStyle name="Обычный 2 3 2 2 3 13" xfId="3827"/>
    <cellStyle name="Обычный 2 3 2 2 3 13 2" xfId="7678"/>
    <cellStyle name="Обычный 2 3 2 2 3 14" xfId="4123"/>
    <cellStyle name="Обычный 2 3 2 2 3 14 2" xfId="7974"/>
    <cellStyle name="Обычный 2 3 2 2 3 15" xfId="8273"/>
    <cellStyle name="Обычный 2 3 2 2 3 16" xfId="4421"/>
    <cellStyle name="Обычный 2 3 2 2 3 2" xfId="841"/>
    <cellStyle name="Обычный 2 3 2 2 3 2 10" xfId="3383"/>
    <cellStyle name="Обычный 2 3 2 2 3 2 10 2" xfId="7234"/>
    <cellStyle name="Обычный 2 3 2 2 3 2 11" xfId="3679"/>
    <cellStyle name="Обычный 2 3 2 2 3 2 11 2" xfId="7530"/>
    <cellStyle name="Обычный 2 3 2 2 3 2 12" xfId="3975"/>
    <cellStyle name="Обычный 2 3 2 2 3 2 12 2" xfId="7826"/>
    <cellStyle name="Обычный 2 3 2 2 3 2 13" xfId="4271"/>
    <cellStyle name="Обычный 2 3 2 2 3 2 13 2" xfId="8122"/>
    <cellStyle name="Обычный 2 3 2 2 3 2 14" xfId="8592"/>
    <cellStyle name="Обычный 2 3 2 2 3 2 15" xfId="4570"/>
    <cellStyle name="Обычный 2 3 2 2 3 2 2" xfId="1137"/>
    <cellStyle name="Обычный 2 3 2 2 3 2 2 2" xfId="4866"/>
    <cellStyle name="Обычный 2 3 2 2 3 2 3" xfId="1326"/>
    <cellStyle name="Обычный 2 3 2 2 3 2 3 2" xfId="5162"/>
    <cellStyle name="Обычный 2 3 2 2 3 2 4" xfId="1613"/>
    <cellStyle name="Обычный 2 3 2 2 3 2 4 2" xfId="5458"/>
    <cellStyle name="Обычный 2 3 2 2 3 2 5" xfId="1906"/>
    <cellStyle name="Обычный 2 3 2 2 3 2 5 2" xfId="5754"/>
    <cellStyle name="Обычный 2 3 2 2 3 2 6" xfId="2200"/>
    <cellStyle name="Обычный 2 3 2 2 3 2 6 2" xfId="6050"/>
    <cellStyle name="Обычный 2 3 2 2 3 2 7" xfId="2495"/>
    <cellStyle name="Обычный 2 3 2 2 3 2 7 2" xfId="6346"/>
    <cellStyle name="Обычный 2 3 2 2 3 2 8" xfId="2791"/>
    <cellStyle name="Обычный 2 3 2 2 3 2 8 2" xfId="6642"/>
    <cellStyle name="Обычный 2 3 2 2 3 2 9" xfId="3087"/>
    <cellStyle name="Обычный 2 3 2 2 3 2 9 2" xfId="6938"/>
    <cellStyle name="Обычный 2 3 2 2 3 3" xfId="1090"/>
    <cellStyle name="Обычный 2 3 2 2 3 3 2" xfId="4718"/>
    <cellStyle name="Обычный 2 3 2 2 3 4" xfId="1184"/>
    <cellStyle name="Обычный 2 3 2 2 3 4 2" xfId="5014"/>
    <cellStyle name="Обычный 2 3 2 2 3 5" xfId="1468"/>
    <cellStyle name="Обычный 2 3 2 2 3 5 2" xfId="5310"/>
    <cellStyle name="Обычный 2 3 2 2 3 6" xfId="1759"/>
    <cellStyle name="Обычный 2 3 2 2 3 6 2" xfId="5606"/>
    <cellStyle name="Обычный 2 3 2 2 3 7" xfId="2052"/>
    <cellStyle name="Обычный 2 3 2 2 3 7 2" xfId="5902"/>
    <cellStyle name="Обычный 2 3 2 2 3 8" xfId="2347"/>
    <cellStyle name="Обычный 2 3 2 2 3 8 2" xfId="6198"/>
    <cellStyle name="Обычный 2 3 2 2 3 9" xfId="2643"/>
    <cellStyle name="Обычный 2 3 2 2 3 9 2" xfId="6494"/>
    <cellStyle name="Обычный 2 3 2 2 4" xfId="328"/>
    <cellStyle name="Обычный 2 3 2 2 4 10" xfId="3285"/>
    <cellStyle name="Обычный 2 3 2 2 4 10 2" xfId="7136"/>
    <cellStyle name="Обычный 2 3 2 2 4 11" xfId="3581"/>
    <cellStyle name="Обычный 2 3 2 2 4 11 2" xfId="7432"/>
    <cellStyle name="Обычный 2 3 2 2 4 12" xfId="3877"/>
    <cellStyle name="Обычный 2 3 2 2 4 12 2" xfId="7728"/>
    <cellStyle name="Обычный 2 3 2 2 4 13" xfId="4173"/>
    <cellStyle name="Обычный 2 3 2 2 4 13 2" xfId="8024"/>
    <cellStyle name="Обычный 2 3 2 2 4 14" xfId="8373"/>
    <cellStyle name="Обычный 2 3 2 2 4 15" xfId="4472"/>
    <cellStyle name="Обычный 2 3 2 2 4 2" xfId="842"/>
    <cellStyle name="Обычный 2 3 2 2 4 2 2" xfId="8593"/>
    <cellStyle name="Обычный 2 3 2 2 4 2 3" xfId="4768"/>
    <cellStyle name="Обычный 2 3 2 2 4 3" xfId="1232"/>
    <cellStyle name="Обычный 2 3 2 2 4 3 2" xfId="5064"/>
    <cellStyle name="Обычный 2 3 2 2 4 4" xfId="1517"/>
    <cellStyle name="Обычный 2 3 2 2 4 4 2" xfId="5360"/>
    <cellStyle name="Обычный 2 3 2 2 4 5" xfId="1809"/>
    <cellStyle name="Обычный 2 3 2 2 4 5 2" xfId="5656"/>
    <cellStyle name="Обычный 2 3 2 2 4 6" xfId="2102"/>
    <cellStyle name="Обычный 2 3 2 2 4 6 2" xfId="5952"/>
    <cellStyle name="Обычный 2 3 2 2 4 7" xfId="2397"/>
    <cellStyle name="Обычный 2 3 2 2 4 7 2" xfId="6248"/>
    <cellStyle name="Обычный 2 3 2 2 4 8" xfId="2693"/>
    <cellStyle name="Обычный 2 3 2 2 4 8 2" xfId="6544"/>
    <cellStyle name="Обычный 2 3 2 2 4 9" xfId="2989"/>
    <cellStyle name="Обычный 2 3 2 2 4 9 2" xfId="6840"/>
    <cellStyle name="Обычный 2 3 2 2 5" xfId="686"/>
    <cellStyle name="Обычный 2 3 2 2 5 2" xfId="8484"/>
    <cellStyle name="Обычный 2 3 2 2 5 3" xfId="4620"/>
    <cellStyle name="Обычный 2 3 2 2 6" xfId="843"/>
    <cellStyle name="Обычный 2 3 2 2 6 2" xfId="8594"/>
    <cellStyle name="Обычный 2 3 2 2 6 3" xfId="4916"/>
    <cellStyle name="Обычный 2 3 2 2 7" xfId="1373"/>
    <cellStyle name="Обычный 2 3 2 2 7 2" xfId="5212"/>
    <cellStyle name="Обычный 2 3 2 2 8" xfId="1662"/>
    <cellStyle name="Обычный 2 3 2 2 8 2" xfId="5508"/>
    <cellStyle name="Обычный 2 3 2 2 9" xfId="1955"/>
    <cellStyle name="Обычный 2 3 2 2 9 2" xfId="5804"/>
    <cellStyle name="Обычный 2 3 2 20" xfId="8825"/>
    <cellStyle name="Обычный 2 3 2 3" xfId="156"/>
    <cellStyle name="Обычный 2 3 2 3 10" xfId="2867"/>
    <cellStyle name="Обычный 2 3 2 3 10 2" xfId="6718"/>
    <cellStyle name="Обычный 2 3 2 3 11" xfId="3163"/>
    <cellStyle name="Обычный 2 3 2 3 11 2" xfId="7014"/>
    <cellStyle name="Обычный 2 3 2 3 12" xfId="3459"/>
    <cellStyle name="Обычный 2 3 2 3 12 2" xfId="7310"/>
    <cellStyle name="Обычный 2 3 2 3 13" xfId="3755"/>
    <cellStyle name="Обычный 2 3 2 3 13 2" xfId="7606"/>
    <cellStyle name="Обычный 2 3 2 3 14" xfId="4051"/>
    <cellStyle name="Обычный 2 3 2 3 14 2" xfId="7902"/>
    <cellStyle name="Обычный 2 3 2 3 15" xfId="8200"/>
    <cellStyle name="Обычный 2 3 2 3 16" xfId="4348"/>
    <cellStyle name="Обычный 2 3 2 3 2" xfId="256"/>
    <cellStyle name="Обычный 2 3 2 3 2 10" xfId="3311"/>
    <cellStyle name="Обычный 2 3 2 3 2 10 2" xfId="7162"/>
    <cellStyle name="Обычный 2 3 2 3 2 11" xfId="3607"/>
    <cellStyle name="Обычный 2 3 2 3 2 11 2" xfId="7458"/>
    <cellStyle name="Обычный 2 3 2 3 2 12" xfId="3903"/>
    <cellStyle name="Обычный 2 3 2 3 2 12 2" xfId="7754"/>
    <cellStyle name="Обычный 2 3 2 3 2 13" xfId="4199"/>
    <cellStyle name="Обычный 2 3 2 3 2 13 2" xfId="8050"/>
    <cellStyle name="Обычный 2 3 2 3 2 14" xfId="8301"/>
    <cellStyle name="Обычный 2 3 2 3 2 15" xfId="4498"/>
    <cellStyle name="Обычный 2 3 2 3 2 2" xfId="844"/>
    <cellStyle name="Обычный 2 3 2 3 2 2 2" xfId="8595"/>
    <cellStyle name="Обычный 2 3 2 3 2 2 3" xfId="4794"/>
    <cellStyle name="Обычный 2 3 2 3 2 3" xfId="1257"/>
    <cellStyle name="Обычный 2 3 2 3 2 3 2" xfId="5090"/>
    <cellStyle name="Обычный 2 3 2 3 2 4" xfId="1543"/>
    <cellStyle name="Обычный 2 3 2 3 2 4 2" xfId="5386"/>
    <cellStyle name="Обычный 2 3 2 3 2 5" xfId="1835"/>
    <cellStyle name="Обычный 2 3 2 3 2 5 2" xfId="5682"/>
    <cellStyle name="Обычный 2 3 2 3 2 6" xfId="2128"/>
    <cellStyle name="Обычный 2 3 2 3 2 6 2" xfId="5978"/>
    <cellStyle name="Обычный 2 3 2 3 2 7" xfId="2423"/>
    <cellStyle name="Обычный 2 3 2 3 2 7 2" xfId="6274"/>
    <cellStyle name="Обычный 2 3 2 3 2 8" xfId="2719"/>
    <cellStyle name="Обычный 2 3 2 3 2 8 2" xfId="6570"/>
    <cellStyle name="Обычный 2 3 2 3 2 9" xfId="3015"/>
    <cellStyle name="Обычный 2 3 2 3 2 9 2" xfId="6866"/>
    <cellStyle name="Обычный 2 3 2 3 3" xfId="356"/>
    <cellStyle name="Обычный 2 3 2 3 3 2" xfId="845"/>
    <cellStyle name="Обычный 2 3 2 3 3 3" xfId="8401"/>
    <cellStyle name="Обычный 2 3 2 3 3 4" xfId="4646"/>
    <cellStyle name="Обычный 2 3 2 3 4" xfId="846"/>
    <cellStyle name="Обычный 2 3 2 3 4 2" xfId="8596"/>
    <cellStyle name="Обычный 2 3 2 3 4 3" xfId="4942"/>
    <cellStyle name="Обычный 2 3 2 3 5" xfId="1399"/>
    <cellStyle name="Обычный 2 3 2 3 5 2" xfId="5238"/>
    <cellStyle name="Обычный 2 3 2 3 6" xfId="1688"/>
    <cellStyle name="Обычный 2 3 2 3 6 2" xfId="5534"/>
    <cellStyle name="Обычный 2 3 2 3 7" xfId="1981"/>
    <cellStyle name="Обычный 2 3 2 3 7 2" xfId="5830"/>
    <cellStyle name="Обычный 2 3 2 3 8" xfId="2275"/>
    <cellStyle name="Обычный 2 3 2 3 8 2" xfId="6126"/>
    <cellStyle name="Обычный 2 3 2 3 9" xfId="2571"/>
    <cellStyle name="Обычный 2 3 2 3 9 2" xfId="6422"/>
    <cellStyle name="Обычный 2 3 2 4" xfId="207"/>
    <cellStyle name="Обычный 2 3 2 4 10" xfId="2917"/>
    <cellStyle name="Обычный 2 3 2 4 10 2" xfId="6768"/>
    <cellStyle name="Обычный 2 3 2 4 11" xfId="3213"/>
    <cellStyle name="Обычный 2 3 2 4 11 2" xfId="7064"/>
    <cellStyle name="Обычный 2 3 2 4 12" xfId="3509"/>
    <cellStyle name="Обычный 2 3 2 4 12 2" xfId="7360"/>
    <cellStyle name="Обычный 2 3 2 4 13" xfId="3805"/>
    <cellStyle name="Обычный 2 3 2 4 13 2" xfId="7656"/>
    <cellStyle name="Обычный 2 3 2 4 14" xfId="4101"/>
    <cellStyle name="Обычный 2 3 2 4 14 2" xfId="7952"/>
    <cellStyle name="Обычный 2 3 2 4 15" xfId="8251"/>
    <cellStyle name="Обычный 2 3 2 4 16" xfId="4399"/>
    <cellStyle name="Обычный 2 3 2 4 2" xfId="847"/>
    <cellStyle name="Обычный 2 3 2 4 2 10" xfId="3361"/>
    <cellStyle name="Обычный 2 3 2 4 2 10 2" xfId="7212"/>
    <cellStyle name="Обычный 2 3 2 4 2 11" xfId="3657"/>
    <cellStyle name="Обычный 2 3 2 4 2 11 2" xfId="7508"/>
    <cellStyle name="Обычный 2 3 2 4 2 12" xfId="3953"/>
    <cellStyle name="Обычный 2 3 2 4 2 12 2" xfId="7804"/>
    <cellStyle name="Обычный 2 3 2 4 2 13" xfId="4249"/>
    <cellStyle name="Обычный 2 3 2 4 2 13 2" xfId="8100"/>
    <cellStyle name="Обычный 2 3 2 4 2 14" xfId="8597"/>
    <cellStyle name="Обычный 2 3 2 4 2 15" xfId="4548"/>
    <cellStyle name="Обычный 2 3 2 4 2 2" xfId="1116"/>
    <cellStyle name="Обычный 2 3 2 4 2 2 2" xfId="4844"/>
    <cellStyle name="Обычный 2 3 2 4 2 3" xfId="1305"/>
    <cellStyle name="Обычный 2 3 2 4 2 3 2" xfId="5140"/>
    <cellStyle name="Обычный 2 3 2 4 2 4" xfId="1592"/>
    <cellStyle name="Обычный 2 3 2 4 2 4 2" xfId="5436"/>
    <cellStyle name="Обычный 2 3 2 4 2 5" xfId="1885"/>
    <cellStyle name="Обычный 2 3 2 4 2 5 2" xfId="5732"/>
    <cellStyle name="Обычный 2 3 2 4 2 6" xfId="2178"/>
    <cellStyle name="Обычный 2 3 2 4 2 6 2" xfId="6028"/>
    <cellStyle name="Обычный 2 3 2 4 2 7" xfId="2473"/>
    <cellStyle name="Обычный 2 3 2 4 2 7 2" xfId="6324"/>
    <cellStyle name="Обычный 2 3 2 4 2 8" xfId="2769"/>
    <cellStyle name="Обычный 2 3 2 4 2 8 2" xfId="6620"/>
    <cellStyle name="Обычный 2 3 2 4 2 9" xfId="3065"/>
    <cellStyle name="Обычный 2 3 2 4 2 9 2" xfId="6916"/>
    <cellStyle name="Обычный 2 3 2 4 3" xfId="1069"/>
    <cellStyle name="Обычный 2 3 2 4 3 2" xfId="4696"/>
    <cellStyle name="Обычный 2 3 2 4 4" xfId="1163"/>
    <cellStyle name="Обычный 2 3 2 4 4 2" xfId="4992"/>
    <cellStyle name="Обычный 2 3 2 4 5" xfId="1446"/>
    <cellStyle name="Обычный 2 3 2 4 5 2" xfId="5288"/>
    <cellStyle name="Обычный 2 3 2 4 6" xfId="1737"/>
    <cellStyle name="Обычный 2 3 2 4 6 2" xfId="5584"/>
    <cellStyle name="Обычный 2 3 2 4 7" xfId="2030"/>
    <cellStyle name="Обычный 2 3 2 4 7 2" xfId="5880"/>
    <cellStyle name="Обычный 2 3 2 4 8" xfId="2325"/>
    <cellStyle name="Обычный 2 3 2 4 8 2" xfId="6176"/>
    <cellStyle name="Обычный 2 3 2 4 9" xfId="2621"/>
    <cellStyle name="Обычный 2 3 2 4 9 2" xfId="6472"/>
    <cellStyle name="Обычный 2 3 2 5" xfId="306"/>
    <cellStyle name="Обычный 2 3 2 5 10" xfId="3263"/>
    <cellStyle name="Обычный 2 3 2 5 10 2" xfId="7114"/>
    <cellStyle name="Обычный 2 3 2 5 11" xfId="3559"/>
    <cellStyle name="Обычный 2 3 2 5 11 2" xfId="7410"/>
    <cellStyle name="Обычный 2 3 2 5 12" xfId="3855"/>
    <cellStyle name="Обычный 2 3 2 5 12 2" xfId="7706"/>
    <cellStyle name="Обычный 2 3 2 5 13" xfId="4151"/>
    <cellStyle name="Обычный 2 3 2 5 13 2" xfId="8002"/>
    <cellStyle name="Обычный 2 3 2 5 14" xfId="8351"/>
    <cellStyle name="Обычный 2 3 2 5 15" xfId="4450"/>
    <cellStyle name="Обычный 2 3 2 5 2" xfId="848"/>
    <cellStyle name="Обычный 2 3 2 5 2 2" xfId="8598"/>
    <cellStyle name="Обычный 2 3 2 5 2 3" xfId="4746"/>
    <cellStyle name="Обычный 2 3 2 5 3" xfId="1210"/>
    <cellStyle name="Обычный 2 3 2 5 3 2" xfId="5042"/>
    <cellStyle name="Обычный 2 3 2 5 4" xfId="1495"/>
    <cellStyle name="Обычный 2 3 2 5 4 2" xfId="5338"/>
    <cellStyle name="Обычный 2 3 2 5 5" xfId="1787"/>
    <cellStyle name="Обычный 2 3 2 5 5 2" xfId="5634"/>
    <cellStyle name="Обычный 2 3 2 5 6" xfId="2080"/>
    <cellStyle name="Обычный 2 3 2 5 6 2" xfId="5930"/>
    <cellStyle name="Обычный 2 3 2 5 7" xfId="2375"/>
    <cellStyle name="Обычный 2 3 2 5 7 2" xfId="6226"/>
    <cellStyle name="Обычный 2 3 2 5 8" xfId="2671"/>
    <cellStyle name="Обычный 2 3 2 5 8 2" xfId="6522"/>
    <cellStyle name="Обычный 2 3 2 5 9" xfId="2967"/>
    <cellStyle name="Обычный 2 3 2 5 9 2" xfId="6818"/>
    <cellStyle name="Обычный 2 3 2 6" xfId="615"/>
    <cellStyle name="Обычный 2 3 2 6 2" xfId="8455"/>
    <cellStyle name="Обычный 2 3 2 6 3" xfId="4598"/>
    <cellStyle name="Обычный 2 3 2 7" xfId="849"/>
    <cellStyle name="Обычный 2 3 2 7 2" xfId="8599"/>
    <cellStyle name="Обычный 2 3 2 7 3" xfId="4894"/>
    <cellStyle name="Обычный 2 3 2 8" xfId="1352"/>
    <cellStyle name="Обычный 2 3 2 8 2" xfId="5190"/>
    <cellStyle name="Обычный 2 3 2 9" xfId="1641"/>
    <cellStyle name="Обычный 2 3 2 9 2" xfId="5486"/>
    <cellStyle name="Обычный 2 3 20" xfId="8149"/>
    <cellStyle name="Обычный 2 3 21" xfId="4298"/>
    <cellStyle name="Обычный 2 3 22" xfId="8819"/>
    <cellStyle name="Обычный 2 3 3" xfId="81"/>
    <cellStyle name="Обычный 2 3 3 10" xfId="1935"/>
    <cellStyle name="Обычный 2 3 3 10 2" xfId="5783"/>
    <cellStyle name="Обычный 2 3 3 11" xfId="2229"/>
    <cellStyle name="Обычный 2 3 3 11 2" xfId="6079"/>
    <cellStyle name="Обычный 2 3 3 12" xfId="2524"/>
    <cellStyle name="Обычный 2 3 3 12 2" xfId="6375"/>
    <cellStyle name="Обычный 2 3 3 13" xfId="2820"/>
    <cellStyle name="Обычный 2 3 3 13 2" xfId="6671"/>
    <cellStyle name="Обычный 2 3 3 14" xfId="3116"/>
    <cellStyle name="Обычный 2 3 3 14 2" xfId="6967"/>
    <cellStyle name="Обычный 2 3 3 15" xfId="3412"/>
    <cellStyle name="Обычный 2 3 3 15 2" xfId="7263"/>
    <cellStyle name="Обычный 2 3 3 16" xfId="3708"/>
    <cellStyle name="Обычный 2 3 3 16 2" xfId="7559"/>
    <cellStyle name="Обычный 2 3 3 17" xfId="4004"/>
    <cellStyle name="Обычный 2 3 3 17 2" xfId="7855"/>
    <cellStyle name="Обычный 2 3 3 18" xfId="8151"/>
    <cellStyle name="Обычный 2 3 3 19" xfId="4300"/>
    <cellStyle name="Обычный 2 3 3 2" xfId="130"/>
    <cellStyle name="Обычный 2 3 3 2 10" xfId="2250"/>
    <cellStyle name="Обычный 2 3 3 2 10 2" xfId="6101"/>
    <cellStyle name="Обычный 2 3 3 2 11" xfId="2546"/>
    <cellStyle name="Обычный 2 3 3 2 11 2" xfId="6397"/>
    <cellStyle name="Обычный 2 3 3 2 12" xfId="2842"/>
    <cellStyle name="Обычный 2 3 3 2 12 2" xfId="6693"/>
    <cellStyle name="Обычный 2 3 3 2 13" xfId="3138"/>
    <cellStyle name="Обычный 2 3 3 2 13 2" xfId="6989"/>
    <cellStyle name="Обычный 2 3 3 2 14" xfId="3434"/>
    <cellStyle name="Обычный 2 3 3 2 14 2" xfId="7285"/>
    <cellStyle name="Обычный 2 3 3 2 15" xfId="3730"/>
    <cellStyle name="Обычный 2 3 3 2 15 2" xfId="7581"/>
    <cellStyle name="Обычный 2 3 3 2 16" xfId="4026"/>
    <cellStyle name="Обычный 2 3 3 2 16 2" xfId="7877"/>
    <cellStyle name="Обычный 2 3 3 2 17" xfId="8173"/>
    <cellStyle name="Обычный 2 3 3 2 18" xfId="4322"/>
    <cellStyle name="Обычный 2 3 3 2 2" xfId="178"/>
    <cellStyle name="Обычный 2 3 3 2 2 10" xfId="2890"/>
    <cellStyle name="Обычный 2 3 3 2 2 10 2" xfId="6741"/>
    <cellStyle name="Обычный 2 3 3 2 2 11" xfId="3186"/>
    <cellStyle name="Обычный 2 3 3 2 2 11 2" xfId="7037"/>
    <cellStyle name="Обычный 2 3 3 2 2 12" xfId="3482"/>
    <cellStyle name="Обычный 2 3 3 2 2 12 2" xfId="7333"/>
    <cellStyle name="Обычный 2 3 3 2 2 13" xfId="3778"/>
    <cellStyle name="Обычный 2 3 3 2 2 13 2" xfId="7629"/>
    <cellStyle name="Обычный 2 3 3 2 2 14" xfId="4074"/>
    <cellStyle name="Обычный 2 3 3 2 2 14 2" xfId="7925"/>
    <cellStyle name="Обычный 2 3 3 2 2 15" xfId="8223"/>
    <cellStyle name="Обычный 2 3 3 2 2 16" xfId="4371"/>
    <cellStyle name="Обычный 2 3 3 2 2 2" xfId="278"/>
    <cellStyle name="Обычный 2 3 3 2 2 2 10" xfId="3334"/>
    <cellStyle name="Обычный 2 3 3 2 2 2 10 2" xfId="7185"/>
    <cellStyle name="Обычный 2 3 3 2 2 2 11" xfId="3630"/>
    <cellStyle name="Обычный 2 3 3 2 2 2 11 2" xfId="7481"/>
    <cellStyle name="Обычный 2 3 3 2 2 2 12" xfId="3926"/>
    <cellStyle name="Обычный 2 3 3 2 2 2 12 2" xfId="7777"/>
    <cellStyle name="Обычный 2 3 3 2 2 2 13" xfId="4222"/>
    <cellStyle name="Обычный 2 3 3 2 2 2 13 2" xfId="8073"/>
    <cellStyle name="Обычный 2 3 3 2 2 2 14" xfId="8324"/>
    <cellStyle name="Обычный 2 3 3 2 2 2 15" xfId="4521"/>
    <cellStyle name="Обычный 2 3 3 2 2 2 2" xfId="850"/>
    <cellStyle name="Обычный 2 3 3 2 2 2 2 2" xfId="8600"/>
    <cellStyle name="Обычный 2 3 3 2 2 2 2 3" xfId="4817"/>
    <cellStyle name="Обычный 2 3 3 2 2 2 3" xfId="1279"/>
    <cellStyle name="Обычный 2 3 3 2 2 2 3 2" xfId="5113"/>
    <cellStyle name="Обычный 2 3 3 2 2 2 4" xfId="1565"/>
    <cellStyle name="Обычный 2 3 3 2 2 2 4 2" xfId="5409"/>
    <cellStyle name="Обычный 2 3 3 2 2 2 5" xfId="1858"/>
    <cellStyle name="Обычный 2 3 3 2 2 2 5 2" xfId="5705"/>
    <cellStyle name="Обычный 2 3 3 2 2 2 6" xfId="2151"/>
    <cellStyle name="Обычный 2 3 3 2 2 2 6 2" xfId="6001"/>
    <cellStyle name="Обычный 2 3 3 2 2 2 7" xfId="2446"/>
    <cellStyle name="Обычный 2 3 3 2 2 2 7 2" xfId="6297"/>
    <cellStyle name="Обычный 2 3 3 2 2 2 8" xfId="2742"/>
    <cellStyle name="Обычный 2 3 3 2 2 2 8 2" xfId="6593"/>
    <cellStyle name="Обычный 2 3 3 2 2 2 9" xfId="3038"/>
    <cellStyle name="Обычный 2 3 3 2 2 2 9 2" xfId="6889"/>
    <cellStyle name="Обычный 2 3 3 2 2 3" xfId="379"/>
    <cellStyle name="Обычный 2 3 3 2 2 3 2" xfId="851"/>
    <cellStyle name="Обычный 2 3 3 2 2 3 3" xfId="8424"/>
    <cellStyle name="Обычный 2 3 3 2 2 3 4" xfId="4669"/>
    <cellStyle name="Обычный 2 3 3 2 2 4" xfId="852"/>
    <cellStyle name="Обычный 2 3 3 2 2 4 2" xfId="8601"/>
    <cellStyle name="Обычный 2 3 3 2 2 4 3" xfId="4965"/>
    <cellStyle name="Обычный 2 3 3 2 2 5" xfId="1421"/>
    <cellStyle name="Обычный 2 3 3 2 2 5 2" xfId="5261"/>
    <cellStyle name="Обычный 2 3 3 2 2 6" xfId="1711"/>
    <cellStyle name="Обычный 2 3 3 2 2 6 2" xfId="5557"/>
    <cellStyle name="Обычный 2 3 3 2 2 7" xfId="2003"/>
    <cellStyle name="Обычный 2 3 3 2 2 7 2" xfId="5853"/>
    <cellStyle name="Обычный 2 3 3 2 2 8" xfId="2298"/>
    <cellStyle name="Обычный 2 3 3 2 2 8 2" xfId="6149"/>
    <cellStyle name="Обычный 2 3 3 2 2 9" xfId="2594"/>
    <cellStyle name="Обычный 2 3 3 2 2 9 2" xfId="6445"/>
    <cellStyle name="Обычный 2 3 3 2 3" xfId="229"/>
    <cellStyle name="Обычный 2 3 3 2 3 10" xfId="2940"/>
    <cellStyle name="Обычный 2 3 3 2 3 10 2" xfId="6791"/>
    <cellStyle name="Обычный 2 3 3 2 3 11" xfId="3236"/>
    <cellStyle name="Обычный 2 3 3 2 3 11 2" xfId="7087"/>
    <cellStyle name="Обычный 2 3 3 2 3 12" xfId="3532"/>
    <cellStyle name="Обычный 2 3 3 2 3 12 2" xfId="7383"/>
    <cellStyle name="Обычный 2 3 3 2 3 13" xfId="3828"/>
    <cellStyle name="Обычный 2 3 3 2 3 13 2" xfId="7679"/>
    <cellStyle name="Обычный 2 3 3 2 3 14" xfId="4124"/>
    <cellStyle name="Обычный 2 3 3 2 3 14 2" xfId="7975"/>
    <cellStyle name="Обычный 2 3 3 2 3 15" xfId="8274"/>
    <cellStyle name="Обычный 2 3 3 2 3 16" xfId="4422"/>
    <cellStyle name="Обычный 2 3 3 2 3 2" xfId="853"/>
    <cellStyle name="Обычный 2 3 3 2 3 2 10" xfId="3384"/>
    <cellStyle name="Обычный 2 3 3 2 3 2 10 2" xfId="7235"/>
    <cellStyle name="Обычный 2 3 3 2 3 2 11" xfId="3680"/>
    <cellStyle name="Обычный 2 3 3 2 3 2 11 2" xfId="7531"/>
    <cellStyle name="Обычный 2 3 3 2 3 2 12" xfId="3976"/>
    <cellStyle name="Обычный 2 3 3 2 3 2 12 2" xfId="7827"/>
    <cellStyle name="Обычный 2 3 3 2 3 2 13" xfId="4272"/>
    <cellStyle name="Обычный 2 3 3 2 3 2 13 2" xfId="8123"/>
    <cellStyle name="Обычный 2 3 3 2 3 2 14" xfId="8602"/>
    <cellStyle name="Обычный 2 3 3 2 3 2 15" xfId="4571"/>
    <cellStyle name="Обычный 2 3 3 2 3 2 2" xfId="1138"/>
    <cellStyle name="Обычный 2 3 3 2 3 2 2 2" xfId="4867"/>
    <cellStyle name="Обычный 2 3 3 2 3 2 3" xfId="1327"/>
    <cellStyle name="Обычный 2 3 3 2 3 2 3 2" xfId="5163"/>
    <cellStyle name="Обычный 2 3 3 2 3 2 4" xfId="1614"/>
    <cellStyle name="Обычный 2 3 3 2 3 2 4 2" xfId="5459"/>
    <cellStyle name="Обычный 2 3 3 2 3 2 5" xfId="1907"/>
    <cellStyle name="Обычный 2 3 3 2 3 2 5 2" xfId="5755"/>
    <cellStyle name="Обычный 2 3 3 2 3 2 6" xfId="2201"/>
    <cellStyle name="Обычный 2 3 3 2 3 2 6 2" xfId="6051"/>
    <cellStyle name="Обычный 2 3 3 2 3 2 7" xfId="2496"/>
    <cellStyle name="Обычный 2 3 3 2 3 2 7 2" xfId="6347"/>
    <cellStyle name="Обычный 2 3 3 2 3 2 8" xfId="2792"/>
    <cellStyle name="Обычный 2 3 3 2 3 2 8 2" xfId="6643"/>
    <cellStyle name="Обычный 2 3 3 2 3 2 9" xfId="3088"/>
    <cellStyle name="Обычный 2 3 3 2 3 2 9 2" xfId="6939"/>
    <cellStyle name="Обычный 2 3 3 2 3 3" xfId="1091"/>
    <cellStyle name="Обычный 2 3 3 2 3 3 2" xfId="4719"/>
    <cellStyle name="Обычный 2 3 3 2 3 4" xfId="1185"/>
    <cellStyle name="Обычный 2 3 3 2 3 4 2" xfId="5015"/>
    <cellStyle name="Обычный 2 3 3 2 3 5" xfId="1469"/>
    <cellStyle name="Обычный 2 3 3 2 3 5 2" xfId="5311"/>
    <cellStyle name="Обычный 2 3 3 2 3 6" xfId="1760"/>
    <cellStyle name="Обычный 2 3 3 2 3 6 2" xfId="5607"/>
    <cellStyle name="Обычный 2 3 3 2 3 7" xfId="2053"/>
    <cellStyle name="Обычный 2 3 3 2 3 7 2" xfId="5903"/>
    <cellStyle name="Обычный 2 3 3 2 3 8" xfId="2348"/>
    <cellStyle name="Обычный 2 3 3 2 3 8 2" xfId="6199"/>
    <cellStyle name="Обычный 2 3 3 2 3 9" xfId="2644"/>
    <cellStyle name="Обычный 2 3 3 2 3 9 2" xfId="6495"/>
    <cellStyle name="Обычный 2 3 3 2 4" xfId="329"/>
    <cellStyle name="Обычный 2 3 3 2 4 10" xfId="3286"/>
    <cellStyle name="Обычный 2 3 3 2 4 10 2" xfId="7137"/>
    <cellStyle name="Обычный 2 3 3 2 4 11" xfId="3582"/>
    <cellStyle name="Обычный 2 3 3 2 4 11 2" xfId="7433"/>
    <cellStyle name="Обычный 2 3 3 2 4 12" xfId="3878"/>
    <cellStyle name="Обычный 2 3 3 2 4 12 2" xfId="7729"/>
    <cellStyle name="Обычный 2 3 3 2 4 13" xfId="4174"/>
    <cellStyle name="Обычный 2 3 3 2 4 13 2" xfId="8025"/>
    <cellStyle name="Обычный 2 3 3 2 4 14" xfId="8374"/>
    <cellStyle name="Обычный 2 3 3 2 4 15" xfId="4473"/>
    <cellStyle name="Обычный 2 3 3 2 4 2" xfId="854"/>
    <cellStyle name="Обычный 2 3 3 2 4 2 2" xfId="8603"/>
    <cellStyle name="Обычный 2 3 3 2 4 2 3" xfId="4769"/>
    <cellStyle name="Обычный 2 3 3 2 4 3" xfId="1233"/>
    <cellStyle name="Обычный 2 3 3 2 4 3 2" xfId="5065"/>
    <cellStyle name="Обычный 2 3 3 2 4 4" xfId="1518"/>
    <cellStyle name="Обычный 2 3 3 2 4 4 2" xfId="5361"/>
    <cellStyle name="Обычный 2 3 3 2 4 5" xfId="1810"/>
    <cellStyle name="Обычный 2 3 3 2 4 5 2" xfId="5657"/>
    <cellStyle name="Обычный 2 3 3 2 4 6" xfId="2103"/>
    <cellStyle name="Обычный 2 3 3 2 4 6 2" xfId="5953"/>
    <cellStyle name="Обычный 2 3 3 2 4 7" xfId="2398"/>
    <cellStyle name="Обычный 2 3 3 2 4 7 2" xfId="6249"/>
    <cellStyle name="Обычный 2 3 3 2 4 8" xfId="2694"/>
    <cellStyle name="Обычный 2 3 3 2 4 8 2" xfId="6545"/>
    <cellStyle name="Обычный 2 3 3 2 4 9" xfId="2990"/>
    <cellStyle name="Обычный 2 3 3 2 4 9 2" xfId="6841"/>
    <cellStyle name="Обычный 2 3 3 2 5" xfId="707"/>
    <cellStyle name="Обычный 2 3 3 2 5 2" xfId="8490"/>
    <cellStyle name="Обычный 2 3 3 2 5 3" xfId="4621"/>
    <cellStyle name="Обычный 2 3 3 2 6" xfId="855"/>
    <cellStyle name="Обычный 2 3 3 2 6 2" xfId="8604"/>
    <cellStyle name="Обычный 2 3 3 2 6 3" xfId="4917"/>
    <cellStyle name="Обычный 2 3 3 2 7" xfId="1374"/>
    <cellStyle name="Обычный 2 3 3 2 7 2" xfId="5213"/>
    <cellStyle name="Обычный 2 3 3 2 8" xfId="1663"/>
    <cellStyle name="Обычный 2 3 3 2 8 2" xfId="5509"/>
    <cellStyle name="Обычный 2 3 3 2 9" xfId="1956"/>
    <cellStyle name="Обычный 2 3 3 2 9 2" xfId="5805"/>
    <cellStyle name="Обычный 2 3 3 3" xfId="157"/>
    <cellStyle name="Обычный 2 3 3 3 10" xfId="2868"/>
    <cellStyle name="Обычный 2 3 3 3 10 2" xfId="6719"/>
    <cellStyle name="Обычный 2 3 3 3 11" xfId="3164"/>
    <cellStyle name="Обычный 2 3 3 3 11 2" xfId="7015"/>
    <cellStyle name="Обычный 2 3 3 3 12" xfId="3460"/>
    <cellStyle name="Обычный 2 3 3 3 12 2" xfId="7311"/>
    <cellStyle name="Обычный 2 3 3 3 13" xfId="3756"/>
    <cellStyle name="Обычный 2 3 3 3 13 2" xfId="7607"/>
    <cellStyle name="Обычный 2 3 3 3 14" xfId="4052"/>
    <cellStyle name="Обычный 2 3 3 3 14 2" xfId="7903"/>
    <cellStyle name="Обычный 2 3 3 3 15" xfId="8201"/>
    <cellStyle name="Обычный 2 3 3 3 16" xfId="4349"/>
    <cellStyle name="Обычный 2 3 3 3 2" xfId="257"/>
    <cellStyle name="Обычный 2 3 3 3 2 10" xfId="3312"/>
    <cellStyle name="Обычный 2 3 3 3 2 10 2" xfId="7163"/>
    <cellStyle name="Обычный 2 3 3 3 2 11" xfId="3608"/>
    <cellStyle name="Обычный 2 3 3 3 2 11 2" xfId="7459"/>
    <cellStyle name="Обычный 2 3 3 3 2 12" xfId="3904"/>
    <cellStyle name="Обычный 2 3 3 3 2 12 2" xfId="7755"/>
    <cellStyle name="Обычный 2 3 3 3 2 13" xfId="4200"/>
    <cellStyle name="Обычный 2 3 3 3 2 13 2" xfId="8051"/>
    <cellStyle name="Обычный 2 3 3 3 2 14" xfId="8302"/>
    <cellStyle name="Обычный 2 3 3 3 2 15" xfId="4499"/>
    <cellStyle name="Обычный 2 3 3 3 2 2" xfId="856"/>
    <cellStyle name="Обычный 2 3 3 3 2 2 2" xfId="8605"/>
    <cellStyle name="Обычный 2 3 3 3 2 2 3" xfId="4795"/>
    <cellStyle name="Обычный 2 3 3 3 2 3" xfId="1258"/>
    <cellStyle name="Обычный 2 3 3 3 2 3 2" xfId="5091"/>
    <cellStyle name="Обычный 2 3 3 3 2 4" xfId="1544"/>
    <cellStyle name="Обычный 2 3 3 3 2 4 2" xfId="5387"/>
    <cellStyle name="Обычный 2 3 3 3 2 5" xfId="1836"/>
    <cellStyle name="Обычный 2 3 3 3 2 5 2" xfId="5683"/>
    <cellStyle name="Обычный 2 3 3 3 2 6" xfId="2129"/>
    <cellStyle name="Обычный 2 3 3 3 2 6 2" xfId="5979"/>
    <cellStyle name="Обычный 2 3 3 3 2 7" xfId="2424"/>
    <cellStyle name="Обычный 2 3 3 3 2 7 2" xfId="6275"/>
    <cellStyle name="Обычный 2 3 3 3 2 8" xfId="2720"/>
    <cellStyle name="Обычный 2 3 3 3 2 8 2" xfId="6571"/>
    <cellStyle name="Обычный 2 3 3 3 2 9" xfId="3016"/>
    <cellStyle name="Обычный 2 3 3 3 2 9 2" xfId="6867"/>
    <cellStyle name="Обычный 2 3 3 3 3" xfId="357"/>
    <cellStyle name="Обычный 2 3 3 3 3 2" xfId="857"/>
    <cellStyle name="Обычный 2 3 3 3 3 3" xfId="8402"/>
    <cellStyle name="Обычный 2 3 3 3 3 4" xfId="4647"/>
    <cellStyle name="Обычный 2 3 3 3 4" xfId="858"/>
    <cellStyle name="Обычный 2 3 3 3 4 2" xfId="8606"/>
    <cellStyle name="Обычный 2 3 3 3 4 3" xfId="4943"/>
    <cellStyle name="Обычный 2 3 3 3 5" xfId="1400"/>
    <cellStyle name="Обычный 2 3 3 3 5 2" xfId="5239"/>
    <cellStyle name="Обычный 2 3 3 3 6" xfId="1689"/>
    <cellStyle name="Обычный 2 3 3 3 6 2" xfId="5535"/>
    <cellStyle name="Обычный 2 3 3 3 7" xfId="1982"/>
    <cellStyle name="Обычный 2 3 3 3 7 2" xfId="5831"/>
    <cellStyle name="Обычный 2 3 3 3 8" xfId="2276"/>
    <cellStyle name="Обычный 2 3 3 3 8 2" xfId="6127"/>
    <cellStyle name="Обычный 2 3 3 3 9" xfId="2572"/>
    <cellStyle name="Обычный 2 3 3 3 9 2" xfId="6423"/>
    <cellStyle name="Обычный 2 3 3 4" xfId="208"/>
    <cellStyle name="Обычный 2 3 3 4 10" xfId="2918"/>
    <cellStyle name="Обычный 2 3 3 4 10 2" xfId="6769"/>
    <cellStyle name="Обычный 2 3 3 4 11" xfId="3214"/>
    <cellStyle name="Обычный 2 3 3 4 11 2" xfId="7065"/>
    <cellStyle name="Обычный 2 3 3 4 12" xfId="3510"/>
    <cellStyle name="Обычный 2 3 3 4 12 2" xfId="7361"/>
    <cellStyle name="Обычный 2 3 3 4 13" xfId="3806"/>
    <cellStyle name="Обычный 2 3 3 4 13 2" xfId="7657"/>
    <cellStyle name="Обычный 2 3 3 4 14" xfId="4102"/>
    <cellStyle name="Обычный 2 3 3 4 14 2" xfId="7953"/>
    <cellStyle name="Обычный 2 3 3 4 15" xfId="8252"/>
    <cellStyle name="Обычный 2 3 3 4 16" xfId="4400"/>
    <cellStyle name="Обычный 2 3 3 4 2" xfId="859"/>
    <cellStyle name="Обычный 2 3 3 4 2 10" xfId="3362"/>
    <cellStyle name="Обычный 2 3 3 4 2 10 2" xfId="7213"/>
    <cellStyle name="Обычный 2 3 3 4 2 11" xfId="3658"/>
    <cellStyle name="Обычный 2 3 3 4 2 11 2" xfId="7509"/>
    <cellStyle name="Обычный 2 3 3 4 2 12" xfId="3954"/>
    <cellStyle name="Обычный 2 3 3 4 2 12 2" xfId="7805"/>
    <cellStyle name="Обычный 2 3 3 4 2 13" xfId="4250"/>
    <cellStyle name="Обычный 2 3 3 4 2 13 2" xfId="8101"/>
    <cellStyle name="Обычный 2 3 3 4 2 14" xfId="8607"/>
    <cellStyle name="Обычный 2 3 3 4 2 15" xfId="4549"/>
    <cellStyle name="Обычный 2 3 3 4 2 2" xfId="1117"/>
    <cellStyle name="Обычный 2 3 3 4 2 2 2" xfId="4845"/>
    <cellStyle name="Обычный 2 3 3 4 2 3" xfId="1306"/>
    <cellStyle name="Обычный 2 3 3 4 2 3 2" xfId="5141"/>
    <cellStyle name="Обычный 2 3 3 4 2 4" xfId="1593"/>
    <cellStyle name="Обычный 2 3 3 4 2 4 2" xfId="5437"/>
    <cellStyle name="Обычный 2 3 3 4 2 5" xfId="1886"/>
    <cellStyle name="Обычный 2 3 3 4 2 5 2" xfId="5733"/>
    <cellStyle name="Обычный 2 3 3 4 2 6" xfId="2179"/>
    <cellStyle name="Обычный 2 3 3 4 2 6 2" xfId="6029"/>
    <cellStyle name="Обычный 2 3 3 4 2 7" xfId="2474"/>
    <cellStyle name="Обычный 2 3 3 4 2 7 2" xfId="6325"/>
    <cellStyle name="Обычный 2 3 3 4 2 8" xfId="2770"/>
    <cellStyle name="Обычный 2 3 3 4 2 8 2" xfId="6621"/>
    <cellStyle name="Обычный 2 3 3 4 2 9" xfId="3066"/>
    <cellStyle name="Обычный 2 3 3 4 2 9 2" xfId="6917"/>
    <cellStyle name="Обычный 2 3 3 4 3" xfId="1070"/>
    <cellStyle name="Обычный 2 3 3 4 3 2" xfId="4697"/>
    <cellStyle name="Обычный 2 3 3 4 4" xfId="1164"/>
    <cellStyle name="Обычный 2 3 3 4 4 2" xfId="4993"/>
    <cellStyle name="Обычный 2 3 3 4 5" xfId="1447"/>
    <cellStyle name="Обычный 2 3 3 4 5 2" xfId="5289"/>
    <cellStyle name="Обычный 2 3 3 4 6" xfId="1738"/>
    <cellStyle name="Обычный 2 3 3 4 6 2" xfId="5585"/>
    <cellStyle name="Обычный 2 3 3 4 7" xfId="2031"/>
    <cellStyle name="Обычный 2 3 3 4 7 2" xfId="5881"/>
    <cellStyle name="Обычный 2 3 3 4 8" xfId="2326"/>
    <cellStyle name="Обычный 2 3 3 4 8 2" xfId="6177"/>
    <cellStyle name="Обычный 2 3 3 4 9" xfId="2622"/>
    <cellStyle name="Обычный 2 3 3 4 9 2" xfId="6473"/>
    <cellStyle name="Обычный 2 3 3 5" xfId="307"/>
    <cellStyle name="Обычный 2 3 3 5 10" xfId="3264"/>
    <cellStyle name="Обычный 2 3 3 5 10 2" xfId="7115"/>
    <cellStyle name="Обычный 2 3 3 5 11" xfId="3560"/>
    <cellStyle name="Обычный 2 3 3 5 11 2" xfId="7411"/>
    <cellStyle name="Обычный 2 3 3 5 12" xfId="3856"/>
    <cellStyle name="Обычный 2 3 3 5 12 2" xfId="7707"/>
    <cellStyle name="Обычный 2 3 3 5 13" xfId="4152"/>
    <cellStyle name="Обычный 2 3 3 5 13 2" xfId="8003"/>
    <cellStyle name="Обычный 2 3 3 5 14" xfId="8352"/>
    <cellStyle name="Обычный 2 3 3 5 15" xfId="4451"/>
    <cellStyle name="Обычный 2 3 3 5 2" xfId="860"/>
    <cellStyle name="Обычный 2 3 3 5 2 2" xfId="8608"/>
    <cellStyle name="Обычный 2 3 3 5 2 3" xfId="4747"/>
    <cellStyle name="Обычный 2 3 3 5 3" xfId="1211"/>
    <cellStyle name="Обычный 2 3 3 5 3 2" xfId="5043"/>
    <cellStyle name="Обычный 2 3 3 5 4" xfId="1496"/>
    <cellStyle name="Обычный 2 3 3 5 4 2" xfId="5339"/>
    <cellStyle name="Обычный 2 3 3 5 5" xfId="1788"/>
    <cellStyle name="Обычный 2 3 3 5 5 2" xfId="5635"/>
    <cellStyle name="Обычный 2 3 3 5 6" xfId="2081"/>
    <cellStyle name="Обычный 2 3 3 5 6 2" xfId="5931"/>
    <cellStyle name="Обычный 2 3 3 5 7" xfId="2376"/>
    <cellStyle name="Обычный 2 3 3 5 7 2" xfId="6227"/>
    <cellStyle name="Обычный 2 3 3 5 8" xfId="2672"/>
    <cellStyle name="Обычный 2 3 3 5 8 2" xfId="6523"/>
    <cellStyle name="Обычный 2 3 3 5 9" xfId="2968"/>
    <cellStyle name="Обычный 2 3 3 5 9 2" xfId="6819"/>
    <cellStyle name="Обычный 2 3 3 6" xfId="662"/>
    <cellStyle name="Обычный 2 3 3 6 2" xfId="8476"/>
    <cellStyle name="Обычный 2 3 3 6 3" xfId="4599"/>
    <cellStyle name="Обычный 2 3 3 7" xfId="861"/>
    <cellStyle name="Обычный 2 3 3 7 2" xfId="8609"/>
    <cellStyle name="Обычный 2 3 3 7 3" xfId="4895"/>
    <cellStyle name="Обычный 2 3 3 8" xfId="1353"/>
    <cellStyle name="Обычный 2 3 3 8 2" xfId="5191"/>
    <cellStyle name="Обычный 2 3 3 9" xfId="1642"/>
    <cellStyle name="Обычный 2 3 3 9 2" xfId="5487"/>
    <cellStyle name="Обычный 2 3 4" xfId="128"/>
    <cellStyle name="Обычный 2 3 4 10" xfId="2248"/>
    <cellStyle name="Обычный 2 3 4 10 2" xfId="6099"/>
    <cellStyle name="Обычный 2 3 4 11" xfId="2544"/>
    <cellStyle name="Обычный 2 3 4 11 2" xfId="6395"/>
    <cellStyle name="Обычный 2 3 4 12" xfId="2840"/>
    <cellStyle name="Обычный 2 3 4 12 2" xfId="6691"/>
    <cellStyle name="Обычный 2 3 4 13" xfId="3136"/>
    <cellStyle name="Обычный 2 3 4 13 2" xfId="6987"/>
    <cellStyle name="Обычный 2 3 4 14" xfId="3432"/>
    <cellStyle name="Обычный 2 3 4 14 2" xfId="7283"/>
    <cellStyle name="Обычный 2 3 4 15" xfId="3728"/>
    <cellStyle name="Обычный 2 3 4 15 2" xfId="7579"/>
    <cellStyle name="Обычный 2 3 4 16" xfId="4024"/>
    <cellStyle name="Обычный 2 3 4 16 2" xfId="7875"/>
    <cellStyle name="Обычный 2 3 4 17" xfId="8171"/>
    <cellStyle name="Обычный 2 3 4 18" xfId="4320"/>
    <cellStyle name="Обычный 2 3 4 2" xfId="176"/>
    <cellStyle name="Обычный 2 3 4 2 10" xfId="2888"/>
    <cellStyle name="Обычный 2 3 4 2 10 2" xfId="6739"/>
    <cellStyle name="Обычный 2 3 4 2 11" xfId="3184"/>
    <cellStyle name="Обычный 2 3 4 2 11 2" xfId="7035"/>
    <cellStyle name="Обычный 2 3 4 2 12" xfId="3480"/>
    <cellStyle name="Обычный 2 3 4 2 12 2" xfId="7331"/>
    <cellStyle name="Обычный 2 3 4 2 13" xfId="3776"/>
    <cellStyle name="Обычный 2 3 4 2 13 2" xfId="7627"/>
    <cellStyle name="Обычный 2 3 4 2 14" xfId="4072"/>
    <cellStyle name="Обычный 2 3 4 2 14 2" xfId="7923"/>
    <cellStyle name="Обычный 2 3 4 2 15" xfId="8221"/>
    <cellStyle name="Обычный 2 3 4 2 16" xfId="4369"/>
    <cellStyle name="Обычный 2 3 4 2 2" xfId="276"/>
    <cellStyle name="Обычный 2 3 4 2 2 10" xfId="3332"/>
    <cellStyle name="Обычный 2 3 4 2 2 10 2" xfId="7183"/>
    <cellStyle name="Обычный 2 3 4 2 2 11" xfId="3628"/>
    <cellStyle name="Обычный 2 3 4 2 2 11 2" xfId="7479"/>
    <cellStyle name="Обычный 2 3 4 2 2 12" xfId="3924"/>
    <cellStyle name="Обычный 2 3 4 2 2 12 2" xfId="7775"/>
    <cellStyle name="Обычный 2 3 4 2 2 13" xfId="4220"/>
    <cellStyle name="Обычный 2 3 4 2 2 13 2" xfId="8071"/>
    <cellStyle name="Обычный 2 3 4 2 2 14" xfId="8322"/>
    <cellStyle name="Обычный 2 3 4 2 2 15" xfId="4519"/>
    <cellStyle name="Обычный 2 3 4 2 2 2" xfId="862"/>
    <cellStyle name="Обычный 2 3 4 2 2 2 2" xfId="8610"/>
    <cellStyle name="Обычный 2 3 4 2 2 2 3" xfId="4815"/>
    <cellStyle name="Обычный 2 3 4 2 2 3" xfId="1277"/>
    <cellStyle name="Обычный 2 3 4 2 2 3 2" xfId="5111"/>
    <cellStyle name="Обычный 2 3 4 2 2 4" xfId="1563"/>
    <cellStyle name="Обычный 2 3 4 2 2 4 2" xfId="5407"/>
    <cellStyle name="Обычный 2 3 4 2 2 5" xfId="1856"/>
    <cellStyle name="Обычный 2 3 4 2 2 5 2" xfId="5703"/>
    <cellStyle name="Обычный 2 3 4 2 2 6" xfId="2149"/>
    <cellStyle name="Обычный 2 3 4 2 2 6 2" xfId="5999"/>
    <cellStyle name="Обычный 2 3 4 2 2 7" xfId="2444"/>
    <cellStyle name="Обычный 2 3 4 2 2 7 2" xfId="6295"/>
    <cellStyle name="Обычный 2 3 4 2 2 8" xfId="2740"/>
    <cellStyle name="Обычный 2 3 4 2 2 8 2" xfId="6591"/>
    <cellStyle name="Обычный 2 3 4 2 2 9" xfId="3036"/>
    <cellStyle name="Обычный 2 3 4 2 2 9 2" xfId="6887"/>
    <cellStyle name="Обычный 2 3 4 2 3" xfId="377"/>
    <cellStyle name="Обычный 2 3 4 2 3 2" xfId="863"/>
    <cellStyle name="Обычный 2 3 4 2 3 3" xfId="8422"/>
    <cellStyle name="Обычный 2 3 4 2 3 4" xfId="4667"/>
    <cellStyle name="Обычный 2 3 4 2 4" xfId="864"/>
    <cellStyle name="Обычный 2 3 4 2 4 2" xfId="8611"/>
    <cellStyle name="Обычный 2 3 4 2 4 3" xfId="4963"/>
    <cellStyle name="Обычный 2 3 4 2 5" xfId="1419"/>
    <cellStyle name="Обычный 2 3 4 2 5 2" xfId="5259"/>
    <cellStyle name="Обычный 2 3 4 2 6" xfId="1709"/>
    <cellStyle name="Обычный 2 3 4 2 6 2" xfId="5555"/>
    <cellStyle name="Обычный 2 3 4 2 7" xfId="2001"/>
    <cellStyle name="Обычный 2 3 4 2 7 2" xfId="5851"/>
    <cellStyle name="Обычный 2 3 4 2 8" xfId="2296"/>
    <cellStyle name="Обычный 2 3 4 2 8 2" xfId="6147"/>
    <cellStyle name="Обычный 2 3 4 2 9" xfId="2592"/>
    <cellStyle name="Обычный 2 3 4 2 9 2" xfId="6443"/>
    <cellStyle name="Обычный 2 3 4 3" xfId="227"/>
    <cellStyle name="Обычный 2 3 4 3 10" xfId="2938"/>
    <cellStyle name="Обычный 2 3 4 3 10 2" xfId="6789"/>
    <cellStyle name="Обычный 2 3 4 3 11" xfId="3234"/>
    <cellStyle name="Обычный 2 3 4 3 11 2" xfId="7085"/>
    <cellStyle name="Обычный 2 3 4 3 12" xfId="3530"/>
    <cellStyle name="Обычный 2 3 4 3 12 2" xfId="7381"/>
    <cellStyle name="Обычный 2 3 4 3 13" xfId="3826"/>
    <cellStyle name="Обычный 2 3 4 3 13 2" xfId="7677"/>
    <cellStyle name="Обычный 2 3 4 3 14" xfId="4122"/>
    <cellStyle name="Обычный 2 3 4 3 14 2" xfId="7973"/>
    <cellStyle name="Обычный 2 3 4 3 15" xfId="8272"/>
    <cellStyle name="Обычный 2 3 4 3 16" xfId="4420"/>
    <cellStyle name="Обычный 2 3 4 3 2" xfId="865"/>
    <cellStyle name="Обычный 2 3 4 3 2 10" xfId="3382"/>
    <cellStyle name="Обычный 2 3 4 3 2 10 2" xfId="7233"/>
    <cellStyle name="Обычный 2 3 4 3 2 11" xfId="3678"/>
    <cellStyle name="Обычный 2 3 4 3 2 11 2" xfId="7529"/>
    <cellStyle name="Обычный 2 3 4 3 2 12" xfId="3974"/>
    <cellStyle name="Обычный 2 3 4 3 2 12 2" xfId="7825"/>
    <cellStyle name="Обычный 2 3 4 3 2 13" xfId="4270"/>
    <cellStyle name="Обычный 2 3 4 3 2 13 2" xfId="8121"/>
    <cellStyle name="Обычный 2 3 4 3 2 14" xfId="8612"/>
    <cellStyle name="Обычный 2 3 4 3 2 15" xfId="4569"/>
    <cellStyle name="Обычный 2 3 4 3 2 2" xfId="1136"/>
    <cellStyle name="Обычный 2 3 4 3 2 2 2" xfId="4865"/>
    <cellStyle name="Обычный 2 3 4 3 2 3" xfId="1325"/>
    <cellStyle name="Обычный 2 3 4 3 2 3 2" xfId="5161"/>
    <cellStyle name="Обычный 2 3 4 3 2 4" xfId="1612"/>
    <cellStyle name="Обычный 2 3 4 3 2 4 2" xfId="5457"/>
    <cellStyle name="Обычный 2 3 4 3 2 5" xfId="1905"/>
    <cellStyle name="Обычный 2 3 4 3 2 5 2" xfId="5753"/>
    <cellStyle name="Обычный 2 3 4 3 2 6" xfId="2199"/>
    <cellStyle name="Обычный 2 3 4 3 2 6 2" xfId="6049"/>
    <cellStyle name="Обычный 2 3 4 3 2 7" xfId="2494"/>
    <cellStyle name="Обычный 2 3 4 3 2 7 2" xfId="6345"/>
    <cellStyle name="Обычный 2 3 4 3 2 8" xfId="2790"/>
    <cellStyle name="Обычный 2 3 4 3 2 8 2" xfId="6641"/>
    <cellStyle name="Обычный 2 3 4 3 2 9" xfId="3086"/>
    <cellStyle name="Обычный 2 3 4 3 2 9 2" xfId="6937"/>
    <cellStyle name="Обычный 2 3 4 3 3" xfId="1089"/>
    <cellStyle name="Обычный 2 3 4 3 3 2" xfId="4717"/>
    <cellStyle name="Обычный 2 3 4 3 4" xfId="1183"/>
    <cellStyle name="Обычный 2 3 4 3 4 2" xfId="5013"/>
    <cellStyle name="Обычный 2 3 4 3 5" xfId="1467"/>
    <cellStyle name="Обычный 2 3 4 3 5 2" xfId="5309"/>
    <cellStyle name="Обычный 2 3 4 3 6" xfId="1758"/>
    <cellStyle name="Обычный 2 3 4 3 6 2" xfId="5605"/>
    <cellStyle name="Обычный 2 3 4 3 7" xfId="2051"/>
    <cellStyle name="Обычный 2 3 4 3 7 2" xfId="5901"/>
    <cellStyle name="Обычный 2 3 4 3 8" xfId="2346"/>
    <cellStyle name="Обычный 2 3 4 3 8 2" xfId="6197"/>
    <cellStyle name="Обычный 2 3 4 3 9" xfId="2642"/>
    <cellStyle name="Обычный 2 3 4 3 9 2" xfId="6493"/>
    <cellStyle name="Обычный 2 3 4 4" xfId="327"/>
    <cellStyle name="Обычный 2 3 4 4 10" xfId="3284"/>
    <cellStyle name="Обычный 2 3 4 4 10 2" xfId="7135"/>
    <cellStyle name="Обычный 2 3 4 4 11" xfId="3580"/>
    <cellStyle name="Обычный 2 3 4 4 11 2" xfId="7431"/>
    <cellStyle name="Обычный 2 3 4 4 12" xfId="3876"/>
    <cellStyle name="Обычный 2 3 4 4 12 2" xfId="7727"/>
    <cellStyle name="Обычный 2 3 4 4 13" xfId="4172"/>
    <cellStyle name="Обычный 2 3 4 4 13 2" xfId="8023"/>
    <cellStyle name="Обычный 2 3 4 4 14" xfId="8372"/>
    <cellStyle name="Обычный 2 3 4 4 15" xfId="4471"/>
    <cellStyle name="Обычный 2 3 4 4 2" xfId="866"/>
    <cellStyle name="Обычный 2 3 4 4 2 2" xfId="8613"/>
    <cellStyle name="Обычный 2 3 4 4 2 3" xfId="4767"/>
    <cellStyle name="Обычный 2 3 4 4 3" xfId="1231"/>
    <cellStyle name="Обычный 2 3 4 4 3 2" xfId="5063"/>
    <cellStyle name="Обычный 2 3 4 4 4" xfId="1516"/>
    <cellStyle name="Обычный 2 3 4 4 4 2" xfId="5359"/>
    <cellStyle name="Обычный 2 3 4 4 5" xfId="1808"/>
    <cellStyle name="Обычный 2 3 4 4 5 2" xfId="5655"/>
    <cellStyle name="Обычный 2 3 4 4 6" xfId="2101"/>
    <cellStyle name="Обычный 2 3 4 4 6 2" xfId="5951"/>
    <cellStyle name="Обычный 2 3 4 4 7" xfId="2396"/>
    <cellStyle name="Обычный 2 3 4 4 7 2" xfId="6247"/>
    <cellStyle name="Обычный 2 3 4 4 8" xfId="2692"/>
    <cellStyle name="Обычный 2 3 4 4 8 2" xfId="6543"/>
    <cellStyle name="Обычный 2 3 4 4 9" xfId="2988"/>
    <cellStyle name="Обычный 2 3 4 4 9 2" xfId="6839"/>
    <cellStyle name="Обычный 2 3 4 5" xfId="725"/>
    <cellStyle name="Обычный 2 3 4 5 2" xfId="8498"/>
    <cellStyle name="Обычный 2 3 4 5 3" xfId="4619"/>
    <cellStyle name="Обычный 2 3 4 6" xfId="867"/>
    <cellStyle name="Обычный 2 3 4 6 2" xfId="8614"/>
    <cellStyle name="Обычный 2 3 4 6 3" xfId="4915"/>
    <cellStyle name="Обычный 2 3 4 7" xfId="1372"/>
    <cellStyle name="Обычный 2 3 4 7 2" xfId="5211"/>
    <cellStyle name="Обычный 2 3 4 8" xfId="1661"/>
    <cellStyle name="Обычный 2 3 4 8 2" xfId="5507"/>
    <cellStyle name="Обычный 2 3 4 9" xfId="1954"/>
    <cellStyle name="Обычный 2 3 4 9 2" xfId="5803"/>
    <cellStyle name="Обычный 2 3 5" xfId="155"/>
    <cellStyle name="Обычный 2 3 5 10" xfId="2866"/>
    <cellStyle name="Обычный 2 3 5 10 2" xfId="6717"/>
    <cellStyle name="Обычный 2 3 5 11" xfId="3162"/>
    <cellStyle name="Обычный 2 3 5 11 2" xfId="7013"/>
    <cellStyle name="Обычный 2 3 5 12" xfId="3458"/>
    <cellStyle name="Обычный 2 3 5 12 2" xfId="7309"/>
    <cellStyle name="Обычный 2 3 5 13" xfId="3754"/>
    <cellStyle name="Обычный 2 3 5 13 2" xfId="7605"/>
    <cellStyle name="Обычный 2 3 5 14" xfId="4050"/>
    <cellStyle name="Обычный 2 3 5 14 2" xfId="7901"/>
    <cellStyle name="Обычный 2 3 5 15" xfId="8199"/>
    <cellStyle name="Обычный 2 3 5 16" xfId="4347"/>
    <cellStyle name="Обычный 2 3 5 2" xfId="255"/>
    <cellStyle name="Обычный 2 3 5 2 10" xfId="3310"/>
    <cellStyle name="Обычный 2 3 5 2 10 2" xfId="7161"/>
    <cellStyle name="Обычный 2 3 5 2 11" xfId="3606"/>
    <cellStyle name="Обычный 2 3 5 2 11 2" xfId="7457"/>
    <cellStyle name="Обычный 2 3 5 2 12" xfId="3902"/>
    <cellStyle name="Обычный 2 3 5 2 12 2" xfId="7753"/>
    <cellStyle name="Обычный 2 3 5 2 13" xfId="4198"/>
    <cellStyle name="Обычный 2 3 5 2 13 2" xfId="8049"/>
    <cellStyle name="Обычный 2 3 5 2 14" xfId="8300"/>
    <cellStyle name="Обычный 2 3 5 2 15" xfId="4497"/>
    <cellStyle name="Обычный 2 3 5 2 2" xfId="868"/>
    <cellStyle name="Обычный 2 3 5 2 2 2" xfId="8615"/>
    <cellStyle name="Обычный 2 3 5 2 2 3" xfId="4793"/>
    <cellStyle name="Обычный 2 3 5 2 3" xfId="1256"/>
    <cellStyle name="Обычный 2 3 5 2 3 2" xfId="5089"/>
    <cellStyle name="Обычный 2 3 5 2 4" xfId="1542"/>
    <cellStyle name="Обычный 2 3 5 2 4 2" xfId="5385"/>
    <cellStyle name="Обычный 2 3 5 2 5" xfId="1834"/>
    <cellStyle name="Обычный 2 3 5 2 5 2" xfId="5681"/>
    <cellStyle name="Обычный 2 3 5 2 6" xfId="2127"/>
    <cellStyle name="Обычный 2 3 5 2 6 2" xfId="5977"/>
    <cellStyle name="Обычный 2 3 5 2 7" xfId="2422"/>
    <cellStyle name="Обычный 2 3 5 2 7 2" xfId="6273"/>
    <cellStyle name="Обычный 2 3 5 2 8" xfId="2718"/>
    <cellStyle name="Обычный 2 3 5 2 8 2" xfId="6569"/>
    <cellStyle name="Обычный 2 3 5 2 9" xfId="3014"/>
    <cellStyle name="Обычный 2 3 5 2 9 2" xfId="6865"/>
    <cellStyle name="Обычный 2 3 5 3" xfId="355"/>
    <cellStyle name="Обычный 2 3 5 3 2" xfId="869"/>
    <cellStyle name="Обычный 2 3 5 3 3" xfId="8400"/>
    <cellStyle name="Обычный 2 3 5 3 4" xfId="4645"/>
    <cellStyle name="Обычный 2 3 5 4" xfId="870"/>
    <cellStyle name="Обычный 2 3 5 4 2" xfId="8616"/>
    <cellStyle name="Обычный 2 3 5 4 3" xfId="4941"/>
    <cellStyle name="Обычный 2 3 5 5" xfId="1398"/>
    <cellStyle name="Обычный 2 3 5 5 2" xfId="5237"/>
    <cellStyle name="Обычный 2 3 5 6" xfId="1687"/>
    <cellStyle name="Обычный 2 3 5 6 2" xfId="5533"/>
    <cellStyle name="Обычный 2 3 5 7" xfId="1980"/>
    <cellStyle name="Обычный 2 3 5 7 2" xfId="5829"/>
    <cellStyle name="Обычный 2 3 5 8" xfId="2274"/>
    <cellStyle name="Обычный 2 3 5 8 2" xfId="6125"/>
    <cellStyle name="Обычный 2 3 5 9" xfId="2570"/>
    <cellStyle name="Обычный 2 3 5 9 2" xfId="6421"/>
    <cellStyle name="Обычный 2 3 6" xfId="206"/>
    <cellStyle name="Обычный 2 3 6 10" xfId="2916"/>
    <cellStyle name="Обычный 2 3 6 10 2" xfId="6767"/>
    <cellStyle name="Обычный 2 3 6 11" xfId="3212"/>
    <cellStyle name="Обычный 2 3 6 11 2" xfId="7063"/>
    <cellStyle name="Обычный 2 3 6 12" xfId="3508"/>
    <cellStyle name="Обычный 2 3 6 12 2" xfId="7359"/>
    <cellStyle name="Обычный 2 3 6 13" xfId="3804"/>
    <cellStyle name="Обычный 2 3 6 13 2" xfId="7655"/>
    <cellStyle name="Обычный 2 3 6 14" xfId="4100"/>
    <cellStyle name="Обычный 2 3 6 14 2" xfId="7951"/>
    <cellStyle name="Обычный 2 3 6 15" xfId="8250"/>
    <cellStyle name="Обычный 2 3 6 16" xfId="4398"/>
    <cellStyle name="Обычный 2 3 6 2" xfId="871"/>
    <cellStyle name="Обычный 2 3 6 2 10" xfId="3360"/>
    <cellStyle name="Обычный 2 3 6 2 10 2" xfId="7211"/>
    <cellStyle name="Обычный 2 3 6 2 11" xfId="3656"/>
    <cellStyle name="Обычный 2 3 6 2 11 2" xfId="7507"/>
    <cellStyle name="Обычный 2 3 6 2 12" xfId="3952"/>
    <cellStyle name="Обычный 2 3 6 2 12 2" xfId="7803"/>
    <cellStyle name="Обычный 2 3 6 2 13" xfId="4248"/>
    <cellStyle name="Обычный 2 3 6 2 13 2" xfId="8099"/>
    <cellStyle name="Обычный 2 3 6 2 14" xfId="8617"/>
    <cellStyle name="Обычный 2 3 6 2 15" xfId="4547"/>
    <cellStyle name="Обычный 2 3 6 2 2" xfId="1115"/>
    <cellStyle name="Обычный 2 3 6 2 2 2" xfId="4843"/>
    <cellStyle name="Обычный 2 3 6 2 3" xfId="1304"/>
    <cellStyle name="Обычный 2 3 6 2 3 2" xfId="5139"/>
    <cellStyle name="Обычный 2 3 6 2 4" xfId="1591"/>
    <cellStyle name="Обычный 2 3 6 2 4 2" xfId="5435"/>
    <cellStyle name="Обычный 2 3 6 2 5" xfId="1884"/>
    <cellStyle name="Обычный 2 3 6 2 5 2" xfId="5731"/>
    <cellStyle name="Обычный 2 3 6 2 6" xfId="2177"/>
    <cellStyle name="Обычный 2 3 6 2 6 2" xfId="6027"/>
    <cellStyle name="Обычный 2 3 6 2 7" xfId="2472"/>
    <cellStyle name="Обычный 2 3 6 2 7 2" xfId="6323"/>
    <cellStyle name="Обычный 2 3 6 2 8" xfId="2768"/>
    <cellStyle name="Обычный 2 3 6 2 8 2" xfId="6619"/>
    <cellStyle name="Обычный 2 3 6 2 9" xfId="3064"/>
    <cellStyle name="Обычный 2 3 6 2 9 2" xfId="6915"/>
    <cellStyle name="Обычный 2 3 6 3" xfId="1068"/>
    <cellStyle name="Обычный 2 3 6 3 2" xfId="4695"/>
    <cellStyle name="Обычный 2 3 6 4" xfId="1162"/>
    <cellStyle name="Обычный 2 3 6 4 2" xfId="4991"/>
    <cellStyle name="Обычный 2 3 6 5" xfId="1445"/>
    <cellStyle name="Обычный 2 3 6 5 2" xfId="5287"/>
    <cellStyle name="Обычный 2 3 6 6" xfId="1736"/>
    <cellStyle name="Обычный 2 3 6 6 2" xfId="5583"/>
    <cellStyle name="Обычный 2 3 6 7" xfId="2029"/>
    <cellStyle name="Обычный 2 3 6 7 2" xfId="5879"/>
    <cellStyle name="Обычный 2 3 6 8" xfId="2324"/>
    <cellStyle name="Обычный 2 3 6 8 2" xfId="6175"/>
    <cellStyle name="Обычный 2 3 6 9" xfId="2620"/>
    <cellStyle name="Обычный 2 3 6 9 2" xfId="6471"/>
    <cellStyle name="Обычный 2 3 7" xfId="305"/>
    <cellStyle name="Обычный 2 3 7 10" xfId="3262"/>
    <cellStyle name="Обычный 2 3 7 10 2" xfId="7113"/>
    <cellStyle name="Обычный 2 3 7 11" xfId="3558"/>
    <cellStyle name="Обычный 2 3 7 11 2" xfId="7409"/>
    <cellStyle name="Обычный 2 3 7 12" xfId="3854"/>
    <cellStyle name="Обычный 2 3 7 12 2" xfId="7705"/>
    <cellStyle name="Обычный 2 3 7 13" xfId="4150"/>
    <cellStyle name="Обычный 2 3 7 13 2" xfId="8001"/>
    <cellStyle name="Обычный 2 3 7 14" xfId="8350"/>
    <cellStyle name="Обычный 2 3 7 15" xfId="4449"/>
    <cellStyle name="Обычный 2 3 7 2" xfId="872"/>
    <cellStyle name="Обычный 2 3 7 2 2" xfId="8618"/>
    <cellStyle name="Обычный 2 3 7 2 3" xfId="4745"/>
    <cellStyle name="Обычный 2 3 7 3" xfId="1209"/>
    <cellStyle name="Обычный 2 3 7 3 2" xfId="5041"/>
    <cellStyle name="Обычный 2 3 7 4" xfId="1494"/>
    <cellStyle name="Обычный 2 3 7 4 2" xfId="5337"/>
    <cellStyle name="Обычный 2 3 7 5" xfId="1786"/>
    <cellStyle name="Обычный 2 3 7 5 2" xfId="5633"/>
    <cellStyle name="Обычный 2 3 7 6" xfId="2079"/>
    <cellStyle name="Обычный 2 3 7 6 2" xfId="5929"/>
    <cellStyle name="Обычный 2 3 7 7" xfId="2374"/>
    <cellStyle name="Обычный 2 3 7 7 2" xfId="6225"/>
    <cellStyle name="Обычный 2 3 7 8" xfId="2670"/>
    <cellStyle name="Обычный 2 3 7 8 2" xfId="6521"/>
    <cellStyle name="Обычный 2 3 7 9" xfId="2966"/>
    <cellStyle name="Обычный 2 3 7 9 2" xfId="6817"/>
    <cellStyle name="Обычный 2 3 8" xfId="405"/>
    <cellStyle name="Обычный 2 3 8 2" xfId="8445"/>
    <cellStyle name="Обычный 2 3 8 3" xfId="4597"/>
    <cellStyle name="Обычный 2 3 9" xfId="873"/>
    <cellStyle name="Обычный 2 3 9 2" xfId="8619"/>
    <cellStyle name="Обычный 2 3 9 3" xfId="4893"/>
    <cellStyle name="Обычный 2 4" xfId="82"/>
    <cellStyle name="Обычный 2 4 2" xfId="613"/>
    <cellStyle name="Обычный 2 4 3" xfId="1035"/>
    <cellStyle name="Обычный 2 4 4" xfId="8857"/>
    <cellStyle name="Обычный 2 5" xfId="83"/>
    <cellStyle name="Обычный 2 5 2" xfId="620"/>
    <cellStyle name="Обычный 2 6" xfId="84"/>
    <cellStyle name="Обычный 2 6 2" xfId="623"/>
    <cellStyle name="Обычный 2 7" xfId="85"/>
    <cellStyle name="Обычный 2 7 2" xfId="609"/>
    <cellStyle name="Обычный 2 7 3" xfId="8828"/>
    <cellStyle name="Обычный 2 8" xfId="86"/>
    <cellStyle name="Обычный 2 8 2" xfId="659"/>
    <cellStyle name="Обычный 2 8 3" xfId="8824"/>
    <cellStyle name="Обычный 2 9" xfId="87"/>
    <cellStyle name="Обычный 2 9 2" xfId="661"/>
    <cellStyle name="Обычный 2_kes ua-propoz" xfId="616"/>
    <cellStyle name="Обычный 20" xfId="8807"/>
    <cellStyle name="Обычный 20 2" xfId="8838"/>
    <cellStyle name="Обычный 21" xfId="8809"/>
    <cellStyle name="Обычный 21 2" xfId="8840"/>
    <cellStyle name="Обычный 22" xfId="658"/>
    <cellStyle name="Обычный 22 2" xfId="705"/>
    <cellStyle name="Обычный 22 2 2" xfId="8842"/>
    <cellStyle name="Обычный 22 3" xfId="8818"/>
    <cellStyle name="Обычный 23" xfId="8810"/>
    <cellStyle name="Обычный 23 2" xfId="8843"/>
    <cellStyle name="Обычный 23 3" xfId="8820"/>
    <cellStyle name="Обычный 24" xfId="8811"/>
    <cellStyle name="Обычный 24 2" xfId="8844"/>
    <cellStyle name="Обычный 25" xfId="8812"/>
    <cellStyle name="Обычный 25 2" xfId="8846"/>
    <cellStyle name="Обычный 26" xfId="410"/>
    <cellStyle name="Обычный 26 2" xfId="8848"/>
    <cellStyle name="Обычный 27" xfId="8813"/>
    <cellStyle name="Обычный 27 2" xfId="8823"/>
    <cellStyle name="Обычный 28" xfId="8814"/>
    <cellStyle name="Обычный 29" xfId="8815"/>
    <cellStyle name="Обычный 3" xfId="11"/>
    <cellStyle name="Обычный 3 10" xfId="89"/>
    <cellStyle name="Обычный 3 10 10" xfId="1937"/>
    <cellStyle name="Обычный 3 10 10 2" xfId="5785"/>
    <cellStyle name="Обычный 3 10 11" xfId="2231"/>
    <cellStyle name="Обычный 3 10 11 2" xfId="6081"/>
    <cellStyle name="Обычный 3 10 12" xfId="2526"/>
    <cellStyle name="Обычный 3 10 12 2" xfId="6377"/>
    <cellStyle name="Обычный 3 10 13" xfId="2822"/>
    <cellStyle name="Обычный 3 10 13 2" xfId="6673"/>
    <cellStyle name="Обычный 3 10 14" xfId="3118"/>
    <cellStyle name="Обычный 3 10 14 2" xfId="6969"/>
    <cellStyle name="Обычный 3 10 15" xfId="3414"/>
    <cellStyle name="Обычный 3 10 15 2" xfId="7265"/>
    <cellStyle name="Обычный 3 10 16" xfId="3710"/>
    <cellStyle name="Обычный 3 10 16 2" xfId="7561"/>
    <cellStyle name="Обычный 3 10 17" xfId="4006"/>
    <cellStyle name="Обычный 3 10 17 2" xfId="7857"/>
    <cellStyle name="Обычный 3 10 18" xfId="8153"/>
    <cellStyle name="Обычный 3 10 19" xfId="4302"/>
    <cellStyle name="Обычный 3 10 2" xfId="132"/>
    <cellStyle name="Обычный 3 10 2 10" xfId="2252"/>
    <cellStyle name="Обычный 3 10 2 10 2" xfId="6103"/>
    <cellStyle name="Обычный 3 10 2 11" xfId="2548"/>
    <cellStyle name="Обычный 3 10 2 11 2" xfId="6399"/>
    <cellStyle name="Обычный 3 10 2 12" xfId="2844"/>
    <cellStyle name="Обычный 3 10 2 12 2" xfId="6695"/>
    <cellStyle name="Обычный 3 10 2 13" xfId="3140"/>
    <cellStyle name="Обычный 3 10 2 13 2" xfId="6991"/>
    <cellStyle name="Обычный 3 10 2 14" xfId="3436"/>
    <cellStyle name="Обычный 3 10 2 14 2" xfId="7287"/>
    <cellStyle name="Обычный 3 10 2 15" xfId="3732"/>
    <cellStyle name="Обычный 3 10 2 15 2" xfId="7583"/>
    <cellStyle name="Обычный 3 10 2 16" xfId="4028"/>
    <cellStyle name="Обычный 3 10 2 16 2" xfId="7879"/>
    <cellStyle name="Обычный 3 10 2 17" xfId="8175"/>
    <cellStyle name="Обычный 3 10 2 18" xfId="4324"/>
    <cellStyle name="Обычный 3 10 2 2" xfId="180"/>
    <cellStyle name="Обычный 3 10 2 2 10" xfId="2892"/>
    <cellStyle name="Обычный 3 10 2 2 10 2" xfId="6743"/>
    <cellStyle name="Обычный 3 10 2 2 11" xfId="3188"/>
    <cellStyle name="Обычный 3 10 2 2 11 2" xfId="7039"/>
    <cellStyle name="Обычный 3 10 2 2 12" xfId="3484"/>
    <cellStyle name="Обычный 3 10 2 2 12 2" xfId="7335"/>
    <cellStyle name="Обычный 3 10 2 2 13" xfId="3780"/>
    <cellStyle name="Обычный 3 10 2 2 13 2" xfId="7631"/>
    <cellStyle name="Обычный 3 10 2 2 14" xfId="4076"/>
    <cellStyle name="Обычный 3 10 2 2 14 2" xfId="7927"/>
    <cellStyle name="Обычный 3 10 2 2 15" xfId="8225"/>
    <cellStyle name="Обычный 3 10 2 2 16" xfId="4373"/>
    <cellStyle name="Обычный 3 10 2 2 2" xfId="280"/>
    <cellStyle name="Обычный 3 10 2 2 2 10" xfId="3336"/>
    <cellStyle name="Обычный 3 10 2 2 2 10 2" xfId="7187"/>
    <cellStyle name="Обычный 3 10 2 2 2 11" xfId="3632"/>
    <cellStyle name="Обычный 3 10 2 2 2 11 2" xfId="7483"/>
    <cellStyle name="Обычный 3 10 2 2 2 12" xfId="3928"/>
    <cellStyle name="Обычный 3 10 2 2 2 12 2" xfId="7779"/>
    <cellStyle name="Обычный 3 10 2 2 2 13" xfId="4224"/>
    <cellStyle name="Обычный 3 10 2 2 2 13 2" xfId="8075"/>
    <cellStyle name="Обычный 3 10 2 2 2 14" xfId="8326"/>
    <cellStyle name="Обычный 3 10 2 2 2 15" xfId="4523"/>
    <cellStyle name="Обычный 3 10 2 2 2 2" xfId="874"/>
    <cellStyle name="Обычный 3 10 2 2 2 2 2" xfId="8620"/>
    <cellStyle name="Обычный 3 10 2 2 2 2 3" xfId="4819"/>
    <cellStyle name="Обычный 3 10 2 2 2 3" xfId="1281"/>
    <cellStyle name="Обычный 3 10 2 2 2 3 2" xfId="5115"/>
    <cellStyle name="Обычный 3 10 2 2 2 4" xfId="1567"/>
    <cellStyle name="Обычный 3 10 2 2 2 4 2" xfId="5411"/>
    <cellStyle name="Обычный 3 10 2 2 2 5" xfId="1860"/>
    <cellStyle name="Обычный 3 10 2 2 2 5 2" xfId="5707"/>
    <cellStyle name="Обычный 3 10 2 2 2 6" xfId="2153"/>
    <cellStyle name="Обычный 3 10 2 2 2 6 2" xfId="6003"/>
    <cellStyle name="Обычный 3 10 2 2 2 7" xfId="2448"/>
    <cellStyle name="Обычный 3 10 2 2 2 7 2" xfId="6299"/>
    <cellStyle name="Обычный 3 10 2 2 2 8" xfId="2744"/>
    <cellStyle name="Обычный 3 10 2 2 2 8 2" xfId="6595"/>
    <cellStyle name="Обычный 3 10 2 2 2 9" xfId="3040"/>
    <cellStyle name="Обычный 3 10 2 2 2 9 2" xfId="6891"/>
    <cellStyle name="Обычный 3 10 2 2 3" xfId="381"/>
    <cellStyle name="Обычный 3 10 2 2 3 2" xfId="875"/>
    <cellStyle name="Обычный 3 10 2 2 3 3" xfId="8426"/>
    <cellStyle name="Обычный 3 10 2 2 3 4" xfId="4671"/>
    <cellStyle name="Обычный 3 10 2 2 4" xfId="876"/>
    <cellStyle name="Обычный 3 10 2 2 4 2" xfId="8621"/>
    <cellStyle name="Обычный 3 10 2 2 4 3" xfId="4967"/>
    <cellStyle name="Обычный 3 10 2 2 5" xfId="1423"/>
    <cellStyle name="Обычный 3 10 2 2 5 2" xfId="5263"/>
    <cellStyle name="Обычный 3 10 2 2 6" xfId="1713"/>
    <cellStyle name="Обычный 3 10 2 2 6 2" xfId="5559"/>
    <cellStyle name="Обычный 3 10 2 2 7" xfId="2005"/>
    <cellStyle name="Обычный 3 10 2 2 7 2" xfId="5855"/>
    <cellStyle name="Обычный 3 10 2 2 8" xfId="2300"/>
    <cellStyle name="Обычный 3 10 2 2 8 2" xfId="6151"/>
    <cellStyle name="Обычный 3 10 2 2 9" xfId="2596"/>
    <cellStyle name="Обычный 3 10 2 2 9 2" xfId="6447"/>
    <cellStyle name="Обычный 3 10 2 3" xfId="231"/>
    <cellStyle name="Обычный 3 10 2 3 10" xfId="2942"/>
    <cellStyle name="Обычный 3 10 2 3 10 2" xfId="6793"/>
    <cellStyle name="Обычный 3 10 2 3 11" xfId="3238"/>
    <cellStyle name="Обычный 3 10 2 3 11 2" xfId="7089"/>
    <cellStyle name="Обычный 3 10 2 3 12" xfId="3534"/>
    <cellStyle name="Обычный 3 10 2 3 12 2" xfId="7385"/>
    <cellStyle name="Обычный 3 10 2 3 13" xfId="3830"/>
    <cellStyle name="Обычный 3 10 2 3 13 2" xfId="7681"/>
    <cellStyle name="Обычный 3 10 2 3 14" xfId="4126"/>
    <cellStyle name="Обычный 3 10 2 3 14 2" xfId="7977"/>
    <cellStyle name="Обычный 3 10 2 3 15" xfId="8276"/>
    <cellStyle name="Обычный 3 10 2 3 16" xfId="4424"/>
    <cellStyle name="Обычный 3 10 2 3 2" xfId="877"/>
    <cellStyle name="Обычный 3 10 2 3 2 10" xfId="3386"/>
    <cellStyle name="Обычный 3 10 2 3 2 10 2" xfId="7237"/>
    <cellStyle name="Обычный 3 10 2 3 2 11" xfId="3682"/>
    <cellStyle name="Обычный 3 10 2 3 2 11 2" xfId="7533"/>
    <cellStyle name="Обычный 3 10 2 3 2 12" xfId="3978"/>
    <cellStyle name="Обычный 3 10 2 3 2 12 2" xfId="7829"/>
    <cellStyle name="Обычный 3 10 2 3 2 13" xfId="4274"/>
    <cellStyle name="Обычный 3 10 2 3 2 13 2" xfId="8125"/>
    <cellStyle name="Обычный 3 10 2 3 2 14" xfId="8622"/>
    <cellStyle name="Обычный 3 10 2 3 2 15" xfId="4573"/>
    <cellStyle name="Обычный 3 10 2 3 2 2" xfId="1140"/>
    <cellStyle name="Обычный 3 10 2 3 2 2 2" xfId="4869"/>
    <cellStyle name="Обычный 3 10 2 3 2 3" xfId="1329"/>
    <cellStyle name="Обычный 3 10 2 3 2 3 2" xfId="5165"/>
    <cellStyle name="Обычный 3 10 2 3 2 4" xfId="1616"/>
    <cellStyle name="Обычный 3 10 2 3 2 4 2" xfId="5461"/>
    <cellStyle name="Обычный 3 10 2 3 2 5" xfId="1909"/>
    <cellStyle name="Обычный 3 10 2 3 2 5 2" xfId="5757"/>
    <cellStyle name="Обычный 3 10 2 3 2 6" xfId="2203"/>
    <cellStyle name="Обычный 3 10 2 3 2 6 2" xfId="6053"/>
    <cellStyle name="Обычный 3 10 2 3 2 7" xfId="2498"/>
    <cellStyle name="Обычный 3 10 2 3 2 7 2" xfId="6349"/>
    <cellStyle name="Обычный 3 10 2 3 2 8" xfId="2794"/>
    <cellStyle name="Обычный 3 10 2 3 2 8 2" xfId="6645"/>
    <cellStyle name="Обычный 3 10 2 3 2 9" xfId="3090"/>
    <cellStyle name="Обычный 3 10 2 3 2 9 2" xfId="6941"/>
    <cellStyle name="Обычный 3 10 2 3 3" xfId="1093"/>
    <cellStyle name="Обычный 3 10 2 3 3 2" xfId="4721"/>
    <cellStyle name="Обычный 3 10 2 3 4" xfId="1187"/>
    <cellStyle name="Обычный 3 10 2 3 4 2" xfId="5017"/>
    <cellStyle name="Обычный 3 10 2 3 5" xfId="1471"/>
    <cellStyle name="Обычный 3 10 2 3 5 2" xfId="5313"/>
    <cellStyle name="Обычный 3 10 2 3 6" xfId="1762"/>
    <cellStyle name="Обычный 3 10 2 3 6 2" xfId="5609"/>
    <cellStyle name="Обычный 3 10 2 3 7" xfId="2055"/>
    <cellStyle name="Обычный 3 10 2 3 7 2" xfId="5905"/>
    <cellStyle name="Обычный 3 10 2 3 8" xfId="2350"/>
    <cellStyle name="Обычный 3 10 2 3 8 2" xfId="6201"/>
    <cellStyle name="Обычный 3 10 2 3 9" xfId="2646"/>
    <cellStyle name="Обычный 3 10 2 3 9 2" xfId="6497"/>
    <cellStyle name="Обычный 3 10 2 4" xfId="331"/>
    <cellStyle name="Обычный 3 10 2 4 10" xfId="3288"/>
    <cellStyle name="Обычный 3 10 2 4 10 2" xfId="7139"/>
    <cellStyle name="Обычный 3 10 2 4 11" xfId="3584"/>
    <cellStyle name="Обычный 3 10 2 4 11 2" xfId="7435"/>
    <cellStyle name="Обычный 3 10 2 4 12" xfId="3880"/>
    <cellStyle name="Обычный 3 10 2 4 12 2" xfId="7731"/>
    <cellStyle name="Обычный 3 10 2 4 13" xfId="4176"/>
    <cellStyle name="Обычный 3 10 2 4 13 2" xfId="8027"/>
    <cellStyle name="Обычный 3 10 2 4 14" xfId="8376"/>
    <cellStyle name="Обычный 3 10 2 4 15" xfId="4475"/>
    <cellStyle name="Обычный 3 10 2 4 2" xfId="878"/>
    <cellStyle name="Обычный 3 10 2 4 2 2" xfId="8623"/>
    <cellStyle name="Обычный 3 10 2 4 2 3" xfId="4771"/>
    <cellStyle name="Обычный 3 10 2 4 3" xfId="1235"/>
    <cellStyle name="Обычный 3 10 2 4 3 2" xfId="5067"/>
    <cellStyle name="Обычный 3 10 2 4 4" xfId="1520"/>
    <cellStyle name="Обычный 3 10 2 4 4 2" xfId="5363"/>
    <cellStyle name="Обычный 3 10 2 4 5" xfId="1812"/>
    <cellStyle name="Обычный 3 10 2 4 5 2" xfId="5659"/>
    <cellStyle name="Обычный 3 10 2 4 6" xfId="2105"/>
    <cellStyle name="Обычный 3 10 2 4 6 2" xfId="5955"/>
    <cellStyle name="Обычный 3 10 2 4 7" xfId="2400"/>
    <cellStyle name="Обычный 3 10 2 4 7 2" xfId="6251"/>
    <cellStyle name="Обычный 3 10 2 4 8" xfId="2696"/>
    <cellStyle name="Обычный 3 10 2 4 8 2" xfId="6547"/>
    <cellStyle name="Обычный 3 10 2 4 9" xfId="2992"/>
    <cellStyle name="Обычный 3 10 2 4 9 2" xfId="6843"/>
    <cellStyle name="Обычный 3 10 2 5" xfId="879"/>
    <cellStyle name="Обычный 3 10 2 5 2" xfId="8624"/>
    <cellStyle name="Обычный 3 10 2 5 3" xfId="4623"/>
    <cellStyle name="Обычный 3 10 2 6" xfId="880"/>
    <cellStyle name="Обычный 3 10 2 6 2" xfId="8625"/>
    <cellStyle name="Обычный 3 10 2 6 3" xfId="4919"/>
    <cellStyle name="Обычный 3 10 2 7" xfId="1376"/>
    <cellStyle name="Обычный 3 10 2 7 2" xfId="5215"/>
    <cellStyle name="Обычный 3 10 2 8" xfId="1665"/>
    <cellStyle name="Обычный 3 10 2 8 2" xfId="5511"/>
    <cellStyle name="Обычный 3 10 2 9" xfId="1958"/>
    <cellStyle name="Обычный 3 10 2 9 2" xfId="5807"/>
    <cellStyle name="Обычный 3 10 3" xfId="159"/>
    <cellStyle name="Обычный 3 10 3 10" xfId="2870"/>
    <cellStyle name="Обычный 3 10 3 10 2" xfId="6721"/>
    <cellStyle name="Обычный 3 10 3 11" xfId="3166"/>
    <cellStyle name="Обычный 3 10 3 11 2" xfId="7017"/>
    <cellStyle name="Обычный 3 10 3 12" xfId="3462"/>
    <cellStyle name="Обычный 3 10 3 12 2" xfId="7313"/>
    <cellStyle name="Обычный 3 10 3 13" xfId="3758"/>
    <cellStyle name="Обычный 3 10 3 13 2" xfId="7609"/>
    <cellStyle name="Обычный 3 10 3 14" xfId="4054"/>
    <cellStyle name="Обычный 3 10 3 14 2" xfId="7905"/>
    <cellStyle name="Обычный 3 10 3 15" xfId="8203"/>
    <cellStyle name="Обычный 3 10 3 16" xfId="4351"/>
    <cellStyle name="Обычный 3 10 3 2" xfId="259"/>
    <cellStyle name="Обычный 3 10 3 2 10" xfId="3314"/>
    <cellStyle name="Обычный 3 10 3 2 10 2" xfId="7165"/>
    <cellStyle name="Обычный 3 10 3 2 11" xfId="3610"/>
    <cellStyle name="Обычный 3 10 3 2 11 2" xfId="7461"/>
    <cellStyle name="Обычный 3 10 3 2 12" xfId="3906"/>
    <cellStyle name="Обычный 3 10 3 2 12 2" xfId="7757"/>
    <cellStyle name="Обычный 3 10 3 2 13" xfId="4202"/>
    <cellStyle name="Обычный 3 10 3 2 13 2" xfId="8053"/>
    <cellStyle name="Обычный 3 10 3 2 14" xfId="8304"/>
    <cellStyle name="Обычный 3 10 3 2 15" xfId="4501"/>
    <cellStyle name="Обычный 3 10 3 2 2" xfId="881"/>
    <cellStyle name="Обычный 3 10 3 2 2 2" xfId="8626"/>
    <cellStyle name="Обычный 3 10 3 2 2 3" xfId="4797"/>
    <cellStyle name="Обычный 3 10 3 2 3" xfId="1260"/>
    <cellStyle name="Обычный 3 10 3 2 3 2" xfId="5093"/>
    <cellStyle name="Обычный 3 10 3 2 4" xfId="1546"/>
    <cellStyle name="Обычный 3 10 3 2 4 2" xfId="5389"/>
    <cellStyle name="Обычный 3 10 3 2 5" xfId="1838"/>
    <cellStyle name="Обычный 3 10 3 2 5 2" xfId="5685"/>
    <cellStyle name="Обычный 3 10 3 2 6" xfId="2131"/>
    <cellStyle name="Обычный 3 10 3 2 6 2" xfId="5981"/>
    <cellStyle name="Обычный 3 10 3 2 7" xfId="2426"/>
    <cellStyle name="Обычный 3 10 3 2 7 2" xfId="6277"/>
    <cellStyle name="Обычный 3 10 3 2 8" xfId="2722"/>
    <cellStyle name="Обычный 3 10 3 2 8 2" xfId="6573"/>
    <cellStyle name="Обычный 3 10 3 2 9" xfId="3018"/>
    <cellStyle name="Обычный 3 10 3 2 9 2" xfId="6869"/>
    <cellStyle name="Обычный 3 10 3 3" xfId="359"/>
    <cellStyle name="Обычный 3 10 3 3 2" xfId="882"/>
    <cellStyle name="Обычный 3 10 3 3 3" xfId="8404"/>
    <cellStyle name="Обычный 3 10 3 3 4" xfId="4649"/>
    <cellStyle name="Обычный 3 10 3 4" xfId="883"/>
    <cellStyle name="Обычный 3 10 3 4 2" xfId="8627"/>
    <cellStyle name="Обычный 3 10 3 4 3" xfId="4945"/>
    <cellStyle name="Обычный 3 10 3 5" xfId="1402"/>
    <cellStyle name="Обычный 3 10 3 5 2" xfId="5241"/>
    <cellStyle name="Обычный 3 10 3 6" xfId="1691"/>
    <cellStyle name="Обычный 3 10 3 6 2" xfId="5537"/>
    <cellStyle name="Обычный 3 10 3 7" xfId="1984"/>
    <cellStyle name="Обычный 3 10 3 7 2" xfId="5833"/>
    <cellStyle name="Обычный 3 10 3 8" xfId="2278"/>
    <cellStyle name="Обычный 3 10 3 8 2" xfId="6129"/>
    <cellStyle name="Обычный 3 10 3 9" xfId="2574"/>
    <cellStyle name="Обычный 3 10 3 9 2" xfId="6425"/>
    <cellStyle name="Обычный 3 10 4" xfId="210"/>
    <cellStyle name="Обычный 3 10 4 10" xfId="2920"/>
    <cellStyle name="Обычный 3 10 4 10 2" xfId="6771"/>
    <cellStyle name="Обычный 3 10 4 11" xfId="3216"/>
    <cellStyle name="Обычный 3 10 4 11 2" xfId="7067"/>
    <cellStyle name="Обычный 3 10 4 12" xfId="3512"/>
    <cellStyle name="Обычный 3 10 4 12 2" xfId="7363"/>
    <cellStyle name="Обычный 3 10 4 13" xfId="3808"/>
    <cellStyle name="Обычный 3 10 4 13 2" xfId="7659"/>
    <cellStyle name="Обычный 3 10 4 14" xfId="4104"/>
    <cellStyle name="Обычный 3 10 4 14 2" xfId="7955"/>
    <cellStyle name="Обычный 3 10 4 15" xfId="8254"/>
    <cellStyle name="Обычный 3 10 4 16" xfId="4402"/>
    <cellStyle name="Обычный 3 10 4 2" xfId="884"/>
    <cellStyle name="Обычный 3 10 4 2 10" xfId="3364"/>
    <cellStyle name="Обычный 3 10 4 2 10 2" xfId="7215"/>
    <cellStyle name="Обычный 3 10 4 2 11" xfId="3660"/>
    <cellStyle name="Обычный 3 10 4 2 11 2" xfId="7511"/>
    <cellStyle name="Обычный 3 10 4 2 12" xfId="3956"/>
    <cellStyle name="Обычный 3 10 4 2 12 2" xfId="7807"/>
    <cellStyle name="Обычный 3 10 4 2 13" xfId="4252"/>
    <cellStyle name="Обычный 3 10 4 2 13 2" xfId="8103"/>
    <cellStyle name="Обычный 3 10 4 2 14" xfId="8628"/>
    <cellStyle name="Обычный 3 10 4 2 15" xfId="4551"/>
    <cellStyle name="Обычный 3 10 4 2 2" xfId="1119"/>
    <cellStyle name="Обычный 3 10 4 2 2 2" xfId="4847"/>
    <cellStyle name="Обычный 3 10 4 2 3" xfId="1308"/>
    <cellStyle name="Обычный 3 10 4 2 3 2" xfId="5143"/>
    <cellStyle name="Обычный 3 10 4 2 4" xfId="1595"/>
    <cellStyle name="Обычный 3 10 4 2 4 2" xfId="5439"/>
    <cellStyle name="Обычный 3 10 4 2 5" xfId="1888"/>
    <cellStyle name="Обычный 3 10 4 2 5 2" xfId="5735"/>
    <cellStyle name="Обычный 3 10 4 2 6" xfId="2181"/>
    <cellStyle name="Обычный 3 10 4 2 6 2" xfId="6031"/>
    <cellStyle name="Обычный 3 10 4 2 7" xfId="2476"/>
    <cellStyle name="Обычный 3 10 4 2 7 2" xfId="6327"/>
    <cellStyle name="Обычный 3 10 4 2 8" xfId="2772"/>
    <cellStyle name="Обычный 3 10 4 2 8 2" xfId="6623"/>
    <cellStyle name="Обычный 3 10 4 2 9" xfId="3068"/>
    <cellStyle name="Обычный 3 10 4 2 9 2" xfId="6919"/>
    <cellStyle name="Обычный 3 10 4 3" xfId="1072"/>
    <cellStyle name="Обычный 3 10 4 3 2" xfId="4699"/>
    <cellStyle name="Обычный 3 10 4 4" xfId="1166"/>
    <cellStyle name="Обычный 3 10 4 4 2" xfId="4995"/>
    <cellStyle name="Обычный 3 10 4 5" xfId="1449"/>
    <cellStyle name="Обычный 3 10 4 5 2" xfId="5291"/>
    <cellStyle name="Обычный 3 10 4 6" xfId="1740"/>
    <cellStyle name="Обычный 3 10 4 6 2" xfId="5587"/>
    <cellStyle name="Обычный 3 10 4 7" xfId="2033"/>
    <cellStyle name="Обычный 3 10 4 7 2" xfId="5883"/>
    <cellStyle name="Обычный 3 10 4 8" xfId="2328"/>
    <cellStyle name="Обычный 3 10 4 8 2" xfId="6179"/>
    <cellStyle name="Обычный 3 10 4 9" xfId="2624"/>
    <cellStyle name="Обычный 3 10 4 9 2" xfId="6475"/>
    <cellStyle name="Обычный 3 10 5" xfId="309"/>
    <cellStyle name="Обычный 3 10 5 10" xfId="3266"/>
    <cellStyle name="Обычный 3 10 5 10 2" xfId="7117"/>
    <cellStyle name="Обычный 3 10 5 11" xfId="3562"/>
    <cellStyle name="Обычный 3 10 5 11 2" xfId="7413"/>
    <cellStyle name="Обычный 3 10 5 12" xfId="3858"/>
    <cellStyle name="Обычный 3 10 5 12 2" xfId="7709"/>
    <cellStyle name="Обычный 3 10 5 13" xfId="4154"/>
    <cellStyle name="Обычный 3 10 5 13 2" xfId="8005"/>
    <cellStyle name="Обычный 3 10 5 14" xfId="8354"/>
    <cellStyle name="Обычный 3 10 5 15" xfId="4453"/>
    <cellStyle name="Обычный 3 10 5 2" xfId="885"/>
    <cellStyle name="Обычный 3 10 5 2 2" xfId="8629"/>
    <cellStyle name="Обычный 3 10 5 2 3" xfId="4749"/>
    <cellStyle name="Обычный 3 10 5 3" xfId="1213"/>
    <cellStyle name="Обычный 3 10 5 3 2" xfId="5045"/>
    <cellStyle name="Обычный 3 10 5 4" xfId="1498"/>
    <cellStyle name="Обычный 3 10 5 4 2" xfId="5341"/>
    <cellStyle name="Обычный 3 10 5 5" xfId="1790"/>
    <cellStyle name="Обычный 3 10 5 5 2" xfId="5637"/>
    <cellStyle name="Обычный 3 10 5 6" xfId="2083"/>
    <cellStyle name="Обычный 3 10 5 6 2" xfId="5933"/>
    <cellStyle name="Обычный 3 10 5 7" xfId="2378"/>
    <cellStyle name="Обычный 3 10 5 7 2" xfId="6229"/>
    <cellStyle name="Обычный 3 10 5 8" xfId="2674"/>
    <cellStyle name="Обычный 3 10 5 8 2" xfId="6525"/>
    <cellStyle name="Обычный 3 10 5 9" xfId="2970"/>
    <cellStyle name="Обычный 3 10 5 9 2" xfId="6821"/>
    <cellStyle name="Обычный 3 10 6" xfId="886"/>
    <cellStyle name="Обычный 3 10 6 2" xfId="8630"/>
    <cellStyle name="Обычный 3 10 6 3" xfId="4601"/>
    <cellStyle name="Обычный 3 10 7" xfId="887"/>
    <cellStyle name="Обычный 3 10 7 2" xfId="8631"/>
    <cellStyle name="Обычный 3 10 7 3" xfId="4897"/>
    <cellStyle name="Обычный 3 10 8" xfId="1355"/>
    <cellStyle name="Обычный 3 10 8 2" xfId="5193"/>
    <cellStyle name="Обычный 3 10 9" xfId="1644"/>
    <cellStyle name="Обычный 3 10 9 2" xfId="5489"/>
    <cellStyle name="Обычный 3 11" xfId="90"/>
    <cellStyle name="Обычный 3 11 10" xfId="1938"/>
    <cellStyle name="Обычный 3 11 10 2" xfId="5786"/>
    <cellStyle name="Обычный 3 11 11" xfId="2232"/>
    <cellStyle name="Обычный 3 11 11 2" xfId="6082"/>
    <cellStyle name="Обычный 3 11 12" xfId="2527"/>
    <cellStyle name="Обычный 3 11 12 2" xfId="6378"/>
    <cellStyle name="Обычный 3 11 13" xfId="2823"/>
    <cellStyle name="Обычный 3 11 13 2" xfId="6674"/>
    <cellStyle name="Обычный 3 11 14" xfId="3119"/>
    <cellStyle name="Обычный 3 11 14 2" xfId="6970"/>
    <cellStyle name="Обычный 3 11 15" xfId="3415"/>
    <cellStyle name="Обычный 3 11 15 2" xfId="7266"/>
    <cellStyle name="Обычный 3 11 16" xfId="3711"/>
    <cellStyle name="Обычный 3 11 16 2" xfId="7562"/>
    <cellStyle name="Обычный 3 11 17" xfId="4007"/>
    <cellStyle name="Обычный 3 11 17 2" xfId="7858"/>
    <cellStyle name="Обычный 3 11 18" xfId="8154"/>
    <cellStyle name="Обычный 3 11 19" xfId="4303"/>
    <cellStyle name="Обычный 3 11 2" xfId="133"/>
    <cellStyle name="Обычный 3 11 2 10" xfId="2253"/>
    <cellStyle name="Обычный 3 11 2 10 2" xfId="6104"/>
    <cellStyle name="Обычный 3 11 2 11" xfId="2549"/>
    <cellStyle name="Обычный 3 11 2 11 2" xfId="6400"/>
    <cellStyle name="Обычный 3 11 2 12" xfId="2845"/>
    <cellStyle name="Обычный 3 11 2 12 2" xfId="6696"/>
    <cellStyle name="Обычный 3 11 2 13" xfId="3141"/>
    <cellStyle name="Обычный 3 11 2 13 2" xfId="6992"/>
    <cellStyle name="Обычный 3 11 2 14" xfId="3437"/>
    <cellStyle name="Обычный 3 11 2 14 2" xfId="7288"/>
    <cellStyle name="Обычный 3 11 2 15" xfId="3733"/>
    <cellStyle name="Обычный 3 11 2 15 2" xfId="7584"/>
    <cellStyle name="Обычный 3 11 2 16" xfId="4029"/>
    <cellStyle name="Обычный 3 11 2 16 2" xfId="7880"/>
    <cellStyle name="Обычный 3 11 2 17" xfId="8176"/>
    <cellStyle name="Обычный 3 11 2 18" xfId="4325"/>
    <cellStyle name="Обычный 3 11 2 2" xfId="181"/>
    <cellStyle name="Обычный 3 11 2 2 10" xfId="2893"/>
    <cellStyle name="Обычный 3 11 2 2 10 2" xfId="6744"/>
    <cellStyle name="Обычный 3 11 2 2 11" xfId="3189"/>
    <cellStyle name="Обычный 3 11 2 2 11 2" xfId="7040"/>
    <cellStyle name="Обычный 3 11 2 2 12" xfId="3485"/>
    <cellStyle name="Обычный 3 11 2 2 12 2" xfId="7336"/>
    <cellStyle name="Обычный 3 11 2 2 13" xfId="3781"/>
    <cellStyle name="Обычный 3 11 2 2 13 2" xfId="7632"/>
    <cellStyle name="Обычный 3 11 2 2 14" xfId="4077"/>
    <cellStyle name="Обычный 3 11 2 2 14 2" xfId="7928"/>
    <cellStyle name="Обычный 3 11 2 2 15" xfId="8226"/>
    <cellStyle name="Обычный 3 11 2 2 16" xfId="4374"/>
    <cellStyle name="Обычный 3 11 2 2 2" xfId="281"/>
    <cellStyle name="Обычный 3 11 2 2 2 10" xfId="3337"/>
    <cellStyle name="Обычный 3 11 2 2 2 10 2" xfId="7188"/>
    <cellStyle name="Обычный 3 11 2 2 2 11" xfId="3633"/>
    <cellStyle name="Обычный 3 11 2 2 2 11 2" xfId="7484"/>
    <cellStyle name="Обычный 3 11 2 2 2 12" xfId="3929"/>
    <cellStyle name="Обычный 3 11 2 2 2 12 2" xfId="7780"/>
    <cellStyle name="Обычный 3 11 2 2 2 13" xfId="4225"/>
    <cellStyle name="Обычный 3 11 2 2 2 13 2" xfId="8076"/>
    <cellStyle name="Обычный 3 11 2 2 2 14" xfId="8327"/>
    <cellStyle name="Обычный 3 11 2 2 2 15" xfId="4524"/>
    <cellStyle name="Обычный 3 11 2 2 2 2" xfId="888"/>
    <cellStyle name="Обычный 3 11 2 2 2 2 2" xfId="8632"/>
    <cellStyle name="Обычный 3 11 2 2 2 2 3" xfId="4820"/>
    <cellStyle name="Обычный 3 11 2 2 2 3" xfId="1282"/>
    <cellStyle name="Обычный 3 11 2 2 2 3 2" xfId="5116"/>
    <cellStyle name="Обычный 3 11 2 2 2 4" xfId="1568"/>
    <cellStyle name="Обычный 3 11 2 2 2 4 2" xfId="5412"/>
    <cellStyle name="Обычный 3 11 2 2 2 5" xfId="1861"/>
    <cellStyle name="Обычный 3 11 2 2 2 5 2" xfId="5708"/>
    <cellStyle name="Обычный 3 11 2 2 2 6" xfId="2154"/>
    <cellStyle name="Обычный 3 11 2 2 2 6 2" xfId="6004"/>
    <cellStyle name="Обычный 3 11 2 2 2 7" xfId="2449"/>
    <cellStyle name="Обычный 3 11 2 2 2 7 2" xfId="6300"/>
    <cellStyle name="Обычный 3 11 2 2 2 8" xfId="2745"/>
    <cellStyle name="Обычный 3 11 2 2 2 8 2" xfId="6596"/>
    <cellStyle name="Обычный 3 11 2 2 2 9" xfId="3041"/>
    <cellStyle name="Обычный 3 11 2 2 2 9 2" xfId="6892"/>
    <cellStyle name="Обычный 3 11 2 2 3" xfId="382"/>
    <cellStyle name="Обычный 3 11 2 2 3 2" xfId="889"/>
    <cellStyle name="Обычный 3 11 2 2 3 3" xfId="8427"/>
    <cellStyle name="Обычный 3 11 2 2 3 4" xfId="4672"/>
    <cellStyle name="Обычный 3 11 2 2 4" xfId="890"/>
    <cellStyle name="Обычный 3 11 2 2 4 2" xfId="8633"/>
    <cellStyle name="Обычный 3 11 2 2 4 3" xfId="4968"/>
    <cellStyle name="Обычный 3 11 2 2 5" xfId="1424"/>
    <cellStyle name="Обычный 3 11 2 2 5 2" xfId="5264"/>
    <cellStyle name="Обычный 3 11 2 2 6" xfId="1714"/>
    <cellStyle name="Обычный 3 11 2 2 6 2" xfId="5560"/>
    <cellStyle name="Обычный 3 11 2 2 7" xfId="2006"/>
    <cellStyle name="Обычный 3 11 2 2 7 2" xfId="5856"/>
    <cellStyle name="Обычный 3 11 2 2 8" xfId="2301"/>
    <cellStyle name="Обычный 3 11 2 2 8 2" xfId="6152"/>
    <cellStyle name="Обычный 3 11 2 2 9" xfId="2597"/>
    <cellStyle name="Обычный 3 11 2 2 9 2" xfId="6448"/>
    <cellStyle name="Обычный 3 11 2 3" xfId="232"/>
    <cellStyle name="Обычный 3 11 2 3 10" xfId="2943"/>
    <cellStyle name="Обычный 3 11 2 3 10 2" xfId="6794"/>
    <cellStyle name="Обычный 3 11 2 3 11" xfId="3239"/>
    <cellStyle name="Обычный 3 11 2 3 11 2" xfId="7090"/>
    <cellStyle name="Обычный 3 11 2 3 12" xfId="3535"/>
    <cellStyle name="Обычный 3 11 2 3 12 2" xfId="7386"/>
    <cellStyle name="Обычный 3 11 2 3 13" xfId="3831"/>
    <cellStyle name="Обычный 3 11 2 3 13 2" xfId="7682"/>
    <cellStyle name="Обычный 3 11 2 3 14" xfId="4127"/>
    <cellStyle name="Обычный 3 11 2 3 14 2" xfId="7978"/>
    <cellStyle name="Обычный 3 11 2 3 15" xfId="8277"/>
    <cellStyle name="Обычный 3 11 2 3 16" xfId="4425"/>
    <cellStyle name="Обычный 3 11 2 3 2" xfId="891"/>
    <cellStyle name="Обычный 3 11 2 3 2 10" xfId="3387"/>
    <cellStyle name="Обычный 3 11 2 3 2 10 2" xfId="7238"/>
    <cellStyle name="Обычный 3 11 2 3 2 11" xfId="3683"/>
    <cellStyle name="Обычный 3 11 2 3 2 11 2" xfId="7534"/>
    <cellStyle name="Обычный 3 11 2 3 2 12" xfId="3979"/>
    <cellStyle name="Обычный 3 11 2 3 2 12 2" xfId="7830"/>
    <cellStyle name="Обычный 3 11 2 3 2 13" xfId="4275"/>
    <cellStyle name="Обычный 3 11 2 3 2 13 2" xfId="8126"/>
    <cellStyle name="Обычный 3 11 2 3 2 14" xfId="8634"/>
    <cellStyle name="Обычный 3 11 2 3 2 15" xfId="4574"/>
    <cellStyle name="Обычный 3 11 2 3 2 2" xfId="1141"/>
    <cellStyle name="Обычный 3 11 2 3 2 2 2" xfId="4870"/>
    <cellStyle name="Обычный 3 11 2 3 2 3" xfId="1330"/>
    <cellStyle name="Обычный 3 11 2 3 2 3 2" xfId="5166"/>
    <cellStyle name="Обычный 3 11 2 3 2 4" xfId="1617"/>
    <cellStyle name="Обычный 3 11 2 3 2 4 2" xfId="5462"/>
    <cellStyle name="Обычный 3 11 2 3 2 5" xfId="1910"/>
    <cellStyle name="Обычный 3 11 2 3 2 5 2" xfId="5758"/>
    <cellStyle name="Обычный 3 11 2 3 2 6" xfId="2204"/>
    <cellStyle name="Обычный 3 11 2 3 2 6 2" xfId="6054"/>
    <cellStyle name="Обычный 3 11 2 3 2 7" xfId="2499"/>
    <cellStyle name="Обычный 3 11 2 3 2 7 2" xfId="6350"/>
    <cellStyle name="Обычный 3 11 2 3 2 8" xfId="2795"/>
    <cellStyle name="Обычный 3 11 2 3 2 8 2" xfId="6646"/>
    <cellStyle name="Обычный 3 11 2 3 2 9" xfId="3091"/>
    <cellStyle name="Обычный 3 11 2 3 2 9 2" xfId="6942"/>
    <cellStyle name="Обычный 3 11 2 3 3" xfId="1094"/>
    <cellStyle name="Обычный 3 11 2 3 3 2" xfId="4722"/>
    <cellStyle name="Обычный 3 11 2 3 4" xfId="1188"/>
    <cellStyle name="Обычный 3 11 2 3 4 2" xfId="5018"/>
    <cellStyle name="Обычный 3 11 2 3 5" xfId="1472"/>
    <cellStyle name="Обычный 3 11 2 3 5 2" xfId="5314"/>
    <cellStyle name="Обычный 3 11 2 3 6" xfId="1763"/>
    <cellStyle name="Обычный 3 11 2 3 6 2" xfId="5610"/>
    <cellStyle name="Обычный 3 11 2 3 7" xfId="2056"/>
    <cellStyle name="Обычный 3 11 2 3 7 2" xfId="5906"/>
    <cellStyle name="Обычный 3 11 2 3 8" xfId="2351"/>
    <cellStyle name="Обычный 3 11 2 3 8 2" xfId="6202"/>
    <cellStyle name="Обычный 3 11 2 3 9" xfId="2647"/>
    <cellStyle name="Обычный 3 11 2 3 9 2" xfId="6498"/>
    <cellStyle name="Обычный 3 11 2 4" xfId="332"/>
    <cellStyle name="Обычный 3 11 2 4 10" xfId="3289"/>
    <cellStyle name="Обычный 3 11 2 4 10 2" xfId="7140"/>
    <cellStyle name="Обычный 3 11 2 4 11" xfId="3585"/>
    <cellStyle name="Обычный 3 11 2 4 11 2" xfId="7436"/>
    <cellStyle name="Обычный 3 11 2 4 12" xfId="3881"/>
    <cellStyle name="Обычный 3 11 2 4 12 2" xfId="7732"/>
    <cellStyle name="Обычный 3 11 2 4 13" xfId="4177"/>
    <cellStyle name="Обычный 3 11 2 4 13 2" xfId="8028"/>
    <cellStyle name="Обычный 3 11 2 4 14" xfId="8377"/>
    <cellStyle name="Обычный 3 11 2 4 15" xfId="4476"/>
    <cellStyle name="Обычный 3 11 2 4 2" xfId="892"/>
    <cellStyle name="Обычный 3 11 2 4 2 2" xfId="8635"/>
    <cellStyle name="Обычный 3 11 2 4 2 3" xfId="4772"/>
    <cellStyle name="Обычный 3 11 2 4 3" xfId="1236"/>
    <cellStyle name="Обычный 3 11 2 4 3 2" xfId="5068"/>
    <cellStyle name="Обычный 3 11 2 4 4" xfId="1521"/>
    <cellStyle name="Обычный 3 11 2 4 4 2" xfId="5364"/>
    <cellStyle name="Обычный 3 11 2 4 5" xfId="1813"/>
    <cellStyle name="Обычный 3 11 2 4 5 2" xfId="5660"/>
    <cellStyle name="Обычный 3 11 2 4 6" xfId="2106"/>
    <cellStyle name="Обычный 3 11 2 4 6 2" xfId="5956"/>
    <cellStyle name="Обычный 3 11 2 4 7" xfId="2401"/>
    <cellStyle name="Обычный 3 11 2 4 7 2" xfId="6252"/>
    <cellStyle name="Обычный 3 11 2 4 8" xfId="2697"/>
    <cellStyle name="Обычный 3 11 2 4 8 2" xfId="6548"/>
    <cellStyle name="Обычный 3 11 2 4 9" xfId="2993"/>
    <cellStyle name="Обычный 3 11 2 4 9 2" xfId="6844"/>
    <cellStyle name="Обычный 3 11 2 5" xfId="893"/>
    <cellStyle name="Обычный 3 11 2 5 2" xfId="8636"/>
    <cellStyle name="Обычный 3 11 2 5 3" xfId="4624"/>
    <cellStyle name="Обычный 3 11 2 6" xfId="894"/>
    <cellStyle name="Обычный 3 11 2 6 2" xfId="8637"/>
    <cellStyle name="Обычный 3 11 2 6 3" xfId="4920"/>
    <cellStyle name="Обычный 3 11 2 7" xfId="1377"/>
    <cellStyle name="Обычный 3 11 2 7 2" xfId="5216"/>
    <cellStyle name="Обычный 3 11 2 8" xfId="1666"/>
    <cellStyle name="Обычный 3 11 2 8 2" xfId="5512"/>
    <cellStyle name="Обычный 3 11 2 9" xfId="1959"/>
    <cellStyle name="Обычный 3 11 2 9 2" xfId="5808"/>
    <cellStyle name="Обычный 3 11 3" xfId="160"/>
    <cellStyle name="Обычный 3 11 3 10" xfId="2871"/>
    <cellStyle name="Обычный 3 11 3 10 2" xfId="6722"/>
    <cellStyle name="Обычный 3 11 3 11" xfId="3167"/>
    <cellStyle name="Обычный 3 11 3 11 2" xfId="7018"/>
    <cellStyle name="Обычный 3 11 3 12" xfId="3463"/>
    <cellStyle name="Обычный 3 11 3 12 2" xfId="7314"/>
    <cellStyle name="Обычный 3 11 3 13" xfId="3759"/>
    <cellStyle name="Обычный 3 11 3 13 2" xfId="7610"/>
    <cellStyle name="Обычный 3 11 3 14" xfId="4055"/>
    <cellStyle name="Обычный 3 11 3 14 2" xfId="7906"/>
    <cellStyle name="Обычный 3 11 3 15" xfId="8204"/>
    <cellStyle name="Обычный 3 11 3 16" xfId="4352"/>
    <cellStyle name="Обычный 3 11 3 2" xfId="260"/>
    <cellStyle name="Обычный 3 11 3 2 10" xfId="3315"/>
    <cellStyle name="Обычный 3 11 3 2 10 2" xfId="7166"/>
    <cellStyle name="Обычный 3 11 3 2 11" xfId="3611"/>
    <cellStyle name="Обычный 3 11 3 2 11 2" xfId="7462"/>
    <cellStyle name="Обычный 3 11 3 2 12" xfId="3907"/>
    <cellStyle name="Обычный 3 11 3 2 12 2" xfId="7758"/>
    <cellStyle name="Обычный 3 11 3 2 13" xfId="4203"/>
    <cellStyle name="Обычный 3 11 3 2 13 2" xfId="8054"/>
    <cellStyle name="Обычный 3 11 3 2 14" xfId="8305"/>
    <cellStyle name="Обычный 3 11 3 2 15" xfId="4502"/>
    <cellStyle name="Обычный 3 11 3 2 2" xfId="895"/>
    <cellStyle name="Обычный 3 11 3 2 2 2" xfId="8638"/>
    <cellStyle name="Обычный 3 11 3 2 2 3" xfId="4798"/>
    <cellStyle name="Обычный 3 11 3 2 3" xfId="1261"/>
    <cellStyle name="Обычный 3 11 3 2 3 2" xfId="5094"/>
    <cellStyle name="Обычный 3 11 3 2 4" xfId="1547"/>
    <cellStyle name="Обычный 3 11 3 2 4 2" xfId="5390"/>
    <cellStyle name="Обычный 3 11 3 2 5" xfId="1839"/>
    <cellStyle name="Обычный 3 11 3 2 5 2" xfId="5686"/>
    <cellStyle name="Обычный 3 11 3 2 6" xfId="2132"/>
    <cellStyle name="Обычный 3 11 3 2 6 2" xfId="5982"/>
    <cellStyle name="Обычный 3 11 3 2 7" xfId="2427"/>
    <cellStyle name="Обычный 3 11 3 2 7 2" xfId="6278"/>
    <cellStyle name="Обычный 3 11 3 2 8" xfId="2723"/>
    <cellStyle name="Обычный 3 11 3 2 8 2" xfId="6574"/>
    <cellStyle name="Обычный 3 11 3 2 9" xfId="3019"/>
    <cellStyle name="Обычный 3 11 3 2 9 2" xfId="6870"/>
    <cellStyle name="Обычный 3 11 3 3" xfId="360"/>
    <cellStyle name="Обычный 3 11 3 3 2" xfId="896"/>
    <cellStyle name="Обычный 3 11 3 3 3" xfId="8405"/>
    <cellStyle name="Обычный 3 11 3 3 4" xfId="4650"/>
    <cellStyle name="Обычный 3 11 3 4" xfId="897"/>
    <cellStyle name="Обычный 3 11 3 4 2" xfId="8639"/>
    <cellStyle name="Обычный 3 11 3 4 3" xfId="4946"/>
    <cellStyle name="Обычный 3 11 3 5" xfId="1403"/>
    <cellStyle name="Обычный 3 11 3 5 2" xfId="5242"/>
    <cellStyle name="Обычный 3 11 3 6" xfId="1692"/>
    <cellStyle name="Обычный 3 11 3 6 2" xfId="5538"/>
    <cellStyle name="Обычный 3 11 3 7" xfId="1985"/>
    <cellStyle name="Обычный 3 11 3 7 2" xfId="5834"/>
    <cellStyle name="Обычный 3 11 3 8" xfId="2279"/>
    <cellStyle name="Обычный 3 11 3 8 2" xfId="6130"/>
    <cellStyle name="Обычный 3 11 3 9" xfId="2575"/>
    <cellStyle name="Обычный 3 11 3 9 2" xfId="6426"/>
    <cellStyle name="Обычный 3 11 4" xfId="211"/>
    <cellStyle name="Обычный 3 11 4 10" xfId="2921"/>
    <cellStyle name="Обычный 3 11 4 10 2" xfId="6772"/>
    <cellStyle name="Обычный 3 11 4 11" xfId="3217"/>
    <cellStyle name="Обычный 3 11 4 11 2" xfId="7068"/>
    <cellStyle name="Обычный 3 11 4 12" xfId="3513"/>
    <cellStyle name="Обычный 3 11 4 12 2" xfId="7364"/>
    <cellStyle name="Обычный 3 11 4 13" xfId="3809"/>
    <cellStyle name="Обычный 3 11 4 13 2" xfId="7660"/>
    <cellStyle name="Обычный 3 11 4 14" xfId="4105"/>
    <cellStyle name="Обычный 3 11 4 14 2" xfId="7956"/>
    <cellStyle name="Обычный 3 11 4 15" xfId="8255"/>
    <cellStyle name="Обычный 3 11 4 16" xfId="4403"/>
    <cellStyle name="Обычный 3 11 4 2" xfId="898"/>
    <cellStyle name="Обычный 3 11 4 2 10" xfId="3365"/>
    <cellStyle name="Обычный 3 11 4 2 10 2" xfId="7216"/>
    <cellStyle name="Обычный 3 11 4 2 11" xfId="3661"/>
    <cellStyle name="Обычный 3 11 4 2 11 2" xfId="7512"/>
    <cellStyle name="Обычный 3 11 4 2 12" xfId="3957"/>
    <cellStyle name="Обычный 3 11 4 2 12 2" xfId="7808"/>
    <cellStyle name="Обычный 3 11 4 2 13" xfId="4253"/>
    <cellStyle name="Обычный 3 11 4 2 13 2" xfId="8104"/>
    <cellStyle name="Обычный 3 11 4 2 14" xfId="8640"/>
    <cellStyle name="Обычный 3 11 4 2 15" xfId="4552"/>
    <cellStyle name="Обычный 3 11 4 2 2" xfId="1120"/>
    <cellStyle name="Обычный 3 11 4 2 2 2" xfId="4848"/>
    <cellStyle name="Обычный 3 11 4 2 3" xfId="1309"/>
    <cellStyle name="Обычный 3 11 4 2 3 2" xfId="5144"/>
    <cellStyle name="Обычный 3 11 4 2 4" xfId="1596"/>
    <cellStyle name="Обычный 3 11 4 2 4 2" xfId="5440"/>
    <cellStyle name="Обычный 3 11 4 2 5" xfId="1889"/>
    <cellStyle name="Обычный 3 11 4 2 5 2" xfId="5736"/>
    <cellStyle name="Обычный 3 11 4 2 6" xfId="2182"/>
    <cellStyle name="Обычный 3 11 4 2 6 2" xfId="6032"/>
    <cellStyle name="Обычный 3 11 4 2 7" xfId="2477"/>
    <cellStyle name="Обычный 3 11 4 2 7 2" xfId="6328"/>
    <cellStyle name="Обычный 3 11 4 2 8" xfId="2773"/>
    <cellStyle name="Обычный 3 11 4 2 8 2" xfId="6624"/>
    <cellStyle name="Обычный 3 11 4 2 9" xfId="3069"/>
    <cellStyle name="Обычный 3 11 4 2 9 2" xfId="6920"/>
    <cellStyle name="Обычный 3 11 4 3" xfId="1073"/>
    <cellStyle name="Обычный 3 11 4 3 2" xfId="4700"/>
    <cellStyle name="Обычный 3 11 4 4" xfId="1167"/>
    <cellStyle name="Обычный 3 11 4 4 2" xfId="4996"/>
    <cellStyle name="Обычный 3 11 4 5" xfId="1450"/>
    <cellStyle name="Обычный 3 11 4 5 2" xfId="5292"/>
    <cellStyle name="Обычный 3 11 4 6" xfId="1741"/>
    <cellStyle name="Обычный 3 11 4 6 2" xfId="5588"/>
    <cellStyle name="Обычный 3 11 4 7" xfId="2034"/>
    <cellStyle name="Обычный 3 11 4 7 2" xfId="5884"/>
    <cellStyle name="Обычный 3 11 4 8" xfId="2329"/>
    <cellStyle name="Обычный 3 11 4 8 2" xfId="6180"/>
    <cellStyle name="Обычный 3 11 4 9" xfId="2625"/>
    <cellStyle name="Обычный 3 11 4 9 2" xfId="6476"/>
    <cellStyle name="Обычный 3 11 5" xfId="310"/>
    <cellStyle name="Обычный 3 11 5 10" xfId="3267"/>
    <cellStyle name="Обычный 3 11 5 10 2" xfId="7118"/>
    <cellStyle name="Обычный 3 11 5 11" xfId="3563"/>
    <cellStyle name="Обычный 3 11 5 11 2" xfId="7414"/>
    <cellStyle name="Обычный 3 11 5 12" xfId="3859"/>
    <cellStyle name="Обычный 3 11 5 12 2" xfId="7710"/>
    <cellStyle name="Обычный 3 11 5 13" xfId="4155"/>
    <cellStyle name="Обычный 3 11 5 13 2" xfId="8006"/>
    <cellStyle name="Обычный 3 11 5 14" xfId="8355"/>
    <cellStyle name="Обычный 3 11 5 15" xfId="4454"/>
    <cellStyle name="Обычный 3 11 5 2" xfId="899"/>
    <cellStyle name="Обычный 3 11 5 2 2" xfId="8641"/>
    <cellStyle name="Обычный 3 11 5 2 3" xfId="4750"/>
    <cellStyle name="Обычный 3 11 5 3" xfId="1214"/>
    <cellStyle name="Обычный 3 11 5 3 2" xfId="5046"/>
    <cellStyle name="Обычный 3 11 5 4" xfId="1499"/>
    <cellStyle name="Обычный 3 11 5 4 2" xfId="5342"/>
    <cellStyle name="Обычный 3 11 5 5" xfId="1791"/>
    <cellStyle name="Обычный 3 11 5 5 2" xfId="5638"/>
    <cellStyle name="Обычный 3 11 5 6" xfId="2084"/>
    <cellStyle name="Обычный 3 11 5 6 2" xfId="5934"/>
    <cellStyle name="Обычный 3 11 5 7" xfId="2379"/>
    <cellStyle name="Обычный 3 11 5 7 2" xfId="6230"/>
    <cellStyle name="Обычный 3 11 5 8" xfId="2675"/>
    <cellStyle name="Обычный 3 11 5 8 2" xfId="6526"/>
    <cellStyle name="Обычный 3 11 5 9" xfId="2971"/>
    <cellStyle name="Обычный 3 11 5 9 2" xfId="6822"/>
    <cellStyle name="Обычный 3 11 6" xfId="900"/>
    <cellStyle name="Обычный 3 11 6 2" xfId="8642"/>
    <cellStyle name="Обычный 3 11 6 3" xfId="4602"/>
    <cellStyle name="Обычный 3 11 7" xfId="901"/>
    <cellStyle name="Обычный 3 11 7 2" xfId="8643"/>
    <cellStyle name="Обычный 3 11 7 3" xfId="4898"/>
    <cellStyle name="Обычный 3 11 8" xfId="1356"/>
    <cellStyle name="Обычный 3 11 8 2" xfId="5194"/>
    <cellStyle name="Обычный 3 11 9" xfId="1645"/>
    <cellStyle name="Обычный 3 11 9 2" xfId="5490"/>
    <cellStyle name="Обычный 3 12" xfId="131"/>
    <cellStyle name="Обычный 3 12 10" xfId="2251"/>
    <cellStyle name="Обычный 3 12 10 2" xfId="6102"/>
    <cellStyle name="Обычный 3 12 11" xfId="2547"/>
    <cellStyle name="Обычный 3 12 11 2" xfId="6398"/>
    <cellStyle name="Обычный 3 12 12" xfId="2843"/>
    <cellStyle name="Обычный 3 12 12 2" xfId="6694"/>
    <cellStyle name="Обычный 3 12 13" xfId="3139"/>
    <cellStyle name="Обычный 3 12 13 2" xfId="6990"/>
    <cellStyle name="Обычный 3 12 14" xfId="3435"/>
    <cellStyle name="Обычный 3 12 14 2" xfId="7286"/>
    <cellStyle name="Обычный 3 12 15" xfId="3731"/>
    <cellStyle name="Обычный 3 12 15 2" xfId="7582"/>
    <cellStyle name="Обычный 3 12 16" xfId="4027"/>
    <cellStyle name="Обычный 3 12 16 2" xfId="7878"/>
    <cellStyle name="Обычный 3 12 17" xfId="8174"/>
    <cellStyle name="Обычный 3 12 18" xfId="4323"/>
    <cellStyle name="Обычный 3 12 2" xfId="179"/>
    <cellStyle name="Обычный 3 12 2 10" xfId="2891"/>
    <cellStyle name="Обычный 3 12 2 10 2" xfId="6742"/>
    <cellStyle name="Обычный 3 12 2 11" xfId="3187"/>
    <cellStyle name="Обычный 3 12 2 11 2" xfId="7038"/>
    <cellStyle name="Обычный 3 12 2 12" xfId="3483"/>
    <cellStyle name="Обычный 3 12 2 12 2" xfId="7334"/>
    <cellStyle name="Обычный 3 12 2 13" xfId="3779"/>
    <cellStyle name="Обычный 3 12 2 13 2" xfId="7630"/>
    <cellStyle name="Обычный 3 12 2 14" xfId="4075"/>
    <cellStyle name="Обычный 3 12 2 14 2" xfId="7926"/>
    <cellStyle name="Обычный 3 12 2 15" xfId="8224"/>
    <cellStyle name="Обычный 3 12 2 16" xfId="4372"/>
    <cellStyle name="Обычный 3 12 2 2" xfId="279"/>
    <cellStyle name="Обычный 3 12 2 2 10" xfId="3335"/>
    <cellStyle name="Обычный 3 12 2 2 10 2" xfId="7186"/>
    <cellStyle name="Обычный 3 12 2 2 11" xfId="3631"/>
    <cellStyle name="Обычный 3 12 2 2 11 2" xfId="7482"/>
    <cellStyle name="Обычный 3 12 2 2 12" xfId="3927"/>
    <cellStyle name="Обычный 3 12 2 2 12 2" xfId="7778"/>
    <cellStyle name="Обычный 3 12 2 2 13" xfId="4223"/>
    <cellStyle name="Обычный 3 12 2 2 13 2" xfId="8074"/>
    <cellStyle name="Обычный 3 12 2 2 14" xfId="8325"/>
    <cellStyle name="Обычный 3 12 2 2 15" xfId="4522"/>
    <cellStyle name="Обычный 3 12 2 2 2" xfId="902"/>
    <cellStyle name="Обычный 3 12 2 2 2 2" xfId="8644"/>
    <cellStyle name="Обычный 3 12 2 2 2 3" xfId="4818"/>
    <cellStyle name="Обычный 3 12 2 2 3" xfId="1280"/>
    <cellStyle name="Обычный 3 12 2 2 3 2" xfId="5114"/>
    <cellStyle name="Обычный 3 12 2 2 4" xfId="1566"/>
    <cellStyle name="Обычный 3 12 2 2 4 2" xfId="5410"/>
    <cellStyle name="Обычный 3 12 2 2 5" xfId="1859"/>
    <cellStyle name="Обычный 3 12 2 2 5 2" xfId="5706"/>
    <cellStyle name="Обычный 3 12 2 2 6" xfId="2152"/>
    <cellStyle name="Обычный 3 12 2 2 6 2" xfId="6002"/>
    <cellStyle name="Обычный 3 12 2 2 7" xfId="2447"/>
    <cellStyle name="Обычный 3 12 2 2 7 2" xfId="6298"/>
    <cellStyle name="Обычный 3 12 2 2 8" xfId="2743"/>
    <cellStyle name="Обычный 3 12 2 2 8 2" xfId="6594"/>
    <cellStyle name="Обычный 3 12 2 2 9" xfId="3039"/>
    <cellStyle name="Обычный 3 12 2 2 9 2" xfId="6890"/>
    <cellStyle name="Обычный 3 12 2 3" xfId="380"/>
    <cellStyle name="Обычный 3 12 2 3 2" xfId="903"/>
    <cellStyle name="Обычный 3 12 2 3 3" xfId="8425"/>
    <cellStyle name="Обычный 3 12 2 3 4" xfId="4670"/>
    <cellStyle name="Обычный 3 12 2 4" xfId="904"/>
    <cellStyle name="Обычный 3 12 2 4 2" xfId="8645"/>
    <cellStyle name="Обычный 3 12 2 4 3" xfId="4966"/>
    <cellStyle name="Обычный 3 12 2 5" xfId="1422"/>
    <cellStyle name="Обычный 3 12 2 5 2" xfId="5262"/>
    <cellStyle name="Обычный 3 12 2 6" xfId="1712"/>
    <cellStyle name="Обычный 3 12 2 6 2" xfId="5558"/>
    <cellStyle name="Обычный 3 12 2 7" xfId="2004"/>
    <cellStyle name="Обычный 3 12 2 7 2" xfId="5854"/>
    <cellStyle name="Обычный 3 12 2 8" xfId="2299"/>
    <cellStyle name="Обычный 3 12 2 8 2" xfId="6150"/>
    <cellStyle name="Обычный 3 12 2 9" xfId="2595"/>
    <cellStyle name="Обычный 3 12 2 9 2" xfId="6446"/>
    <cellStyle name="Обычный 3 12 3" xfId="230"/>
    <cellStyle name="Обычный 3 12 3 10" xfId="2941"/>
    <cellStyle name="Обычный 3 12 3 10 2" xfId="6792"/>
    <cellStyle name="Обычный 3 12 3 11" xfId="3237"/>
    <cellStyle name="Обычный 3 12 3 11 2" xfId="7088"/>
    <cellStyle name="Обычный 3 12 3 12" xfId="3533"/>
    <cellStyle name="Обычный 3 12 3 12 2" xfId="7384"/>
    <cellStyle name="Обычный 3 12 3 13" xfId="3829"/>
    <cellStyle name="Обычный 3 12 3 13 2" xfId="7680"/>
    <cellStyle name="Обычный 3 12 3 14" xfId="4125"/>
    <cellStyle name="Обычный 3 12 3 14 2" xfId="7976"/>
    <cellStyle name="Обычный 3 12 3 15" xfId="8275"/>
    <cellStyle name="Обычный 3 12 3 16" xfId="4423"/>
    <cellStyle name="Обычный 3 12 3 2" xfId="905"/>
    <cellStyle name="Обычный 3 12 3 2 10" xfId="3385"/>
    <cellStyle name="Обычный 3 12 3 2 10 2" xfId="7236"/>
    <cellStyle name="Обычный 3 12 3 2 11" xfId="3681"/>
    <cellStyle name="Обычный 3 12 3 2 11 2" xfId="7532"/>
    <cellStyle name="Обычный 3 12 3 2 12" xfId="3977"/>
    <cellStyle name="Обычный 3 12 3 2 12 2" xfId="7828"/>
    <cellStyle name="Обычный 3 12 3 2 13" xfId="4273"/>
    <cellStyle name="Обычный 3 12 3 2 13 2" xfId="8124"/>
    <cellStyle name="Обычный 3 12 3 2 14" xfId="8646"/>
    <cellStyle name="Обычный 3 12 3 2 15" xfId="4572"/>
    <cellStyle name="Обычный 3 12 3 2 2" xfId="1139"/>
    <cellStyle name="Обычный 3 12 3 2 2 2" xfId="4868"/>
    <cellStyle name="Обычный 3 12 3 2 3" xfId="1328"/>
    <cellStyle name="Обычный 3 12 3 2 3 2" xfId="5164"/>
    <cellStyle name="Обычный 3 12 3 2 4" xfId="1615"/>
    <cellStyle name="Обычный 3 12 3 2 4 2" xfId="5460"/>
    <cellStyle name="Обычный 3 12 3 2 5" xfId="1908"/>
    <cellStyle name="Обычный 3 12 3 2 5 2" xfId="5756"/>
    <cellStyle name="Обычный 3 12 3 2 6" xfId="2202"/>
    <cellStyle name="Обычный 3 12 3 2 6 2" xfId="6052"/>
    <cellStyle name="Обычный 3 12 3 2 7" xfId="2497"/>
    <cellStyle name="Обычный 3 12 3 2 7 2" xfId="6348"/>
    <cellStyle name="Обычный 3 12 3 2 8" xfId="2793"/>
    <cellStyle name="Обычный 3 12 3 2 8 2" xfId="6644"/>
    <cellStyle name="Обычный 3 12 3 2 9" xfId="3089"/>
    <cellStyle name="Обычный 3 12 3 2 9 2" xfId="6940"/>
    <cellStyle name="Обычный 3 12 3 3" xfId="1092"/>
    <cellStyle name="Обычный 3 12 3 3 2" xfId="4720"/>
    <cellStyle name="Обычный 3 12 3 4" xfId="1186"/>
    <cellStyle name="Обычный 3 12 3 4 2" xfId="5016"/>
    <cellStyle name="Обычный 3 12 3 5" xfId="1470"/>
    <cellStyle name="Обычный 3 12 3 5 2" xfId="5312"/>
    <cellStyle name="Обычный 3 12 3 6" xfId="1761"/>
    <cellStyle name="Обычный 3 12 3 6 2" xfId="5608"/>
    <cellStyle name="Обычный 3 12 3 7" xfId="2054"/>
    <cellStyle name="Обычный 3 12 3 7 2" xfId="5904"/>
    <cellStyle name="Обычный 3 12 3 8" xfId="2349"/>
    <cellStyle name="Обычный 3 12 3 8 2" xfId="6200"/>
    <cellStyle name="Обычный 3 12 3 9" xfId="2645"/>
    <cellStyle name="Обычный 3 12 3 9 2" xfId="6496"/>
    <cellStyle name="Обычный 3 12 4" xfId="330"/>
    <cellStyle name="Обычный 3 12 4 10" xfId="3287"/>
    <cellStyle name="Обычный 3 12 4 10 2" xfId="7138"/>
    <cellStyle name="Обычный 3 12 4 11" xfId="3583"/>
    <cellStyle name="Обычный 3 12 4 11 2" xfId="7434"/>
    <cellStyle name="Обычный 3 12 4 12" xfId="3879"/>
    <cellStyle name="Обычный 3 12 4 12 2" xfId="7730"/>
    <cellStyle name="Обычный 3 12 4 13" xfId="4175"/>
    <cellStyle name="Обычный 3 12 4 13 2" xfId="8026"/>
    <cellStyle name="Обычный 3 12 4 14" xfId="8375"/>
    <cellStyle name="Обычный 3 12 4 15" xfId="4474"/>
    <cellStyle name="Обычный 3 12 4 2" xfId="906"/>
    <cellStyle name="Обычный 3 12 4 2 2" xfId="8647"/>
    <cellStyle name="Обычный 3 12 4 2 3" xfId="4770"/>
    <cellStyle name="Обычный 3 12 4 3" xfId="1234"/>
    <cellStyle name="Обычный 3 12 4 3 2" xfId="5066"/>
    <cellStyle name="Обычный 3 12 4 4" xfId="1519"/>
    <cellStyle name="Обычный 3 12 4 4 2" xfId="5362"/>
    <cellStyle name="Обычный 3 12 4 5" xfId="1811"/>
    <cellStyle name="Обычный 3 12 4 5 2" xfId="5658"/>
    <cellStyle name="Обычный 3 12 4 6" xfId="2104"/>
    <cellStyle name="Обычный 3 12 4 6 2" xfId="5954"/>
    <cellStyle name="Обычный 3 12 4 7" xfId="2399"/>
    <cellStyle name="Обычный 3 12 4 7 2" xfId="6250"/>
    <cellStyle name="Обычный 3 12 4 8" xfId="2695"/>
    <cellStyle name="Обычный 3 12 4 8 2" xfId="6546"/>
    <cellStyle name="Обычный 3 12 4 9" xfId="2991"/>
    <cellStyle name="Обычный 3 12 4 9 2" xfId="6842"/>
    <cellStyle name="Обычный 3 12 5" xfId="907"/>
    <cellStyle name="Обычный 3 12 5 2" xfId="8648"/>
    <cellStyle name="Обычный 3 12 5 3" xfId="4622"/>
    <cellStyle name="Обычный 3 12 6" xfId="908"/>
    <cellStyle name="Обычный 3 12 6 2" xfId="8649"/>
    <cellStyle name="Обычный 3 12 6 3" xfId="4918"/>
    <cellStyle name="Обычный 3 12 7" xfId="1375"/>
    <cellStyle name="Обычный 3 12 7 2" xfId="5214"/>
    <cellStyle name="Обычный 3 12 8" xfId="1664"/>
    <cellStyle name="Обычный 3 12 8 2" xfId="5510"/>
    <cellStyle name="Обычный 3 12 9" xfId="1957"/>
    <cellStyle name="Обычный 3 12 9 2" xfId="5806"/>
    <cellStyle name="Обычный 3 13" xfId="88"/>
    <cellStyle name="Обычный 3 13 10" xfId="2230"/>
    <cellStyle name="Обычный 3 13 10 2" xfId="6080"/>
    <cellStyle name="Обычный 3 13 11" xfId="2525"/>
    <cellStyle name="Обычный 3 13 11 2" xfId="6376"/>
    <cellStyle name="Обычный 3 13 12" xfId="2821"/>
    <cellStyle name="Обычный 3 13 12 2" xfId="6672"/>
    <cellStyle name="Обычный 3 13 13" xfId="3117"/>
    <cellStyle name="Обычный 3 13 13 2" xfId="6968"/>
    <cellStyle name="Обычный 3 13 14" xfId="3413"/>
    <cellStyle name="Обычный 3 13 14 2" xfId="7264"/>
    <cellStyle name="Обычный 3 13 15" xfId="3709"/>
    <cellStyle name="Обычный 3 13 15 2" xfId="7560"/>
    <cellStyle name="Обычный 3 13 16" xfId="4005"/>
    <cellStyle name="Обычный 3 13 16 2" xfId="7856"/>
    <cellStyle name="Обычный 3 13 17" xfId="8152"/>
    <cellStyle name="Обычный 3 13 18" xfId="4301"/>
    <cellStyle name="Обычный 3 13 2" xfId="158"/>
    <cellStyle name="Обычный 3 13 2 10" xfId="2869"/>
    <cellStyle name="Обычный 3 13 2 10 2" xfId="6720"/>
    <cellStyle name="Обычный 3 13 2 11" xfId="3165"/>
    <cellStyle name="Обычный 3 13 2 11 2" xfId="7016"/>
    <cellStyle name="Обычный 3 13 2 12" xfId="3461"/>
    <cellStyle name="Обычный 3 13 2 12 2" xfId="7312"/>
    <cellStyle name="Обычный 3 13 2 13" xfId="3757"/>
    <cellStyle name="Обычный 3 13 2 13 2" xfId="7608"/>
    <cellStyle name="Обычный 3 13 2 14" xfId="4053"/>
    <cellStyle name="Обычный 3 13 2 14 2" xfId="7904"/>
    <cellStyle name="Обычный 3 13 2 15" xfId="8202"/>
    <cellStyle name="Обычный 3 13 2 16" xfId="4350"/>
    <cellStyle name="Обычный 3 13 2 2" xfId="258"/>
    <cellStyle name="Обычный 3 13 2 2 10" xfId="3313"/>
    <cellStyle name="Обычный 3 13 2 2 10 2" xfId="7164"/>
    <cellStyle name="Обычный 3 13 2 2 11" xfId="3609"/>
    <cellStyle name="Обычный 3 13 2 2 11 2" xfId="7460"/>
    <cellStyle name="Обычный 3 13 2 2 12" xfId="3905"/>
    <cellStyle name="Обычный 3 13 2 2 12 2" xfId="7756"/>
    <cellStyle name="Обычный 3 13 2 2 13" xfId="4201"/>
    <cellStyle name="Обычный 3 13 2 2 13 2" xfId="8052"/>
    <cellStyle name="Обычный 3 13 2 2 14" xfId="8303"/>
    <cellStyle name="Обычный 3 13 2 2 15" xfId="4500"/>
    <cellStyle name="Обычный 3 13 2 2 2" xfId="909"/>
    <cellStyle name="Обычный 3 13 2 2 2 2" xfId="8650"/>
    <cellStyle name="Обычный 3 13 2 2 2 3" xfId="4796"/>
    <cellStyle name="Обычный 3 13 2 2 3" xfId="1259"/>
    <cellStyle name="Обычный 3 13 2 2 3 2" xfId="5092"/>
    <cellStyle name="Обычный 3 13 2 2 4" xfId="1545"/>
    <cellStyle name="Обычный 3 13 2 2 4 2" xfId="5388"/>
    <cellStyle name="Обычный 3 13 2 2 5" xfId="1837"/>
    <cellStyle name="Обычный 3 13 2 2 5 2" xfId="5684"/>
    <cellStyle name="Обычный 3 13 2 2 6" xfId="2130"/>
    <cellStyle name="Обычный 3 13 2 2 6 2" xfId="5980"/>
    <cellStyle name="Обычный 3 13 2 2 7" xfId="2425"/>
    <cellStyle name="Обычный 3 13 2 2 7 2" xfId="6276"/>
    <cellStyle name="Обычный 3 13 2 2 8" xfId="2721"/>
    <cellStyle name="Обычный 3 13 2 2 8 2" xfId="6572"/>
    <cellStyle name="Обычный 3 13 2 2 9" xfId="3017"/>
    <cellStyle name="Обычный 3 13 2 2 9 2" xfId="6868"/>
    <cellStyle name="Обычный 3 13 2 3" xfId="358"/>
    <cellStyle name="Обычный 3 13 2 3 2" xfId="910"/>
    <cellStyle name="Обычный 3 13 2 3 3" xfId="8403"/>
    <cellStyle name="Обычный 3 13 2 3 4" xfId="4648"/>
    <cellStyle name="Обычный 3 13 2 4" xfId="911"/>
    <cellStyle name="Обычный 3 13 2 4 2" xfId="8651"/>
    <cellStyle name="Обычный 3 13 2 4 3" xfId="4944"/>
    <cellStyle name="Обычный 3 13 2 5" xfId="1401"/>
    <cellStyle name="Обычный 3 13 2 5 2" xfId="5240"/>
    <cellStyle name="Обычный 3 13 2 6" xfId="1690"/>
    <cellStyle name="Обычный 3 13 2 6 2" xfId="5536"/>
    <cellStyle name="Обычный 3 13 2 7" xfId="1983"/>
    <cellStyle name="Обычный 3 13 2 7 2" xfId="5832"/>
    <cellStyle name="Обычный 3 13 2 8" xfId="2277"/>
    <cellStyle name="Обычный 3 13 2 8 2" xfId="6128"/>
    <cellStyle name="Обычный 3 13 2 9" xfId="2573"/>
    <cellStyle name="Обычный 3 13 2 9 2" xfId="6424"/>
    <cellStyle name="Обычный 3 13 3" xfId="209"/>
    <cellStyle name="Обычный 3 13 3 10" xfId="2919"/>
    <cellStyle name="Обычный 3 13 3 10 2" xfId="6770"/>
    <cellStyle name="Обычный 3 13 3 11" xfId="3215"/>
    <cellStyle name="Обычный 3 13 3 11 2" xfId="7066"/>
    <cellStyle name="Обычный 3 13 3 12" xfId="3511"/>
    <cellStyle name="Обычный 3 13 3 12 2" xfId="7362"/>
    <cellStyle name="Обычный 3 13 3 13" xfId="3807"/>
    <cellStyle name="Обычный 3 13 3 13 2" xfId="7658"/>
    <cellStyle name="Обычный 3 13 3 14" xfId="4103"/>
    <cellStyle name="Обычный 3 13 3 14 2" xfId="7954"/>
    <cellStyle name="Обычный 3 13 3 15" xfId="8253"/>
    <cellStyle name="Обычный 3 13 3 16" xfId="4401"/>
    <cellStyle name="Обычный 3 13 3 2" xfId="912"/>
    <cellStyle name="Обычный 3 13 3 2 10" xfId="3363"/>
    <cellStyle name="Обычный 3 13 3 2 10 2" xfId="7214"/>
    <cellStyle name="Обычный 3 13 3 2 11" xfId="3659"/>
    <cellStyle name="Обычный 3 13 3 2 11 2" xfId="7510"/>
    <cellStyle name="Обычный 3 13 3 2 12" xfId="3955"/>
    <cellStyle name="Обычный 3 13 3 2 12 2" xfId="7806"/>
    <cellStyle name="Обычный 3 13 3 2 13" xfId="4251"/>
    <cellStyle name="Обычный 3 13 3 2 13 2" xfId="8102"/>
    <cellStyle name="Обычный 3 13 3 2 14" xfId="8652"/>
    <cellStyle name="Обычный 3 13 3 2 15" xfId="4550"/>
    <cellStyle name="Обычный 3 13 3 2 2" xfId="1118"/>
    <cellStyle name="Обычный 3 13 3 2 2 2" xfId="4846"/>
    <cellStyle name="Обычный 3 13 3 2 3" xfId="1307"/>
    <cellStyle name="Обычный 3 13 3 2 3 2" xfId="5142"/>
    <cellStyle name="Обычный 3 13 3 2 4" xfId="1594"/>
    <cellStyle name="Обычный 3 13 3 2 4 2" xfId="5438"/>
    <cellStyle name="Обычный 3 13 3 2 5" xfId="1887"/>
    <cellStyle name="Обычный 3 13 3 2 5 2" xfId="5734"/>
    <cellStyle name="Обычный 3 13 3 2 6" xfId="2180"/>
    <cellStyle name="Обычный 3 13 3 2 6 2" xfId="6030"/>
    <cellStyle name="Обычный 3 13 3 2 7" xfId="2475"/>
    <cellStyle name="Обычный 3 13 3 2 7 2" xfId="6326"/>
    <cellStyle name="Обычный 3 13 3 2 8" xfId="2771"/>
    <cellStyle name="Обычный 3 13 3 2 8 2" xfId="6622"/>
    <cellStyle name="Обычный 3 13 3 2 9" xfId="3067"/>
    <cellStyle name="Обычный 3 13 3 2 9 2" xfId="6918"/>
    <cellStyle name="Обычный 3 13 3 3" xfId="1071"/>
    <cellStyle name="Обычный 3 13 3 3 2" xfId="4698"/>
    <cellStyle name="Обычный 3 13 3 4" xfId="1165"/>
    <cellStyle name="Обычный 3 13 3 4 2" xfId="4994"/>
    <cellStyle name="Обычный 3 13 3 5" xfId="1448"/>
    <cellStyle name="Обычный 3 13 3 5 2" xfId="5290"/>
    <cellStyle name="Обычный 3 13 3 6" xfId="1739"/>
    <cellStyle name="Обычный 3 13 3 6 2" xfId="5586"/>
    <cellStyle name="Обычный 3 13 3 7" xfId="2032"/>
    <cellStyle name="Обычный 3 13 3 7 2" xfId="5882"/>
    <cellStyle name="Обычный 3 13 3 8" xfId="2327"/>
    <cellStyle name="Обычный 3 13 3 8 2" xfId="6178"/>
    <cellStyle name="Обычный 3 13 3 9" xfId="2623"/>
    <cellStyle name="Обычный 3 13 3 9 2" xfId="6474"/>
    <cellStyle name="Обычный 3 13 4" xfId="308"/>
    <cellStyle name="Обычный 3 13 4 10" xfId="3265"/>
    <cellStyle name="Обычный 3 13 4 10 2" xfId="7116"/>
    <cellStyle name="Обычный 3 13 4 11" xfId="3561"/>
    <cellStyle name="Обычный 3 13 4 11 2" xfId="7412"/>
    <cellStyle name="Обычный 3 13 4 12" xfId="3857"/>
    <cellStyle name="Обычный 3 13 4 12 2" xfId="7708"/>
    <cellStyle name="Обычный 3 13 4 13" xfId="4153"/>
    <cellStyle name="Обычный 3 13 4 13 2" xfId="8004"/>
    <cellStyle name="Обычный 3 13 4 14" xfId="8353"/>
    <cellStyle name="Обычный 3 13 4 15" xfId="4452"/>
    <cellStyle name="Обычный 3 13 4 2" xfId="913"/>
    <cellStyle name="Обычный 3 13 4 2 2" xfId="8653"/>
    <cellStyle name="Обычный 3 13 4 2 3" xfId="4748"/>
    <cellStyle name="Обычный 3 13 4 3" xfId="1212"/>
    <cellStyle name="Обычный 3 13 4 3 2" xfId="5044"/>
    <cellStyle name="Обычный 3 13 4 4" xfId="1497"/>
    <cellStyle name="Обычный 3 13 4 4 2" xfId="5340"/>
    <cellStyle name="Обычный 3 13 4 5" xfId="1789"/>
    <cellStyle name="Обычный 3 13 4 5 2" xfId="5636"/>
    <cellStyle name="Обычный 3 13 4 6" xfId="2082"/>
    <cellStyle name="Обычный 3 13 4 6 2" xfId="5932"/>
    <cellStyle name="Обычный 3 13 4 7" xfId="2377"/>
    <cellStyle name="Обычный 3 13 4 7 2" xfId="6228"/>
    <cellStyle name="Обычный 3 13 4 8" xfId="2673"/>
    <cellStyle name="Обычный 3 13 4 8 2" xfId="6524"/>
    <cellStyle name="Обычный 3 13 4 9" xfId="2969"/>
    <cellStyle name="Обычный 3 13 4 9 2" xfId="6820"/>
    <cellStyle name="Обычный 3 13 5" xfId="914"/>
    <cellStyle name="Обычный 3 13 5 2" xfId="8654"/>
    <cellStyle name="Обычный 3 13 5 3" xfId="4600"/>
    <cellStyle name="Обычный 3 13 6" xfId="915"/>
    <cellStyle name="Обычный 3 13 6 2" xfId="8655"/>
    <cellStyle name="Обычный 3 13 6 3" xfId="4896"/>
    <cellStyle name="Обычный 3 13 7" xfId="1354"/>
    <cellStyle name="Обычный 3 13 7 2" xfId="5192"/>
    <cellStyle name="Обычный 3 13 8" xfId="1643"/>
    <cellStyle name="Обычный 3 13 8 2" xfId="5488"/>
    <cellStyle name="Обычный 3 13 9" xfId="1936"/>
    <cellStyle name="Обычный 3 13 9 2" xfId="5784"/>
    <cellStyle name="Обычный 3 14" xfId="143"/>
    <cellStyle name="Обычный 3 14 10" xfId="2854"/>
    <cellStyle name="Обычный 3 14 10 2" xfId="6705"/>
    <cellStyle name="Обычный 3 14 11" xfId="3150"/>
    <cellStyle name="Обычный 3 14 11 2" xfId="7001"/>
    <cellStyle name="Обычный 3 14 12" xfId="3446"/>
    <cellStyle name="Обычный 3 14 12 2" xfId="7297"/>
    <cellStyle name="Обычный 3 14 13" xfId="3742"/>
    <cellStyle name="Обычный 3 14 13 2" xfId="7593"/>
    <cellStyle name="Обычный 3 14 14" xfId="4038"/>
    <cellStyle name="Обычный 3 14 14 2" xfId="7889"/>
    <cellStyle name="Обычный 3 14 15" xfId="8187"/>
    <cellStyle name="Обычный 3 14 16" xfId="4335"/>
    <cellStyle name="Обычный 3 14 2" xfId="243"/>
    <cellStyle name="Обычный 3 14 2 10" xfId="3298"/>
    <cellStyle name="Обычный 3 14 2 10 2" xfId="7149"/>
    <cellStyle name="Обычный 3 14 2 11" xfId="3594"/>
    <cellStyle name="Обычный 3 14 2 11 2" xfId="7445"/>
    <cellStyle name="Обычный 3 14 2 12" xfId="3890"/>
    <cellStyle name="Обычный 3 14 2 12 2" xfId="7741"/>
    <cellStyle name="Обычный 3 14 2 13" xfId="4186"/>
    <cellStyle name="Обычный 3 14 2 13 2" xfId="8037"/>
    <cellStyle name="Обычный 3 14 2 14" xfId="8288"/>
    <cellStyle name="Обычный 3 14 2 15" xfId="4485"/>
    <cellStyle name="Обычный 3 14 2 2" xfId="916"/>
    <cellStyle name="Обычный 3 14 2 2 2" xfId="8656"/>
    <cellStyle name="Обычный 3 14 2 2 3" xfId="4781"/>
    <cellStyle name="Обычный 3 14 2 3" xfId="1244"/>
    <cellStyle name="Обычный 3 14 2 3 2" xfId="5077"/>
    <cellStyle name="Обычный 3 14 2 4" xfId="1530"/>
    <cellStyle name="Обычный 3 14 2 4 2" xfId="5373"/>
    <cellStyle name="Обычный 3 14 2 5" xfId="1822"/>
    <cellStyle name="Обычный 3 14 2 5 2" xfId="5669"/>
    <cellStyle name="Обычный 3 14 2 6" xfId="2115"/>
    <cellStyle name="Обычный 3 14 2 6 2" xfId="5965"/>
    <cellStyle name="Обычный 3 14 2 7" xfId="2410"/>
    <cellStyle name="Обычный 3 14 2 7 2" xfId="6261"/>
    <cellStyle name="Обычный 3 14 2 8" xfId="2706"/>
    <cellStyle name="Обычный 3 14 2 8 2" xfId="6557"/>
    <cellStyle name="Обычный 3 14 2 9" xfId="3002"/>
    <cellStyle name="Обычный 3 14 2 9 2" xfId="6853"/>
    <cellStyle name="Обычный 3 14 3" xfId="343"/>
    <cellStyle name="Обычный 3 14 3 2" xfId="917"/>
    <cellStyle name="Обычный 3 14 3 3" xfId="8388"/>
    <cellStyle name="Обычный 3 14 3 4" xfId="4633"/>
    <cellStyle name="Обычный 3 14 4" xfId="918"/>
    <cellStyle name="Обычный 3 14 4 2" xfId="8657"/>
    <cellStyle name="Обычный 3 14 4 3" xfId="4929"/>
    <cellStyle name="Обычный 3 14 5" xfId="1386"/>
    <cellStyle name="Обычный 3 14 5 2" xfId="5225"/>
    <cellStyle name="Обычный 3 14 6" xfId="1675"/>
    <cellStyle name="Обычный 3 14 6 2" xfId="5521"/>
    <cellStyle name="Обычный 3 14 7" xfId="1968"/>
    <cellStyle name="Обычный 3 14 7 2" xfId="5817"/>
    <cellStyle name="Обычный 3 14 8" xfId="2262"/>
    <cellStyle name="Обычный 3 14 8 2" xfId="6113"/>
    <cellStyle name="Обычный 3 14 9" xfId="2558"/>
    <cellStyle name="Обычный 3 14 9 2" xfId="6409"/>
    <cellStyle name="Обычный 3 15" xfId="194"/>
    <cellStyle name="Обычный 3 15 10" xfId="2904"/>
    <cellStyle name="Обычный 3 15 10 2" xfId="6755"/>
    <cellStyle name="Обычный 3 15 11" xfId="3200"/>
    <cellStyle name="Обычный 3 15 11 2" xfId="7051"/>
    <cellStyle name="Обычный 3 15 12" xfId="3496"/>
    <cellStyle name="Обычный 3 15 12 2" xfId="7347"/>
    <cellStyle name="Обычный 3 15 13" xfId="3792"/>
    <cellStyle name="Обычный 3 15 13 2" xfId="7643"/>
    <cellStyle name="Обычный 3 15 14" xfId="4088"/>
    <cellStyle name="Обычный 3 15 14 2" xfId="7939"/>
    <cellStyle name="Обычный 3 15 15" xfId="8238"/>
    <cellStyle name="Обычный 3 15 16" xfId="4386"/>
    <cellStyle name="Обычный 3 15 2" xfId="919"/>
    <cellStyle name="Обычный 3 15 2 10" xfId="3348"/>
    <cellStyle name="Обычный 3 15 2 10 2" xfId="7199"/>
    <cellStyle name="Обычный 3 15 2 11" xfId="3644"/>
    <cellStyle name="Обычный 3 15 2 11 2" xfId="7495"/>
    <cellStyle name="Обычный 3 15 2 12" xfId="3940"/>
    <cellStyle name="Обычный 3 15 2 12 2" xfId="7791"/>
    <cellStyle name="Обычный 3 15 2 13" xfId="4236"/>
    <cellStyle name="Обычный 3 15 2 13 2" xfId="8087"/>
    <cellStyle name="Обычный 3 15 2 14" xfId="8658"/>
    <cellStyle name="Обычный 3 15 2 15" xfId="4535"/>
    <cellStyle name="Обычный 3 15 2 2" xfId="1103"/>
    <cellStyle name="Обычный 3 15 2 2 2" xfId="4831"/>
    <cellStyle name="Обычный 3 15 2 3" xfId="1292"/>
    <cellStyle name="Обычный 3 15 2 3 2" xfId="5127"/>
    <cellStyle name="Обычный 3 15 2 4" xfId="1579"/>
    <cellStyle name="Обычный 3 15 2 4 2" xfId="5423"/>
    <cellStyle name="Обычный 3 15 2 5" xfId="1872"/>
    <cellStyle name="Обычный 3 15 2 5 2" xfId="5719"/>
    <cellStyle name="Обычный 3 15 2 6" xfId="2165"/>
    <cellStyle name="Обычный 3 15 2 6 2" xfId="6015"/>
    <cellStyle name="Обычный 3 15 2 7" xfId="2460"/>
    <cellStyle name="Обычный 3 15 2 7 2" xfId="6311"/>
    <cellStyle name="Обычный 3 15 2 8" xfId="2756"/>
    <cellStyle name="Обычный 3 15 2 8 2" xfId="6607"/>
    <cellStyle name="Обычный 3 15 2 9" xfId="3052"/>
    <cellStyle name="Обычный 3 15 2 9 2" xfId="6903"/>
    <cellStyle name="Обычный 3 15 3" xfId="1056"/>
    <cellStyle name="Обычный 3 15 3 2" xfId="4683"/>
    <cellStyle name="Обычный 3 15 4" xfId="1150"/>
    <cellStyle name="Обычный 3 15 4 2" xfId="4979"/>
    <cellStyle name="Обычный 3 15 5" xfId="1433"/>
    <cellStyle name="Обычный 3 15 5 2" xfId="5275"/>
    <cellStyle name="Обычный 3 15 6" xfId="1724"/>
    <cellStyle name="Обычный 3 15 6 2" xfId="5571"/>
    <cellStyle name="Обычный 3 15 7" xfId="2017"/>
    <cellStyle name="Обычный 3 15 7 2" xfId="5867"/>
    <cellStyle name="Обычный 3 15 8" xfId="2312"/>
    <cellStyle name="Обычный 3 15 8 2" xfId="6163"/>
    <cellStyle name="Обычный 3 15 9" xfId="2608"/>
    <cellStyle name="Обычный 3 15 9 2" xfId="6459"/>
    <cellStyle name="Обычный 3 16" xfId="293"/>
    <cellStyle name="Обычный 3 16 10" xfId="3250"/>
    <cellStyle name="Обычный 3 16 10 2" xfId="7101"/>
    <cellStyle name="Обычный 3 16 11" xfId="3546"/>
    <cellStyle name="Обычный 3 16 11 2" xfId="7397"/>
    <cellStyle name="Обычный 3 16 12" xfId="3842"/>
    <cellStyle name="Обычный 3 16 12 2" xfId="7693"/>
    <cellStyle name="Обычный 3 16 13" xfId="4138"/>
    <cellStyle name="Обычный 3 16 13 2" xfId="7989"/>
    <cellStyle name="Обычный 3 16 14" xfId="8338"/>
    <cellStyle name="Обычный 3 16 15" xfId="4437"/>
    <cellStyle name="Обычный 3 16 2" xfId="920"/>
    <cellStyle name="Обычный 3 16 2 2" xfId="8659"/>
    <cellStyle name="Обычный 3 16 2 3" xfId="4733"/>
    <cellStyle name="Обычный 3 16 3" xfId="1197"/>
    <cellStyle name="Обычный 3 16 3 2" xfId="5029"/>
    <cellStyle name="Обычный 3 16 4" xfId="1482"/>
    <cellStyle name="Обычный 3 16 4 2" xfId="5325"/>
    <cellStyle name="Обычный 3 16 5" xfId="1774"/>
    <cellStyle name="Обычный 3 16 5 2" xfId="5621"/>
    <cellStyle name="Обычный 3 16 6" xfId="2067"/>
    <cellStyle name="Обычный 3 16 6 2" xfId="5917"/>
    <cellStyle name="Обычный 3 16 7" xfId="2362"/>
    <cellStyle name="Обычный 3 16 7 2" xfId="6213"/>
    <cellStyle name="Обычный 3 16 8" xfId="2658"/>
    <cellStyle name="Обычный 3 16 8 2" xfId="6509"/>
    <cellStyle name="Обычный 3 16 9" xfId="2954"/>
    <cellStyle name="Обычный 3 16 9 2" xfId="6805"/>
    <cellStyle name="Обычный 3 17" xfId="394"/>
    <cellStyle name="Обычный 3 17 2" xfId="8438"/>
    <cellStyle name="Обычный 3 17 3" xfId="4585"/>
    <cellStyle name="Обычный 3 18" xfId="921"/>
    <cellStyle name="Обычный 3 18 2" xfId="8660"/>
    <cellStyle name="Обычный 3 18 3" xfId="4881"/>
    <cellStyle name="Обычный 3 19" xfId="1340"/>
    <cellStyle name="Обычный 3 19 2" xfId="5177"/>
    <cellStyle name="Обычный 3 2" xfId="14"/>
    <cellStyle name="Обычный 3 2 10" xfId="1357"/>
    <cellStyle name="Обычный 3 2 10 2" xfId="5195"/>
    <cellStyle name="Обычный 3 2 11" xfId="1646"/>
    <cellStyle name="Обычный 3 2 11 2" xfId="5491"/>
    <cellStyle name="Обычный 3 2 12" xfId="1939"/>
    <cellStyle name="Обычный 3 2 12 2" xfId="5787"/>
    <cellStyle name="Обычный 3 2 13" xfId="2233"/>
    <cellStyle name="Обычный 3 2 13 2" xfId="6083"/>
    <cellStyle name="Обычный 3 2 14" xfId="2528"/>
    <cellStyle name="Обычный 3 2 14 2" xfId="6379"/>
    <cellStyle name="Обычный 3 2 15" xfId="2824"/>
    <cellStyle name="Обычный 3 2 15 2" xfId="6675"/>
    <cellStyle name="Обычный 3 2 16" xfId="3120"/>
    <cellStyle name="Обычный 3 2 16 2" xfId="6971"/>
    <cellStyle name="Обычный 3 2 17" xfId="3416"/>
    <cellStyle name="Обычный 3 2 17 2" xfId="7267"/>
    <cellStyle name="Обычный 3 2 18" xfId="3712"/>
    <cellStyle name="Обычный 3 2 18 2" xfId="7563"/>
    <cellStyle name="Обычный 3 2 19" xfId="4008"/>
    <cellStyle name="Обычный 3 2 19 2" xfId="7859"/>
    <cellStyle name="Обычный 3 2 2" xfId="30"/>
    <cellStyle name="Обычный 3 2 2 10" xfId="1940"/>
    <cellStyle name="Обычный 3 2 2 10 2" xfId="5788"/>
    <cellStyle name="Обычный 3 2 2 11" xfId="2234"/>
    <cellStyle name="Обычный 3 2 2 11 2" xfId="6084"/>
    <cellStyle name="Обычный 3 2 2 12" xfId="2529"/>
    <cellStyle name="Обычный 3 2 2 12 2" xfId="6380"/>
    <cellStyle name="Обычный 3 2 2 13" xfId="2825"/>
    <cellStyle name="Обычный 3 2 2 13 2" xfId="6676"/>
    <cellStyle name="Обычный 3 2 2 14" xfId="3121"/>
    <cellStyle name="Обычный 3 2 2 14 2" xfId="6972"/>
    <cellStyle name="Обычный 3 2 2 15" xfId="3417"/>
    <cellStyle name="Обычный 3 2 2 15 2" xfId="7268"/>
    <cellStyle name="Обычный 3 2 2 16" xfId="3713"/>
    <cellStyle name="Обычный 3 2 2 16 2" xfId="7564"/>
    <cellStyle name="Обычный 3 2 2 17" xfId="4009"/>
    <cellStyle name="Обычный 3 2 2 17 2" xfId="7860"/>
    <cellStyle name="Обычный 3 2 2 18" xfId="8156"/>
    <cellStyle name="Обычный 3 2 2 19" xfId="4305"/>
    <cellStyle name="Обычный 3 2 2 2" xfId="36"/>
    <cellStyle name="Обычный 3 2 2 2 10" xfId="2255"/>
    <cellStyle name="Обычный 3 2 2 2 10 2" xfId="6106"/>
    <cellStyle name="Обычный 3 2 2 2 11" xfId="2551"/>
    <cellStyle name="Обычный 3 2 2 2 11 2" xfId="6402"/>
    <cellStyle name="Обычный 3 2 2 2 12" xfId="2847"/>
    <cellStyle name="Обычный 3 2 2 2 12 2" xfId="6698"/>
    <cellStyle name="Обычный 3 2 2 2 13" xfId="3143"/>
    <cellStyle name="Обычный 3 2 2 2 13 2" xfId="6994"/>
    <cellStyle name="Обычный 3 2 2 2 14" xfId="3439"/>
    <cellStyle name="Обычный 3 2 2 2 14 2" xfId="7290"/>
    <cellStyle name="Обычный 3 2 2 2 15" xfId="3735"/>
    <cellStyle name="Обычный 3 2 2 2 15 2" xfId="7586"/>
    <cellStyle name="Обычный 3 2 2 2 16" xfId="4031"/>
    <cellStyle name="Обычный 3 2 2 2 16 2" xfId="7882"/>
    <cellStyle name="Обычный 3 2 2 2 17" xfId="8178"/>
    <cellStyle name="Обычный 3 2 2 2 18" xfId="4327"/>
    <cellStyle name="Обычный 3 2 2 2 19" xfId="135"/>
    <cellStyle name="Обычный 3 2 2 2 2" xfId="54"/>
    <cellStyle name="Обычный 3 2 2 2 2 10" xfId="2895"/>
    <cellStyle name="Обычный 3 2 2 2 2 10 2" xfId="6746"/>
    <cellStyle name="Обычный 3 2 2 2 2 11" xfId="3191"/>
    <cellStyle name="Обычный 3 2 2 2 2 11 2" xfId="7042"/>
    <cellStyle name="Обычный 3 2 2 2 2 12" xfId="3487"/>
    <cellStyle name="Обычный 3 2 2 2 2 12 2" xfId="7338"/>
    <cellStyle name="Обычный 3 2 2 2 2 13" xfId="3783"/>
    <cellStyle name="Обычный 3 2 2 2 2 13 2" xfId="7634"/>
    <cellStyle name="Обычный 3 2 2 2 2 14" xfId="4079"/>
    <cellStyle name="Обычный 3 2 2 2 2 14 2" xfId="7930"/>
    <cellStyle name="Обычный 3 2 2 2 2 15" xfId="8228"/>
    <cellStyle name="Обычный 3 2 2 2 2 16" xfId="4376"/>
    <cellStyle name="Обычный 3 2 2 2 2 17" xfId="183"/>
    <cellStyle name="Обычный 3 2 2 2 2 2" xfId="283"/>
    <cellStyle name="Обычный 3 2 2 2 2 2 10" xfId="3339"/>
    <cellStyle name="Обычный 3 2 2 2 2 2 10 2" xfId="7190"/>
    <cellStyle name="Обычный 3 2 2 2 2 2 11" xfId="3635"/>
    <cellStyle name="Обычный 3 2 2 2 2 2 11 2" xfId="7486"/>
    <cellStyle name="Обычный 3 2 2 2 2 2 12" xfId="3931"/>
    <cellStyle name="Обычный 3 2 2 2 2 2 12 2" xfId="7782"/>
    <cellStyle name="Обычный 3 2 2 2 2 2 13" xfId="4227"/>
    <cellStyle name="Обычный 3 2 2 2 2 2 13 2" xfId="8078"/>
    <cellStyle name="Обычный 3 2 2 2 2 2 14" xfId="8329"/>
    <cellStyle name="Обычный 3 2 2 2 2 2 15" xfId="4526"/>
    <cellStyle name="Обычный 3 2 2 2 2 2 2" xfId="922"/>
    <cellStyle name="Обычный 3 2 2 2 2 2 2 2" xfId="8661"/>
    <cellStyle name="Обычный 3 2 2 2 2 2 2 3" xfId="4822"/>
    <cellStyle name="Обычный 3 2 2 2 2 2 3" xfId="1284"/>
    <cellStyle name="Обычный 3 2 2 2 2 2 3 2" xfId="5118"/>
    <cellStyle name="Обычный 3 2 2 2 2 2 4" xfId="1570"/>
    <cellStyle name="Обычный 3 2 2 2 2 2 4 2" xfId="5414"/>
    <cellStyle name="Обычный 3 2 2 2 2 2 5" xfId="1863"/>
    <cellStyle name="Обычный 3 2 2 2 2 2 5 2" xfId="5710"/>
    <cellStyle name="Обычный 3 2 2 2 2 2 6" xfId="2156"/>
    <cellStyle name="Обычный 3 2 2 2 2 2 6 2" xfId="6006"/>
    <cellStyle name="Обычный 3 2 2 2 2 2 7" xfId="2451"/>
    <cellStyle name="Обычный 3 2 2 2 2 2 7 2" xfId="6302"/>
    <cellStyle name="Обычный 3 2 2 2 2 2 8" xfId="2747"/>
    <cellStyle name="Обычный 3 2 2 2 2 2 8 2" xfId="6598"/>
    <cellStyle name="Обычный 3 2 2 2 2 2 9" xfId="3043"/>
    <cellStyle name="Обычный 3 2 2 2 2 2 9 2" xfId="6894"/>
    <cellStyle name="Обычный 3 2 2 2 2 3" xfId="384"/>
    <cellStyle name="Обычный 3 2 2 2 2 3 2" xfId="923"/>
    <cellStyle name="Обычный 3 2 2 2 2 3 3" xfId="8429"/>
    <cellStyle name="Обычный 3 2 2 2 2 3 4" xfId="4674"/>
    <cellStyle name="Обычный 3 2 2 2 2 4" xfId="924"/>
    <cellStyle name="Обычный 3 2 2 2 2 4 2" xfId="8662"/>
    <cellStyle name="Обычный 3 2 2 2 2 4 3" xfId="4970"/>
    <cellStyle name="Обычный 3 2 2 2 2 5" xfId="1426"/>
    <cellStyle name="Обычный 3 2 2 2 2 5 2" xfId="5266"/>
    <cellStyle name="Обычный 3 2 2 2 2 6" xfId="1716"/>
    <cellStyle name="Обычный 3 2 2 2 2 6 2" xfId="5562"/>
    <cellStyle name="Обычный 3 2 2 2 2 7" xfId="2008"/>
    <cellStyle name="Обычный 3 2 2 2 2 7 2" xfId="5858"/>
    <cellStyle name="Обычный 3 2 2 2 2 8" xfId="2303"/>
    <cellStyle name="Обычный 3 2 2 2 2 8 2" xfId="6154"/>
    <cellStyle name="Обычный 3 2 2 2 2 9" xfId="2599"/>
    <cellStyle name="Обычный 3 2 2 2 2 9 2" xfId="6450"/>
    <cellStyle name="Обычный 3 2 2 2 3" xfId="234"/>
    <cellStyle name="Обычный 3 2 2 2 3 10" xfId="2945"/>
    <cellStyle name="Обычный 3 2 2 2 3 10 2" xfId="6796"/>
    <cellStyle name="Обычный 3 2 2 2 3 11" xfId="3241"/>
    <cellStyle name="Обычный 3 2 2 2 3 11 2" xfId="7092"/>
    <cellStyle name="Обычный 3 2 2 2 3 12" xfId="3537"/>
    <cellStyle name="Обычный 3 2 2 2 3 12 2" xfId="7388"/>
    <cellStyle name="Обычный 3 2 2 2 3 13" xfId="3833"/>
    <cellStyle name="Обычный 3 2 2 2 3 13 2" xfId="7684"/>
    <cellStyle name="Обычный 3 2 2 2 3 14" xfId="4129"/>
    <cellStyle name="Обычный 3 2 2 2 3 14 2" xfId="7980"/>
    <cellStyle name="Обычный 3 2 2 2 3 15" xfId="8279"/>
    <cellStyle name="Обычный 3 2 2 2 3 16" xfId="4427"/>
    <cellStyle name="Обычный 3 2 2 2 3 2" xfId="925"/>
    <cellStyle name="Обычный 3 2 2 2 3 2 10" xfId="3389"/>
    <cellStyle name="Обычный 3 2 2 2 3 2 10 2" xfId="7240"/>
    <cellStyle name="Обычный 3 2 2 2 3 2 11" xfId="3685"/>
    <cellStyle name="Обычный 3 2 2 2 3 2 11 2" xfId="7536"/>
    <cellStyle name="Обычный 3 2 2 2 3 2 12" xfId="3981"/>
    <cellStyle name="Обычный 3 2 2 2 3 2 12 2" xfId="7832"/>
    <cellStyle name="Обычный 3 2 2 2 3 2 13" xfId="4277"/>
    <cellStyle name="Обычный 3 2 2 2 3 2 13 2" xfId="8128"/>
    <cellStyle name="Обычный 3 2 2 2 3 2 14" xfId="8663"/>
    <cellStyle name="Обычный 3 2 2 2 3 2 15" xfId="4576"/>
    <cellStyle name="Обычный 3 2 2 2 3 2 2" xfId="1143"/>
    <cellStyle name="Обычный 3 2 2 2 3 2 2 2" xfId="4872"/>
    <cellStyle name="Обычный 3 2 2 2 3 2 3" xfId="1332"/>
    <cellStyle name="Обычный 3 2 2 2 3 2 3 2" xfId="5168"/>
    <cellStyle name="Обычный 3 2 2 2 3 2 4" xfId="1619"/>
    <cellStyle name="Обычный 3 2 2 2 3 2 4 2" xfId="5464"/>
    <cellStyle name="Обычный 3 2 2 2 3 2 5" xfId="1912"/>
    <cellStyle name="Обычный 3 2 2 2 3 2 5 2" xfId="5760"/>
    <cellStyle name="Обычный 3 2 2 2 3 2 6" xfId="2206"/>
    <cellStyle name="Обычный 3 2 2 2 3 2 6 2" xfId="6056"/>
    <cellStyle name="Обычный 3 2 2 2 3 2 7" xfId="2501"/>
    <cellStyle name="Обычный 3 2 2 2 3 2 7 2" xfId="6352"/>
    <cellStyle name="Обычный 3 2 2 2 3 2 8" xfId="2797"/>
    <cellStyle name="Обычный 3 2 2 2 3 2 8 2" xfId="6648"/>
    <cellStyle name="Обычный 3 2 2 2 3 2 9" xfId="3093"/>
    <cellStyle name="Обычный 3 2 2 2 3 2 9 2" xfId="6944"/>
    <cellStyle name="Обычный 3 2 2 2 3 3" xfId="1096"/>
    <cellStyle name="Обычный 3 2 2 2 3 3 2" xfId="4724"/>
    <cellStyle name="Обычный 3 2 2 2 3 4" xfId="1190"/>
    <cellStyle name="Обычный 3 2 2 2 3 4 2" xfId="5020"/>
    <cellStyle name="Обычный 3 2 2 2 3 5" xfId="1474"/>
    <cellStyle name="Обычный 3 2 2 2 3 5 2" xfId="5316"/>
    <cellStyle name="Обычный 3 2 2 2 3 6" xfId="1765"/>
    <cellStyle name="Обычный 3 2 2 2 3 6 2" xfId="5612"/>
    <cellStyle name="Обычный 3 2 2 2 3 7" xfId="2058"/>
    <cellStyle name="Обычный 3 2 2 2 3 7 2" xfId="5908"/>
    <cellStyle name="Обычный 3 2 2 2 3 8" xfId="2353"/>
    <cellStyle name="Обычный 3 2 2 2 3 8 2" xfId="6204"/>
    <cellStyle name="Обычный 3 2 2 2 3 9" xfId="2649"/>
    <cellStyle name="Обычный 3 2 2 2 3 9 2" xfId="6500"/>
    <cellStyle name="Обычный 3 2 2 2 4" xfId="334"/>
    <cellStyle name="Обычный 3 2 2 2 4 10" xfId="3291"/>
    <cellStyle name="Обычный 3 2 2 2 4 10 2" xfId="7142"/>
    <cellStyle name="Обычный 3 2 2 2 4 11" xfId="3587"/>
    <cellStyle name="Обычный 3 2 2 2 4 11 2" xfId="7438"/>
    <cellStyle name="Обычный 3 2 2 2 4 12" xfId="3883"/>
    <cellStyle name="Обычный 3 2 2 2 4 12 2" xfId="7734"/>
    <cellStyle name="Обычный 3 2 2 2 4 13" xfId="4179"/>
    <cellStyle name="Обычный 3 2 2 2 4 13 2" xfId="8030"/>
    <cellStyle name="Обычный 3 2 2 2 4 14" xfId="8379"/>
    <cellStyle name="Обычный 3 2 2 2 4 15" xfId="4478"/>
    <cellStyle name="Обычный 3 2 2 2 4 2" xfId="926"/>
    <cellStyle name="Обычный 3 2 2 2 4 2 2" xfId="8664"/>
    <cellStyle name="Обычный 3 2 2 2 4 2 3" xfId="4774"/>
    <cellStyle name="Обычный 3 2 2 2 4 3" xfId="1238"/>
    <cellStyle name="Обычный 3 2 2 2 4 3 2" xfId="5070"/>
    <cellStyle name="Обычный 3 2 2 2 4 4" xfId="1523"/>
    <cellStyle name="Обычный 3 2 2 2 4 4 2" xfId="5366"/>
    <cellStyle name="Обычный 3 2 2 2 4 5" xfId="1815"/>
    <cellStyle name="Обычный 3 2 2 2 4 5 2" xfId="5662"/>
    <cellStyle name="Обычный 3 2 2 2 4 6" xfId="2108"/>
    <cellStyle name="Обычный 3 2 2 2 4 6 2" xfId="5958"/>
    <cellStyle name="Обычный 3 2 2 2 4 7" xfId="2403"/>
    <cellStyle name="Обычный 3 2 2 2 4 7 2" xfId="6254"/>
    <cellStyle name="Обычный 3 2 2 2 4 8" xfId="2699"/>
    <cellStyle name="Обычный 3 2 2 2 4 8 2" xfId="6550"/>
    <cellStyle name="Обычный 3 2 2 2 4 9" xfId="2995"/>
    <cellStyle name="Обычный 3 2 2 2 4 9 2" xfId="6846"/>
    <cellStyle name="Обычный 3 2 2 2 5" xfId="927"/>
    <cellStyle name="Обычный 3 2 2 2 5 2" xfId="8665"/>
    <cellStyle name="Обычный 3 2 2 2 5 3" xfId="4626"/>
    <cellStyle name="Обычный 3 2 2 2 6" xfId="928"/>
    <cellStyle name="Обычный 3 2 2 2 6 2" xfId="8666"/>
    <cellStyle name="Обычный 3 2 2 2 6 3" xfId="4922"/>
    <cellStyle name="Обычный 3 2 2 2 7" xfId="1379"/>
    <cellStyle name="Обычный 3 2 2 2 7 2" xfId="5218"/>
    <cellStyle name="Обычный 3 2 2 2 8" xfId="1668"/>
    <cellStyle name="Обычный 3 2 2 2 8 2" xfId="5514"/>
    <cellStyle name="Обычный 3 2 2 2 9" xfId="1961"/>
    <cellStyle name="Обычный 3 2 2 2 9 2" xfId="5810"/>
    <cellStyle name="Обычный 3 2 2 20" xfId="92"/>
    <cellStyle name="Обычный 3 2 2 3" xfId="42"/>
    <cellStyle name="Обычный 3 2 2 3 10" xfId="2873"/>
    <cellStyle name="Обычный 3 2 2 3 10 2" xfId="6724"/>
    <cellStyle name="Обычный 3 2 2 3 11" xfId="3169"/>
    <cellStyle name="Обычный 3 2 2 3 11 2" xfId="7020"/>
    <cellStyle name="Обычный 3 2 2 3 12" xfId="3465"/>
    <cellStyle name="Обычный 3 2 2 3 12 2" xfId="7316"/>
    <cellStyle name="Обычный 3 2 2 3 13" xfId="3761"/>
    <cellStyle name="Обычный 3 2 2 3 13 2" xfId="7612"/>
    <cellStyle name="Обычный 3 2 2 3 14" xfId="4057"/>
    <cellStyle name="Обычный 3 2 2 3 14 2" xfId="7908"/>
    <cellStyle name="Обычный 3 2 2 3 15" xfId="8206"/>
    <cellStyle name="Обычный 3 2 2 3 16" xfId="4354"/>
    <cellStyle name="Обычный 3 2 2 3 17" xfId="162"/>
    <cellStyle name="Обычный 3 2 2 3 2" xfId="60"/>
    <cellStyle name="Обычный 3 2 2 3 2 10" xfId="3317"/>
    <cellStyle name="Обычный 3 2 2 3 2 10 2" xfId="7168"/>
    <cellStyle name="Обычный 3 2 2 3 2 11" xfId="3613"/>
    <cellStyle name="Обычный 3 2 2 3 2 11 2" xfId="7464"/>
    <cellStyle name="Обычный 3 2 2 3 2 12" xfId="3909"/>
    <cellStyle name="Обычный 3 2 2 3 2 12 2" xfId="7760"/>
    <cellStyle name="Обычный 3 2 2 3 2 13" xfId="4205"/>
    <cellStyle name="Обычный 3 2 2 3 2 13 2" xfId="8056"/>
    <cellStyle name="Обычный 3 2 2 3 2 14" xfId="8307"/>
    <cellStyle name="Обычный 3 2 2 3 2 15" xfId="4504"/>
    <cellStyle name="Обычный 3 2 2 3 2 16" xfId="262"/>
    <cellStyle name="Обычный 3 2 2 3 2 2" xfId="929"/>
    <cellStyle name="Обычный 3 2 2 3 2 2 2" xfId="8667"/>
    <cellStyle name="Обычный 3 2 2 3 2 2 3" xfId="4800"/>
    <cellStyle name="Обычный 3 2 2 3 2 3" xfId="1263"/>
    <cellStyle name="Обычный 3 2 2 3 2 3 2" xfId="5096"/>
    <cellStyle name="Обычный 3 2 2 3 2 4" xfId="1549"/>
    <cellStyle name="Обычный 3 2 2 3 2 4 2" xfId="5392"/>
    <cellStyle name="Обычный 3 2 2 3 2 5" xfId="1841"/>
    <cellStyle name="Обычный 3 2 2 3 2 5 2" xfId="5688"/>
    <cellStyle name="Обычный 3 2 2 3 2 6" xfId="2134"/>
    <cellStyle name="Обычный 3 2 2 3 2 6 2" xfId="5984"/>
    <cellStyle name="Обычный 3 2 2 3 2 7" xfId="2429"/>
    <cellStyle name="Обычный 3 2 2 3 2 7 2" xfId="6280"/>
    <cellStyle name="Обычный 3 2 2 3 2 8" xfId="2725"/>
    <cellStyle name="Обычный 3 2 2 3 2 8 2" xfId="6576"/>
    <cellStyle name="Обычный 3 2 2 3 2 9" xfId="3021"/>
    <cellStyle name="Обычный 3 2 2 3 2 9 2" xfId="6872"/>
    <cellStyle name="Обычный 3 2 2 3 3" xfId="362"/>
    <cellStyle name="Обычный 3 2 2 3 3 2" xfId="930"/>
    <cellStyle name="Обычный 3 2 2 3 3 3" xfId="8407"/>
    <cellStyle name="Обычный 3 2 2 3 3 4" xfId="4652"/>
    <cellStyle name="Обычный 3 2 2 3 4" xfId="931"/>
    <cellStyle name="Обычный 3 2 2 3 4 2" xfId="8668"/>
    <cellStyle name="Обычный 3 2 2 3 4 3" xfId="4948"/>
    <cellStyle name="Обычный 3 2 2 3 5" xfId="1405"/>
    <cellStyle name="Обычный 3 2 2 3 5 2" xfId="5244"/>
    <cellStyle name="Обычный 3 2 2 3 6" xfId="1694"/>
    <cellStyle name="Обычный 3 2 2 3 6 2" xfId="5540"/>
    <cellStyle name="Обычный 3 2 2 3 7" xfId="1987"/>
    <cellStyle name="Обычный 3 2 2 3 7 2" xfId="5836"/>
    <cellStyle name="Обычный 3 2 2 3 8" xfId="2281"/>
    <cellStyle name="Обычный 3 2 2 3 8 2" xfId="6132"/>
    <cellStyle name="Обычный 3 2 2 3 9" xfId="2577"/>
    <cellStyle name="Обычный 3 2 2 3 9 2" xfId="6428"/>
    <cellStyle name="Обычный 3 2 2 4" xfId="48"/>
    <cellStyle name="Обычный 3 2 2 4 10" xfId="2923"/>
    <cellStyle name="Обычный 3 2 2 4 10 2" xfId="6774"/>
    <cellStyle name="Обычный 3 2 2 4 11" xfId="3219"/>
    <cellStyle name="Обычный 3 2 2 4 11 2" xfId="7070"/>
    <cellStyle name="Обычный 3 2 2 4 12" xfId="3515"/>
    <cellStyle name="Обычный 3 2 2 4 12 2" xfId="7366"/>
    <cellStyle name="Обычный 3 2 2 4 13" xfId="3811"/>
    <cellStyle name="Обычный 3 2 2 4 13 2" xfId="7662"/>
    <cellStyle name="Обычный 3 2 2 4 14" xfId="4107"/>
    <cellStyle name="Обычный 3 2 2 4 14 2" xfId="7958"/>
    <cellStyle name="Обычный 3 2 2 4 15" xfId="8257"/>
    <cellStyle name="Обычный 3 2 2 4 16" xfId="4405"/>
    <cellStyle name="Обычный 3 2 2 4 17" xfId="213"/>
    <cellStyle name="Обычный 3 2 2 4 2" xfId="932"/>
    <cellStyle name="Обычный 3 2 2 4 2 10" xfId="3367"/>
    <cellStyle name="Обычный 3 2 2 4 2 10 2" xfId="7218"/>
    <cellStyle name="Обычный 3 2 2 4 2 11" xfId="3663"/>
    <cellStyle name="Обычный 3 2 2 4 2 11 2" xfId="7514"/>
    <cellStyle name="Обычный 3 2 2 4 2 12" xfId="3959"/>
    <cellStyle name="Обычный 3 2 2 4 2 12 2" xfId="7810"/>
    <cellStyle name="Обычный 3 2 2 4 2 13" xfId="4255"/>
    <cellStyle name="Обычный 3 2 2 4 2 13 2" xfId="8106"/>
    <cellStyle name="Обычный 3 2 2 4 2 14" xfId="8669"/>
    <cellStyle name="Обычный 3 2 2 4 2 15" xfId="4554"/>
    <cellStyle name="Обычный 3 2 2 4 2 2" xfId="1122"/>
    <cellStyle name="Обычный 3 2 2 4 2 2 2" xfId="4850"/>
    <cellStyle name="Обычный 3 2 2 4 2 3" xfId="1311"/>
    <cellStyle name="Обычный 3 2 2 4 2 3 2" xfId="5146"/>
    <cellStyle name="Обычный 3 2 2 4 2 4" xfId="1598"/>
    <cellStyle name="Обычный 3 2 2 4 2 4 2" xfId="5442"/>
    <cellStyle name="Обычный 3 2 2 4 2 5" xfId="1891"/>
    <cellStyle name="Обычный 3 2 2 4 2 5 2" xfId="5738"/>
    <cellStyle name="Обычный 3 2 2 4 2 6" xfId="2184"/>
    <cellStyle name="Обычный 3 2 2 4 2 6 2" xfId="6034"/>
    <cellStyle name="Обычный 3 2 2 4 2 7" xfId="2479"/>
    <cellStyle name="Обычный 3 2 2 4 2 7 2" xfId="6330"/>
    <cellStyle name="Обычный 3 2 2 4 2 8" xfId="2775"/>
    <cellStyle name="Обычный 3 2 2 4 2 8 2" xfId="6626"/>
    <cellStyle name="Обычный 3 2 2 4 2 9" xfId="3071"/>
    <cellStyle name="Обычный 3 2 2 4 2 9 2" xfId="6922"/>
    <cellStyle name="Обычный 3 2 2 4 3" xfId="1075"/>
    <cellStyle name="Обычный 3 2 2 4 3 2" xfId="4702"/>
    <cellStyle name="Обычный 3 2 2 4 4" xfId="1169"/>
    <cellStyle name="Обычный 3 2 2 4 4 2" xfId="4998"/>
    <cellStyle name="Обычный 3 2 2 4 5" xfId="1452"/>
    <cellStyle name="Обычный 3 2 2 4 5 2" xfId="5294"/>
    <cellStyle name="Обычный 3 2 2 4 6" xfId="1743"/>
    <cellStyle name="Обычный 3 2 2 4 6 2" xfId="5590"/>
    <cellStyle name="Обычный 3 2 2 4 7" xfId="2036"/>
    <cellStyle name="Обычный 3 2 2 4 7 2" xfId="5886"/>
    <cellStyle name="Обычный 3 2 2 4 8" xfId="2331"/>
    <cellStyle name="Обычный 3 2 2 4 8 2" xfId="6182"/>
    <cellStyle name="Обычный 3 2 2 4 9" xfId="2627"/>
    <cellStyle name="Обычный 3 2 2 4 9 2" xfId="6478"/>
    <cellStyle name="Обычный 3 2 2 5" xfId="312"/>
    <cellStyle name="Обычный 3 2 2 5 10" xfId="3269"/>
    <cellStyle name="Обычный 3 2 2 5 10 2" xfId="7120"/>
    <cellStyle name="Обычный 3 2 2 5 11" xfId="3565"/>
    <cellStyle name="Обычный 3 2 2 5 11 2" xfId="7416"/>
    <cellStyle name="Обычный 3 2 2 5 12" xfId="3861"/>
    <cellStyle name="Обычный 3 2 2 5 12 2" xfId="7712"/>
    <cellStyle name="Обычный 3 2 2 5 13" xfId="4157"/>
    <cellStyle name="Обычный 3 2 2 5 13 2" xfId="8008"/>
    <cellStyle name="Обычный 3 2 2 5 14" xfId="8357"/>
    <cellStyle name="Обычный 3 2 2 5 15" xfId="4456"/>
    <cellStyle name="Обычный 3 2 2 5 2" xfId="933"/>
    <cellStyle name="Обычный 3 2 2 5 2 2" xfId="8670"/>
    <cellStyle name="Обычный 3 2 2 5 2 3" xfId="4752"/>
    <cellStyle name="Обычный 3 2 2 5 3" xfId="1216"/>
    <cellStyle name="Обычный 3 2 2 5 3 2" xfId="5048"/>
    <cellStyle name="Обычный 3 2 2 5 4" xfId="1501"/>
    <cellStyle name="Обычный 3 2 2 5 4 2" xfId="5344"/>
    <cellStyle name="Обычный 3 2 2 5 5" xfId="1793"/>
    <cellStyle name="Обычный 3 2 2 5 5 2" xfId="5640"/>
    <cellStyle name="Обычный 3 2 2 5 6" xfId="2086"/>
    <cellStyle name="Обычный 3 2 2 5 6 2" xfId="5936"/>
    <cellStyle name="Обычный 3 2 2 5 7" xfId="2381"/>
    <cellStyle name="Обычный 3 2 2 5 7 2" xfId="6232"/>
    <cellStyle name="Обычный 3 2 2 5 8" xfId="2677"/>
    <cellStyle name="Обычный 3 2 2 5 8 2" xfId="6528"/>
    <cellStyle name="Обычный 3 2 2 5 9" xfId="2973"/>
    <cellStyle name="Обычный 3 2 2 5 9 2" xfId="6824"/>
    <cellStyle name="Обычный 3 2 2 6" xfId="651"/>
    <cellStyle name="Обычный 3 2 2 6 2" xfId="8472"/>
    <cellStyle name="Обычный 3 2 2 6 3" xfId="4604"/>
    <cellStyle name="Обычный 3 2 2 7" xfId="934"/>
    <cellStyle name="Обычный 3 2 2 7 2" xfId="8671"/>
    <cellStyle name="Обычный 3 2 2 7 3" xfId="4900"/>
    <cellStyle name="Обычный 3 2 2 8" xfId="1358"/>
    <cellStyle name="Обычный 3 2 2 8 2" xfId="5196"/>
    <cellStyle name="Обычный 3 2 2 9" xfId="1647"/>
    <cellStyle name="Обычный 3 2 2 9 2" xfId="5492"/>
    <cellStyle name="Обычный 3 2 20" xfId="8155"/>
    <cellStyle name="Обычный 3 2 21" xfId="4304"/>
    <cellStyle name="Обычный 3 2 22" xfId="91"/>
    <cellStyle name="Обычный 3 2 3" xfId="33"/>
    <cellStyle name="Обычный 3 2 3 10" xfId="1941"/>
    <cellStyle name="Обычный 3 2 3 10 2" xfId="5789"/>
    <cellStyle name="Обычный 3 2 3 11" xfId="2235"/>
    <cellStyle name="Обычный 3 2 3 11 2" xfId="6085"/>
    <cellStyle name="Обычный 3 2 3 12" xfId="2530"/>
    <cellStyle name="Обычный 3 2 3 12 2" xfId="6381"/>
    <cellStyle name="Обычный 3 2 3 13" xfId="2826"/>
    <cellStyle name="Обычный 3 2 3 13 2" xfId="6677"/>
    <cellStyle name="Обычный 3 2 3 14" xfId="3122"/>
    <cellStyle name="Обычный 3 2 3 14 2" xfId="6973"/>
    <cellStyle name="Обычный 3 2 3 15" xfId="3418"/>
    <cellStyle name="Обычный 3 2 3 15 2" xfId="7269"/>
    <cellStyle name="Обычный 3 2 3 16" xfId="3714"/>
    <cellStyle name="Обычный 3 2 3 16 2" xfId="7565"/>
    <cellStyle name="Обычный 3 2 3 17" xfId="4010"/>
    <cellStyle name="Обычный 3 2 3 17 2" xfId="7861"/>
    <cellStyle name="Обычный 3 2 3 18" xfId="8157"/>
    <cellStyle name="Обычный 3 2 3 19" xfId="4306"/>
    <cellStyle name="Обычный 3 2 3 2" xfId="51"/>
    <cellStyle name="Обычный 3 2 3 2 10" xfId="1962"/>
    <cellStyle name="Обычный 3 2 3 2 10 2" xfId="5811"/>
    <cellStyle name="Обычный 3 2 3 2 11" xfId="2256"/>
    <cellStyle name="Обычный 3 2 3 2 11 2" xfId="6107"/>
    <cellStyle name="Обычный 3 2 3 2 12" xfId="2552"/>
    <cellStyle name="Обычный 3 2 3 2 12 2" xfId="6403"/>
    <cellStyle name="Обычный 3 2 3 2 13" xfId="2848"/>
    <cellStyle name="Обычный 3 2 3 2 13 2" xfId="6699"/>
    <cellStyle name="Обычный 3 2 3 2 14" xfId="3144"/>
    <cellStyle name="Обычный 3 2 3 2 14 2" xfId="6995"/>
    <cellStyle name="Обычный 3 2 3 2 15" xfId="3440"/>
    <cellStyle name="Обычный 3 2 3 2 15 2" xfId="7291"/>
    <cellStyle name="Обычный 3 2 3 2 16" xfId="3736"/>
    <cellStyle name="Обычный 3 2 3 2 16 2" xfId="7587"/>
    <cellStyle name="Обычный 3 2 3 2 17" xfId="4032"/>
    <cellStyle name="Обычный 3 2 3 2 17 2" xfId="7883"/>
    <cellStyle name="Обычный 3 2 3 2 18" xfId="8179"/>
    <cellStyle name="Обычный 3 2 3 2 19" xfId="4328"/>
    <cellStyle name="Обычный 3 2 3 2 2" xfId="142"/>
    <cellStyle name="Обычный 3 2 3 2 20" xfId="136"/>
    <cellStyle name="Обычный 3 2 3 2 3" xfId="184"/>
    <cellStyle name="Обычный 3 2 3 2 3 10" xfId="2896"/>
    <cellStyle name="Обычный 3 2 3 2 3 10 2" xfId="6747"/>
    <cellStyle name="Обычный 3 2 3 2 3 11" xfId="3192"/>
    <cellStyle name="Обычный 3 2 3 2 3 11 2" xfId="7043"/>
    <cellStyle name="Обычный 3 2 3 2 3 12" xfId="3488"/>
    <cellStyle name="Обычный 3 2 3 2 3 12 2" xfId="7339"/>
    <cellStyle name="Обычный 3 2 3 2 3 13" xfId="3784"/>
    <cellStyle name="Обычный 3 2 3 2 3 13 2" xfId="7635"/>
    <cellStyle name="Обычный 3 2 3 2 3 14" xfId="4080"/>
    <cellStyle name="Обычный 3 2 3 2 3 14 2" xfId="7931"/>
    <cellStyle name="Обычный 3 2 3 2 3 15" xfId="8229"/>
    <cellStyle name="Обычный 3 2 3 2 3 16" xfId="4377"/>
    <cellStyle name="Обычный 3 2 3 2 3 2" xfId="284"/>
    <cellStyle name="Обычный 3 2 3 2 3 2 10" xfId="3340"/>
    <cellStyle name="Обычный 3 2 3 2 3 2 10 2" xfId="7191"/>
    <cellStyle name="Обычный 3 2 3 2 3 2 11" xfId="3636"/>
    <cellStyle name="Обычный 3 2 3 2 3 2 11 2" xfId="7487"/>
    <cellStyle name="Обычный 3 2 3 2 3 2 12" xfId="3932"/>
    <cellStyle name="Обычный 3 2 3 2 3 2 12 2" xfId="7783"/>
    <cellStyle name="Обычный 3 2 3 2 3 2 13" xfId="4228"/>
    <cellStyle name="Обычный 3 2 3 2 3 2 13 2" xfId="8079"/>
    <cellStyle name="Обычный 3 2 3 2 3 2 14" xfId="8330"/>
    <cellStyle name="Обычный 3 2 3 2 3 2 15" xfId="4527"/>
    <cellStyle name="Обычный 3 2 3 2 3 2 2" xfId="935"/>
    <cellStyle name="Обычный 3 2 3 2 3 2 2 2" xfId="8672"/>
    <cellStyle name="Обычный 3 2 3 2 3 2 2 3" xfId="4823"/>
    <cellStyle name="Обычный 3 2 3 2 3 2 3" xfId="1285"/>
    <cellStyle name="Обычный 3 2 3 2 3 2 3 2" xfId="5119"/>
    <cellStyle name="Обычный 3 2 3 2 3 2 4" xfId="1571"/>
    <cellStyle name="Обычный 3 2 3 2 3 2 4 2" xfId="5415"/>
    <cellStyle name="Обычный 3 2 3 2 3 2 5" xfId="1864"/>
    <cellStyle name="Обычный 3 2 3 2 3 2 5 2" xfId="5711"/>
    <cellStyle name="Обычный 3 2 3 2 3 2 6" xfId="2157"/>
    <cellStyle name="Обычный 3 2 3 2 3 2 6 2" xfId="6007"/>
    <cellStyle name="Обычный 3 2 3 2 3 2 7" xfId="2452"/>
    <cellStyle name="Обычный 3 2 3 2 3 2 7 2" xfId="6303"/>
    <cellStyle name="Обычный 3 2 3 2 3 2 8" xfId="2748"/>
    <cellStyle name="Обычный 3 2 3 2 3 2 8 2" xfId="6599"/>
    <cellStyle name="Обычный 3 2 3 2 3 2 9" xfId="3044"/>
    <cellStyle name="Обычный 3 2 3 2 3 2 9 2" xfId="6895"/>
    <cellStyle name="Обычный 3 2 3 2 3 3" xfId="385"/>
    <cellStyle name="Обычный 3 2 3 2 3 3 2" xfId="936"/>
    <cellStyle name="Обычный 3 2 3 2 3 3 3" xfId="8430"/>
    <cellStyle name="Обычный 3 2 3 2 3 3 4" xfId="4675"/>
    <cellStyle name="Обычный 3 2 3 2 3 4" xfId="937"/>
    <cellStyle name="Обычный 3 2 3 2 3 4 2" xfId="8673"/>
    <cellStyle name="Обычный 3 2 3 2 3 4 3" xfId="4971"/>
    <cellStyle name="Обычный 3 2 3 2 3 5" xfId="1427"/>
    <cellStyle name="Обычный 3 2 3 2 3 5 2" xfId="5267"/>
    <cellStyle name="Обычный 3 2 3 2 3 6" xfId="1717"/>
    <cellStyle name="Обычный 3 2 3 2 3 6 2" xfId="5563"/>
    <cellStyle name="Обычный 3 2 3 2 3 7" xfId="2009"/>
    <cellStyle name="Обычный 3 2 3 2 3 7 2" xfId="5859"/>
    <cellStyle name="Обычный 3 2 3 2 3 8" xfId="2304"/>
    <cellStyle name="Обычный 3 2 3 2 3 8 2" xfId="6155"/>
    <cellStyle name="Обычный 3 2 3 2 3 9" xfId="2600"/>
    <cellStyle name="Обычный 3 2 3 2 3 9 2" xfId="6451"/>
    <cellStyle name="Обычный 3 2 3 2 4" xfId="235"/>
    <cellStyle name="Обычный 3 2 3 2 4 10" xfId="2946"/>
    <cellStyle name="Обычный 3 2 3 2 4 10 2" xfId="6797"/>
    <cellStyle name="Обычный 3 2 3 2 4 11" xfId="3242"/>
    <cellStyle name="Обычный 3 2 3 2 4 11 2" xfId="7093"/>
    <cellStyle name="Обычный 3 2 3 2 4 12" xfId="3538"/>
    <cellStyle name="Обычный 3 2 3 2 4 12 2" xfId="7389"/>
    <cellStyle name="Обычный 3 2 3 2 4 13" xfId="3834"/>
    <cellStyle name="Обычный 3 2 3 2 4 13 2" xfId="7685"/>
    <cellStyle name="Обычный 3 2 3 2 4 14" xfId="4130"/>
    <cellStyle name="Обычный 3 2 3 2 4 14 2" xfId="7981"/>
    <cellStyle name="Обычный 3 2 3 2 4 15" xfId="8280"/>
    <cellStyle name="Обычный 3 2 3 2 4 16" xfId="4428"/>
    <cellStyle name="Обычный 3 2 3 2 4 2" xfId="938"/>
    <cellStyle name="Обычный 3 2 3 2 4 2 10" xfId="3390"/>
    <cellStyle name="Обычный 3 2 3 2 4 2 10 2" xfId="7241"/>
    <cellStyle name="Обычный 3 2 3 2 4 2 11" xfId="3686"/>
    <cellStyle name="Обычный 3 2 3 2 4 2 11 2" xfId="7537"/>
    <cellStyle name="Обычный 3 2 3 2 4 2 12" xfId="3982"/>
    <cellStyle name="Обычный 3 2 3 2 4 2 12 2" xfId="7833"/>
    <cellStyle name="Обычный 3 2 3 2 4 2 13" xfId="4278"/>
    <cellStyle name="Обычный 3 2 3 2 4 2 13 2" xfId="8129"/>
    <cellStyle name="Обычный 3 2 3 2 4 2 14" xfId="8674"/>
    <cellStyle name="Обычный 3 2 3 2 4 2 15" xfId="4577"/>
    <cellStyle name="Обычный 3 2 3 2 4 2 2" xfId="1144"/>
    <cellStyle name="Обычный 3 2 3 2 4 2 2 2" xfId="4873"/>
    <cellStyle name="Обычный 3 2 3 2 4 2 3" xfId="1333"/>
    <cellStyle name="Обычный 3 2 3 2 4 2 3 2" xfId="5169"/>
    <cellStyle name="Обычный 3 2 3 2 4 2 4" xfId="1620"/>
    <cellStyle name="Обычный 3 2 3 2 4 2 4 2" xfId="5465"/>
    <cellStyle name="Обычный 3 2 3 2 4 2 5" xfId="1913"/>
    <cellStyle name="Обычный 3 2 3 2 4 2 5 2" xfId="5761"/>
    <cellStyle name="Обычный 3 2 3 2 4 2 6" xfId="2207"/>
    <cellStyle name="Обычный 3 2 3 2 4 2 6 2" xfId="6057"/>
    <cellStyle name="Обычный 3 2 3 2 4 2 7" xfId="2502"/>
    <cellStyle name="Обычный 3 2 3 2 4 2 7 2" xfId="6353"/>
    <cellStyle name="Обычный 3 2 3 2 4 2 8" xfId="2798"/>
    <cellStyle name="Обычный 3 2 3 2 4 2 8 2" xfId="6649"/>
    <cellStyle name="Обычный 3 2 3 2 4 2 9" xfId="3094"/>
    <cellStyle name="Обычный 3 2 3 2 4 2 9 2" xfId="6945"/>
    <cellStyle name="Обычный 3 2 3 2 4 3" xfId="1097"/>
    <cellStyle name="Обычный 3 2 3 2 4 3 2" xfId="4725"/>
    <cellStyle name="Обычный 3 2 3 2 4 4" xfId="1191"/>
    <cellStyle name="Обычный 3 2 3 2 4 4 2" xfId="5021"/>
    <cellStyle name="Обычный 3 2 3 2 4 5" xfId="1475"/>
    <cellStyle name="Обычный 3 2 3 2 4 5 2" xfId="5317"/>
    <cellStyle name="Обычный 3 2 3 2 4 6" xfId="1766"/>
    <cellStyle name="Обычный 3 2 3 2 4 6 2" xfId="5613"/>
    <cellStyle name="Обычный 3 2 3 2 4 7" xfId="2059"/>
    <cellStyle name="Обычный 3 2 3 2 4 7 2" xfId="5909"/>
    <cellStyle name="Обычный 3 2 3 2 4 8" xfId="2354"/>
    <cellStyle name="Обычный 3 2 3 2 4 8 2" xfId="6205"/>
    <cellStyle name="Обычный 3 2 3 2 4 9" xfId="2650"/>
    <cellStyle name="Обычный 3 2 3 2 4 9 2" xfId="6501"/>
    <cellStyle name="Обычный 3 2 3 2 5" xfId="335"/>
    <cellStyle name="Обычный 3 2 3 2 5 10" xfId="3292"/>
    <cellStyle name="Обычный 3 2 3 2 5 10 2" xfId="7143"/>
    <cellStyle name="Обычный 3 2 3 2 5 11" xfId="3588"/>
    <cellStyle name="Обычный 3 2 3 2 5 11 2" xfId="7439"/>
    <cellStyle name="Обычный 3 2 3 2 5 12" xfId="3884"/>
    <cellStyle name="Обычный 3 2 3 2 5 12 2" xfId="7735"/>
    <cellStyle name="Обычный 3 2 3 2 5 13" xfId="4180"/>
    <cellStyle name="Обычный 3 2 3 2 5 13 2" xfId="8031"/>
    <cellStyle name="Обычный 3 2 3 2 5 14" xfId="8380"/>
    <cellStyle name="Обычный 3 2 3 2 5 15" xfId="4479"/>
    <cellStyle name="Обычный 3 2 3 2 5 2" xfId="939"/>
    <cellStyle name="Обычный 3 2 3 2 5 2 2" xfId="8675"/>
    <cellStyle name="Обычный 3 2 3 2 5 2 3" xfId="4775"/>
    <cellStyle name="Обычный 3 2 3 2 5 3" xfId="1239"/>
    <cellStyle name="Обычный 3 2 3 2 5 3 2" xfId="5071"/>
    <cellStyle name="Обычный 3 2 3 2 5 4" xfId="1524"/>
    <cellStyle name="Обычный 3 2 3 2 5 4 2" xfId="5367"/>
    <cellStyle name="Обычный 3 2 3 2 5 5" xfId="1816"/>
    <cellStyle name="Обычный 3 2 3 2 5 5 2" xfId="5663"/>
    <cellStyle name="Обычный 3 2 3 2 5 6" xfId="2109"/>
    <cellStyle name="Обычный 3 2 3 2 5 6 2" xfId="5959"/>
    <cellStyle name="Обычный 3 2 3 2 5 7" xfId="2404"/>
    <cellStyle name="Обычный 3 2 3 2 5 7 2" xfId="6255"/>
    <cellStyle name="Обычный 3 2 3 2 5 8" xfId="2700"/>
    <cellStyle name="Обычный 3 2 3 2 5 8 2" xfId="6551"/>
    <cellStyle name="Обычный 3 2 3 2 5 9" xfId="2996"/>
    <cellStyle name="Обычный 3 2 3 2 5 9 2" xfId="6847"/>
    <cellStyle name="Обычный 3 2 3 2 6" xfId="940"/>
    <cellStyle name="Обычный 3 2 3 2 6 2" xfId="8676"/>
    <cellStyle name="Обычный 3 2 3 2 6 3" xfId="4627"/>
    <cellStyle name="Обычный 3 2 3 2 7" xfId="941"/>
    <cellStyle name="Обычный 3 2 3 2 7 2" xfId="8677"/>
    <cellStyle name="Обычный 3 2 3 2 7 3" xfId="4923"/>
    <cellStyle name="Обычный 3 2 3 2 8" xfId="1380"/>
    <cellStyle name="Обычный 3 2 3 2 8 2" xfId="5219"/>
    <cellStyle name="Обычный 3 2 3 2 9" xfId="1669"/>
    <cellStyle name="Обычный 3 2 3 2 9 2" xfId="5515"/>
    <cellStyle name="Обычный 3 2 3 20" xfId="93"/>
    <cellStyle name="Обычный 3 2 3 3" xfId="163"/>
    <cellStyle name="Обычный 3 2 3 3 10" xfId="2874"/>
    <cellStyle name="Обычный 3 2 3 3 10 2" xfId="6725"/>
    <cellStyle name="Обычный 3 2 3 3 11" xfId="3170"/>
    <cellStyle name="Обычный 3 2 3 3 11 2" xfId="7021"/>
    <cellStyle name="Обычный 3 2 3 3 12" xfId="3466"/>
    <cellStyle name="Обычный 3 2 3 3 12 2" xfId="7317"/>
    <cellStyle name="Обычный 3 2 3 3 13" xfId="3762"/>
    <cellStyle name="Обычный 3 2 3 3 13 2" xfId="7613"/>
    <cellStyle name="Обычный 3 2 3 3 14" xfId="4058"/>
    <cellStyle name="Обычный 3 2 3 3 14 2" xfId="7909"/>
    <cellStyle name="Обычный 3 2 3 3 15" xfId="8207"/>
    <cellStyle name="Обычный 3 2 3 3 16" xfId="4355"/>
    <cellStyle name="Обычный 3 2 3 3 2" xfId="263"/>
    <cellStyle name="Обычный 3 2 3 3 2 10" xfId="3318"/>
    <cellStyle name="Обычный 3 2 3 3 2 10 2" xfId="7169"/>
    <cellStyle name="Обычный 3 2 3 3 2 11" xfId="3614"/>
    <cellStyle name="Обычный 3 2 3 3 2 11 2" xfId="7465"/>
    <cellStyle name="Обычный 3 2 3 3 2 12" xfId="3910"/>
    <cellStyle name="Обычный 3 2 3 3 2 12 2" xfId="7761"/>
    <cellStyle name="Обычный 3 2 3 3 2 13" xfId="4206"/>
    <cellStyle name="Обычный 3 2 3 3 2 13 2" xfId="8057"/>
    <cellStyle name="Обычный 3 2 3 3 2 14" xfId="8308"/>
    <cellStyle name="Обычный 3 2 3 3 2 15" xfId="4505"/>
    <cellStyle name="Обычный 3 2 3 3 2 2" xfId="942"/>
    <cellStyle name="Обычный 3 2 3 3 2 2 2" xfId="8678"/>
    <cellStyle name="Обычный 3 2 3 3 2 2 3" xfId="4801"/>
    <cellStyle name="Обычный 3 2 3 3 2 3" xfId="1264"/>
    <cellStyle name="Обычный 3 2 3 3 2 3 2" xfId="5097"/>
    <cellStyle name="Обычный 3 2 3 3 2 4" xfId="1550"/>
    <cellStyle name="Обычный 3 2 3 3 2 4 2" xfId="5393"/>
    <cellStyle name="Обычный 3 2 3 3 2 5" xfId="1842"/>
    <cellStyle name="Обычный 3 2 3 3 2 5 2" xfId="5689"/>
    <cellStyle name="Обычный 3 2 3 3 2 6" xfId="2135"/>
    <cellStyle name="Обычный 3 2 3 3 2 6 2" xfId="5985"/>
    <cellStyle name="Обычный 3 2 3 3 2 7" xfId="2430"/>
    <cellStyle name="Обычный 3 2 3 3 2 7 2" xfId="6281"/>
    <cellStyle name="Обычный 3 2 3 3 2 8" xfId="2726"/>
    <cellStyle name="Обычный 3 2 3 3 2 8 2" xfId="6577"/>
    <cellStyle name="Обычный 3 2 3 3 2 9" xfId="3022"/>
    <cellStyle name="Обычный 3 2 3 3 2 9 2" xfId="6873"/>
    <cellStyle name="Обычный 3 2 3 3 3" xfId="363"/>
    <cellStyle name="Обычный 3 2 3 3 3 2" xfId="943"/>
    <cellStyle name="Обычный 3 2 3 3 3 3" xfId="8408"/>
    <cellStyle name="Обычный 3 2 3 3 3 4" xfId="4653"/>
    <cellStyle name="Обычный 3 2 3 3 4" xfId="944"/>
    <cellStyle name="Обычный 3 2 3 3 4 2" xfId="8679"/>
    <cellStyle name="Обычный 3 2 3 3 4 3" xfId="4949"/>
    <cellStyle name="Обычный 3 2 3 3 5" xfId="1406"/>
    <cellStyle name="Обычный 3 2 3 3 5 2" xfId="5245"/>
    <cellStyle name="Обычный 3 2 3 3 6" xfId="1695"/>
    <cellStyle name="Обычный 3 2 3 3 6 2" xfId="5541"/>
    <cellStyle name="Обычный 3 2 3 3 7" xfId="1988"/>
    <cellStyle name="Обычный 3 2 3 3 7 2" xfId="5837"/>
    <cellStyle name="Обычный 3 2 3 3 8" xfId="2282"/>
    <cellStyle name="Обычный 3 2 3 3 8 2" xfId="6133"/>
    <cellStyle name="Обычный 3 2 3 3 9" xfId="2578"/>
    <cellStyle name="Обычный 3 2 3 3 9 2" xfId="6429"/>
    <cellStyle name="Обычный 3 2 3 4" xfId="214"/>
    <cellStyle name="Обычный 3 2 3 4 10" xfId="2924"/>
    <cellStyle name="Обычный 3 2 3 4 10 2" xfId="6775"/>
    <cellStyle name="Обычный 3 2 3 4 11" xfId="3220"/>
    <cellStyle name="Обычный 3 2 3 4 11 2" xfId="7071"/>
    <cellStyle name="Обычный 3 2 3 4 12" xfId="3516"/>
    <cellStyle name="Обычный 3 2 3 4 12 2" xfId="7367"/>
    <cellStyle name="Обычный 3 2 3 4 13" xfId="3812"/>
    <cellStyle name="Обычный 3 2 3 4 13 2" xfId="7663"/>
    <cellStyle name="Обычный 3 2 3 4 14" xfId="4108"/>
    <cellStyle name="Обычный 3 2 3 4 14 2" xfId="7959"/>
    <cellStyle name="Обычный 3 2 3 4 15" xfId="8258"/>
    <cellStyle name="Обычный 3 2 3 4 16" xfId="4406"/>
    <cellStyle name="Обычный 3 2 3 4 2" xfId="945"/>
    <cellStyle name="Обычный 3 2 3 4 2 10" xfId="3368"/>
    <cellStyle name="Обычный 3 2 3 4 2 10 2" xfId="7219"/>
    <cellStyle name="Обычный 3 2 3 4 2 11" xfId="3664"/>
    <cellStyle name="Обычный 3 2 3 4 2 11 2" xfId="7515"/>
    <cellStyle name="Обычный 3 2 3 4 2 12" xfId="3960"/>
    <cellStyle name="Обычный 3 2 3 4 2 12 2" xfId="7811"/>
    <cellStyle name="Обычный 3 2 3 4 2 13" xfId="4256"/>
    <cellStyle name="Обычный 3 2 3 4 2 13 2" xfId="8107"/>
    <cellStyle name="Обычный 3 2 3 4 2 14" xfId="8680"/>
    <cellStyle name="Обычный 3 2 3 4 2 15" xfId="4555"/>
    <cellStyle name="Обычный 3 2 3 4 2 2" xfId="1123"/>
    <cellStyle name="Обычный 3 2 3 4 2 2 2" xfId="4851"/>
    <cellStyle name="Обычный 3 2 3 4 2 3" xfId="1312"/>
    <cellStyle name="Обычный 3 2 3 4 2 3 2" xfId="5147"/>
    <cellStyle name="Обычный 3 2 3 4 2 4" xfId="1599"/>
    <cellStyle name="Обычный 3 2 3 4 2 4 2" xfId="5443"/>
    <cellStyle name="Обычный 3 2 3 4 2 5" xfId="1892"/>
    <cellStyle name="Обычный 3 2 3 4 2 5 2" xfId="5739"/>
    <cellStyle name="Обычный 3 2 3 4 2 6" xfId="2185"/>
    <cellStyle name="Обычный 3 2 3 4 2 6 2" xfId="6035"/>
    <cellStyle name="Обычный 3 2 3 4 2 7" xfId="2480"/>
    <cellStyle name="Обычный 3 2 3 4 2 7 2" xfId="6331"/>
    <cellStyle name="Обычный 3 2 3 4 2 8" xfId="2776"/>
    <cellStyle name="Обычный 3 2 3 4 2 8 2" xfId="6627"/>
    <cellStyle name="Обычный 3 2 3 4 2 9" xfId="3072"/>
    <cellStyle name="Обычный 3 2 3 4 2 9 2" xfId="6923"/>
    <cellStyle name="Обычный 3 2 3 4 3" xfId="1076"/>
    <cellStyle name="Обычный 3 2 3 4 3 2" xfId="4703"/>
    <cellStyle name="Обычный 3 2 3 4 4" xfId="1170"/>
    <cellStyle name="Обычный 3 2 3 4 4 2" xfId="4999"/>
    <cellStyle name="Обычный 3 2 3 4 5" xfId="1453"/>
    <cellStyle name="Обычный 3 2 3 4 5 2" xfId="5295"/>
    <cellStyle name="Обычный 3 2 3 4 6" xfId="1744"/>
    <cellStyle name="Обычный 3 2 3 4 6 2" xfId="5591"/>
    <cellStyle name="Обычный 3 2 3 4 7" xfId="2037"/>
    <cellStyle name="Обычный 3 2 3 4 7 2" xfId="5887"/>
    <cellStyle name="Обычный 3 2 3 4 8" xfId="2332"/>
    <cellStyle name="Обычный 3 2 3 4 8 2" xfId="6183"/>
    <cellStyle name="Обычный 3 2 3 4 9" xfId="2628"/>
    <cellStyle name="Обычный 3 2 3 4 9 2" xfId="6479"/>
    <cellStyle name="Обычный 3 2 3 5" xfId="313"/>
    <cellStyle name="Обычный 3 2 3 5 10" xfId="3270"/>
    <cellStyle name="Обычный 3 2 3 5 10 2" xfId="7121"/>
    <cellStyle name="Обычный 3 2 3 5 11" xfId="3566"/>
    <cellStyle name="Обычный 3 2 3 5 11 2" xfId="7417"/>
    <cellStyle name="Обычный 3 2 3 5 12" xfId="3862"/>
    <cellStyle name="Обычный 3 2 3 5 12 2" xfId="7713"/>
    <cellStyle name="Обычный 3 2 3 5 13" xfId="4158"/>
    <cellStyle name="Обычный 3 2 3 5 13 2" xfId="8009"/>
    <cellStyle name="Обычный 3 2 3 5 14" xfId="8358"/>
    <cellStyle name="Обычный 3 2 3 5 15" xfId="4457"/>
    <cellStyle name="Обычный 3 2 3 5 2" xfId="946"/>
    <cellStyle name="Обычный 3 2 3 5 2 2" xfId="8681"/>
    <cellStyle name="Обычный 3 2 3 5 2 3" xfId="4753"/>
    <cellStyle name="Обычный 3 2 3 5 3" xfId="1217"/>
    <cellStyle name="Обычный 3 2 3 5 3 2" xfId="5049"/>
    <cellStyle name="Обычный 3 2 3 5 4" xfId="1502"/>
    <cellStyle name="Обычный 3 2 3 5 4 2" xfId="5345"/>
    <cellStyle name="Обычный 3 2 3 5 5" xfId="1794"/>
    <cellStyle name="Обычный 3 2 3 5 5 2" xfId="5641"/>
    <cellStyle name="Обычный 3 2 3 5 6" xfId="2087"/>
    <cellStyle name="Обычный 3 2 3 5 6 2" xfId="5937"/>
    <cellStyle name="Обычный 3 2 3 5 7" xfId="2382"/>
    <cellStyle name="Обычный 3 2 3 5 7 2" xfId="6233"/>
    <cellStyle name="Обычный 3 2 3 5 8" xfId="2678"/>
    <cellStyle name="Обычный 3 2 3 5 8 2" xfId="6529"/>
    <cellStyle name="Обычный 3 2 3 5 9" xfId="2974"/>
    <cellStyle name="Обычный 3 2 3 5 9 2" xfId="6825"/>
    <cellStyle name="Обычный 3 2 3 6" xfId="947"/>
    <cellStyle name="Обычный 3 2 3 6 2" xfId="8682"/>
    <cellStyle name="Обычный 3 2 3 6 3" xfId="4605"/>
    <cellStyle name="Обычный 3 2 3 7" xfId="948"/>
    <cellStyle name="Обычный 3 2 3 7 2" xfId="8683"/>
    <cellStyle name="Обычный 3 2 3 7 3" xfId="4901"/>
    <cellStyle name="Обычный 3 2 3 8" xfId="1359"/>
    <cellStyle name="Обычный 3 2 3 8 2" xfId="5197"/>
    <cellStyle name="Обычный 3 2 3 9" xfId="1648"/>
    <cellStyle name="Обычный 3 2 3 9 2" xfId="5493"/>
    <cellStyle name="Обычный 3 2 4" xfId="39"/>
    <cellStyle name="Обычный 3 2 4 10" xfId="2254"/>
    <cellStyle name="Обычный 3 2 4 10 2" xfId="6105"/>
    <cellStyle name="Обычный 3 2 4 11" xfId="2550"/>
    <cellStyle name="Обычный 3 2 4 11 2" xfId="6401"/>
    <cellStyle name="Обычный 3 2 4 12" xfId="2846"/>
    <cellStyle name="Обычный 3 2 4 12 2" xfId="6697"/>
    <cellStyle name="Обычный 3 2 4 13" xfId="3142"/>
    <cellStyle name="Обычный 3 2 4 13 2" xfId="6993"/>
    <cellStyle name="Обычный 3 2 4 14" xfId="3438"/>
    <cellStyle name="Обычный 3 2 4 14 2" xfId="7289"/>
    <cellStyle name="Обычный 3 2 4 15" xfId="3734"/>
    <cellStyle name="Обычный 3 2 4 15 2" xfId="7585"/>
    <cellStyle name="Обычный 3 2 4 16" xfId="4030"/>
    <cellStyle name="Обычный 3 2 4 16 2" xfId="7881"/>
    <cellStyle name="Обычный 3 2 4 17" xfId="8177"/>
    <cellStyle name="Обычный 3 2 4 18" xfId="4326"/>
    <cellStyle name="Обычный 3 2 4 19" xfId="134"/>
    <cellStyle name="Обычный 3 2 4 2" xfId="57"/>
    <cellStyle name="Обычный 3 2 4 2 10" xfId="2894"/>
    <cellStyle name="Обычный 3 2 4 2 10 2" xfId="6745"/>
    <cellStyle name="Обычный 3 2 4 2 11" xfId="3190"/>
    <cellStyle name="Обычный 3 2 4 2 11 2" xfId="7041"/>
    <cellStyle name="Обычный 3 2 4 2 12" xfId="3486"/>
    <cellStyle name="Обычный 3 2 4 2 12 2" xfId="7337"/>
    <cellStyle name="Обычный 3 2 4 2 13" xfId="3782"/>
    <cellStyle name="Обычный 3 2 4 2 13 2" xfId="7633"/>
    <cellStyle name="Обычный 3 2 4 2 14" xfId="4078"/>
    <cellStyle name="Обычный 3 2 4 2 14 2" xfId="7929"/>
    <cellStyle name="Обычный 3 2 4 2 15" xfId="8227"/>
    <cellStyle name="Обычный 3 2 4 2 16" xfId="4375"/>
    <cellStyle name="Обычный 3 2 4 2 17" xfId="182"/>
    <cellStyle name="Обычный 3 2 4 2 2" xfId="282"/>
    <cellStyle name="Обычный 3 2 4 2 2 10" xfId="3338"/>
    <cellStyle name="Обычный 3 2 4 2 2 10 2" xfId="7189"/>
    <cellStyle name="Обычный 3 2 4 2 2 11" xfId="3634"/>
    <cellStyle name="Обычный 3 2 4 2 2 11 2" xfId="7485"/>
    <cellStyle name="Обычный 3 2 4 2 2 12" xfId="3930"/>
    <cellStyle name="Обычный 3 2 4 2 2 12 2" xfId="7781"/>
    <cellStyle name="Обычный 3 2 4 2 2 13" xfId="4226"/>
    <cellStyle name="Обычный 3 2 4 2 2 13 2" xfId="8077"/>
    <cellStyle name="Обычный 3 2 4 2 2 14" xfId="8328"/>
    <cellStyle name="Обычный 3 2 4 2 2 15" xfId="4525"/>
    <cellStyle name="Обычный 3 2 4 2 2 2" xfId="949"/>
    <cellStyle name="Обычный 3 2 4 2 2 2 2" xfId="8684"/>
    <cellStyle name="Обычный 3 2 4 2 2 2 3" xfId="4821"/>
    <cellStyle name="Обычный 3 2 4 2 2 3" xfId="1283"/>
    <cellStyle name="Обычный 3 2 4 2 2 3 2" xfId="5117"/>
    <cellStyle name="Обычный 3 2 4 2 2 4" xfId="1569"/>
    <cellStyle name="Обычный 3 2 4 2 2 4 2" xfId="5413"/>
    <cellStyle name="Обычный 3 2 4 2 2 5" xfId="1862"/>
    <cellStyle name="Обычный 3 2 4 2 2 5 2" xfId="5709"/>
    <cellStyle name="Обычный 3 2 4 2 2 6" xfId="2155"/>
    <cellStyle name="Обычный 3 2 4 2 2 6 2" xfId="6005"/>
    <cellStyle name="Обычный 3 2 4 2 2 7" xfId="2450"/>
    <cellStyle name="Обычный 3 2 4 2 2 7 2" xfId="6301"/>
    <cellStyle name="Обычный 3 2 4 2 2 8" xfId="2746"/>
    <cellStyle name="Обычный 3 2 4 2 2 8 2" xfId="6597"/>
    <cellStyle name="Обычный 3 2 4 2 2 9" xfId="3042"/>
    <cellStyle name="Обычный 3 2 4 2 2 9 2" xfId="6893"/>
    <cellStyle name="Обычный 3 2 4 2 3" xfId="383"/>
    <cellStyle name="Обычный 3 2 4 2 3 2" xfId="950"/>
    <cellStyle name="Обычный 3 2 4 2 3 3" xfId="8428"/>
    <cellStyle name="Обычный 3 2 4 2 3 4" xfId="4673"/>
    <cellStyle name="Обычный 3 2 4 2 4" xfId="951"/>
    <cellStyle name="Обычный 3 2 4 2 4 2" xfId="8685"/>
    <cellStyle name="Обычный 3 2 4 2 4 3" xfId="4969"/>
    <cellStyle name="Обычный 3 2 4 2 5" xfId="1425"/>
    <cellStyle name="Обычный 3 2 4 2 5 2" xfId="5265"/>
    <cellStyle name="Обычный 3 2 4 2 6" xfId="1715"/>
    <cellStyle name="Обычный 3 2 4 2 6 2" xfId="5561"/>
    <cellStyle name="Обычный 3 2 4 2 7" xfId="2007"/>
    <cellStyle name="Обычный 3 2 4 2 7 2" xfId="5857"/>
    <cellStyle name="Обычный 3 2 4 2 8" xfId="2302"/>
    <cellStyle name="Обычный 3 2 4 2 8 2" xfId="6153"/>
    <cellStyle name="Обычный 3 2 4 2 9" xfId="2598"/>
    <cellStyle name="Обычный 3 2 4 2 9 2" xfId="6449"/>
    <cellStyle name="Обычный 3 2 4 3" xfId="233"/>
    <cellStyle name="Обычный 3 2 4 3 10" xfId="2944"/>
    <cellStyle name="Обычный 3 2 4 3 10 2" xfId="6795"/>
    <cellStyle name="Обычный 3 2 4 3 11" xfId="3240"/>
    <cellStyle name="Обычный 3 2 4 3 11 2" xfId="7091"/>
    <cellStyle name="Обычный 3 2 4 3 12" xfId="3536"/>
    <cellStyle name="Обычный 3 2 4 3 12 2" xfId="7387"/>
    <cellStyle name="Обычный 3 2 4 3 13" xfId="3832"/>
    <cellStyle name="Обычный 3 2 4 3 13 2" xfId="7683"/>
    <cellStyle name="Обычный 3 2 4 3 14" xfId="4128"/>
    <cellStyle name="Обычный 3 2 4 3 14 2" xfId="7979"/>
    <cellStyle name="Обычный 3 2 4 3 15" xfId="8278"/>
    <cellStyle name="Обычный 3 2 4 3 16" xfId="4426"/>
    <cellStyle name="Обычный 3 2 4 3 2" xfId="952"/>
    <cellStyle name="Обычный 3 2 4 3 2 10" xfId="3388"/>
    <cellStyle name="Обычный 3 2 4 3 2 10 2" xfId="7239"/>
    <cellStyle name="Обычный 3 2 4 3 2 11" xfId="3684"/>
    <cellStyle name="Обычный 3 2 4 3 2 11 2" xfId="7535"/>
    <cellStyle name="Обычный 3 2 4 3 2 12" xfId="3980"/>
    <cellStyle name="Обычный 3 2 4 3 2 12 2" xfId="7831"/>
    <cellStyle name="Обычный 3 2 4 3 2 13" xfId="4276"/>
    <cellStyle name="Обычный 3 2 4 3 2 13 2" xfId="8127"/>
    <cellStyle name="Обычный 3 2 4 3 2 14" xfId="8686"/>
    <cellStyle name="Обычный 3 2 4 3 2 15" xfId="4575"/>
    <cellStyle name="Обычный 3 2 4 3 2 2" xfId="1142"/>
    <cellStyle name="Обычный 3 2 4 3 2 2 2" xfId="4871"/>
    <cellStyle name="Обычный 3 2 4 3 2 3" xfId="1331"/>
    <cellStyle name="Обычный 3 2 4 3 2 3 2" xfId="5167"/>
    <cellStyle name="Обычный 3 2 4 3 2 4" xfId="1618"/>
    <cellStyle name="Обычный 3 2 4 3 2 4 2" xfId="5463"/>
    <cellStyle name="Обычный 3 2 4 3 2 5" xfId="1911"/>
    <cellStyle name="Обычный 3 2 4 3 2 5 2" xfId="5759"/>
    <cellStyle name="Обычный 3 2 4 3 2 6" xfId="2205"/>
    <cellStyle name="Обычный 3 2 4 3 2 6 2" xfId="6055"/>
    <cellStyle name="Обычный 3 2 4 3 2 7" xfId="2500"/>
    <cellStyle name="Обычный 3 2 4 3 2 7 2" xfId="6351"/>
    <cellStyle name="Обычный 3 2 4 3 2 8" xfId="2796"/>
    <cellStyle name="Обычный 3 2 4 3 2 8 2" xfId="6647"/>
    <cellStyle name="Обычный 3 2 4 3 2 9" xfId="3092"/>
    <cellStyle name="Обычный 3 2 4 3 2 9 2" xfId="6943"/>
    <cellStyle name="Обычный 3 2 4 3 3" xfId="1095"/>
    <cellStyle name="Обычный 3 2 4 3 3 2" xfId="4723"/>
    <cellStyle name="Обычный 3 2 4 3 4" xfId="1189"/>
    <cellStyle name="Обычный 3 2 4 3 4 2" xfId="5019"/>
    <cellStyle name="Обычный 3 2 4 3 5" xfId="1473"/>
    <cellStyle name="Обычный 3 2 4 3 5 2" xfId="5315"/>
    <cellStyle name="Обычный 3 2 4 3 6" xfId="1764"/>
    <cellStyle name="Обычный 3 2 4 3 6 2" xfId="5611"/>
    <cellStyle name="Обычный 3 2 4 3 7" xfId="2057"/>
    <cellStyle name="Обычный 3 2 4 3 7 2" xfId="5907"/>
    <cellStyle name="Обычный 3 2 4 3 8" xfId="2352"/>
    <cellStyle name="Обычный 3 2 4 3 8 2" xfId="6203"/>
    <cellStyle name="Обычный 3 2 4 3 9" xfId="2648"/>
    <cellStyle name="Обычный 3 2 4 3 9 2" xfId="6499"/>
    <cellStyle name="Обычный 3 2 4 4" xfId="333"/>
    <cellStyle name="Обычный 3 2 4 4 10" xfId="3290"/>
    <cellStyle name="Обычный 3 2 4 4 10 2" xfId="7141"/>
    <cellStyle name="Обычный 3 2 4 4 11" xfId="3586"/>
    <cellStyle name="Обычный 3 2 4 4 11 2" xfId="7437"/>
    <cellStyle name="Обычный 3 2 4 4 12" xfId="3882"/>
    <cellStyle name="Обычный 3 2 4 4 12 2" xfId="7733"/>
    <cellStyle name="Обычный 3 2 4 4 13" xfId="4178"/>
    <cellStyle name="Обычный 3 2 4 4 13 2" xfId="8029"/>
    <cellStyle name="Обычный 3 2 4 4 14" xfId="8378"/>
    <cellStyle name="Обычный 3 2 4 4 15" xfId="4477"/>
    <cellStyle name="Обычный 3 2 4 4 2" xfId="953"/>
    <cellStyle name="Обычный 3 2 4 4 2 2" xfId="8687"/>
    <cellStyle name="Обычный 3 2 4 4 2 3" xfId="4773"/>
    <cellStyle name="Обычный 3 2 4 4 3" xfId="1237"/>
    <cellStyle name="Обычный 3 2 4 4 3 2" xfId="5069"/>
    <cellStyle name="Обычный 3 2 4 4 4" xfId="1522"/>
    <cellStyle name="Обычный 3 2 4 4 4 2" xfId="5365"/>
    <cellStyle name="Обычный 3 2 4 4 5" xfId="1814"/>
    <cellStyle name="Обычный 3 2 4 4 5 2" xfId="5661"/>
    <cellStyle name="Обычный 3 2 4 4 6" xfId="2107"/>
    <cellStyle name="Обычный 3 2 4 4 6 2" xfId="5957"/>
    <cellStyle name="Обычный 3 2 4 4 7" xfId="2402"/>
    <cellStyle name="Обычный 3 2 4 4 7 2" xfId="6253"/>
    <cellStyle name="Обычный 3 2 4 4 8" xfId="2698"/>
    <cellStyle name="Обычный 3 2 4 4 8 2" xfId="6549"/>
    <cellStyle name="Обычный 3 2 4 4 9" xfId="2994"/>
    <cellStyle name="Обычный 3 2 4 4 9 2" xfId="6845"/>
    <cellStyle name="Обычный 3 2 4 5" xfId="954"/>
    <cellStyle name="Обычный 3 2 4 5 2" xfId="8688"/>
    <cellStyle name="Обычный 3 2 4 5 3" xfId="4625"/>
    <cellStyle name="Обычный 3 2 4 6" xfId="955"/>
    <cellStyle name="Обычный 3 2 4 6 2" xfId="8689"/>
    <cellStyle name="Обычный 3 2 4 6 3" xfId="4921"/>
    <cellStyle name="Обычный 3 2 4 7" xfId="1378"/>
    <cellStyle name="Обычный 3 2 4 7 2" xfId="5217"/>
    <cellStyle name="Обычный 3 2 4 8" xfId="1667"/>
    <cellStyle name="Обычный 3 2 4 8 2" xfId="5513"/>
    <cellStyle name="Обычный 3 2 4 9" xfId="1960"/>
    <cellStyle name="Обычный 3 2 4 9 2" xfId="5809"/>
    <cellStyle name="Обычный 3 2 5" xfId="45"/>
    <cellStyle name="Обычный 3 2 5 10" xfId="2872"/>
    <cellStyle name="Обычный 3 2 5 10 2" xfId="6723"/>
    <cellStyle name="Обычный 3 2 5 11" xfId="3168"/>
    <cellStyle name="Обычный 3 2 5 11 2" xfId="7019"/>
    <cellStyle name="Обычный 3 2 5 12" xfId="3464"/>
    <cellStyle name="Обычный 3 2 5 12 2" xfId="7315"/>
    <cellStyle name="Обычный 3 2 5 13" xfId="3760"/>
    <cellStyle name="Обычный 3 2 5 13 2" xfId="7611"/>
    <cellStyle name="Обычный 3 2 5 14" xfId="4056"/>
    <cellStyle name="Обычный 3 2 5 14 2" xfId="7907"/>
    <cellStyle name="Обычный 3 2 5 15" xfId="8205"/>
    <cellStyle name="Обычный 3 2 5 16" xfId="4353"/>
    <cellStyle name="Обычный 3 2 5 17" xfId="161"/>
    <cellStyle name="Обычный 3 2 5 2" xfId="261"/>
    <cellStyle name="Обычный 3 2 5 2 10" xfId="3316"/>
    <cellStyle name="Обычный 3 2 5 2 10 2" xfId="7167"/>
    <cellStyle name="Обычный 3 2 5 2 11" xfId="3612"/>
    <cellStyle name="Обычный 3 2 5 2 11 2" xfId="7463"/>
    <cellStyle name="Обычный 3 2 5 2 12" xfId="3908"/>
    <cellStyle name="Обычный 3 2 5 2 12 2" xfId="7759"/>
    <cellStyle name="Обычный 3 2 5 2 13" xfId="4204"/>
    <cellStyle name="Обычный 3 2 5 2 13 2" xfId="8055"/>
    <cellStyle name="Обычный 3 2 5 2 14" xfId="8306"/>
    <cellStyle name="Обычный 3 2 5 2 15" xfId="4503"/>
    <cellStyle name="Обычный 3 2 5 2 2" xfId="956"/>
    <cellStyle name="Обычный 3 2 5 2 2 2" xfId="8690"/>
    <cellStyle name="Обычный 3 2 5 2 2 3" xfId="4799"/>
    <cellStyle name="Обычный 3 2 5 2 3" xfId="1262"/>
    <cellStyle name="Обычный 3 2 5 2 3 2" xfId="5095"/>
    <cellStyle name="Обычный 3 2 5 2 4" xfId="1548"/>
    <cellStyle name="Обычный 3 2 5 2 4 2" xfId="5391"/>
    <cellStyle name="Обычный 3 2 5 2 5" xfId="1840"/>
    <cellStyle name="Обычный 3 2 5 2 5 2" xfId="5687"/>
    <cellStyle name="Обычный 3 2 5 2 6" xfId="2133"/>
    <cellStyle name="Обычный 3 2 5 2 6 2" xfId="5983"/>
    <cellStyle name="Обычный 3 2 5 2 7" xfId="2428"/>
    <cellStyle name="Обычный 3 2 5 2 7 2" xfId="6279"/>
    <cellStyle name="Обычный 3 2 5 2 8" xfId="2724"/>
    <cellStyle name="Обычный 3 2 5 2 8 2" xfId="6575"/>
    <cellStyle name="Обычный 3 2 5 2 9" xfId="3020"/>
    <cellStyle name="Обычный 3 2 5 2 9 2" xfId="6871"/>
    <cellStyle name="Обычный 3 2 5 3" xfId="361"/>
    <cellStyle name="Обычный 3 2 5 3 2" xfId="957"/>
    <cellStyle name="Обычный 3 2 5 3 3" xfId="8406"/>
    <cellStyle name="Обычный 3 2 5 3 4" xfId="4651"/>
    <cellStyle name="Обычный 3 2 5 4" xfId="958"/>
    <cellStyle name="Обычный 3 2 5 4 2" xfId="8691"/>
    <cellStyle name="Обычный 3 2 5 4 3" xfId="4947"/>
    <cellStyle name="Обычный 3 2 5 5" xfId="1404"/>
    <cellStyle name="Обычный 3 2 5 5 2" xfId="5243"/>
    <cellStyle name="Обычный 3 2 5 6" xfId="1693"/>
    <cellStyle name="Обычный 3 2 5 6 2" xfId="5539"/>
    <cellStyle name="Обычный 3 2 5 7" xfId="1986"/>
    <cellStyle name="Обычный 3 2 5 7 2" xfId="5835"/>
    <cellStyle name="Обычный 3 2 5 8" xfId="2280"/>
    <cellStyle name="Обычный 3 2 5 8 2" xfId="6131"/>
    <cellStyle name="Обычный 3 2 5 9" xfId="2576"/>
    <cellStyle name="Обычный 3 2 5 9 2" xfId="6427"/>
    <cellStyle name="Обычный 3 2 6" xfId="212"/>
    <cellStyle name="Обычный 3 2 6 10" xfId="2922"/>
    <cellStyle name="Обычный 3 2 6 10 2" xfId="6773"/>
    <cellStyle name="Обычный 3 2 6 11" xfId="3218"/>
    <cellStyle name="Обычный 3 2 6 11 2" xfId="7069"/>
    <cellStyle name="Обычный 3 2 6 12" xfId="3514"/>
    <cellStyle name="Обычный 3 2 6 12 2" xfId="7365"/>
    <cellStyle name="Обычный 3 2 6 13" xfId="3810"/>
    <cellStyle name="Обычный 3 2 6 13 2" xfId="7661"/>
    <cellStyle name="Обычный 3 2 6 14" xfId="4106"/>
    <cellStyle name="Обычный 3 2 6 14 2" xfId="7957"/>
    <cellStyle name="Обычный 3 2 6 15" xfId="8256"/>
    <cellStyle name="Обычный 3 2 6 16" xfId="4404"/>
    <cellStyle name="Обычный 3 2 6 2" xfId="959"/>
    <cellStyle name="Обычный 3 2 6 2 10" xfId="3366"/>
    <cellStyle name="Обычный 3 2 6 2 10 2" xfId="7217"/>
    <cellStyle name="Обычный 3 2 6 2 11" xfId="3662"/>
    <cellStyle name="Обычный 3 2 6 2 11 2" xfId="7513"/>
    <cellStyle name="Обычный 3 2 6 2 12" xfId="3958"/>
    <cellStyle name="Обычный 3 2 6 2 12 2" xfId="7809"/>
    <cellStyle name="Обычный 3 2 6 2 13" xfId="4254"/>
    <cellStyle name="Обычный 3 2 6 2 13 2" xfId="8105"/>
    <cellStyle name="Обычный 3 2 6 2 14" xfId="8692"/>
    <cellStyle name="Обычный 3 2 6 2 15" xfId="4553"/>
    <cellStyle name="Обычный 3 2 6 2 2" xfId="1121"/>
    <cellStyle name="Обычный 3 2 6 2 2 2" xfId="4849"/>
    <cellStyle name="Обычный 3 2 6 2 3" xfId="1310"/>
    <cellStyle name="Обычный 3 2 6 2 3 2" xfId="5145"/>
    <cellStyle name="Обычный 3 2 6 2 4" xfId="1597"/>
    <cellStyle name="Обычный 3 2 6 2 4 2" xfId="5441"/>
    <cellStyle name="Обычный 3 2 6 2 5" xfId="1890"/>
    <cellStyle name="Обычный 3 2 6 2 5 2" xfId="5737"/>
    <cellStyle name="Обычный 3 2 6 2 6" xfId="2183"/>
    <cellStyle name="Обычный 3 2 6 2 6 2" xfId="6033"/>
    <cellStyle name="Обычный 3 2 6 2 7" xfId="2478"/>
    <cellStyle name="Обычный 3 2 6 2 7 2" xfId="6329"/>
    <cellStyle name="Обычный 3 2 6 2 8" xfId="2774"/>
    <cellStyle name="Обычный 3 2 6 2 8 2" xfId="6625"/>
    <cellStyle name="Обычный 3 2 6 2 9" xfId="3070"/>
    <cellStyle name="Обычный 3 2 6 2 9 2" xfId="6921"/>
    <cellStyle name="Обычный 3 2 6 3" xfId="1074"/>
    <cellStyle name="Обычный 3 2 6 3 2" xfId="4701"/>
    <cellStyle name="Обычный 3 2 6 4" xfId="1168"/>
    <cellStyle name="Обычный 3 2 6 4 2" xfId="4997"/>
    <cellStyle name="Обычный 3 2 6 5" xfId="1451"/>
    <cellStyle name="Обычный 3 2 6 5 2" xfId="5293"/>
    <cellStyle name="Обычный 3 2 6 6" xfId="1742"/>
    <cellStyle name="Обычный 3 2 6 6 2" xfId="5589"/>
    <cellStyle name="Обычный 3 2 6 7" xfId="2035"/>
    <cellStyle name="Обычный 3 2 6 7 2" xfId="5885"/>
    <cellStyle name="Обычный 3 2 6 8" xfId="2330"/>
    <cellStyle name="Обычный 3 2 6 8 2" xfId="6181"/>
    <cellStyle name="Обычный 3 2 6 9" xfId="2626"/>
    <cellStyle name="Обычный 3 2 6 9 2" xfId="6477"/>
    <cellStyle name="Обычный 3 2 7" xfId="311"/>
    <cellStyle name="Обычный 3 2 7 10" xfId="3268"/>
    <cellStyle name="Обычный 3 2 7 10 2" xfId="7119"/>
    <cellStyle name="Обычный 3 2 7 11" xfId="3564"/>
    <cellStyle name="Обычный 3 2 7 11 2" xfId="7415"/>
    <cellStyle name="Обычный 3 2 7 12" xfId="3860"/>
    <cellStyle name="Обычный 3 2 7 12 2" xfId="7711"/>
    <cellStyle name="Обычный 3 2 7 13" xfId="4156"/>
    <cellStyle name="Обычный 3 2 7 13 2" xfId="8007"/>
    <cellStyle name="Обычный 3 2 7 14" xfId="8356"/>
    <cellStyle name="Обычный 3 2 7 15" xfId="4455"/>
    <cellStyle name="Обычный 3 2 7 2" xfId="960"/>
    <cellStyle name="Обычный 3 2 7 2 2" xfId="8693"/>
    <cellStyle name="Обычный 3 2 7 2 3" xfId="4751"/>
    <cellStyle name="Обычный 3 2 7 3" xfId="1215"/>
    <cellStyle name="Обычный 3 2 7 3 2" xfId="5047"/>
    <cellStyle name="Обычный 3 2 7 4" xfId="1500"/>
    <cellStyle name="Обычный 3 2 7 4 2" xfId="5343"/>
    <cellStyle name="Обычный 3 2 7 5" xfId="1792"/>
    <cellStyle name="Обычный 3 2 7 5 2" xfId="5639"/>
    <cellStyle name="Обычный 3 2 7 6" xfId="2085"/>
    <cellStyle name="Обычный 3 2 7 6 2" xfId="5935"/>
    <cellStyle name="Обычный 3 2 7 7" xfId="2380"/>
    <cellStyle name="Обычный 3 2 7 7 2" xfId="6231"/>
    <cellStyle name="Обычный 3 2 7 8" xfId="2676"/>
    <cellStyle name="Обычный 3 2 7 8 2" xfId="6527"/>
    <cellStyle name="Обычный 3 2 7 9" xfId="2972"/>
    <cellStyle name="Обычный 3 2 7 9 2" xfId="6823"/>
    <cellStyle name="Обычный 3 2 8" xfId="397"/>
    <cellStyle name="Обычный 3 2 8 2" xfId="8441"/>
    <cellStyle name="Обычный 3 2 8 3" xfId="4603"/>
    <cellStyle name="Обычный 3 2 9" xfId="961"/>
    <cellStyle name="Обычный 3 2 9 2" xfId="8694"/>
    <cellStyle name="Обычный 3 2 9 3" xfId="4899"/>
    <cellStyle name="Обычный 3 20" xfId="1628"/>
    <cellStyle name="Обычный 3 20 2" xfId="5473"/>
    <cellStyle name="Обычный 3 21" xfId="1921"/>
    <cellStyle name="Обычный 3 21 2" xfId="5769"/>
    <cellStyle name="Обычный 3 22" xfId="2215"/>
    <cellStyle name="Обычный 3 22 2" xfId="6065"/>
    <cellStyle name="Обычный 3 23" xfId="2510"/>
    <cellStyle name="Обычный 3 23 2" xfId="6361"/>
    <cellStyle name="Обычный 3 24" xfId="2806"/>
    <cellStyle name="Обычный 3 24 2" xfId="6657"/>
    <cellStyle name="Обычный 3 25" xfId="3102"/>
    <cellStyle name="Обычный 3 25 2" xfId="6953"/>
    <cellStyle name="Обычный 3 26" xfId="3398"/>
    <cellStyle name="Обычный 3 26 2" xfId="7249"/>
    <cellStyle name="Обычный 3 27" xfId="3694"/>
    <cellStyle name="Обычный 3 27 2" xfId="7545"/>
    <cellStyle name="Обычный 3 28" xfId="3990"/>
    <cellStyle name="Обычный 3 28 2" xfId="7841"/>
    <cellStyle name="Обычный 3 29" xfId="8137"/>
    <cellStyle name="Обычный 3 3" xfId="28"/>
    <cellStyle name="Обычный 3 3 10" xfId="1360"/>
    <cellStyle name="Обычный 3 3 10 2" xfId="5198"/>
    <cellStyle name="Обычный 3 3 11" xfId="1649"/>
    <cellStyle name="Обычный 3 3 11 2" xfId="5494"/>
    <cellStyle name="Обычный 3 3 12" xfId="1942"/>
    <cellStyle name="Обычный 3 3 12 2" xfId="5790"/>
    <cellStyle name="Обычный 3 3 13" xfId="2236"/>
    <cellStyle name="Обычный 3 3 13 2" xfId="6086"/>
    <cellStyle name="Обычный 3 3 14" xfId="2531"/>
    <cellStyle name="Обычный 3 3 14 2" xfId="6382"/>
    <cellStyle name="Обычный 3 3 15" xfId="2827"/>
    <cellStyle name="Обычный 3 3 15 2" xfId="6678"/>
    <cellStyle name="Обычный 3 3 16" xfId="3123"/>
    <cellStyle name="Обычный 3 3 16 2" xfId="6974"/>
    <cellStyle name="Обычный 3 3 17" xfId="3419"/>
    <cellStyle name="Обычный 3 3 17 2" xfId="7270"/>
    <cellStyle name="Обычный 3 3 18" xfId="3715"/>
    <cellStyle name="Обычный 3 3 18 2" xfId="7566"/>
    <cellStyle name="Обычный 3 3 19" xfId="4011"/>
    <cellStyle name="Обычный 3 3 19 2" xfId="7862"/>
    <cellStyle name="Обычный 3 3 2" xfId="31"/>
    <cellStyle name="Обычный 3 3 2 10" xfId="1943"/>
    <cellStyle name="Обычный 3 3 2 10 2" xfId="5791"/>
    <cellStyle name="Обычный 3 3 2 11" xfId="2237"/>
    <cellStyle name="Обычный 3 3 2 11 2" xfId="6087"/>
    <cellStyle name="Обычный 3 3 2 12" xfId="2532"/>
    <cellStyle name="Обычный 3 3 2 12 2" xfId="6383"/>
    <cellStyle name="Обычный 3 3 2 13" xfId="2828"/>
    <cellStyle name="Обычный 3 3 2 13 2" xfId="6679"/>
    <cellStyle name="Обычный 3 3 2 14" xfId="3124"/>
    <cellStyle name="Обычный 3 3 2 14 2" xfId="6975"/>
    <cellStyle name="Обычный 3 3 2 15" xfId="3420"/>
    <cellStyle name="Обычный 3 3 2 15 2" xfId="7271"/>
    <cellStyle name="Обычный 3 3 2 16" xfId="3716"/>
    <cellStyle name="Обычный 3 3 2 16 2" xfId="7567"/>
    <cellStyle name="Обычный 3 3 2 17" xfId="4012"/>
    <cellStyle name="Обычный 3 3 2 17 2" xfId="7863"/>
    <cellStyle name="Обычный 3 3 2 18" xfId="8159"/>
    <cellStyle name="Обычный 3 3 2 19" xfId="4308"/>
    <cellStyle name="Обычный 3 3 2 2" xfId="37"/>
    <cellStyle name="Обычный 3 3 2 2 10" xfId="2258"/>
    <cellStyle name="Обычный 3 3 2 2 10 2" xfId="6109"/>
    <cellStyle name="Обычный 3 3 2 2 11" xfId="2554"/>
    <cellStyle name="Обычный 3 3 2 2 11 2" xfId="6405"/>
    <cellStyle name="Обычный 3 3 2 2 12" xfId="2850"/>
    <cellStyle name="Обычный 3 3 2 2 12 2" xfId="6701"/>
    <cellStyle name="Обычный 3 3 2 2 13" xfId="3146"/>
    <cellStyle name="Обычный 3 3 2 2 13 2" xfId="6997"/>
    <cellStyle name="Обычный 3 3 2 2 14" xfId="3442"/>
    <cellStyle name="Обычный 3 3 2 2 14 2" xfId="7293"/>
    <cellStyle name="Обычный 3 3 2 2 15" xfId="3738"/>
    <cellStyle name="Обычный 3 3 2 2 15 2" xfId="7589"/>
    <cellStyle name="Обычный 3 3 2 2 16" xfId="4034"/>
    <cellStyle name="Обычный 3 3 2 2 16 2" xfId="7885"/>
    <cellStyle name="Обычный 3 3 2 2 17" xfId="8181"/>
    <cellStyle name="Обычный 3 3 2 2 18" xfId="4330"/>
    <cellStyle name="Обычный 3 3 2 2 19" xfId="138"/>
    <cellStyle name="Обычный 3 3 2 2 2" xfId="55"/>
    <cellStyle name="Обычный 3 3 2 2 2 10" xfId="2898"/>
    <cellStyle name="Обычный 3 3 2 2 2 10 2" xfId="6749"/>
    <cellStyle name="Обычный 3 3 2 2 2 11" xfId="3194"/>
    <cellStyle name="Обычный 3 3 2 2 2 11 2" xfId="7045"/>
    <cellStyle name="Обычный 3 3 2 2 2 12" xfId="3490"/>
    <cellStyle name="Обычный 3 3 2 2 2 12 2" xfId="7341"/>
    <cellStyle name="Обычный 3 3 2 2 2 13" xfId="3786"/>
    <cellStyle name="Обычный 3 3 2 2 2 13 2" xfId="7637"/>
    <cellStyle name="Обычный 3 3 2 2 2 14" xfId="4082"/>
    <cellStyle name="Обычный 3 3 2 2 2 14 2" xfId="7933"/>
    <cellStyle name="Обычный 3 3 2 2 2 15" xfId="8231"/>
    <cellStyle name="Обычный 3 3 2 2 2 16" xfId="4379"/>
    <cellStyle name="Обычный 3 3 2 2 2 17" xfId="186"/>
    <cellStyle name="Обычный 3 3 2 2 2 2" xfId="286"/>
    <cellStyle name="Обычный 3 3 2 2 2 2 10" xfId="3342"/>
    <cellStyle name="Обычный 3 3 2 2 2 2 10 2" xfId="7193"/>
    <cellStyle name="Обычный 3 3 2 2 2 2 11" xfId="3638"/>
    <cellStyle name="Обычный 3 3 2 2 2 2 11 2" xfId="7489"/>
    <cellStyle name="Обычный 3 3 2 2 2 2 12" xfId="3934"/>
    <cellStyle name="Обычный 3 3 2 2 2 2 12 2" xfId="7785"/>
    <cellStyle name="Обычный 3 3 2 2 2 2 13" xfId="4230"/>
    <cellStyle name="Обычный 3 3 2 2 2 2 13 2" xfId="8081"/>
    <cellStyle name="Обычный 3 3 2 2 2 2 14" xfId="8332"/>
    <cellStyle name="Обычный 3 3 2 2 2 2 15" xfId="4529"/>
    <cellStyle name="Обычный 3 3 2 2 2 2 2" xfId="962"/>
    <cellStyle name="Обычный 3 3 2 2 2 2 2 2" xfId="8695"/>
    <cellStyle name="Обычный 3 3 2 2 2 2 2 3" xfId="4825"/>
    <cellStyle name="Обычный 3 3 2 2 2 2 3" xfId="1287"/>
    <cellStyle name="Обычный 3 3 2 2 2 2 3 2" xfId="5121"/>
    <cellStyle name="Обычный 3 3 2 2 2 2 4" xfId="1573"/>
    <cellStyle name="Обычный 3 3 2 2 2 2 4 2" xfId="5417"/>
    <cellStyle name="Обычный 3 3 2 2 2 2 5" xfId="1866"/>
    <cellStyle name="Обычный 3 3 2 2 2 2 5 2" xfId="5713"/>
    <cellStyle name="Обычный 3 3 2 2 2 2 6" xfId="2159"/>
    <cellStyle name="Обычный 3 3 2 2 2 2 6 2" xfId="6009"/>
    <cellStyle name="Обычный 3 3 2 2 2 2 7" xfId="2454"/>
    <cellStyle name="Обычный 3 3 2 2 2 2 7 2" xfId="6305"/>
    <cellStyle name="Обычный 3 3 2 2 2 2 8" xfId="2750"/>
    <cellStyle name="Обычный 3 3 2 2 2 2 8 2" xfId="6601"/>
    <cellStyle name="Обычный 3 3 2 2 2 2 9" xfId="3046"/>
    <cellStyle name="Обычный 3 3 2 2 2 2 9 2" xfId="6897"/>
    <cellStyle name="Обычный 3 3 2 2 2 3" xfId="387"/>
    <cellStyle name="Обычный 3 3 2 2 2 3 2" xfId="963"/>
    <cellStyle name="Обычный 3 3 2 2 2 3 3" xfId="8432"/>
    <cellStyle name="Обычный 3 3 2 2 2 3 4" xfId="4677"/>
    <cellStyle name="Обычный 3 3 2 2 2 4" xfId="964"/>
    <cellStyle name="Обычный 3 3 2 2 2 4 2" xfId="8696"/>
    <cellStyle name="Обычный 3 3 2 2 2 4 3" xfId="4973"/>
    <cellStyle name="Обычный 3 3 2 2 2 5" xfId="1429"/>
    <cellStyle name="Обычный 3 3 2 2 2 5 2" xfId="5269"/>
    <cellStyle name="Обычный 3 3 2 2 2 6" xfId="1719"/>
    <cellStyle name="Обычный 3 3 2 2 2 6 2" xfId="5565"/>
    <cellStyle name="Обычный 3 3 2 2 2 7" xfId="2011"/>
    <cellStyle name="Обычный 3 3 2 2 2 7 2" xfId="5861"/>
    <cellStyle name="Обычный 3 3 2 2 2 8" xfId="2306"/>
    <cellStyle name="Обычный 3 3 2 2 2 8 2" xfId="6157"/>
    <cellStyle name="Обычный 3 3 2 2 2 9" xfId="2602"/>
    <cellStyle name="Обычный 3 3 2 2 2 9 2" xfId="6453"/>
    <cellStyle name="Обычный 3 3 2 2 3" xfId="237"/>
    <cellStyle name="Обычный 3 3 2 2 3 10" xfId="2948"/>
    <cellStyle name="Обычный 3 3 2 2 3 10 2" xfId="6799"/>
    <cellStyle name="Обычный 3 3 2 2 3 11" xfId="3244"/>
    <cellStyle name="Обычный 3 3 2 2 3 11 2" xfId="7095"/>
    <cellStyle name="Обычный 3 3 2 2 3 12" xfId="3540"/>
    <cellStyle name="Обычный 3 3 2 2 3 12 2" xfId="7391"/>
    <cellStyle name="Обычный 3 3 2 2 3 13" xfId="3836"/>
    <cellStyle name="Обычный 3 3 2 2 3 13 2" xfId="7687"/>
    <cellStyle name="Обычный 3 3 2 2 3 14" xfId="4132"/>
    <cellStyle name="Обычный 3 3 2 2 3 14 2" xfId="7983"/>
    <cellStyle name="Обычный 3 3 2 2 3 15" xfId="8282"/>
    <cellStyle name="Обычный 3 3 2 2 3 16" xfId="4430"/>
    <cellStyle name="Обычный 3 3 2 2 3 2" xfId="965"/>
    <cellStyle name="Обычный 3 3 2 2 3 2 10" xfId="3392"/>
    <cellStyle name="Обычный 3 3 2 2 3 2 10 2" xfId="7243"/>
    <cellStyle name="Обычный 3 3 2 2 3 2 11" xfId="3688"/>
    <cellStyle name="Обычный 3 3 2 2 3 2 11 2" xfId="7539"/>
    <cellStyle name="Обычный 3 3 2 2 3 2 12" xfId="3984"/>
    <cellStyle name="Обычный 3 3 2 2 3 2 12 2" xfId="7835"/>
    <cellStyle name="Обычный 3 3 2 2 3 2 13" xfId="4280"/>
    <cellStyle name="Обычный 3 3 2 2 3 2 13 2" xfId="8131"/>
    <cellStyle name="Обычный 3 3 2 2 3 2 14" xfId="8697"/>
    <cellStyle name="Обычный 3 3 2 2 3 2 15" xfId="4579"/>
    <cellStyle name="Обычный 3 3 2 2 3 2 2" xfId="1146"/>
    <cellStyle name="Обычный 3 3 2 2 3 2 2 2" xfId="4875"/>
    <cellStyle name="Обычный 3 3 2 2 3 2 3" xfId="1335"/>
    <cellStyle name="Обычный 3 3 2 2 3 2 3 2" xfId="5171"/>
    <cellStyle name="Обычный 3 3 2 2 3 2 4" xfId="1622"/>
    <cellStyle name="Обычный 3 3 2 2 3 2 4 2" xfId="5467"/>
    <cellStyle name="Обычный 3 3 2 2 3 2 5" xfId="1915"/>
    <cellStyle name="Обычный 3 3 2 2 3 2 5 2" xfId="5763"/>
    <cellStyle name="Обычный 3 3 2 2 3 2 6" xfId="2209"/>
    <cellStyle name="Обычный 3 3 2 2 3 2 6 2" xfId="6059"/>
    <cellStyle name="Обычный 3 3 2 2 3 2 7" xfId="2504"/>
    <cellStyle name="Обычный 3 3 2 2 3 2 7 2" xfId="6355"/>
    <cellStyle name="Обычный 3 3 2 2 3 2 8" xfId="2800"/>
    <cellStyle name="Обычный 3 3 2 2 3 2 8 2" xfId="6651"/>
    <cellStyle name="Обычный 3 3 2 2 3 2 9" xfId="3096"/>
    <cellStyle name="Обычный 3 3 2 2 3 2 9 2" xfId="6947"/>
    <cellStyle name="Обычный 3 3 2 2 3 3" xfId="1099"/>
    <cellStyle name="Обычный 3 3 2 2 3 3 2" xfId="4727"/>
    <cellStyle name="Обычный 3 3 2 2 3 4" xfId="1193"/>
    <cellStyle name="Обычный 3 3 2 2 3 4 2" xfId="5023"/>
    <cellStyle name="Обычный 3 3 2 2 3 5" xfId="1477"/>
    <cellStyle name="Обычный 3 3 2 2 3 5 2" xfId="5319"/>
    <cellStyle name="Обычный 3 3 2 2 3 6" xfId="1768"/>
    <cellStyle name="Обычный 3 3 2 2 3 6 2" xfId="5615"/>
    <cellStyle name="Обычный 3 3 2 2 3 7" xfId="2061"/>
    <cellStyle name="Обычный 3 3 2 2 3 7 2" xfId="5911"/>
    <cellStyle name="Обычный 3 3 2 2 3 8" xfId="2356"/>
    <cellStyle name="Обычный 3 3 2 2 3 8 2" xfId="6207"/>
    <cellStyle name="Обычный 3 3 2 2 3 9" xfId="2652"/>
    <cellStyle name="Обычный 3 3 2 2 3 9 2" xfId="6503"/>
    <cellStyle name="Обычный 3 3 2 2 4" xfId="337"/>
    <cellStyle name="Обычный 3 3 2 2 4 10" xfId="3294"/>
    <cellStyle name="Обычный 3 3 2 2 4 10 2" xfId="7145"/>
    <cellStyle name="Обычный 3 3 2 2 4 11" xfId="3590"/>
    <cellStyle name="Обычный 3 3 2 2 4 11 2" xfId="7441"/>
    <cellStyle name="Обычный 3 3 2 2 4 12" xfId="3886"/>
    <cellStyle name="Обычный 3 3 2 2 4 12 2" xfId="7737"/>
    <cellStyle name="Обычный 3 3 2 2 4 13" xfId="4182"/>
    <cellStyle name="Обычный 3 3 2 2 4 13 2" xfId="8033"/>
    <cellStyle name="Обычный 3 3 2 2 4 14" xfId="8382"/>
    <cellStyle name="Обычный 3 3 2 2 4 15" xfId="4481"/>
    <cellStyle name="Обычный 3 3 2 2 4 2" xfId="966"/>
    <cellStyle name="Обычный 3 3 2 2 4 2 2" xfId="8698"/>
    <cellStyle name="Обычный 3 3 2 2 4 2 3" xfId="4777"/>
    <cellStyle name="Обычный 3 3 2 2 4 3" xfId="1241"/>
    <cellStyle name="Обычный 3 3 2 2 4 3 2" xfId="5073"/>
    <cellStyle name="Обычный 3 3 2 2 4 4" xfId="1526"/>
    <cellStyle name="Обычный 3 3 2 2 4 4 2" xfId="5369"/>
    <cellStyle name="Обычный 3 3 2 2 4 5" xfId="1818"/>
    <cellStyle name="Обычный 3 3 2 2 4 5 2" xfId="5665"/>
    <cellStyle name="Обычный 3 3 2 2 4 6" xfId="2111"/>
    <cellStyle name="Обычный 3 3 2 2 4 6 2" xfId="5961"/>
    <cellStyle name="Обычный 3 3 2 2 4 7" xfId="2406"/>
    <cellStyle name="Обычный 3 3 2 2 4 7 2" xfId="6257"/>
    <cellStyle name="Обычный 3 3 2 2 4 8" xfId="2702"/>
    <cellStyle name="Обычный 3 3 2 2 4 8 2" xfId="6553"/>
    <cellStyle name="Обычный 3 3 2 2 4 9" xfId="2998"/>
    <cellStyle name="Обычный 3 3 2 2 4 9 2" xfId="6849"/>
    <cellStyle name="Обычный 3 3 2 2 5" xfId="967"/>
    <cellStyle name="Обычный 3 3 2 2 5 2" xfId="8699"/>
    <cellStyle name="Обычный 3 3 2 2 5 3" xfId="4629"/>
    <cellStyle name="Обычный 3 3 2 2 6" xfId="968"/>
    <cellStyle name="Обычный 3 3 2 2 6 2" xfId="8700"/>
    <cellStyle name="Обычный 3 3 2 2 6 3" xfId="4925"/>
    <cellStyle name="Обычный 3 3 2 2 7" xfId="1382"/>
    <cellStyle name="Обычный 3 3 2 2 7 2" xfId="5221"/>
    <cellStyle name="Обычный 3 3 2 2 8" xfId="1671"/>
    <cellStyle name="Обычный 3 3 2 2 8 2" xfId="5517"/>
    <cellStyle name="Обычный 3 3 2 2 9" xfId="1964"/>
    <cellStyle name="Обычный 3 3 2 2 9 2" xfId="5813"/>
    <cellStyle name="Обычный 3 3 2 20" xfId="95"/>
    <cellStyle name="Обычный 3 3 2 3" xfId="43"/>
    <cellStyle name="Обычный 3 3 2 3 10" xfId="2876"/>
    <cellStyle name="Обычный 3 3 2 3 10 2" xfId="6727"/>
    <cellStyle name="Обычный 3 3 2 3 11" xfId="3172"/>
    <cellStyle name="Обычный 3 3 2 3 11 2" xfId="7023"/>
    <cellStyle name="Обычный 3 3 2 3 12" xfId="3468"/>
    <cellStyle name="Обычный 3 3 2 3 12 2" xfId="7319"/>
    <cellStyle name="Обычный 3 3 2 3 13" xfId="3764"/>
    <cellStyle name="Обычный 3 3 2 3 13 2" xfId="7615"/>
    <cellStyle name="Обычный 3 3 2 3 14" xfId="4060"/>
    <cellStyle name="Обычный 3 3 2 3 14 2" xfId="7911"/>
    <cellStyle name="Обычный 3 3 2 3 15" xfId="8209"/>
    <cellStyle name="Обычный 3 3 2 3 16" xfId="4357"/>
    <cellStyle name="Обычный 3 3 2 3 17" xfId="165"/>
    <cellStyle name="Обычный 3 3 2 3 2" xfId="61"/>
    <cellStyle name="Обычный 3 3 2 3 2 10" xfId="3320"/>
    <cellStyle name="Обычный 3 3 2 3 2 10 2" xfId="7171"/>
    <cellStyle name="Обычный 3 3 2 3 2 11" xfId="3616"/>
    <cellStyle name="Обычный 3 3 2 3 2 11 2" xfId="7467"/>
    <cellStyle name="Обычный 3 3 2 3 2 12" xfId="3912"/>
    <cellStyle name="Обычный 3 3 2 3 2 12 2" xfId="7763"/>
    <cellStyle name="Обычный 3 3 2 3 2 13" xfId="4208"/>
    <cellStyle name="Обычный 3 3 2 3 2 13 2" xfId="8059"/>
    <cellStyle name="Обычный 3 3 2 3 2 14" xfId="8310"/>
    <cellStyle name="Обычный 3 3 2 3 2 15" xfId="4507"/>
    <cellStyle name="Обычный 3 3 2 3 2 16" xfId="265"/>
    <cellStyle name="Обычный 3 3 2 3 2 2" xfId="969"/>
    <cellStyle name="Обычный 3 3 2 3 2 2 2" xfId="8701"/>
    <cellStyle name="Обычный 3 3 2 3 2 2 3" xfId="4803"/>
    <cellStyle name="Обычный 3 3 2 3 2 3" xfId="1266"/>
    <cellStyle name="Обычный 3 3 2 3 2 3 2" xfId="5099"/>
    <cellStyle name="Обычный 3 3 2 3 2 4" xfId="1552"/>
    <cellStyle name="Обычный 3 3 2 3 2 4 2" xfId="5395"/>
    <cellStyle name="Обычный 3 3 2 3 2 5" xfId="1844"/>
    <cellStyle name="Обычный 3 3 2 3 2 5 2" xfId="5691"/>
    <cellStyle name="Обычный 3 3 2 3 2 6" xfId="2137"/>
    <cellStyle name="Обычный 3 3 2 3 2 6 2" xfId="5987"/>
    <cellStyle name="Обычный 3 3 2 3 2 7" xfId="2432"/>
    <cellStyle name="Обычный 3 3 2 3 2 7 2" xfId="6283"/>
    <cellStyle name="Обычный 3 3 2 3 2 8" xfId="2728"/>
    <cellStyle name="Обычный 3 3 2 3 2 8 2" xfId="6579"/>
    <cellStyle name="Обычный 3 3 2 3 2 9" xfId="3024"/>
    <cellStyle name="Обычный 3 3 2 3 2 9 2" xfId="6875"/>
    <cellStyle name="Обычный 3 3 2 3 3" xfId="365"/>
    <cellStyle name="Обычный 3 3 2 3 3 2" xfId="970"/>
    <cellStyle name="Обычный 3 3 2 3 3 3" xfId="8410"/>
    <cellStyle name="Обычный 3 3 2 3 3 4" xfId="4655"/>
    <cellStyle name="Обычный 3 3 2 3 4" xfId="971"/>
    <cellStyle name="Обычный 3 3 2 3 4 2" xfId="8702"/>
    <cellStyle name="Обычный 3 3 2 3 4 3" xfId="4951"/>
    <cellStyle name="Обычный 3 3 2 3 5" xfId="1408"/>
    <cellStyle name="Обычный 3 3 2 3 5 2" xfId="5247"/>
    <cellStyle name="Обычный 3 3 2 3 6" xfId="1697"/>
    <cellStyle name="Обычный 3 3 2 3 6 2" xfId="5543"/>
    <cellStyle name="Обычный 3 3 2 3 7" xfId="1990"/>
    <cellStyle name="Обычный 3 3 2 3 7 2" xfId="5839"/>
    <cellStyle name="Обычный 3 3 2 3 8" xfId="2284"/>
    <cellStyle name="Обычный 3 3 2 3 8 2" xfId="6135"/>
    <cellStyle name="Обычный 3 3 2 3 9" xfId="2580"/>
    <cellStyle name="Обычный 3 3 2 3 9 2" xfId="6431"/>
    <cellStyle name="Обычный 3 3 2 4" xfId="49"/>
    <cellStyle name="Обычный 3 3 2 4 10" xfId="2926"/>
    <cellStyle name="Обычный 3 3 2 4 10 2" xfId="6777"/>
    <cellStyle name="Обычный 3 3 2 4 11" xfId="3222"/>
    <cellStyle name="Обычный 3 3 2 4 11 2" xfId="7073"/>
    <cellStyle name="Обычный 3 3 2 4 12" xfId="3518"/>
    <cellStyle name="Обычный 3 3 2 4 12 2" xfId="7369"/>
    <cellStyle name="Обычный 3 3 2 4 13" xfId="3814"/>
    <cellStyle name="Обычный 3 3 2 4 13 2" xfId="7665"/>
    <cellStyle name="Обычный 3 3 2 4 14" xfId="4110"/>
    <cellStyle name="Обычный 3 3 2 4 14 2" xfId="7961"/>
    <cellStyle name="Обычный 3 3 2 4 15" xfId="8260"/>
    <cellStyle name="Обычный 3 3 2 4 16" xfId="4408"/>
    <cellStyle name="Обычный 3 3 2 4 17" xfId="216"/>
    <cellStyle name="Обычный 3 3 2 4 2" xfId="972"/>
    <cellStyle name="Обычный 3 3 2 4 2 10" xfId="3370"/>
    <cellStyle name="Обычный 3 3 2 4 2 10 2" xfId="7221"/>
    <cellStyle name="Обычный 3 3 2 4 2 11" xfId="3666"/>
    <cellStyle name="Обычный 3 3 2 4 2 11 2" xfId="7517"/>
    <cellStyle name="Обычный 3 3 2 4 2 12" xfId="3962"/>
    <cellStyle name="Обычный 3 3 2 4 2 12 2" xfId="7813"/>
    <cellStyle name="Обычный 3 3 2 4 2 13" xfId="4258"/>
    <cellStyle name="Обычный 3 3 2 4 2 13 2" xfId="8109"/>
    <cellStyle name="Обычный 3 3 2 4 2 14" xfId="8703"/>
    <cellStyle name="Обычный 3 3 2 4 2 15" xfId="4557"/>
    <cellStyle name="Обычный 3 3 2 4 2 2" xfId="1125"/>
    <cellStyle name="Обычный 3 3 2 4 2 2 2" xfId="4853"/>
    <cellStyle name="Обычный 3 3 2 4 2 3" xfId="1314"/>
    <cellStyle name="Обычный 3 3 2 4 2 3 2" xfId="5149"/>
    <cellStyle name="Обычный 3 3 2 4 2 4" xfId="1601"/>
    <cellStyle name="Обычный 3 3 2 4 2 4 2" xfId="5445"/>
    <cellStyle name="Обычный 3 3 2 4 2 5" xfId="1894"/>
    <cellStyle name="Обычный 3 3 2 4 2 5 2" xfId="5741"/>
    <cellStyle name="Обычный 3 3 2 4 2 6" xfId="2187"/>
    <cellStyle name="Обычный 3 3 2 4 2 6 2" xfId="6037"/>
    <cellStyle name="Обычный 3 3 2 4 2 7" xfId="2482"/>
    <cellStyle name="Обычный 3 3 2 4 2 7 2" xfId="6333"/>
    <cellStyle name="Обычный 3 3 2 4 2 8" xfId="2778"/>
    <cellStyle name="Обычный 3 3 2 4 2 8 2" xfId="6629"/>
    <cellStyle name="Обычный 3 3 2 4 2 9" xfId="3074"/>
    <cellStyle name="Обычный 3 3 2 4 2 9 2" xfId="6925"/>
    <cellStyle name="Обычный 3 3 2 4 3" xfId="1078"/>
    <cellStyle name="Обычный 3 3 2 4 3 2" xfId="4705"/>
    <cellStyle name="Обычный 3 3 2 4 4" xfId="1172"/>
    <cellStyle name="Обычный 3 3 2 4 4 2" xfId="5001"/>
    <cellStyle name="Обычный 3 3 2 4 5" xfId="1455"/>
    <cellStyle name="Обычный 3 3 2 4 5 2" xfId="5297"/>
    <cellStyle name="Обычный 3 3 2 4 6" xfId="1746"/>
    <cellStyle name="Обычный 3 3 2 4 6 2" xfId="5593"/>
    <cellStyle name="Обычный 3 3 2 4 7" xfId="2039"/>
    <cellStyle name="Обычный 3 3 2 4 7 2" xfId="5889"/>
    <cellStyle name="Обычный 3 3 2 4 8" xfId="2334"/>
    <cellStyle name="Обычный 3 3 2 4 8 2" xfId="6185"/>
    <cellStyle name="Обычный 3 3 2 4 9" xfId="2630"/>
    <cellStyle name="Обычный 3 3 2 4 9 2" xfId="6481"/>
    <cellStyle name="Обычный 3 3 2 5" xfId="315"/>
    <cellStyle name="Обычный 3 3 2 5 10" xfId="3272"/>
    <cellStyle name="Обычный 3 3 2 5 10 2" xfId="7123"/>
    <cellStyle name="Обычный 3 3 2 5 11" xfId="3568"/>
    <cellStyle name="Обычный 3 3 2 5 11 2" xfId="7419"/>
    <cellStyle name="Обычный 3 3 2 5 12" xfId="3864"/>
    <cellStyle name="Обычный 3 3 2 5 12 2" xfId="7715"/>
    <cellStyle name="Обычный 3 3 2 5 13" xfId="4160"/>
    <cellStyle name="Обычный 3 3 2 5 13 2" xfId="8011"/>
    <cellStyle name="Обычный 3 3 2 5 14" xfId="8360"/>
    <cellStyle name="Обычный 3 3 2 5 15" xfId="4459"/>
    <cellStyle name="Обычный 3 3 2 5 2" xfId="973"/>
    <cellStyle name="Обычный 3 3 2 5 2 2" xfId="8704"/>
    <cellStyle name="Обычный 3 3 2 5 2 3" xfId="4755"/>
    <cellStyle name="Обычный 3 3 2 5 3" xfId="1219"/>
    <cellStyle name="Обычный 3 3 2 5 3 2" xfId="5051"/>
    <cellStyle name="Обычный 3 3 2 5 4" xfId="1504"/>
    <cellStyle name="Обычный 3 3 2 5 4 2" xfId="5347"/>
    <cellStyle name="Обычный 3 3 2 5 5" xfId="1796"/>
    <cellStyle name="Обычный 3 3 2 5 5 2" xfId="5643"/>
    <cellStyle name="Обычный 3 3 2 5 6" xfId="2089"/>
    <cellStyle name="Обычный 3 3 2 5 6 2" xfId="5939"/>
    <cellStyle name="Обычный 3 3 2 5 7" xfId="2384"/>
    <cellStyle name="Обычный 3 3 2 5 7 2" xfId="6235"/>
    <cellStyle name="Обычный 3 3 2 5 8" xfId="2680"/>
    <cellStyle name="Обычный 3 3 2 5 8 2" xfId="6531"/>
    <cellStyle name="Обычный 3 3 2 5 9" xfId="2976"/>
    <cellStyle name="Обычный 3 3 2 5 9 2" xfId="6827"/>
    <cellStyle name="Обычный 3 3 2 6" xfId="974"/>
    <cellStyle name="Обычный 3 3 2 6 2" xfId="8705"/>
    <cellStyle name="Обычный 3 3 2 6 3" xfId="4607"/>
    <cellStyle name="Обычный 3 3 2 7" xfId="975"/>
    <cellStyle name="Обычный 3 3 2 7 2" xfId="8706"/>
    <cellStyle name="Обычный 3 3 2 7 3" xfId="4903"/>
    <cellStyle name="Обычный 3 3 2 8" xfId="1361"/>
    <cellStyle name="Обычный 3 3 2 8 2" xfId="5199"/>
    <cellStyle name="Обычный 3 3 2 9" xfId="1650"/>
    <cellStyle name="Обычный 3 3 2 9 2" xfId="5495"/>
    <cellStyle name="Обычный 3 3 20" xfId="8158"/>
    <cellStyle name="Обычный 3 3 21" xfId="4307"/>
    <cellStyle name="Обычный 3 3 22" xfId="94"/>
    <cellStyle name="Обычный 3 3 3" xfId="34"/>
    <cellStyle name="Обычный 3 3 3 10" xfId="1944"/>
    <cellStyle name="Обычный 3 3 3 10 2" xfId="5792"/>
    <cellStyle name="Обычный 3 3 3 11" xfId="2238"/>
    <cellStyle name="Обычный 3 3 3 11 2" xfId="6088"/>
    <cellStyle name="Обычный 3 3 3 12" xfId="2533"/>
    <cellStyle name="Обычный 3 3 3 12 2" xfId="6384"/>
    <cellStyle name="Обычный 3 3 3 13" xfId="2829"/>
    <cellStyle name="Обычный 3 3 3 13 2" xfId="6680"/>
    <cellStyle name="Обычный 3 3 3 14" xfId="3125"/>
    <cellStyle name="Обычный 3 3 3 14 2" xfId="6976"/>
    <cellStyle name="Обычный 3 3 3 15" xfId="3421"/>
    <cellStyle name="Обычный 3 3 3 15 2" xfId="7272"/>
    <cellStyle name="Обычный 3 3 3 16" xfId="3717"/>
    <cellStyle name="Обычный 3 3 3 16 2" xfId="7568"/>
    <cellStyle name="Обычный 3 3 3 17" xfId="4013"/>
    <cellStyle name="Обычный 3 3 3 17 2" xfId="7864"/>
    <cellStyle name="Обычный 3 3 3 18" xfId="8160"/>
    <cellStyle name="Обычный 3 3 3 19" xfId="4309"/>
    <cellStyle name="Обычный 3 3 3 2" xfId="52"/>
    <cellStyle name="Обычный 3 3 3 2 10" xfId="2259"/>
    <cellStyle name="Обычный 3 3 3 2 10 2" xfId="6110"/>
    <cellStyle name="Обычный 3 3 3 2 11" xfId="2555"/>
    <cellStyle name="Обычный 3 3 3 2 11 2" xfId="6406"/>
    <cellStyle name="Обычный 3 3 3 2 12" xfId="2851"/>
    <cellStyle name="Обычный 3 3 3 2 12 2" xfId="6702"/>
    <cellStyle name="Обычный 3 3 3 2 13" xfId="3147"/>
    <cellStyle name="Обычный 3 3 3 2 13 2" xfId="6998"/>
    <cellStyle name="Обычный 3 3 3 2 14" xfId="3443"/>
    <cellStyle name="Обычный 3 3 3 2 14 2" xfId="7294"/>
    <cellStyle name="Обычный 3 3 3 2 15" xfId="3739"/>
    <cellStyle name="Обычный 3 3 3 2 15 2" xfId="7590"/>
    <cellStyle name="Обычный 3 3 3 2 16" xfId="4035"/>
    <cellStyle name="Обычный 3 3 3 2 16 2" xfId="7886"/>
    <cellStyle name="Обычный 3 3 3 2 17" xfId="8182"/>
    <cellStyle name="Обычный 3 3 3 2 18" xfId="4331"/>
    <cellStyle name="Обычный 3 3 3 2 19" xfId="139"/>
    <cellStyle name="Обычный 3 3 3 2 2" xfId="187"/>
    <cellStyle name="Обычный 3 3 3 2 2 10" xfId="2899"/>
    <cellStyle name="Обычный 3 3 3 2 2 10 2" xfId="6750"/>
    <cellStyle name="Обычный 3 3 3 2 2 11" xfId="3195"/>
    <cellStyle name="Обычный 3 3 3 2 2 11 2" xfId="7046"/>
    <cellStyle name="Обычный 3 3 3 2 2 12" xfId="3491"/>
    <cellStyle name="Обычный 3 3 3 2 2 12 2" xfId="7342"/>
    <cellStyle name="Обычный 3 3 3 2 2 13" xfId="3787"/>
    <cellStyle name="Обычный 3 3 3 2 2 13 2" xfId="7638"/>
    <cellStyle name="Обычный 3 3 3 2 2 14" xfId="4083"/>
    <cellStyle name="Обычный 3 3 3 2 2 14 2" xfId="7934"/>
    <cellStyle name="Обычный 3 3 3 2 2 15" xfId="8232"/>
    <cellStyle name="Обычный 3 3 3 2 2 16" xfId="4380"/>
    <cellStyle name="Обычный 3 3 3 2 2 2" xfId="287"/>
    <cellStyle name="Обычный 3 3 3 2 2 2 10" xfId="3343"/>
    <cellStyle name="Обычный 3 3 3 2 2 2 10 2" xfId="7194"/>
    <cellStyle name="Обычный 3 3 3 2 2 2 11" xfId="3639"/>
    <cellStyle name="Обычный 3 3 3 2 2 2 11 2" xfId="7490"/>
    <cellStyle name="Обычный 3 3 3 2 2 2 12" xfId="3935"/>
    <cellStyle name="Обычный 3 3 3 2 2 2 12 2" xfId="7786"/>
    <cellStyle name="Обычный 3 3 3 2 2 2 13" xfId="4231"/>
    <cellStyle name="Обычный 3 3 3 2 2 2 13 2" xfId="8082"/>
    <cellStyle name="Обычный 3 3 3 2 2 2 14" xfId="8333"/>
    <cellStyle name="Обычный 3 3 3 2 2 2 15" xfId="4530"/>
    <cellStyle name="Обычный 3 3 3 2 2 2 2" xfId="976"/>
    <cellStyle name="Обычный 3 3 3 2 2 2 2 2" xfId="8707"/>
    <cellStyle name="Обычный 3 3 3 2 2 2 2 3" xfId="4826"/>
    <cellStyle name="Обычный 3 3 3 2 2 2 3" xfId="1288"/>
    <cellStyle name="Обычный 3 3 3 2 2 2 3 2" xfId="5122"/>
    <cellStyle name="Обычный 3 3 3 2 2 2 4" xfId="1574"/>
    <cellStyle name="Обычный 3 3 3 2 2 2 4 2" xfId="5418"/>
    <cellStyle name="Обычный 3 3 3 2 2 2 5" xfId="1867"/>
    <cellStyle name="Обычный 3 3 3 2 2 2 5 2" xfId="5714"/>
    <cellStyle name="Обычный 3 3 3 2 2 2 6" xfId="2160"/>
    <cellStyle name="Обычный 3 3 3 2 2 2 6 2" xfId="6010"/>
    <cellStyle name="Обычный 3 3 3 2 2 2 7" xfId="2455"/>
    <cellStyle name="Обычный 3 3 3 2 2 2 7 2" xfId="6306"/>
    <cellStyle name="Обычный 3 3 3 2 2 2 8" xfId="2751"/>
    <cellStyle name="Обычный 3 3 3 2 2 2 8 2" xfId="6602"/>
    <cellStyle name="Обычный 3 3 3 2 2 2 9" xfId="3047"/>
    <cellStyle name="Обычный 3 3 3 2 2 2 9 2" xfId="6898"/>
    <cellStyle name="Обычный 3 3 3 2 2 3" xfId="388"/>
    <cellStyle name="Обычный 3 3 3 2 2 3 2" xfId="977"/>
    <cellStyle name="Обычный 3 3 3 2 2 3 3" xfId="8433"/>
    <cellStyle name="Обычный 3 3 3 2 2 3 4" xfId="4678"/>
    <cellStyle name="Обычный 3 3 3 2 2 4" xfId="978"/>
    <cellStyle name="Обычный 3 3 3 2 2 4 2" xfId="8708"/>
    <cellStyle name="Обычный 3 3 3 2 2 4 3" xfId="4974"/>
    <cellStyle name="Обычный 3 3 3 2 2 5" xfId="1430"/>
    <cellStyle name="Обычный 3 3 3 2 2 5 2" xfId="5270"/>
    <cellStyle name="Обычный 3 3 3 2 2 6" xfId="1720"/>
    <cellStyle name="Обычный 3 3 3 2 2 6 2" xfId="5566"/>
    <cellStyle name="Обычный 3 3 3 2 2 7" xfId="2012"/>
    <cellStyle name="Обычный 3 3 3 2 2 7 2" xfId="5862"/>
    <cellStyle name="Обычный 3 3 3 2 2 8" xfId="2307"/>
    <cellStyle name="Обычный 3 3 3 2 2 8 2" xfId="6158"/>
    <cellStyle name="Обычный 3 3 3 2 2 9" xfId="2603"/>
    <cellStyle name="Обычный 3 3 3 2 2 9 2" xfId="6454"/>
    <cellStyle name="Обычный 3 3 3 2 3" xfId="238"/>
    <cellStyle name="Обычный 3 3 3 2 3 10" xfId="2949"/>
    <cellStyle name="Обычный 3 3 3 2 3 10 2" xfId="6800"/>
    <cellStyle name="Обычный 3 3 3 2 3 11" xfId="3245"/>
    <cellStyle name="Обычный 3 3 3 2 3 11 2" xfId="7096"/>
    <cellStyle name="Обычный 3 3 3 2 3 12" xfId="3541"/>
    <cellStyle name="Обычный 3 3 3 2 3 12 2" xfId="7392"/>
    <cellStyle name="Обычный 3 3 3 2 3 13" xfId="3837"/>
    <cellStyle name="Обычный 3 3 3 2 3 13 2" xfId="7688"/>
    <cellStyle name="Обычный 3 3 3 2 3 14" xfId="4133"/>
    <cellStyle name="Обычный 3 3 3 2 3 14 2" xfId="7984"/>
    <cellStyle name="Обычный 3 3 3 2 3 15" xfId="8283"/>
    <cellStyle name="Обычный 3 3 3 2 3 16" xfId="4431"/>
    <cellStyle name="Обычный 3 3 3 2 3 2" xfId="979"/>
    <cellStyle name="Обычный 3 3 3 2 3 2 10" xfId="3393"/>
    <cellStyle name="Обычный 3 3 3 2 3 2 10 2" xfId="7244"/>
    <cellStyle name="Обычный 3 3 3 2 3 2 11" xfId="3689"/>
    <cellStyle name="Обычный 3 3 3 2 3 2 11 2" xfId="7540"/>
    <cellStyle name="Обычный 3 3 3 2 3 2 12" xfId="3985"/>
    <cellStyle name="Обычный 3 3 3 2 3 2 12 2" xfId="7836"/>
    <cellStyle name="Обычный 3 3 3 2 3 2 13" xfId="4281"/>
    <cellStyle name="Обычный 3 3 3 2 3 2 13 2" xfId="8132"/>
    <cellStyle name="Обычный 3 3 3 2 3 2 14" xfId="8709"/>
    <cellStyle name="Обычный 3 3 3 2 3 2 15" xfId="4580"/>
    <cellStyle name="Обычный 3 3 3 2 3 2 2" xfId="1147"/>
    <cellStyle name="Обычный 3 3 3 2 3 2 2 2" xfId="4876"/>
    <cellStyle name="Обычный 3 3 3 2 3 2 3" xfId="1336"/>
    <cellStyle name="Обычный 3 3 3 2 3 2 3 2" xfId="5172"/>
    <cellStyle name="Обычный 3 3 3 2 3 2 4" xfId="1623"/>
    <cellStyle name="Обычный 3 3 3 2 3 2 4 2" xfId="5468"/>
    <cellStyle name="Обычный 3 3 3 2 3 2 5" xfId="1916"/>
    <cellStyle name="Обычный 3 3 3 2 3 2 5 2" xfId="5764"/>
    <cellStyle name="Обычный 3 3 3 2 3 2 6" xfId="2210"/>
    <cellStyle name="Обычный 3 3 3 2 3 2 6 2" xfId="6060"/>
    <cellStyle name="Обычный 3 3 3 2 3 2 7" xfId="2505"/>
    <cellStyle name="Обычный 3 3 3 2 3 2 7 2" xfId="6356"/>
    <cellStyle name="Обычный 3 3 3 2 3 2 8" xfId="2801"/>
    <cellStyle name="Обычный 3 3 3 2 3 2 8 2" xfId="6652"/>
    <cellStyle name="Обычный 3 3 3 2 3 2 9" xfId="3097"/>
    <cellStyle name="Обычный 3 3 3 2 3 2 9 2" xfId="6948"/>
    <cellStyle name="Обычный 3 3 3 2 3 3" xfId="1100"/>
    <cellStyle name="Обычный 3 3 3 2 3 3 2" xfId="4728"/>
    <cellStyle name="Обычный 3 3 3 2 3 4" xfId="1194"/>
    <cellStyle name="Обычный 3 3 3 2 3 4 2" xfId="5024"/>
    <cellStyle name="Обычный 3 3 3 2 3 5" xfId="1478"/>
    <cellStyle name="Обычный 3 3 3 2 3 5 2" xfId="5320"/>
    <cellStyle name="Обычный 3 3 3 2 3 6" xfId="1769"/>
    <cellStyle name="Обычный 3 3 3 2 3 6 2" xfId="5616"/>
    <cellStyle name="Обычный 3 3 3 2 3 7" xfId="2062"/>
    <cellStyle name="Обычный 3 3 3 2 3 7 2" xfId="5912"/>
    <cellStyle name="Обычный 3 3 3 2 3 8" xfId="2357"/>
    <cellStyle name="Обычный 3 3 3 2 3 8 2" xfId="6208"/>
    <cellStyle name="Обычный 3 3 3 2 3 9" xfId="2653"/>
    <cellStyle name="Обычный 3 3 3 2 3 9 2" xfId="6504"/>
    <cellStyle name="Обычный 3 3 3 2 4" xfId="338"/>
    <cellStyle name="Обычный 3 3 3 2 4 10" xfId="3295"/>
    <cellStyle name="Обычный 3 3 3 2 4 10 2" xfId="7146"/>
    <cellStyle name="Обычный 3 3 3 2 4 11" xfId="3591"/>
    <cellStyle name="Обычный 3 3 3 2 4 11 2" xfId="7442"/>
    <cellStyle name="Обычный 3 3 3 2 4 12" xfId="3887"/>
    <cellStyle name="Обычный 3 3 3 2 4 12 2" xfId="7738"/>
    <cellStyle name="Обычный 3 3 3 2 4 13" xfId="4183"/>
    <cellStyle name="Обычный 3 3 3 2 4 13 2" xfId="8034"/>
    <cellStyle name="Обычный 3 3 3 2 4 14" xfId="8383"/>
    <cellStyle name="Обычный 3 3 3 2 4 15" xfId="4482"/>
    <cellStyle name="Обычный 3 3 3 2 4 2" xfId="980"/>
    <cellStyle name="Обычный 3 3 3 2 4 2 2" xfId="8710"/>
    <cellStyle name="Обычный 3 3 3 2 4 2 3" xfId="4778"/>
    <cellStyle name="Обычный 3 3 3 2 4 3" xfId="1242"/>
    <cellStyle name="Обычный 3 3 3 2 4 3 2" xfId="5074"/>
    <cellStyle name="Обычный 3 3 3 2 4 4" xfId="1527"/>
    <cellStyle name="Обычный 3 3 3 2 4 4 2" xfId="5370"/>
    <cellStyle name="Обычный 3 3 3 2 4 5" xfId="1819"/>
    <cellStyle name="Обычный 3 3 3 2 4 5 2" xfId="5666"/>
    <cellStyle name="Обычный 3 3 3 2 4 6" xfId="2112"/>
    <cellStyle name="Обычный 3 3 3 2 4 6 2" xfId="5962"/>
    <cellStyle name="Обычный 3 3 3 2 4 7" xfId="2407"/>
    <cellStyle name="Обычный 3 3 3 2 4 7 2" xfId="6258"/>
    <cellStyle name="Обычный 3 3 3 2 4 8" xfId="2703"/>
    <cellStyle name="Обычный 3 3 3 2 4 8 2" xfId="6554"/>
    <cellStyle name="Обычный 3 3 3 2 4 9" xfId="2999"/>
    <cellStyle name="Обычный 3 3 3 2 4 9 2" xfId="6850"/>
    <cellStyle name="Обычный 3 3 3 2 5" xfId="981"/>
    <cellStyle name="Обычный 3 3 3 2 5 2" xfId="8711"/>
    <cellStyle name="Обычный 3 3 3 2 5 3" xfId="4630"/>
    <cellStyle name="Обычный 3 3 3 2 6" xfId="982"/>
    <cellStyle name="Обычный 3 3 3 2 6 2" xfId="8712"/>
    <cellStyle name="Обычный 3 3 3 2 6 3" xfId="4926"/>
    <cellStyle name="Обычный 3 3 3 2 7" xfId="1383"/>
    <cellStyle name="Обычный 3 3 3 2 7 2" xfId="5222"/>
    <cellStyle name="Обычный 3 3 3 2 8" xfId="1672"/>
    <cellStyle name="Обычный 3 3 3 2 8 2" xfId="5518"/>
    <cellStyle name="Обычный 3 3 3 2 9" xfId="1965"/>
    <cellStyle name="Обычный 3 3 3 2 9 2" xfId="5814"/>
    <cellStyle name="Обычный 3 3 3 20" xfId="96"/>
    <cellStyle name="Обычный 3 3 3 3" xfId="166"/>
    <cellStyle name="Обычный 3 3 3 3 10" xfId="2877"/>
    <cellStyle name="Обычный 3 3 3 3 10 2" xfId="6728"/>
    <cellStyle name="Обычный 3 3 3 3 11" xfId="3173"/>
    <cellStyle name="Обычный 3 3 3 3 11 2" xfId="7024"/>
    <cellStyle name="Обычный 3 3 3 3 12" xfId="3469"/>
    <cellStyle name="Обычный 3 3 3 3 12 2" xfId="7320"/>
    <cellStyle name="Обычный 3 3 3 3 13" xfId="3765"/>
    <cellStyle name="Обычный 3 3 3 3 13 2" xfId="7616"/>
    <cellStyle name="Обычный 3 3 3 3 14" xfId="4061"/>
    <cellStyle name="Обычный 3 3 3 3 14 2" xfId="7912"/>
    <cellStyle name="Обычный 3 3 3 3 15" xfId="8210"/>
    <cellStyle name="Обычный 3 3 3 3 16" xfId="4358"/>
    <cellStyle name="Обычный 3 3 3 3 2" xfId="266"/>
    <cellStyle name="Обычный 3 3 3 3 2 10" xfId="3321"/>
    <cellStyle name="Обычный 3 3 3 3 2 10 2" xfId="7172"/>
    <cellStyle name="Обычный 3 3 3 3 2 11" xfId="3617"/>
    <cellStyle name="Обычный 3 3 3 3 2 11 2" xfId="7468"/>
    <cellStyle name="Обычный 3 3 3 3 2 12" xfId="3913"/>
    <cellStyle name="Обычный 3 3 3 3 2 12 2" xfId="7764"/>
    <cellStyle name="Обычный 3 3 3 3 2 13" xfId="4209"/>
    <cellStyle name="Обычный 3 3 3 3 2 13 2" xfId="8060"/>
    <cellStyle name="Обычный 3 3 3 3 2 14" xfId="8311"/>
    <cellStyle name="Обычный 3 3 3 3 2 15" xfId="4508"/>
    <cellStyle name="Обычный 3 3 3 3 2 2" xfId="983"/>
    <cellStyle name="Обычный 3 3 3 3 2 2 2" xfId="8713"/>
    <cellStyle name="Обычный 3 3 3 3 2 2 3" xfId="4804"/>
    <cellStyle name="Обычный 3 3 3 3 2 3" xfId="1267"/>
    <cellStyle name="Обычный 3 3 3 3 2 3 2" xfId="5100"/>
    <cellStyle name="Обычный 3 3 3 3 2 4" xfId="1553"/>
    <cellStyle name="Обычный 3 3 3 3 2 4 2" xfId="5396"/>
    <cellStyle name="Обычный 3 3 3 3 2 5" xfId="1845"/>
    <cellStyle name="Обычный 3 3 3 3 2 5 2" xfId="5692"/>
    <cellStyle name="Обычный 3 3 3 3 2 6" xfId="2138"/>
    <cellStyle name="Обычный 3 3 3 3 2 6 2" xfId="5988"/>
    <cellStyle name="Обычный 3 3 3 3 2 7" xfId="2433"/>
    <cellStyle name="Обычный 3 3 3 3 2 7 2" xfId="6284"/>
    <cellStyle name="Обычный 3 3 3 3 2 8" xfId="2729"/>
    <cellStyle name="Обычный 3 3 3 3 2 8 2" xfId="6580"/>
    <cellStyle name="Обычный 3 3 3 3 2 9" xfId="3025"/>
    <cellStyle name="Обычный 3 3 3 3 2 9 2" xfId="6876"/>
    <cellStyle name="Обычный 3 3 3 3 3" xfId="366"/>
    <cellStyle name="Обычный 3 3 3 3 3 2" xfId="984"/>
    <cellStyle name="Обычный 3 3 3 3 3 3" xfId="8411"/>
    <cellStyle name="Обычный 3 3 3 3 3 4" xfId="4656"/>
    <cellStyle name="Обычный 3 3 3 3 4" xfId="985"/>
    <cellStyle name="Обычный 3 3 3 3 4 2" xfId="8714"/>
    <cellStyle name="Обычный 3 3 3 3 4 3" xfId="4952"/>
    <cellStyle name="Обычный 3 3 3 3 5" xfId="1409"/>
    <cellStyle name="Обычный 3 3 3 3 5 2" xfId="5248"/>
    <cellStyle name="Обычный 3 3 3 3 6" xfId="1698"/>
    <cellStyle name="Обычный 3 3 3 3 6 2" xfId="5544"/>
    <cellStyle name="Обычный 3 3 3 3 7" xfId="1991"/>
    <cellStyle name="Обычный 3 3 3 3 7 2" xfId="5840"/>
    <cellStyle name="Обычный 3 3 3 3 8" xfId="2285"/>
    <cellStyle name="Обычный 3 3 3 3 8 2" xfId="6136"/>
    <cellStyle name="Обычный 3 3 3 3 9" xfId="2581"/>
    <cellStyle name="Обычный 3 3 3 3 9 2" xfId="6432"/>
    <cellStyle name="Обычный 3 3 3 4" xfId="217"/>
    <cellStyle name="Обычный 3 3 3 4 10" xfId="2927"/>
    <cellStyle name="Обычный 3 3 3 4 10 2" xfId="6778"/>
    <cellStyle name="Обычный 3 3 3 4 11" xfId="3223"/>
    <cellStyle name="Обычный 3 3 3 4 11 2" xfId="7074"/>
    <cellStyle name="Обычный 3 3 3 4 12" xfId="3519"/>
    <cellStyle name="Обычный 3 3 3 4 12 2" xfId="7370"/>
    <cellStyle name="Обычный 3 3 3 4 13" xfId="3815"/>
    <cellStyle name="Обычный 3 3 3 4 13 2" xfId="7666"/>
    <cellStyle name="Обычный 3 3 3 4 14" xfId="4111"/>
    <cellStyle name="Обычный 3 3 3 4 14 2" xfId="7962"/>
    <cellStyle name="Обычный 3 3 3 4 15" xfId="8261"/>
    <cellStyle name="Обычный 3 3 3 4 16" xfId="4409"/>
    <cellStyle name="Обычный 3 3 3 4 2" xfId="986"/>
    <cellStyle name="Обычный 3 3 3 4 2 10" xfId="3371"/>
    <cellStyle name="Обычный 3 3 3 4 2 10 2" xfId="7222"/>
    <cellStyle name="Обычный 3 3 3 4 2 11" xfId="3667"/>
    <cellStyle name="Обычный 3 3 3 4 2 11 2" xfId="7518"/>
    <cellStyle name="Обычный 3 3 3 4 2 12" xfId="3963"/>
    <cellStyle name="Обычный 3 3 3 4 2 12 2" xfId="7814"/>
    <cellStyle name="Обычный 3 3 3 4 2 13" xfId="4259"/>
    <cellStyle name="Обычный 3 3 3 4 2 13 2" xfId="8110"/>
    <cellStyle name="Обычный 3 3 3 4 2 14" xfId="8715"/>
    <cellStyle name="Обычный 3 3 3 4 2 15" xfId="4558"/>
    <cellStyle name="Обычный 3 3 3 4 2 2" xfId="1126"/>
    <cellStyle name="Обычный 3 3 3 4 2 2 2" xfId="4854"/>
    <cellStyle name="Обычный 3 3 3 4 2 3" xfId="1315"/>
    <cellStyle name="Обычный 3 3 3 4 2 3 2" xfId="5150"/>
    <cellStyle name="Обычный 3 3 3 4 2 4" xfId="1602"/>
    <cellStyle name="Обычный 3 3 3 4 2 4 2" xfId="5446"/>
    <cellStyle name="Обычный 3 3 3 4 2 5" xfId="1895"/>
    <cellStyle name="Обычный 3 3 3 4 2 5 2" xfId="5742"/>
    <cellStyle name="Обычный 3 3 3 4 2 6" xfId="2188"/>
    <cellStyle name="Обычный 3 3 3 4 2 6 2" xfId="6038"/>
    <cellStyle name="Обычный 3 3 3 4 2 7" xfId="2483"/>
    <cellStyle name="Обычный 3 3 3 4 2 7 2" xfId="6334"/>
    <cellStyle name="Обычный 3 3 3 4 2 8" xfId="2779"/>
    <cellStyle name="Обычный 3 3 3 4 2 8 2" xfId="6630"/>
    <cellStyle name="Обычный 3 3 3 4 2 9" xfId="3075"/>
    <cellStyle name="Обычный 3 3 3 4 2 9 2" xfId="6926"/>
    <cellStyle name="Обычный 3 3 3 4 3" xfId="1079"/>
    <cellStyle name="Обычный 3 3 3 4 3 2" xfId="4706"/>
    <cellStyle name="Обычный 3 3 3 4 4" xfId="1173"/>
    <cellStyle name="Обычный 3 3 3 4 4 2" xfId="5002"/>
    <cellStyle name="Обычный 3 3 3 4 5" xfId="1456"/>
    <cellStyle name="Обычный 3 3 3 4 5 2" xfId="5298"/>
    <cellStyle name="Обычный 3 3 3 4 6" xfId="1747"/>
    <cellStyle name="Обычный 3 3 3 4 6 2" xfId="5594"/>
    <cellStyle name="Обычный 3 3 3 4 7" xfId="2040"/>
    <cellStyle name="Обычный 3 3 3 4 7 2" xfId="5890"/>
    <cellStyle name="Обычный 3 3 3 4 8" xfId="2335"/>
    <cellStyle name="Обычный 3 3 3 4 8 2" xfId="6186"/>
    <cellStyle name="Обычный 3 3 3 4 9" xfId="2631"/>
    <cellStyle name="Обычный 3 3 3 4 9 2" xfId="6482"/>
    <cellStyle name="Обычный 3 3 3 5" xfId="316"/>
    <cellStyle name="Обычный 3 3 3 5 10" xfId="3273"/>
    <cellStyle name="Обычный 3 3 3 5 10 2" xfId="7124"/>
    <cellStyle name="Обычный 3 3 3 5 11" xfId="3569"/>
    <cellStyle name="Обычный 3 3 3 5 11 2" xfId="7420"/>
    <cellStyle name="Обычный 3 3 3 5 12" xfId="3865"/>
    <cellStyle name="Обычный 3 3 3 5 12 2" xfId="7716"/>
    <cellStyle name="Обычный 3 3 3 5 13" xfId="4161"/>
    <cellStyle name="Обычный 3 3 3 5 13 2" xfId="8012"/>
    <cellStyle name="Обычный 3 3 3 5 14" xfId="8361"/>
    <cellStyle name="Обычный 3 3 3 5 15" xfId="4460"/>
    <cellStyle name="Обычный 3 3 3 5 2" xfId="987"/>
    <cellStyle name="Обычный 3 3 3 5 2 2" xfId="8716"/>
    <cellStyle name="Обычный 3 3 3 5 2 3" xfId="4756"/>
    <cellStyle name="Обычный 3 3 3 5 3" xfId="1220"/>
    <cellStyle name="Обычный 3 3 3 5 3 2" xfId="5052"/>
    <cellStyle name="Обычный 3 3 3 5 4" xfId="1505"/>
    <cellStyle name="Обычный 3 3 3 5 4 2" xfId="5348"/>
    <cellStyle name="Обычный 3 3 3 5 5" xfId="1797"/>
    <cellStyle name="Обычный 3 3 3 5 5 2" xfId="5644"/>
    <cellStyle name="Обычный 3 3 3 5 6" xfId="2090"/>
    <cellStyle name="Обычный 3 3 3 5 6 2" xfId="5940"/>
    <cellStyle name="Обычный 3 3 3 5 7" xfId="2385"/>
    <cellStyle name="Обычный 3 3 3 5 7 2" xfId="6236"/>
    <cellStyle name="Обычный 3 3 3 5 8" xfId="2681"/>
    <cellStyle name="Обычный 3 3 3 5 8 2" xfId="6532"/>
    <cellStyle name="Обычный 3 3 3 5 9" xfId="2977"/>
    <cellStyle name="Обычный 3 3 3 5 9 2" xfId="6828"/>
    <cellStyle name="Обычный 3 3 3 6" xfId="988"/>
    <cellStyle name="Обычный 3 3 3 6 2" xfId="8717"/>
    <cellStyle name="Обычный 3 3 3 6 3" xfId="4608"/>
    <cellStyle name="Обычный 3 3 3 7" xfId="989"/>
    <cellStyle name="Обычный 3 3 3 7 2" xfId="8718"/>
    <cellStyle name="Обычный 3 3 3 7 3" xfId="4904"/>
    <cellStyle name="Обычный 3 3 3 8" xfId="1362"/>
    <cellStyle name="Обычный 3 3 3 8 2" xfId="5200"/>
    <cellStyle name="Обычный 3 3 3 9" xfId="1651"/>
    <cellStyle name="Обычный 3 3 3 9 2" xfId="5496"/>
    <cellStyle name="Обычный 3 3 4" xfId="40"/>
    <cellStyle name="Обычный 3 3 4 10" xfId="2257"/>
    <cellStyle name="Обычный 3 3 4 10 2" xfId="6108"/>
    <cellStyle name="Обычный 3 3 4 11" xfId="2553"/>
    <cellStyle name="Обычный 3 3 4 11 2" xfId="6404"/>
    <cellStyle name="Обычный 3 3 4 12" xfId="2849"/>
    <cellStyle name="Обычный 3 3 4 12 2" xfId="6700"/>
    <cellStyle name="Обычный 3 3 4 13" xfId="3145"/>
    <cellStyle name="Обычный 3 3 4 13 2" xfId="6996"/>
    <cellStyle name="Обычный 3 3 4 14" xfId="3441"/>
    <cellStyle name="Обычный 3 3 4 14 2" xfId="7292"/>
    <cellStyle name="Обычный 3 3 4 15" xfId="3737"/>
    <cellStyle name="Обычный 3 3 4 15 2" xfId="7588"/>
    <cellStyle name="Обычный 3 3 4 16" xfId="4033"/>
    <cellStyle name="Обычный 3 3 4 16 2" xfId="7884"/>
    <cellStyle name="Обычный 3 3 4 17" xfId="8180"/>
    <cellStyle name="Обычный 3 3 4 18" xfId="4329"/>
    <cellStyle name="Обычный 3 3 4 19" xfId="137"/>
    <cellStyle name="Обычный 3 3 4 2" xfId="58"/>
    <cellStyle name="Обычный 3 3 4 2 10" xfId="2897"/>
    <cellStyle name="Обычный 3 3 4 2 10 2" xfId="6748"/>
    <cellStyle name="Обычный 3 3 4 2 11" xfId="3193"/>
    <cellStyle name="Обычный 3 3 4 2 11 2" xfId="7044"/>
    <cellStyle name="Обычный 3 3 4 2 12" xfId="3489"/>
    <cellStyle name="Обычный 3 3 4 2 12 2" xfId="7340"/>
    <cellStyle name="Обычный 3 3 4 2 13" xfId="3785"/>
    <cellStyle name="Обычный 3 3 4 2 13 2" xfId="7636"/>
    <cellStyle name="Обычный 3 3 4 2 14" xfId="4081"/>
    <cellStyle name="Обычный 3 3 4 2 14 2" xfId="7932"/>
    <cellStyle name="Обычный 3 3 4 2 15" xfId="8230"/>
    <cellStyle name="Обычный 3 3 4 2 16" xfId="4378"/>
    <cellStyle name="Обычный 3 3 4 2 17" xfId="185"/>
    <cellStyle name="Обычный 3 3 4 2 2" xfId="285"/>
    <cellStyle name="Обычный 3 3 4 2 2 10" xfId="3341"/>
    <cellStyle name="Обычный 3 3 4 2 2 10 2" xfId="7192"/>
    <cellStyle name="Обычный 3 3 4 2 2 11" xfId="3637"/>
    <cellStyle name="Обычный 3 3 4 2 2 11 2" xfId="7488"/>
    <cellStyle name="Обычный 3 3 4 2 2 12" xfId="3933"/>
    <cellStyle name="Обычный 3 3 4 2 2 12 2" xfId="7784"/>
    <cellStyle name="Обычный 3 3 4 2 2 13" xfId="4229"/>
    <cellStyle name="Обычный 3 3 4 2 2 13 2" xfId="8080"/>
    <cellStyle name="Обычный 3 3 4 2 2 14" xfId="8331"/>
    <cellStyle name="Обычный 3 3 4 2 2 15" xfId="4528"/>
    <cellStyle name="Обычный 3 3 4 2 2 2" xfId="990"/>
    <cellStyle name="Обычный 3 3 4 2 2 2 2" xfId="8719"/>
    <cellStyle name="Обычный 3 3 4 2 2 2 3" xfId="4824"/>
    <cellStyle name="Обычный 3 3 4 2 2 3" xfId="1286"/>
    <cellStyle name="Обычный 3 3 4 2 2 3 2" xfId="5120"/>
    <cellStyle name="Обычный 3 3 4 2 2 4" xfId="1572"/>
    <cellStyle name="Обычный 3 3 4 2 2 4 2" xfId="5416"/>
    <cellStyle name="Обычный 3 3 4 2 2 5" xfId="1865"/>
    <cellStyle name="Обычный 3 3 4 2 2 5 2" xfId="5712"/>
    <cellStyle name="Обычный 3 3 4 2 2 6" xfId="2158"/>
    <cellStyle name="Обычный 3 3 4 2 2 6 2" xfId="6008"/>
    <cellStyle name="Обычный 3 3 4 2 2 7" xfId="2453"/>
    <cellStyle name="Обычный 3 3 4 2 2 7 2" xfId="6304"/>
    <cellStyle name="Обычный 3 3 4 2 2 8" xfId="2749"/>
    <cellStyle name="Обычный 3 3 4 2 2 8 2" xfId="6600"/>
    <cellStyle name="Обычный 3 3 4 2 2 9" xfId="3045"/>
    <cellStyle name="Обычный 3 3 4 2 2 9 2" xfId="6896"/>
    <cellStyle name="Обычный 3 3 4 2 3" xfId="386"/>
    <cellStyle name="Обычный 3 3 4 2 3 2" xfId="991"/>
    <cellStyle name="Обычный 3 3 4 2 3 3" xfId="8431"/>
    <cellStyle name="Обычный 3 3 4 2 3 4" xfId="4676"/>
    <cellStyle name="Обычный 3 3 4 2 4" xfId="992"/>
    <cellStyle name="Обычный 3 3 4 2 4 2" xfId="8720"/>
    <cellStyle name="Обычный 3 3 4 2 4 3" xfId="4972"/>
    <cellStyle name="Обычный 3 3 4 2 5" xfId="1428"/>
    <cellStyle name="Обычный 3 3 4 2 5 2" xfId="5268"/>
    <cellStyle name="Обычный 3 3 4 2 6" xfId="1718"/>
    <cellStyle name="Обычный 3 3 4 2 6 2" xfId="5564"/>
    <cellStyle name="Обычный 3 3 4 2 7" xfId="2010"/>
    <cellStyle name="Обычный 3 3 4 2 7 2" xfId="5860"/>
    <cellStyle name="Обычный 3 3 4 2 8" xfId="2305"/>
    <cellStyle name="Обычный 3 3 4 2 8 2" xfId="6156"/>
    <cellStyle name="Обычный 3 3 4 2 9" xfId="2601"/>
    <cellStyle name="Обычный 3 3 4 2 9 2" xfId="6452"/>
    <cellStyle name="Обычный 3 3 4 3" xfId="236"/>
    <cellStyle name="Обычный 3 3 4 3 10" xfId="2947"/>
    <cellStyle name="Обычный 3 3 4 3 10 2" xfId="6798"/>
    <cellStyle name="Обычный 3 3 4 3 11" xfId="3243"/>
    <cellStyle name="Обычный 3 3 4 3 11 2" xfId="7094"/>
    <cellStyle name="Обычный 3 3 4 3 12" xfId="3539"/>
    <cellStyle name="Обычный 3 3 4 3 12 2" xfId="7390"/>
    <cellStyle name="Обычный 3 3 4 3 13" xfId="3835"/>
    <cellStyle name="Обычный 3 3 4 3 13 2" xfId="7686"/>
    <cellStyle name="Обычный 3 3 4 3 14" xfId="4131"/>
    <cellStyle name="Обычный 3 3 4 3 14 2" xfId="7982"/>
    <cellStyle name="Обычный 3 3 4 3 15" xfId="8281"/>
    <cellStyle name="Обычный 3 3 4 3 16" xfId="4429"/>
    <cellStyle name="Обычный 3 3 4 3 2" xfId="993"/>
    <cellStyle name="Обычный 3 3 4 3 2 10" xfId="3391"/>
    <cellStyle name="Обычный 3 3 4 3 2 10 2" xfId="7242"/>
    <cellStyle name="Обычный 3 3 4 3 2 11" xfId="3687"/>
    <cellStyle name="Обычный 3 3 4 3 2 11 2" xfId="7538"/>
    <cellStyle name="Обычный 3 3 4 3 2 12" xfId="3983"/>
    <cellStyle name="Обычный 3 3 4 3 2 12 2" xfId="7834"/>
    <cellStyle name="Обычный 3 3 4 3 2 13" xfId="4279"/>
    <cellStyle name="Обычный 3 3 4 3 2 13 2" xfId="8130"/>
    <cellStyle name="Обычный 3 3 4 3 2 14" xfId="8721"/>
    <cellStyle name="Обычный 3 3 4 3 2 15" xfId="4578"/>
    <cellStyle name="Обычный 3 3 4 3 2 2" xfId="1145"/>
    <cellStyle name="Обычный 3 3 4 3 2 2 2" xfId="4874"/>
    <cellStyle name="Обычный 3 3 4 3 2 3" xfId="1334"/>
    <cellStyle name="Обычный 3 3 4 3 2 3 2" xfId="5170"/>
    <cellStyle name="Обычный 3 3 4 3 2 4" xfId="1621"/>
    <cellStyle name="Обычный 3 3 4 3 2 4 2" xfId="5466"/>
    <cellStyle name="Обычный 3 3 4 3 2 5" xfId="1914"/>
    <cellStyle name="Обычный 3 3 4 3 2 5 2" xfId="5762"/>
    <cellStyle name="Обычный 3 3 4 3 2 6" xfId="2208"/>
    <cellStyle name="Обычный 3 3 4 3 2 6 2" xfId="6058"/>
    <cellStyle name="Обычный 3 3 4 3 2 7" xfId="2503"/>
    <cellStyle name="Обычный 3 3 4 3 2 7 2" xfId="6354"/>
    <cellStyle name="Обычный 3 3 4 3 2 8" xfId="2799"/>
    <cellStyle name="Обычный 3 3 4 3 2 8 2" xfId="6650"/>
    <cellStyle name="Обычный 3 3 4 3 2 9" xfId="3095"/>
    <cellStyle name="Обычный 3 3 4 3 2 9 2" xfId="6946"/>
    <cellStyle name="Обычный 3 3 4 3 3" xfId="1098"/>
    <cellStyle name="Обычный 3 3 4 3 3 2" xfId="4726"/>
    <cellStyle name="Обычный 3 3 4 3 4" xfId="1192"/>
    <cellStyle name="Обычный 3 3 4 3 4 2" xfId="5022"/>
    <cellStyle name="Обычный 3 3 4 3 5" xfId="1476"/>
    <cellStyle name="Обычный 3 3 4 3 5 2" xfId="5318"/>
    <cellStyle name="Обычный 3 3 4 3 6" xfId="1767"/>
    <cellStyle name="Обычный 3 3 4 3 6 2" xfId="5614"/>
    <cellStyle name="Обычный 3 3 4 3 7" xfId="2060"/>
    <cellStyle name="Обычный 3 3 4 3 7 2" xfId="5910"/>
    <cellStyle name="Обычный 3 3 4 3 8" xfId="2355"/>
    <cellStyle name="Обычный 3 3 4 3 8 2" xfId="6206"/>
    <cellStyle name="Обычный 3 3 4 3 9" xfId="2651"/>
    <cellStyle name="Обычный 3 3 4 3 9 2" xfId="6502"/>
    <cellStyle name="Обычный 3 3 4 4" xfId="336"/>
    <cellStyle name="Обычный 3 3 4 4 10" xfId="3293"/>
    <cellStyle name="Обычный 3 3 4 4 10 2" xfId="7144"/>
    <cellStyle name="Обычный 3 3 4 4 11" xfId="3589"/>
    <cellStyle name="Обычный 3 3 4 4 11 2" xfId="7440"/>
    <cellStyle name="Обычный 3 3 4 4 12" xfId="3885"/>
    <cellStyle name="Обычный 3 3 4 4 12 2" xfId="7736"/>
    <cellStyle name="Обычный 3 3 4 4 13" xfId="4181"/>
    <cellStyle name="Обычный 3 3 4 4 13 2" xfId="8032"/>
    <cellStyle name="Обычный 3 3 4 4 14" xfId="8381"/>
    <cellStyle name="Обычный 3 3 4 4 15" xfId="4480"/>
    <cellStyle name="Обычный 3 3 4 4 2" xfId="994"/>
    <cellStyle name="Обычный 3 3 4 4 2 2" xfId="8722"/>
    <cellStyle name="Обычный 3 3 4 4 2 3" xfId="4776"/>
    <cellStyle name="Обычный 3 3 4 4 3" xfId="1240"/>
    <cellStyle name="Обычный 3 3 4 4 3 2" xfId="5072"/>
    <cellStyle name="Обычный 3 3 4 4 4" xfId="1525"/>
    <cellStyle name="Обычный 3 3 4 4 4 2" xfId="5368"/>
    <cellStyle name="Обычный 3 3 4 4 5" xfId="1817"/>
    <cellStyle name="Обычный 3 3 4 4 5 2" xfId="5664"/>
    <cellStyle name="Обычный 3 3 4 4 6" xfId="2110"/>
    <cellStyle name="Обычный 3 3 4 4 6 2" xfId="5960"/>
    <cellStyle name="Обычный 3 3 4 4 7" xfId="2405"/>
    <cellStyle name="Обычный 3 3 4 4 7 2" xfId="6256"/>
    <cellStyle name="Обычный 3 3 4 4 8" xfId="2701"/>
    <cellStyle name="Обычный 3 3 4 4 8 2" xfId="6552"/>
    <cellStyle name="Обычный 3 3 4 4 9" xfId="2997"/>
    <cellStyle name="Обычный 3 3 4 4 9 2" xfId="6848"/>
    <cellStyle name="Обычный 3 3 4 5" xfId="995"/>
    <cellStyle name="Обычный 3 3 4 5 2" xfId="8723"/>
    <cellStyle name="Обычный 3 3 4 5 3" xfId="4628"/>
    <cellStyle name="Обычный 3 3 4 6" xfId="996"/>
    <cellStyle name="Обычный 3 3 4 6 2" xfId="8724"/>
    <cellStyle name="Обычный 3 3 4 6 3" xfId="4924"/>
    <cellStyle name="Обычный 3 3 4 7" xfId="1381"/>
    <cellStyle name="Обычный 3 3 4 7 2" xfId="5220"/>
    <cellStyle name="Обычный 3 3 4 8" xfId="1670"/>
    <cellStyle name="Обычный 3 3 4 8 2" xfId="5516"/>
    <cellStyle name="Обычный 3 3 4 9" xfId="1963"/>
    <cellStyle name="Обычный 3 3 4 9 2" xfId="5812"/>
    <cellStyle name="Обычный 3 3 5" xfId="46"/>
    <cellStyle name="Обычный 3 3 5 10" xfId="2875"/>
    <cellStyle name="Обычный 3 3 5 10 2" xfId="6726"/>
    <cellStyle name="Обычный 3 3 5 11" xfId="3171"/>
    <cellStyle name="Обычный 3 3 5 11 2" xfId="7022"/>
    <cellStyle name="Обычный 3 3 5 12" xfId="3467"/>
    <cellStyle name="Обычный 3 3 5 12 2" xfId="7318"/>
    <cellStyle name="Обычный 3 3 5 13" xfId="3763"/>
    <cellStyle name="Обычный 3 3 5 13 2" xfId="7614"/>
    <cellStyle name="Обычный 3 3 5 14" xfId="4059"/>
    <cellStyle name="Обычный 3 3 5 14 2" xfId="7910"/>
    <cellStyle name="Обычный 3 3 5 15" xfId="8208"/>
    <cellStyle name="Обычный 3 3 5 16" xfId="4356"/>
    <cellStyle name="Обычный 3 3 5 17" xfId="164"/>
    <cellStyle name="Обычный 3 3 5 2" xfId="264"/>
    <cellStyle name="Обычный 3 3 5 2 10" xfId="3319"/>
    <cellStyle name="Обычный 3 3 5 2 10 2" xfId="7170"/>
    <cellStyle name="Обычный 3 3 5 2 11" xfId="3615"/>
    <cellStyle name="Обычный 3 3 5 2 11 2" xfId="7466"/>
    <cellStyle name="Обычный 3 3 5 2 12" xfId="3911"/>
    <cellStyle name="Обычный 3 3 5 2 12 2" xfId="7762"/>
    <cellStyle name="Обычный 3 3 5 2 13" xfId="4207"/>
    <cellStyle name="Обычный 3 3 5 2 13 2" xfId="8058"/>
    <cellStyle name="Обычный 3 3 5 2 14" xfId="8309"/>
    <cellStyle name="Обычный 3 3 5 2 15" xfId="4506"/>
    <cellStyle name="Обычный 3 3 5 2 2" xfId="997"/>
    <cellStyle name="Обычный 3 3 5 2 2 2" xfId="8725"/>
    <cellStyle name="Обычный 3 3 5 2 2 3" xfId="4802"/>
    <cellStyle name="Обычный 3 3 5 2 3" xfId="1265"/>
    <cellStyle name="Обычный 3 3 5 2 3 2" xfId="5098"/>
    <cellStyle name="Обычный 3 3 5 2 4" xfId="1551"/>
    <cellStyle name="Обычный 3 3 5 2 4 2" xfId="5394"/>
    <cellStyle name="Обычный 3 3 5 2 5" xfId="1843"/>
    <cellStyle name="Обычный 3 3 5 2 5 2" xfId="5690"/>
    <cellStyle name="Обычный 3 3 5 2 6" xfId="2136"/>
    <cellStyle name="Обычный 3 3 5 2 6 2" xfId="5986"/>
    <cellStyle name="Обычный 3 3 5 2 7" xfId="2431"/>
    <cellStyle name="Обычный 3 3 5 2 7 2" xfId="6282"/>
    <cellStyle name="Обычный 3 3 5 2 8" xfId="2727"/>
    <cellStyle name="Обычный 3 3 5 2 8 2" xfId="6578"/>
    <cellStyle name="Обычный 3 3 5 2 9" xfId="3023"/>
    <cellStyle name="Обычный 3 3 5 2 9 2" xfId="6874"/>
    <cellStyle name="Обычный 3 3 5 3" xfId="364"/>
    <cellStyle name="Обычный 3 3 5 3 2" xfId="998"/>
    <cellStyle name="Обычный 3 3 5 3 3" xfId="8409"/>
    <cellStyle name="Обычный 3 3 5 3 4" xfId="4654"/>
    <cellStyle name="Обычный 3 3 5 4" xfId="999"/>
    <cellStyle name="Обычный 3 3 5 4 2" xfId="8726"/>
    <cellStyle name="Обычный 3 3 5 4 3" xfId="4950"/>
    <cellStyle name="Обычный 3 3 5 5" xfId="1407"/>
    <cellStyle name="Обычный 3 3 5 5 2" xfId="5246"/>
    <cellStyle name="Обычный 3 3 5 6" xfId="1696"/>
    <cellStyle name="Обычный 3 3 5 6 2" xfId="5542"/>
    <cellStyle name="Обычный 3 3 5 7" xfId="1989"/>
    <cellStyle name="Обычный 3 3 5 7 2" xfId="5838"/>
    <cellStyle name="Обычный 3 3 5 8" xfId="2283"/>
    <cellStyle name="Обычный 3 3 5 8 2" xfId="6134"/>
    <cellStyle name="Обычный 3 3 5 9" xfId="2579"/>
    <cellStyle name="Обычный 3 3 5 9 2" xfId="6430"/>
    <cellStyle name="Обычный 3 3 6" xfId="215"/>
    <cellStyle name="Обычный 3 3 6 10" xfId="2925"/>
    <cellStyle name="Обычный 3 3 6 10 2" xfId="6776"/>
    <cellStyle name="Обычный 3 3 6 11" xfId="3221"/>
    <cellStyle name="Обычный 3 3 6 11 2" xfId="7072"/>
    <cellStyle name="Обычный 3 3 6 12" xfId="3517"/>
    <cellStyle name="Обычный 3 3 6 12 2" xfId="7368"/>
    <cellStyle name="Обычный 3 3 6 13" xfId="3813"/>
    <cellStyle name="Обычный 3 3 6 13 2" xfId="7664"/>
    <cellStyle name="Обычный 3 3 6 14" xfId="4109"/>
    <cellStyle name="Обычный 3 3 6 14 2" xfId="7960"/>
    <cellStyle name="Обычный 3 3 6 15" xfId="8259"/>
    <cellStyle name="Обычный 3 3 6 16" xfId="4407"/>
    <cellStyle name="Обычный 3 3 6 2" xfId="1000"/>
    <cellStyle name="Обычный 3 3 6 2 10" xfId="3369"/>
    <cellStyle name="Обычный 3 3 6 2 10 2" xfId="7220"/>
    <cellStyle name="Обычный 3 3 6 2 11" xfId="3665"/>
    <cellStyle name="Обычный 3 3 6 2 11 2" xfId="7516"/>
    <cellStyle name="Обычный 3 3 6 2 12" xfId="3961"/>
    <cellStyle name="Обычный 3 3 6 2 12 2" xfId="7812"/>
    <cellStyle name="Обычный 3 3 6 2 13" xfId="4257"/>
    <cellStyle name="Обычный 3 3 6 2 13 2" xfId="8108"/>
    <cellStyle name="Обычный 3 3 6 2 14" xfId="8727"/>
    <cellStyle name="Обычный 3 3 6 2 15" xfId="4556"/>
    <cellStyle name="Обычный 3 3 6 2 2" xfId="1124"/>
    <cellStyle name="Обычный 3 3 6 2 2 2" xfId="4852"/>
    <cellStyle name="Обычный 3 3 6 2 3" xfId="1313"/>
    <cellStyle name="Обычный 3 3 6 2 3 2" xfId="5148"/>
    <cellStyle name="Обычный 3 3 6 2 4" xfId="1600"/>
    <cellStyle name="Обычный 3 3 6 2 4 2" xfId="5444"/>
    <cellStyle name="Обычный 3 3 6 2 5" xfId="1893"/>
    <cellStyle name="Обычный 3 3 6 2 5 2" xfId="5740"/>
    <cellStyle name="Обычный 3 3 6 2 6" xfId="2186"/>
    <cellStyle name="Обычный 3 3 6 2 6 2" xfId="6036"/>
    <cellStyle name="Обычный 3 3 6 2 7" xfId="2481"/>
    <cellStyle name="Обычный 3 3 6 2 7 2" xfId="6332"/>
    <cellStyle name="Обычный 3 3 6 2 8" xfId="2777"/>
    <cellStyle name="Обычный 3 3 6 2 8 2" xfId="6628"/>
    <cellStyle name="Обычный 3 3 6 2 9" xfId="3073"/>
    <cellStyle name="Обычный 3 3 6 2 9 2" xfId="6924"/>
    <cellStyle name="Обычный 3 3 6 3" xfId="1077"/>
    <cellStyle name="Обычный 3 3 6 3 2" xfId="4704"/>
    <cellStyle name="Обычный 3 3 6 4" xfId="1171"/>
    <cellStyle name="Обычный 3 3 6 4 2" xfId="5000"/>
    <cellStyle name="Обычный 3 3 6 5" xfId="1454"/>
    <cellStyle name="Обычный 3 3 6 5 2" xfId="5296"/>
    <cellStyle name="Обычный 3 3 6 6" xfId="1745"/>
    <cellStyle name="Обычный 3 3 6 6 2" xfId="5592"/>
    <cellStyle name="Обычный 3 3 6 7" xfId="2038"/>
    <cellStyle name="Обычный 3 3 6 7 2" xfId="5888"/>
    <cellStyle name="Обычный 3 3 6 8" xfId="2333"/>
    <cellStyle name="Обычный 3 3 6 8 2" xfId="6184"/>
    <cellStyle name="Обычный 3 3 6 9" xfId="2629"/>
    <cellStyle name="Обычный 3 3 6 9 2" xfId="6480"/>
    <cellStyle name="Обычный 3 3 7" xfId="314"/>
    <cellStyle name="Обычный 3 3 7 10" xfId="3271"/>
    <cellStyle name="Обычный 3 3 7 10 2" xfId="7122"/>
    <cellStyle name="Обычный 3 3 7 11" xfId="3567"/>
    <cellStyle name="Обычный 3 3 7 11 2" xfId="7418"/>
    <cellStyle name="Обычный 3 3 7 12" xfId="3863"/>
    <cellStyle name="Обычный 3 3 7 12 2" xfId="7714"/>
    <cellStyle name="Обычный 3 3 7 13" xfId="4159"/>
    <cellStyle name="Обычный 3 3 7 13 2" xfId="8010"/>
    <cellStyle name="Обычный 3 3 7 14" xfId="8359"/>
    <cellStyle name="Обычный 3 3 7 15" xfId="4458"/>
    <cellStyle name="Обычный 3 3 7 2" xfId="1001"/>
    <cellStyle name="Обычный 3 3 7 2 2" xfId="8728"/>
    <cellStyle name="Обычный 3 3 7 2 3" xfId="4754"/>
    <cellStyle name="Обычный 3 3 7 3" xfId="1218"/>
    <cellStyle name="Обычный 3 3 7 3 2" xfId="5050"/>
    <cellStyle name="Обычный 3 3 7 4" xfId="1503"/>
    <cellStyle name="Обычный 3 3 7 4 2" xfId="5346"/>
    <cellStyle name="Обычный 3 3 7 5" xfId="1795"/>
    <cellStyle name="Обычный 3 3 7 5 2" xfId="5642"/>
    <cellStyle name="Обычный 3 3 7 6" xfId="2088"/>
    <cellStyle name="Обычный 3 3 7 6 2" xfId="5938"/>
    <cellStyle name="Обычный 3 3 7 7" xfId="2383"/>
    <cellStyle name="Обычный 3 3 7 7 2" xfId="6234"/>
    <cellStyle name="Обычный 3 3 7 8" xfId="2679"/>
    <cellStyle name="Обычный 3 3 7 8 2" xfId="6530"/>
    <cellStyle name="Обычный 3 3 7 9" xfId="2975"/>
    <cellStyle name="Обычный 3 3 7 9 2" xfId="6826"/>
    <cellStyle name="Обычный 3 3 8" xfId="635"/>
    <cellStyle name="Обычный 3 3 8 2" xfId="8463"/>
    <cellStyle name="Обычный 3 3 8 3" xfId="4606"/>
    <cellStyle name="Обычный 3 3 9" xfId="1002"/>
    <cellStyle name="Обычный 3 3 9 2" xfId="8729"/>
    <cellStyle name="Обычный 3 3 9 3" xfId="4902"/>
    <cellStyle name="Обычный 3 30" xfId="4286"/>
    <cellStyle name="Обычный 3 31" xfId="8759"/>
    <cellStyle name="Обычный 3 32" xfId="65"/>
    <cellStyle name="Обычный 3 33" xfId="8802"/>
    <cellStyle name="Обычный 3 34" xfId="8858"/>
    <cellStyle name="Обычный 3 4" xfId="29"/>
    <cellStyle name="Обычный 3 4 2" xfId="35"/>
    <cellStyle name="Обычный 3 4 2 2" xfId="53"/>
    <cellStyle name="Обычный 3 4 2 3" xfId="708"/>
    <cellStyle name="Обычный 3 4 3" xfId="41"/>
    <cellStyle name="Обычный 3 4 3 2" xfId="59"/>
    <cellStyle name="Обычный 3 4 3 3" xfId="663"/>
    <cellStyle name="Обычный 3 4 4" xfId="47"/>
    <cellStyle name="Обычный 3 4 5" xfId="97"/>
    <cellStyle name="Обычный 3 5" xfId="32"/>
    <cellStyle name="Обычный 3 5 2" xfId="50"/>
    <cellStyle name="Обычный 3 5 3" xfId="98"/>
    <cellStyle name="Обычный 3 6" xfId="38"/>
    <cellStyle name="Обычный 3 6 2" xfId="56"/>
    <cellStyle name="Обычный 3 6 3" xfId="99"/>
    <cellStyle name="Обычный 3 7" xfId="44"/>
    <cellStyle name="Обычный 3 7 2" xfId="100"/>
    <cellStyle name="Обычный 3 8" xfId="101"/>
    <cellStyle name="Обычный 3 9" xfId="102"/>
    <cellStyle name="Обычный 30" xfId="113"/>
    <cellStyle name="Обычный 31" xfId="8862"/>
    <cellStyle name="Обычный 32" xfId="8863"/>
    <cellStyle name="Обычный 33" xfId="8864"/>
    <cellStyle name="Обычный 4" xfId="15"/>
    <cellStyle name="Обычный 4 10" xfId="195"/>
    <cellStyle name="Обычный 4 10 10" xfId="2905"/>
    <cellStyle name="Обычный 4 10 10 2" xfId="6756"/>
    <cellStyle name="Обычный 4 10 11" xfId="3201"/>
    <cellStyle name="Обычный 4 10 11 2" xfId="7052"/>
    <cellStyle name="Обычный 4 10 12" xfId="3497"/>
    <cellStyle name="Обычный 4 10 12 2" xfId="7348"/>
    <cellStyle name="Обычный 4 10 13" xfId="3793"/>
    <cellStyle name="Обычный 4 10 13 2" xfId="7644"/>
    <cellStyle name="Обычный 4 10 14" xfId="4089"/>
    <cellStyle name="Обычный 4 10 14 2" xfId="7940"/>
    <cellStyle name="Обычный 4 10 15" xfId="8239"/>
    <cellStyle name="Обычный 4 10 16" xfId="4387"/>
    <cellStyle name="Обычный 4 10 2" xfId="1003"/>
    <cellStyle name="Обычный 4 10 2 10" xfId="3349"/>
    <cellStyle name="Обычный 4 10 2 10 2" xfId="7200"/>
    <cellStyle name="Обычный 4 10 2 11" xfId="3645"/>
    <cellStyle name="Обычный 4 10 2 11 2" xfId="7496"/>
    <cellStyle name="Обычный 4 10 2 12" xfId="3941"/>
    <cellStyle name="Обычный 4 10 2 12 2" xfId="7792"/>
    <cellStyle name="Обычный 4 10 2 13" xfId="4237"/>
    <cellStyle name="Обычный 4 10 2 13 2" xfId="8088"/>
    <cellStyle name="Обычный 4 10 2 14" xfId="8730"/>
    <cellStyle name="Обычный 4 10 2 15" xfId="4536"/>
    <cellStyle name="Обычный 4 10 2 2" xfId="1104"/>
    <cellStyle name="Обычный 4 10 2 2 2" xfId="4832"/>
    <cellStyle name="Обычный 4 10 2 3" xfId="1293"/>
    <cellStyle name="Обычный 4 10 2 3 2" xfId="5128"/>
    <cellStyle name="Обычный 4 10 2 4" xfId="1580"/>
    <cellStyle name="Обычный 4 10 2 4 2" xfId="5424"/>
    <cellStyle name="Обычный 4 10 2 5" xfId="1873"/>
    <cellStyle name="Обычный 4 10 2 5 2" xfId="5720"/>
    <cellStyle name="Обычный 4 10 2 6" xfId="2166"/>
    <cellStyle name="Обычный 4 10 2 6 2" xfId="6016"/>
    <cellStyle name="Обычный 4 10 2 7" xfId="2461"/>
    <cellStyle name="Обычный 4 10 2 7 2" xfId="6312"/>
    <cellStyle name="Обычный 4 10 2 8" xfId="2757"/>
    <cellStyle name="Обычный 4 10 2 8 2" xfId="6608"/>
    <cellStyle name="Обычный 4 10 2 9" xfId="3053"/>
    <cellStyle name="Обычный 4 10 2 9 2" xfId="6904"/>
    <cellStyle name="Обычный 4 10 3" xfId="1057"/>
    <cellStyle name="Обычный 4 10 3 2" xfId="4684"/>
    <cellStyle name="Обычный 4 10 4" xfId="1151"/>
    <cellStyle name="Обычный 4 10 4 2" xfId="4980"/>
    <cellStyle name="Обычный 4 10 5" xfId="1434"/>
    <cellStyle name="Обычный 4 10 5 2" xfId="5276"/>
    <cellStyle name="Обычный 4 10 6" xfId="1725"/>
    <cellStyle name="Обычный 4 10 6 2" xfId="5572"/>
    <cellStyle name="Обычный 4 10 7" xfId="2018"/>
    <cellStyle name="Обычный 4 10 7 2" xfId="5868"/>
    <cellStyle name="Обычный 4 10 8" xfId="2313"/>
    <cellStyle name="Обычный 4 10 8 2" xfId="6164"/>
    <cellStyle name="Обычный 4 10 9" xfId="2609"/>
    <cellStyle name="Обычный 4 10 9 2" xfId="6460"/>
    <cellStyle name="Обычный 4 11" xfId="294"/>
    <cellStyle name="Обычный 4 11 10" xfId="3251"/>
    <cellStyle name="Обычный 4 11 10 2" xfId="7102"/>
    <cellStyle name="Обычный 4 11 11" xfId="3547"/>
    <cellStyle name="Обычный 4 11 11 2" xfId="7398"/>
    <cellStyle name="Обычный 4 11 12" xfId="3843"/>
    <cellStyle name="Обычный 4 11 12 2" xfId="7694"/>
    <cellStyle name="Обычный 4 11 13" xfId="4139"/>
    <cellStyle name="Обычный 4 11 13 2" xfId="7990"/>
    <cellStyle name="Обычный 4 11 14" xfId="8339"/>
    <cellStyle name="Обычный 4 11 15" xfId="4438"/>
    <cellStyle name="Обычный 4 11 2" xfId="1004"/>
    <cellStyle name="Обычный 4 11 2 2" xfId="8731"/>
    <cellStyle name="Обычный 4 11 2 3" xfId="4734"/>
    <cellStyle name="Обычный 4 11 3" xfId="1198"/>
    <cellStyle name="Обычный 4 11 3 2" xfId="5030"/>
    <cellStyle name="Обычный 4 11 4" xfId="1483"/>
    <cellStyle name="Обычный 4 11 4 2" xfId="5326"/>
    <cellStyle name="Обычный 4 11 5" xfId="1775"/>
    <cellStyle name="Обычный 4 11 5 2" xfId="5622"/>
    <cellStyle name="Обычный 4 11 6" xfId="2068"/>
    <cellStyle name="Обычный 4 11 6 2" xfId="5918"/>
    <cellStyle name="Обычный 4 11 7" xfId="2363"/>
    <cellStyle name="Обычный 4 11 7 2" xfId="6214"/>
    <cellStyle name="Обычный 4 11 8" xfId="2659"/>
    <cellStyle name="Обычный 4 11 8 2" xfId="6510"/>
    <cellStyle name="Обычный 4 11 9" xfId="2955"/>
    <cellStyle name="Обычный 4 11 9 2" xfId="6806"/>
    <cellStyle name="Обычный 4 12" xfId="398"/>
    <cellStyle name="Обычный 4 12 2" xfId="8442"/>
    <cellStyle name="Обычный 4 12 3" xfId="4586"/>
    <cellStyle name="Обычный 4 13" xfId="1005"/>
    <cellStyle name="Обычный 4 13 2" xfId="8732"/>
    <cellStyle name="Обычный 4 13 3" xfId="4882"/>
    <cellStyle name="Обычный 4 14" xfId="1026"/>
    <cellStyle name="Обычный 4 14 2" xfId="8748"/>
    <cellStyle name="Обычный 4 14 3" xfId="5178"/>
    <cellStyle name="Обычный 4 15" xfId="1629"/>
    <cellStyle name="Обычный 4 15 2" xfId="5474"/>
    <cellStyle name="Обычный 4 16" xfId="1922"/>
    <cellStyle name="Обычный 4 16 2" xfId="5770"/>
    <cellStyle name="Обычный 4 17" xfId="2216"/>
    <cellStyle name="Обычный 4 17 2" xfId="6066"/>
    <cellStyle name="Обычный 4 18" xfId="2511"/>
    <cellStyle name="Обычный 4 18 2" xfId="6362"/>
    <cellStyle name="Обычный 4 19" xfId="2807"/>
    <cellStyle name="Обычный 4 19 2" xfId="6658"/>
    <cellStyle name="Обычный 4 2" xfId="104"/>
    <cellStyle name="Обычный 4 2 2" xfId="657"/>
    <cellStyle name="Обычный 4 2 2 2" xfId="702"/>
    <cellStyle name="Обычный 4 2 2 3" xfId="8797"/>
    <cellStyle name="Обычный 4 2 3" xfId="624"/>
    <cellStyle name="Обычный 4 2 4" xfId="1045"/>
    <cellStyle name="Обычный 4 2 5" xfId="8775"/>
    <cellStyle name="Обычный 4 20" xfId="3103"/>
    <cellStyle name="Обычный 4 20 2" xfId="6954"/>
    <cellStyle name="Обычный 4 21" xfId="3399"/>
    <cellStyle name="Обычный 4 21 2" xfId="7250"/>
    <cellStyle name="Обычный 4 22" xfId="3695"/>
    <cellStyle name="Обычный 4 22 2" xfId="7546"/>
    <cellStyle name="Обычный 4 23" xfId="3991"/>
    <cellStyle name="Обычный 4 23 2" xfId="7842"/>
    <cellStyle name="Обычный 4 24" xfId="8138"/>
    <cellStyle name="Обычный 4 25" xfId="4287"/>
    <cellStyle name="Обычный 4 26" xfId="8772"/>
    <cellStyle name="Обычный 4 27" xfId="66"/>
    <cellStyle name="Обычный 4 28" xfId="8803"/>
    <cellStyle name="Обычный 4 3" xfId="105"/>
    <cellStyle name="Обычный 4 3 2" xfId="687"/>
    <cellStyle name="Обычный 4 3 2 2" xfId="8798"/>
    <cellStyle name="Обычный 4 3 3" xfId="636"/>
    <cellStyle name="Обычный 4 3 4" xfId="1046"/>
    <cellStyle name="Обычный 4 3 5" xfId="8776"/>
    <cellStyle name="Обычный 4 4" xfId="106"/>
    <cellStyle name="Обычный 4 4 2" xfId="691"/>
    <cellStyle name="Обычный 4 4 2 2" xfId="8799"/>
    <cellStyle name="Обычный 4 4 3" xfId="644"/>
    <cellStyle name="Обычный 4 4 4" xfId="1047"/>
    <cellStyle name="Обычный 4 4 5" xfId="8777"/>
    <cellStyle name="Обычный 4 5" xfId="107"/>
    <cellStyle name="Обычный 4 5 2" xfId="699"/>
    <cellStyle name="Обычный 4 5 3" xfId="654"/>
    <cellStyle name="Обычный 4 5 4" xfId="1042"/>
    <cellStyle name="Обычный 4 5 5" xfId="8794"/>
    <cellStyle name="Обычный 4 6" xfId="108"/>
    <cellStyle name="Обычный 4 6 2" xfId="667"/>
    <cellStyle name="Обычный 4 7" xfId="109"/>
    <cellStyle name="Обычный 4 7 2" xfId="723"/>
    <cellStyle name="Обычный 4 8" xfId="103"/>
    <cellStyle name="Обычный 4 9" xfId="144"/>
    <cellStyle name="Обычный 4 9 10" xfId="2855"/>
    <cellStyle name="Обычный 4 9 10 2" xfId="6706"/>
    <cellStyle name="Обычный 4 9 11" xfId="3151"/>
    <cellStyle name="Обычный 4 9 11 2" xfId="7002"/>
    <cellStyle name="Обычный 4 9 12" xfId="3447"/>
    <cellStyle name="Обычный 4 9 12 2" xfId="7298"/>
    <cellStyle name="Обычный 4 9 13" xfId="3743"/>
    <cellStyle name="Обычный 4 9 13 2" xfId="7594"/>
    <cellStyle name="Обычный 4 9 14" xfId="4039"/>
    <cellStyle name="Обычный 4 9 14 2" xfId="7890"/>
    <cellStyle name="Обычный 4 9 15" xfId="8188"/>
    <cellStyle name="Обычный 4 9 16" xfId="4336"/>
    <cellStyle name="Обычный 4 9 2" xfId="244"/>
    <cellStyle name="Обычный 4 9 2 10" xfId="3299"/>
    <cellStyle name="Обычный 4 9 2 10 2" xfId="7150"/>
    <cellStyle name="Обычный 4 9 2 11" xfId="3595"/>
    <cellStyle name="Обычный 4 9 2 11 2" xfId="7446"/>
    <cellStyle name="Обычный 4 9 2 12" xfId="3891"/>
    <cellStyle name="Обычный 4 9 2 12 2" xfId="7742"/>
    <cellStyle name="Обычный 4 9 2 13" xfId="4187"/>
    <cellStyle name="Обычный 4 9 2 13 2" xfId="8038"/>
    <cellStyle name="Обычный 4 9 2 14" xfId="8289"/>
    <cellStyle name="Обычный 4 9 2 15" xfId="4486"/>
    <cellStyle name="Обычный 4 9 2 2" xfId="1006"/>
    <cellStyle name="Обычный 4 9 2 2 2" xfId="8733"/>
    <cellStyle name="Обычный 4 9 2 2 3" xfId="4782"/>
    <cellStyle name="Обычный 4 9 2 3" xfId="1245"/>
    <cellStyle name="Обычный 4 9 2 3 2" xfId="5078"/>
    <cellStyle name="Обычный 4 9 2 4" xfId="1531"/>
    <cellStyle name="Обычный 4 9 2 4 2" xfId="5374"/>
    <cellStyle name="Обычный 4 9 2 5" xfId="1823"/>
    <cellStyle name="Обычный 4 9 2 5 2" xfId="5670"/>
    <cellStyle name="Обычный 4 9 2 6" xfId="2116"/>
    <cellStyle name="Обычный 4 9 2 6 2" xfId="5966"/>
    <cellStyle name="Обычный 4 9 2 7" xfId="2411"/>
    <cellStyle name="Обычный 4 9 2 7 2" xfId="6262"/>
    <cellStyle name="Обычный 4 9 2 8" xfId="2707"/>
    <cellStyle name="Обычный 4 9 2 8 2" xfId="6558"/>
    <cellStyle name="Обычный 4 9 2 9" xfId="3003"/>
    <cellStyle name="Обычный 4 9 2 9 2" xfId="6854"/>
    <cellStyle name="Обычный 4 9 3" xfId="344"/>
    <cellStyle name="Обычный 4 9 3 2" xfId="1007"/>
    <cellStyle name="Обычный 4 9 3 3" xfId="8389"/>
    <cellStyle name="Обычный 4 9 3 4" xfId="4634"/>
    <cellStyle name="Обычный 4 9 4" xfId="1008"/>
    <cellStyle name="Обычный 4 9 4 2" xfId="8734"/>
    <cellStyle name="Обычный 4 9 4 3" xfId="4930"/>
    <cellStyle name="Обычный 4 9 5" xfId="1387"/>
    <cellStyle name="Обычный 4 9 5 2" xfId="5226"/>
    <cellStyle name="Обычный 4 9 6" xfId="1676"/>
    <cellStyle name="Обычный 4 9 6 2" xfId="5522"/>
    <cellStyle name="Обычный 4 9 7" xfId="1969"/>
    <cellStyle name="Обычный 4 9 7 2" xfId="5818"/>
    <cellStyle name="Обычный 4 9 8" xfId="2263"/>
    <cellStyle name="Обычный 4 9 8 2" xfId="6114"/>
    <cellStyle name="Обычный 4 9 9" xfId="2559"/>
    <cellStyle name="Обычный 4 9 9 2" xfId="6410"/>
    <cellStyle name="Обычный 5" xfId="6"/>
    <cellStyle name="Обычный 5 2" xfId="16"/>
    <cellStyle name="Обычный 5 2 2" xfId="652"/>
    <cellStyle name="Обычный 5 2 3" xfId="626"/>
    <cellStyle name="Обычный 5 3" xfId="622"/>
    <cellStyle name="Обычный 5 4" xfId="637"/>
    <cellStyle name="Обычный 5 5" xfId="669"/>
    <cellStyle name="Обычный 5 6" xfId="400"/>
    <cellStyle name="Обычный 5 7" xfId="64"/>
    <cellStyle name="Обычный 5 8" xfId="8859"/>
    <cellStyle name="Обычный 6" xfId="22"/>
    <cellStyle name="Обычный 6 10" xfId="114"/>
    <cellStyle name="Обычный 6 2" xfId="627"/>
    <cellStyle name="Обычный 6 2 2" xfId="1028"/>
    <cellStyle name="Обычный 6 3" xfId="671"/>
    <cellStyle name="Обычный 6 3 2" xfId="1048"/>
    <cellStyle name="Обычный 6 4" xfId="402"/>
    <cellStyle name="Обычный 6 5" xfId="1027"/>
    <cellStyle name="Обычный 6 6" xfId="110"/>
    <cellStyle name="Обычный 7" xfId="111"/>
    <cellStyle name="Обычный 7 2" xfId="628"/>
    <cellStyle name="Обычный 7 3" xfId="673"/>
    <cellStyle name="Обычный 7 4" xfId="404"/>
    <cellStyle name="Обычный 8" xfId="112"/>
    <cellStyle name="Обычный 8 2" xfId="629"/>
    <cellStyle name="Обычный 8 3" xfId="675"/>
    <cellStyle name="Обычный 8 4" xfId="408"/>
    <cellStyle name="Обычный 9" xfId="70"/>
    <cellStyle name="Обычный 9 10" xfId="2219"/>
    <cellStyle name="Обычный 9 10 2" xfId="6069"/>
    <cellStyle name="Обычный 9 11" xfId="2514"/>
    <cellStyle name="Обычный 9 11 2" xfId="6365"/>
    <cellStyle name="Обычный 9 12" xfId="2810"/>
    <cellStyle name="Обычный 9 12 2" xfId="6661"/>
    <cellStyle name="Обычный 9 13" xfId="3106"/>
    <cellStyle name="Обычный 9 13 2" xfId="6957"/>
    <cellStyle name="Обычный 9 14" xfId="3402"/>
    <cellStyle name="Обычный 9 14 2" xfId="7253"/>
    <cellStyle name="Обычный 9 15" xfId="3698"/>
    <cellStyle name="Обычный 9 15 2" xfId="7549"/>
    <cellStyle name="Обычный 9 16" xfId="3994"/>
    <cellStyle name="Обычный 9 16 2" xfId="7845"/>
    <cellStyle name="Обычный 9 17" xfId="8141"/>
    <cellStyle name="Обычный 9 18" xfId="4290"/>
    <cellStyle name="Обычный 9 2" xfId="147"/>
    <cellStyle name="Обычный 9 2 10" xfId="2858"/>
    <cellStyle name="Обычный 9 2 10 2" xfId="6709"/>
    <cellStyle name="Обычный 9 2 11" xfId="3154"/>
    <cellStyle name="Обычный 9 2 11 2" xfId="7005"/>
    <cellStyle name="Обычный 9 2 12" xfId="3450"/>
    <cellStyle name="Обычный 9 2 12 2" xfId="7301"/>
    <cellStyle name="Обычный 9 2 13" xfId="3746"/>
    <cellStyle name="Обычный 9 2 13 2" xfId="7597"/>
    <cellStyle name="Обычный 9 2 14" xfId="4042"/>
    <cellStyle name="Обычный 9 2 14 2" xfId="7893"/>
    <cellStyle name="Обычный 9 2 15" xfId="8191"/>
    <cellStyle name="Обычный 9 2 16" xfId="4339"/>
    <cellStyle name="Обычный 9 2 2" xfId="247"/>
    <cellStyle name="Обычный 9 2 2 10" xfId="3302"/>
    <cellStyle name="Обычный 9 2 2 10 2" xfId="7153"/>
    <cellStyle name="Обычный 9 2 2 11" xfId="3598"/>
    <cellStyle name="Обычный 9 2 2 11 2" xfId="7449"/>
    <cellStyle name="Обычный 9 2 2 12" xfId="3894"/>
    <cellStyle name="Обычный 9 2 2 12 2" xfId="7745"/>
    <cellStyle name="Обычный 9 2 2 13" xfId="4190"/>
    <cellStyle name="Обычный 9 2 2 13 2" xfId="8041"/>
    <cellStyle name="Обычный 9 2 2 14" xfId="8292"/>
    <cellStyle name="Обычный 9 2 2 15" xfId="4489"/>
    <cellStyle name="Обычный 9 2 2 2" xfId="1009"/>
    <cellStyle name="Обычный 9 2 2 2 2" xfId="8735"/>
    <cellStyle name="Обычный 9 2 2 2 3" xfId="4785"/>
    <cellStyle name="Обычный 9 2 2 3" xfId="1248"/>
    <cellStyle name="Обычный 9 2 2 3 2" xfId="5081"/>
    <cellStyle name="Обычный 9 2 2 4" xfId="1534"/>
    <cellStyle name="Обычный 9 2 2 4 2" xfId="5377"/>
    <cellStyle name="Обычный 9 2 2 5" xfId="1826"/>
    <cellStyle name="Обычный 9 2 2 5 2" xfId="5673"/>
    <cellStyle name="Обычный 9 2 2 6" xfId="2119"/>
    <cellStyle name="Обычный 9 2 2 6 2" xfId="5969"/>
    <cellStyle name="Обычный 9 2 2 7" xfId="2414"/>
    <cellStyle name="Обычный 9 2 2 7 2" xfId="6265"/>
    <cellStyle name="Обычный 9 2 2 8" xfId="2710"/>
    <cellStyle name="Обычный 9 2 2 8 2" xfId="6561"/>
    <cellStyle name="Обычный 9 2 2 9" xfId="3006"/>
    <cellStyle name="Обычный 9 2 2 9 2" xfId="6857"/>
    <cellStyle name="Обычный 9 2 3" xfId="347"/>
    <cellStyle name="Обычный 9 2 3 2" xfId="1010"/>
    <cellStyle name="Обычный 9 2 3 3" xfId="8392"/>
    <cellStyle name="Обычный 9 2 3 4" xfId="4637"/>
    <cellStyle name="Обычный 9 2 4" xfId="621"/>
    <cellStyle name="Обычный 9 2 4 2" xfId="8457"/>
    <cellStyle name="Обычный 9 2 4 3" xfId="4933"/>
    <cellStyle name="Обычный 9 2 5" xfId="1390"/>
    <cellStyle name="Обычный 9 2 5 2" xfId="5229"/>
    <cellStyle name="Обычный 9 2 6" xfId="1679"/>
    <cellStyle name="Обычный 9 2 6 2" xfId="5525"/>
    <cellStyle name="Обычный 9 2 7" xfId="1972"/>
    <cellStyle name="Обычный 9 2 7 2" xfId="5821"/>
    <cellStyle name="Обычный 9 2 8" xfId="2266"/>
    <cellStyle name="Обычный 9 2 8 2" xfId="6117"/>
    <cellStyle name="Обычный 9 2 9" xfId="2562"/>
    <cellStyle name="Обычный 9 2 9 2" xfId="6413"/>
    <cellStyle name="Обычный 9 3" xfId="198"/>
    <cellStyle name="Обычный 9 3 10" xfId="2908"/>
    <cellStyle name="Обычный 9 3 10 2" xfId="6759"/>
    <cellStyle name="Обычный 9 3 11" xfId="3204"/>
    <cellStyle name="Обычный 9 3 11 2" xfId="7055"/>
    <cellStyle name="Обычный 9 3 12" xfId="3500"/>
    <cellStyle name="Обычный 9 3 12 2" xfId="7351"/>
    <cellStyle name="Обычный 9 3 13" xfId="3796"/>
    <cellStyle name="Обычный 9 3 13 2" xfId="7647"/>
    <cellStyle name="Обычный 9 3 14" xfId="4092"/>
    <cellStyle name="Обычный 9 3 14 2" xfId="7943"/>
    <cellStyle name="Обычный 9 3 15" xfId="8242"/>
    <cellStyle name="Обычный 9 3 16" xfId="4390"/>
    <cellStyle name="Обычный 9 3 2" xfId="633"/>
    <cellStyle name="Обычный 9 3 2 10" xfId="3352"/>
    <cellStyle name="Обычный 9 3 2 10 2" xfId="7203"/>
    <cellStyle name="Обычный 9 3 2 11" xfId="3648"/>
    <cellStyle name="Обычный 9 3 2 11 2" xfId="7499"/>
    <cellStyle name="Обычный 9 3 2 12" xfId="3944"/>
    <cellStyle name="Обычный 9 3 2 12 2" xfId="7795"/>
    <cellStyle name="Обычный 9 3 2 13" xfId="4240"/>
    <cellStyle name="Обычный 9 3 2 13 2" xfId="8091"/>
    <cellStyle name="Обычный 9 3 2 14" xfId="8461"/>
    <cellStyle name="Обычный 9 3 2 15" xfId="4539"/>
    <cellStyle name="Обычный 9 3 2 2" xfId="1107"/>
    <cellStyle name="Обычный 9 3 2 2 2" xfId="4835"/>
    <cellStyle name="Обычный 9 3 2 3" xfId="1296"/>
    <cellStyle name="Обычный 9 3 2 3 2" xfId="5131"/>
    <cellStyle name="Обычный 9 3 2 4" xfId="1583"/>
    <cellStyle name="Обычный 9 3 2 4 2" xfId="5427"/>
    <cellStyle name="Обычный 9 3 2 5" xfId="1876"/>
    <cellStyle name="Обычный 9 3 2 5 2" xfId="5723"/>
    <cellStyle name="Обычный 9 3 2 6" xfId="2169"/>
    <cellStyle name="Обычный 9 3 2 6 2" xfId="6019"/>
    <cellStyle name="Обычный 9 3 2 7" xfId="2464"/>
    <cellStyle name="Обычный 9 3 2 7 2" xfId="6315"/>
    <cellStyle name="Обычный 9 3 2 8" xfId="2760"/>
    <cellStyle name="Обычный 9 3 2 8 2" xfId="6611"/>
    <cellStyle name="Обычный 9 3 2 9" xfId="3056"/>
    <cellStyle name="Обычный 9 3 2 9 2" xfId="6907"/>
    <cellStyle name="Обычный 9 3 3" xfId="1060"/>
    <cellStyle name="Обычный 9 3 3 2" xfId="4687"/>
    <cellStyle name="Обычный 9 3 4" xfId="1154"/>
    <cellStyle name="Обычный 9 3 4 2" xfId="4983"/>
    <cellStyle name="Обычный 9 3 5" xfId="1437"/>
    <cellStyle name="Обычный 9 3 5 2" xfId="5279"/>
    <cellStyle name="Обычный 9 3 6" xfId="1728"/>
    <cellStyle name="Обычный 9 3 6 2" xfId="5575"/>
    <cellStyle name="Обычный 9 3 7" xfId="2021"/>
    <cellStyle name="Обычный 9 3 7 2" xfId="5871"/>
    <cellStyle name="Обычный 9 3 8" xfId="2316"/>
    <cellStyle name="Обычный 9 3 8 2" xfId="6167"/>
    <cellStyle name="Обычный 9 3 9" xfId="2612"/>
    <cellStyle name="Обычный 9 3 9 2" xfId="6463"/>
    <cellStyle name="Обычный 9 4" xfId="297"/>
    <cellStyle name="Обычный 9 4 10" xfId="3254"/>
    <cellStyle name="Обычный 9 4 10 2" xfId="7105"/>
    <cellStyle name="Обычный 9 4 11" xfId="3550"/>
    <cellStyle name="Обычный 9 4 11 2" xfId="7401"/>
    <cellStyle name="Обычный 9 4 12" xfId="3846"/>
    <cellStyle name="Обычный 9 4 12 2" xfId="7697"/>
    <cellStyle name="Обычный 9 4 13" xfId="4142"/>
    <cellStyle name="Обычный 9 4 13 2" xfId="7993"/>
    <cellStyle name="Обычный 9 4 14" xfId="8342"/>
    <cellStyle name="Обычный 9 4 15" xfId="4441"/>
    <cellStyle name="Обычный 9 4 2" xfId="630"/>
    <cellStyle name="Обычный 9 4 2 2" xfId="8458"/>
    <cellStyle name="Обычный 9 4 2 3" xfId="4737"/>
    <cellStyle name="Обычный 9 4 3" xfId="1201"/>
    <cellStyle name="Обычный 9 4 3 2" xfId="5033"/>
    <cellStyle name="Обычный 9 4 4" xfId="1486"/>
    <cellStyle name="Обычный 9 4 4 2" xfId="5329"/>
    <cellStyle name="Обычный 9 4 5" xfId="1778"/>
    <cellStyle name="Обычный 9 4 5 2" xfId="5625"/>
    <cellStyle name="Обычный 9 4 6" xfId="2071"/>
    <cellStyle name="Обычный 9 4 6 2" xfId="5921"/>
    <cellStyle name="Обычный 9 4 7" xfId="2366"/>
    <cellStyle name="Обычный 9 4 7 2" xfId="6217"/>
    <cellStyle name="Обычный 9 4 8" xfId="2662"/>
    <cellStyle name="Обычный 9 4 8 2" xfId="6513"/>
    <cellStyle name="Обычный 9 4 9" xfId="2958"/>
    <cellStyle name="Обычный 9 4 9 2" xfId="6809"/>
    <cellStyle name="Обычный 9 5" xfId="677"/>
    <cellStyle name="Обычный 9 5 2" xfId="8480"/>
    <cellStyle name="Обычный 9 5 3" xfId="4589"/>
    <cellStyle name="Обычный 9 6" xfId="411"/>
    <cellStyle name="Обычный 9 6 2" xfId="8447"/>
    <cellStyle name="Обычный 9 6 3" xfId="4885"/>
    <cellStyle name="Обычный 9 7" xfId="1343"/>
    <cellStyle name="Обычный 9 7 2" xfId="5181"/>
    <cellStyle name="Обычный 9 8" xfId="1632"/>
    <cellStyle name="Обычный 9 8 2" xfId="5477"/>
    <cellStyle name="Обычный 9 9" xfId="1925"/>
    <cellStyle name="Обычный 9 9 2" xfId="5773"/>
    <cellStyle name="Процентный" xfId="27"/>
    <cellStyle name="Процентный 2" xfId="25"/>
    <cellStyle name="Процентный 2 2" xfId="118"/>
    <cellStyle name="Процентный 2 2 10" xfId="2239"/>
    <cellStyle name="Процентный 2 2 10 2" xfId="6090"/>
    <cellStyle name="Процентный 2 2 11" xfId="2535"/>
    <cellStyle name="Процентный 2 2 11 2" xfId="6386"/>
    <cellStyle name="Процентный 2 2 12" xfId="2831"/>
    <cellStyle name="Процентный 2 2 12 2" xfId="6682"/>
    <cellStyle name="Процентный 2 2 13" xfId="3127"/>
    <cellStyle name="Процентный 2 2 13 2" xfId="6978"/>
    <cellStyle name="Процентный 2 2 14" xfId="3423"/>
    <cellStyle name="Процентный 2 2 14 2" xfId="7274"/>
    <cellStyle name="Процентный 2 2 15" xfId="3719"/>
    <cellStyle name="Процентный 2 2 15 2" xfId="7570"/>
    <cellStyle name="Процентный 2 2 16" xfId="4015"/>
    <cellStyle name="Процентный 2 2 16 2" xfId="7866"/>
    <cellStyle name="Процентный 2 2 17" xfId="8162"/>
    <cellStyle name="Процентный 2 2 18" xfId="4311"/>
    <cellStyle name="Процентный 2 2 2" xfId="167"/>
    <cellStyle name="Процентный 2 2 2 10" xfId="2879"/>
    <cellStyle name="Процентный 2 2 2 10 2" xfId="6730"/>
    <cellStyle name="Процентный 2 2 2 11" xfId="3175"/>
    <cellStyle name="Процентный 2 2 2 11 2" xfId="7026"/>
    <cellStyle name="Процентный 2 2 2 12" xfId="3471"/>
    <cellStyle name="Процентный 2 2 2 12 2" xfId="7322"/>
    <cellStyle name="Процентный 2 2 2 13" xfId="3767"/>
    <cellStyle name="Процентный 2 2 2 13 2" xfId="7618"/>
    <cellStyle name="Процентный 2 2 2 14" xfId="4063"/>
    <cellStyle name="Процентный 2 2 2 14 2" xfId="7914"/>
    <cellStyle name="Процентный 2 2 2 15" xfId="8212"/>
    <cellStyle name="Процентный 2 2 2 16" xfId="4360"/>
    <cellStyle name="Процентный 2 2 2 2" xfId="267"/>
    <cellStyle name="Процентный 2 2 2 2 10" xfId="3323"/>
    <cellStyle name="Процентный 2 2 2 2 10 2" xfId="7174"/>
    <cellStyle name="Процентный 2 2 2 2 11" xfId="3619"/>
    <cellStyle name="Процентный 2 2 2 2 11 2" xfId="7470"/>
    <cellStyle name="Процентный 2 2 2 2 12" xfId="3915"/>
    <cellStyle name="Процентный 2 2 2 2 12 2" xfId="7766"/>
    <cellStyle name="Процентный 2 2 2 2 13" xfId="4211"/>
    <cellStyle name="Процентный 2 2 2 2 13 2" xfId="8062"/>
    <cellStyle name="Процентный 2 2 2 2 14" xfId="8313"/>
    <cellStyle name="Процентный 2 2 2 2 15" xfId="4510"/>
    <cellStyle name="Процентный 2 2 2 2 2" xfId="1011"/>
    <cellStyle name="Процентный 2 2 2 2 2 2" xfId="8736"/>
    <cellStyle name="Процентный 2 2 2 2 2 3" xfId="4806"/>
    <cellStyle name="Процентный 2 2 2 2 3" xfId="1268"/>
    <cellStyle name="Процентный 2 2 2 2 3 2" xfId="5102"/>
    <cellStyle name="Процентный 2 2 2 2 4" xfId="1554"/>
    <cellStyle name="Процентный 2 2 2 2 4 2" xfId="5398"/>
    <cellStyle name="Процентный 2 2 2 2 5" xfId="1847"/>
    <cellStyle name="Процентный 2 2 2 2 5 2" xfId="5694"/>
    <cellStyle name="Процентный 2 2 2 2 6" xfId="2140"/>
    <cellStyle name="Процентный 2 2 2 2 6 2" xfId="5990"/>
    <cellStyle name="Процентный 2 2 2 2 7" xfId="2435"/>
    <cellStyle name="Процентный 2 2 2 2 7 2" xfId="6286"/>
    <cellStyle name="Процентный 2 2 2 2 8" xfId="2731"/>
    <cellStyle name="Процентный 2 2 2 2 8 2" xfId="6582"/>
    <cellStyle name="Процентный 2 2 2 2 9" xfId="3027"/>
    <cellStyle name="Процентный 2 2 2 2 9 2" xfId="6878"/>
    <cellStyle name="Процентный 2 2 2 3" xfId="368"/>
    <cellStyle name="Процентный 2 2 2 3 2" xfId="1012"/>
    <cellStyle name="Процентный 2 2 2 3 3" xfId="8413"/>
    <cellStyle name="Процентный 2 2 2 3 4" xfId="4658"/>
    <cellStyle name="Процентный 2 2 2 4" xfId="1013"/>
    <cellStyle name="Процентный 2 2 2 4 2" xfId="8737"/>
    <cellStyle name="Процентный 2 2 2 4 3" xfId="4954"/>
    <cellStyle name="Процентный 2 2 2 5" xfId="1410"/>
    <cellStyle name="Процентный 2 2 2 5 2" xfId="5250"/>
    <cellStyle name="Процентный 2 2 2 6" xfId="1700"/>
    <cellStyle name="Процентный 2 2 2 6 2" xfId="5546"/>
    <cellStyle name="Процентный 2 2 2 7" xfId="1993"/>
    <cellStyle name="Процентный 2 2 2 7 2" xfId="5842"/>
    <cellStyle name="Процентный 2 2 2 8" xfId="2287"/>
    <cellStyle name="Процентный 2 2 2 8 2" xfId="6138"/>
    <cellStyle name="Процентный 2 2 2 9" xfId="2583"/>
    <cellStyle name="Процентный 2 2 2 9 2" xfId="6434"/>
    <cellStyle name="Процентный 2 2 3" xfId="218"/>
    <cellStyle name="Процентный 2 2 3 10" xfId="2929"/>
    <cellStyle name="Процентный 2 2 3 10 2" xfId="6780"/>
    <cellStyle name="Процентный 2 2 3 11" xfId="3225"/>
    <cellStyle name="Процентный 2 2 3 11 2" xfId="7076"/>
    <cellStyle name="Процентный 2 2 3 12" xfId="3521"/>
    <cellStyle name="Процентный 2 2 3 12 2" xfId="7372"/>
    <cellStyle name="Процентный 2 2 3 13" xfId="3817"/>
    <cellStyle name="Процентный 2 2 3 13 2" xfId="7668"/>
    <cellStyle name="Процентный 2 2 3 14" xfId="4113"/>
    <cellStyle name="Процентный 2 2 3 14 2" xfId="7964"/>
    <cellStyle name="Процентный 2 2 3 15" xfId="8263"/>
    <cellStyle name="Процентный 2 2 3 16" xfId="4411"/>
    <cellStyle name="Процентный 2 2 3 2" xfId="1014"/>
    <cellStyle name="Процентный 2 2 3 2 10" xfId="3373"/>
    <cellStyle name="Процентный 2 2 3 2 10 2" xfId="7224"/>
    <cellStyle name="Процентный 2 2 3 2 11" xfId="3669"/>
    <cellStyle name="Процентный 2 2 3 2 11 2" xfId="7520"/>
    <cellStyle name="Процентный 2 2 3 2 12" xfId="3965"/>
    <cellStyle name="Процентный 2 2 3 2 12 2" xfId="7816"/>
    <cellStyle name="Процентный 2 2 3 2 13" xfId="4261"/>
    <cellStyle name="Процентный 2 2 3 2 13 2" xfId="8112"/>
    <cellStyle name="Процентный 2 2 3 2 14" xfId="8738"/>
    <cellStyle name="Процентный 2 2 3 2 15" xfId="4560"/>
    <cellStyle name="Процентный 2 2 3 2 2" xfId="1127"/>
    <cellStyle name="Процентный 2 2 3 2 2 2" xfId="4856"/>
    <cellStyle name="Процентный 2 2 3 2 3" xfId="1316"/>
    <cellStyle name="Процентный 2 2 3 2 3 2" xfId="5152"/>
    <cellStyle name="Процентный 2 2 3 2 4" xfId="1603"/>
    <cellStyle name="Процентный 2 2 3 2 4 2" xfId="5448"/>
    <cellStyle name="Процентный 2 2 3 2 5" xfId="1896"/>
    <cellStyle name="Процентный 2 2 3 2 5 2" xfId="5744"/>
    <cellStyle name="Процентный 2 2 3 2 6" xfId="2190"/>
    <cellStyle name="Процентный 2 2 3 2 6 2" xfId="6040"/>
    <cellStyle name="Процентный 2 2 3 2 7" xfId="2485"/>
    <cellStyle name="Процентный 2 2 3 2 7 2" xfId="6336"/>
    <cellStyle name="Процентный 2 2 3 2 8" xfId="2781"/>
    <cellStyle name="Процентный 2 2 3 2 8 2" xfId="6632"/>
    <cellStyle name="Процентный 2 2 3 2 9" xfId="3077"/>
    <cellStyle name="Процентный 2 2 3 2 9 2" xfId="6928"/>
    <cellStyle name="Процентный 2 2 3 3" xfId="1080"/>
    <cellStyle name="Процентный 2 2 3 3 2" xfId="4708"/>
    <cellStyle name="Процентный 2 2 3 4" xfId="1174"/>
    <cellStyle name="Процентный 2 2 3 4 2" xfId="5004"/>
    <cellStyle name="Процентный 2 2 3 5" xfId="1458"/>
    <cellStyle name="Процентный 2 2 3 5 2" xfId="5300"/>
    <cellStyle name="Процентный 2 2 3 6" xfId="1749"/>
    <cellStyle name="Процентный 2 2 3 6 2" xfId="5596"/>
    <cellStyle name="Процентный 2 2 3 7" xfId="2042"/>
    <cellStyle name="Процентный 2 2 3 7 2" xfId="5892"/>
    <cellStyle name="Процентный 2 2 3 8" xfId="2337"/>
    <cellStyle name="Процентный 2 2 3 8 2" xfId="6188"/>
    <cellStyle name="Процентный 2 2 3 9" xfId="2633"/>
    <cellStyle name="Процентный 2 2 3 9 2" xfId="6484"/>
    <cellStyle name="Процентный 2 2 4" xfId="318"/>
    <cellStyle name="Процентный 2 2 4 10" xfId="3275"/>
    <cellStyle name="Процентный 2 2 4 10 2" xfId="7126"/>
    <cellStyle name="Процентный 2 2 4 11" xfId="3571"/>
    <cellStyle name="Процентный 2 2 4 11 2" xfId="7422"/>
    <cellStyle name="Процентный 2 2 4 12" xfId="3867"/>
    <cellStyle name="Процентный 2 2 4 12 2" xfId="7718"/>
    <cellStyle name="Процентный 2 2 4 13" xfId="4163"/>
    <cellStyle name="Процентный 2 2 4 13 2" xfId="8014"/>
    <cellStyle name="Процентный 2 2 4 14" xfId="8363"/>
    <cellStyle name="Процентный 2 2 4 15" xfId="4462"/>
    <cellStyle name="Процентный 2 2 4 2" xfId="1015"/>
    <cellStyle name="Процентный 2 2 4 2 2" xfId="8739"/>
    <cellStyle name="Процентный 2 2 4 2 3" xfId="4758"/>
    <cellStyle name="Процентный 2 2 4 3" xfId="1222"/>
    <cellStyle name="Процентный 2 2 4 3 2" xfId="5054"/>
    <cellStyle name="Процентный 2 2 4 4" xfId="1507"/>
    <cellStyle name="Процентный 2 2 4 4 2" xfId="5350"/>
    <cellStyle name="Процентный 2 2 4 5" xfId="1799"/>
    <cellStyle name="Процентный 2 2 4 5 2" xfId="5646"/>
    <cellStyle name="Процентный 2 2 4 6" xfId="2092"/>
    <cellStyle name="Процентный 2 2 4 6 2" xfId="5942"/>
    <cellStyle name="Процентный 2 2 4 7" xfId="2387"/>
    <cellStyle name="Процентный 2 2 4 7 2" xfId="6238"/>
    <cellStyle name="Процентный 2 2 4 8" xfId="2683"/>
    <cellStyle name="Процентный 2 2 4 8 2" xfId="6534"/>
    <cellStyle name="Процентный 2 2 4 9" xfId="2979"/>
    <cellStyle name="Процентный 2 2 4 9 2" xfId="6830"/>
    <cellStyle name="Процентный 2 2 5" xfId="1016"/>
    <cellStyle name="Процентный 2 2 5 2" xfId="8740"/>
    <cellStyle name="Процентный 2 2 5 3" xfId="4610"/>
    <cellStyle name="Процентный 2 2 6" xfId="1017"/>
    <cellStyle name="Процентный 2 2 6 2" xfId="8741"/>
    <cellStyle name="Процентный 2 2 6 3" xfId="4906"/>
    <cellStyle name="Процентный 2 2 7" xfId="1363"/>
    <cellStyle name="Процентный 2 2 7 2" xfId="5202"/>
    <cellStyle name="Процентный 2 2 8" xfId="1652"/>
    <cellStyle name="Процентный 2 2 8 2" xfId="5498"/>
    <cellStyle name="Процентный 2 2 9" xfId="1945"/>
    <cellStyle name="Процентный 2 2 9 2" xfId="5794"/>
    <cellStyle name="Процентный 2 3" xfId="649"/>
    <cellStyle name="Процентный 2 4" xfId="67"/>
    <cellStyle name="Процентный 2 5" xfId="8860"/>
    <cellStyle name="Процентный 3" xfId="140"/>
    <cellStyle name="Процентный 3 10" xfId="2261"/>
    <cellStyle name="Процентный 3 10 2" xfId="6112"/>
    <cellStyle name="Процентный 3 11" xfId="2557"/>
    <cellStyle name="Процентный 3 11 2" xfId="6408"/>
    <cellStyle name="Процентный 3 12" xfId="2853"/>
    <cellStyle name="Процентный 3 12 2" xfId="6704"/>
    <cellStyle name="Процентный 3 13" xfId="3149"/>
    <cellStyle name="Процентный 3 13 2" xfId="7000"/>
    <cellStyle name="Процентный 3 14" xfId="3445"/>
    <cellStyle name="Процентный 3 14 2" xfId="7296"/>
    <cellStyle name="Процентный 3 15" xfId="3741"/>
    <cellStyle name="Процентный 3 15 2" xfId="7592"/>
    <cellStyle name="Процентный 3 16" xfId="4037"/>
    <cellStyle name="Процентный 3 16 2" xfId="7888"/>
    <cellStyle name="Процентный 3 17" xfId="8184"/>
    <cellStyle name="Процентный 3 18" xfId="4333"/>
    <cellStyle name="Процентный 3 2" xfId="189"/>
    <cellStyle name="Процентный 3 2 10" xfId="2901"/>
    <cellStyle name="Процентный 3 2 10 2" xfId="6752"/>
    <cellStyle name="Процентный 3 2 11" xfId="3197"/>
    <cellStyle name="Процентный 3 2 11 2" xfId="7048"/>
    <cellStyle name="Процентный 3 2 12" xfId="3493"/>
    <cellStyle name="Процентный 3 2 12 2" xfId="7344"/>
    <cellStyle name="Процентный 3 2 13" xfId="3789"/>
    <cellStyle name="Процентный 3 2 13 2" xfId="7640"/>
    <cellStyle name="Процентный 3 2 14" xfId="4085"/>
    <cellStyle name="Процентный 3 2 14 2" xfId="7936"/>
    <cellStyle name="Процентный 3 2 15" xfId="8234"/>
    <cellStyle name="Процентный 3 2 16" xfId="4382"/>
    <cellStyle name="Процентный 3 2 2" xfId="289"/>
    <cellStyle name="Процентный 3 2 2 10" xfId="3345"/>
    <cellStyle name="Процентный 3 2 2 10 2" xfId="7196"/>
    <cellStyle name="Процентный 3 2 2 11" xfId="3641"/>
    <cellStyle name="Процентный 3 2 2 11 2" xfId="7492"/>
    <cellStyle name="Процентный 3 2 2 12" xfId="3937"/>
    <cellStyle name="Процентный 3 2 2 12 2" xfId="7788"/>
    <cellStyle name="Процентный 3 2 2 13" xfId="4233"/>
    <cellStyle name="Процентный 3 2 2 13 2" xfId="8084"/>
    <cellStyle name="Процентный 3 2 2 14" xfId="8335"/>
    <cellStyle name="Процентный 3 2 2 15" xfId="4532"/>
    <cellStyle name="Процентный 3 2 2 2" xfId="1018"/>
    <cellStyle name="Процентный 3 2 2 2 2" xfId="8742"/>
    <cellStyle name="Процентный 3 2 2 2 3" xfId="4828"/>
    <cellStyle name="Процентный 3 2 2 3" xfId="1290"/>
    <cellStyle name="Процентный 3 2 2 3 2" xfId="5124"/>
    <cellStyle name="Процентный 3 2 2 4" xfId="1576"/>
    <cellStyle name="Процентный 3 2 2 4 2" xfId="5420"/>
    <cellStyle name="Процентный 3 2 2 5" xfId="1869"/>
    <cellStyle name="Процентный 3 2 2 5 2" xfId="5716"/>
    <cellStyle name="Процентный 3 2 2 6" xfId="2162"/>
    <cellStyle name="Процентный 3 2 2 6 2" xfId="6012"/>
    <cellStyle name="Процентный 3 2 2 7" xfId="2457"/>
    <cellStyle name="Процентный 3 2 2 7 2" xfId="6308"/>
    <cellStyle name="Процентный 3 2 2 8" xfId="2753"/>
    <cellStyle name="Процентный 3 2 2 8 2" xfId="6604"/>
    <cellStyle name="Процентный 3 2 2 9" xfId="3049"/>
    <cellStyle name="Процентный 3 2 2 9 2" xfId="6900"/>
    <cellStyle name="Процентный 3 2 3" xfId="390"/>
    <cellStyle name="Процентный 3 2 3 2" xfId="1019"/>
    <cellStyle name="Процентный 3 2 3 3" xfId="8435"/>
    <cellStyle name="Процентный 3 2 3 4" xfId="4680"/>
    <cellStyle name="Процентный 3 2 4" xfId="1020"/>
    <cellStyle name="Процентный 3 2 4 2" xfId="8743"/>
    <cellStyle name="Процентный 3 2 4 3" xfId="4976"/>
    <cellStyle name="Процентный 3 2 5" xfId="1432"/>
    <cellStyle name="Процентный 3 2 5 2" xfId="5272"/>
    <cellStyle name="Процентный 3 2 6" xfId="1722"/>
    <cellStyle name="Процентный 3 2 6 2" xfId="5568"/>
    <cellStyle name="Процентный 3 2 7" xfId="2014"/>
    <cellStyle name="Процентный 3 2 7 2" xfId="5864"/>
    <cellStyle name="Процентный 3 2 8" xfId="2309"/>
    <cellStyle name="Процентный 3 2 8 2" xfId="6160"/>
    <cellStyle name="Процентный 3 2 9" xfId="2605"/>
    <cellStyle name="Процентный 3 2 9 2" xfId="6456"/>
    <cellStyle name="Процентный 3 3" xfId="240"/>
    <cellStyle name="Процентный 3 3 10" xfId="2951"/>
    <cellStyle name="Процентный 3 3 10 2" xfId="6802"/>
    <cellStyle name="Процентный 3 3 11" xfId="3247"/>
    <cellStyle name="Процентный 3 3 11 2" xfId="7098"/>
    <cellStyle name="Процентный 3 3 12" xfId="3543"/>
    <cellStyle name="Процентный 3 3 12 2" xfId="7394"/>
    <cellStyle name="Процентный 3 3 13" xfId="3839"/>
    <cellStyle name="Процентный 3 3 13 2" xfId="7690"/>
    <cellStyle name="Процентный 3 3 14" xfId="4135"/>
    <cellStyle name="Процентный 3 3 14 2" xfId="7986"/>
    <cellStyle name="Процентный 3 3 15" xfId="8285"/>
    <cellStyle name="Процентный 3 3 16" xfId="4433"/>
    <cellStyle name="Процентный 3 3 2" xfId="1021"/>
    <cellStyle name="Процентный 3 3 2 10" xfId="3395"/>
    <cellStyle name="Процентный 3 3 2 10 2" xfId="7246"/>
    <cellStyle name="Процентный 3 3 2 11" xfId="3691"/>
    <cellStyle name="Процентный 3 3 2 11 2" xfId="7542"/>
    <cellStyle name="Процентный 3 3 2 12" xfId="3987"/>
    <cellStyle name="Процентный 3 3 2 12 2" xfId="7838"/>
    <cellStyle name="Процентный 3 3 2 13" xfId="4283"/>
    <cellStyle name="Процентный 3 3 2 13 2" xfId="8134"/>
    <cellStyle name="Процентный 3 3 2 14" xfId="8744"/>
    <cellStyle name="Процентный 3 3 2 15" xfId="4582"/>
    <cellStyle name="Процентный 3 3 2 2" xfId="1149"/>
    <cellStyle name="Процентный 3 3 2 2 2" xfId="4878"/>
    <cellStyle name="Процентный 3 3 2 3" xfId="1338"/>
    <cellStyle name="Процентный 3 3 2 3 2" xfId="5174"/>
    <cellStyle name="Процентный 3 3 2 4" xfId="1625"/>
    <cellStyle name="Процентный 3 3 2 4 2" xfId="5470"/>
    <cellStyle name="Процентный 3 3 2 5" xfId="1918"/>
    <cellStyle name="Процентный 3 3 2 5 2" xfId="5766"/>
    <cellStyle name="Процентный 3 3 2 6" xfId="2212"/>
    <cellStyle name="Процентный 3 3 2 6 2" xfId="6062"/>
    <cellStyle name="Процентный 3 3 2 7" xfId="2507"/>
    <cellStyle name="Процентный 3 3 2 7 2" xfId="6358"/>
    <cellStyle name="Процентный 3 3 2 8" xfId="2803"/>
    <cellStyle name="Процентный 3 3 2 8 2" xfId="6654"/>
    <cellStyle name="Процентный 3 3 2 9" xfId="3099"/>
    <cellStyle name="Процентный 3 3 2 9 2" xfId="6950"/>
    <cellStyle name="Процентный 3 3 3" xfId="1102"/>
    <cellStyle name="Процентный 3 3 3 2" xfId="4730"/>
    <cellStyle name="Процентный 3 3 4" xfId="1196"/>
    <cellStyle name="Процентный 3 3 4 2" xfId="5026"/>
    <cellStyle name="Процентный 3 3 5" xfId="1480"/>
    <cellStyle name="Процентный 3 3 5 2" xfId="5322"/>
    <cellStyle name="Процентный 3 3 6" xfId="1771"/>
    <cellStyle name="Процентный 3 3 6 2" xfId="5618"/>
    <cellStyle name="Процентный 3 3 7" xfId="2064"/>
    <cellStyle name="Процентный 3 3 7 2" xfId="5914"/>
    <cellStyle name="Процентный 3 3 8" xfId="2359"/>
    <cellStyle name="Процентный 3 3 8 2" xfId="6210"/>
    <cellStyle name="Процентный 3 3 9" xfId="2655"/>
    <cellStyle name="Процентный 3 3 9 2" xfId="6506"/>
    <cellStyle name="Процентный 3 4" xfId="340"/>
    <cellStyle name="Процентный 3 4 10" xfId="3297"/>
    <cellStyle name="Процентный 3 4 10 2" xfId="7148"/>
    <cellStyle name="Процентный 3 4 11" xfId="3593"/>
    <cellStyle name="Процентный 3 4 11 2" xfId="7444"/>
    <cellStyle name="Процентный 3 4 12" xfId="3889"/>
    <cellStyle name="Процентный 3 4 12 2" xfId="7740"/>
    <cellStyle name="Процентный 3 4 13" xfId="4185"/>
    <cellStyle name="Процентный 3 4 13 2" xfId="8036"/>
    <cellStyle name="Процентный 3 4 14" xfId="8385"/>
    <cellStyle name="Процентный 3 4 15" xfId="4484"/>
    <cellStyle name="Процентный 3 4 2" xfId="1022"/>
    <cellStyle name="Процентный 3 4 2 2" xfId="8745"/>
    <cellStyle name="Процентный 3 4 2 3" xfId="4780"/>
    <cellStyle name="Процентный 3 4 3" xfId="1243"/>
    <cellStyle name="Процентный 3 4 3 2" xfId="5076"/>
    <cellStyle name="Процентный 3 4 4" xfId="1529"/>
    <cellStyle name="Процентный 3 4 4 2" xfId="5372"/>
    <cellStyle name="Процентный 3 4 5" xfId="1821"/>
    <cellStyle name="Процентный 3 4 5 2" xfId="5668"/>
    <cellStyle name="Процентный 3 4 6" xfId="2114"/>
    <cellStyle name="Процентный 3 4 6 2" xfId="5964"/>
    <cellStyle name="Процентный 3 4 7" xfId="2409"/>
    <cellStyle name="Процентный 3 4 7 2" xfId="6260"/>
    <cellStyle name="Процентный 3 4 8" xfId="2705"/>
    <cellStyle name="Процентный 3 4 8 2" xfId="6556"/>
    <cellStyle name="Процентный 3 4 9" xfId="3001"/>
    <cellStyle name="Процентный 3 4 9 2" xfId="6852"/>
    <cellStyle name="Процентный 3 5" xfId="1023"/>
    <cellStyle name="Процентный 3 5 2" xfId="8746"/>
    <cellStyle name="Процентный 3 5 3" xfId="4632"/>
    <cellStyle name="Процентный 3 6" xfId="1024"/>
    <cellStyle name="Процентный 3 6 2" xfId="8747"/>
    <cellStyle name="Процентный 3 6 3" xfId="4928"/>
    <cellStyle name="Процентный 3 7" xfId="1385"/>
    <cellStyle name="Процентный 3 7 2" xfId="5224"/>
    <cellStyle name="Процентный 3 8" xfId="1674"/>
    <cellStyle name="Процентный 3 8 2" xfId="5520"/>
    <cellStyle name="Процентный 3 9" xfId="1967"/>
    <cellStyle name="Процентный 3 9 2" xfId="5816"/>
    <cellStyle name="Процентный 4" xfId="69"/>
    <cellStyle name="Процентный 5" xfId="193"/>
    <cellStyle name="Процентный 6" xfId="1053"/>
    <cellStyle name="Процентный 7" xfId="62"/>
    <cellStyle name="Процентный 8" xfId="8808"/>
    <cellStyle name="Финансовый" xfId="26"/>
    <cellStyle name="Финансовый 10" xfId="573"/>
    <cellStyle name="Финансовый 10 2" xfId="681"/>
    <cellStyle name="Финансовый 11" xfId="638"/>
    <cellStyle name="Финансовый 12" xfId="664"/>
    <cellStyle name="Финансовый 13" xfId="1052"/>
    <cellStyle name="Финансовый 14" xfId="8756"/>
    <cellStyle name="Финансовый 15" xfId="141"/>
    <cellStyle name="Финансовый 16" xfId="8853"/>
    <cellStyle name="Финансовый 17" xfId="8861"/>
    <cellStyle name="Финансовый 2" xfId="2"/>
    <cellStyle name="Финансовый 2 10" xfId="396"/>
    <cellStyle name="Финансовый 2 10 2" xfId="8440"/>
    <cellStyle name="Финансовый 2 10 3" xfId="6089"/>
    <cellStyle name="Финансовый 2 11" xfId="2534"/>
    <cellStyle name="Финансовый 2 11 2" xfId="6385"/>
    <cellStyle name="Финансовый 2 12" xfId="2830"/>
    <cellStyle name="Финансовый 2 12 2" xfId="6681"/>
    <cellStyle name="Финансовый 2 13" xfId="3126"/>
    <cellStyle name="Финансовый 2 13 2" xfId="6977"/>
    <cellStyle name="Финансовый 2 14" xfId="3422"/>
    <cellStyle name="Финансовый 2 14 2" xfId="7273"/>
    <cellStyle name="Финансовый 2 15" xfId="3718"/>
    <cellStyle name="Финансовый 2 15 2" xfId="7569"/>
    <cellStyle name="Финансовый 2 16" xfId="4014"/>
    <cellStyle name="Финансовый 2 16 2" xfId="7865"/>
    <cellStyle name="Финансовый 2 17" xfId="8161"/>
    <cellStyle name="Финансовый 2 18" xfId="4310"/>
    <cellStyle name="Финансовый 2 19" xfId="117"/>
    <cellStyle name="Финансовый 2 2" xfId="4"/>
    <cellStyle name="Финансовый 2 2 10" xfId="2878"/>
    <cellStyle name="Финансовый 2 2 10 2" xfId="6729"/>
    <cellStyle name="Финансовый 2 2 11" xfId="3174"/>
    <cellStyle name="Финансовый 2 2 11 2" xfId="7025"/>
    <cellStyle name="Финансовый 2 2 12" xfId="3470"/>
    <cellStyle name="Финансовый 2 2 12 2" xfId="7321"/>
    <cellStyle name="Финансовый 2 2 13" xfId="3766"/>
    <cellStyle name="Финансовый 2 2 13 2" xfId="7617"/>
    <cellStyle name="Финансовый 2 2 14" xfId="4062"/>
    <cellStyle name="Финансовый 2 2 14 2" xfId="7913"/>
    <cellStyle name="Финансовый 2 2 15" xfId="8211"/>
    <cellStyle name="Финансовый 2 2 16" xfId="4359"/>
    <cellStyle name="Финансовый 2 2 17" xfId="8787"/>
    <cellStyle name="Финансовый 2 2 2" xfId="10"/>
    <cellStyle name="Финансовый 2 2 2 10" xfId="3322"/>
    <cellStyle name="Финансовый 2 2 2 10 2" xfId="7173"/>
    <cellStyle name="Финансовый 2 2 2 11" xfId="3618"/>
    <cellStyle name="Финансовый 2 2 2 11 2" xfId="7469"/>
    <cellStyle name="Финансовый 2 2 2 12" xfId="3914"/>
    <cellStyle name="Финансовый 2 2 2 12 2" xfId="7765"/>
    <cellStyle name="Финансовый 2 2 2 13" xfId="4210"/>
    <cellStyle name="Финансовый 2 2 2 13 2" xfId="8061"/>
    <cellStyle name="Финансовый 2 2 2 14" xfId="8312"/>
    <cellStyle name="Финансовый 2 2 2 15" xfId="4509"/>
    <cellStyle name="Финансовый 2 2 2 2" xfId="19"/>
    <cellStyle name="Финансовый 2 2 2 2 2" xfId="704"/>
    <cellStyle name="Финансовый 2 2 2 2 3" xfId="8475"/>
    <cellStyle name="Финансовый 2 2 2 2 4" xfId="4805"/>
    <cellStyle name="Финансовый 2 2 2 3" xfId="698"/>
    <cellStyle name="Финансовый 2 2 2 3 2" xfId="8488"/>
    <cellStyle name="Финансовый 2 2 2 3 3" xfId="5101"/>
    <cellStyle name="Финансовый 2 2 2 4" xfId="650"/>
    <cellStyle name="Финансовый 2 2 2 4 2" xfId="8471"/>
    <cellStyle name="Финансовый 2 2 2 4 3" xfId="5397"/>
    <cellStyle name="Финансовый 2 2 2 5" xfId="1846"/>
    <cellStyle name="Финансовый 2 2 2 5 2" xfId="5693"/>
    <cellStyle name="Финансовый 2 2 2 6" xfId="2139"/>
    <cellStyle name="Финансовый 2 2 2 6 2" xfId="5989"/>
    <cellStyle name="Финансовый 2 2 2 7" xfId="2434"/>
    <cellStyle name="Финансовый 2 2 2 7 2" xfId="6285"/>
    <cellStyle name="Финансовый 2 2 2 8" xfId="2730"/>
    <cellStyle name="Финансовый 2 2 2 8 2" xfId="6581"/>
    <cellStyle name="Финансовый 2 2 2 9" xfId="3026"/>
    <cellStyle name="Финансовый 2 2 2 9 2" xfId="6877"/>
    <cellStyle name="Финансовый 2 2 3" xfId="367"/>
    <cellStyle name="Финансовый 2 2 3 2" xfId="694"/>
    <cellStyle name="Финансовый 2 2 3 3" xfId="647"/>
    <cellStyle name="Финансовый 2 2 3 4" xfId="8412"/>
    <cellStyle name="Финансовый 2 2 3 5" xfId="4657"/>
    <cellStyle name="Финансовый 2 2 4" xfId="617"/>
    <cellStyle name="Финансовый 2 2 4 2" xfId="8456"/>
    <cellStyle name="Финансовый 2 2 4 3" xfId="4953"/>
    <cellStyle name="Финансовый 2 2 5" xfId="1049"/>
    <cellStyle name="Финансовый 2 2 5 2" xfId="8755"/>
    <cellStyle name="Финансовый 2 2 5 3" xfId="5249"/>
    <cellStyle name="Финансовый 2 2 6" xfId="1699"/>
    <cellStyle name="Финансовый 2 2 6 2" xfId="5545"/>
    <cellStyle name="Финансовый 2 2 7" xfId="1992"/>
    <cellStyle name="Финансовый 2 2 7 2" xfId="5841"/>
    <cellStyle name="Финансовый 2 2 8" xfId="2286"/>
    <cellStyle name="Финансовый 2 2 8 2" xfId="6137"/>
    <cellStyle name="Финансовый 2 2 9" xfId="2582"/>
    <cellStyle name="Финансовый 2 2 9 2" xfId="6433"/>
    <cellStyle name="Финансовый 2 3" xfId="8"/>
    <cellStyle name="Финансовый 2 3 10" xfId="2928"/>
    <cellStyle name="Финансовый 2 3 10 2" xfId="6779"/>
    <cellStyle name="Финансовый 2 3 11" xfId="3224"/>
    <cellStyle name="Финансовый 2 3 11 2" xfId="7075"/>
    <cellStyle name="Финансовый 2 3 12" xfId="3520"/>
    <cellStyle name="Финансовый 2 3 12 2" xfId="7371"/>
    <cellStyle name="Финансовый 2 3 13" xfId="3816"/>
    <cellStyle name="Финансовый 2 3 13 2" xfId="7667"/>
    <cellStyle name="Финансовый 2 3 14" xfId="4112"/>
    <cellStyle name="Финансовый 2 3 14 2" xfId="7963"/>
    <cellStyle name="Финансовый 2 3 15" xfId="8262"/>
    <cellStyle name="Финансовый 2 3 16" xfId="4410"/>
    <cellStyle name="Финансовый 2 3 2" xfId="21"/>
    <cellStyle name="Финансовый 2 3 2 10" xfId="3372"/>
    <cellStyle name="Финансовый 2 3 2 10 2" xfId="7223"/>
    <cellStyle name="Финансовый 2 3 2 11" xfId="3668"/>
    <cellStyle name="Финансовый 2 3 2 11 2" xfId="7519"/>
    <cellStyle name="Финансовый 2 3 2 12" xfId="3964"/>
    <cellStyle name="Финансовый 2 3 2 12 2" xfId="7815"/>
    <cellStyle name="Финансовый 2 3 2 13" xfId="4260"/>
    <cellStyle name="Финансовый 2 3 2 13 2" xfId="8111"/>
    <cellStyle name="Финансовый 2 3 2 14" xfId="8470"/>
    <cellStyle name="Финансовый 2 3 2 15" xfId="4559"/>
    <cellStyle name="Финансовый 2 3 2 16" xfId="8761"/>
    <cellStyle name="Финансовый 2 3 2 2" xfId="696"/>
    <cellStyle name="Финансовый 2 3 2 2 2" xfId="721"/>
    <cellStyle name="Финансовый 2 3 2 2 2 2" xfId="1040"/>
    <cellStyle name="Финансовый 2 3 2 2 2 2 2" xfId="8792"/>
    <cellStyle name="Финансовый 2 3 2 2 2 3" xfId="8770"/>
    <cellStyle name="Финансовый 2 3 2 2 3" xfId="713"/>
    <cellStyle name="Финансовый 2 3 2 2 3 2" xfId="8785"/>
    <cellStyle name="Финансовый 2 3 2 2 4" xfId="1033"/>
    <cellStyle name="Финансовый 2 3 2 2 5" xfId="8487"/>
    <cellStyle name="Финансовый 2 3 2 2 6" xfId="4855"/>
    <cellStyle name="Финансовый 2 3 2 2 7" xfId="8764"/>
    <cellStyle name="Финансовый 2 3 2 3" xfId="718"/>
    <cellStyle name="Финансовый 2 3 2 3 2" xfId="1037"/>
    <cellStyle name="Финансовый 2 3 2 3 2 2" xfId="8789"/>
    <cellStyle name="Финансовый 2 3 2 3 3" xfId="8495"/>
    <cellStyle name="Финансовый 2 3 2 3 4" xfId="5151"/>
    <cellStyle name="Финансовый 2 3 2 3 5" xfId="8767"/>
    <cellStyle name="Финансовый 2 3 2 4" xfId="710"/>
    <cellStyle name="Финансовый 2 3 2 4 2" xfId="8491"/>
    <cellStyle name="Финансовый 2 3 2 4 3" xfId="5447"/>
    <cellStyle name="Финансовый 2 3 2 4 4" xfId="8782"/>
    <cellStyle name="Финансовый 2 3 2 5" xfId="1030"/>
    <cellStyle name="Финансовый 2 3 2 5 2" xfId="8750"/>
    <cellStyle name="Финансовый 2 3 2 5 3" xfId="5743"/>
    <cellStyle name="Финансовый 2 3 2 6" xfId="2189"/>
    <cellStyle name="Финансовый 2 3 2 6 2" xfId="6039"/>
    <cellStyle name="Финансовый 2 3 2 7" xfId="2484"/>
    <cellStyle name="Финансовый 2 3 2 7 2" xfId="6335"/>
    <cellStyle name="Финансовый 2 3 2 8" xfId="2780"/>
    <cellStyle name="Финансовый 2 3 2 8 2" xfId="6631"/>
    <cellStyle name="Финансовый 2 3 2 9" xfId="3076"/>
    <cellStyle name="Финансовый 2 3 2 9 2" xfId="6927"/>
    <cellStyle name="Финансовый 2 3 3" xfId="682"/>
    <cellStyle name="Финансовый 2 3 3 2" xfId="8483"/>
    <cellStyle name="Финансовый 2 3 3 3" xfId="4707"/>
    <cellStyle name="Финансовый 2 3 4" xfId="574"/>
    <cellStyle name="Финансовый 2 3 4 2" xfId="8452"/>
    <cellStyle name="Финансовый 2 3 4 3" xfId="5003"/>
    <cellStyle name="Финансовый 2 3 5" xfId="1457"/>
    <cellStyle name="Финансовый 2 3 5 2" xfId="5299"/>
    <cellStyle name="Финансовый 2 3 6" xfId="1748"/>
    <cellStyle name="Финансовый 2 3 6 2" xfId="5595"/>
    <cellStyle name="Финансовый 2 3 7" xfId="2041"/>
    <cellStyle name="Финансовый 2 3 7 2" xfId="5891"/>
    <cellStyle name="Финансовый 2 3 8" xfId="2336"/>
    <cellStyle name="Финансовый 2 3 8 2" xfId="6187"/>
    <cellStyle name="Финансовый 2 3 9" xfId="2632"/>
    <cellStyle name="Финансовый 2 3 9 2" xfId="6483"/>
    <cellStyle name="Финансовый 2 4" xfId="317"/>
    <cellStyle name="Финансовый 2 4 10" xfId="3274"/>
    <cellStyle name="Финансовый 2 4 10 2" xfId="7125"/>
    <cellStyle name="Финансовый 2 4 11" xfId="3570"/>
    <cellStyle name="Финансовый 2 4 11 2" xfId="7421"/>
    <cellStyle name="Финансовый 2 4 12" xfId="3866"/>
    <cellStyle name="Финансовый 2 4 12 2" xfId="7717"/>
    <cellStyle name="Финансовый 2 4 13" xfId="4162"/>
    <cellStyle name="Финансовый 2 4 13 2" xfId="8013"/>
    <cellStyle name="Финансовый 2 4 14" xfId="8362"/>
    <cellStyle name="Финансовый 2 4 15" xfId="4461"/>
    <cellStyle name="Финансовый 2 4 2" xfId="639"/>
    <cellStyle name="Финансовый 2 4 2 2" xfId="8464"/>
    <cellStyle name="Финансовый 2 4 2 3" xfId="4757"/>
    <cellStyle name="Финансовый 2 4 3" xfId="1221"/>
    <cellStyle name="Финансовый 2 4 3 2" xfId="5053"/>
    <cellStyle name="Финансовый 2 4 4" xfId="1506"/>
    <cellStyle name="Финансовый 2 4 4 2" xfId="5349"/>
    <cellStyle name="Финансовый 2 4 5" xfId="1798"/>
    <cellStyle name="Финансовый 2 4 5 2" xfId="5645"/>
    <cellStyle name="Финансовый 2 4 6" xfId="2091"/>
    <cellStyle name="Финансовый 2 4 6 2" xfId="5941"/>
    <cellStyle name="Финансовый 2 4 7" xfId="2386"/>
    <cellStyle name="Финансовый 2 4 7 2" xfId="6237"/>
    <cellStyle name="Финансовый 2 4 8" xfId="2682"/>
    <cellStyle name="Финансовый 2 4 8 2" xfId="6533"/>
    <cellStyle name="Финансовый 2 4 9" xfId="2978"/>
    <cellStyle name="Финансовый 2 4 9 2" xfId="6829"/>
    <cellStyle name="Финансовый 2 5" xfId="648"/>
    <cellStyle name="Финансовый 2 5 2" xfId="695"/>
    <cellStyle name="Финансовый 2 5 3" xfId="8469"/>
    <cellStyle name="Финансовый 2 5 4" xfId="4609"/>
    <cellStyle name="Финансовый 2 6" xfId="642"/>
    <cellStyle name="Финансовый 2 6 2" xfId="689"/>
    <cellStyle name="Финансовый 2 6 3" xfId="8467"/>
    <cellStyle name="Финансовый 2 6 4" xfId="4905"/>
    <cellStyle name="Финансовый 2 7" xfId="655"/>
    <cellStyle name="Финансовый 2 7 2" xfId="700"/>
    <cellStyle name="Финансовый 2 7 3" xfId="8473"/>
    <cellStyle name="Финансовый 2 7 4" xfId="5201"/>
    <cellStyle name="Финансовый 2 8" xfId="666"/>
    <cellStyle name="Финансовый 2 8 2" xfId="8478"/>
    <cellStyle name="Финансовый 2 8 3" xfId="5497"/>
    <cellStyle name="Финансовый 2 9" xfId="716"/>
    <cellStyle name="Финансовый 2 9 2" xfId="8493"/>
    <cellStyle name="Финансовый 2 9 3" xfId="5793"/>
    <cellStyle name="Финансовый 3" xfId="5"/>
    <cellStyle name="Финансовый 3 10" xfId="2260"/>
    <cellStyle name="Финансовый 3 10 2" xfId="6111"/>
    <cellStyle name="Финансовый 3 11" xfId="2556"/>
    <cellStyle name="Финансовый 3 11 2" xfId="6407"/>
    <cellStyle name="Финансовый 3 12" xfId="2852"/>
    <cellStyle name="Финансовый 3 12 2" xfId="6703"/>
    <cellStyle name="Финансовый 3 13" xfId="3148"/>
    <cellStyle name="Финансовый 3 13 2" xfId="6999"/>
    <cellStyle name="Финансовый 3 14" xfId="3444"/>
    <cellStyle name="Финансовый 3 14 2" xfId="7295"/>
    <cellStyle name="Финансовый 3 15" xfId="3740"/>
    <cellStyle name="Финансовый 3 15 2" xfId="7591"/>
    <cellStyle name="Финансовый 3 16" xfId="4036"/>
    <cellStyle name="Финансовый 3 16 2" xfId="7887"/>
    <cellStyle name="Финансовый 3 17" xfId="8183"/>
    <cellStyle name="Финансовый 3 18" xfId="4332"/>
    <cellStyle name="Финансовый 3 19" xfId="8780"/>
    <cellStyle name="Финансовый 3 2" xfId="188"/>
    <cellStyle name="Финансовый 3 2 10" xfId="2900"/>
    <cellStyle name="Финансовый 3 2 10 2" xfId="6751"/>
    <cellStyle name="Финансовый 3 2 11" xfId="3196"/>
    <cellStyle name="Финансовый 3 2 11 2" xfId="7047"/>
    <cellStyle name="Финансовый 3 2 12" xfId="3492"/>
    <cellStyle name="Финансовый 3 2 12 2" xfId="7343"/>
    <cellStyle name="Финансовый 3 2 13" xfId="3788"/>
    <cellStyle name="Финансовый 3 2 13 2" xfId="7639"/>
    <cellStyle name="Финансовый 3 2 14" xfId="4084"/>
    <cellStyle name="Финансовый 3 2 14 2" xfId="7935"/>
    <cellStyle name="Финансовый 3 2 15" xfId="8233"/>
    <cellStyle name="Финансовый 3 2 16" xfId="4381"/>
    <cellStyle name="Финансовый 3 2 2" xfId="288"/>
    <cellStyle name="Финансовый 3 2 2 10" xfId="3344"/>
    <cellStyle name="Финансовый 3 2 2 10 2" xfId="7195"/>
    <cellStyle name="Финансовый 3 2 2 11" xfId="3640"/>
    <cellStyle name="Финансовый 3 2 2 11 2" xfId="7491"/>
    <cellStyle name="Финансовый 3 2 2 12" xfId="3936"/>
    <cellStyle name="Финансовый 3 2 2 12 2" xfId="7787"/>
    <cellStyle name="Финансовый 3 2 2 13" xfId="4232"/>
    <cellStyle name="Финансовый 3 2 2 13 2" xfId="8083"/>
    <cellStyle name="Финансовый 3 2 2 14" xfId="8334"/>
    <cellStyle name="Финансовый 3 2 2 15" xfId="4531"/>
    <cellStyle name="Финансовый 3 2 2 2" xfId="692"/>
    <cellStyle name="Финансовый 3 2 2 2 2" xfId="8486"/>
    <cellStyle name="Финансовый 3 2 2 2 3" xfId="4827"/>
    <cellStyle name="Финансовый 3 2 2 3" xfId="1289"/>
    <cellStyle name="Финансовый 3 2 2 3 2" xfId="5123"/>
    <cellStyle name="Финансовый 3 2 2 4" xfId="1575"/>
    <cellStyle name="Финансовый 3 2 2 4 2" xfId="5419"/>
    <cellStyle name="Финансовый 3 2 2 5" xfId="1868"/>
    <cellStyle name="Финансовый 3 2 2 5 2" xfId="5715"/>
    <cellStyle name="Финансовый 3 2 2 6" xfId="2161"/>
    <cellStyle name="Финансовый 3 2 2 6 2" xfId="6011"/>
    <cellStyle name="Финансовый 3 2 2 7" xfId="2456"/>
    <cellStyle name="Финансовый 3 2 2 7 2" xfId="6307"/>
    <cellStyle name="Финансовый 3 2 2 8" xfId="2752"/>
    <cellStyle name="Финансовый 3 2 2 8 2" xfId="6603"/>
    <cellStyle name="Финансовый 3 2 2 9" xfId="3048"/>
    <cellStyle name="Финансовый 3 2 2 9 2" xfId="6899"/>
    <cellStyle name="Финансовый 3 2 3" xfId="389"/>
    <cellStyle name="Финансовый 3 2 3 2" xfId="1025"/>
    <cellStyle name="Финансовый 3 2 3 3" xfId="8434"/>
    <cellStyle name="Финансовый 3 2 3 4" xfId="4679"/>
    <cellStyle name="Финансовый 3 2 4" xfId="645"/>
    <cellStyle name="Финансовый 3 2 4 2" xfId="8468"/>
    <cellStyle name="Финансовый 3 2 4 3" xfId="4975"/>
    <cellStyle name="Финансовый 3 2 5" xfId="1431"/>
    <cellStyle name="Финансовый 3 2 5 2" xfId="5271"/>
    <cellStyle name="Финансовый 3 2 6" xfId="1721"/>
    <cellStyle name="Финансовый 3 2 6 2" xfId="5567"/>
    <cellStyle name="Финансовый 3 2 7" xfId="2013"/>
    <cellStyle name="Финансовый 3 2 7 2" xfId="5863"/>
    <cellStyle name="Финансовый 3 2 8" xfId="2308"/>
    <cellStyle name="Финансовый 3 2 8 2" xfId="6159"/>
    <cellStyle name="Финансовый 3 2 9" xfId="2604"/>
    <cellStyle name="Финансовый 3 2 9 2" xfId="6455"/>
    <cellStyle name="Финансовый 3 20" xfId="8851"/>
    <cellStyle name="Финансовый 3 3" xfId="239"/>
    <cellStyle name="Финансовый 3 3 10" xfId="2950"/>
    <cellStyle name="Финансовый 3 3 10 2" xfId="6801"/>
    <cellStyle name="Финансовый 3 3 11" xfId="3246"/>
    <cellStyle name="Финансовый 3 3 11 2" xfId="7097"/>
    <cellStyle name="Финансовый 3 3 12" xfId="3542"/>
    <cellStyle name="Финансовый 3 3 12 2" xfId="7393"/>
    <cellStyle name="Финансовый 3 3 13" xfId="3838"/>
    <cellStyle name="Финансовый 3 3 13 2" xfId="7689"/>
    <cellStyle name="Финансовый 3 3 14" xfId="4134"/>
    <cellStyle name="Финансовый 3 3 14 2" xfId="7985"/>
    <cellStyle name="Финансовый 3 3 15" xfId="8284"/>
    <cellStyle name="Финансовый 3 3 16" xfId="4432"/>
    <cellStyle name="Финансовый 3 3 2" xfId="641"/>
    <cellStyle name="Финансовый 3 3 2 10" xfId="3394"/>
    <cellStyle name="Финансовый 3 3 2 10 2" xfId="7245"/>
    <cellStyle name="Финансовый 3 3 2 11" xfId="3690"/>
    <cellStyle name="Финансовый 3 3 2 11 2" xfId="7541"/>
    <cellStyle name="Финансовый 3 3 2 12" xfId="3986"/>
    <cellStyle name="Финансовый 3 3 2 12 2" xfId="7837"/>
    <cellStyle name="Финансовый 3 3 2 13" xfId="4282"/>
    <cellStyle name="Финансовый 3 3 2 13 2" xfId="8133"/>
    <cellStyle name="Финансовый 3 3 2 14" xfId="8466"/>
    <cellStyle name="Финансовый 3 3 2 15" xfId="4581"/>
    <cellStyle name="Финансовый 3 3 2 2" xfId="1148"/>
    <cellStyle name="Финансовый 3 3 2 2 2" xfId="4877"/>
    <cellStyle name="Финансовый 3 3 2 3" xfId="1337"/>
    <cellStyle name="Финансовый 3 3 2 3 2" xfId="5173"/>
    <cellStyle name="Финансовый 3 3 2 4" xfId="1624"/>
    <cellStyle name="Финансовый 3 3 2 4 2" xfId="5469"/>
    <cellStyle name="Финансовый 3 3 2 5" xfId="1917"/>
    <cellStyle name="Финансовый 3 3 2 5 2" xfId="5765"/>
    <cellStyle name="Финансовый 3 3 2 6" xfId="2211"/>
    <cellStyle name="Финансовый 3 3 2 6 2" xfId="6061"/>
    <cellStyle name="Финансовый 3 3 2 7" xfId="2506"/>
    <cellStyle name="Финансовый 3 3 2 7 2" xfId="6357"/>
    <cellStyle name="Финансовый 3 3 2 8" xfId="2802"/>
    <cellStyle name="Финансовый 3 3 2 8 2" xfId="6653"/>
    <cellStyle name="Финансовый 3 3 2 9" xfId="3098"/>
    <cellStyle name="Финансовый 3 3 2 9 2" xfId="6949"/>
    <cellStyle name="Финансовый 3 3 3" xfId="1101"/>
    <cellStyle name="Финансовый 3 3 3 2" xfId="4729"/>
    <cellStyle name="Финансовый 3 3 4" xfId="1195"/>
    <cellStyle name="Финансовый 3 3 4 2" xfId="5025"/>
    <cellStyle name="Финансовый 3 3 5" xfId="1479"/>
    <cellStyle name="Финансовый 3 3 5 2" xfId="5321"/>
    <cellStyle name="Финансовый 3 3 6" xfId="1770"/>
    <cellStyle name="Финансовый 3 3 6 2" xfId="5617"/>
    <cellStyle name="Финансовый 3 3 7" xfId="2063"/>
    <cellStyle name="Финансовый 3 3 7 2" xfId="5913"/>
    <cellStyle name="Финансовый 3 3 8" xfId="2358"/>
    <cellStyle name="Финансовый 3 3 8 2" xfId="6209"/>
    <cellStyle name="Финансовый 3 3 9" xfId="2654"/>
    <cellStyle name="Финансовый 3 3 9 2" xfId="6505"/>
    <cellStyle name="Финансовый 3 4" xfId="339"/>
    <cellStyle name="Финансовый 3 4 10" xfId="3296"/>
    <cellStyle name="Финансовый 3 4 10 2" xfId="7147"/>
    <cellStyle name="Финансовый 3 4 11" xfId="3592"/>
    <cellStyle name="Финансовый 3 4 11 2" xfId="7443"/>
    <cellStyle name="Финансовый 3 4 12" xfId="3888"/>
    <cellStyle name="Финансовый 3 4 12 2" xfId="7739"/>
    <cellStyle name="Финансовый 3 4 13" xfId="4184"/>
    <cellStyle name="Финансовый 3 4 13 2" xfId="8035"/>
    <cellStyle name="Финансовый 3 4 14" xfId="8384"/>
    <cellStyle name="Финансовый 3 4 15" xfId="4483"/>
    <cellStyle name="Финансовый 3 4 2" xfId="701"/>
    <cellStyle name="Финансовый 3 4 2 2" xfId="8489"/>
    <cellStyle name="Финансовый 3 4 2 3" xfId="4779"/>
    <cellStyle name="Финансовый 3 4 3" xfId="656"/>
    <cellStyle name="Финансовый 3 4 3 2" xfId="8474"/>
    <cellStyle name="Финансовый 3 4 3 3" xfId="5075"/>
    <cellStyle name="Финансовый 3 4 4" xfId="1528"/>
    <cellStyle name="Финансовый 3 4 4 2" xfId="5371"/>
    <cellStyle name="Финансовый 3 4 5" xfId="1820"/>
    <cellStyle name="Финансовый 3 4 5 2" xfId="5667"/>
    <cellStyle name="Финансовый 3 4 6" xfId="2113"/>
    <cellStyle name="Финансовый 3 4 6 2" xfId="5963"/>
    <cellStyle name="Финансовый 3 4 7" xfId="2408"/>
    <cellStyle name="Финансовый 3 4 7 2" xfId="6259"/>
    <cellStyle name="Финансовый 3 4 8" xfId="2704"/>
    <cellStyle name="Финансовый 3 4 8 2" xfId="6555"/>
    <cellStyle name="Финансовый 3 4 9" xfId="3000"/>
    <cellStyle name="Финансовый 3 4 9 2" xfId="6851"/>
    <cellStyle name="Финансовый 3 5" xfId="668"/>
    <cellStyle name="Финансовый 3 5 2" xfId="8479"/>
    <cellStyle name="Финансовый 3 5 3" xfId="4631"/>
    <cellStyle name="Финансовый 3 6" xfId="399"/>
    <cellStyle name="Финансовый 3 6 2" xfId="8443"/>
    <cellStyle name="Финансовый 3 6 3" xfId="4927"/>
    <cellStyle name="Финансовый 3 7" xfId="1384"/>
    <cellStyle name="Финансовый 3 7 2" xfId="5223"/>
    <cellStyle name="Финансовый 3 8" xfId="1673"/>
    <cellStyle name="Финансовый 3 8 2" xfId="5519"/>
    <cellStyle name="Финансовый 3 9" xfId="1966"/>
    <cellStyle name="Финансовый 3 9 2" xfId="5815"/>
    <cellStyle name="Финансовый 4" xfId="17"/>
    <cellStyle name="Финансовый 4 2" xfId="653"/>
    <cellStyle name="Финансовый 4 3" xfId="670"/>
    <cellStyle name="Финансовый 4 4" xfId="401"/>
    <cellStyle name="Финансовый 4 5" xfId="4383"/>
    <cellStyle name="Финансовый 4 6" xfId="8850"/>
    <cellStyle name="Финансовый 5" xfId="403"/>
    <cellStyle name="Финансовый 5 2" xfId="672"/>
    <cellStyle name="Финансовый 5 3" xfId="8444"/>
    <cellStyle name="Финансовый 5 4" xfId="4434"/>
    <cellStyle name="Финансовый 6" xfId="407"/>
    <cellStyle name="Финансовый 6 2" xfId="674"/>
    <cellStyle name="Финансовый 7" xfId="409"/>
    <cellStyle name="Финансовый 7 2" xfId="676"/>
    <cellStyle name="Финансовый 8" xfId="414"/>
    <cellStyle name="Финансовый 8 2" xfId="679"/>
    <cellStyle name="Финансовый 9" xfId="8450"/>
  </cellStyles>
  <dxfs count="17"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6"/>
    </tableStyle>
    <tableStyle name="Стиль таблицы 2" pivot="0" count="2">
      <tableStyleElement type="headerRow" dxfId="15"/>
      <tableStyleElement type="totalRow" dxfId="14"/>
    </tableStyle>
    <tableStyle name="Стиль таблицы 3" pivot="0" count="2">
      <tableStyleElement type="firstRowStripe" dxfId="13"/>
      <tableStyleElement type="secondRowStripe" dxfId="12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11" dataDxfId="9" headerRowBorderDxfId="10" tableBorderDxfId="8">
  <autoFilter ref="A3:F18"/>
  <tableColumns count="6">
    <tableColumn id="1" name="№ п/п" dataDxfId="7" dataCellStyle="Обычный 13 2"/>
    <tableColumn id="2" name="Вид робіт (витрат)" dataDxfId="6" dataCellStyle="Обычный 13 2"/>
    <tableColumn id="4" name="ознака робіт" dataDxfId="5" dataCellStyle="Обычный 13 2"/>
    <tableColumn id="5" name="Номер ДЦ" dataDxfId="4"/>
    <tableColumn id="7" name="Сумма" dataDxfId="3" dataCellStyle="Обычный 13 2"/>
    <tableColumn id="8" name="Статус" dataDxfId="2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/>
  <cols>
    <col min="1" max="1" width="4.44140625" style="56" customWidth="1"/>
    <col min="2" max="2" width="28.88671875" style="56" customWidth="1"/>
    <col min="3" max="3" width="8.88671875" style="56" customWidth="1"/>
    <col min="4" max="4" width="11.33203125" style="57" customWidth="1"/>
    <col min="5" max="5" width="13.44140625" style="58" customWidth="1"/>
    <col min="6" max="6" width="10.6640625" style="59" customWidth="1"/>
    <col min="7" max="7" width="13.88671875" style="59" customWidth="1"/>
    <col min="8" max="8" width="10.6640625" style="59" hidden="1" customWidth="1"/>
    <col min="9" max="9" width="10.6640625" style="61" hidden="1" customWidth="1"/>
    <col min="10" max="10" width="10.6640625" style="61" hidden="1" customWidth="1" outlineLevel="1"/>
    <col min="11" max="11" width="10.6640625" style="56" hidden="1" customWidth="1" outlineLevel="1"/>
    <col min="12" max="12" width="11.109375" style="27" hidden="1" customWidth="1" outlineLevel="1"/>
    <col min="13" max="13" width="11.6640625" style="56" hidden="1" customWidth="1" outlineLevel="1"/>
    <col min="14" max="14" width="10.6640625" style="56" hidden="1" customWidth="1" outlineLevel="1"/>
    <col min="15" max="15" width="11.5546875" style="56" hidden="1" customWidth="1" outlineLevel="1"/>
    <col min="16" max="17" width="10.6640625" style="56" hidden="1" customWidth="1" outlineLevel="1"/>
    <col min="18" max="18" width="13" style="56" hidden="1" customWidth="1" outlineLevel="1"/>
    <col min="19" max="19" width="12.33203125" style="56" hidden="1" customWidth="1" outlineLevel="1"/>
    <col min="20" max="20" width="11.88671875" style="56" hidden="1" customWidth="1" outlineLevel="1"/>
    <col min="21" max="21" width="11.6640625" style="56" hidden="1" customWidth="1" outlineLevel="1"/>
    <col min="22" max="22" width="10.6640625" style="60" hidden="1" customWidth="1" outlineLevel="1"/>
    <col min="23" max="23" width="11.109375" style="79" hidden="1" customWidth="1" outlineLevel="1"/>
    <col min="24" max="24" width="9.109375" style="56" collapsed="1"/>
    <col min="25" max="16384" width="9.109375" style="56"/>
  </cols>
  <sheetData>
    <row r="1" spans="1:23" hidden="1"/>
    <row r="2" spans="1:23" hidden="1"/>
    <row r="3" spans="1:23" hidden="1"/>
    <row r="5" spans="1:23" s="83" customFormat="1" ht="15" customHeight="1">
      <c r="A5" s="1" t="s">
        <v>37</v>
      </c>
      <c r="B5" s="1"/>
      <c r="C5" s="105"/>
      <c r="D5" s="29"/>
      <c r="E5" s="81"/>
      <c r="F5" s="82"/>
      <c r="G5" s="82"/>
      <c r="H5" s="82"/>
      <c r="I5" s="29"/>
      <c r="J5" s="29"/>
      <c r="L5" s="84"/>
      <c r="V5" s="85"/>
      <c r="W5" s="86"/>
    </row>
    <row r="6" spans="1:23" s="83" customFormat="1" ht="12.75" customHeight="1">
      <c r="A6" s="1" t="s">
        <v>24</v>
      </c>
      <c r="B6" s="1"/>
      <c r="C6" s="105"/>
      <c r="D6" s="11"/>
      <c r="E6" s="11"/>
      <c r="F6" s="87"/>
      <c r="G6" s="87"/>
      <c r="H6" s="87"/>
      <c r="I6" s="29"/>
      <c r="J6" s="29"/>
      <c r="L6" s="84"/>
      <c r="V6" s="85"/>
      <c r="W6" s="86"/>
    </row>
    <row r="7" spans="1:23" s="83" customFormat="1" ht="12.75" customHeight="1">
      <c r="A7" s="1" t="s">
        <v>38</v>
      </c>
      <c r="B7" s="1"/>
      <c r="C7" s="1"/>
      <c r="D7" s="1"/>
      <c r="E7" s="1"/>
      <c r="F7" s="1"/>
      <c r="G7" s="1"/>
      <c r="H7" s="1"/>
      <c r="I7" s="1"/>
      <c r="J7" s="105"/>
      <c r="L7" s="84"/>
      <c r="V7" s="85"/>
      <c r="W7" s="86"/>
    </row>
    <row r="8" spans="1:23" s="83" customFormat="1" ht="12.75" customHeight="1">
      <c r="A8" s="1" t="s">
        <v>39</v>
      </c>
      <c r="B8" s="1"/>
      <c r="C8" s="1"/>
      <c r="D8" s="1"/>
      <c r="E8" s="1"/>
      <c r="F8" s="1"/>
      <c r="G8" s="1"/>
      <c r="H8" s="1"/>
      <c r="I8" s="1"/>
      <c r="J8" s="105"/>
      <c r="L8" s="84"/>
      <c r="V8" s="85"/>
      <c r="W8" s="86"/>
    </row>
    <row r="9" spans="1:23" s="83" customFormat="1" ht="12.75" customHeight="1">
      <c r="A9" s="8" t="s">
        <v>40</v>
      </c>
      <c r="B9" s="8"/>
      <c r="C9" s="8"/>
      <c r="D9" s="8"/>
      <c r="E9" s="81"/>
      <c r="F9" s="88"/>
      <c r="G9" s="88"/>
      <c r="H9" s="88"/>
      <c r="I9" s="105"/>
      <c r="J9" s="105"/>
      <c r="L9" s="84"/>
      <c r="V9" s="85"/>
      <c r="W9" s="86"/>
    </row>
    <row r="10" spans="1:23" s="83" customFormat="1">
      <c r="A10" s="29"/>
      <c r="B10" s="29"/>
      <c r="C10" s="29"/>
      <c r="D10" s="29"/>
      <c r="E10" s="81"/>
      <c r="F10" s="88"/>
      <c r="G10" s="88"/>
      <c r="H10" s="88"/>
      <c r="I10" s="105"/>
      <c r="J10" s="105"/>
      <c r="L10" s="84"/>
      <c r="V10" s="85"/>
      <c r="W10" s="86"/>
    </row>
    <row r="11" spans="1:23" s="26" customFormat="1" ht="15" customHeight="1">
      <c r="A11" s="18" t="s">
        <v>0</v>
      </c>
      <c r="B11" s="18"/>
      <c r="C11" s="18"/>
      <c r="D11" s="18"/>
      <c r="E11" s="18"/>
      <c r="F11" s="18"/>
      <c r="G11" s="18"/>
      <c r="H11" s="18"/>
      <c r="I11" s="18"/>
      <c r="J11" s="49">
        <v>1.03</v>
      </c>
      <c r="L11" s="27"/>
      <c r="V11" s="80">
        <v>100</v>
      </c>
      <c r="W11" s="76"/>
    </row>
    <row r="12" spans="1:23" s="26" customFormat="1" ht="15" customHeight="1">
      <c r="A12" s="49"/>
      <c r="B12" s="49"/>
      <c r="C12" s="49"/>
      <c r="D12" s="49"/>
      <c r="E12" s="30"/>
      <c r="F12" s="31"/>
      <c r="G12" s="31"/>
      <c r="H12" s="31"/>
      <c r="I12" s="32"/>
      <c r="J12" s="32"/>
      <c r="L12" s="27"/>
      <c r="V12" s="28"/>
      <c r="W12" s="76"/>
    </row>
    <row r="13" spans="1:23" s="26" customFormat="1" ht="16.5" customHeight="1">
      <c r="A13" s="21" t="s">
        <v>1</v>
      </c>
      <c r="B13" s="10" t="s">
        <v>2</v>
      </c>
      <c r="C13" s="21" t="s">
        <v>13</v>
      </c>
      <c r="D13" s="20" t="s">
        <v>3</v>
      </c>
      <c r="E13" s="15" t="s">
        <v>14</v>
      </c>
      <c r="F13" s="13" t="s">
        <v>27</v>
      </c>
      <c r="G13" s="13"/>
      <c r="H13" s="20" t="s">
        <v>17</v>
      </c>
      <c r="I13" s="20"/>
      <c r="J13" s="19" t="s">
        <v>30</v>
      </c>
      <c r="K13" s="16"/>
      <c r="L13" s="22"/>
      <c r="M13" s="10" t="s">
        <v>26</v>
      </c>
      <c r="N13" s="10"/>
      <c r="O13" s="10"/>
      <c r="P13" s="10"/>
      <c r="Q13" s="10" t="s">
        <v>29</v>
      </c>
      <c r="R13" s="10"/>
      <c r="S13" s="10"/>
      <c r="T13" s="10"/>
      <c r="U13" s="10"/>
      <c r="V13" s="4" t="s">
        <v>34</v>
      </c>
      <c r="W13" s="9"/>
    </row>
    <row r="14" spans="1:23" s="26" customFormat="1" ht="20.25" customHeight="1">
      <c r="A14" s="21"/>
      <c r="B14" s="10"/>
      <c r="C14" s="21"/>
      <c r="D14" s="20"/>
      <c r="E14" s="15"/>
      <c r="F14" s="20" t="s">
        <v>41</v>
      </c>
      <c r="G14" s="20"/>
      <c r="H14" s="20"/>
      <c r="I14" s="20"/>
      <c r="J14" s="17"/>
      <c r="K14" s="14"/>
      <c r="L14" s="5"/>
      <c r="M14" s="10"/>
      <c r="N14" s="10"/>
      <c r="O14" s="10"/>
      <c r="P14" s="10"/>
      <c r="Q14" s="10"/>
      <c r="R14" s="10"/>
      <c r="S14" s="10"/>
      <c r="T14" s="10"/>
      <c r="U14" s="10"/>
      <c r="V14" s="6"/>
      <c r="W14" s="3"/>
    </row>
    <row r="15" spans="1:23" s="33" customFormat="1">
      <c r="A15" s="65">
        <v>1</v>
      </c>
      <c r="B15" s="65">
        <v>2</v>
      </c>
      <c r="C15" s="65">
        <v>3</v>
      </c>
      <c r="D15" s="35">
        <v>4</v>
      </c>
      <c r="E15" s="62"/>
      <c r="F15" s="113">
        <v>4</v>
      </c>
      <c r="G15" s="113">
        <v>5</v>
      </c>
      <c r="H15" s="62"/>
      <c r="I15" s="35">
        <v>7</v>
      </c>
      <c r="J15" s="35"/>
      <c r="K15" s="66"/>
      <c r="L15" s="67"/>
      <c r="M15" s="68"/>
      <c r="N15" s="68"/>
      <c r="O15" s="68"/>
      <c r="P15" s="69"/>
      <c r="Q15" s="70"/>
      <c r="R15" s="70"/>
      <c r="S15" s="70"/>
      <c r="T15" s="106"/>
      <c r="U15" s="106"/>
      <c r="V15" s="6"/>
      <c r="W15" s="3"/>
    </row>
    <row r="16" spans="1:23" s="33" customFormat="1">
      <c r="A16" s="65"/>
      <c r="B16" s="65"/>
      <c r="C16" s="65"/>
      <c r="D16" s="35"/>
      <c r="E16" s="62"/>
      <c r="F16" s="62"/>
      <c r="G16" s="62"/>
      <c r="H16" s="62"/>
      <c r="I16" s="35"/>
      <c r="J16" s="35" t="s">
        <v>16</v>
      </c>
      <c r="K16" s="71" t="s">
        <v>25</v>
      </c>
      <c r="L16" s="71" t="s">
        <v>15</v>
      </c>
      <c r="M16" s="72" t="s">
        <v>16</v>
      </c>
      <c r="N16" s="72" t="s">
        <v>25</v>
      </c>
      <c r="O16" s="72" t="s">
        <v>15</v>
      </c>
      <c r="P16" s="73" t="s">
        <v>28</v>
      </c>
      <c r="Q16" s="74" t="s">
        <v>25</v>
      </c>
      <c r="R16" s="74" t="s">
        <v>15</v>
      </c>
      <c r="S16" s="74" t="s">
        <v>33</v>
      </c>
      <c r="T16" s="23" t="s">
        <v>32</v>
      </c>
      <c r="U16" s="23"/>
      <c r="V16" s="7"/>
      <c r="W16" s="2"/>
    </row>
    <row r="17" spans="1:23" s="33" customFormat="1" ht="15" customHeight="1">
      <c r="A17" s="65">
        <v>1</v>
      </c>
      <c r="B17" s="24" t="s">
        <v>19</v>
      </c>
      <c r="C17" s="34" t="s">
        <v>23</v>
      </c>
      <c r="D17" s="89" t="s">
        <v>20</v>
      </c>
      <c r="E17" s="25">
        <v>657140</v>
      </c>
      <c r="F17" s="37" t="s">
        <v>43</v>
      </c>
      <c r="G17" s="36">
        <f>301810.6</f>
        <v>301810.59999999998</v>
      </c>
      <c r="H17" s="37" t="str">
        <f>F17</f>
        <v>12102-1/1</v>
      </c>
      <c r="I17" s="38">
        <v>301810.59999999998</v>
      </c>
      <c r="J17" s="38">
        <f>(K17+L17)*$J$11</f>
        <v>251508.82989999998</v>
      </c>
      <c r="K17" s="36">
        <f>244183.33</f>
        <v>244183.33</v>
      </c>
      <c r="L17" s="39">
        <v>0</v>
      </c>
      <c r="M17" s="62">
        <f>N17+O17</f>
        <v>336378.6</v>
      </c>
      <c r="N17" s="62">
        <f>280315.5*1.2</f>
        <v>336378.6</v>
      </c>
      <c r="O17" s="62"/>
      <c r="P17" s="63" t="s">
        <v>31</v>
      </c>
      <c r="Q17" s="40">
        <f>K17-N17</f>
        <v>-92195.26999999999</v>
      </c>
      <c r="R17" s="40">
        <f>L17-O17</f>
        <v>0</v>
      </c>
      <c r="S17" s="40">
        <f>J17-M17*1.03</f>
        <v>-94961.128100000002</v>
      </c>
      <c r="T17" s="40">
        <f>M17*1.03</f>
        <v>346469.95799999998</v>
      </c>
      <c r="U17" s="40">
        <f>J17-M17</f>
        <v>-84869.770099999994</v>
      </c>
      <c r="V17" s="64">
        <f>Q17/$V$11*W17</f>
        <v>-2765.8580999999999</v>
      </c>
      <c r="W17" s="75">
        <v>3</v>
      </c>
    </row>
    <row r="18" spans="1:23" s="44" customFormat="1" ht="15" customHeight="1">
      <c r="A18" s="65">
        <v>2</v>
      </c>
      <c r="B18" s="41" t="s">
        <v>35</v>
      </c>
      <c r="C18" s="34" t="s">
        <v>11</v>
      </c>
      <c r="D18" s="34" t="s">
        <v>18</v>
      </c>
      <c r="E18" s="42">
        <f>7254070.69</f>
        <v>7254070.6900000004</v>
      </c>
      <c r="F18" s="37" t="s">
        <v>44</v>
      </c>
      <c r="G18" s="36">
        <f>3195761.59</f>
        <v>3195761.59</v>
      </c>
      <c r="H18" s="37" t="str">
        <f>F18</f>
        <v>12103-1/1</v>
      </c>
      <c r="I18" s="38">
        <f>G18</f>
        <v>3195761.59</v>
      </c>
      <c r="J18" s="38">
        <f>L18*$J$11+K18</f>
        <v>3195761.5864800001</v>
      </c>
      <c r="K18" s="36">
        <f>743034.22*1.2</f>
        <v>891641.0639999999</v>
      </c>
      <c r="L18" s="36">
        <f>1864175.18*1.2</f>
        <v>2237010.216</v>
      </c>
      <c r="M18" s="62">
        <f>N18+O18</f>
        <v>3128651.28</v>
      </c>
      <c r="N18" s="36">
        <f>743034.22*1.2</f>
        <v>891641.0639999999</v>
      </c>
      <c r="O18" s="36">
        <f>1864175.18*1.2</f>
        <v>2237010.216</v>
      </c>
      <c r="P18" s="36" t="s">
        <v>36</v>
      </c>
      <c r="Q18" s="40">
        <f>K19-N18</f>
        <v>-876120.52799999993</v>
      </c>
      <c r="R18" s="40">
        <f>L19-O18</f>
        <v>-2187140.3280000002</v>
      </c>
      <c r="S18" s="40">
        <f>J18-M18*1.03</f>
        <v>-26749.2319199997</v>
      </c>
      <c r="T18" s="40">
        <f>M18*1.03</f>
        <v>3222510.8183999998</v>
      </c>
      <c r="U18" s="40">
        <f>J18-M18</f>
        <v>67110.306480000261</v>
      </c>
      <c r="V18" s="64">
        <f>Q18/$V$11*W18</f>
        <v>-13141.807919999999</v>
      </c>
      <c r="W18" s="75">
        <v>1.5</v>
      </c>
    </row>
    <row r="19" spans="1:23" s="44" customFormat="1" ht="15" customHeight="1">
      <c r="A19" s="65">
        <v>3</v>
      </c>
      <c r="B19" s="41" t="s">
        <v>42</v>
      </c>
      <c r="C19" s="34" t="s">
        <v>21</v>
      </c>
      <c r="D19" s="34" t="s">
        <v>22</v>
      </c>
      <c r="E19" s="42"/>
      <c r="F19" s="90" t="s">
        <v>45</v>
      </c>
      <c r="G19" s="36">
        <f>66886.52</f>
        <v>66886.52</v>
      </c>
      <c r="H19" s="43" t="str">
        <f>F19</f>
        <v>12104-1/1</v>
      </c>
      <c r="I19" s="38">
        <f>G19</f>
        <v>66886.52</v>
      </c>
      <c r="J19" s="38">
        <f>L19*$J$11+K19</f>
        <v>66886.520640000002</v>
      </c>
      <c r="K19" s="36">
        <f>12933.78*1.2</f>
        <v>15520.536</v>
      </c>
      <c r="L19" s="39">
        <f>41558.24*1.2</f>
        <v>49869.887999999999</v>
      </c>
      <c r="M19" s="62">
        <f>N19+O19</f>
        <v>0</v>
      </c>
      <c r="N19" s="62"/>
      <c r="O19" s="36"/>
      <c r="P19" s="36"/>
      <c r="Q19" s="40" t="e">
        <f>#REF!-N19</f>
        <v>#REF!</v>
      </c>
      <c r="R19" s="40" t="e">
        <f>#REF!-O19</f>
        <v>#REF!</v>
      </c>
      <c r="S19" s="40">
        <f>J19-M19*1.03</f>
        <v>66886.520640000002</v>
      </c>
      <c r="T19" s="40">
        <f>M19*1.03</f>
        <v>0</v>
      </c>
      <c r="U19" s="40">
        <f>J19-M19</f>
        <v>66886.520640000002</v>
      </c>
      <c r="V19" s="64" t="e">
        <f>Q19/$V$11*W19</f>
        <v>#REF!</v>
      </c>
      <c r="W19" s="77"/>
    </row>
    <row r="20" spans="1:23" s="48" customFormat="1" ht="17.25" customHeight="1">
      <c r="A20" s="65">
        <v>4</v>
      </c>
      <c r="B20" s="112" t="s">
        <v>46</v>
      </c>
      <c r="C20" s="47" t="s">
        <v>49</v>
      </c>
      <c r="D20" s="47"/>
      <c r="E20" s="46"/>
      <c r="F20" s="45" t="s">
        <v>49</v>
      </c>
      <c r="G20" s="46">
        <f>-27521.64*1.2</f>
        <v>-33025.968000000001</v>
      </c>
      <c r="H20" s="102"/>
      <c r="I20" s="103"/>
      <c r="J20" s="103"/>
      <c r="L20" s="50"/>
      <c r="V20" s="51"/>
      <c r="W20" s="78"/>
    </row>
    <row r="21" spans="1:23" s="48" customFormat="1" ht="21.75" customHeight="1">
      <c r="A21" s="104"/>
      <c r="B21" s="107" t="s">
        <v>47</v>
      </c>
      <c r="C21" s="107"/>
      <c r="D21" s="108"/>
      <c r="E21" s="109"/>
      <c r="F21" s="110"/>
      <c r="G21" s="110">
        <f>SUM(G17:G20)</f>
        <v>3531432.7420000001</v>
      </c>
      <c r="H21" s="93"/>
      <c r="I21" s="91"/>
      <c r="J21" s="91"/>
      <c r="L21" s="50"/>
      <c r="V21" s="51"/>
      <c r="W21" s="78"/>
    </row>
    <row r="22" spans="1:23" s="48" customFormat="1" ht="21.75" customHeight="1">
      <c r="A22" s="49"/>
      <c r="B22" s="111"/>
      <c r="C22" s="111"/>
      <c r="D22" s="91"/>
      <c r="E22" s="92"/>
      <c r="F22" s="93"/>
      <c r="G22" s="93"/>
      <c r="H22" s="93"/>
      <c r="I22" s="91"/>
      <c r="J22" s="91"/>
      <c r="L22" s="50"/>
      <c r="V22" s="51"/>
      <c r="W22" s="78"/>
    </row>
    <row r="23" spans="1:23" s="48" customFormat="1" ht="17.25" customHeight="1">
      <c r="A23" s="49"/>
      <c r="B23" s="52" t="s">
        <v>48</v>
      </c>
      <c r="C23" s="52"/>
      <c r="D23" s="91"/>
      <c r="E23" s="92"/>
      <c r="F23" s="93"/>
      <c r="G23" s="93"/>
      <c r="H23" s="93"/>
      <c r="I23" s="91"/>
      <c r="J23" s="91"/>
      <c r="L23" s="50"/>
      <c r="V23" s="51"/>
      <c r="W23" s="78"/>
    </row>
    <row r="24" spans="1:23" s="53" customFormat="1">
      <c r="D24" s="94"/>
      <c r="E24" s="95"/>
      <c r="F24" s="28"/>
      <c r="G24" s="28"/>
      <c r="H24" s="28"/>
      <c r="I24" s="96"/>
      <c r="J24" s="96"/>
      <c r="L24" s="54"/>
      <c r="V24" s="55"/>
      <c r="W24" s="76"/>
    </row>
    <row r="25" spans="1:23" s="53" customFormat="1">
      <c r="D25" s="94"/>
      <c r="E25" s="95"/>
      <c r="F25" s="28"/>
      <c r="G25" s="28"/>
      <c r="H25" s="28"/>
      <c r="I25" s="96"/>
      <c r="J25" s="96"/>
      <c r="L25" s="54"/>
      <c r="V25" s="55"/>
      <c r="W25" s="76"/>
    </row>
    <row r="26" spans="1:23">
      <c r="D26" s="97"/>
      <c r="E26" s="98"/>
      <c r="F26" s="60"/>
      <c r="G26" s="60"/>
      <c r="H26" s="60"/>
      <c r="I26" s="99"/>
      <c r="J26" s="99"/>
    </row>
    <row r="27" spans="1:23">
      <c r="B27" s="56" t="s">
        <v>7</v>
      </c>
      <c r="D27" s="97"/>
      <c r="E27" s="98"/>
      <c r="F27" s="60"/>
      <c r="G27" s="60"/>
      <c r="H27" s="60"/>
      <c r="I27" s="100"/>
      <c r="J27" s="100"/>
    </row>
    <row r="28" spans="1:23">
      <c r="D28" s="97"/>
      <c r="E28" s="98"/>
      <c r="F28" s="60"/>
      <c r="G28" s="60"/>
      <c r="H28" s="60"/>
      <c r="I28" s="99"/>
      <c r="J28" s="99"/>
    </row>
    <row r="29" spans="1:23">
      <c r="D29" s="97"/>
      <c r="E29" s="98"/>
      <c r="F29" s="60"/>
      <c r="G29" s="60"/>
      <c r="H29" s="60"/>
      <c r="I29" s="101"/>
      <c r="J29" s="101"/>
    </row>
    <row r="30" spans="1:23">
      <c r="D30" s="97"/>
      <c r="E30" s="98"/>
      <c r="F30" s="60"/>
      <c r="G30" s="60"/>
      <c r="H30" s="60"/>
      <c r="I30" s="101"/>
      <c r="J30" s="101"/>
    </row>
    <row r="31" spans="1:23">
      <c r="D31" s="97"/>
      <c r="E31" s="98"/>
      <c r="F31" s="60"/>
      <c r="G31" s="60"/>
      <c r="H31" s="60"/>
      <c r="I31" s="101"/>
      <c r="J31" s="101"/>
    </row>
    <row r="32" spans="1:23">
      <c r="D32" s="97"/>
      <c r="E32" s="98"/>
      <c r="F32" s="60"/>
      <c r="G32" s="60"/>
      <c r="H32" s="60"/>
      <c r="I32" s="101"/>
      <c r="J32" s="101"/>
    </row>
    <row r="33" spans="4:10">
      <c r="D33" s="97"/>
      <c r="E33" s="98"/>
      <c r="F33" s="60"/>
      <c r="G33" s="60"/>
      <c r="H33" s="60"/>
      <c r="I33" s="101"/>
      <c r="J33" s="101"/>
    </row>
    <row r="34" spans="4:10">
      <c r="D34" s="97"/>
      <c r="E34" s="98"/>
      <c r="F34" s="60"/>
      <c r="G34" s="60"/>
      <c r="H34" s="60"/>
      <c r="I34" s="101"/>
      <c r="J34" s="101"/>
    </row>
    <row r="35" spans="4:10">
      <c r="D35" s="97"/>
      <c r="E35" s="98"/>
      <c r="F35" s="60"/>
      <c r="G35" s="60"/>
      <c r="H35" s="60"/>
      <c r="I35" s="101"/>
      <c r="J35" s="101"/>
    </row>
    <row r="36" spans="4:10">
      <c r="D36" s="97"/>
      <c r="E36" s="98"/>
      <c r="F36" s="60"/>
      <c r="G36" s="60"/>
      <c r="H36" s="60"/>
      <c r="I36" s="101"/>
      <c r="J36" s="101"/>
    </row>
    <row r="37" spans="4:10">
      <c r="D37" s="97"/>
      <c r="E37" s="98"/>
      <c r="F37" s="60"/>
      <c r="G37" s="60"/>
      <c r="H37" s="60"/>
      <c r="I37" s="101"/>
      <c r="J37" s="101"/>
    </row>
    <row r="38" spans="4:10">
      <c r="D38" s="97"/>
      <c r="E38" s="98"/>
      <c r="F38" s="60"/>
      <c r="G38" s="60"/>
      <c r="H38" s="60"/>
      <c r="I38" s="101"/>
      <c r="J38" s="101"/>
    </row>
    <row r="39" spans="4:10">
      <c r="D39" s="97"/>
      <c r="E39" s="98"/>
      <c r="F39" s="60"/>
      <c r="G39" s="60"/>
      <c r="H39" s="60"/>
      <c r="I39" s="101"/>
      <c r="J39" s="101"/>
    </row>
    <row r="40" spans="4:10">
      <c r="D40" s="97"/>
      <c r="E40" s="98"/>
      <c r="F40" s="60"/>
      <c r="G40" s="60"/>
      <c r="H40" s="60"/>
      <c r="I40" s="101"/>
      <c r="J40" s="101"/>
    </row>
    <row r="41" spans="4:10">
      <c r="D41" s="97"/>
      <c r="E41" s="98"/>
      <c r="F41" s="60"/>
      <c r="G41" s="60"/>
      <c r="H41" s="60"/>
      <c r="I41" s="101"/>
      <c r="J41" s="101"/>
    </row>
    <row r="42" spans="4:10">
      <c r="D42" s="97"/>
      <c r="E42" s="98"/>
      <c r="F42" s="60"/>
      <c r="G42" s="60"/>
      <c r="H42" s="60"/>
      <c r="I42" s="101"/>
      <c r="J42" s="101"/>
    </row>
    <row r="43" spans="4:10">
      <c r="D43" s="97"/>
      <c r="E43" s="98"/>
      <c r="F43" s="60"/>
      <c r="G43" s="60"/>
      <c r="H43" s="60"/>
      <c r="I43" s="101"/>
      <c r="J43" s="101"/>
    </row>
    <row r="44" spans="4:10">
      <c r="D44" s="97"/>
      <c r="E44" s="98"/>
      <c r="F44" s="60"/>
      <c r="G44" s="60"/>
      <c r="H44" s="60"/>
      <c r="I44" s="101"/>
      <c r="J44" s="101"/>
    </row>
    <row r="45" spans="4:10">
      <c r="D45" s="97"/>
      <c r="E45" s="98"/>
      <c r="F45" s="60"/>
      <c r="G45" s="60"/>
      <c r="H45" s="60"/>
      <c r="I45" s="101"/>
      <c r="J45" s="101"/>
    </row>
    <row r="46" spans="4:10">
      <c r="D46" s="97"/>
      <c r="E46" s="98"/>
      <c r="F46" s="60"/>
      <c r="G46" s="60"/>
      <c r="H46" s="60"/>
      <c r="I46" s="101"/>
      <c r="J46" s="101"/>
    </row>
    <row r="47" spans="4:10">
      <c r="D47" s="97"/>
      <c r="E47" s="98"/>
      <c r="F47" s="60"/>
      <c r="G47" s="60"/>
      <c r="H47" s="60"/>
      <c r="I47" s="101"/>
      <c r="J47" s="101"/>
    </row>
    <row r="48" spans="4:10">
      <c r="D48" s="97"/>
      <c r="E48" s="98"/>
      <c r="F48" s="60"/>
      <c r="G48" s="60"/>
      <c r="H48" s="60"/>
      <c r="I48" s="101"/>
      <c r="J48" s="101"/>
    </row>
    <row r="49" spans="4:10">
      <c r="D49" s="97"/>
      <c r="E49" s="98"/>
      <c r="F49" s="60"/>
      <c r="G49" s="60"/>
      <c r="H49" s="60"/>
      <c r="I49" s="101"/>
      <c r="J49" s="101"/>
    </row>
    <row r="50" spans="4:10">
      <c r="D50" s="97"/>
      <c r="E50" s="98"/>
      <c r="F50" s="60"/>
      <c r="G50" s="60"/>
      <c r="H50" s="60"/>
      <c r="I50" s="101"/>
      <c r="J50" s="101"/>
    </row>
    <row r="51" spans="4:10">
      <c r="D51" s="97"/>
      <c r="E51" s="98"/>
      <c r="F51" s="60"/>
      <c r="G51" s="60"/>
      <c r="H51" s="60"/>
      <c r="I51" s="101"/>
      <c r="J51" s="101"/>
    </row>
    <row r="52" spans="4:10">
      <c r="D52" s="97"/>
      <c r="E52" s="98"/>
      <c r="F52" s="60"/>
      <c r="G52" s="60"/>
      <c r="H52" s="60"/>
      <c r="I52" s="101"/>
      <c r="J52" s="101"/>
    </row>
    <row r="53" spans="4:10">
      <c r="D53" s="97"/>
      <c r="E53" s="98"/>
      <c r="F53" s="60"/>
      <c r="G53" s="60"/>
      <c r="H53" s="60"/>
      <c r="I53" s="101"/>
      <c r="J53" s="101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/>
  <cols>
    <col min="1" max="1" width="4.6640625" style="155" customWidth="1"/>
    <col min="2" max="2" width="31.6640625" style="155" customWidth="1"/>
    <col min="3" max="3" width="14" style="155" customWidth="1"/>
    <col min="4" max="4" width="39" style="155" customWidth="1"/>
    <col min="5" max="5" width="13" style="155" customWidth="1"/>
    <col min="6" max="6" width="15" style="155" customWidth="1"/>
    <col min="7" max="7" width="14.6640625" style="155" customWidth="1"/>
    <col min="8" max="8" width="15.6640625" style="155" customWidth="1"/>
    <col min="9" max="9" width="14.44140625" style="155" customWidth="1"/>
    <col min="10" max="10" width="15.109375" style="155" customWidth="1"/>
    <col min="11" max="11" width="14.5546875" style="155" customWidth="1"/>
    <col min="12" max="12" width="13.6640625" style="155" customWidth="1"/>
    <col min="13" max="13" width="20.33203125" style="155" customWidth="1"/>
    <col min="14" max="16384" width="9.109375" style="155"/>
  </cols>
  <sheetData>
    <row r="1" spans="1:13" ht="15.75" customHeight="1">
      <c r="A1" s="773" t="s">
        <v>93</v>
      </c>
      <c r="B1" s="773"/>
      <c r="C1" s="773"/>
      <c r="D1" s="773"/>
      <c r="E1" s="773"/>
      <c r="F1" s="773"/>
      <c r="G1" s="773"/>
      <c r="H1" s="773"/>
      <c r="I1" s="773"/>
      <c r="J1" s="773"/>
      <c r="K1" s="773"/>
      <c r="L1" s="773"/>
      <c r="M1" s="773"/>
    </row>
    <row r="2" spans="1:13" ht="16.2" thickBot="1">
      <c r="M2" s="239"/>
    </row>
    <row r="3" spans="1:13" ht="31.5" customHeight="1">
      <c r="A3" s="783" t="s">
        <v>84</v>
      </c>
      <c r="B3" s="785" t="s">
        <v>82</v>
      </c>
      <c r="C3" s="785" t="s">
        <v>86</v>
      </c>
      <c r="D3" s="785" t="s">
        <v>85</v>
      </c>
      <c r="E3" s="774" t="s">
        <v>83</v>
      </c>
      <c r="F3" s="778" t="s">
        <v>90</v>
      </c>
      <c r="G3" s="779"/>
      <c r="H3" s="780"/>
      <c r="I3" s="776" t="s">
        <v>9</v>
      </c>
      <c r="J3" s="781" t="s">
        <v>91</v>
      </c>
      <c r="K3" s="781"/>
      <c r="L3" s="782"/>
      <c r="M3" s="776" t="s">
        <v>50</v>
      </c>
    </row>
    <row r="4" spans="1:13">
      <c r="A4" s="784"/>
      <c r="B4" s="786"/>
      <c r="C4" s="786"/>
      <c r="D4" s="786"/>
      <c r="E4" s="775"/>
      <c r="F4" s="168" t="s">
        <v>87</v>
      </c>
      <c r="G4" s="158" t="s">
        <v>88</v>
      </c>
      <c r="H4" s="158" t="s">
        <v>89</v>
      </c>
      <c r="I4" s="777"/>
      <c r="J4" s="166" t="s">
        <v>87</v>
      </c>
      <c r="K4" s="158" t="s">
        <v>88</v>
      </c>
      <c r="L4" s="158" t="s">
        <v>89</v>
      </c>
      <c r="M4" s="777"/>
    </row>
    <row r="5" spans="1:13" ht="16.2" thickBot="1">
      <c r="A5" s="159">
        <v>1</v>
      </c>
      <c r="B5" s="160">
        <v>2</v>
      </c>
      <c r="C5" s="160">
        <v>3</v>
      </c>
      <c r="D5" s="160">
        <v>4</v>
      </c>
      <c r="E5" s="165">
        <v>5</v>
      </c>
      <c r="F5" s="159">
        <v>6</v>
      </c>
      <c r="G5" s="160">
        <v>7</v>
      </c>
      <c r="H5" s="160">
        <v>8</v>
      </c>
      <c r="I5" s="161">
        <v>9</v>
      </c>
      <c r="J5" s="167">
        <v>10</v>
      </c>
      <c r="K5" s="160">
        <v>11</v>
      </c>
      <c r="L5" s="160">
        <v>12</v>
      </c>
      <c r="M5" s="161">
        <v>10</v>
      </c>
    </row>
    <row r="6" spans="1:13" ht="62.4">
      <c r="A6" s="767">
        <v>4</v>
      </c>
      <c r="B6" s="12" t="s">
        <v>97</v>
      </c>
      <c r="C6" s="770" t="s">
        <v>94</v>
      </c>
      <c r="D6" s="164" t="s">
        <v>95</v>
      </c>
      <c r="E6" s="177" t="s">
        <v>96</v>
      </c>
      <c r="F6" s="174">
        <f>9670800</f>
        <v>9670800</v>
      </c>
      <c r="G6" s="175">
        <f>980219.27</f>
        <v>980219.27</v>
      </c>
      <c r="H6" s="175">
        <f>F6-G6</f>
        <v>8690580.7300000004</v>
      </c>
      <c r="I6" s="176" t="s">
        <v>106</v>
      </c>
      <c r="J6" s="252"/>
      <c r="K6" s="250"/>
      <c r="L6" s="250"/>
      <c r="M6" s="251"/>
    </row>
    <row r="7" spans="1:13" ht="62.4">
      <c r="A7" s="768"/>
      <c r="B7" s="765"/>
      <c r="C7" s="771"/>
      <c r="D7" s="162" t="s">
        <v>98</v>
      </c>
      <c r="E7" s="229" t="s">
        <v>110</v>
      </c>
      <c r="F7" s="179">
        <v>131336.26</v>
      </c>
      <c r="G7" s="180">
        <v>41465.11</v>
      </c>
      <c r="H7" s="180">
        <f>F7-G7</f>
        <v>89871.150000000009</v>
      </c>
      <c r="I7" s="178" t="s">
        <v>106</v>
      </c>
      <c r="J7" s="169">
        <f>102739.6</f>
        <v>102739.6</v>
      </c>
      <c r="K7" s="185">
        <f>16812.5</f>
        <v>16812.5</v>
      </c>
      <c r="L7" s="253">
        <f>J7-K7</f>
        <v>85927.1</v>
      </c>
      <c r="M7" s="249">
        <v>0.27829999999999999</v>
      </c>
    </row>
    <row r="8" spans="1:13" ht="62.4">
      <c r="A8" s="768"/>
      <c r="B8" s="765"/>
      <c r="C8" s="771"/>
      <c r="D8" s="156" t="s">
        <v>105</v>
      </c>
      <c r="E8" s="240" t="s">
        <v>108</v>
      </c>
      <c r="F8" s="179">
        <f>4080000</f>
        <v>4080000</v>
      </c>
      <c r="G8" s="180">
        <f>2262472.26</f>
        <v>2262472.2599999998</v>
      </c>
      <c r="H8" s="180">
        <f>F8-G8</f>
        <v>1817527.7400000002</v>
      </c>
      <c r="I8" s="178" t="s">
        <v>106</v>
      </c>
      <c r="J8" s="254"/>
      <c r="K8" s="255"/>
      <c r="L8" s="255"/>
      <c r="M8" s="256"/>
    </row>
    <row r="9" spans="1:13" ht="31.2">
      <c r="A9" s="769"/>
      <c r="B9" s="766"/>
      <c r="C9" s="772"/>
      <c r="D9" s="182" t="s">
        <v>111</v>
      </c>
      <c r="E9" s="181"/>
      <c r="F9" s="183">
        <f>1100452.22</f>
        <v>1100452.22</v>
      </c>
      <c r="G9" s="184">
        <f>F9-H9</f>
        <v>410866.37</v>
      </c>
      <c r="H9" s="184">
        <f>689585.85</f>
        <v>689585.85</v>
      </c>
      <c r="I9" s="173" t="s">
        <v>116</v>
      </c>
      <c r="J9" s="257"/>
      <c r="K9" s="258"/>
      <c r="L9" s="258"/>
      <c r="M9" s="259"/>
    </row>
    <row r="10" spans="1:13" ht="16.2" thickBot="1">
      <c r="A10" s="186"/>
      <c r="B10" s="187"/>
      <c r="C10" s="187"/>
      <c r="D10" s="187"/>
      <c r="E10" s="188"/>
      <c r="F10" s="189">
        <f>SUM(F6:F9)</f>
        <v>14982588.48</v>
      </c>
      <c r="G10" s="190">
        <f>SUM(G6:G9)</f>
        <v>3695023.01</v>
      </c>
      <c r="H10" s="191">
        <f>SUM(H6:H9)</f>
        <v>11287565.470000001</v>
      </c>
      <c r="I10" s="192"/>
      <c r="J10" s="193"/>
      <c r="K10" s="187"/>
      <c r="L10" s="187"/>
      <c r="M10" s="192"/>
    </row>
    <row r="11" spans="1:13" ht="16.2" thickBot="1">
      <c r="A11" s="194"/>
      <c r="B11" s="195"/>
      <c r="C11" s="195"/>
      <c r="D11" s="195"/>
      <c r="E11" s="195"/>
      <c r="F11" s="197" t="e">
        <f>F10+#REF!+#REF!+#REF!</f>
        <v>#REF!</v>
      </c>
      <c r="G11" s="197" t="e">
        <f>G10+#REF!+#REF!+#REF!</f>
        <v>#REF!</v>
      </c>
      <c r="H11" s="197" t="e">
        <f>H10+#REF!+#REF!+#REF!</f>
        <v>#REF!</v>
      </c>
      <c r="I11" s="195"/>
      <c r="J11" s="195"/>
      <c r="K11" s="195"/>
      <c r="L11" s="195"/>
      <c r="M11" s="196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/>
  <cols>
    <col min="1" max="1" width="4.88671875" style="198" customWidth="1"/>
    <col min="2" max="2" width="50.109375" style="198" customWidth="1"/>
    <col min="3" max="3" width="16.109375" style="198" customWidth="1"/>
    <col min="4" max="4" width="17.5546875" style="198" customWidth="1" outlineLevel="1"/>
    <col min="5" max="6" width="15.33203125" style="198" customWidth="1"/>
    <col min="7" max="7" width="16.33203125" style="198" customWidth="1"/>
    <col min="8" max="8" width="4.44140625" style="231" customWidth="1"/>
    <col min="9" max="9" width="16" style="198" customWidth="1"/>
    <col min="10" max="10" width="15.6640625" style="198" customWidth="1"/>
    <col min="11" max="11" width="15.33203125" style="198" customWidth="1"/>
    <col min="12" max="12" width="13.109375" style="198" customWidth="1" outlineLevel="1"/>
    <col min="13" max="13" width="15.6640625" style="198" customWidth="1" outlineLevel="1"/>
    <col min="14" max="14" width="15" style="198" customWidth="1"/>
    <col min="15" max="15" width="15.5546875" style="198" customWidth="1"/>
    <col min="16" max="16" width="15.44140625" style="198" customWidth="1"/>
    <col min="17" max="16384" width="9.109375" style="198"/>
  </cols>
  <sheetData>
    <row r="1" spans="1:16" ht="18.600000000000001" thickBot="1">
      <c r="B1" s="199" t="s">
        <v>93</v>
      </c>
      <c r="D1" s="200">
        <v>44336</v>
      </c>
    </row>
    <row r="2" spans="1:16" ht="15.75" customHeight="1">
      <c r="A2" s="793" t="s">
        <v>84</v>
      </c>
      <c r="B2" s="793" t="s">
        <v>99</v>
      </c>
      <c r="C2" s="793" t="s">
        <v>86</v>
      </c>
      <c r="D2" s="793" t="s">
        <v>51</v>
      </c>
      <c r="E2" s="787" t="s">
        <v>100</v>
      </c>
      <c r="F2" s="788"/>
      <c r="G2" s="789"/>
      <c r="H2" s="790" t="s">
        <v>101</v>
      </c>
      <c r="I2" s="791"/>
      <c r="J2" s="791"/>
      <c r="K2" s="791"/>
      <c r="L2" s="791"/>
      <c r="M2" s="792"/>
      <c r="N2" s="787" t="s">
        <v>102</v>
      </c>
      <c r="O2" s="788"/>
      <c r="P2" s="789"/>
    </row>
    <row r="3" spans="1:16" ht="16.2" thickBot="1">
      <c r="A3" s="794"/>
      <c r="B3" s="794"/>
      <c r="C3" s="794"/>
      <c r="D3" s="794"/>
      <c r="E3" s="203" t="s">
        <v>87</v>
      </c>
      <c r="F3" s="204" t="s">
        <v>88</v>
      </c>
      <c r="G3" s="205" t="s">
        <v>89</v>
      </c>
      <c r="H3" s="232" t="s">
        <v>103</v>
      </c>
      <c r="I3" s="206" t="s">
        <v>87</v>
      </c>
      <c r="J3" s="201" t="s">
        <v>88</v>
      </c>
      <c r="K3" s="201" t="s">
        <v>89</v>
      </c>
      <c r="L3" s="207" t="s">
        <v>104</v>
      </c>
      <c r="M3" s="202" t="s">
        <v>9</v>
      </c>
      <c r="N3" s="203" t="s">
        <v>87</v>
      </c>
      <c r="O3" s="208" t="s">
        <v>88</v>
      </c>
      <c r="P3" s="209" t="s">
        <v>89</v>
      </c>
    </row>
    <row r="4" spans="1:16" ht="15.75" customHeight="1">
      <c r="A4" s="795">
        <v>4</v>
      </c>
      <c r="B4" s="798" t="s">
        <v>109</v>
      </c>
      <c r="C4" s="798" t="s">
        <v>94</v>
      </c>
      <c r="D4" s="798" t="s">
        <v>96</v>
      </c>
      <c r="E4" s="222">
        <f>'Реєстр ДЦ'!F6</f>
        <v>9670800</v>
      </c>
      <c r="F4" s="304">
        <f>'Реєстр ДЦ'!G6</f>
        <v>980219.27</v>
      </c>
      <c r="G4" s="221">
        <f>'Реєстр ДЦ'!H6</f>
        <v>8690580.7300000004</v>
      </c>
      <c r="H4" s="241">
        <v>1</v>
      </c>
      <c r="I4" s="242">
        <f>288379.22</f>
        <v>288379.21999999997</v>
      </c>
      <c r="J4" s="238">
        <f>7494.3*1.2</f>
        <v>8993.16</v>
      </c>
      <c r="K4" s="243">
        <f>I4-J4</f>
        <v>279386.06</v>
      </c>
      <c r="L4" s="244">
        <v>44314</v>
      </c>
      <c r="M4" s="172" t="s">
        <v>92</v>
      </c>
      <c r="N4" s="212">
        <f>E4-I8</f>
        <v>7863750.75</v>
      </c>
      <c r="O4" s="213">
        <f>F4-J8</f>
        <v>950795.63</v>
      </c>
      <c r="P4" s="214">
        <f>G4-K8</f>
        <v>6912955.120000001</v>
      </c>
    </row>
    <row r="5" spans="1:16">
      <c r="A5" s="796"/>
      <c r="B5" s="799"/>
      <c r="C5" s="799"/>
      <c r="D5" s="799"/>
      <c r="E5" s="215"/>
      <c r="F5" s="218"/>
      <c r="G5" s="219"/>
      <c r="H5" s="237">
        <v>2</v>
      </c>
      <c r="I5" s="263">
        <f>193609.49</f>
        <v>193609.49</v>
      </c>
      <c r="J5" s="238">
        <v>0</v>
      </c>
      <c r="K5" s="238">
        <f>I5</f>
        <v>193609.49</v>
      </c>
      <c r="L5" s="264">
        <v>44314</v>
      </c>
      <c r="M5" s="171" t="s">
        <v>92</v>
      </c>
      <c r="N5" s="217"/>
      <c r="O5" s="218"/>
      <c r="P5" s="219"/>
    </row>
    <row r="6" spans="1:16" ht="31.2">
      <c r="A6" s="796"/>
      <c r="B6" s="799"/>
      <c r="C6" s="799"/>
      <c r="D6" s="799"/>
      <c r="E6" s="215"/>
      <c r="F6" s="218"/>
      <c r="G6" s="219"/>
      <c r="H6" s="237">
        <v>3</v>
      </c>
      <c r="I6" s="263">
        <v>266283.61</v>
      </c>
      <c r="J6" s="238">
        <f>7768.48*1.2</f>
        <v>9322.1759999999995</v>
      </c>
      <c r="K6" s="238">
        <f>I6-J6</f>
        <v>256961.43399999998</v>
      </c>
      <c r="L6" s="329" t="s">
        <v>114</v>
      </c>
      <c r="M6" s="171" t="s">
        <v>92</v>
      </c>
      <c r="N6" s="260"/>
      <c r="O6" s="261"/>
      <c r="P6" s="262"/>
    </row>
    <row r="7" spans="1:16" ht="31.2">
      <c r="A7" s="796"/>
      <c r="B7" s="799"/>
      <c r="C7" s="799"/>
      <c r="D7" s="799"/>
      <c r="E7" s="215"/>
      <c r="F7" s="218"/>
      <c r="G7" s="219"/>
      <c r="H7" s="237">
        <v>4</v>
      </c>
      <c r="I7" s="263">
        <v>1058776.93</v>
      </c>
      <c r="J7" s="238">
        <f>9256.92*1.2</f>
        <v>11108.304</v>
      </c>
      <c r="K7" s="238">
        <f>I7-J7</f>
        <v>1047668.6259999999</v>
      </c>
      <c r="L7" s="329" t="s">
        <v>117</v>
      </c>
      <c r="M7" s="171" t="s">
        <v>92</v>
      </c>
      <c r="N7" s="217"/>
      <c r="O7" s="218"/>
      <c r="P7" s="219"/>
    </row>
    <row r="8" spans="1:16" ht="16.2" thickBot="1">
      <c r="A8" s="796"/>
      <c r="B8" s="799"/>
      <c r="C8" s="799"/>
      <c r="D8" s="800"/>
      <c r="E8" s="295"/>
      <c r="F8" s="302"/>
      <c r="G8" s="303"/>
      <c r="H8" s="296"/>
      <c r="I8" s="297">
        <f>SUM(I4:I7)</f>
        <v>1807049.25</v>
      </c>
      <c r="J8" s="298">
        <f>SUM(J4:J7)</f>
        <v>29423.64</v>
      </c>
      <c r="K8" s="298">
        <f>SUM(K4:K7)</f>
        <v>1777625.6099999999</v>
      </c>
      <c r="L8" s="299"/>
      <c r="M8" s="300"/>
      <c r="N8" s="301"/>
      <c r="O8" s="302"/>
      <c r="P8" s="303"/>
    </row>
    <row r="9" spans="1:16" ht="31.5" customHeight="1">
      <c r="A9" s="796"/>
      <c r="B9" s="799"/>
      <c r="C9" s="799"/>
      <c r="D9" s="801" t="s">
        <v>115</v>
      </c>
      <c r="E9" s="266">
        <f>'Реєстр ДЦ'!F7</f>
        <v>131336.26</v>
      </c>
      <c r="F9" s="305">
        <f>'Реєстр ДЦ'!G7</f>
        <v>41465.11</v>
      </c>
      <c r="G9" s="306">
        <f>'Реєстр ДЦ'!H7</f>
        <v>89871.150000000009</v>
      </c>
      <c r="H9" s="233"/>
      <c r="I9" s="271">
        <v>5042.8</v>
      </c>
      <c r="J9" s="180">
        <v>0</v>
      </c>
      <c r="K9" s="180">
        <f>I9-J9</f>
        <v>5042.8</v>
      </c>
      <c r="L9" s="267"/>
      <c r="M9" s="170" t="s">
        <v>107</v>
      </c>
      <c r="N9" s="266">
        <f>E9-I11</f>
        <v>126293.46</v>
      </c>
      <c r="O9" s="305">
        <f>F9-J11</f>
        <v>41465.11</v>
      </c>
      <c r="P9" s="306">
        <f>G9-K11</f>
        <v>84828.35</v>
      </c>
    </row>
    <row r="10" spans="1:16">
      <c r="A10" s="796"/>
      <c r="B10" s="799"/>
      <c r="C10" s="799"/>
      <c r="D10" s="802"/>
      <c r="E10" s="293"/>
      <c r="F10" s="307"/>
      <c r="G10" s="308"/>
      <c r="H10" s="294"/>
      <c r="I10" s="216"/>
      <c r="J10" s="157"/>
      <c r="K10" s="157"/>
      <c r="L10" s="292"/>
      <c r="M10" s="220"/>
      <c r="N10" s="217"/>
      <c r="O10" s="218"/>
      <c r="P10" s="219"/>
    </row>
    <row r="11" spans="1:16" ht="16.2" thickBot="1">
      <c r="A11" s="796"/>
      <c r="B11" s="799"/>
      <c r="C11" s="799"/>
      <c r="D11" s="803"/>
      <c r="E11" s="269"/>
      <c r="F11" s="309"/>
      <c r="G11" s="310"/>
      <c r="H11" s="270"/>
      <c r="I11" s="273">
        <f>SUM(I9:I10)</f>
        <v>5042.8</v>
      </c>
      <c r="J11" s="274">
        <f>SUM(J9:J10)</f>
        <v>0</v>
      </c>
      <c r="K11" s="274">
        <f>SUM(K9:K10)</f>
        <v>5042.8</v>
      </c>
      <c r="L11" s="275"/>
      <c r="M11" s="276"/>
      <c r="N11" s="290"/>
      <c r="O11" s="283"/>
      <c r="P11" s="291"/>
    </row>
    <row r="12" spans="1:16" ht="15.75" customHeight="1">
      <c r="A12" s="796"/>
      <c r="B12" s="799"/>
      <c r="C12" s="799"/>
      <c r="D12" s="798" t="s">
        <v>112</v>
      </c>
      <c r="E12" s="222">
        <f>'Реєстр ДЦ'!F8</f>
        <v>4080000</v>
      </c>
      <c r="F12" s="304">
        <f>1885393.55*1.2</f>
        <v>2262472.2599999998</v>
      </c>
      <c r="G12" s="221">
        <f>E12-F12</f>
        <v>1817527.7400000002</v>
      </c>
      <c r="H12" s="235"/>
      <c r="I12" s="210"/>
      <c r="J12" s="163"/>
      <c r="K12" s="163"/>
      <c r="L12" s="245"/>
      <c r="M12" s="211"/>
      <c r="N12" s="212">
        <f>E12-I14</f>
        <v>4080000</v>
      </c>
      <c r="O12" s="213">
        <f>F12-J14</f>
        <v>2262472.2599999998</v>
      </c>
      <c r="P12" s="214">
        <f>G12-K14</f>
        <v>1817527.7400000002</v>
      </c>
    </row>
    <row r="13" spans="1:16">
      <c r="A13" s="796"/>
      <c r="B13" s="799"/>
      <c r="C13" s="799"/>
      <c r="D13" s="799"/>
      <c r="E13" s="215"/>
      <c r="F13" s="218"/>
      <c r="G13" s="219"/>
      <c r="H13" s="234"/>
      <c r="I13" s="216"/>
      <c r="J13" s="157"/>
      <c r="K13" s="157"/>
      <c r="L13" s="292"/>
      <c r="M13" s="220"/>
      <c r="N13" s="217"/>
      <c r="O13" s="218"/>
      <c r="P13" s="219"/>
    </row>
    <row r="14" spans="1:16" ht="16.2" thickBot="1">
      <c r="A14" s="796"/>
      <c r="B14" s="799"/>
      <c r="C14" s="799"/>
      <c r="D14" s="800"/>
      <c r="E14" s="272"/>
      <c r="F14" s="283"/>
      <c r="G14" s="291"/>
      <c r="H14" s="247"/>
      <c r="I14" s="248">
        <f>SUM(I12:I13)</f>
        <v>0</v>
      </c>
      <c r="J14" s="277">
        <f t="shared" ref="J14:K14" si="0">SUM(J12:J13)</f>
        <v>0</v>
      </c>
      <c r="K14" s="277">
        <f t="shared" si="0"/>
        <v>0</v>
      </c>
      <c r="L14" s="278"/>
      <c r="M14" s="279"/>
      <c r="N14" s="290"/>
      <c r="O14" s="283"/>
      <c r="P14" s="291"/>
    </row>
    <row r="15" spans="1:16" ht="31.2">
      <c r="A15" s="796"/>
      <c r="B15" s="799"/>
      <c r="C15" s="799"/>
      <c r="D15" s="311" t="s">
        <v>113</v>
      </c>
      <c r="E15" s="265">
        <f>'Реєстр ДЦ'!F9</f>
        <v>1100452.22</v>
      </c>
      <c r="F15" s="312">
        <f>410866.37</f>
        <v>410866.37</v>
      </c>
      <c r="G15" s="313">
        <f>E15-F15</f>
        <v>689585.85</v>
      </c>
      <c r="H15" s="314"/>
      <c r="I15" s="315"/>
      <c r="J15" s="175"/>
      <c r="K15" s="175"/>
      <c r="L15" s="316"/>
      <c r="M15" s="176"/>
      <c r="N15" s="265">
        <f>E15-I16</f>
        <v>1100452.22</v>
      </c>
      <c r="O15" s="312">
        <f>F15-J16</f>
        <v>410866.37</v>
      </c>
      <c r="P15" s="313">
        <f>G15-K16</f>
        <v>689585.85</v>
      </c>
    </row>
    <row r="16" spans="1:16" ht="16.2" thickBot="1">
      <c r="A16" s="797"/>
      <c r="B16" s="800"/>
      <c r="C16" s="800"/>
      <c r="D16" s="317"/>
      <c r="E16" s="318"/>
      <c r="F16" s="319"/>
      <c r="G16" s="320"/>
      <c r="H16" s="321"/>
      <c r="I16" s="322">
        <f>SUM(I15)</f>
        <v>0</v>
      </c>
      <c r="J16" s="323">
        <f>SUM(J15)</f>
        <v>0</v>
      </c>
      <c r="K16" s="324">
        <f>SUM(K15)</f>
        <v>0</v>
      </c>
      <c r="L16" s="323"/>
      <c r="M16" s="325"/>
      <c r="N16" s="326"/>
      <c r="O16" s="327"/>
      <c r="P16" s="328"/>
    </row>
    <row r="17" spans="1:16" ht="16.2" thickBot="1">
      <c r="A17" s="285"/>
      <c r="B17" s="268"/>
      <c r="C17" s="268"/>
      <c r="D17" s="286"/>
      <c r="E17" s="280"/>
      <c r="F17" s="246"/>
      <c r="G17" s="281"/>
      <c r="H17" s="247"/>
      <c r="I17" s="287">
        <f>I8+I11+I14+I16</f>
        <v>1812092.05</v>
      </c>
      <c r="J17" s="288">
        <f t="shared" ref="J17:K17" si="1">J8+J11+J14+J16</f>
        <v>29423.64</v>
      </c>
      <c r="K17" s="288">
        <f t="shared" si="1"/>
        <v>1782668.41</v>
      </c>
      <c r="L17" s="288"/>
      <c r="M17" s="289"/>
      <c r="N17" s="282"/>
      <c r="O17" s="283"/>
      <c r="P17" s="284"/>
    </row>
    <row r="18" spans="1:16" ht="16.2" thickBot="1">
      <c r="C18" s="223"/>
      <c r="E18" s="224">
        <f>SUM(E4:E16)</f>
        <v>14982588.48</v>
      </c>
      <c r="F18" s="225">
        <f>SUM(F4:F16)</f>
        <v>3695023.01</v>
      </c>
      <c r="G18" s="226">
        <f>SUM(G4:G16)</f>
        <v>11287565.470000001</v>
      </c>
      <c r="H18" s="236"/>
      <c r="I18" s="224" t="e">
        <f>#REF!+#REF!+#REF!+I17</f>
        <v>#REF!</v>
      </c>
      <c r="J18" s="224" t="e">
        <f>#REF!+#REF!+#REF!+J17</f>
        <v>#REF!</v>
      </c>
      <c r="K18" s="230" t="e">
        <f>#REF!+#REF!+#REF!+K17</f>
        <v>#REF!</v>
      </c>
      <c r="L18" s="227"/>
      <c r="M18" s="228"/>
      <c r="N18" s="224">
        <f>SUM(N4:N16)</f>
        <v>13170496.430000002</v>
      </c>
      <c r="O18" s="225">
        <f>SUM(O4:O16)</f>
        <v>3665599.37</v>
      </c>
      <c r="P18" s="226">
        <f>SUM(P4:P16)</f>
        <v>9504897.0600000005</v>
      </c>
    </row>
    <row r="19" spans="1:16">
      <c r="C19" s="223"/>
      <c r="E19" s="223"/>
    </row>
    <row r="20" spans="1:16">
      <c r="C20" s="223"/>
    </row>
    <row r="21" spans="1:16">
      <c r="C21" s="223"/>
    </row>
    <row r="22" spans="1:16">
      <c r="C22" s="223"/>
    </row>
    <row r="24" spans="1:16">
      <c r="C24" s="223"/>
    </row>
    <row r="25" spans="1:16">
      <c r="C25" s="223"/>
    </row>
    <row r="26" spans="1:16">
      <c r="C26" s="223"/>
    </row>
    <row r="27" spans="1:16">
      <c r="C27" s="223"/>
    </row>
    <row r="28" spans="1:16">
      <c r="C28" s="223"/>
    </row>
    <row r="29" spans="1:16">
      <c r="C29" s="223"/>
    </row>
    <row r="30" spans="1:16">
      <c r="C30" s="223"/>
    </row>
    <row r="31" spans="1:16">
      <c r="C31" s="223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3"/>
  <sheetViews>
    <sheetView showWhiteSpace="0" view="pageBreakPreview" zoomScale="76" zoomScaleNormal="80" zoomScaleSheetLayoutView="76" workbookViewId="0">
      <pane ySplit="5" topLeftCell="A6" activePane="bottomLeft" state="frozen"/>
      <selection pane="bottomLeft" activeCell="I53" sqref="I53"/>
    </sheetView>
  </sheetViews>
  <sheetFormatPr defaultColWidth="9.109375" defaultRowHeight="12"/>
  <cols>
    <col min="1" max="1" width="10.44140625" style="331" customWidth="1"/>
    <col min="2" max="2" width="59.33203125" style="331" customWidth="1"/>
    <col min="3" max="4" width="20.6640625" style="365" customWidth="1"/>
    <col min="5" max="5" width="24.6640625" style="365" customWidth="1"/>
    <col min="6" max="6" width="20.6640625" style="365" customWidth="1"/>
    <col min="7" max="7" width="23.44140625" style="365" customWidth="1"/>
    <col min="8" max="8" width="21.33203125" style="365" customWidth="1"/>
    <col min="9" max="9" width="32.109375" style="365" customWidth="1"/>
    <col min="10" max="10" width="24.33203125" style="331" customWidth="1"/>
    <col min="11" max="11" width="51" style="331" customWidth="1"/>
    <col min="12" max="12" width="16.44140625" style="331" customWidth="1"/>
    <col min="13" max="16384" width="9.109375" style="331"/>
  </cols>
  <sheetData>
    <row r="1" spans="1:36" ht="16.95" customHeight="1">
      <c r="A1" s="804" t="s">
        <v>268</v>
      </c>
      <c r="B1" s="804"/>
      <c r="C1" s="804"/>
      <c r="D1" s="804"/>
      <c r="E1" s="804"/>
      <c r="F1" s="804"/>
      <c r="G1" s="804"/>
      <c r="H1" s="804"/>
      <c r="I1" s="804"/>
    </row>
    <row r="2" spans="1:36" ht="59.4" customHeight="1" thickBot="1">
      <c r="A2" s="804"/>
      <c r="B2" s="804"/>
      <c r="C2" s="804"/>
      <c r="D2" s="804"/>
      <c r="E2" s="804"/>
      <c r="F2" s="804"/>
      <c r="G2" s="804"/>
      <c r="H2" s="804"/>
      <c r="I2" s="804"/>
    </row>
    <row r="3" spans="1:36" ht="17.399999999999999" customHeight="1">
      <c r="A3" s="805" t="s">
        <v>124</v>
      </c>
      <c r="B3" s="818" t="s">
        <v>185</v>
      </c>
      <c r="C3" s="808" t="s">
        <v>192</v>
      </c>
      <c r="D3" s="808" t="s">
        <v>193</v>
      </c>
      <c r="E3" s="808" t="s">
        <v>204</v>
      </c>
      <c r="F3" s="808" t="s">
        <v>187</v>
      </c>
      <c r="G3" s="811" t="s">
        <v>9</v>
      </c>
      <c r="H3" s="812"/>
      <c r="I3" s="815" t="s">
        <v>191</v>
      </c>
    </row>
    <row r="4" spans="1:36" ht="21" customHeight="1">
      <c r="A4" s="806"/>
      <c r="B4" s="819"/>
      <c r="C4" s="809"/>
      <c r="D4" s="809"/>
      <c r="E4" s="809"/>
      <c r="F4" s="809"/>
      <c r="G4" s="813"/>
      <c r="H4" s="813" t="s">
        <v>190</v>
      </c>
      <c r="I4" s="816"/>
    </row>
    <row r="5" spans="1:36" ht="30" customHeight="1" thickBot="1">
      <c r="A5" s="807"/>
      <c r="B5" s="820"/>
      <c r="C5" s="810"/>
      <c r="D5" s="810"/>
      <c r="E5" s="810"/>
      <c r="F5" s="810"/>
      <c r="G5" s="814"/>
      <c r="H5" s="814"/>
      <c r="I5" s="817"/>
    </row>
    <row r="6" spans="1:36" s="346" customFormat="1" ht="49.2" customHeight="1">
      <c r="A6" s="674" t="s">
        <v>53</v>
      </c>
      <c r="B6" s="675" t="s">
        <v>199</v>
      </c>
      <c r="C6" s="676">
        <v>69779.8</v>
      </c>
      <c r="D6" s="683">
        <v>0</v>
      </c>
      <c r="E6" s="684">
        <v>69779.8</v>
      </c>
      <c r="F6" s="685">
        <v>53555.703999999998</v>
      </c>
      <c r="G6" s="676" t="s">
        <v>249</v>
      </c>
      <c r="H6" s="676" t="s">
        <v>201</v>
      </c>
      <c r="I6" s="676"/>
      <c r="J6" s="556" t="s">
        <v>312</v>
      </c>
      <c r="K6" s="701" t="s">
        <v>318</v>
      </c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W6" s="341"/>
      <c r="X6" s="341"/>
      <c r="Y6" s="341"/>
      <c r="Z6" s="341"/>
      <c r="AA6" s="341"/>
      <c r="AB6" s="341"/>
      <c r="AC6" s="341"/>
      <c r="AD6" s="341"/>
      <c r="AE6" s="341"/>
      <c r="AF6" s="341"/>
      <c r="AG6" s="341"/>
      <c r="AH6" s="341"/>
      <c r="AI6" s="341"/>
      <c r="AJ6" s="341"/>
    </row>
    <row r="7" spans="1:36" s="346" customFormat="1" ht="52.95" customHeight="1">
      <c r="A7" s="627" t="s">
        <v>69</v>
      </c>
      <c r="B7" s="628" t="s">
        <v>200</v>
      </c>
      <c r="C7" s="629">
        <v>2044</v>
      </c>
      <c r="D7" s="630">
        <v>0</v>
      </c>
      <c r="E7" s="635">
        <v>2044</v>
      </c>
      <c r="F7" s="636">
        <v>1470.91625</v>
      </c>
      <c r="G7" s="629" t="s">
        <v>249</v>
      </c>
      <c r="H7" s="636" t="s">
        <v>251</v>
      </c>
      <c r="I7" s="637"/>
      <c r="J7" s="330" t="s">
        <v>189</v>
      </c>
      <c r="K7" s="701" t="s">
        <v>319</v>
      </c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41"/>
      <c r="AB7" s="341"/>
      <c r="AC7" s="341"/>
      <c r="AD7" s="341"/>
      <c r="AE7" s="341"/>
      <c r="AF7" s="341"/>
      <c r="AG7" s="341"/>
      <c r="AH7" s="341"/>
      <c r="AI7" s="341"/>
      <c r="AJ7" s="341"/>
    </row>
    <row r="8" spans="1:36" s="346" customFormat="1" ht="42.6" customHeight="1">
      <c r="A8" s="671" t="s">
        <v>293</v>
      </c>
      <c r="B8" s="582" t="s">
        <v>292</v>
      </c>
      <c r="C8" s="570">
        <v>5179518.46</v>
      </c>
      <c r="D8" s="667">
        <v>2703844.6878399146</v>
      </c>
      <c r="E8" s="569">
        <v>7883363.147839915</v>
      </c>
      <c r="F8" s="570">
        <v>4754646.7705159308</v>
      </c>
      <c r="G8" s="658" t="s">
        <v>203</v>
      </c>
      <c r="H8" s="667" t="s">
        <v>296</v>
      </c>
      <c r="I8" s="577"/>
      <c r="J8" s="556" t="s">
        <v>203</v>
      </c>
      <c r="K8" s="701" t="s">
        <v>320</v>
      </c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341"/>
      <c r="AJ8" s="341"/>
    </row>
    <row r="9" spans="1:36" s="346" customFormat="1" ht="33" customHeight="1">
      <c r="A9" s="671" t="s">
        <v>294</v>
      </c>
      <c r="B9" s="582" t="s">
        <v>291</v>
      </c>
      <c r="C9" s="570">
        <v>5158551.46</v>
      </c>
      <c r="D9" s="667">
        <v>1893049.3518639102</v>
      </c>
      <c r="E9" s="569">
        <v>7051600.8118639104</v>
      </c>
      <c r="F9" s="570">
        <v>3860347.5408726884</v>
      </c>
      <c r="G9" s="658" t="s">
        <v>203</v>
      </c>
      <c r="H9" s="667" t="s">
        <v>296</v>
      </c>
      <c r="I9" s="578"/>
      <c r="J9" s="330" t="s">
        <v>188</v>
      </c>
      <c r="K9" s="701" t="s">
        <v>316</v>
      </c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  <c r="AA9" s="341"/>
      <c r="AB9" s="341"/>
      <c r="AC9" s="341"/>
      <c r="AD9" s="341"/>
      <c r="AE9" s="341"/>
      <c r="AF9" s="341"/>
      <c r="AG9" s="341"/>
      <c r="AH9" s="341"/>
      <c r="AI9" s="341"/>
      <c r="AJ9" s="341"/>
    </row>
    <row r="10" spans="1:36" s="346" customFormat="1" ht="39" customHeight="1">
      <c r="A10" s="671" t="s">
        <v>295</v>
      </c>
      <c r="B10" s="582" t="s">
        <v>290</v>
      </c>
      <c r="C10" s="570">
        <v>5110301.6399999997</v>
      </c>
      <c r="D10" s="667">
        <v>2656005.817839914</v>
      </c>
      <c r="E10" s="569">
        <v>7766307.4578399099</v>
      </c>
      <c r="F10" s="570">
        <v>4730790.0551202716</v>
      </c>
      <c r="G10" s="658" t="s">
        <v>203</v>
      </c>
      <c r="H10" s="667" t="s">
        <v>296</v>
      </c>
      <c r="I10" s="578"/>
      <c r="J10" s="557" t="s">
        <v>249</v>
      </c>
      <c r="K10" s="701" t="s">
        <v>321</v>
      </c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</row>
    <row r="11" spans="1:36" s="346" customFormat="1" ht="56.4" customHeight="1">
      <c r="A11" s="602" t="s">
        <v>71</v>
      </c>
      <c r="B11" s="603" t="s">
        <v>194</v>
      </c>
      <c r="C11" s="568">
        <f t="shared" ref="C11:C16" si="0">E11-D11</f>
        <v>350360.21997806279</v>
      </c>
      <c r="D11" s="568">
        <v>53568.850021937236</v>
      </c>
      <c r="E11" s="569">
        <v>403929.07</v>
      </c>
      <c r="F11" s="568">
        <v>302771.48427855258</v>
      </c>
      <c r="G11" s="568" t="s">
        <v>249</v>
      </c>
      <c r="H11" s="579" t="s">
        <v>212</v>
      </c>
      <c r="I11" s="579"/>
      <c r="J11" s="341"/>
      <c r="K11" s="558"/>
      <c r="L11" s="341"/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1"/>
      <c r="AJ11" s="341"/>
    </row>
    <row r="12" spans="1:36" s="346" customFormat="1" ht="56.4" customHeight="1">
      <c r="A12" s="638" t="s">
        <v>264</v>
      </c>
      <c r="B12" s="639" t="s">
        <v>265</v>
      </c>
      <c r="C12" s="629">
        <f>E12-D12</f>
        <v>37400</v>
      </c>
      <c r="D12" s="629">
        <v>9854.52</v>
      </c>
      <c r="E12" s="631">
        <v>47254.520000000004</v>
      </c>
      <c r="F12" s="629">
        <v>29668.175600000002</v>
      </c>
      <c r="G12" s="629" t="s">
        <v>249</v>
      </c>
      <c r="H12" s="634" t="s">
        <v>269</v>
      </c>
      <c r="I12" s="634"/>
      <c r="J12" s="341"/>
      <c r="K12" s="558"/>
      <c r="L12" s="341"/>
      <c r="M12" s="341"/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</row>
    <row r="13" spans="1:36" s="346" customFormat="1" ht="41.4" customHeight="1">
      <c r="A13" s="566" t="s">
        <v>72</v>
      </c>
      <c r="B13" s="567" t="s">
        <v>195</v>
      </c>
      <c r="C13" s="570">
        <f t="shared" si="0"/>
        <v>37087.250000000007</v>
      </c>
      <c r="D13" s="570">
        <v>863.35</v>
      </c>
      <c r="E13" s="581">
        <v>37950.600000000006</v>
      </c>
      <c r="F13" s="570">
        <v>19776.593000000001</v>
      </c>
      <c r="G13" s="601" t="s">
        <v>249</v>
      </c>
      <c r="H13" s="579" t="s">
        <v>212</v>
      </c>
      <c r="I13" s="568"/>
      <c r="J13" s="562"/>
      <c r="K13" s="563"/>
      <c r="L13" s="560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</row>
    <row r="14" spans="1:36" s="346" customFormat="1" ht="55.2" customHeight="1">
      <c r="A14" s="566" t="s">
        <v>208</v>
      </c>
      <c r="B14" s="567" t="s">
        <v>211</v>
      </c>
      <c r="C14" s="568">
        <f t="shared" si="0"/>
        <v>973903.16</v>
      </c>
      <c r="D14" s="568">
        <v>21018.84</v>
      </c>
      <c r="E14" s="569">
        <v>994922</v>
      </c>
      <c r="F14" s="568">
        <v>401728.42000000004</v>
      </c>
      <c r="G14" s="601" t="s">
        <v>249</v>
      </c>
      <c r="H14" s="579" t="s">
        <v>212</v>
      </c>
      <c r="I14" s="568"/>
      <c r="J14" s="564"/>
      <c r="K14" s="565"/>
      <c r="L14" s="560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  <c r="AA14" s="341"/>
      <c r="AB14" s="341"/>
      <c r="AC14" s="341"/>
      <c r="AD14" s="341"/>
      <c r="AE14" s="341"/>
      <c r="AF14" s="341"/>
      <c r="AG14" s="341"/>
      <c r="AH14" s="341"/>
      <c r="AI14" s="341"/>
      <c r="AJ14" s="341"/>
    </row>
    <row r="15" spans="1:36" s="346" customFormat="1" ht="46.95" customHeight="1">
      <c r="A15" s="566" t="s">
        <v>209</v>
      </c>
      <c r="B15" s="567" t="s">
        <v>206</v>
      </c>
      <c r="C15" s="568">
        <f t="shared" si="0"/>
        <v>392335.15</v>
      </c>
      <c r="D15" s="568">
        <v>9152.92</v>
      </c>
      <c r="E15" s="569">
        <v>401488.07</v>
      </c>
      <c r="F15" s="568">
        <v>172537.44209999999</v>
      </c>
      <c r="G15" s="601" t="s">
        <v>249</v>
      </c>
      <c r="H15" s="579" t="s">
        <v>212</v>
      </c>
      <c r="I15" s="568"/>
      <c r="J15" s="561"/>
      <c r="K15" s="561"/>
      <c r="L15" s="560"/>
      <c r="M15" s="341"/>
      <c r="N15" s="341"/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  <c r="AE15" s="341"/>
      <c r="AF15" s="341"/>
      <c r="AG15" s="341"/>
      <c r="AH15" s="341"/>
      <c r="AI15" s="341"/>
      <c r="AJ15" s="341"/>
    </row>
    <row r="16" spans="1:36" s="346" customFormat="1" ht="48.6" customHeight="1">
      <c r="A16" s="566" t="s">
        <v>210</v>
      </c>
      <c r="B16" s="567" t="s">
        <v>207</v>
      </c>
      <c r="C16" s="568">
        <f t="shared" si="0"/>
        <v>392335.15</v>
      </c>
      <c r="D16" s="568">
        <v>9152.92</v>
      </c>
      <c r="E16" s="569">
        <v>401488.07</v>
      </c>
      <c r="F16" s="568">
        <v>172537.44209999999</v>
      </c>
      <c r="G16" s="601" t="s">
        <v>249</v>
      </c>
      <c r="H16" s="579" t="s">
        <v>212</v>
      </c>
      <c r="I16" s="568"/>
      <c r="J16" s="559"/>
      <c r="K16" s="558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</row>
    <row r="17" spans="1:36" s="346" customFormat="1" ht="41.4" customHeight="1">
      <c r="A17" s="627" t="s">
        <v>74</v>
      </c>
      <c r="B17" s="628" t="s">
        <v>186</v>
      </c>
      <c r="C17" s="632">
        <v>70000</v>
      </c>
      <c r="D17" s="632">
        <v>0</v>
      </c>
      <c r="E17" s="633">
        <v>70000</v>
      </c>
      <c r="F17" s="629">
        <v>45779.08</v>
      </c>
      <c r="G17" s="629" t="s">
        <v>249</v>
      </c>
      <c r="H17" s="634" t="s">
        <v>212</v>
      </c>
      <c r="I17" s="634"/>
      <c r="J17" s="341"/>
      <c r="K17" s="557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</row>
    <row r="18" spans="1:36" s="346" customFormat="1" ht="33.6" customHeight="1">
      <c r="A18" s="566" t="s">
        <v>77</v>
      </c>
      <c r="B18" s="567" t="s">
        <v>196</v>
      </c>
      <c r="C18" s="568">
        <f>E18-D18</f>
        <v>2107510</v>
      </c>
      <c r="D18" s="568">
        <v>76400.000000000015</v>
      </c>
      <c r="E18" s="569">
        <v>2183910</v>
      </c>
      <c r="F18" s="568">
        <v>1772377.9</v>
      </c>
      <c r="G18" s="601" t="s">
        <v>249</v>
      </c>
      <c r="H18" s="579" t="s">
        <v>212</v>
      </c>
      <c r="I18" s="573"/>
      <c r="J18" s="559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</row>
    <row r="19" spans="1:36" s="346" customFormat="1" ht="37.200000000000003" customHeight="1">
      <c r="A19" s="566" t="s">
        <v>78</v>
      </c>
      <c r="B19" s="567" t="s">
        <v>197</v>
      </c>
      <c r="C19" s="568">
        <f>E19-D19</f>
        <v>621686.26</v>
      </c>
      <c r="D19" s="568">
        <v>22419.839999999997</v>
      </c>
      <c r="E19" s="569">
        <v>644106.1</v>
      </c>
      <c r="F19" s="568">
        <v>457768.99099999992</v>
      </c>
      <c r="G19" s="601" t="s">
        <v>249</v>
      </c>
      <c r="H19" s="579" t="s">
        <v>219</v>
      </c>
      <c r="I19" s="568"/>
      <c r="J19" s="559"/>
      <c r="K19" s="558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341"/>
      <c r="AB19" s="341"/>
      <c r="AC19" s="341"/>
      <c r="AD19" s="341"/>
      <c r="AE19" s="341"/>
      <c r="AF19" s="341"/>
      <c r="AG19" s="341"/>
      <c r="AH19" s="341"/>
      <c r="AI19" s="341"/>
      <c r="AJ19" s="341"/>
    </row>
    <row r="20" spans="1:36" s="346" customFormat="1" ht="41.4" customHeight="1">
      <c r="A20" s="566" t="s">
        <v>76</v>
      </c>
      <c r="B20" s="567" t="s">
        <v>215</v>
      </c>
      <c r="C20" s="568">
        <f t="shared" ref="C20:C22" si="1">E20-D20</f>
        <v>518718.58640000003</v>
      </c>
      <c r="D20" s="570">
        <v>7985.1935999999996</v>
      </c>
      <c r="E20" s="569">
        <v>526703.78</v>
      </c>
      <c r="F20" s="570">
        <v>170608.85100000002</v>
      </c>
      <c r="G20" s="601" t="s">
        <v>249</v>
      </c>
      <c r="H20" s="579" t="s">
        <v>220</v>
      </c>
      <c r="I20" s="570"/>
      <c r="J20" s="341"/>
      <c r="K20" s="557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41"/>
      <c r="AB20" s="341"/>
      <c r="AC20" s="341"/>
      <c r="AD20" s="341"/>
      <c r="AE20" s="341"/>
      <c r="AF20" s="341"/>
      <c r="AG20" s="341"/>
      <c r="AH20" s="341"/>
      <c r="AI20" s="341"/>
      <c r="AJ20" s="341"/>
    </row>
    <row r="21" spans="1:36" s="346" customFormat="1" ht="36" customHeight="1">
      <c r="A21" s="627" t="s">
        <v>79</v>
      </c>
      <c r="B21" s="628" t="s">
        <v>213</v>
      </c>
      <c r="C21" s="629">
        <f t="shared" si="1"/>
        <v>76937.850000000006</v>
      </c>
      <c r="D21" s="632">
        <v>0</v>
      </c>
      <c r="E21" s="631">
        <v>76937.850000000006</v>
      </c>
      <c r="F21" s="632">
        <v>17455.175500000001</v>
      </c>
      <c r="G21" s="629" t="s">
        <v>249</v>
      </c>
      <c r="H21" s="636" t="s">
        <v>251</v>
      </c>
      <c r="I21" s="632"/>
      <c r="J21" s="341"/>
      <c r="K21" s="557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</row>
    <row r="22" spans="1:36" s="346" customFormat="1" ht="35.4" customHeight="1">
      <c r="A22" s="627" t="s">
        <v>75</v>
      </c>
      <c r="B22" s="628" t="s">
        <v>214</v>
      </c>
      <c r="C22" s="629">
        <f t="shared" si="1"/>
        <v>300000</v>
      </c>
      <c r="D22" s="632">
        <v>0</v>
      </c>
      <c r="E22" s="631">
        <v>300000</v>
      </c>
      <c r="F22" s="632">
        <v>164500</v>
      </c>
      <c r="G22" s="629" t="s">
        <v>249</v>
      </c>
      <c r="H22" s="636" t="s">
        <v>251</v>
      </c>
      <c r="I22" s="632"/>
      <c r="J22" s="341"/>
      <c r="K22" s="557"/>
      <c r="L22" s="341"/>
      <c r="M22" s="341"/>
      <c r="N22" s="341"/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  <c r="AI22" s="341"/>
      <c r="AJ22" s="341"/>
    </row>
    <row r="23" spans="1:36" s="346" customFormat="1" ht="32.4" customHeight="1">
      <c r="A23" s="566" t="s">
        <v>80</v>
      </c>
      <c r="B23" s="567" t="s">
        <v>217</v>
      </c>
      <c r="C23" s="568">
        <v>660038.21000000008</v>
      </c>
      <c r="D23" s="570">
        <v>0</v>
      </c>
      <c r="E23" s="569">
        <v>660038.21000000008</v>
      </c>
      <c r="F23" s="570">
        <v>300188.17330000002</v>
      </c>
      <c r="G23" s="658" t="s">
        <v>188</v>
      </c>
      <c r="H23" s="579" t="s">
        <v>339</v>
      </c>
      <c r="I23" s="702" t="s">
        <v>350</v>
      </c>
      <c r="J23" s="341"/>
      <c r="K23" s="557"/>
      <c r="L23" s="341"/>
      <c r="M23" s="341"/>
      <c r="N23" s="341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  <c r="AF23" s="341"/>
      <c r="AG23" s="341"/>
      <c r="AH23" s="341"/>
      <c r="AI23" s="341"/>
      <c r="AJ23" s="341"/>
    </row>
    <row r="24" spans="1:36" s="346" customFormat="1" ht="32.4" customHeight="1">
      <c r="A24" s="627" t="s">
        <v>81</v>
      </c>
      <c r="B24" s="628" t="s">
        <v>227</v>
      </c>
      <c r="C24" s="629">
        <v>92115.83</v>
      </c>
      <c r="D24" s="632">
        <v>0</v>
      </c>
      <c r="E24" s="631">
        <v>92115.83</v>
      </c>
      <c r="F24" s="632">
        <v>44816.32</v>
      </c>
      <c r="G24" s="629" t="s">
        <v>249</v>
      </c>
      <c r="H24" s="634" t="s">
        <v>242</v>
      </c>
      <c r="I24" s="632"/>
      <c r="J24" s="341"/>
      <c r="K24" s="557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</row>
    <row r="25" spans="1:36" s="346" customFormat="1" ht="40.200000000000003" customHeight="1">
      <c r="A25" s="627" t="s">
        <v>243</v>
      </c>
      <c r="B25" s="628" t="s">
        <v>247</v>
      </c>
      <c r="C25" s="629">
        <v>69692.789999999994</v>
      </c>
      <c r="D25" s="632">
        <v>0</v>
      </c>
      <c r="E25" s="631">
        <v>69692.789999999994</v>
      </c>
      <c r="F25" s="632">
        <v>44109.519699999997</v>
      </c>
      <c r="G25" s="629" t="s">
        <v>249</v>
      </c>
      <c r="H25" s="634" t="s">
        <v>242</v>
      </c>
      <c r="I25" s="640"/>
      <c r="J25" s="341"/>
      <c r="K25" s="557"/>
      <c r="L25" s="341"/>
      <c r="M25" s="341"/>
      <c r="N25" s="341"/>
      <c r="O25" s="341"/>
      <c r="P25" s="341"/>
      <c r="Q25" s="341"/>
      <c r="R25" s="341"/>
      <c r="S25" s="341"/>
      <c r="T25" s="341"/>
      <c r="U25" s="341"/>
      <c r="V25" s="341"/>
      <c r="W25" s="341"/>
      <c r="X25" s="341"/>
      <c r="Y25" s="341"/>
      <c r="Z25" s="341"/>
      <c r="AA25" s="341"/>
      <c r="AB25" s="341"/>
      <c r="AC25" s="341"/>
      <c r="AD25" s="341"/>
      <c r="AE25" s="341"/>
      <c r="AF25" s="341"/>
      <c r="AG25" s="341"/>
      <c r="AH25" s="341"/>
      <c r="AI25" s="341"/>
      <c r="AJ25" s="341"/>
    </row>
    <row r="26" spans="1:36" s="346" customFormat="1" ht="43.2" customHeight="1">
      <c r="A26" s="627" t="s">
        <v>244</v>
      </c>
      <c r="B26" s="628" t="s">
        <v>248</v>
      </c>
      <c r="C26" s="629">
        <v>130832</v>
      </c>
      <c r="D26" s="632">
        <v>0</v>
      </c>
      <c r="E26" s="631">
        <v>130832</v>
      </c>
      <c r="F26" s="632">
        <v>48252.100000000006</v>
      </c>
      <c r="G26" s="629" t="s">
        <v>249</v>
      </c>
      <c r="H26" s="634" t="s">
        <v>242</v>
      </c>
      <c r="I26" s="640"/>
      <c r="J26" s="341"/>
      <c r="K26" s="557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41"/>
      <c r="AB26" s="341"/>
      <c r="AC26" s="341"/>
      <c r="AD26" s="341"/>
      <c r="AE26" s="341"/>
      <c r="AF26" s="341"/>
      <c r="AG26" s="341"/>
      <c r="AH26" s="341"/>
      <c r="AI26" s="341"/>
      <c r="AJ26" s="341"/>
    </row>
    <row r="27" spans="1:36" s="346" customFormat="1" ht="43.2" customHeight="1">
      <c r="A27" s="669" t="s">
        <v>286</v>
      </c>
      <c r="B27" s="670" t="s">
        <v>287</v>
      </c>
      <c r="C27" s="667">
        <v>61643.270000000004</v>
      </c>
      <c r="D27" s="570">
        <v>0</v>
      </c>
      <c r="E27" s="569">
        <v>61643.270000000004</v>
      </c>
      <c r="F27" s="570">
        <v>22365.6181</v>
      </c>
      <c r="G27" s="667" t="s">
        <v>249</v>
      </c>
      <c r="H27" s="579" t="s">
        <v>298</v>
      </c>
      <c r="I27" s="664"/>
      <c r="J27" s="341"/>
      <c r="K27" s="557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  <c r="AA27" s="341"/>
      <c r="AB27" s="341"/>
      <c r="AC27" s="341"/>
      <c r="AD27" s="341"/>
      <c r="AE27" s="341"/>
      <c r="AF27" s="341"/>
      <c r="AG27" s="341"/>
      <c r="AH27" s="341"/>
      <c r="AI27" s="341"/>
      <c r="AJ27" s="341"/>
    </row>
    <row r="28" spans="1:36" s="346" customFormat="1" ht="40.950000000000003" customHeight="1">
      <c r="A28" s="574" t="s">
        <v>169</v>
      </c>
      <c r="B28" s="575" t="s">
        <v>233</v>
      </c>
      <c r="C28" s="576">
        <v>5868795.1899999995</v>
      </c>
      <c r="D28" s="570">
        <v>0</v>
      </c>
      <c r="E28" s="569">
        <v>5868795.1899999995</v>
      </c>
      <c r="F28" s="570">
        <v>2423899.2856999999</v>
      </c>
      <c r="G28" s="606" t="s">
        <v>249</v>
      </c>
      <c r="H28" s="606" t="s">
        <v>263</v>
      </c>
      <c r="I28" s="570"/>
      <c r="J28" s="341"/>
      <c r="K28" s="557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1"/>
      <c r="AF28" s="341"/>
      <c r="AG28" s="341"/>
      <c r="AH28" s="341"/>
      <c r="AI28" s="341"/>
      <c r="AJ28" s="341"/>
    </row>
    <row r="29" spans="1:36" s="346" customFormat="1" ht="37.950000000000003" customHeight="1">
      <c r="A29" s="589" t="s">
        <v>170</v>
      </c>
      <c r="B29" s="590" t="s">
        <v>198</v>
      </c>
      <c r="C29" s="587">
        <v>1109034.9700000002</v>
      </c>
      <c r="D29" s="570"/>
      <c r="E29" s="569">
        <v>1109034.9700000002</v>
      </c>
      <c r="F29" s="570">
        <v>656317.54006999708</v>
      </c>
      <c r="G29" s="621" t="s">
        <v>249</v>
      </c>
      <c r="H29" s="579" t="s">
        <v>269</v>
      </c>
      <c r="I29" s="570"/>
      <c r="J29" s="341"/>
      <c r="K29" s="557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1"/>
      <c r="AE29" s="341"/>
      <c r="AF29" s="341"/>
      <c r="AG29" s="341"/>
      <c r="AH29" s="341"/>
      <c r="AI29" s="341"/>
      <c r="AJ29" s="341"/>
    </row>
    <row r="30" spans="1:36" s="346" customFormat="1" ht="32.4" customHeight="1">
      <c r="A30" s="627" t="s">
        <v>171</v>
      </c>
      <c r="B30" s="628" t="s">
        <v>226</v>
      </c>
      <c r="C30" s="629">
        <v>220420.19</v>
      </c>
      <c r="D30" s="632">
        <v>0</v>
      </c>
      <c r="E30" s="631">
        <v>220420.19</v>
      </c>
      <c r="F30" s="632">
        <v>172065.92569999999</v>
      </c>
      <c r="G30" s="629" t="s">
        <v>249</v>
      </c>
      <c r="H30" s="634" t="s">
        <v>242</v>
      </c>
      <c r="I30" s="632"/>
      <c r="J30" s="341"/>
      <c r="K30" s="557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41"/>
      <c r="AG30" s="341"/>
      <c r="AH30" s="341"/>
      <c r="AI30" s="341"/>
      <c r="AJ30" s="341"/>
    </row>
    <row r="31" spans="1:36" s="346" customFormat="1" ht="34.200000000000003" customHeight="1">
      <c r="A31" s="627" t="s">
        <v>172</v>
      </c>
      <c r="B31" s="628" t="s">
        <v>228</v>
      </c>
      <c r="C31" s="629">
        <v>19075.719999999998</v>
      </c>
      <c r="D31" s="632">
        <v>0</v>
      </c>
      <c r="E31" s="631">
        <v>19075.719999999998</v>
      </c>
      <c r="F31" s="632">
        <v>10869.5216</v>
      </c>
      <c r="G31" s="629" t="s">
        <v>249</v>
      </c>
      <c r="H31" s="634" t="s">
        <v>269</v>
      </c>
      <c r="I31" s="632"/>
      <c r="J31" s="341"/>
      <c r="K31" s="557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</row>
    <row r="32" spans="1:36" s="346" customFormat="1" ht="37.200000000000003" customHeight="1">
      <c r="A32" s="627" t="s">
        <v>221</v>
      </c>
      <c r="B32" s="628" t="s">
        <v>231</v>
      </c>
      <c r="C32" s="629">
        <v>8730</v>
      </c>
      <c r="D32" s="632">
        <v>0</v>
      </c>
      <c r="E32" s="631">
        <v>8730</v>
      </c>
      <c r="F32" s="632">
        <v>4643.8600000000006</v>
      </c>
      <c r="G32" s="629" t="s">
        <v>249</v>
      </c>
      <c r="H32" s="634" t="s">
        <v>242</v>
      </c>
      <c r="I32" s="632"/>
      <c r="J32" s="341"/>
      <c r="K32" s="557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</row>
    <row r="33" spans="1:36" s="346" customFormat="1" ht="39.6" customHeight="1">
      <c r="A33" s="593" t="s">
        <v>222</v>
      </c>
      <c r="B33" s="594" t="s">
        <v>241</v>
      </c>
      <c r="C33" s="592">
        <v>1821725.04</v>
      </c>
      <c r="D33" s="570">
        <v>0</v>
      </c>
      <c r="E33" s="569">
        <v>1821725.04</v>
      </c>
      <c r="F33" s="570">
        <v>1331254.8872</v>
      </c>
      <c r="G33" s="606" t="s">
        <v>249</v>
      </c>
      <c r="H33" s="606" t="s">
        <v>263</v>
      </c>
      <c r="I33" s="570"/>
      <c r="J33" s="341"/>
      <c r="K33" s="557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</row>
    <row r="34" spans="1:36" s="346" customFormat="1" ht="39.6" customHeight="1">
      <c r="A34" s="600" t="s">
        <v>223</v>
      </c>
      <c r="B34" s="599" t="s">
        <v>246</v>
      </c>
      <c r="C34" s="598">
        <v>505000</v>
      </c>
      <c r="D34" s="570">
        <v>0</v>
      </c>
      <c r="E34" s="569">
        <v>505000</v>
      </c>
      <c r="F34" s="570">
        <v>298585.15000000002</v>
      </c>
      <c r="G34" s="606" t="s">
        <v>249</v>
      </c>
      <c r="H34" s="606" t="s">
        <v>263</v>
      </c>
      <c r="I34" s="570"/>
      <c r="J34" s="341"/>
      <c r="K34" s="557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  <c r="AE34" s="341"/>
      <c r="AF34" s="341"/>
      <c r="AG34" s="341"/>
      <c r="AH34" s="341"/>
      <c r="AI34" s="341"/>
      <c r="AJ34" s="341"/>
    </row>
    <row r="35" spans="1:36" s="346" customFormat="1" ht="41.4" customHeight="1">
      <c r="A35" s="597" t="s">
        <v>245</v>
      </c>
      <c r="B35" s="596" t="s">
        <v>232</v>
      </c>
      <c r="C35" s="595">
        <v>959112.20788461529</v>
      </c>
      <c r="D35" s="570">
        <v>0</v>
      </c>
      <c r="E35" s="569">
        <v>959112.20788461529</v>
      </c>
      <c r="F35" s="570">
        <v>664712.82491923077</v>
      </c>
      <c r="G35" s="606" t="s">
        <v>249</v>
      </c>
      <c r="H35" s="606" t="s">
        <v>263</v>
      </c>
      <c r="I35" s="570"/>
      <c r="J35" s="341"/>
      <c r="K35" s="557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</row>
    <row r="36" spans="1:36" s="346" customFormat="1" ht="43.2" customHeight="1">
      <c r="A36" s="627" t="s">
        <v>252</v>
      </c>
      <c r="B36" s="639" t="s">
        <v>254</v>
      </c>
      <c r="C36" s="629">
        <v>16887.37</v>
      </c>
      <c r="D36" s="632">
        <v>0</v>
      </c>
      <c r="E36" s="631">
        <v>16887.37</v>
      </c>
      <c r="F36" s="632">
        <v>9606.6483500000013</v>
      </c>
      <c r="G36" s="629" t="s">
        <v>249</v>
      </c>
      <c r="H36" s="634" t="s">
        <v>274</v>
      </c>
      <c r="I36" s="632"/>
      <c r="J36" s="341"/>
      <c r="K36" s="557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</row>
    <row r="37" spans="1:36" s="346" customFormat="1" ht="32.4" customHeight="1">
      <c r="A37" s="605" t="s">
        <v>253</v>
      </c>
      <c r="B37" s="603" t="s">
        <v>255</v>
      </c>
      <c r="C37" s="604">
        <v>35345</v>
      </c>
      <c r="D37" s="570">
        <v>0</v>
      </c>
      <c r="E37" s="569">
        <v>35345</v>
      </c>
      <c r="F37" s="570">
        <v>18769.95</v>
      </c>
      <c r="G37" s="623" t="s">
        <v>249</v>
      </c>
      <c r="H37" s="579" t="s">
        <v>274</v>
      </c>
      <c r="I37" s="570"/>
      <c r="J37" s="341"/>
      <c r="K37" s="557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1"/>
      <c r="Z37" s="341"/>
      <c r="AA37" s="341"/>
      <c r="AB37" s="341"/>
      <c r="AC37" s="341"/>
      <c r="AD37" s="341"/>
      <c r="AE37" s="341"/>
      <c r="AF37" s="341"/>
      <c r="AG37" s="341"/>
      <c r="AH37" s="341"/>
      <c r="AI37" s="341"/>
      <c r="AJ37" s="341"/>
    </row>
    <row r="38" spans="1:36" s="346" customFormat="1" ht="32.4" customHeight="1">
      <c r="A38" s="605" t="s">
        <v>258</v>
      </c>
      <c r="B38" s="603" t="s">
        <v>256</v>
      </c>
      <c r="C38" s="604">
        <v>35365.25</v>
      </c>
      <c r="D38" s="570">
        <v>0</v>
      </c>
      <c r="E38" s="569">
        <v>35365.25</v>
      </c>
      <c r="F38" s="570">
        <v>18744.2775</v>
      </c>
      <c r="G38" s="623" t="s">
        <v>249</v>
      </c>
      <c r="H38" s="579" t="s">
        <v>274</v>
      </c>
      <c r="I38" s="570"/>
      <c r="J38" s="341"/>
      <c r="K38" s="557"/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  <c r="AA38" s="341"/>
      <c r="AB38" s="341"/>
      <c r="AC38" s="341"/>
      <c r="AD38" s="341"/>
      <c r="AE38" s="341"/>
      <c r="AF38" s="341"/>
      <c r="AG38" s="341"/>
      <c r="AH38" s="341"/>
      <c r="AI38" s="341"/>
      <c r="AJ38" s="341"/>
    </row>
    <row r="39" spans="1:36" s="346" customFormat="1" ht="32.4" customHeight="1">
      <c r="A39" s="627" t="s">
        <v>259</v>
      </c>
      <c r="B39" s="639" t="s">
        <v>257</v>
      </c>
      <c r="C39" s="629">
        <v>35433.65</v>
      </c>
      <c r="D39" s="632">
        <v>0</v>
      </c>
      <c r="E39" s="631">
        <v>35433.65</v>
      </c>
      <c r="F39" s="632">
        <v>18743.161499999998</v>
      </c>
      <c r="G39" s="629" t="s">
        <v>249</v>
      </c>
      <c r="H39" s="634" t="s">
        <v>274</v>
      </c>
      <c r="I39" s="632"/>
      <c r="J39" s="341"/>
      <c r="K39" s="557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</row>
    <row r="40" spans="1:36" s="346" customFormat="1" ht="32.4" customHeight="1">
      <c r="A40" s="605" t="s">
        <v>272</v>
      </c>
      <c r="B40" s="603" t="s">
        <v>261</v>
      </c>
      <c r="C40" s="604">
        <v>30402.5</v>
      </c>
      <c r="D40" s="570">
        <v>0</v>
      </c>
      <c r="E40" s="569">
        <v>30402.5</v>
      </c>
      <c r="F40" s="570">
        <v>15491.275</v>
      </c>
      <c r="G40" s="623" t="s">
        <v>249</v>
      </c>
      <c r="H40" s="579" t="s">
        <v>274</v>
      </c>
      <c r="I40" s="570"/>
      <c r="J40" s="341"/>
      <c r="K40" s="557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</row>
    <row r="41" spans="1:36" s="346" customFormat="1" ht="39.6" customHeight="1">
      <c r="A41" s="589" t="s">
        <v>224</v>
      </c>
      <c r="B41" s="588" t="s">
        <v>234</v>
      </c>
      <c r="C41" s="587">
        <v>246953.74</v>
      </c>
      <c r="D41" s="570">
        <v>0</v>
      </c>
      <c r="E41" s="569">
        <v>246953.74</v>
      </c>
      <c r="F41" s="570">
        <v>102324.3898102552</v>
      </c>
      <c r="G41" s="623" t="s">
        <v>249</v>
      </c>
      <c r="H41" s="579" t="s">
        <v>274</v>
      </c>
      <c r="I41" s="570"/>
      <c r="J41" s="341"/>
      <c r="K41" s="557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</row>
    <row r="42" spans="1:36" s="346" customFormat="1" ht="32.4" customHeight="1">
      <c r="A42" s="591" t="s">
        <v>225</v>
      </c>
      <c r="B42" s="586" t="s">
        <v>229</v>
      </c>
      <c r="C42" s="585">
        <v>799305.07999999984</v>
      </c>
      <c r="D42" s="570">
        <v>0</v>
      </c>
      <c r="E42" s="569">
        <v>799305.07999999984</v>
      </c>
      <c r="F42" s="570">
        <v>460219.92040000006</v>
      </c>
      <c r="G42" s="667" t="s">
        <v>249</v>
      </c>
      <c r="H42" s="579" t="s">
        <v>327</v>
      </c>
      <c r="I42" s="702"/>
      <c r="J42" s="341"/>
      <c r="K42" s="557"/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  <c r="AA42" s="341"/>
      <c r="AB42" s="341"/>
      <c r="AC42" s="341"/>
      <c r="AD42" s="341"/>
      <c r="AE42" s="341"/>
      <c r="AF42" s="341"/>
      <c r="AG42" s="341"/>
      <c r="AH42" s="341"/>
      <c r="AI42" s="341"/>
      <c r="AJ42" s="341"/>
    </row>
    <row r="43" spans="1:36" s="346" customFormat="1" ht="40.950000000000003" customHeight="1">
      <c r="A43" s="608" t="s">
        <v>235</v>
      </c>
      <c r="B43" s="609" t="s">
        <v>273</v>
      </c>
      <c r="C43" s="607">
        <v>48963.26</v>
      </c>
      <c r="D43" s="570">
        <v>0</v>
      </c>
      <c r="E43" s="569">
        <v>48963.26</v>
      </c>
      <c r="F43" s="570">
        <v>31782.817800000001</v>
      </c>
      <c r="G43" s="648" t="s">
        <v>249</v>
      </c>
      <c r="H43" s="579" t="s">
        <v>281</v>
      </c>
      <c r="I43" s="570"/>
      <c r="J43" s="341"/>
      <c r="K43" s="557"/>
      <c r="L43" s="341"/>
      <c r="M43" s="341"/>
      <c r="N43" s="341"/>
      <c r="O43" s="341"/>
      <c r="P43" s="341"/>
      <c r="Q43" s="341"/>
      <c r="R43" s="341"/>
      <c r="S43" s="341"/>
      <c r="T43" s="341"/>
      <c r="U43" s="341"/>
      <c r="V43" s="341"/>
      <c r="W43" s="341"/>
      <c r="X43" s="341"/>
      <c r="Y43" s="341"/>
      <c r="Z43" s="341"/>
      <c r="AA43" s="341"/>
      <c r="AB43" s="341"/>
      <c r="AC43" s="341"/>
      <c r="AD43" s="341"/>
      <c r="AE43" s="341"/>
      <c r="AF43" s="341"/>
      <c r="AG43" s="341"/>
      <c r="AH43" s="341"/>
      <c r="AI43" s="341"/>
      <c r="AJ43" s="341"/>
    </row>
    <row r="44" spans="1:36" s="346" customFormat="1" ht="32.4" customHeight="1">
      <c r="A44" s="611" t="s">
        <v>262</v>
      </c>
      <c r="B44" s="612" t="s">
        <v>280</v>
      </c>
      <c r="C44" s="610">
        <v>1900000</v>
      </c>
      <c r="D44" s="570">
        <v>0</v>
      </c>
      <c r="E44" s="569">
        <v>1900000</v>
      </c>
      <c r="F44" s="570">
        <v>798121.95360000001</v>
      </c>
      <c r="G44" s="573" t="s">
        <v>249</v>
      </c>
      <c r="H44" s="579" t="s">
        <v>284</v>
      </c>
      <c r="I44" s="570"/>
      <c r="J44" s="341"/>
      <c r="K44" s="557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</row>
    <row r="45" spans="1:36" s="346" customFormat="1" ht="32.4" customHeight="1">
      <c r="A45" s="591" t="s">
        <v>230</v>
      </c>
      <c r="B45" s="567" t="s">
        <v>216</v>
      </c>
      <c r="C45" s="585">
        <v>589953</v>
      </c>
      <c r="D45" s="570"/>
      <c r="E45" s="569">
        <v>589953</v>
      </c>
      <c r="F45" s="570">
        <v>269907.19</v>
      </c>
      <c r="G45" s="658" t="s">
        <v>203</v>
      </c>
      <c r="H45" s="579" t="s">
        <v>335</v>
      </c>
      <c r="I45" s="570"/>
      <c r="J45" s="341"/>
      <c r="K45" s="557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</row>
    <row r="46" spans="1:36" s="346" customFormat="1" ht="44.4" customHeight="1">
      <c r="A46" s="627" t="s">
        <v>236</v>
      </c>
      <c r="B46" s="628" t="s">
        <v>271</v>
      </c>
      <c r="C46" s="629">
        <v>44103.59</v>
      </c>
      <c r="D46" s="632">
        <v>0</v>
      </c>
      <c r="E46" s="631">
        <v>44103.59</v>
      </c>
      <c r="F46" s="632">
        <v>25357.502700000005</v>
      </c>
      <c r="G46" s="629" t="s">
        <v>202</v>
      </c>
      <c r="H46" s="629" t="s">
        <v>288</v>
      </c>
      <c r="I46" s="632"/>
      <c r="J46" s="341"/>
      <c r="K46" s="557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</row>
    <row r="47" spans="1:36" s="346" customFormat="1" ht="44.4" customHeight="1">
      <c r="A47" s="625" t="s">
        <v>237</v>
      </c>
      <c r="B47" s="626" t="s">
        <v>276</v>
      </c>
      <c r="C47" s="624">
        <v>25935.460399999996</v>
      </c>
      <c r="D47" s="570">
        <v>0</v>
      </c>
      <c r="E47" s="569">
        <v>25935.460399999996</v>
      </c>
      <c r="F47" s="570">
        <v>10860.509212000001</v>
      </c>
      <c r="G47" s="648" t="s">
        <v>249</v>
      </c>
      <c r="H47" s="579" t="s">
        <v>281</v>
      </c>
      <c r="I47" s="570"/>
      <c r="J47" s="341"/>
      <c r="K47" s="557"/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  <c r="AB47" s="341"/>
      <c r="AC47" s="341"/>
      <c r="AD47" s="341"/>
      <c r="AE47" s="341"/>
      <c r="AF47" s="341"/>
      <c r="AG47" s="341"/>
      <c r="AH47" s="341"/>
      <c r="AI47" s="341"/>
      <c r="AJ47" s="341"/>
    </row>
    <row r="48" spans="1:36" s="346" customFormat="1" ht="44.4" customHeight="1">
      <c r="A48" s="656" t="s">
        <v>238</v>
      </c>
      <c r="B48" s="657" t="s">
        <v>282</v>
      </c>
      <c r="C48" s="655">
        <v>337206.36</v>
      </c>
      <c r="D48" s="570">
        <v>0</v>
      </c>
      <c r="E48" s="569">
        <v>337206.36</v>
      </c>
      <c r="F48" s="570">
        <v>186007.31080000001</v>
      </c>
      <c r="G48" s="573" t="s">
        <v>249</v>
      </c>
      <c r="H48" s="579" t="s">
        <v>284</v>
      </c>
      <c r="I48" s="570"/>
      <c r="J48" s="341"/>
      <c r="K48" s="557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  <c r="AB48" s="341"/>
      <c r="AC48" s="341"/>
      <c r="AD48" s="341"/>
      <c r="AE48" s="341"/>
      <c r="AF48" s="341"/>
      <c r="AG48" s="341"/>
      <c r="AH48" s="341"/>
      <c r="AI48" s="341"/>
      <c r="AJ48" s="341"/>
    </row>
    <row r="49" spans="1:36" s="346" customFormat="1" ht="44.4" customHeight="1">
      <c r="A49" s="645" t="s">
        <v>239</v>
      </c>
      <c r="B49" s="646" t="s">
        <v>279</v>
      </c>
      <c r="C49" s="644">
        <v>5040</v>
      </c>
      <c r="D49" s="570">
        <v>0</v>
      </c>
      <c r="E49" s="569">
        <v>5040</v>
      </c>
      <c r="F49" s="570">
        <v>1252.905</v>
      </c>
      <c r="G49" s="658" t="s">
        <v>203</v>
      </c>
      <c r="H49" s="579" t="s">
        <v>278</v>
      </c>
      <c r="I49" s="702" t="s">
        <v>326</v>
      </c>
      <c r="J49" s="341"/>
      <c r="K49" s="557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</row>
    <row r="50" spans="1:36" s="346" customFormat="1" ht="44.4" customHeight="1">
      <c r="A50" s="625" t="s">
        <v>240</v>
      </c>
      <c r="B50" s="626" t="s">
        <v>275</v>
      </c>
      <c r="C50" s="624">
        <v>40920.067115384612</v>
      </c>
      <c r="D50" s="570">
        <v>0</v>
      </c>
      <c r="E50" s="569">
        <v>40920.067115384612</v>
      </c>
      <c r="F50" s="570">
        <v>25790.699383039995</v>
      </c>
      <c r="G50" s="573" t="s">
        <v>249</v>
      </c>
      <c r="H50" s="579" t="s">
        <v>284</v>
      </c>
      <c r="I50" s="570"/>
      <c r="J50" s="341"/>
      <c r="K50" s="557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</row>
    <row r="51" spans="1:36" s="346" customFormat="1" ht="44.4" customHeight="1">
      <c r="A51" s="669" t="s">
        <v>285</v>
      </c>
      <c r="B51" s="670" t="s">
        <v>297</v>
      </c>
      <c r="C51" s="667">
        <v>108026.29200000002</v>
      </c>
      <c r="D51" s="570">
        <v>0</v>
      </c>
      <c r="E51" s="569">
        <v>108026.29200000002</v>
      </c>
      <c r="F51" s="570">
        <v>38936.968760000003</v>
      </c>
      <c r="G51" s="573" t="s">
        <v>249</v>
      </c>
      <c r="H51" s="579" t="s">
        <v>339</v>
      </c>
      <c r="I51" s="702"/>
      <c r="J51" s="341"/>
      <c r="K51" s="557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</row>
    <row r="52" spans="1:36" s="346" customFormat="1" ht="32.4" customHeight="1">
      <c r="A52" s="672" t="s">
        <v>289</v>
      </c>
      <c r="B52" s="567" t="s">
        <v>300</v>
      </c>
      <c r="C52" s="585">
        <v>6116.26</v>
      </c>
      <c r="D52" s="570">
        <v>0</v>
      </c>
      <c r="E52" s="569">
        <v>6116.26</v>
      </c>
      <c r="F52" s="570">
        <v>4441.6160500000005</v>
      </c>
      <c r="G52" s="573" t="s">
        <v>249</v>
      </c>
      <c r="H52" s="579" t="s">
        <v>309</v>
      </c>
      <c r="I52" s="570"/>
      <c r="J52" s="341"/>
      <c r="K52" s="557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</row>
    <row r="53" spans="1:36" s="346" customFormat="1" ht="55.8" customHeight="1">
      <c r="A53" s="692" t="s">
        <v>301</v>
      </c>
      <c r="B53" s="567" t="s">
        <v>307</v>
      </c>
      <c r="C53" s="585">
        <v>15568.8</v>
      </c>
      <c r="D53" s="570">
        <v>0</v>
      </c>
      <c r="E53" s="569">
        <v>15568.8</v>
      </c>
      <c r="F53" s="570">
        <v>12830.784</v>
      </c>
      <c r="G53" s="658" t="s">
        <v>203</v>
      </c>
      <c r="H53" s="579" t="s">
        <v>311</v>
      </c>
      <c r="I53" s="702" t="s">
        <v>351</v>
      </c>
      <c r="J53" s="341"/>
      <c r="K53" s="557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</row>
    <row r="54" spans="1:36" s="346" customFormat="1" ht="51.6" customHeight="1">
      <c r="A54" s="692" t="s">
        <v>302</v>
      </c>
      <c r="B54" s="567" t="s">
        <v>338</v>
      </c>
      <c r="C54" s="570">
        <v>142452.13</v>
      </c>
      <c r="D54" s="570">
        <v>0</v>
      </c>
      <c r="E54" s="569">
        <v>142452.13</v>
      </c>
      <c r="F54" s="570">
        <v>76606.931400000001</v>
      </c>
      <c r="G54" s="658" t="s">
        <v>188</v>
      </c>
      <c r="H54" s="579" t="s">
        <v>342</v>
      </c>
      <c r="I54" s="702" t="s">
        <v>350</v>
      </c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41"/>
      <c r="AJ54" s="341"/>
    </row>
    <row r="55" spans="1:36" s="346" customFormat="1" ht="33.6" customHeight="1">
      <c r="A55" s="692" t="s">
        <v>303</v>
      </c>
      <c r="B55" s="582" t="s">
        <v>341</v>
      </c>
      <c r="C55" s="570"/>
      <c r="D55" s="570"/>
      <c r="E55" s="569"/>
      <c r="F55" s="570"/>
      <c r="G55" s="658" t="s">
        <v>312</v>
      </c>
      <c r="H55" s="579" t="s">
        <v>339</v>
      </c>
      <c r="I55" s="702" t="s">
        <v>347</v>
      </c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</row>
    <row r="56" spans="1:36" s="346" customFormat="1" ht="42.6" customHeight="1">
      <c r="A56" s="591"/>
      <c r="B56" s="567"/>
      <c r="C56" s="568"/>
      <c r="D56" s="568"/>
      <c r="E56" s="568"/>
      <c r="F56" s="568"/>
      <c r="G56" s="568"/>
      <c r="H56" s="568"/>
      <c r="I56" s="568"/>
      <c r="J56" s="560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</row>
    <row r="57" spans="1:36" s="347" customFormat="1" ht="22.95" customHeight="1">
      <c r="A57" s="583"/>
      <c r="B57" s="583" t="s">
        <v>47</v>
      </c>
      <c r="C57" s="584">
        <f>SUM(C6:C56)</f>
        <v>37388662.213778049</v>
      </c>
      <c r="D57" s="584">
        <f>SUM(D6:D56)</f>
        <v>7463316.2911656741</v>
      </c>
      <c r="E57" s="584">
        <f>SUM(E6:E56)</f>
        <v>44851978.504943728</v>
      </c>
      <c r="F57" s="584">
        <f>SUM(F6:F56)</f>
        <v>25276198.078891978</v>
      </c>
      <c r="G57" s="584"/>
      <c r="H57" s="584"/>
      <c r="I57" s="584"/>
    </row>
    <row r="58" spans="1:36">
      <c r="C58" s="362"/>
      <c r="D58" s="362"/>
      <c r="E58" s="362"/>
      <c r="F58" s="362"/>
      <c r="G58" s="362"/>
      <c r="H58" s="362"/>
      <c r="I58" s="362"/>
    </row>
    <row r="59" spans="1:36">
      <c r="C59" s="362"/>
      <c r="D59" s="362"/>
      <c r="E59" s="362"/>
      <c r="F59" s="362"/>
      <c r="G59" s="362"/>
      <c r="H59" s="362"/>
      <c r="I59" s="362"/>
    </row>
    <row r="60" spans="1:36">
      <c r="C60" s="362"/>
      <c r="D60" s="362"/>
      <c r="E60" s="362"/>
      <c r="F60" s="362"/>
      <c r="G60" s="362"/>
      <c r="H60" s="362"/>
      <c r="I60" s="362"/>
    </row>
    <row r="61" spans="1:36">
      <c r="C61" s="362"/>
      <c r="D61" s="362"/>
      <c r="E61" s="362"/>
      <c r="F61" s="362"/>
      <c r="G61" s="362"/>
      <c r="H61" s="362"/>
      <c r="I61" s="362"/>
    </row>
    <row r="62" spans="1:36">
      <c r="C62" s="362"/>
      <c r="D62" s="362"/>
      <c r="E62" s="362"/>
      <c r="F62" s="362"/>
      <c r="G62" s="362"/>
      <c r="H62" s="362"/>
      <c r="I62" s="362"/>
    </row>
    <row r="63" spans="1:36">
      <c r="C63" s="362"/>
      <c r="D63" s="362"/>
      <c r="E63" s="362"/>
      <c r="F63" s="362"/>
      <c r="G63" s="362"/>
      <c r="H63" s="362"/>
      <c r="I63" s="362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7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6"/>
  <sheetViews>
    <sheetView showWhiteSpace="0" view="pageBreakPreview" zoomScale="76" zoomScaleNormal="80" zoomScaleSheetLayoutView="76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1:K1048576"/>
    </sheetView>
  </sheetViews>
  <sheetFormatPr defaultColWidth="9.109375" defaultRowHeight="12" outlineLevelRow="1" outlineLevelCol="1"/>
  <cols>
    <col min="1" max="1" width="10.44140625" style="331" customWidth="1"/>
    <col min="2" max="2" width="56.33203125" style="331" customWidth="1"/>
    <col min="3" max="3" width="20.6640625" style="365" customWidth="1"/>
    <col min="4" max="4" width="8.33203125" style="365" customWidth="1"/>
    <col min="5" max="5" width="12.33203125" style="365" hidden="1" customWidth="1" outlineLevel="1"/>
    <col min="6" max="6" width="21.6640625" style="365" customWidth="1" collapsed="1"/>
    <col min="7" max="8" width="19.88671875" style="365" customWidth="1"/>
    <col min="9" max="9" width="24.109375" style="365" customWidth="1"/>
    <col min="10" max="10" width="18.5546875" style="365" customWidth="1"/>
    <col min="11" max="11" width="39.109375" style="365" customWidth="1"/>
    <col min="12" max="12" width="21.5546875" style="331" customWidth="1"/>
    <col min="13" max="13" width="36.77734375" style="331" customWidth="1"/>
    <col min="14" max="14" width="16.44140625" style="331" customWidth="1"/>
    <col min="15" max="16384" width="9.109375" style="331"/>
  </cols>
  <sheetData>
    <row r="1" spans="1:38" ht="16.95" customHeight="1">
      <c r="A1" s="804" t="s">
        <v>205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</row>
    <row r="2" spans="1:38" ht="59.4" customHeight="1" thickBot="1">
      <c r="A2" s="833"/>
      <c r="B2" s="833"/>
      <c r="C2" s="833"/>
      <c r="D2" s="833"/>
      <c r="E2" s="833"/>
      <c r="F2" s="833"/>
      <c r="G2" s="833"/>
      <c r="H2" s="833"/>
      <c r="I2" s="833"/>
      <c r="J2" s="833"/>
      <c r="K2" s="833"/>
    </row>
    <row r="3" spans="1:38" ht="17.399999999999999" customHeight="1">
      <c r="A3" s="805" t="s">
        <v>124</v>
      </c>
      <c r="B3" s="818" t="s">
        <v>185</v>
      </c>
      <c r="C3" s="808" t="s">
        <v>204</v>
      </c>
      <c r="D3" s="834" t="s">
        <v>218</v>
      </c>
      <c r="E3" s="835"/>
      <c r="F3" s="835"/>
      <c r="G3" s="835"/>
      <c r="H3" s="835"/>
      <c r="I3" s="835"/>
      <c r="J3" s="836"/>
      <c r="K3" s="815" t="s">
        <v>191</v>
      </c>
    </row>
    <row r="4" spans="1:38" ht="12.6" customHeight="1">
      <c r="A4" s="806"/>
      <c r="B4" s="819"/>
      <c r="C4" s="809"/>
      <c r="D4" s="837"/>
      <c r="E4" s="838"/>
      <c r="F4" s="838"/>
      <c r="G4" s="838"/>
      <c r="H4" s="838"/>
      <c r="I4" s="838"/>
      <c r="J4" s="839"/>
      <c r="K4" s="816"/>
    </row>
    <row r="5" spans="1:38" ht="40.950000000000003" customHeight="1" thickBot="1">
      <c r="A5" s="807"/>
      <c r="B5" s="820"/>
      <c r="C5" s="810"/>
      <c r="D5" s="696" t="s">
        <v>126</v>
      </c>
      <c r="E5" s="696"/>
      <c r="F5" s="696" t="s">
        <v>267</v>
      </c>
      <c r="G5" s="696" t="s">
        <v>193</v>
      </c>
      <c r="H5" s="696" t="s">
        <v>192</v>
      </c>
      <c r="I5" s="696" t="s">
        <v>9</v>
      </c>
      <c r="J5" s="696" t="s">
        <v>190</v>
      </c>
      <c r="K5" s="817"/>
    </row>
    <row r="6" spans="1:38" s="346" customFormat="1" ht="49.2" customHeight="1">
      <c r="A6" s="689" t="s">
        <v>53</v>
      </c>
      <c r="B6" s="690" t="s">
        <v>199</v>
      </c>
      <c r="C6" s="691">
        <v>69779.8</v>
      </c>
      <c r="D6" s="693" t="s">
        <v>53</v>
      </c>
      <c r="E6" s="694">
        <f>IFERROR(VALUE(MID(D6,2,LEN(D6)-1)),"")</f>
        <v>1</v>
      </c>
      <c r="F6" s="684">
        <v>74844.200000000012</v>
      </c>
      <c r="G6" s="691">
        <v>0</v>
      </c>
      <c r="H6" s="691">
        <v>74844.200000000012</v>
      </c>
      <c r="I6" s="691" t="s">
        <v>249</v>
      </c>
      <c r="J6" s="695" t="s">
        <v>251</v>
      </c>
      <c r="K6" s="695" t="s">
        <v>153</v>
      </c>
      <c r="L6" s="556" t="s">
        <v>313</v>
      </c>
      <c r="M6" s="701" t="s">
        <v>314</v>
      </c>
      <c r="N6" s="341"/>
      <c r="O6" s="341"/>
      <c r="P6" s="341"/>
      <c r="Q6" s="341"/>
      <c r="R6" s="341"/>
      <c r="S6" s="341"/>
      <c r="T6" s="341"/>
      <c r="U6" s="341"/>
      <c r="V6" s="341"/>
      <c r="W6" s="341"/>
      <c r="X6" s="341"/>
      <c r="Y6" s="341"/>
      <c r="Z6" s="341"/>
      <c r="AA6" s="341"/>
      <c r="AB6" s="341"/>
      <c r="AC6" s="341"/>
      <c r="AD6" s="341"/>
      <c r="AE6" s="341"/>
      <c r="AF6" s="341"/>
      <c r="AG6" s="341"/>
      <c r="AH6" s="341"/>
      <c r="AI6" s="341"/>
      <c r="AJ6" s="341"/>
      <c r="AK6" s="341"/>
      <c r="AL6" s="341"/>
    </row>
    <row r="7" spans="1:38" s="346" customFormat="1" ht="52.95" customHeight="1">
      <c r="A7" s="627" t="s">
        <v>69</v>
      </c>
      <c r="B7" s="628" t="s">
        <v>200</v>
      </c>
      <c r="C7" s="636">
        <v>2044</v>
      </c>
      <c r="D7" s="651" t="s">
        <v>171</v>
      </c>
      <c r="E7" s="677">
        <f t="shared" ref="E7:E78" si="0">IFERROR(VALUE(MID(D7,2,LEN(D7)-1)),"")</f>
        <v>18</v>
      </c>
      <c r="F7" s="635">
        <v>2044</v>
      </c>
      <c r="G7" s="629">
        <v>0</v>
      </c>
      <c r="H7" s="636">
        <v>2044</v>
      </c>
      <c r="I7" s="629" t="s">
        <v>202</v>
      </c>
      <c r="J7" s="636" t="s">
        <v>269</v>
      </c>
      <c r="K7" s="649" t="s">
        <v>153</v>
      </c>
      <c r="L7" s="330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1"/>
      <c r="AL7" s="341"/>
    </row>
    <row r="8" spans="1:38" s="346" customFormat="1" ht="39.75" customHeight="1">
      <c r="A8" s="827" t="s">
        <v>293</v>
      </c>
      <c r="B8" s="824" t="s">
        <v>292</v>
      </c>
      <c r="C8" s="821">
        <v>7883363.147839915</v>
      </c>
      <c r="D8" s="571" t="s">
        <v>230</v>
      </c>
      <c r="E8" s="681">
        <f t="shared" si="0"/>
        <v>29</v>
      </c>
      <c r="F8" s="569">
        <v>359694.36</v>
      </c>
      <c r="G8" s="667" t="s">
        <v>153</v>
      </c>
      <c r="H8" s="667">
        <v>359694.36</v>
      </c>
      <c r="I8" s="667" t="s">
        <v>202</v>
      </c>
      <c r="J8" s="698" t="s">
        <v>309</v>
      </c>
      <c r="K8" s="579" t="s">
        <v>153</v>
      </c>
      <c r="L8" s="556" t="s">
        <v>203</v>
      </c>
      <c r="M8" s="701" t="s">
        <v>315</v>
      </c>
      <c r="N8" s="341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1"/>
    </row>
    <row r="9" spans="1:38" s="346" customFormat="1" ht="39.75" customHeight="1">
      <c r="A9" s="829"/>
      <c r="B9" s="826"/>
      <c r="C9" s="823"/>
      <c r="D9" s="571" t="s">
        <v>348</v>
      </c>
      <c r="E9" s="681"/>
      <c r="F9" s="569">
        <v>1041800.0712068096</v>
      </c>
      <c r="G9" s="667">
        <v>358436.37120680953</v>
      </c>
      <c r="H9" s="667">
        <v>683363.70000000007</v>
      </c>
      <c r="I9" s="658" t="s">
        <v>188</v>
      </c>
      <c r="J9" s="570" t="s">
        <v>352</v>
      </c>
      <c r="K9" s="573"/>
      <c r="L9" s="556"/>
      <c r="M9" s="701"/>
      <c r="N9" s="341"/>
      <c r="O9" s="341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  <c r="AA9" s="341"/>
      <c r="AB9" s="341"/>
      <c r="AC9" s="341"/>
      <c r="AD9" s="341"/>
      <c r="AE9" s="341"/>
      <c r="AF9" s="341"/>
      <c r="AG9" s="341"/>
      <c r="AH9" s="341"/>
      <c r="AI9" s="341"/>
      <c r="AJ9" s="341"/>
      <c r="AK9" s="341"/>
      <c r="AL9" s="341"/>
    </row>
    <row r="10" spans="1:38" s="346" customFormat="1" ht="38.25" customHeight="1">
      <c r="A10" s="827" t="s">
        <v>294</v>
      </c>
      <c r="B10" s="824" t="s">
        <v>291</v>
      </c>
      <c r="C10" s="821">
        <v>7051600.8118639104</v>
      </c>
      <c r="D10" s="571" t="s">
        <v>235</v>
      </c>
      <c r="E10" s="681">
        <f t="shared" si="0"/>
        <v>27</v>
      </c>
      <c r="F10" s="569">
        <v>330648.57999999996</v>
      </c>
      <c r="G10" s="667">
        <v>0</v>
      </c>
      <c r="H10" s="667">
        <v>330648.57999999996</v>
      </c>
      <c r="I10" s="667" t="s">
        <v>202</v>
      </c>
      <c r="J10" s="667" t="s">
        <v>288</v>
      </c>
      <c r="K10" s="579" t="s">
        <v>153</v>
      </c>
      <c r="L10" s="330" t="s">
        <v>188</v>
      </c>
      <c r="M10" s="701" t="s">
        <v>316</v>
      </c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</row>
    <row r="11" spans="1:38" s="346" customFormat="1" ht="38.25" customHeight="1">
      <c r="A11" s="828"/>
      <c r="B11" s="825"/>
      <c r="C11" s="822"/>
      <c r="D11" s="571" t="s">
        <v>308</v>
      </c>
      <c r="E11" s="681">
        <f t="shared" si="0"/>
        <v>42</v>
      </c>
      <c r="F11" s="569">
        <v>908895.93</v>
      </c>
      <c r="G11" s="667">
        <v>307721.33</v>
      </c>
      <c r="H11" s="667">
        <v>601174.6</v>
      </c>
      <c r="I11" s="667" t="s">
        <v>202</v>
      </c>
      <c r="J11" s="697" t="s">
        <v>309</v>
      </c>
      <c r="K11" s="579" t="s">
        <v>322</v>
      </c>
      <c r="L11" s="330"/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1"/>
      <c r="AJ11" s="341"/>
      <c r="AK11" s="341"/>
      <c r="AL11" s="341"/>
    </row>
    <row r="12" spans="1:38" s="346" customFormat="1" ht="38.25" customHeight="1">
      <c r="A12" s="828"/>
      <c r="B12" s="825"/>
      <c r="C12" s="822"/>
      <c r="D12" s="571" t="s">
        <v>340</v>
      </c>
      <c r="E12" s="681"/>
      <c r="F12" s="569">
        <v>15568.8</v>
      </c>
      <c r="G12" s="667"/>
      <c r="H12" s="667">
        <v>15568.8</v>
      </c>
      <c r="I12" s="658" t="s">
        <v>188</v>
      </c>
      <c r="J12" s="570" t="s">
        <v>342</v>
      </c>
      <c r="K12" s="579" t="s">
        <v>343</v>
      </c>
      <c r="L12" s="330"/>
      <c r="M12" s="341"/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1"/>
    </row>
    <row r="13" spans="1:38" s="346" customFormat="1" ht="38.25" customHeight="1">
      <c r="A13" s="829"/>
      <c r="B13" s="826"/>
      <c r="C13" s="823"/>
      <c r="D13" s="571" t="s">
        <v>349</v>
      </c>
      <c r="E13" s="681"/>
      <c r="F13" s="569">
        <v>2738195.2531138035</v>
      </c>
      <c r="G13" s="667">
        <v>1165791.7731138035</v>
      </c>
      <c r="H13" s="667">
        <v>1572403.4799999997</v>
      </c>
      <c r="I13" s="658" t="s">
        <v>188</v>
      </c>
      <c r="J13" s="570" t="s">
        <v>352</v>
      </c>
      <c r="K13" s="573"/>
      <c r="L13" s="330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</row>
    <row r="14" spans="1:38" s="346" customFormat="1" ht="36" customHeight="1">
      <c r="A14" s="827" t="s">
        <v>295</v>
      </c>
      <c r="B14" s="824" t="s">
        <v>290</v>
      </c>
      <c r="C14" s="821">
        <v>7766307.4578399099</v>
      </c>
      <c r="D14" s="571" t="s">
        <v>158</v>
      </c>
      <c r="E14" s="681">
        <f t="shared" si="0"/>
        <v>15</v>
      </c>
      <c r="F14" s="569">
        <v>554353</v>
      </c>
      <c r="G14" s="667">
        <v>0</v>
      </c>
      <c r="H14" s="667">
        <v>554353</v>
      </c>
      <c r="I14" s="667" t="s">
        <v>202</v>
      </c>
      <c r="J14" s="666" t="s">
        <v>269</v>
      </c>
      <c r="K14" s="579" t="s">
        <v>153</v>
      </c>
      <c r="L14" s="557" t="s">
        <v>249</v>
      </c>
      <c r="M14" s="701" t="s">
        <v>317</v>
      </c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  <c r="AA14" s="341"/>
      <c r="AB14" s="341"/>
      <c r="AC14" s="341"/>
      <c r="AD14" s="341"/>
      <c r="AE14" s="341"/>
      <c r="AF14" s="341"/>
      <c r="AG14" s="341"/>
      <c r="AH14" s="341"/>
      <c r="AI14" s="341"/>
      <c r="AJ14" s="341"/>
      <c r="AK14" s="341"/>
      <c r="AL14" s="341"/>
    </row>
    <row r="15" spans="1:38" s="346" customFormat="1" ht="33" customHeight="1">
      <c r="A15" s="828"/>
      <c r="B15" s="825"/>
      <c r="C15" s="822"/>
      <c r="D15" s="571" t="s">
        <v>262</v>
      </c>
      <c r="E15" s="681">
        <f t="shared" si="0"/>
        <v>28</v>
      </c>
      <c r="F15" s="569">
        <v>5437399.7429927047</v>
      </c>
      <c r="G15" s="667">
        <v>2649255.2429927043</v>
      </c>
      <c r="H15" s="667">
        <v>2788144.5</v>
      </c>
      <c r="I15" s="667" t="s">
        <v>202</v>
      </c>
      <c r="J15" s="667" t="s">
        <v>288</v>
      </c>
      <c r="K15" s="579" t="s">
        <v>322</v>
      </c>
      <c r="L15" s="341"/>
      <c r="M15" s="341"/>
      <c r="N15" s="341"/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  <c r="AE15" s="341"/>
      <c r="AF15" s="341"/>
      <c r="AG15" s="341"/>
      <c r="AH15" s="341"/>
      <c r="AI15" s="341"/>
      <c r="AJ15" s="341"/>
      <c r="AK15" s="341"/>
      <c r="AL15" s="341"/>
    </row>
    <row r="16" spans="1:38" s="346" customFormat="1" ht="32.4" customHeight="1">
      <c r="A16" s="828"/>
      <c r="B16" s="825"/>
      <c r="C16" s="822"/>
      <c r="D16" s="571" t="s">
        <v>289</v>
      </c>
      <c r="E16" s="681">
        <f t="shared" si="0"/>
        <v>36</v>
      </c>
      <c r="F16" s="569">
        <v>887716.17086603516</v>
      </c>
      <c r="G16" s="667">
        <v>122464.17086603522</v>
      </c>
      <c r="H16" s="667">
        <v>765252</v>
      </c>
      <c r="I16" s="573" t="s">
        <v>249</v>
      </c>
      <c r="J16" s="667" t="s">
        <v>298</v>
      </c>
      <c r="K16" s="579" t="s">
        <v>322</v>
      </c>
      <c r="L16" s="341"/>
      <c r="M16" s="558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</row>
    <row r="17" spans="1:38" s="346" customFormat="1" ht="32.4" customHeight="1">
      <c r="A17" s="829"/>
      <c r="B17" s="826"/>
      <c r="C17" s="823"/>
      <c r="D17" s="571" t="s">
        <v>301</v>
      </c>
      <c r="E17" s="681">
        <f t="shared" si="0"/>
        <v>37</v>
      </c>
      <c r="F17" s="569">
        <v>426150.51662977174</v>
      </c>
      <c r="G17" s="667">
        <v>7992.5166297717396</v>
      </c>
      <c r="H17" s="667">
        <v>418158</v>
      </c>
      <c r="I17" s="667" t="s">
        <v>202</v>
      </c>
      <c r="J17" s="698" t="s">
        <v>309</v>
      </c>
      <c r="K17" s="579" t="s">
        <v>322</v>
      </c>
      <c r="L17" s="341"/>
      <c r="M17" s="558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</row>
    <row r="18" spans="1:38" s="346" customFormat="1" ht="56.4" customHeight="1">
      <c r="A18" s="827" t="s">
        <v>71</v>
      </c>
      <c r="B18" s="824" t="s">
        <v>194</v>
      </c>
      <c r="C18" s="821">
        <v>403929.07</v>
      </c>
      <c r="D18" s="572" t="s">
        <v>169</v>
      </c>
      <c r="E18" s="681">
        <f t="shared" si="0"/>
        <v>16</v>
      </c>
      <c r="F18" s="617">
        <v>446461.48</v>
      </c>
      <c r="G18" s="579">
        <v>95684.599359999993</v>
      </c>
      <c r="H18" s="579">
        <v>350776.88</v>
      </c>
      <c r="I18" s="621" t="s">
        <v>202</v>
      </c>
      <c r="J18" s="620" t="s">
        <v>269</v>
      </c>
      <c r="K18" s="579" t="s">
        <v>322</v>
      </c>
      <c r="L18" s="341"/>
      <c r="M18" s="558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</row>
    <row r="19" spans="1:38" s="346" customFormat="1" ht="56.4" customHeight="1">
      <c r="A19" s="829"/>
      <c r="B19" s="826"/>
      <c r="C19" s="823"/>
      <c r="D19" s="572" t="s">
        <v>337</v>
      </c>
      <c r="E19" s="681"/>
      <c r="F19" s="617">
        <v>73982.732399999994</v>
      </c>
      <c r="G19" s="579">
        <v>46197.162399999994</v>
      </c>
      <c r="H19" s="579">
        <v>27785.57</v>
      </c>
      <c r="I19" s="658" t="s">
        <v>188</v>
      </c>
      <c r="J19" s="570" t="s">
        <v>352</v>
      </c>
      <c r="K19" s="573" t="s">
        <v>353</v>
      </c>
      <c r="L19" s="341"/>
      <c r="M19" s="558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341"/>
      <c r="AB19" s="341"/>
      <c r="AC19" s="341"/>
      <c r="AD19" s="341"/>
      <c r="AE19" s="341"/>
      <c r="AF19" s="341"/>
      <c r="AG19" s="341"/>
      <c r="AH19" s="341"/>
      <c r="AI19" s="341"/>
      <c r="AJ19" s="341"/>
      <c r="AK19" s="341"/>
      <c r="AL19" s="341"/>
    </row>
    <row r="20" spans="1:38" s="346" customFormat="1" ht="56.4" customHeight="1">
      <c r="A20" s="638" t="s">
        <v>264</v>
      </c>
      <c r="B20" s="639" t="s">
        <v>265</v>
      </c>
      <c r="C20" s="629">
        <v>47254.520000000004</v>
      </c>
      <c r="D20" s="651" t="s">
        <v>170</v>
      </c>
      <c r="E20" s="677">
        <f t="shared" si="0"/>
        <v>17</v>
      </c>
      <c r="F20" s="652">
        <v>47254.520000000004</v>
      </c>
      <c r="G20" s="634">
        <v>9854.52</v>
      </c>
      <c r="H20" s="634">
        <v>37400</v>
      </c>
      <c r="I20" s="629" t="s">
        <v>202</v>
      </c>
      <c r="J20" s="636" t="s">
        <v>269</v>
      </c>
      <c r="K20" s="649" t="s">
        <v>322</v>
      </c>
      <c r="L20" s="341"/>
      <c r="M20" s="558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41"/>
      <c r="AB20" s="341"/>
      <c r="AC20" s="341"/>
      <c r="AD20" s="341"/>
      <c r="AE20" s="341"/>
      <c r="AF20" s="341"/>
      <c r="AG20" s="341"/>
      <c r="AH20" s="341"/>
      <c r="AI20" s="341"/>
      <c r="AJ20" s="341"/>
      <c r="AK20" s="341"/>
      <c r="AL20" s="341"/>
    </row>
    <row r="21" spans="1:38" s="346" customFormat="1" ht="41.4" customHeight="1">
      <c r="A21" s="615" t="s">
        <v>72</v>
      </c>
      <c r="B21" s="622" t="s">
        <v>195</v>
      </c>
      <c r="C21" s="570">
        <v>37950.600000000006</v>
      </c>
      <c r="D21" s="614"/>
      <c r="E21" s="681" t="str">
        <f t="shared" si="0"/>
        <v/>
      </c>
      <c r="F21" s="569"/>
      <c r="G21" s="614"/>
      <c r="H21" s="579"/>
      <c r="I21" s="614"/>
      <c r="J21" s="614"/>
      <c r="K21" s="619"/>
      <c r="L21" s="562"/>
      <c r="M21" s="563"/>
      <c r="N21" s="560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</row>
    <row r="22" spans="1:38" s="346" customFormat="1" ht="55.2" customHeight="1">
      <c r="A22" s="615" t="s">
        <v>208</v>
      </c>
      <c r="B22" s="622" t="s">
        <v>211</v>
      </c>
      <c r="C22" s="614">
        <v>994922</v>
      </c>
      <c r="D22" s="614" t="s">
        <v>76</v>
      </c>
      <c r="E22" s="681">
        <f t="shared" si="0"/>
        <v>10</v>
      </c>
      <c r="F22" s="569">
        <v>1609186.51</v>
      </c>
      <c r="G22" s="619">
        <v>680569.72</v>
      </c>
      <c r="H22" s="619">
        <v>928616.79</v>
      </c>
      <c r="I22" s="621" t="s">
        <v>202</v>
      </c>
      <c r="J22" s="613" t="s">
        <v>269</v>
      </c>
      <c r="K22" s="619" t="s">
        <v>322</v>
      </c>
      <c r="L22" s="564"/>
      <c r="M22" s="565"/>
      <c r="N22" s="560"/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  <c r="AI22" s="341"/>
      <c r="AJ22" s="341"/>
      <c r="AK22" s="341"/>
      <c r="AL22" s="341"/>
    </row>
    <row r="23" spans="1:38" s="346" customFormat="1" ht="46.95" customHeight="1">
      <c r="A23" s="615" t="s">
        <v>209</v>
      </c>
      <c r="B23" s="622" t="s">
        <v>206</v>
      </c>
      <c r="C23" s="614">
        <v>401488.07</v>
      </c>
      <c r="D23" s="571" t="s">
        <v>69</v>
      </c>
      <c r="E23" s="681">
        <f t="shared" si="0"/>
        <v>2</v>
      </c>
      <c r="F23" s="569">
        <v>585276.81999999995</v>
      </c>
      <c r="G23" s="619">
        <v>236280.52</v>
      </c>
      <c r="H23" s="619">
        <v>348996.3</v>
      </c>
      <c r="I23" s="614" t="s">
        <v>202</v>
      </c>
      <c r="J23" s="579" t="s">
        <v>242</v>
      </c>
      <c r="K23" s="667" t="s">
        <v>322</v>
      </c>
      <c r="L23" s="561"/>
      <c r="M23" s="561"/>
      <c r="N23" s="560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  <c r="AF23" s="341"/>
      <c r="AG23" s="341"/>
      <c r="AH23" s="341"/>
      <c r="AI23" s="341"/>
      <c r="AJ23" s="341"/>
      <c r="AK23" s="341"/>
      <c r="AL23" s="341"/>
    </row>
    <row r="24" spans="1:38" s="346" customFormat="1" ht="48.6" customHeight="1">
      <c r="A24" s="615" t="s">
        <v>210</v>
      </c>
      <c r="B24" s="622" t="s">
        <v>207</v>
      </c>
      <c r="C24" s="614">
        <v>401488.07</v>
      </c>
      <c r="D24" s="571" t="s">
        <v>70</v>
      </c>
      <c r="E24" s="681">
        <f t="shared" si="0"/>
        <v>3</v>
      </c>
      <c r="F24" s="581">
        <v>585276.81999999995</v>
      </c>
      <c r="G24" s="619">
        <v>236280.52</v>
      </c>
      <c r="H24" s="570">
        <v>348996.3</v>
      </c>
      <c r="I24" s="614" t="s">
        <v>202</v>
      </c>
      <c r="J24" s="579" t="s">
        <v>242</v>
      </c>
      <c r="K24" s="667" t="s">
        <v>322</v>
      </c>
      <c r="L24" s="559"/>
      <c r="M24" s="558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</row>
    <row r="25" spans="1:38" s="346" customFormat="1" ht="41.4" customHeight="1">
      <c r="A25" s="627" t="s">
        <v>74</v>
      </c>
      <c r="B25" s="628" t="s">
        <v>186</v>
      </c>
      <c r="C25" s="632">
        <v>70000</v>
      </c>
      <c r="D25" s="650" t="s">
        <v>71</v>
      </c>
      <c r="E25" s="677">
        <f t="shared" si="0"/>
        <v>4</v>
      </c>
      <c r="F25" s="653">
        <v>70000</v>
      </c>
      <c r="G25" s="654">
        <v>0</v>
      </c>
      <c r="H25" s="654">
        <v>70000</v>
      </c>
      <c r="I25" s="629" t="s">
        <v>249</v>
      </c>
      <c r="J25" s="636" t="s">
        <v>251</v>
      </c>
      <c r="K25" s="636" t="s">
        <v>153</v>
      </c>
      <c r="L25" s="341"/>
      <c r="M25" s="557"/>
      <c r="N25" s="341"/>
      <c r="O25" s="341"/>
      <c r="P25" s="341"/>
      <c r="Q25" s="341"/>
      <c r="R25" s="341"/>
      <c r="S25" s="341"/>
      <c r="T25" s="341"/>
      <c r="U25" s="341"/>
      <c r="V25" s="341"/>
      <c r="W25" s="341"/>
      <c r="X25" s="341"/>
      <c r="Y25" s="341"/>
      <c r="Z25" s="341"/>
      <c r="AA25" s="341"/>
      <c r="AB25" s="341"/>
      <c r="AC25" s="341"/>
      <c r="AD25" s="341"/>
      <c r="AE25" s="341"/>
      <c r="AF25" s="341"/>
      <c r="AG25" s="341"/>
      <c r="AH25" s="341"/>
      <c r="AI25" s="341"/>
      <c r="AJ25" s="341"/>
      <c r="AK25" s="341"/>
      <c r="AL25" s="341"/>
    </row>
    <row r="26" spans="1:38" s="346" customFormat="1" ht="32.4" customHeight="1">
      <c r="A26" s="827" t="s">
        <v>77</v>
      </c>
      <c r="B26" s="824" t="s">
        <v>196</v>
      </c>
      <c r="C26" s="821">
        <v>2183910</v>
      </c>
      <c r="D26" s="573" t="s">
        <v>75</v>
      </c>
      <c r="E26" s="678">
        <f t="shared" si="0"/>
        <v>12</v>
      </c>
      <c r="F26" s="618">
        <v>1027136</v>
      </c>
      <c r="G26" s="573"/>
      <c r="H26" s="580">
        <v>1027136</v>
      </c>
      <c r="I26" s="648" t="s">
        <v>249</v>
      </c>
      <c r="J26" s="579" t="s">
        <v>281</v>
      </c>
      <c r="K26" s="667" t="s">
        <v>153</v>
      </c>
      <c r="L26" s="559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41"/>
      <c r="AB26" s="341"/>
      <c r="AC26" s="341"/>
      <c r="AD26" s="341"/>
      <c r="AE26" s="341"/>
      <c r="AF26" s="341"/>
      <c r="AG26" s="341"/>
      <c r="AH26" s="341"/>
      <c r="AI26" s="341"/>
      <c r="AJ26" s="341"/>
      <c r="AK26" s="341"/>
      <c r="AL26" s="341"/>
    </row>
    <row r="27" spans="1:38" s="346" customFormat="1" ht="38.4" customHeight="1">
      <c r="A27" s="829"/>
      <c r="B27" s="826"/>
      <c r="C27" s="823"/>
      <c r="D27" s="573" t="s">
        <v>283</v>
      </c>
      <c r="E27" s="682">
        <v>12.1</v>
      </c>
      <c r="F27" s="618">
        <v>33000</v>
      </c>
      <c r="G27" s="573"/>
      <c r="H27" s="580">
        <v>33000</v>
      </c>
      <c r="I27" s="573" t="s">
        <v>249</v>
      </c>
      <c r="J27" s="579" t="s">
        <v>284</v>
      </c>
      <c r="K27" s="667" t="s">
        <v>153</v>
      </c>
      <c r="L27" s="559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  <c r="AA27" s="341"/>
      <c r="AB27" s="341"/>
      <c r="AC27" s="341"/>
      <c r="AD27" s="341"/>
      <c r="AE27" s="341"/>
      <c r="AF27" s="341"/>
      <c r="AG27" s="341"/>
      <c r="AH27" s="341"/>
      <c r="AI27" s="341"/>
      <c r="AJ27" s="341"/>
      <c r="AK27" s="341"/>
      <c r="AL27" s="341"/>
    </row>
    <row r="28" spans="1:38" s="346" customFormat="1" ht="55.2" customHeight="1">
      <c r="A28" s="615" t="s">
        <v>78</v>
      </c>
      <c r="B28" s="622" t="s">
        <v>197</v>
      </c>
      <c r="C28" s="614">
        <v>644106.1</v>
      </c>
      <c r="D28" s="573" t="s">
        <v>80</v>
      </c>
      <c r="E28" s="678">
        <f t="shared" si="0"/>
        <v>13</v>
      </c>
      <c r="F28" s="569">
        <v>309258.40000000002</v>
      </c>
      <c r="G28" s="614"/>
      <c r="H28" s="580">
        <v>309258.40000000002</v>
      </c>
      <c r="I28" s="648" t="s">
        <v>249</v>
      </c>
      <c r="J28" s="579" t="s">
        <v>281</v>
      </c>
      <c r="K28" s="667" t="s">
        <v>153</v>
      </c>
      <c r="L28" s="559"/>
      <c r="M28" s="558"/>
      <c r="N28" s="341"/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1"/>
      <c r="AF28" s="341"/>
      <c r="AG28" s="341"/>
      <c r="AH28" s="341"/>
      <c r="AI28" s="341"/>
      <c r="AJ28" s="341"/>
      <c r="AK28" s="341"/>
      <c r="AL28" s="341"/>
    </row>
    <row r="29" spans="1:38" s="346" customFormat="1" ht="41.4" customHeight="1">
      <c r="A29" s="615" t="s">
        <v>76</v>
      </c>
      <c r="B29" s="668" t="s">
        <v>215</v>
      </c>
      <c r="C29" s="614">
        <v>526703.78</v>
      </c>
      <c r="D29" s="570" t="s">
        <v>245</v>
      </c>
      <c r="E29" s="679">
        <f t="shared" si="0"/>
        <v>23</v>
      </c>
      <c r="F29" s="581">
        <v>593059.22000000009</v>
      </c>
      <c r="G29" s="570">
        <v>150765.30000000002</v>
      </c>
      <c r="H29" s="570">
        <v>442293.92000000004</v>
      </c>
      <c r="I29" s="648" t="s">
        <v>249</v>
      </c>
      <c r="J29" s="579" t="s">
        <v>281</v>
      </c>
      <c r="K29" s="667" t="s">
        <v>153</v>
      </c>
      <c r="L29" s="341"/>
      <c r="M29" s="557"/>
      <c r="N29" s="341"/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1"/>
      <c r="AE29" s="341"/>
      <c r="AF29" s="341"/>
      <c r="AG29" s="341"/>
      <c r="AH29" s="341"/>
      <c r="AI29" s="341"/>
      <c r="AJ29" s="341"/>
      <c r="AK29" s="341"/>
      <c r="AL29" s="341"/>
    </row>
    <row r="30" spans="1:38" s="346" customFormat="1" ht="28.95" customHeight="1">
      <c r="A30" s="827" t="s">
        <v>79</v>
      </c>
      <c r="B30" s="824" t="s">
        <v>213</v>
      </c>
      <c r="C30" s="821">
        <v>76937.850000000006</v>
      </c>
      <c r="D30" s="570" t="s">
        <v>167</v>
      </c>
      <c r="E30" s="679">
        <f t="shared" si="0"/>
        <v>14</v>
      </c>
      <c r="F30" s="581">
        <v>27868</v>
      </c>
      <c r="G30" s="570">
        <v>0</v>
      </c>
      <c r="H30" s="570">
        <v>27868</v>
      </c>
      <c r="I30" s="660" t="s">
        <v>202</v>
      </c>
      <c r="J30" s="659" t="s">
        <v>269</v>
      </c>
      <c r="K30" s="570" t="s">
        <v>324</v>
      </c>
      <c r="L30" s="341"/>
      <c r="M30" s="557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41"/>
      <c r="AG30" s="341"/>
      <c r="AH30" s="341"/>
      <c r="AI30" s="341"/>
      <c r="AJ30" s="341"/>
      <c r="AK30" s="341"/>
      <c r="AL30" s="341"/>
    </row>
    <row r="31" spans="1:38" s="346" customFormat="1" ht="36" customHeight="1">
      <c r="A31" s="828"/>
      <c r="B31" s="825"/>
      <c r="C31" s="822"/>
      <c r="D31" s="570" t="s">
        <v>236</v>
      </c>
      <c r="E31" s="679">
        <f t="shared" si="0"/>
        <v>30</v>
      </c>
      <c r="F31" s="581">
        <v>27224</v>
      </c>
      <c r="G31" s="570">
        <v>0</v>
      </c>
      <c r="H31" s="570">
        <v>27224</v>
      </c>
      <c r="I31" s="663" t="s">
        <v>202</v>
      </c>
      <c r="J31" s="663" t="s">
        <v>288</v>
      </c>
      <c r="K31" s="577" t="s">
        <v>323</v>
      </c>
      <c r="L31" s="341"/>
      <c r="M31" s="557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</row>
    <row r="32" spans="1:38" s="346" customFormat="1" ht="36" customHeight="1">
      <c r="A32" s="828"/>
      <c r="B32" s="825"/>
      <c r="C32" s="822"/>
      <c r="D32" s="570" t="s">
        <v>239</v>
      </c>
      <c r="E32" s="679">
        <f t="shared" si="0"/>
        <v>33</v>
      </c>
      <c r="F32" s="581">
        <v>28858</v>
      </c>
      <c r="G32" s="570">
        <v>0</v>
      </c>
      <c r="H32" s="570">
        <v>28858</v>
      </c>
      <c r="I32" s="573" t="s">
        <v>249</v>
      </c>
      <c r="J32" s="667" t="s">
        <v>298</v>
      </c>
      <c r="K32" s="577" t="s">
        <v>325</v>
      </c>
      <c r="L32" s="341"/>
      <c r="M32" s="557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</row>
    <row r="33" spans="1:38" s="346" customFormat="1" ht="36" customHeight="1">
      <c r="A33" s="829"/>
      <c r="B33" s="826"/>
      <c r="C33" s="823"/>
      <c r="D33" s="570" t="s">
        <v>345</v>
      </c>
      <c r="E33" s="679"/>
      <c r="F33" s="581">
        <v>5193.3999999999996</v>
      </c>
      <c r="G33" s="570">
        <v>0</v>
      </c>
      <c r="H33" s="570">
        <v>5193.3999999999996</v>
      </c>
      <c r="I33" s="658" t="s">
        <v>188</v>
      </c>
      <c r="J33" s="570" t="s">
        <v>352</v>
      </c>
      <c r="K33" s="577" t="s">
        <v>344</v>
      </c>
      <c r="L33" s="341"/>
      <c r="M33" s="557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</row>
    <row r="34" spans="1:38" s="346" customFormat="1" ht="35.4" customHeight="1">
      <c r="A34" s="827" t="s">
        <v>75</v>
      </c>
      <c r="B34" s="840" t="s">
        <v>214</v>
      </c>
      <c r="C34" s="821">
        <v>300000</v>
      </c>
      <c r="D34" s="570" t="s">
        <v>79</v>
      </c>
      <c r="E34" s="679">
        <f t="shared" si="0"/>
        <v>11</v>
      </c>
      <c r="F34" s="581">
        <v>231000</v>
      </c>
      <c r="G34" s="570">
        <v>0</v>
      </c>
      <c r="H34" s="570">
        <v>231000</v>
      </c>
      <c r="I34" s="667" t="s">
        <v>202</v>
      </c>
      <c r="J34" s="673" t="s">
        <v>269</v>
      </c>
      <c r="K34" s="673" t="s">
        <v>153</v>
      </c>
      <c r="L34" s="341"/>
      <c r="M34" s="557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  <c r="AE34" s="341"/>
      <c r="AF34" s="341"/>
      <c r="AG34" s="341"/>
      <c r="AH34" s="341"/>
      <c r="AI34" s="341"/>
      <c r="AJ34" s="341"/>
      <c r="AK34" s="341"/>
      <c r="AL34" s="341"/>
    </row>
    <row r="35" spans="1:38" s="346" customFormat="1" ht="35.4" customHeight="1">
      <c r="A35" s="828"/>
      <c r="B35" s="841"/>
      <c r="C35" s="822"/>
      <c r="D35" s="570" t="s">
        <v>223</v>
      </c>
      <c r="E35" s="679">
        <f t="shared" ref="E35" si="1">IFERROR(VALUE(MID(D35,2,LEN(D35)-1)),"")</f>
        <v>22</v>
      </c>
      <c r="F35" s="581">
        <v>111000</v>
      </c>
      <c r="G35" s="570">
        <v>0</v>
      </c>
      <c r="H35" s="570">
        <v>111000</v>
      </c>
      <c r="I35" s="667" t="s">
        <v>249</v>
      </c>
      <c r="J35" s="579" t="s">
        <v>281</v>
      </c>
      <c r="K35" s="700" t="s">
        <v>153</v>
      </c>
      <c r="L35" s="341"/>
      <c r="M35" s="557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</row>
    <row r="36" spans="1:38" s="346" customFormat="1" ht="35.4" customHeight="1">
      <c r="A36" s="828"/>
      <c r="B36" s="841"/>
      <c r="C36" s="822"/>
      <c r="D36" s="570" t="s">
        <v>302</v>
      </c>
      <c r="E36" s="679">
        <f t="shared" si="0"/>
        <v>38</v>
      </c>
      <c r="F36" s="581">
        <v>106875</v>
      </c>
      <c r="G36" s="570">
        <v>0</v>
      </c>
      <c r="H36" s="570">
        <v>106875</v>
      </c>
      <c r="I36" s="667" t="s">
        <v>202</v>
      </c>
      <c r="J36" s="698" t="s">
        <v>309</v>
      </c>
      <c r="K36" s="700" t="s">
        <v>153</v>
      </c>
      <c r="L36" s="341"/>
      <c r="M36" s="557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</row>
    <row r="37" spans="1:38" s="346" customFormat="1" ht="42" customHeight="1">
      <c r="A37" s="828"/>
      <c r="B37" s="841"/>
      <c r="C37" s="823"/>
      <c r="D37" s="570" t="s">
        <v>310</v>
      </c>
      <c r="E37" s="679">
        <f t="shared" ref="E37:E39" si="2">IFERROR(VALUE(MID(D37,2,LEN(D37)-1)),"")</f>
        <v>43</v>
      </c>
      <c r="F37" s="581">
        <v>83250</v>
      </c>
      <c r="G37" s="570">
        <v>0</v>
      </c>
      <c r="H37" s="570">
        <v>83250</v>
      </c>
      <c r="I37" s="667" t="s">
        <v>202</v>
      </c>
      <c r="J37" s="699" t="s">
        <v>339</v>
      </c>
      <c r="K37" s="830" t="s">
        <v>334</v>
      </c>
      <c r="L37" s="341"/>
      <c r="M37" s="557"/>
      <c r="N37" s="341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1"/>
      <c r="Z37" s="341"/>
      <c r="AA37" s="341"/>
      <c r="AB37" s="341"/>
      <c r="AC37" s="341"/>
      <c r="AD37" s="341"/>
      <c r="AE37" s="341"/>
      <c r="AF37" s="341"/>
      <c r="AG37" s="341"/>
      <c r="AH37" s="341"/>
      <c r="AI37" s="341"/>
      <c r="AJ37" s="341"/>
      <c r="AK37" s="341"/>
      <c r="AL37" s="341"/>
    </row>
    <row r="38" spans="1:38" s="346" customFormat="1" ht="40.200000000000003" customHeight="1">
      <c r="A38" s="828"/>
      <c r="B38" s="841"/>
      <c r="C38" s="704"/>
      <c r="D38" s="570" t="s">
        <v>328</v>
      </c>
      <c r="E38" s="679">
        <f t="shared" si="2"/>
        <v>44</v>
      </c>
      <c r="F38" s="581">
        <v>33750</v>
      </c>
      <c r="G38" s="570">
        <v>0</v>
      </c>
      <c r="H38" s="570">
        <v>33750</v>
      </c>
      <c r="I38" s="658" t="s">
        <v>203</v>
      </c>
      <c r="J38" s="703" t="s">
        <v>327</v>
      </c>
      <c r="K38" s="831"/>
      <c r="L38" s="341"/>
      <c r="M38" s="557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  <c r="AA38" s="341"/>
      <c r="AB38" s="341"/>
      <c r="AC38" s="341"/>
      <c r="AD38" s="341"/>
      <c r="AE38" s="341"/>
      <c r="AF38" s="341"/>
      <c r="AG38" s="341"/>
      <c r="AH38" s="341"/>
      <c r="AI38" s="341"/>
      <c r="AJ38" s="341"/>
      <c r="AK38" s="341"/>
      <c r="AL38" s="341"/>
    </row>
    <row r="39" spans="1:38" s="346" customFormat="1" ht="40.200000000000003" customHeight="1">
      <c r="A39" s="829"/>
      <c r="B39" s="842"/>
      <c r="C39" s="704"/>
      <c r="D39" s="570" t="s">
        <v>329</v>
      </c>
      <c r="E39" s="679">
        <f t="shared" si="2"/>
        <v>45</v>
      </c>
      <c r="F39" s="581">
        <v>30375</v>
      </c>
      <c r="G39" s="570">
        <v>0</v>
      </c>
      <c r="H39" s="570">
        <v>30375</v>
      </c>
      <c r="I39" s="658" t="s">
        <v>203</v>
      </c>
      <c r="J39" s="703" t="s">
        <v>327</v>
      </c>
      <c r="K39" s="832"/>
      <c r="L39" s="341"/>
      <c r="M39" s="557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</row>
    <row r="40" spans="1:38" s="346" customFormat="1" ht="32.4" customHeight="1">
      <c r="A40" s="615" t="s">
        <v>80</v>
      </c>
      <c r="B40" s="622" t="s">
        <v>217</v>
      </c>
      <c r="C40" s="614"/>
      <c r="D40" s="570"/>
      <c r="E40" s="679" t="str">
        <f t="shared" si="0"/>
        <v/>
      </c>
      <c r="F40" s="581"/>
      <c r="G40" s="570"/>
      <c r="H40" s="570"/>
      <c r="I40" s="570"/>
      <c r="J40" s="570"/>
      <c r="K40" s="570"/>
      <c r="L40" s="341"/>
      <c r="M40" s="557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</row>
    <row r="41" spans="1:38" s="346" customFormat="1" ht="32.4" customHeight="1">
      <c r="A41" s="627" t="s">
        <v>81</v>
      </c>
      <c r="B41" s="628" t="s">
        <v>227</v>
      </c>
      <c r="C41" s="629">
        <v>92115.83</v>
      </c>
      <c r="D41" s="632" t="s">
        <v>72</v>
      </c>
      <c r="E41" s="680">
        <f t="shared" si="0"/>
        <v>5</v>
      </c>
      <c r="F41" s="653">
        <v>92115.83</v>
      </c>
      <c r="G41" s="654">
        <v>0</v>
      </c>
      <c r="H41" s="654">
        <v>92115.83</v>
      </c>
      <c r="I41" s="629" t="s">
        <v>249</v>
      </c>
      <c r="J41" s="629" t="s">
        <v>263</v>
      </c>
      <c r="K41" s="629" t="s">
        <v>153</v>
      </c>
      <c r="L41" s="341"/>
      <c r="M41" s="557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</row>
    <row r="42" spans="1:38" s="346" customFormat="1" ht="40.200000000000003" customHeight="1">
      <c r="A42" s="627" t="s">
        <v>243</v>
      </c>
      <c r="B42" s="628" t="s">
        <v>247</v>
      </c>
      <c r="C42" s="629">
        <v>69692.789999999994</v>
      </c>
      <c r="D42" s="632" t="s">
        <v>73</v>
      </c>
      <c r="E42" s="680">
        <f t="shared" si="0"/>
        <v>6</v>
      </c>
      <c r="F42" s="631">
        <v>69692.789999999994</v>
      </c>
      <c r="G42" s="629">
        <v>0</v>
      </c>
      <c r="H42" s="629">
        <v>69692.789999999994</v>
      </c>
      <c r="I42" s="629" t="s">
        <v>249</v>
      </c>
      <c r="J42" s="629" t="s">
        <v>263</v>
      </c>
      <c r="K42" s="629" t="s">
        <v>153</v>
      </c>
      <c r="L42" s="341"/>
      <c r="M42" s="557"/>
      <c r="N42" s="341"/>
      <c r="O42" s="341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  <c r="AA42" s="341"/>
      <c r="AB42" s="341"/>
      <c r="AC42" s="341"/>
      <c r="AD42" s="341"/>
      <c r="AE42" s="341"/>
      <c r="AF42" s="341"/>
      <c r="AG42" s="341"/>
      <c r="AH42" s="341"/>
      <c r="AI42" s="341"/>
      <c r="AJ42" s="341"/>
      <c r="AK42" s="341"/>
      <c r="AL42" s="341"/>
    </row>
    <row r="43" spans="1:38" s="346" customFormat="1" ht="53.4" customHeight="1">
      <c r="A43" s="627" t="s">
        <v>244</v>
      </c>
      <c r="B43" s="628" t="s">
        <v>248</v>
      </c>
      <c r="C43" s="629">
        <v>130832</v>
      </c>
      <c r="D43" s="632" t="s">
        <v>172</v>
      </c>
      <c r="E43" s="680">
        <f t="shared" si="0"/>
        <v>19</v>
      </c>
      <c r="F43" s="633">
        <v>151220.25</v>
      </c>
      <c r="G43" s="632">
        <v>0</v>
      </c>
      <c r="H43" s="632">
        <v>151220.25</v>
      </c>
      <c r="I43" s="629" t="s">
        <v>249</v>
      </c>
      <c r="J43" s="634" t="s">
        <v>281</v>
      </c>
      <c r="K43" s="629" t="s">
        <v>153</v>
      </c>
      <c r="L43" s="341"/>
      <c r="M43" s="557"/>
      <c r="N43" s="341"/>
      <c r="O43" s="341"/>
      <c r="P43" s="341"/>
      <c r="Q43" s="341"/>
      <c r="R43" s="341"/>
      <c r="S43" s="341"/>
      <c r="T43" s="341"/>
      <c r="U43" s="341"/>
      <c r="V43" s="341"/>
      <c r="W43" s="341"/>
      <c r="X43" s="341"/>
      <c r="Y43" s="341"/>
      <c r="Z43" s="341"/>
      <c r="AA43" s="341"/>
      <c r="AB43" s="341"/>
      <c r="AC43" s="341"/>
      <c r="AD43" s="341"/>
      <c r="AE43" s="341"/>
      <c r="AF43" s="341"/>
      <c r="AG43" s="341"/>
      <c r="AH43" s="341"/>
      <c r="AI43" s="341"/>
      <c r="AJ43" s="341"/>
      <c r="AK43" s="341"/>
      <c r="AL43" s="341"/>
    </row>
    <row r="44" spans="1:38" s="346" customFormat="1" ht="37.950000000000003" customHeight="1">
      <c r="A44" s="661" t="s">
        <v>286</v>
      </c>
      <c r="B44" s="662" t="s">
        <v>287</v>
      </c>
      <c r="C44" s="660"/>
      <c r="D44" s="570"/>
      <c r="E44" s="679" t="str">
        <f t="shared" si="0"/>
        <v/>
      </c>
      <c r="F44" s="569"/>
      <c r="G44" s="570"/>
      <c r="H44" s="573"/>
      <c r="I44" s="579"/>
      <c r="J44" s="664"/>
      <c r="K44" s="573"/>
      <c r="L44" s="341"/>
      <c r="M44" s="557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</row>
    <row r="45" spans="1:38" s="346" customFormat="1" ht="40.950000000000003" customHeight="1">
      <c r="A45" s="615" t="s">
        <v>169</v>
      </c>
      <c r="B45" s="616" t="s">
        <v>233</v>
      </c>
      <c r="C45" s="614">
        <v>5868795.1899999995</v>
      </c>
      <c r="D45" s="570"/>
      <c r="E45" s="679" t="str">
        <f t="shared" si="0"/>
        <v/>
      </c>
      <c r="F45" s="581"/>
      <c r="G45" s="570"/>
      <c r="H45" s="570"/>
      <c r="I45" s="570"/>
      <c r="J45" s="570"/>
      <c r="K45" s="570"/>
      <c r="L45" s="341"/>
      <c r="M45" s="557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</row>
    <row r="46" spans="1:38" s="346" customFormat="1" ht="37.950000000000003" customHeight="1">
      <c r="A46" s="615" t="s">
        <v>170</v>
      </c>
      <c r="B46" s="616" t="s">
        <v>198</v>
      </c>
      <c r="C46" s="614">
        <v>1109034.9700000002</v>
      </c>
      <c r="D46" s="570" t="s">
        <v>346</v>
      </c>
      <c r="E46" s="679">
        <f t="shared" si="0"/>
        <v>52</v>
      </c>
      <c r="F46" s="581">
        <v>244644.62437129952</v>
      </c>
      <c r="G46" s="570">
        <v>129446.72437129953</v>
      </c>
      <c r="H46" s="570">
        <v>115197.90000000001</v>
      </c>
      <c r="I46" s="658" t="s">
        <v>188</v>
      </c>
      <c r="J46" s="570" t="s">
        <v>352</v>
      </c>
      <c r="K46" s="577"/>
      <c r="L46" s="341"/>
      <c r="M46" s="557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</row>
    <row r="47" spans="1:38" s="346" customFormat="1" ht="32.4" customHeight="1">
      <c r="A47" s="627" t="s">
        <v>171</v>
      </c>
      <c r="B47" s="628" t="s">
        <v>226</v>
      </c>
      <c r="C47" s="629">
        <v>220420.19</v>
      </c>
      <c r="D47" s="632" t="s">
        <v>74</v>
      </c>
      <c r="E47" s="680">
        <f t="shared" si="0"/>
        <v>7</v>
      </c>
      <c r="F47" s="633">
        <v>220420.19</v>
      </c>
      <c r="G47" s="632">
        <v>0</v>
      </c>
      <c r="H47" s="632">
        <v>220420.19</v>
      </c>
      <c r="I47" s="629" t="s">
        <v>249</v>
      </c>
      <c r="J47" s="629" t="s">
        <v>263</v>
      </c>
      <c r="K47" s="629" t="s">
        <v>153</v>
      </c>
      <c r="L47" s="341"/>
      <c r="M47" s="557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  <c r="AB47" s="341"/>
      <c r="AC47" s="341"/>
      <c r="AD47" s="341"/>
      <c r="AE47" s="341"/>
      <c r="AF47" s="341"/>
      <c r="AG47" s="341"/>
      <c r="AH47" s="341"/>
      <c r="AI47" s="341"/>
      <c r="AJ47" s="341"/>
      <c r="AK47" s="341"/>
      <c r="AL47" s="341"/>
    </row>
    <row r="48" spans="1:38" s="346" customFormat="1" ht="34.200000000000003" customHeight="1">
      <c r="A48" s="627" t="s">
        <v>172</v>
      </c>
      <c r="B48" s="628" t="s">
        <v>228</v>
      </c>
      <c r="C48" s="629">
        <v>19075.719999999998</v>
      </c>
      <c r="D48" s="632" t="s">
        <v>77</v>
      </c>
      <c r="E48" s="680">
        <f t="shared" si="0"/>
        <v>8</v>
      </c>
      <c r="F48" s="631">
        <v>19075.719999999998</v>
      </c>
      <c r="G48" s="632">
        <v>0</v>
      </c>
      <c r="H48" s="629">
        <v>19075.719999999998</v>
      </c>
      <c r="I48" s="629" t="s">
        <v>249</v>
      </c>
      <c r="J48" s="629" t="s">
        <v>263</v>
      </c>
      <c r="K48" s="629" t="s">
        <v>153</v>
      </c>
      <c r="L48" s="341"/>
      <c r="M48" s="557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  <c r="AB48" s="341"/>
      <c r="AC48" s="341"/>
      <c r="AD48" s="341"/>
      <c r="AE48" s="341"/>
      <c r="AF48" s="341"/>
      <c r="AG48" s="341"/>
      <c r="AH48" s="341"/>
      <c r="AI48" s="341"/>
      <c r="AJ48" s="341"/>
      <c r="AK48" s="341"/>
      <c r="AL48" s="341"/>
    </row>
    <row r="49" spans="1:38" s="346" customFormat="1" ht="37.200000000000003" customHeight="1">
      <c r="A49" s="627" t="s">
        <v>221</v>
      </c>
      <c r="B49" s="628" t="s">
        <v>231</v>
      </c>
      <c r="C49" s="629">
        <v>8730</v>
      </c>
      <c r="D49" s="632" t="s">
        <v>250</v>
      </c>
      <c r="E49" s="680">
        <f t="shared" si="0"/>
        <v>9</v>
      </c>
      <c r="F49" s="631">
        <v>8730</v>
      </c>
      <c r="G49" s="632">
        <v>0</v>
      </c>
      <c r="H49" s="629">
        <v>8730</v>
      </c>
      <c r="I49" s="629" t="s">
        <v>249</v>
      </c>
      <c r="J49" s="629" t="s">
        <v>263</v>
      </c>
      <c r="K49" s="629" t="s">
        <v>153</v>
      </c>
      <c r="L49" s="341"/>
      <c r="M49" s="557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</row>
    <row r="50" spans="1:38" s="346" customFormat="1" ht="39.6" customHeight="1">
      <c r="A50" s="827" t="s">
        <v>222</v>
      </c>
      <c r="B50" s="824" t="s">
        <v>241</v>
      </c>
      <c r="C50" s="614">
        <v>1821725.04</v>
      </c>
      <c r="D50" s="570" t="s">
        <v>225</v>
      </c>
      <c r="E50" s="679">
        <f t="shared" si="0"/>
        <v>26</v>
      </c>
      <c r="F50" s="581">
        <v>954520.6</v>
      </c>
      <c r="G50" s="570">
        <v>0</v>
      </c>
      <c r="H50" s="570">
        <v>954520.6</v>
      </c>
      <c r="I50" s="573" t="s">
        <v>249</v>
      </c>
      <c r="J50" s="579" t="s">
        <v>284</v>
      </c>
      <c r="K50" s="667" t="s">
        <v>153</v>
      </c>
      <c r="L50" s="341"/>
      <c r="M50" s="557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</row>
    <row r="51" spans="1:38" s="346" customFormat="1" ht="39.6" customHeight="1">
      <c r="A51" s="828"/>
      <c r="B51" s="825"/>
      <c r="C51" s="686"/>
      <c r="D51" s="570" t="s">
        <v>285</v>
      </c>
      <c r="E51" s="679">
        <f t="shared" ref="E51" si="3">IFERROR(VALUE(MID(D51,2,LEN(D51)-1)),"")</f>
        <v>35</v>
      </c>
      <c r="F51" s="581">
        <v>320050</v>
      </c>
      <c r="G51" s="570">
        <v>0</v>
      </c>
      <c r="H51" s="570">
        <v>320050</v>
      </c>
      <c r="I51" s="573" t="s">
        <v>249</v>
      </c>
      <c r="J51" s="667" t="s">
        <v>299</v>
      </c>
      <c r="K51" s="667" t="s">
        <v>153</v>
      </c>
      <c r="L51" s="341"/>
      <c r="M51" s="557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</row>
    <row r="52" spans="1:38" s="346" customFormat="1" ht="39.6" customHeight="1">
      <c r="A52" s="829"/>
      <c r="B52" s="826"/>
      <c r="C52" s="665"/>
      <c r="D52" s="570" t="s">
        <v>303</v>
      </c>
      <c r="E52" s="679">
        <f t="shared" si="0"/>
        <v>39</v>
      </c>
      <c r="F52" s="581">
        <v>255300</v>
      </c>
      <c r="G52" s="570">
        <v>0</v>
      </c>
      <c r="H52" s="570">
        <v>255300</v>
      </c>
      <c r="I52" s="667" t="s">
        <v>202</v>
      </c>
      <c r="J52" s="698" t="s">
        <v>309</v>
      </c>
      <c r="K52" s="570" t="s">
        <v>304</v>
      </c>
      <c r="L52" s="341"/>
      <c r="M52" s="557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</row>
    <row r="53" spans="1:38" s="346" customFormat="1" ht="33" customHeight="1">
      <c r="A53" s="827" t="s">
        <v>223</v>
      </c>
      <c r="B53" s="824" t="s">
        <v>246</v>
      </c>
      <c r="C53" s="821">
        <v>505000</v>
      </c>
      <c r="D53" s="570" t="s">
        <v>224</v>
      </c>
      <c r="E53" s="679">
        <f t="shared" si="0"/>
        <v>25</v>
      </c>
      <c r="F53" s="581">
        <v>290457</v>
      </c>
      <c r="G53" s="570">
        <v>0</v>
      </c>
      <c r="H53" s="570">
        <v>290457</v>
      </c>
      <c r="I53" s="573" t="s">
        <v>249</v>
      </c>
      <c r="J53" s="579" t="s">
        <v>284</v>
      </c>
      <c r="K53" s="667" t="s">
        <v>153</v>
      </c>
      <c r="L53" s="341"/>
      <c r="M53" s="557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</row>
    <row r="54" spans="1:38" s="346" customFormat="1" ht="33" customHeight="1">
      <c r="A54" s="828"/>
      <c r="B54" s="825"/>
      <c r="C54" s="822"/>
      <c r="D54" s="570" t="s">
        <v>238</v>
      </c>
      <c r="E54" s="679">
        <f t="shared" ref="E54" si="4">IFERROR(VALUE(MID(D54,2,LEN(D54)-1)),"")</f>
        <v>32</v>
      </c>
      <c r="F54" s="581">
        <v>145228.5</v>
      </c>
      <c r="G54" s="570">
        <v>0</v>
      </c>
      <c r="H54" s="570">
        <v>145228.5</v>
      </c>
      <c r="I54" s="573" t="s">
        <v>249</v>
      </c>
      <c r="J54" s="667" t="s">
        <v>298</v>
      </c>
      <c r="K54" s="667" t="s">
        <v>153</v>
      </c>
      <c r="L54" s="341"/>
      <c r="M54" s="557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41"/>
      <c r="AJ54" s="341"/>
      <c r="AK54" s="341"/>
      <c r="AL54" s="341"/>
    </row>
    <row r="55" spans="1:38" s="346" customFormat="1" ht="34.5" customHeight="1">
      <c r="A55" s="829"/>
      <c r="B55" s="826"/>
      <c r="C55" s="823"/>
      <c r="D55" s="570" t="s">
        <v>305</v>
      </c>
      <c r="E55" s="679">
        <f t="shared" si="0"/>
        <v>40</v>
      </c>
      <c r="F55" s="581">
        <v>69314.5</v>
      </c>
      <c r="G55" s="570">
        <v>0</v>
      </c>
      <c r="H55" s="570">
        <v>69314.5</v>
      </c>
      <c r="I55" s="667" t="s">
        <v>202</v>
      </c>
      <c r="J55" s="698" t="s">
        <v>309</v>
      </c>
      <c r="K55" s="667" t="s">
        <v>153</v>
      </c>
      <c r="L55" s="341"/>
      <c r="M55" s="557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  <c r="AK55" s="341"/>
      <c r="AL55" s="341"/>
    </row>
    <row r="56" spans="1:38" s="346" customFormat="1" ht="41.4" customHeight="1">
      <c r="A56" s="615" t="s">
        <v>245</v>
      </c>
      <c r="B56" s="603" t="s">
        <v>232</v>
      </c>
      <c r="C56" s="614">
        <v>959112.20788461529</v>
      </c>
      <c r="D56" s="570"/>
      <c r="E56" s="679" t="str">
        <f t="shared" si="0"/>
        <v/>
      </c>
      <c r="F56" s="581"/>
      <c r="G56" s="570"/>
      <c r="H56" s="570"/>
      <c r="I56" s="570"/>
      <c r="J56" s="570"/>
      <c r="K56" s="570"/>
      <c r="L56" s="341"/>
      <c r="M56" s="557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</row>
    <row r="57" spans="1:38" s="346" customFormat="1" ht="43.2" customHeight="1">
      <c r="A57" s="627" t="s">
        <v>252</v>
      </c>
      <c r="B57" s="639" t="s">
        <v>254</v>
      </c>
      <c r="C57" s="629">
        <v>16887.37</v>
      </c>
      <c r="D57" s="632" t="s">
        <v>221</v>
      </c>
      <c r="E57" s="680">
        <f t="shared" si="0"/>
        <v>20</v>
      </c>
      <c r="F57" s="633">
        <v>46960.607999999993</v>
      </c>
      <c r="G57" s="632">
        <v>30073.237999999998</v>
      </c>
      <c r="H57" s="632">
        <v>16887.37</v>
      </c>
      <c r="I57" s="629" t="s">
        <v>249</v>
      </c>
      <c r="J57" s="634" t="s">
        <v>281</v>
      </c>
      <c r="K57" s="629" t="s">
        <v>322</v>
      </c>
      <c r="L57" s="341"/>
      <c r="M57" s="557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</row>
    <row r="58" spans="1:38" s="346" customFormat="1" ht="32.4" customHeight="1">
      <c r="A58" s="615" t="s">
        <v>253</v>
      </c>
      <c r="B58" s="603" t="s">
        <v>255</v>
      </c>
      <c r="C58" s="647">
        <v>35345</v>
      </c>
      <c r="D58" s="570"/>
      <c r="E58" s="679" t="str">
        <f t="shared" si="0"/>
        <v/>
      </c>
      <c r="F58" s="581"/>
      <c r="G58" s="570"/>
      <c r="H58" s="570"/>
      <c r="I58" s="570"/>
      <c r="J58" s="570"/>
      <c r="K58" s="667"/>
      <c r="L58" s="341"/>
      <c r="M58" s="557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</row>
    <row r="59" spans="1:38" s="346" customFormat="1" ht="32.4" customHeight="1">
      <c r="A59" s="615" t="s">
        <v>258</v>
      </c>
      <c r="B59" s="603" t="s">
        <v>256</v>
      </c>
      <c r="C59" s="647">
        <v>35365.25</v>
      </c>
      <c r="D59" s="570" t="s">
        <v>332</v>
      </c>
      <c r="E59" s="679">
        <f t="shared" si="0"/>
        <v>46</v>
      </c>
      <c r="F59" s="581">
        <v>148135.124392</v>
      </c>
      <c r="G59" s="570">
        <v>115874.374392</v>
      </c>
      <c r="H59" s="570">
        <v>32260.75</v>
      </c>
      <c r="I59" s="658" t="s">
        <v>203</v>
      </c>
      <c r="J59" s="570" t="s">
        <v>335</v>
      </c>
      <c r="K59" s="573" t="s">
        <v>354</v>
      </c>
      <c r="L59" s="341"/>
      <c r="M59" s="557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</row>
    <row r="60" spans="1:38" s="346" customFormat="1" ht="32.4" customHeight="1">
      <c r="A60" s="627" t="s">
        <v>259</v>
      </c>
      <c r="B60" s="639" t="s">
        <v>257</v>
      </c>
      <c r="C60" s="629">
        <v>35433.65</v>
      </c>
      <c r="D60" s="632" t="s">
        <v>222</v>
      </c>
      <c r="E60" s="680">
        <f t="shared" si="0"/>
        <v>21</v>
      </c>
      <c r="F60" s="633">
        <v>148179.73000000001</v>
      </c>
      <c r="G60" s="632">
        <v>115912.73</v>
      </c>
      <c r="H60" s="632">
        <v>32267</v>
      </c>
      <c r="I60" s="629" t="s">
        <v>249</v>
      </c>
      <c r="J60" s="634" t="s">
        <v>298</v>
      </c>
      <c r="K60" s="629" t="s">
        <v>322</v>
      </c>
      <c r="L60" s="341"/>
      <c r="M60" s="557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</row>
    <row r="61" spans="1:38" s="346" customFormat="1" ht="39.6" customHeight="1">
      <c r="A61" s="615" t="s">
        <v>260</v>
      </c>
      <c r="B61" s="603" t="s">
        <v>261</v>
      </c>
      <c r="C61" s="647">
        <v>30402.5</v>
      </c>
      <c r="D61" s="570"/>
      <c r="E61" s="679" t="str">
        <f t="shared" si="0"/>
        <v/>
      </c>
      <c r="F61" s="581"/>
      <c r="G61" s="570"/>
      <c r="H61" s="570"/>
      <c r="I61" s="573"/>
      <c r="J61" s="641"/>
      <c r="K61" s="667"/>
      <c r="L61" s="341"/>
      <c r="M61" s="557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</row>
    <row r="62" spans="1:38" s="346" customFormat="1" ht="39.6" customHeight="1">
      <c r="A62" s="827" t="s">
        <v>224</v>
      </c>
      <c r="B62" s="824" t="s">
        <v>234</v>
      </c>
      <c r="C62" s="821">
        <v>246953.74</v>
      </c>
      <c r="D62" s="570" t="s">
        <v>240</v>
      </c>
      <c r="E62" s="679">
        <f t="shared" si="0"/>
        <v>34</v>
      </c>
      <c r="F62" s="581">
        <v>325313.90174200002</v>
      </c>
      <c r="G62" s="570">
        <v>168734.02174199998</v>
      </c>
      <c r="H62" s="570">
        <v>156579.88</v>
      </c>
      <c r="I62" s="573" t="s">
        <v>249</v>
      </c>
      <c r="J62" s="667" t="s">
        <v>298</v>
      </c>
      <c r="K62" s="667" t="s">
        <v>322</v>
      </c>
      <c r="L62" s="341"/>
      <c r="M62" s="557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</row>
    <row r="63" spans="1:38" s="346" customFormat="1" ht="39.6" customHeight="1">
      <c r="A63" s="828"/>
      <c r="B63" s="825"/>
      <c r="C63" s="822"/>
      <c r="D63" s="570" t="s">
        <v>306</v>
      </c>
      <c r="E63" s="679">
        <f t="shared" si="0"/>
        <v>41</v>
      </c>
      <c r="F63" s="581">
        <v>121976.767742368</v>
      </c>
      <c r="G63" s="570">
        <v>59072.827742367997</v>
      </c>
      <c r="H63" s="570">
        <v>62903.94</v>
      </c>
      <c r="I63" s="667" t="s">
        <v>202</v>
      </c>
      <c r="J63" s="698" t="s">
        <v>309</v>
      </c>
      <c r="K63" s="667" t="s">
        <v>322</v>
      </c>
      <c r="L63" s="341"/>
      <c r="M63" s="557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</row>
    <row r="64" spans="1:38" s="346" customFormat="1" ht="39.6" customHeight="1">
      <c r="A64" s="829"/>
      <c r="B64" s="826"/>
      <c r="C64" s="823"/>
      <c r="D64" s="570" t="s">
        <v>336</v>
      </c>
      <c r="E64" s="679"/>
      <c r="F64" s="581">
        <v>27190.45</v>
      </c>
      <c r="G64" s="570">
        <v>7129.87</v>
      </c>
      <c r="H64" s="570">
        <v>20060.580000000002</v>
      </c>
      <c r="I64" s="658" t="s">
        <v>188</v>
      </c>
      <c r="J64" s="570" t="s">
        <v>352</v>
      </c>
      <c r="K64" s="573"/>
      <c r="L64" s="341"/>
      <c r="M64" s="557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</row>
    <row r="65" spans="1:38" s="346" customFormat="1" ht="32.4" customHeight="1">
      <c r="A65" s="615" t="s">
        <v>225</v>
      </c>
      <c r="B65" s="616" t="s">
        <v>229</v>
      </c>
      <c r="C65" s="641"/>
      <c r="D65" s="570"/>
      <c r="E65" s="679" t="str">
        <f t="shared" si="0"/>
        <v/>
      </c>
      <c r="F65" s="581"/>
      <c r="G65" s="570"/>
      <c r="H65" s="570"/>
      <c r="I65" s="570"/>
      <c r="J65" s="570"/>
      <c r="K65" s="570"/>
      <c r="L65" s="341"/>
      <c r="M65" s="557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</row>
    <row r="66" spans="1:38" s="346" customFormat="1" ht="32.4" customHeight="1">
      <c r="A66" s="615" t="s">
        <v>235</v>
      </c>
      <c r="B66" s="616" t="s">
        <v>266</v>
      </c>
      <c r="C66" s="641">
        <v>48963.26</v>
      </c>
      <c r="D66" s="570"/>
      <c r="E66" s="679" t="str">
        <f t="shared" si="0"/>
        <v/>
      </c>
      <c r="F66" s="581"/>
      <c r="G66" s="570"/>
      <c r="H66" s="570"/>
      <c r="I66" s="570"/>
      <c r="J66" s="570"/>
      <c r="K66" s="570"/>
      <c r="L66" s="341"/>
      <c r="M66" s="557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</row>
    <row r="67" spans="1:38" s="346" customFormat="1" ht="32.4" customHeight="1">
      <c r="A67" s="642" t="s">
        <v>262</v>
      </c>
      <c r="B67" s="643" t="s">
        <v>270</v>
      </c>
      <c r="C67" s="641">
        <v>1900000</v>
      </c>
      <c r="D67" s="570"/>
      <c r="E67" s="679" t="str">
        <f t="shared" si="0"/>
        <v/>
      </c>
      <c r="F67" s="581"/>
      <c r="G67" s="570"/>
      <c r="H67" s="570"/>
      <c r="I67" s="570"/>
      <c r="J67" s="570"/>
      <c r="K67" s="570"/>
      <c r="L67" s="341"/>
      <c r="M67" s="557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</row>
    <row r="68" spans="1:38" s="346" customFormat="1" ht="32.4" customHeight="1">
      <c r="A68" s="642" t="s">
        <v>230</v>
      </c>
      <c r="B68" s="643" t="s">
        <v>216</v>
      </c>
      <c r="C68" s="641"/>
      <c r="D68" s="570"/>
      <c r="E68" s="679" t="str">
        <f t="shared" si="0"/>
        <v/>
      </c>
      <c r="F68" s="581"/>
      <c r="G68" s="570"/>
      <c r="H68" s="570"/>
      <c r="I68" s="570"/>
      <c r="J68" s="570"/>
      <c r="K68" s="570"/>
      <c r="L68" s="341"/>
      <c r="M68" s="557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</row>
    <row r="69" spans="1:38" s="346" customFormat="1" ht="37.200000000000003" customHeight="1">
      <c r="A69" s="627" t="s">
        <v>236</v>
      </c>
      <c r="B69" s="628" t="s">
        <v>271</v>
      </c>
      <c r="C69" s="629">
        <v>44103.59</v>
      </c>
      <c r="D69" s="632" t="s">
        <v>277</v>
      </c>
      <c r="E69" s="680">
        <f t="shared" si="0"/>
        <v>24</v>
      </c>
      <c r="F69" s="633">
        <v>40991.121999999996</v>
      </c>
      <c r="G69" s="632">
        <v>187.78200000000001</v>
      </c>
      <c r="H69" s="632">
        <v>40803.339999999997</v>
      </c>
      <c r="I69" s="629" t="s">
        <v>249</v>
      </c>
      <c r="J69" s="634" t="s">
        <v>281</v>
      </c>
      <c r="K69" s="629" t="s">
        <v>322</v>
      </c>
      <c r="L69" s="341"/>
      <c r="M69" s="557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</row>
    <row r="70" spans="1:38" s="346" customFormat="1" ht="32.4" customHeight="1">
      <c r="A70" s="642" t="s">
        <v>237</v>
      </c>
      <c r="B70" s="643" t="s">
        <v>276</v>
      </c>
      <c r="C70" s="641"/>
      <c r="D70" s="570"/>
      <c r="E70" s="679" t="str">
        <f t="shared" si="0"/>
        <v/>
      </c>
      <c r="F70" s="581"/>
      <c r="G70" s="570"/>
      <c r="H70" s="570"/>
      <c r="I70" s="570"/>
      <c r="J70" s="570"/>
      <c r="K70" s="570"/>
      <c r="L70" s="341"/>
      <c r="M70" s="557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</row>
    <row r="71" spans="1:38" s="346" customFormat="1" ht="43.95" customHeight="1">
      <c r="A71" s="656" t="s">
        <v>238</v>
      </c>
      <c r="B71" s="657" t="s">
        <v>282</v>
      </c>
      <c r="C71" s="655">
        <v>337206.36</v>
      </c>
      <c r="D71" s="570" t="s">
        <v>237</v>
      </c>
      <c r="E71" s="679">
        <f t="shared" si="0"/>
        <v>31</v>
      </c>
      <c r="F71" s="569">
        <v>337206.36</v>
      </c>
      <c r="G71" s="570">
        <v>0</v>
      </c>
      <c r="H71" s="570">
        <v>337206.36</v>
      </c>
      <c r="I71" s="573" t="s">
        <v>249</v>
      </c>
      <c r="J71" s="660" t="s">
        <v>298</v>
      </c>
      <c r="K71" s="667" t="s">
        <v>153</v>
      </c>
      <c r="L71" s="557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</row>
    <row r="72" spans="1:38" s="346" customFormat="1" ht="43.95" customHeight="1">
      <c r="A72" s="692" t="s">
        <v>239</v>
      </c>
      <c r="B72" s="688" t="s">
        <v>279</v>
      </c>
      <c r="C72" s="667">
        <v>5040</v>
      </c>
      <c r="D72" s="570"/>
      <c r="E72" s="679"/>
      <c r="F72" s="569"/>
      <c r="G72" s="570"/>
      <c r="H72" s="570"/>
      <c r="I72" s="573"/>
      <c r="J72" s="667"/>
      <c r="K72" s="667"/>
      <c r="L72" s="557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</row>
    <row r="73" spans="1:38" s="346" customFormat="1" ht="43.95" customHeight="1">
      <c r="A73" s="692" t="s">
        <v>240</v>
      </c>
      <c r="B73" s="688" t="s">
        <v>275</v>
      </c>
      <c r="C73" s="667">
        <v>40920.067115384612</v>
      </c>
      <c r="D73" s="570"/>
      <c r="E73" s="679"/>
      <c r="F73" s="569"/>
      <c r="G73" s="570"/>
      <c r="H73" s="570"/>
      <c r="I73" s="573"/>
      <c r="J73" s="667"/>
      <c r="K73" s="667"/>
      <c r="L73" s="557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</row>
    <row r="74" spans="1:38" s="346" customFormat="1" ht="43.95" customHeight="1">
      <c r="A74" s="692" t="s">
        <v>285</v>
      </c>
      <c r="B74" s="688" t="s">
        <v>297</v>
      </c>
      <c r="C74" s="667">
        <v>108026.29200000002</v>
      </c>
      <c r="D74" s="570" t="s">
        <v>333</v>
      </c>
      <c r="E74" s="679"/>
      <c r="F74" s="569">
        <v>120418.52706000002</v>
      </c>
      <c r="G74" s="570">
        <v>12392.235060000001</v>
      </c>
      <c r="H74" s="570">
        <v>108026.29200000002</v>
      </c>
      <c r="I74" s="573" t="s">
        <v>249</v>
      </c>
      <c r="J74" s="667" t="s">
        <v>339</v>
      </c>
      <c r="K74" s="573"/>
      <c r="L74" s="557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</row>
    <row r="75" spans="1:38" s="346" customFormat="1" ht="43.95" customHeight="1">
      <c r="A75" s="692" t="s">
        <v>289</v>
      </c>
      <c r="B75" s="688" t="s">
        <v>300</v>
      </c>
      <c r="C75" s="667">
        <v>6116.26</v>
      </c>
      <c r="D75" s="570"/>
      <c r="E75" s="679"/>
      <c r="F75" s="569"/>
      <c r="G75" s="570"/>
      <c r="H75" s="570"/>
      <c r="I75" s="573"/>
      <c r="J75" s="667"/>
      <c r="K75" s="667"/>
      <c r="L75" s="557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</row>
    <row r="76" spans="1:38" s="346" customFormat="1" ht="43.95" customHeight="1">
      <c r="A76" s="692" t="s">
        <v>301</v>
      </c>
      <c r="B76" s="688" t="s">
        <v>307</v>
      </c>
      <c r="C76" s="667">
        <v>15568.8</v>
      </c>
      <c r="D76" s="570"/>
      <c r="E76" s="679"/>
      <c r="F76" s="569"/>
      <c r="G76" s="570"/>
      <c r="H76" s="570"/>
      <c r="I76" s="573"/>
      <c r="J76" s="667"/>
      <c r="K76" s="667"/>
      <c r="L76" s="557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</row>
    <row r="77" spans="1:38" s="346" customFormat="1" ht="32.4" customHeight="1">
      <c r="A77" s="642"/>
      <c r="B77" s="643" t="s">
        <v>330</v>
      </c>
      <c r="C77" s="641">
        <v>40920.067115384612</v>
      </c>
      <c r="D77" s="570" t="s">
        <v>169</v>
      </c>
      <c r="E77" s="679">
        <f t="shared" si="0"/>
        <v>16</v>
      </c>
      <c r="F77" s="581">
        <v>30200</v>
      </c>
      <c r="G77" s="570"/>
      <c r="H77" s="570"/>
      <c r="I77" s="570"/>
      <c r="J77" s="570"/>
      <c r="K77" s="570"/>
      <c r="L77" s="341"/>
      <c r="M77" s="557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</row>
    <row r="78" spans="1:38" s="346" customFormat="1" ht="37.950000000000003" customHeight="1">
      <c r="A78" s="669"/>
      <c r="B78" s="688" t="s">
        <v>331</v>
      </c>
      <c r="C78" s="667"/>
      <c r="D78" s="570" t="s">
        <v>225</v>
      </c>
      <c r="E78" s="679">
        <f t="shared" si="0"/>
        <v>26</v>
      </c>
      <c r="F78" s="569">
        <v>68000</v>
      </c>
      <c r="G78" s="570"/>
      <c r="H78" s="573"/>
      <c r="I78" s="579"/>
      <c r="J78" s="570"/>
      <c r="K78" s="570"/>
      <c r="L78" s="557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</row>
    <row r="79" spans="1:38" s="346" customFormat="1" ht="37.950000000000003" customHeight="1">
      <c r="A79" s="687"/>
      <c r="B79" s="688"/>
      <c r="C79" s="667">
        <v>4441.6160500000005</v>
      </c>
      <c r="D79" s="570"/>
      <c r="E79" s="679"/>
      <c r="F79" s="569"/>
      <c r="G79" s="570"/>
      <c r="H79" s="573"/>
      <c r="I79" s="579"/>
      <c r="J79" s="570"/>
      <c r="K79" s="570"/>
      <c r="L79" s="557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</row>
    <row r="80" spans="1:38" s="347" customFormat="1" ht="22.95" customHeight="1">
      <c r="A80" s="583"/>
      <c r="B80" s="583" t="s">
        <v>47</v>
      </c>
      <c r="C80" s="584">
        <f>SUM(C6:C79)</f>
        <v>42618013.037709109</v>
      </c>
      <c r="D80" s="584"/>
      <c r="E80" s="584"/>
      <c r="F80" s="584">
        <f>SUM(F6:F79)</f>
        <v>23097939.122516789</v>
      </c>
      <c r="G80" s="584">
        <f>SUM(G6:G79)</f>
        <v>6706117.5498767896</v>
      </c>
      <c r="H80" s="584">
        <f>SUM(H6:H79)</f>
        <v>16293621.572000001</v>
      </c>
      <c r="I80" s="584"/>
      <c r="J80" s="584"/>
      <c r="K80" s="584"/>
    </row>
    <row r="81" spans="1:38" s="346" customFormat="1" ht="32.4" customHeight="1" outlineLevel="1">
      <c r="A81" s="627"/>
      <c r="B81" s="628"/>
      <c r="C81" s="653">
        <f>SUBTOTAL(9,C6:C79)</f>
        <v>42618013.037709109</v>
      </c>
      <c r="D81" s="632"/>
      <c r="E81" s="680"/>
      <c r="F81" s="653">
        <f>SUBTOTAL(9,F6:F79)</f>
        <v>23097939.122516789</v>
      </c>
      <c r="G81" s="653">
        <f>SUBTOTAL(9,G6:G79)</f>
        <v>6706117.5498767896</v>
      </c>
      <c r="H81" s="653">
        <f>SUBTOTAL(9,H6:H79)</f>
        <v>16293621.572000001</v>
      </c>
      <c r="I81" s="629"/>
      <c r="J81" s="629"/>
      <c r="K81" s="629"/>
      <c r="L81" s="341"/>
      <c r="M81" s="557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</row>
    <row r="82" spans="1:38">
      <c r="C82" s="362"/>
      <c r="D82" s="362"/>
      <c r="E82" s="362"/>
      <c r="F82" s="362"/>
      <c r="G82" s="362"/>
      <c r="H82" s="362"/>
      <c r="I82" s="362"/>
      <c r="J82" s="362"/>
      <c r="K82" s="362"/>
    </row>
    <row r="83" spans="1:38">
      <c r="C83" s="362"/>
      <c r="D83" s="362"/>
      <c r="E83" s="362"/>
      <c r="F83" s="362"/>
      <c r="G83" s="362"/>
      <c r="H83" s="362"/>
      <c r="I83" s="362"/>
      <c r="J83" s="362"/>
      <c r="K83" s="362"/>
    </row>
    <row r="84" spans="1:38">
      <c r="C84" s="362"/>
      <c r="D84" s="362"/>
      <c r="E84" s="362"/>
      <c r="F84" s="362"/>
      <c r="G84" s="362"/>
      <c r="H84" s="362"/>
      <c r="I84" s="362"/>
      <c r="J84" s="362"/>
      <c r="K84" s="362"/>
    </row>
    <row r="85" spans="1:38">
      <c r="C85" s="362"/>
      <c r="D85" s="362"/>
      <c r="E85" s="362"/>
      <c r="F85" s="362"/>
      <c r="G85" s="362"/>
      <c r="H85" s="362"/>
      <c r="I85" s="362"/>
      <c r="J85" s="362"/>
      <c r="K85" s="362"/>
    </row>
    <row r="86" spans="1:38">
      <c r="C86" s="362"/>
      <c r="D86" s="362"/>
      <c r="E86" s="362"/>
      <c r="F86" s="362"/>
      <c r="G86" s="362"/>
      <c r="H86" s="362"/>
      <c r="I86" s="362"/>
      <c r="J86" s="362"/>
      <c r="K86" s="362"/>
    </row>
  </sheetData>
  <autoFilter ref="A5:AL80"/>
  <mergeCells count="36">
    <mergeCell ref="B10:B13"/>
    <mergeCell ref="C10:C13"/>
    <mergeCell ref="K37:K39"/>
    <mergeCell ref="A1:K2"/>
    <mergeCell ref="K3:K5"/>
    <mergeCell ref="D3:J4"/>
    <mergeCell ref="A3:A5"/>
    <mergeCell ref="B3:B5"/>
    <mergeCell ref="C3:C5"/>
    <mergeCell ref="C34:C37"/>
    <mergeCell ref="A34:A39"/>
    <mergeCell ref="B34:B39"/>
    <mergeCell ref="C18:C19"/>
    <mergeCell ref="A30:A33"/>
    <mergeCell ref="B30:B33"/>
    <mergeCell ref="A8:A9"/>
    <mergeCell ref="B8:B9"/>
    <mergeCell ref="C8:C9"/>
    <mergeCell ref="A53:A55"/>
    <mergeCell ref="B53:B55"/>
    <mergeCell ref="C53:C55"/>
    <mergeCell ref="C14:C17"/>
    <mergeCell ref="A26:A27"/>
    <mergeCell ref="B26:B27"/>
    <mergeCell ref="C26:C27"/>
    <mergeCell ref="A14:A17"/>
    <mergeCell ref="B14:B17"/>
    <mergeCell ref="A18:A19"/>
    <mergeCell ref="B18:B19"/>
    <mergeCell ref="C30:C33"/>
    <mergeCell ref="A10:A13"/>
    <mergeCell ref="C62:C64"/>
    <mergeCell ref="B62:B64"/>
    <mergeCell ref="A62:A64"/>
    <mergeCell ref="B50:B52"/>
    <mergeCell ref="A50:A52"/>
  </mergeCells>
  <pageMargins left="3.937007874015748E-2" right="0.23622047244094491" top="0.74803149606299213" bottom="0.74803149606299213" header="0.31496062992125984" footer="0.31496062992125984"/>
  <pageSetup paperSize="9" scale="61" fitToHeight="0" orientation="landscape" verticalDpi="300" r:id="rId1"/>
  <rowBreaks count="2" manualBreakCount="2">
    <brk id="24" max="10" man="1"/>
    <brk id="48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M86"/>
  <sheetViews>
    <sheetView tabSelected="1" showWhiteSpace="0" view="pageBreakPreview" zoomScale="76" zoomScaleNormal="80" zoomScaleSheetLayoutView="76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33" sqref="G33"/>
    </sheetView>
  </sheetViews>
  <sheetFormatPr defaultColWidth="9.109375" defaultRowHeight="12" outlineLevelRow="1" outlineLevelCol="1"/>
  <cols>
    <col min="1" max="1" width="10.44140625" style="331" customWidth="1"/>
    <col min="2" max="2" width="56.33203125" style="331" customWidth="1"/>
    <col min="3" max="3" width="20.6640625" style="365" customWidth="1"/>
    <col min="4" max="4" width="8.33203125" style="365" customWidth="1"/>
    <col min="5" max="5" width="12.33203125" style="365" hidden="1" customWidth="1" outlineLevel="1"/>
    <col min="6" max="6" width="21.6640625" style="365" customWidth="1" collapsed="1"/>
    <col min="7" max="8" width="19.88671875" style="365" customWidth="1"/>
    <col min="9" max="9" width="24.109375" style="365" customWidth="1"/>
    <col min="10" max="11" width="18.5546875" style="365" customWidth="1"/>
    <col min="12" max="12" width="39.109375" style="365" customWidth="1"/>
    <col min="13" max="13" width="21.5546875" style="331" customWidth="1"/>
    <col min="14" max="14" width="36.77734375" style="331" customWidth="1"/>
    <col min="15" max="15" width="16.44140625" style="331" customWidth="1"/>
    <col min="16" max="16384" width="9.109375" style="331"/>
  </cols>
  <sheetData>
    <row r="1" spans="1:14" ht="16.95" customHeight="1">
      <c r="A1" s="804" t="s">
        <v>205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</row>
    <row r="2" spans="1:14" ht="59.4" customHeight="1" thickBot="1">
      <c r="A2" s="833"/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</row>
    <row r="3" spans="1:14" ht="17.399999999999999" customHeight="1">
      <c r="A3" s="805" t="s">
        <v>124</v>
      </c>
      <c r="B3" s="818" t="s">
        <v>185</v>
      </c>
      <c r="C3" s="808" t="s">
        <v>204</v>
      </c>
      <c r="D3" s="834" t="s">
        <v>218</v>
      </c>
      <c r="E3" s="835"/>
      <c r="F3" s="835"/>
      <c r="G3" s="835"/>
      <c r="H3" s="835"/>
      <c r="I3" s="835"/>
      <c r="J3" s="836"/>
      <c r="K3" s="705"/>
      <c r="L3" s="815" t="s">
        <v>191</v>
      </c>
    </row>
    <row r="4" spans="1:14" ht="12.6" customHeight="1">
      <c r="A4" s="806"/>
      <c r="B4" s="819"/>
      <c r="C4" s="809"/>
      <c r="D4" s="837"/>
      <c r="E4" s="838"/>
      <c r="F4" s="838"/>
      <c r="G4" s="838"/>
      <c r="H4" s="838"/>
      <c r="I4" s="838"/>
      <c r="J4" s="839"/>
      <c r="K4" s="748"/>
      <c r="L4" s="816"/>
    </row>
    <row r="5" spans="1:14" ht="40.950000000000003" customHeight="1" thickBot="1">
      <c r="A5" s="807"/>
      <c r="B5" s="820"/>
      <c r="C5" s="810"/>
      <c r="D5" s="696" t="s">
        <v>126</v>
      </c>
      <c r="E5" s="696"/>
      <c r="F5" s="696" t="s">
        <v>267</v>
      </c>
      <c r="G5" s="696" t="s">
        <v>193</v>
      </c>
      <c r="H5" s="696" t="s">
        <v>192</v>
      </c>
      <c r="I5" s="696" t="s">
        <v>9</v>
      </c>
      <c r="J5" s="696" t="s">
        <v>190</v>
      </c>
      <c r="K5" s="749" t="s">
        <v>355</v>
      </c>
      <c r="L5" s="817"/>
    </row>
    <row r="6" spans="1:14" s="714" customFormat="1" ht="49.2" hidden="1" customHeight="1">
      <c r="A6" s="706" t="s">
        <v>53</v>
      </c>
      <c r="B6" s="707" t="s">
        <v>199</v>
      </c>
      <c r="C6" s="708">
        <v>69779.8</v>
      </c>
      <c r="D6" s="709" t="s">
        <v>53</v>
      </c>
      <c r="E6" s="710">
        <f>IFERROR(VALUE(MID(D6,2,LEN(D6)-1)),"")</f>
        <v>1</v>
      </c>
      <c r="F6" s="744">
        <v>74844.200000000012</v>
      </c>
      <c r="G6" s="708">
        <v>0</v>
      </c>
      <c r="H6" s="708">
        <v>74844.200000000012</v>
      </c>
      <c r="I6" s="708" t="s">
        <v>249</v>
      </c>
      <c r="J6" s="711" t="s">
        <v>251</v>
      </c>
      <c r="K6" s="711"/>
      <c r="L6" s="711" t="s">
        <v>153</v>
      </c>
      <c r="M6" s="712" t="s">
        <v>313</v>
      </c>
      <c r="N6" s="713" t="s">
        <v>314</v>
      </c>
    </row>
    <row r="7" spans="1:14" s="714" customFormat="1" ht="52.95" hidden="1" customHeight="1">
      <c r="A7" s="715" t="s">
        <v>69</v>
      </c>
      <c r="B7" s="716" t="s">
        <v>200</v>
      </c>
      <c r="C7" s="717">
        <v>2044</v>
      </c>
      <c r="D7" s="718" t="s">
        <v>171</v>
      </c>
      <c r="E7" s="719">
        <f t="shared" ref="E7:E78" si="0">IFERROR(VALUE(MID(D7,2,LEN(D7)-1)),"")</f>
        <v>18</v>
      </c>
      <c r="F7" s="745">
        <v>2044</v>
      </c>
      <c r="G7" s="720">
        <v>0</v>
      </c>
      <c r="H7" s="717">
        <v>2044</v>
      </c>
      <c r="I7" s="720" t="s">
        <v>202</v>
      </c>
      <c r="J7" s="717" t="s">
        <v>269</v>
      </c>
      <c r="K7" s="750"/>
      <c r="L7" s="721" t="s">
        <v>153</v>
      </c>
    </row>
    <row r="8" spans="1:14" s="714" customFormat="1" ht="39.75" hidden="1" customHeight="1">
      <c r="A8" s="843" t="s">
        <v>293</v>
      </c>
      <c r="B8" s="846" t="s">
        <v>292</v>
      </c>
      <c r="C8" s="849">
        <v>7883363.147839915</v>
      </c>
      <c r="D8" s="722" t="s">
        <v>230</v>
      </c>
      <c r="E8" s="719">
        <f t="shared" si="0"/>
        <v>29</v>
      </c>
      <c r="F8" s="746">
        <v>359694.36</v>
      </c>
      <c r="G8" s="720" t="s">
        <v>153</v>
      </c>
      <c r="H8" s="720">
        <v>359694.36</v>
      </c>
      <c r="I8" s="720" t="s">
        <v>202</v>
      </c>
      <c r="J8" s="717" t="s">
        <v>309</v>
      </c>
      <c r="K8" s="750"/>
      <c r="L8" s="724" t="s">
        <v>153</v>
      </c>
      <c r="M8" s="712" t="s">
        <v>203</v>
      </c>
      <c r="N8" s="713" t="s">
        <v>315</v>
      </c>
    </row>
    <row r="9" spans="1:14" s="714" customFormat="1" ht="39.75" customHeight="1">
      <c r="A9" s="845"/>
      <c r="B9" s="848"/>
      <c r="C9" s="851"/>
      <c r="D9" s="722" t="s">
        <v>348</v>
      </c>
      <c r="E9" s="719"/>
      <c r="F9" s="723">
        <v>1041800.0712068096</v>
      </c>
      <c r="G9" s="720">
        <v>358436.37120680953</v>
      </c>
      <c r="H9" s="720">
        <v>683363.70000000007</v>
      </c>
      <c r="I9" s="725" t="s">
        <v>188</v>
      </c>
      <c r="J9" s="726" t="s">
        <v>352</v>
      </c>
      <c r="K9" s="751"/>
      <c r="L9" s="721"/>
      <c r="M9" s="712"/>
      <c r="N9" s="713"/>
    </row>
    <row r="10" spans="1:14" s="714" customFormat="1" ht="38.25" hidden="1" customHeight="1">
      <c r="A10" s="843" t="s">
        <v>294</v>
      </c>
      <c r="B10" s="846" t="s">
        <v>291</v>
      </c>
      <c r="C10" s="849">
        <v>7051600.8118639104</v>
      </c>
      <c r="D10" s="722" t="s">
        <v>235</v>
      </c>
      <c r="E10" s="719">
        <f t="shared" si="0"/>
        <v>27</v>
      </c>
      <c r="F10" s="747">
        <v>330648.57999999996</v>
      </c>
      <c r="G10" s="720">
        <v>0</v>
      </c>
      <c r="H10" s="720">
        <v>330648.57999999996</v>
      </c>
      <c r="I10" s="720" t="s">
        <v>202</v>
      </c>
      <c r="J10" s="720" t="s">
        <v>288</v>
      </c>
      <c r="K10" s="752"/>
      <c r="L10" s="724" t="s">
        <v>153</v>
      </c>
      <c r="M10" s="714" t="s">
        <v>188</v>
      </c>
      <c r="N10" s="713" t="s">
        <v>316</v>
      </c>
    </row>
    <row r="11" spans="1:14" s="714" customFormat="1" ht="38.25" hidden="1" customHeight="1">
      <c r="A11" s="844"/>
      <c r="B11" s="847"/>
      <c r="C11" s="850"/>
      <c r="D11" s="722" t="s">
        <v>308</v>
      </c>
      <c r="E11" s="719">
        <f t="shared" si="0"/>
        <v>42</v>
      </c>
      <c r="F11" s="746">
        <v>908895.93</v>
      </c>
      <c r="G11" s="720">
        <v>307721.33</v>
      </c>
      <c r="H11" s="720">
        <v>601174.6</v>
      </c>
      <c r="I11" s="720" t="s">
        <v>202</v>
      </c>
      <c r="J11" s="717" t="s">
        <v>309</v>
      </c>
      <c r="K11" s="750"/>
      <c r="L11" s="724" t="s">
        <v>322</v>
      </c>
    </row>
    <row r="12" spans="1:14" s="714" customFormat="1" ht="38.25" customHeight="1">
      <c r="A12" s="844"/>
      <c r="B12" s="847"/>
      <c r="C12" s="850"/>
      <c r="D12" s="722" t="s">
        <v>340</v>
      </c>
      <c r="E12" s="719"/>
      <c r="F12" s="723">
        <v>15568.8</v>
      </c>
      <c r="G12" s="720"/>
      <c r="H12" s="720">
        <v>15568.8</v>
      </c>
      <c r="I12" s="725" t="s">
        <v>188</v>
      </c>
      <c r="J12" s="726" t="s">
        <v>342</v>
      </c>
      <c r="K12" s="751"/>
      <c r="L12" s="724" t="s">
        <v>343</v>
      </c>
    </row>
    <row r="13" spans="1:14" s="714" customFormat="1" ht="38.25" customHeight="1">
      <c r="A13" s="845"/>
      <c r="B13" s="848"/>
      <c r="C13" s="851"/>
      <c r="D13" s="722" t="s">
        <v>349</v>
      </c>
      <c r="E13" s="719"/>
      <c r="F13" s="723">
        <v>2738195.2531138035</v>
      </c>
      <c r="G13" s="720">
        <v>1165791.7731138035</v>
      </c>
      <c r="H13" s="720">
        <v>1572403.4799999997</v>
      </c>
      <c r="I13" s="725" t="s">
        <v>188</v>
      </c>
      <c r="J13" s="726" t="s">
        <v>352</v>
      </c>
      <c r="K13" s="751"/>
      <c r="L13" s="721"/>
    </row>
    <row r="14" spans="1:14" s="714" customFormat="1" ht="36" hidden="1" customHeight="1">
      <c r="A14" s="843" t="s">
        <v>295</v>
      </c>
      <c r="B14" s="846" t="s">
        <v>290</v>
      </c>
      <c r="C14" s="849">
        <v>7766307.4578399099</v>
      </c>
      <c r="D14" s="722" t="s">
        <v>158</v>
      </c>
      <c r="E14" s="719">
        <f t="shared" si="0"/>
        <v>15</v>
      </c>
      <c r="F14" s="746">
        <v>554353</v>
      </c>
      <c r="G14" s="720">
        <v>0</v>
      </c>
      <c r="H14" s="720">
        <v>554353</v>
      </c>
      <c r="I14" s="720" t="s">
        <v>202</v>
      </c>
      <c r="J14" s="717" t="s">
        <v>269</v>
      </c>
      <c r="K14" s="750"/>
      <c r="L14" s="724" t="s">
        <v>153</v>
      </c>
      <c r="M14" s="727" t="s">
        <v>249</v>
      </c>
      <c r="N14" s="713" t="s">
        <v>317</v>
      </c>
    </row>
    <row r="15" spans="1:14" s="714" customFormat="1" ht="33" hidden="1" customHeight="1">
      <c r="A15" s="844"/>
      <c r="B15" s="847"/>
      <c r="C15" s="850"/>
      <c r="D15" s="722" t="s">
        <v>262</v>
      </c>
      <c r="E15" s="719">
        <f t="shared" si="0"/>
        <v>28</v>
      </c>
      <c r="F15" s="746">
        <v>5437399.7429927047</v>
      </c>
      <c r="G15" s="720">
        <v>2649255.2429927043</v>
      </c>
      <c r="H15" s="720">
        <v>2788144.5</v>
      </c>
      <c r="I15" s="720" t="s">
        <v>202</v>
      </c>
      <c r="J15" s="720" t="s">
        <v>288</v>
      </c>
      <c r="K15" s="752"/>
      <c r="L15" s="724" t="s">
        <v>322</v>
      </c>
    </row>
    <row r="16" spans="1:14" s="714" customFormat="1" ht="32.4" hidden="1" customHeight="1">
      <c r="A16" s="844"/>
      <c r="B16" s="847"/>
      <c r="C16" s="850"/>
      <c r="D16" s="722" t="s">
        <v>289</v>
      </c>
      <c r="E16" s="719">
        <f t="shared" si="0"/>
        <v>36</v>
      </c>
      <c r="F16" s="746">
        <v>887716.17086603516</v>
      </c>
      <c r="G16" s="720">
        <v>122464.17086603522</v>
      </c>
      <c r="H16" s="720">
        <v>765252</v>
      </c>
      <c r="I16" s="721" t="s">
        <v>249</v>
      </c>
      <c r="J16" s="720" t="s">
        <v>298</v>
      </c>
      <c r="K16" s="752"/>
      <c r="L16" s="724" t="s">
        <v>322</v>
      </c>
      <c r="N16" s="728"/>
    </row>
    <row r="17" spans="1:15" s="714" customFormat="1" ht="32.4" hidden="1" customHeight="1">
      <c r="A17" s="845"/>
      <c r="B17" s="848"/>
      <c r="C17" s="851"/>
      <c r="D17" s="722" t="s">
        <v>301</v>
      </c>
      <c r="E17" s="719">
        <f t="shared" si="0"/>
        <v>37</v>
      </c>
      <c r="F17" s="746">
        <v>426150.51662977174</v>
      </c>
      <c r="G17" s="720">
        <v>7992.5166297717396</v>
      </c>
      <c r="H17" s="720">
        <v>418158</v>
      </c>
      <c r="I17" s="720" t="s">
        <v>202</v>
      </c>
      <c r="J17" s="717" t="s">
        <v>309</v>
      </c>
      <c r="K17" s="750"/>
      <c r="L17" s="724" t="s">
        <v>322</v>
      </c>
      <c r="N17" s="728"/>
    </row>
    <row r="18" spans="1:15" s="714" customFormat="1" ht="56.4" hidden="1" customHeight="1">
      <c r="A18" s="843" t="s">
        <v>71</v>
      </c>
      <c r="B18" s="846" t="s">
        <v>194</v>
      </c>
      <c r="C18" s="849">
        <v>403929.07</v>
      </c>
      <c r="D18" s="718" t="s">
        <v>169</v>
      </c>
      <c r="E18" s="719">
        <f t="shared" si="0"/>
        <v>16</v>
      </c>
      <c r="F18" s="759">
        <v>446461.48</v>
      </c>
      <c r="G18" s="724">
        <v>95684.599359999993</v>
      </c>
      <c r="H18" s="724">
        <v>350776.88</v>
      </c>
      <c r="I18" s="720" t="s">
        <v>202</v>
      </c>
      <c r="J18" s="717" t="s">
        <v>269</v>
      </c>
      <c r="K18" s="750"/>
      <c r="L18" s="724" t="s">
        <v>322</v>
      </c>
      <c r="N18" s="728"/>
    </row>
    <row r="19" spans="1:15" s="714" customFormat="1" ht="56.4" customHeight="1">
      <c r="A19" s="845"/>
      <c r="B19" s="848"/>
      <c r="C19" s="851"/>
      <c r="D19" s="718" t="s">
        <v>337</v>
      </c>
      <c r="E19" s="719"/>
      <c r="F19" s="729">
        <v>73982.732399999994</v>
      </c>
      <c r="G19" s="724">
        <v>46197.162399999994</v>
      </c>
      <c r="H19" s="724">
        <v>27785.57</v>
      </c>
      <c r="I19" s="725" t="s">
        <v>188</v>
      </c>
      <c r="J19" s="726" t="s">
        <v>352</v>
      </c>
      <c r="K19" s="751"/>
      <c r="L19" s="721" t="s">
        <v>353</v>
      </c>
      <c r="N19" s="728"/>
    </row>
    <row r="20" spans="1:15" s="714" customFormat="1" ht="56.4" hidden="1" customHeight="1">
      <c r="A20" s="730" t="s">
        <v>264</v>
      </c>
      <c r="B20" s="731" t="s">
        <v>265</v>
      </c>
      <c r="C20" s="720">
        <v>47254.520000000004</v>
      </c>
      <c r="D20" s="718" t="s">
        <v>170</v>
      </c>
      <c r="E20" s="719">
        <f t="shared" si="0"/>
        <v>17</v>
      </c>
      <c r="F20" s="759">
        <v>47254.520000000004</v>
      </c>
      <c r="G20" s="724">
        <v>9854.52</v>
      </c>
      <c r="H20" s="724">
        <v>37400</v>
      </c>
      <c r="I20" s="720" t="s">
        <v>202</v>
      </c>
      <c r="J20" s="717" t="s">
        <v>269</v>
      </c>
      <c r="K20" s="750"/>
      <c r="L20" s="721" t="s">
        <v>322</v>
      </c>
      <c r="N20" s="728"/>
    </row>
    <row r="21" spans="1:15" s="714" customFormat="1" ht="41.4" customHeight="1">
      <c r="A21" s="715" t="s">
        <v>72</v>
      </c>
      <c r="B21" s="716" t="s">
        <v>195</v>
      </c>
      <c r="C21" s="726">
        <v>37950.600000000006</v>
      </c>
      <c r="D21" s="720"/>
      <c r="E21" s="719" t="str">
        <f t="shared" si="0"/>
        <v/>
      </c>
      <c r="F21" s="723"/>
      <c r="G21" s="720"/>
      <c r="H21" s="724"/>
      <c r="I21" s="720"/>
      <c r="J21" s="720"/>
      <c r="K21" s="752"/>
      <c r="L21" s="720"/>
      <c r="M21" s="732"/>
      <c r="N21" s="733"/>
      <c r="O21" s="732"/>
    </row>
    <row r="22" spans="1:15" s="714" customFormat="1" ht="55.2" hidden="1" customHeight="1">
      <c r="A22" s="715" t="s">
        <v>208</v>
      </c>
      <c r="B22" s="716" t="s">
        <v>211</v>
      </c>
      <c r="C22" s="720">
        <v>994922</v>
      </c>
      <c r="D22" s="720" t="s">
        <v>76</v>
      </c>
      <c r="E22" s="719">
        <f t="shared" si="0"/>
        <v>10</v>
      </c>
      <c r="F22" s="746">
        <v>1609186.51</v>
      </c>
      <c r="G22" s="720">
        <v>680569.72</v>
      </c>
      <c r="H22" s="720">
        <v>928616.79</v>
      </c>
      <c r="I22" s="720" t="s">
        <v>202</v>
      </c>
      <c r="J22" s="717" t="s">
        <v>269</v>
      </c>
      <c r="K22" s="750"/>
      <c r="L22" s="720" t="s">
        <v>322</v>
      </c>
      <c r="M22" s="734"/>
      <c r="N22" s="735"/>
      <c r="O22" s="732"/>
    </row>
    <row r="23" spans="1:15" s="714" customFormat="1" ht="46.95" hidden="1" customHeight="1">
      <c r="A23" s="715" t="s">
        <v>209</v>
      </c>
      <c r="B23" s="716" t="s">
        <v>206</v>
      </c>
      <c r="C23" s="720">
        <v>401488.07</v>
      </c>
      <c r="D23" s="722" t="s">
        <v>69</v>
      </c>
      <c r="E23" s="719">
        <f t="shared" si="0"/>
        <v>2</v>
      </c>
      <c r="F23" s="746">
        <v>585276.81999999995</v>
      </c>
      <c r="G23" s="720">
        <v>236280.52</v>
      </c>
      <c r="H23" s="720">
        <v>348996.3</v>
      </c>
      <c r="I23" s="720" t="s">
        <v>202</v>
      </c>
      <c r="J23" s="724" t="s">
        <v>242</v>
      </c>
      <c r="K23" s="753"/>
      <c r="L23" s="720" t="s">
        <v>322</v>
      </c>
      <c r="M23" s="736"/>
      <c r="N23" s="736"/>
      <c r="O23" s="732"/>
    </row>
    <row r="24" spans="1:15" s="714" customFormat="1" ht="48.6" hidden="1" customHeight="1">
      <c r="A24" s="715" t="s">
        <v>210</v>
      </c>
      <c r="B24" s="716" t="s">
        <v>207</v>
      </c>
      <c r="C24" s="720">
        <v>401488.07</v>
      </c>
      <c r="D24" s="722" t="s">
        <v>70</v>
      </c>
      <c r="E24" s="719">
        <f t="shared" si="0"/>
        <v>3</v>
      </c>
      <c r="F24" s="760">
        <v>585276.81999999995</v>
      </c>
      <c r="G24" s="720">
        <v>236280.52</v>
      </c>
      <c r="H24" s="726">
        <v>348996.3</v>
      </c>
      <c r="I24" s="720" t="s">
        <v>202</v>
      </c>
      <c r="J24" s="724" t="s">
        <v>242</v>
      </c>
      <c r="K24" s="753"/>
      <c r="L24" s="720" t="s">
        <v>322</v>
      </c>
      <c r="M24" s="736"/>
      <c r="N24" s="728"/>
    </row>
    <row r="25" spans="1:15" s="714" customFormat="1" ht="41.4" hidden="1" customHeight="1">
      <c r="A25" s="715" t="s">
        <v>74</v>
      </c>
      <c r="B25" s="716" t="s">
        <v>186</v>
      </c>
      <c r="C25" s="726">
        <v>70000</v>
      </c>
      <c r="D25" s="722" t="s">
        <v>71</v>
      </c>
      <c r="E25" s="719">
        <f t="shared" si="0"/>
        <v>4</v>
      </c>
      <c r="F25" s="761">
        <v>70000</v>
      </c>
      <c r="G25" s="738">
        <v>0</v>
      </c>
      <c r="H25" s="738">
        <v>70000</v>
      </c>
      <c r="I25" s="720" t="s">
        <v>249</v>
      </c>
      <c r="J25" s="717" t="s">
        <v>251</v>
      </c>
      <c r="K25" s="750"/>
      <c r="L25" s="717" t="s">
        <v>153</v>
      </c>
      <c r="N25" s="727"/>
    </row>
    <row r="26" spans="1:15" s="714" customFormat="1" ht="32.4" hidden="1" customHeight="1">
      <c r="A26" s="843" t="s">
        <v>77</v>
      </c>
      <c r="B26" s="846" t="s">
        <v>196</v>
      </c>
      <c r="C26" s="849">
        <v>2183910</v>
      </c>
      <c r="D26" s="721" t="s">
        <v>75</v>
      </c>
      <c r="E26" s="739">
        <f t="shared" si="0"/>
        <v>12</v>
      </c>
      <c r="F26" s="761">
        <v>1027136</v>
      </c>
      <c r="G26" s="721"/>
      <c r="H26" s="738">
        <v>1027136</v>
      </c>
      <c r="I26" s="720" t="s">
        <v>249</v>
      </c>
      <c r="J26" s="724" t="s">
        <v>281</v>
      </c>
      <c r="K26" s="753"/>
      <c r="L26" s="720" t="s">
        <v>153</v>
      </c>
      <c r="M26" s="736"/>
    </row>
    <row r="27" spans="1:15" s="714" customFormat="1" ht="38.4" hidden="1" customHeight="1">
      <c r="A27" s="845"/>
      <c r="B27" s="848"/>
      <c r="C27" s="851"/>
      <c r="D27" s="721" t="s">
        <v>283</v>
      </c>
      <c r="E27" s="740">
        <v>12.1</v>
      </c>
      <c r="F27" s="761">
        <v>33000</v>
      </c>
      <c r="G27" s="721"/>
      <c r="H27" s="738">
        <v>33000</v>
      </c>
      <c r="I27" s="721" t="s">
        <v>249</v>
      </c>
      <c r="J27" s="724" t="s">
        <v>284</v>
      </c>
      <c r="K27" s="753"/>
      <c r="L27" s="720" t="s">
        <v>153</v>
      </c>
      <c r="M27" s="736"/>
    </row>
    <row r="28" spans="1:15" s="714" customFormat="1" ht="55.2" hidden="1" customHeight="1">
      <c r="A28" s="715" t="s">
        <v>78</v>
      </c>
      <c r="B28" s="716" t="s">
        <v>197</v>
      </c>
      <c r="C28" s="720">
        <v>644106.1</v>
      </c>
      <c r="D28" s="721" t="s">
        <v>80</v>
      </c>
      <c r="E28" s="739">
        <f t="shared" si="0"/>
        <v>13</v>
      </c>
      <c r="F28" s="746">
        <v>309258.40000000002</v>
      </c>
      <c r="G28" s="720"/>
      <c r="H28" s="738">
        <v>309258.40000000002</v>
      </c>
      <c r="I28" s="720" t="s">
        <v>249</v>
      </c>
      <c r="J28" s="724" t="s">
        <v>281</v>
      </c>
      <c r="K28" s="753"/>
      <c r="L28" s="720" t="s">
        <v>153</v>
      </c>
      <c r="M28" s="736"/>
      <c r="N28" s="728"/>
    </row>
    <row r="29" spans="1:15" s="714" customFormat="1" ht="41.4" hidden="1" customHeight="1">
      <c r="A29" s="715" t="s">
        <v>76</v>
      </c>
      <c r="B29" s="716" t="s">
        <v>215</v>
      </c>
      <c r="C29" s="720">
        <v>526703.78</v>
      </c>
      <c r="D29" s="726" t="s">
        <v>245</v>
      </c>
      <c r="E29" s="741">
        <f t="shared" si="0"/>
        <v>23</v>
      </c>
      <c r="F29" s="760">
        <v>593059.22000000009</v>
      </c>
      <c r="G29" s="726">
        <v>150765.30000000002</v>
      </c>
      <c r="H29" s="726">
        <v>442293.92000000004</v>
      </c>
      <c r="I29" s="720" t="s">
        <v>249</v>
      </c>
      <c r="J29" s="724" t="s">
        <v>281</v>
      </c>
      <c r="K29" s="753"/>
      <c r="L29" s="720" t="s">
        <v>153</v>
      </c>
      <c r="N29" s="727"/>
    </row>
    <row r="30" spans="1:15" s="714" customFormat="1" ht="28.95" hidden="1" customHeight="1">
      <c r="A30" s="843" t="s">
        <v>79</v>
      </c>
      <c r="B30" s="846" t="s">
        <v>213</v>
      </c>
      <c r="C30" s="849">
        <v>76937.850000000006</v>
      </c>
      <c r="D30" s="726" t="s">
        <v>167</v>
      </c>
      <c r="E30" s="741">
        <f t="shared" si="0"/>
        <v>14</v>
      </c>
      <c r="F30" s="760">
        <v>27868</v>
      </c>
      <c r="G30" s="726">
        <v>0</v>
      </c>
      <c r="H30" s="726">
        <v>27868</v>
      </c>
      <c r="I30" s="720" t="s">
        <v>202</v>
      </c>
      <c r="J30" s="717" t="s">
        <v>269</v>
      </c>
      <c r="K30" s="750"/>
      <c r="L30" s="726" t="s">
        <v>324</v>
      </c>
      <c r="N30" s="727"/>
    </row>
    <row r="31" spans="1:15" s="714" customFormat="1" ht="36" hidden="1" customHeight="1">
      <c r="A31" s="844"/>
      <c r="B31" s="847"/>
      <c r="C31" s="850"/>
      <c r="D31" s="726" t="s">
        <v>236</v>
      </c>
      <c r="E31" s="741">
        <f t="shared" si="0"/>
        <v>30</v>
      </c>
      <c r="F31" s="760">
        <v>27224</v>
      </c>
      <c r="G31" s="726">
        <v>0</v>
      </c>
      <c r="H31" s="726">
        <v>27224</v>
      </c>
      <c r="I31" s="720" t="s">
        <v>202</v>
      </c>
      <c r="J31" s="720" t="s">
        <v>288</v>
      </c>
      <c r="K31" s="750"/>
      <c r="L31" s="742" t="s">
        <v>323</v>
      </c>
      <c r="N31" s="727"/>
    </row>
    <row r="32" spans="1:15" s="714" customFormat="1" ht="36" hidden="1" customHeight="1">
      <c r="A32" s="844"/>
      <c r="B32" s="847"/>
      <c r="C32" s="850"/>
      <c r="D32" s="726" t="s">
        <v>239</v>
      </c>
      <c r="E32" s="741">
        <f t="shared" si="0"/>
        <v>33</v>
      </c>
      <c r="F32" s="760">
        <v>28858</v>
      </c>
      <c r="G32" s="726">
        <v>0</v>
      </c>
      <c r="H32" s="726">
        <v>28858</v>
      </c>
      <c r="I32" s="721" t="s">
        <v>249</v>
      </c>
      <c r="J32" s="720" t="s">
        <v>298</v>
      </c>
      <c r="K32" s="750"/>
      <c r="L32" s="742" t="s">
        <v>325</v>
      </c>
      <c r="N32" s="727"/>
    </row>
    <row r="33" spans="1:14" s="714" customFormat="1" ht="36" customHeight="1">
      <c r="A33" s="845"/>
      <c r="B33" s="848"/>
      <c r="C33" s="851"/>
      <c r="D33" s="726" t="s">
        <v>345</v>
      </c>
      <c r="E33" s="741"/>
      <c r="F33" s="737">
        <v>5193.3999999999996</v>
      </c>
      <c r="G33" s="726">
        <v>0</v>
      </c>
      <c r="H33" s="726">
        <v>5193.3999999999996</v>
      </c>
      <c r="I33" s="725" t="s">
        <v>188</v>
      </c>
      <c r="J33" s="726" t="s">
        <v>352</v>
      </c>
      <c r="K33" s="754"/>
      <c r="L33" s="742" t="s">
        <v>344</v>
      </c>
      <c r="N33" s="727"/>
    </row>
    <row r="34" spans="1:14" s="714" customFormat="1" ht="35.4" hidden="1" customHeight="1">
      <c r="A34" s="843" t="s">
        <v>75</v>
      </c>
      <c r="B34" s="852" t="s">
        <v>214</v>
      </c>
      <c r="C34" s="849">
        <v>300000</v>
      </c>
      <c r="D34" s="726" t="s">
        <v>79</v>
      </c>
      <c r="E34" s="741">
        <f t="shared" si="0"/>
        <v>11</v>
      </c>
      <c r="F34" s="760">
        <v>231000</v>
      </c>
      <c r="G34" s="726">
        <v>0</v>
      </c>
      <c r="H34" s="726">
        <v>231000</v>
      </c>
      <c r="I34" s="720" t="s">
        <v>202</v>
      </c>
      <c r="J34" s="717" t="s">
        <v>269</v>
      </c>
      <c r="K34" s="750"/>
      <c r="L34" s="717" t="s">
        <v>153</v>
      </c>
      <c r="N34" s="727"/>
    </row>
    <row r="35" spans="1:14" s="714" customFormat="1" ht="35.4" hidden="1" customHeight="1">
      <c r="A35" s="844"/>
      <c r="B35" s="853"/>
      <c r="C35" s="850"/>
      <c r="D35" s="726" t="s">
        <v>223</v>
      </c>
      <c r="E35" s="741">
        <f t="shared" si="0"/>
        <v>22</v>
      </c>
      <c r="F35" s="760">
        <v>111000</v>
      </c>
      <c r="G35" s="726">
        <v>0</v>
      </c>
      <c r="H35" s="726">
        <v>111000</v>
      </c>
      <c r="I35" s="720" t="s">
        <v>249</v>
      </c>
      <c r="J35" s="724" t="s">
        <v>281</v>
      </c>
      <c r="K35" s="755"/>
      <c r="L35" s="717" t="s">
        <v>153</v>
      </c>
      <c r="N35" s="727"/>
    </row>
    <row r="36" spans="1:14" s="714" customFormat="1" ht="35.4" hidden="1" customHeight="1">
      <c r="A36" s="844"/>
      <c r="B36" s="853"/>
      <c r="C36" s="850"/>
      <c r="D36" s="726" t="s">
        <v>302</v>
      </c>
      <c r="E36" s="741">
        <f t="shared" si="0"/>
        <v>38</v>
      </c>
      <c r="F36" s="760">
        <v>106875</v>
      </c>
      <c r="G36" s="726">
        <v>0</v>
      </c>
      <c r="H36" s="726">
        <v>106875</v>
      </c>
      <c r="I36" s="720" t="s">
        <v>202</v>
      </c>
      <c r="J36" s="717" t="s">
        <v>309</v>
      </c>
      <c r="K36" s="750"/>
      <c r="L36" s="717" t="s">
        <v>153</v>
      </c>
      <c r="N36" s="727"/>
    </row>
    <row r="37" spans="1:14" s="714" customFormat="1" ht="42" hidden="1" customHeight="1">
      <c r="A37" s="844"/>
      <c r="B37" s="853"/>
      <c r="C37" s="851"/>
      <c r="D37" s="726" t="s">
        <v>310</v>
      </c>
      <c r="E37" s="741">
        <f t="shared" si="0"/>
        <v>43</v>
      </c>
      <c r="F37" s="762">
        <v>83250</v>
      </c>
      <c r="G37" s="726">
        <v>0</v>
      </c>
      <c r="H37" s="726">
        <v>83250</v>
      </c>
      <c r="I37" s="720" t="s">
        <v>202</v>
      </c>
      <c r="J37" s="717" t="s">
        <v>339</v>
      </c>
      <c r="K37" s="750"/>
      <c r="L37" s="855" t="s">
        <v>334</v>
      </c>
      <c r="N37" s="727"/>
    </row>
    <row r="38" spans="1:14" s="714" customFormat="1" ht="40.200000000000003" customHeight="1">
      <c r="A38" s="844"/>
      <c r="B38" s="853"/>
      <c r="C38" s="708"/>
      <c r="D38" s="726" t="s">
        <v>328</v>
      </c>
      <c r="E38" s="741">
        <f t="shared" si="0"/>
        <v>44</v>
      </c>
      <c r="F38" s="737">
        <v>33750</v>
      </c>
      <c r="G38" s="726">
        <v>0</v>
      </c>
      <c r="H38" s="726">
        <v>33750</v>
      </c>
      <c r="I38" s="725" t="s">
        <v>203</v>
      </c>
      <c r="J38" s="717" t="s">
        <v>327</v>
      </c>
      <c r="K38" s="711"/>
      <c r="L38" s="856"/>
      <c r="N38" s="727"/>
    </row>
    <row r="39" spans="1:14" s="714" customFormat="1" ht="40.200000000000003" customHeight="1">
      <c r="A39" s="845"/>
      <c r="B39" s="854"/>
      <c r="C39" s="708"/>
      <c r="D39" s="726" t="s">
        <v>329</v>
      </c>
      <c r="E39" s="741">
        <f t="shared" si="0"/>
        <v>45</v>
      </c>
      <c r="F39" s="737">
        <v>30375</v>
      </c>
      <c r="G39" s="726">
        <v>0</v>
      </c>
      <c r="H39" s="726">
        <v>30375</v>
      </c>
      <c r="I39" s="725" t="s">
        <v>203</v>
      </c>
      <c r="J39" s="717" t="s">
        <v>327</v>
      </c>
      <c r="K39" s="711"/>
      <c r="L39" s="857"/>
      <c r="N39" s="727"/>
    </row>
    <row r="40" spans="1:14" s="714" customFormat="1" ht="32.4" customHeight="1">
      <c r="A40" s="715" t="s">
        <v>80</v>
      </c>
      <c r="B40" s="716" t="s">
        <v>217</v>
      </c>
      <c r="C40" s="720"/>
      <c r="D40" s="726"/>
      <c r="E40" s="741" t="str">
        <f t="shared" si="0"/>
        <v/>
      </c>
      <c r="F40" s="737"/>
      <c r="G40" s="726"/>
      <c r="H40" s="726"/>
      <c r="I40" s="726"/>
      <c r="J40" s="726"/>
      <c r="K40" s="751"/>
      <c r="L40" s="726"/>
      <c r="N40" s="727"/>
    </row>
    <row r="41" spans="1:14" s="714" customFormat="1" ht="32.4" hidden="1" customHeight="1">
      <c r="A41" s="715" t="s">
        <v>81</v>
      </c>
      <c r="B41" s="716" t="s">
        <v>227</v>
      </c>
      <c r="C41" s="720">
        <v>92115.83</v>
      </c>
      <c r="D41" s="726" t="s">
        <v>72</v>
      </c>
      <c r="E41" s="741">
        <f t="shared" si="0"/>
        <v>5</v>
      </c>
      <c r="F41" s="761">
        <v>92115.83</v>
      </c>
      <c r="G41" s="738">
        <v>0</v>
      </c>
      <c r="H41" s="738">
        <v>92115.83</v>
      </c>
      <c r="I41" s="720" t="s">
        <v>249</v>
      </c>
      <c r="J41" s="720" t="s">
        <v>263</v>
      </c>
      <c r="K41" s="752"/>
      <c r="L41" s="720" t="s">
        <v>153</v>
      </c>
      <c r="N41" s="727"/>
    </row>
    <row r="42" spans="1:14" s="714" customFormat="1" ht="40.200000000000003" hidden="1" customHeight="1">
      <c r="A42" s="715" t="s">
        <v>243</v>
      </c>
      <c r="B42" s="716" t="s">
        <v>247</v>
      </c>
      <c r="C42" s="720">
        <v>69692.789999999994</v>
      </c>
      <c r="D42" s="726" t="s">
        <v>73</v>
      </c>
      <c r="E42" s="741">
        <f t="shared" si="0"/>
        <v>6</v>
      </c>
      <c r="F42" s="746">
        <v>69692.789999999994</v>
      </c>
      <c r="G42" s="720">
        <v>0</v>
      </c>
      <c r="H42" s="720">
        <v>69692.789999999994</v>
      </c>
      <c r="I42" s="720" t="s">
        <v>249</v>
      </c>
      <c r="J42" s="720" t="s">
        <v>263</v>
      </c>
      <c r="K42" s="752"/>
      <c r="L42" s="720" t="s">
        <v>153</v>
      </c>
      <c r="N42" s="727"/>
    </row>
    <row r="43" spans="1:14" s="714" customFormat="1" ht="53.4" hidden="1" customHeight="1">
      <c r="A43" s="715" t="s">
        <v>244</v>
      </c>
      <c r="B43" s="716" t="s">
        <v>248</v>
      </c>
      <c r="C43" s="720">
        <v>130832</v>
      </c>
      <c r="D43" s="726" t="s">
        <v>172</v>
      </c>
      <c r="E43" s="741">
        <f t="shared" si="0"/>
        <v>19</v>
      </c>
      <c r="F43" s="760">
        <v>151220.25</v>
      </c>
      <c r="G43" s="726">
        <v>0</v>
      </c>
      <c r="H43" s="726">
        <v>151220.25</v>
      </c>
      <c r="I43" s="720" t="s">
        <v>249</v>
      </c>
      <c r="J43" s="724" t="s">
        <v>281</v>
      </c>
      <c r="K43" s="753"/>
      <c r="L43" s="720" t="s">
        <v>153</v>
      </c>
      <c r="N43" s="727"/>
    </row>
    <row r="44" spans="1:14" s="714" customFormat="1" ht="37.950000000000003" customHeight="1">
      <c r="A44" s="715" t="s">
        <v>286</v>
      </c>
      <c r="B44" s="716" t="s">
        <v>287</v>
      </c>
      <c r="C44" s="720"/>
      <c r="D44" s="726"/>
      <c r="E44" s="741" t="str">
        <f t="shared" si="0"/>
        <v/>
      </c>
      <c r="F44" s="723"/>
      <c r="G44" s="726"/>
      <c r="H44" s="721"/>
      <c r="I44" s="724"/>
      <c r="J44" s="743"/>
      <c r="K44" s="756"/>
      <c r="L44" s="721"/>
      <c r="N44" s="727"/>
    </row>
    <row r="45" spans="1:14" s="714" customFormat="1" ht="40.950000000000003" customHeight="1">
      <c r="A45" s="715" t="s">
        <v>169</v>
      </c>
      <c r="B45" s="716" t="s">
        <v>233</v>
      </c>
      <c r="C45" s="720">
        <v>5868795.1899999995</v>
      </c>
      <c r="D45" s="726"/>
      <c r="E45" s="741" t="str">
        <f t="shared" si="0"/>
        <v/>
      </c>
      <c r="F45" s="737"/>
      <c r="G45" s="726"/>
      <c r="H45" s="726"/>
      <c r="I45" s="726"/>
      <c r="J45" s="726"/>
      <c r="K45" s="751"/>
      <c r="L45" s="726"/>
      <c r="N45" s="727"/>
    </row>
    <row r="46" spans="1:14" s="714" customFormat="1" ht="37.950000000000003" customHeight="1">
      <c r="A46" s="715" t="s">
        <v>170</v>
      </c>
      <c r="B46" s="716" t="s">
        <v>198</v>
      </c>
      <c r="C46" s="720">
        <v>1109034.9700000002</v>
      </c>
      <c r="D46" s="726" t="s">
        <v>346</v>
      </c>
      <c r="E46" s="741">
        <f t="shared" si="0"/>
        <v>52</v>
      </c>
      <c r="F46" s="737">
        <v>244644.62437129952</v>
      </c>
      <c r="G46" s="726">
        <v>129446.72437129953</v>
      </c>
      <c r="H46" s="726">
        <v>115197.90000000001</v>
      </c>
      <c r="I46" s="725" t="s">
        <v>188</v>
      </c>
      <c r="J46" s="726" t="s">
        <v>352</v>
      </c>
      <c r="K46" s="754"/>
      <c r="L46" s="742"/>
      <c r="N46" s="727"/>
    </row>
    <row r="47" spans="1:14" s="714" customFormat="1" ht="32.4" hidden="1" customHeight="1">
      <c r="A47" s="715" t="s">
        <v>171</v>
      </c>
      <c r="B47" s="716" t="s">
        <v>226</v>
      </c>
      <c r="C47" s="720">
        <v>220420.19</v>
      </c>
      <c r="D47" s="726" t="s">
        <v>74</v>
      </c>
      <c r="E47" s="741">
        <f t="shared" si="0"/>
        <v>7</v>
      </c>
      <c r="F47" s="760">
        <v>220420.19</v>
      </c>
      <c r="G47" s="726">
        <v>0</v>
      </c>
      <c r="H47" s="726">
        <v>220420.19</v>
      </c>
      <c r="I47" s="720" t="s">
        <v>249</v>
      </c>
      <c r="J47" s="720" t="s">
        <v>263</v>
      </c>
      <c r="K47" s="752"/>
      <c r="L47" s="720" t="s">
        <v>153</v>
      </c>
      <c r="N47" s="727"/>
    </row>
    <row r="48" spans="1:14" s="714" customFormat="1" ht="34.200000000000003" hidden="1" customHeight="1">
      <c r="A48" s="715" t="s">
        <v>172</v>
      </c>
      <c r="B48" s="716" t="s">
        <v>228</v>
      </c>
      <c r="C48" s="720">
        <v>19075.719999999998</v>
      </c>
      <c r="D48" s="726" t="s">
        <v>77</v>
      </c>
      <c r="E48" s="741">
        <f t="shared" si="0"/>
        <v>8</v>
      </c>
      <c r="F48" s="746">
        <v>19075.719999999998</v>
      </c>
      <c r="G48" s="726">
        <v>0</v>
      </c>
      <c r="H48" s="720">
        <v>19075.719999999998</v>
      </c>
      <c r="I48" s="720" t="s">
        <v>249</v>
      </c>
      <c r="J48" s="720" t="s">
        <v>263</v>
      </c>
      <c r="K48" s="752"/>
      <c r="L48" s="720" t="s">
        <v>153</v>
      </c>
      <c r="N48" s="727"/>
    </row>
    <row r="49" spans="1:14" s="714" customFormat="1" ht="37.200000000000003" hidden="1" customHeight="1">
      <c r="A49" s="715" t="s">
        <v>221</v>
      </c>
      <c r="B49" s="716" t="s">
        <v>231</v>
      </c>
      <c r="C49" s="720">
        <v>8730</v>
      </c>
      <c r="D49" s="726" t="s">
        <v>250</v>
      </c>
      <c r="E49" s="741">
        <f t="shared" si="0"/>
        <v>9</v>
      </c>
      <c r="F49" s="746">
        <v>8730</v>
      </c>
      <c r="G49" s="726">
        <v>0</v>
      </c>
      <c r="H49" s="720">
        <v>8730</v>
      </c>
      <c r="I49" s="720" t="s">
        <v>249</v>
      </c>
      <c r="J49" s="720" t="s">
        <v>263</v>
      </c>
      <c r="K49" s="752"/>
      <c r="L49" s="720" t="s">
        <v>153</v>
      </c>
      <c r="N49" s="727"/>
    </row>
    <row r="50" spans="1:14" s="714" customFormat="1" ht="39.6" hidden="1" customHeight="1">
      <c r="A50" s="843" t="s">
        <v>222</v>
      </c>
      <c r="B50" s="846" t="s">
        <v>241</v>
      </c>
      <c r="C50" s="720">
        <v>1821725.04</v>
      </c>
      <c r="D50" s="726" t="s">
        <v>225</v>
      </c>
      <c r="E50" s="741">
        <f t="shared" si="0"/>
        <v>26</v>
      </c>
      <c r="F50" s="760">
        <v>954520.6</v>
      </c>
      <c r="G50" s="726">
        <v>0</v>
      </c>
      <c r="H50" s="726">
        <v>954520.6</v>
      </c>
      <c r="I50" s="721" t="s">
        <v>249</v>
      </c>
      <c r="J50" s="724" t="s">
        <v>284</v>
      </c>
      <c r="K50" s="753"/>
      <c r="L50" s="720" t="s">
        <v>153</v>
      </c>
      <c r="N50" s="727"/>
    </row>
    <row r="51" spans="1:14" s="714" customFormat="1" ht="39.6" hidden="1" customHeight="1">
      <c r="A51" s="844"/>
      <c r="B51" s="847"/>
      <c r="C51" s="717"/>
      <c r="D51" s="726" t="s">
        <v>285</v>
      </c>
      <c r="E51" s="741">
        <f t="shared" si="0"/>
        <v>35</v>
      </c>
      <c r="F51" s="760">
        <v>320050</v>
      </c>
      <c r="G51" s="726">
        <v>0</v>
      </c>
      <c r="H51" s="726">
        <v>320050</v>
      </c>
      <c r="I51" s="721" t="s">
        <v>249</v>
      </c>
      <c r="J51" s="720" t="s">
        <v>299</v>
      </c>
      <c r="K51" s="752"/>
      <c r="L51" s="720" t="s">
        <v>153</v>
      </c>
      <c r="N51" s="727"/>
    </row>
    <row r="52" spans="1:14" s="714" customFormat="1" ht="39.6" hidden="1" customHeight="1">
      <c r="A52" s="845"/>
      <c r="B52" s="848"/>
      <c r="C52" s="717"/>
      <c r="D52" s="726" t="s">
        <v>303</v>
      </c>
      <c r="E52" s="741">
        <f t="shared" si="0"/>
        <v>39</v>
      </c>
      <c r="F52" s="760">
        <v>255300</v>
      </c>
      <c r="G52" s="726">
        <v>0</v>
      </c>
      <c r="H52" s="726">
        <v>255300</v>
      </c>
      <c r="I52" s="720" t="s">
        <v>202</v>
      </c>
      <c r="J52" s="717" t="s">
        <v>309</v>
      </c>
      <c r="K52" s="750"/>
      <c r="L52" s="726" t="s">
        <v>304</v>
      </c>
      <c r="N52" s="727"/>
    </row>
    <row r="53" spans="1:14" s="714" customFormat="1" ht="33" hidden="1" customHeight="1">
      <c r="A53" s="843" t="s">
        <v>223</v>
      </c>
      <c r="B53" s="846" t="s">
        <v>246</v>
      </c>
      <c r="C53" s="849">
        <v>505000</v>
      </c>
      <c r="D53" s="726" t="s">
        <v>224</v>
      </c>
      <c r="E53" s="741">
        <f t="shared" si="0"/>
        <v>25</v>
      </c>
      <c r="F53" s="760">
        <v>290457</v>
      </c>
      <c r="G53" s="726">
        <v>0</v>
      </c>
      <c r="H53" s="726">
        <v>290457</v>
      </c>
      <c r="I53" s="721" t="s">
        <v>249</v>
      </c>
      <c r="J53" s="724" t="s">
        <v>284</v>
      </c>
      <c r="K53" s="753"/>
      <c r="L53" s="720" t="s">
        <v>153</v>
      </c>
      <c r="N53" s="727"/>
    </row>
    <row r="54" spans="1:14" s="714" customFormat="1" ht="33" hidden="1" customHeight="1">
      <c r="A54" s="844"/>
      <c r="B54" s="847"/>
      <c r="C54" s="850"/>
      <c r="D54" s="726" t="s">
        <v>238</v>
      </c>
      <c r="E54" s="741">
        <f t="shared" si="0"/>
        <v>32</v>
      </c>
      <c r="F54" s="760">
        <v>145228.5</v>
      </c>
      <c r="G54" s="726">
        <v>0</v>
      </c>
      <c r="H54" s="726">
        <v>145228.5</v>
      </c>
      <c r="I54" s="721" t="s">
        <v>249</v>
      </c>
      <c r="J54" s="720" t="s">
        <v>298</v>
      </c>
      <c r="K54" s="752"/>
      <c r="L54" s="720" t="s">
        <v>153</v>
      </c>
      <c r="N54" s="727"/>
    </row>
    <row r="55" spans="1:14" s="714" customFormat="1" ht="34.5" hidden="1" customHeight="1">
      <c r="A55" s="845"/>
      <c r="B55" s="848"/>
      <c r="C55" s="851"/>
      <c r="D55" s="726" t="s">
        <v>305</v>
      </c>
      <c r="E55" s="741">
        <f t="shared" si="0"/>
        <v>40</v>
      </c>
      <c r="F55" s="760">
        <v>69314.5</v>
      </c>
      <c r="G55" s="726">
        <v>0</v>
      </c>
      <c r="H55" s="726">
        <v>69314.5</v>
      </c>
      <c r="I55" s="720" t="s">
        <v>202</v>
      </c>
      <c r="J55" s="717" t="s">
        <v>309</v>
      </c>
      <c r="K55" s="750"/>
      <c r="L55" s="720" t="s">
        <v>153</v>
      </c>
      <c r="N55" s="727"/>
    </row>
    <row r="56" spans="1:14" s="714" customFormat="1" ht="41.4" customHeight="1">
      <c r="A56" s="715" t="s">
        <v>245</v>
      </c>
      <c r="B56" s="731" t="s">
        <v>232</v>
      </c>
      <c r="C56" s="720">
        <v>959112.20788461529</v>
      </c>
      <c r="D56" s="726"/>
      <c r="E56" s="741" t="str">
        <f t="shared" si="0"/>
        <v/>
      </c>
      <c r="F56" s="737"/>
      <c r="G56" s="726"/>
      <c r="H56" s="726"/>
      <c r="I56" s="726"/>
      <c r="J56" s="726"/>
      <c r="K56" s="751"/>
      <c r="L56" s="726"/>
      <c r="N56" s="727"/>
    </row>
    <row r="57" spans="1:14" s="714" customFormat="1" ht="43.2" hidden="1" customHeight="1">
      <c r="A57" s="715" t="s">
        <v>252</v>
      </c>
      <c r="B57" s="731" t="s">
        <v>254</v>
      </c>
      <c r="C57" s="720">
        <v>16887.37</v>
      </c>
      <c r="D57" s="726" t="s">
        <v>221</v>
      </c>
      <c r="E57" s="741">
        <f t="shared" si="0"/>
        <v>20</v>
      </c>
      <c r="F57" s="760">
        <v>46960.607999999993</v>
      </c>
      <c r="G57" s="726">
        <v>30073.237999999998</v>
      </c>
      <c r="H57" s="726">
        <v>16887.37</v>
      </c>
      <c r="I57" s="720" t="s">
        <v>249</v>
      </c>
      <c r="J57" s="724" t="s">
        <v>281</v>
      </c>
      <c r="K57" s="753"/>
      <c r="L57" s="720" t="s">
        <v>322</v>
      </c>
      <c r="N57" s="727"/>
    </row>
    <row r="58" spans="1:14" s="714" customFormat="1" ht="32.4" customHeight="1">
      <c r="A58" s="715" t="s">
        <v>253</v>
      </c>
      <c r="B58" s="731" t="s">
        <v>255</v>
      </c>
      <c r="C58" s="720">
        <v>35345</v>
      </c>
      <c r="D58" s="726"/>
      <c r="E58" s="741" t="str">
        <f t="shared" si="0"/>
        <v/>
      </c>
      <c r="F58" s="737"/>
      <c r="G58" s="726"/>
      <c r="H58" s="726"/>
      <c r="I58" s="726"/>
      <c r="J58" s="726"/>
      <c r="K58" s="751"/>
      <c r="L58" s="720"/>
      <c r="N58" s="727"/>
    </row>
    <row r="59" spans="1:14" s="714" customFormat="1" ht="32.4" customHeight="1">
      <c r="A59" s="715" t="s">
        <v>258</v>
      </c>
      <c r="B59" s="731" t="s">
        <v>256</v>
      </c>
      <c r="C59" s="720">
        <v>35365.25</v>
      </c>
      <c r="D59" s="726" t="s">
        <v>332</v>
      </c>
      <c r="E59" s="741">
        <f t="shared" si="0"/>
        <v>46</v>
      </c>
      <c r="F59" s="737">
        <v>148135.124392</v>
      </c>
      <c r="G59" s="726">
        <v>115874.374392</v>
      </c>
      <c r="H59" s="726">
        <v>32260.75</v>
      </c>
      <c r="I59" s="725" t="s">
        <v>203</v>
      </c>
      <c r="J59" s="726" t="s">
        <v>335</v>
      </c>
      <c r="K59" s="751"/>
      <c r="L59" s="721" t="s">
        <v>354</v>
      </c>
      <c r="N59" s="727"/>
    </row>
    <row r="60" spans="1:14" s="714" customFormat="1" ht="32.4" hidden="1" customHeight="1">
      <c r="A60" s="715" t="s">
        <v>259</v>
      </c>
      <c r="B60" s="731" t="s">
        <v>257</v>
      </c>
      <c r="C60" s="720">
        <v>35433.65</v>
      </c>
      <c r="D60" s="726" t="s">
        <v>222</v>
      </c>
      <c r="E60" s="741">
        <f t="shared" si="0"/>
        <v>21</v>
      </c>
      <c r="F60" s="760">
        <v>148179.73000000001</v>
      </c>
      <c r="G60" s="726">
        <v>115912.73</v>
      </c>
      <c r="H60" s="726">
        <v>32267</v>
      </c>
      <c r="I60" s="720" t="s">
        <v>249</v>
      </c>
      <c r="J60" s="724" t="s">
        <v>298</v>
      </c>
      <c r="K60" s="753"/>
      <c r="L60" s="720" t="s">
        <v>322</v>
      </c>
      <c r="N60" s="727"/>
    </row>
    <row r="61" spans="1:14" s="714" customFormat="1" ht="39.6" customHeight="1">
      <c r="A61" s="715" t="s">
        <v>260</v>
      </c>
      <c r="B61" s="731" t="s">
        <v>261</v>
      </c>
      <c r="C61" s="720">
        <v>30402.5</v>
      </c>
      <c r="D61" s="726"/>
      <c r="E61" s="741" t="str">
        <f t="shared" si="0"/>
        <v/>
      </c>
      <c r="F61" s="737"/>
      <c r="G61" s="726"/>
      <c r="H61" s="726"/>
      <c r="I61" s="721"/>
      <c r="J61" s="720"/>
      <c r="K61" s="752"/>
      <c r="L61" s="720"/>
      <c r="N61" s="727"/>
    </row>
    <row r="62" spans="1:14" s="714" customFormat="1" ht="39.6" hidden="1" customHeight="1">
      <c r="A62" s="843" t="s">
        <v>224</v>
      </c>
      <c r="B62" s="846" t="s">
        <v>234</v>
      </c>
      <c r="C62" s="849">
        <v>246953.74</v>
      </c>
      <c r="D62" s="726" t="s">
        <v>240</v>
      </c>
      <c r="E62" s="741">
        <f t="shared" si="0"/>
        <v>34</v>
      </c>
      <c r="F62" s="760">
        <v>325313.90174200002</v>
      </c>
      <c r="G62" s="726">
        <v>168734.02174199998</v>
      </c>
      <c r="H62" s="726">
        <v>156579.88</v>
      </c>
      <c r="I62" s="721" t="s">
        <v>249</v>
      </c>
      <c r="J62" s="720" t="s">
        <v>298</v>
      </c>
      <c r="K62" s="752"/>
      <c r="L62" s="720" t="s">
        <v>322</v>
      </c>
      <c r="N62" s="727"/>
    </row>
    <row r="63" spans="1:14" s="714" customFormat="1" ht="39.6" hidden="1" customHeight="1">
      <c r="A63" s="844"/>
      <c r="B63" s="847"/>
      <c r="C63" s="850"/>
      <c r="D63" s="726" t="s">
        <v>306</v>
      </c>
      <c r="E63" s="741">
        <f t="shared" si="0"/>
        <v>41</v>
      </c>
      <c r="F63" s="760">
        <v>121976.767742368</v>
      </c>
      <c r="G63" s="726">
        <v>59072.827742367997</v>
      </c>
      <c r="H63" s="726">
        <v>62903.94</v>
      </c>
      <c r="I63" s="720" t="s">
        <v>202</v>
      </c>
      <c r="J63" s="717" t="s">
        <v>309</v>
      </c>
      <c r="K63" s="750"/>
      <c r="L63" s="720" t="s">
        <v>322</v>
      </c>
      <c r="N63" s="727"/>
    </row>
    <row r="64" spans="1:14" s="714" customFormat="1" ht="39.6" customHeight="1">
      <c r="A64" s="845"/>
      <c r="B64" s="848"/>
      <c r="C64" s="851"/>
      <c r="D64" s="726" t="s">
        <v>336</v>
      </c>
      <c r="E64" s="741"/>
      <c r="F64" s="737">
        <v>27190.45</v>
      </c>
      <c r="G64" s="726">
        <v>7129.87</v>
      </c>
      <c r="H64" s="726">
        <v>20060.580000000002</v>
      </c>
      <c r="I64" s="725" t="s">
        <v>188</v>
      </c>
      <c r="J64" s="726" t="s">
        <v>352</v>
      </c>
      <c r="K64" s="751"/>
      <c r="L64" s="721"/>
      <c r="N64" s="727"/>
    </row>
    <row r="65" spans="1:14" s="714" customFormat="1" ht="32.4" customHeight="1">
      <c r="A65" s="715" t="s">
        <v>225</v>
      </c>
      <c r="B65" s="716" t="s">
        <v>229</v>
      </c>
      <c r="C65" s="720"/>
      <c r="D65" s="726"/>
      <c r="E65" s="741" t="str">
        <f t="shared" si="0"/>
        <v/>
      </c>
      <c r="F65" s="737"/>
      <c r="G65" s="726"/>
      <c r="H65" s="726"/>
      <c r="I65" s="726"/>
      <c r="J65" s="726"/>
      <c r="K65" s="751"/>
      <c r="L65" s="726"/>
      <c r="N65" s="727"/>
    </row>
    <row r="66" spans="1:14" s="714" customFormat="1" ht="32.4" customHeight="1">
      <c r="A66" s="715" t="s">
        <v>235</v>
      </c>
      <c r="B66" s="716" t="s">
        <v>266</v>
      </c>
      <c r="C66" s="720">
        <v>48963.26</v>
      </c>
      <c r="D66" s="726"/>
      <c r="E66" s="741" t="str">
        <f t="shared" si="0"/>
        <v/>
      </c>
      <c r="F66" s="737"/>
      <c r="G66" s="726"/>
      <c r="H66" s="726"/>
      <c r="I66" s="726"/>
      <c r="J66" s="726"/>
      <c r="K66" s="751"/>
      <c r="L66" s="726"/>
      <c r="N66" s="727"/>
    </row>
    <row r="67" spans="1:14" s="714" customFormat="1" ht="32.4" customHeight="1">
      <c r="A67" s="715" t="s">
        <v>262</v>
      </c>
      <c r="B67" s="716" t="s">
        <v>270</v>
      </c>
      <c r="C67" s="720">
        <v>1900000</v>
      </c>
      <c r="D67" s="726"/>
      <c r="E67" s="741" t="str">
        <f t="shared" si="0"/>
        <v/>
      </c>
      <c r="F67" s="737"/>
      <c r="G67" s="726"/>
      <c r="H67" s="726"/>
      <c r="I67" s="726"/>
      <c r="J67" s="726"/>
      <c r="K67" s="751"/>
      <c r="L67" s="726"/>
      <c r="N67" s="727"/>
    </row>
    <row r="68" spans="1:14" s="714" customFormat="1" ht="32.4" customHeight="1">
      <c r="A68" s="715" t="s">
        <v>230</v>
      </c>
      <c r="B68" s="716" t="s">
        <v>216</v>
      </c>
      <c r="C68" s="720"/>
      <c r="D68" s="726"/>
      <c r="E68" s="741" t="str">
        <f t="shared" si="0"/>
        <v/>
      </c>
      <c r="F68" s="737"/>
      <c r="G68" s="726"/>
      <c r="H68" s="726"/>
      <c r="I68" s="726"/>
      <c r="J68" s="726"/>
      <c r="K68" s="751"/>
      <c r="L68" s="726"/>
      <c r="N68" s="727"/>
    </row>
    <row r="69" spans="1:14" s="714" customFormat="1" ht="37.200000000000003" hidden="1" customHeight="1">
      <c r="A69" s="715" t="s">
        <v>236</v>
      </c>
      <c r="B69" s="716" t="s">
        <v>271</v>
      </c>
      <c r="C69" s="720">
        <v>44103.59</v>
      </c>
      <c r="D69" s="726" t="s">
        <v>277</v>
      </c>
      <c r="E69" s="741">
        <f t="shared" si="0"/>
        <v>24</v>
      </c>
      <c r="F69" s="760">
        <v>40991.121999999996</v>
      </c>
      <c r="G69" s="726">
        <v>187.78200000000001</v>
      </c>
      <c r="H69" s="726">
        <v>40803.339999999997</v>
      </c>
      <c r="I69" s="720" t="s">
        <v>249</v>
      </c>
      <c r="J69" s="724" t="s">
        <v>281</v>
      </c>
      <c r="K69" s="753"/>
      <c r="L69" s="720" t="s">
        <v>322</v>
      </c>
      <c r="N69" s="727"/>
    </row>
    <row r="70" spans="1:14" s="714" customFormat="1" ht="32.4" customHeight="1">
      <c r="A70" s="715" t="s">
        <v>237</v>
      </c>
      <c r="B70" s="716" t="s">
        <v>276</v>
      </c>
      <c r="C70" s="720"/>
      <c r="D70" s="726"/>
      <c r="E70" s="741" t="str">
        <f t="shared" si="0"/>
        <v/>
      </c>
      <c r="F70" s="737"/>
      <c r="G70" s="726"/>
      <c r="H70" s="726"/>
      <c r="I70" s="726"/>
      <c r="J70" s="726"/>
      <c r="K70" s="751"/>
      <c r="L70" s="726"/>
      <c r="N70" s="727"/>
    </row>
    <row r="71" spans="1:14" s="714" customFormat="1" ht="43.95" hidden="1" customHeight="1">
      <c r="A71" s="715" t="s">
        <v>238</v>
      </c>
      <c r="B71" s="716" t="s">
        <v>282</v>
      </c>
      <c r="C71" s="720">
        <v>337206.36</v>
      </c>
      <c r="D71" s="726" t="s">
        <v>237</v>
      </c>
      <c r="E71" s="741">
        <f t="shared" si="0"/>
        <v>31</v>
      </c>
      <c r="F71" s="746">
        <v>337206.36</v>
      </c>
      <c r="G71" s="726">
        <v>0</v>
      </c>
      <c r="H71" s="726">
        <v>337206.36</v>
      </c>
      <c r="I71" s="721" t="s">
        <v>249</v>
      </c>
      <c r="J71" s="720" t="s">
        <v>298</v>
      </c>
      <c r="K71" s="752"/>
      <c r="L71" s="720" t="s">
        <v>153</v>
      </c>
      <c r="M71" s="727"/>
    </row>
    <row r="72" spans="1:14" s="714" customFormat="1" ht="43.95" customHeight="1">
      <c r="A72" s="715" t="s">
        <v>239</v>
      </c>
      <c r="B72" s="716" t="s">
        <v>279</v>
      </c>
      <c r="C72" s="720">
        <v>5040</v>
      </c>
      <c r="D72" s="726"/>
      <c r="E72" s="741"/>
      <c r="F72" s="723"/>
      <c r="G72" s="726"/>
      <c r="H72" s="726"/>
      <c r="I72" s="721"/>
      <c r="J72" s="720"/>
      <c r="K72" s="752"/>
      <c r="L72" s="720"/>
      <c r="M72" s="727"/>
    </row>
    <row r="73" spans="1:14" s="714" customFormat="1" ht="43.95" customHeight="1">
      <c r="A73" s="715" t="s">
        <v>240</v>
      </c>
      <c r="B73" s="716" t="s">
        <v>275</v>
      </c>
      <c r="C73" s="720">
        <v>40920.067115384612</v>
      </c>
      <c r="D73" s="726"/>
      <c r="E73" s="741"/>
      <c r="F73" s="723"/>
      <c r="G73" s="726"/>
      <c r="H73" s="726"/>
      <c r="I73" s="721"/>
      <c r="J73" s="720"/>
      <c r="K73" s="752"/>
      <c r="L73" s="720"/>
      <c r="M73" s="727"/>
    </row>
    <row r="74" spans="1:14" s="714" customFormat="1" ht="43.95" hidden="1" customHeight="1">
      <c r="A74" s="715" t="s">
        <v>285</v>
      </c>
      <c r="B74" s="716" t="s">
        <v>297</v>
      </c>
      <c r="C74" s="720">
        <v>108026.29200000002</v>
      </c>
      <c r="D74" s="726" t="s">
        <v>333</v>
      </c>
      <c r="E74" s="741"/>
      <c r="F74" s="747">
        <v>120418.52706000002</v>
      </c>
      <c r="G74" s="726">
        <v>12392.235060000001</v>
      </c>
      <c r="H74" s="726">
        <v>108026.29200000002</v>
      </c>
      <c r="I74" s="721" t="s">
        <v>249</v>
      </c>
      <c r="J74" s="720" t="s">
        <v>339</v>
      </c>
      <c r="K74" s="752"/>
      <c r="L74" s="721"/>
      <c r="M74" s="727"/>
    </row>
    <row r="75" spans="1:14" s="714" customFormat="1" ht="43.95" customHeight="1">
      <c r="A75" s="715" t="s">
        <v>289</v>
      </c>
      <c r="B75" s="716" t="s">
        <v>300</v>
      </c>
      <c r="C75" s="720">
        <v>6116.26</v>
      </c>
      <c r="D75" s="726"/>
      <c r="E75" s="741"/>
      <c r="F75" s="723"/>
      <c r="G75" s="726"/>
      <c r="H75" s="726"/>
      <c r="I75" s="721"/>
      <c r="J75" s="720"/>
      <c r="K75" s="752"/>
      <c r="L75" s="720"/>
      <c r="M75" s="727"/>
    </row>
    <row r="76" spans="1:14" s="714" customFormat="1" ht="43.95" customHeight="1">
      <c r="A76" s="715" t="s">
        <v>301</v>
      </c>
      <c r="B76" s="716" t="s">
        <v>307</v>
      </c>
      <c r="C76" s="720">
        <v>15568.8</v>
      </c>
      <c r="D76" s="726"/>
      <c r="E76" s="741"/>
      <c r="F76" s="723"/>
      <c r="G76" s="726"/>
      <c r="H76" s="726"/>
      <c r="I76" s="721"/>
      <c r="J76" s="720"/>
      <c r="K76" s="752"/>
      <c r="L76" s="720"/>
      <c r="M76" s="727"/>
    </row>
    <row r="77" spans="1:14" s="714" customFormat="1" ht="32.4" hidden="1" customHeight="1">
      <c r="A77" s="715"/>
      <c r="B77" s="716" t="s">
        <v>330</v>
      </c>
      <c r="C77" s="720">
        <v>40920.067115384612</v>
      </c>
      <c r="D77" s="726" t="s">
        <v>169</v>
      </c>
      <c r="E77" s="741">
        <f t="shared" si="0"/>
        <v>16</v>
      </c>
      <c r="F77" s="763">
        <v>30200</v>
      </c>
      <c r="G77" s="726"/>
      <c r="H77" s="726"/>
      <c r="I77" s="726"/>
      <c r="J77" s="726"/>
      <c r="K77" s="751"/>
      <c r="L77" s="726"/>
      <c r="N77" s="727"/>
    </row>
    <row r="78" spans="1:14" s="714" customFormat="1" ht="37.950000000000003" hidden="1" customHeight="1">
      <c r="A78" s="715"/>
      <c r="B78" s="716" t="s">
        <v>331</v>
      </c>
      <c r="C78" s="720"/>
      <c r="D78" s="726" t="s">
        <v>225</v>
      </c>
      <c r="E78" s="741">
        <f t="shared" si="0"/>
        <v>26</v>
      </c>
      <c r="F78" s="764">
        <v>68000</v>
      </c>
      <c r="G78" s="726"/>
      <c r="H78" s="721"/>
      <c r="I78" s="724"/>
      <c r="J78" s="726"/>
      <c r="K78" s="751"/>
      <c r="L78" s="726"/>
      <c r="M78" s="727"/>
    </row>
    <row r="79" spans="1:14" s="714" customFormat="1" ht="37.950000000000003" customHeight="1">
      <c r="A79" s="715"/>
      <c r="B79" s="716"/>
      <c r="C79" s="720">
        <v>4441.6160500000005</v>
      </c>
      <c r="D79" s="726"/>
      <c r="E79" s="741"/>
      <c r="F79" s="723"/>
      <c r="G79" s="726"/>
      <c r="H79" s="721"/>
      <c r="I79" s="724"/>
      <c r="J79" s="726"/>
      <c r="K79" s="751"/>
      <c r="L79" s="726"/>
      <c r="M79" s="727"/>
    </row>
    <row r="80" spans="1:14" s="347" customFormat="1" ht="22.95" customHeight="1">
      <c r="A80" s="583"/>
      <c r="B80" s="583" t="s">
        <v>47</v>
      </c>
      <c r="C80" s="584">
        <f>SUM(C6:C79)</f>
        <v>42618013.037709109</v>
      </c>
      <c r="D80" s="584"/>
      <c r="E80" s="584"/>
      <c r="F80" s="584">
        <f>SUM(F6:F79)</f>
        <v>23097939.122516789</v>
      </c>
      <c r="G80" s="584">
        <f>SUM(G6:G79)</f>
        <v>6706117.5498767896</v>
      </c>
      <c r="H80" s="584">
        <f>SUM(H6:H79)</f>
        <v>16293621.572000001</v>
      </c>
      <c r="I80" s="584"/>
      <c r="J80" s="584"/>
      <c r="K80" s="757"/>
      <c r="L80" s="584"/>
    </row>
    <row r="81" spans="1:39" s="346" customFormat="1" ht="32.4" customHeight="1" outlineLevel="1">
      <c r="A81" s="627"/>
      <c r="B81" s="628"/>
      <c r="C81" s="653">
        <f>SUBTOTAL(9,C6:C79)</f>
        <v>10097055.72105</v>
      </c>
      <c r="D81" s="632"/>
      <c r="E81" s="680"/>
      <c r="F81" s="653">
        <f>SUBTOTAL(9,F6:F79)</f>
        <v>4358835.4554839125</v>
      </c>
      <c r="G81" s="653">
        <f>SUBTOTAL(9,G6:G79)</f>
        <v>1822876.2754839128</v>
      </c>
      <c r="H81" s="653">
        <f>SUBTOTAL(9,H6:H79)</f>
        <v>2535959.1799999997</v>
      </c>
      <c r="I81" s="629"/>
      <c r="J81" s="629"/>
      <c r="K81" s="758"/>
      <c r="L81" s="629"/>
      <c r="M81" s="341"/>
      <c r="N81" s="557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</row>
    <row r="82" spans="1:39">
      <c r="C82" s="362"/>
      <c r="D82" s="362"/>
      <c r="E82" s="362"/>
      <c r="F82" s="362"/>
      <c r="G82" s="362"/>
      <c r="H82" s="362"/>
      <c r="I82" s="362"/>
      <c r="J82" s="362"/>
      <c r="K82" s="362"/>
      <c r="L82" s="362"/>
    </row>
    <row r="83" spans="1:39">
      <c r="C83" s="362"/>
      <c r="D83" s="362"/>
      <c r="E83" s="362"/>
      <c r="F83" s="362"/>
      <c r="G83" s="362"/>
      <c r="H83" s="362"/>
      <c r="I83" s="362"/>
      <c r="J83" s="362"/>
      <c r="K83" s="362"/>
      <c r="L83" s="362"/>
    </row>
    <row r="84" spans="1:39">
      <c r="C84" s="362"/>
      <c r="D84" s="362"/>
      <c r="E84" s="362"/>
      <c r="F84" s="362"/>
      <c r="G84" s="362"/>
      <c r="H84" s="362"/>
      <c r="I84" s="362"/>
      <c r="J84" s="362"/>
      <c r="K84" s="362"/>
      <c r="L84" s="362"/>
    </row>
    <row r="85" spans="1:39">
      <c r="C85" s="362"/>
      <c r="D85" s="362"/>
      <c r="E85" s="362"/>
      <c r="F85" s="362"/>
      <c r="G85" s="362"/>
      <c r="H85" s="362"/>
      <c r="I85" s="362"/>
      <c r="J85" s="362"/>
      <c r="K85" s="362"/>
      <c r="L85" s="362"/>
    </row>
    <row r="86" spans="1:39">
      <c r="C86" s="362"/>
      <c r="D86" s="362"/>
      <c r="E86" s="362"/>
      <c r="F86" s="362"/>
      <c r="G86" s="362"/>
      <c r="H86" s="362"/>
      <c r="I86" s="362"/>
      <c r="J86" s="362"/>
      <c r="K86" s="362"/>
      <c r="L86" s="362"/>
    </row>
  </sheetData>
  <autoFilter ref="A5:AM80">
    <filterColumn colId="5">
      <colorFilter dxfId="0"/>
    </filterColumn>
  </autoFilter>
  <mergeCells count="36">
    <mergeCell ref="A1:L2"/>
    <mergeCell ref="A3:A5"/>
    <mergeCell ref="B3:B5"/>
    <mergeCell ref="C3:C5"/>
    <mergeCell ref="D3:J4"/>
    <mergeCell ref="L3:L5"/>
    <mergeCell ref="A8:A9"/>
    <mergeCell ref="B8:B9"/>
    <mergeCell ref="C8:C9"/>
    <mergeCell ref="A10:A13"/>
    <mergeCell ref="B10:B13"/>
    <mergeCell ref="C10:C13"/>
    <mergeCell ref="A14:A17"/>
    <mergeCell ref="B14:B17"/>
    <mergeCell ref="C14:C17"/>
    <mergeCell ref="A18:A19"/>
    <mergeCell ref="B18:B19"/>
    <mergeCell ref="C18:C19"/>
    <mergeCell ref="A26:A27"/>
    <mergeCell ref="B26:B27"/>
    <mergeCell ref="C26:C27"/>
    <mergeCell ref="A30:A33"/>
    <mergeCell ref="B30:B33"/>
    <mergeCell ref="C30:C33"/>
    <mergeCell ref="A34:A39"/>
    <mergeCell ref="B34:B39"/>
    <mergeCell ref="C34:C37"/>
    <mergeCell ref="L37:L39"/>
    <mergeCell ref="A50:A52"/>
    <mergeCell ref="B50:B52"/>
    <mergeCell ref="A53:A55"/>
    <mergeCell ref="B53:B55"/>
    <mergeCell ref="C53:C55"/>
    <mergeCell ref="A62:A64"/>
    <mergeCell ref="B62:B64"/>
    <mergeCell ref="C62:C64"/>
  </mergeCells>
  <pageMargins left="0.25" right="0.25" top="0.75" bottom="0.75" header="0.3" footer="0.3"/>
  <pageSetup paperSize="9" scale="56" fitToHeight="0" orientation="landscape" verticalDpi="300" r:id="rId1"/>
  <rowBreaks count="3" manualBreakCount="3">
    <brk id="24" max="10" man="1"/>
    <brk id="36" max="11" man="1"/>
    <brk id="73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/>
  <cols>
    <col min="1" max="1" width="5.6640625" style="331" customWidth="1"/>
    <col min="2" max="2" width="35.6640625" style="331" customWidth="1"/>
    <col min="3" max="3" width="6.44140625" style="364" customWidth="1" outlineLevel="1"/>
    <col min="4" max="4" width="17.44140625" style="365" customWidth="1" outlineLevel="1"/>
    <col min="5" max="5" width="25.6640625" style="334" hidden="1" customWidth="1"/>
    <col min="6" max="6" width="5.6640625" style="366" customWidth="1" outlineLevel="1"/>
    <col min="7" max="7" width="16.6640625" style="366" customWidth="1" outlineLevel="1"/>
    <col min="8" max="8" width="5.44140625" style="366" customWidth="1" outlineLevel="1"/>
    <col min="9" max="9" width="16.6640625" style="366" customWidth="1" outlineLevel="1"/>
    <col min="10" max="10" width="6.44140625" style="366" customWidth="1" outlineLevel="1"/>
    <col min="11" max="11" width="14.5546875" style="366" customWidth="1" outlineLevel="1"/>
    <col min="12" max="12" width="5.6640625" style="366" customWidth="1" outlineLevel="1"/>
    <col min="13" max="13" width="14" style="366" customWidth="1" outlineLevel="1"/>
    <col min="14" max="14" width="7.109375" style="366" customWidth="1" outlineLevel="1"/>
    <col min="15" max="15" width="13.88671875" style="366" customWidth="1" outlineLevel="1"/>
    <col min="16" max="16" width="6.33203125" style="366" customWidth="1" outlineLevel="1"/>
    <col min="17" max="17" width="14.109375" style="366" customWidth="1" outlineLevel="1"/>
    <col min="18" max="18" width="5.6640625" style="366" customWidth="1" outlineLevel="1"/>
    <col min="19" max="19" width="12.33203125" style="366" customWidth="1" outlineLevel="1"/>
    <col min="20" max="20" width="5.33203125" style="366" customWidth="1" outlineLevel="1"/>
    <col min="21" max="21" width="11.44140625" style="366" customWidth="1" outlineLevel="1"/>
    <col min="22" max="22" width="13.33203125" style="366" customWidth="1" outlineLevel="1"/>
    <col min="23" max="24" width="11.33203125" style="366" customWidth="1" outlineLevel="1"/>
    <col min="25" max="25" width="7.33203125" style="330" customWidth="1"/>
    <col min="26" max="26" width="13.33203125" style="330" customWidth="1"/>
    <col min="27" max="27" width="16.44140625" style="330" customWidth="1"/>
    <col min="28" max="28" width="13.33203125" style="331" customWidth="1"/>
    <col min="29" max="29" width="13.5546875" style="331" customWidth="1"/>
    <col min="30" max="30" width="13.33203125" style="331" customWidth="1"/>
    <col min="31" max="31" width="9.109375" style="331"/>
    <col min="32" max="32" width="13.33203125" style="331" bestFit="1" customWidth="1"/>
    <col min="33" max="16384" width="9.109375" style="331"/>
  </cols>
  <sheetData>
    <row r="2" spans="1:30" ht="15" customHeight="1">
      <c r="A2" s="916" t="s">
        <v>149</v>
      </c>
      <c r="B2" s="916"/>
      <c r="C2" s="916"/>
      <c r="D2" s="916"/>
      <c r="E2" s="916"/>
      <c r="F2" s="916"/>
      <c r="G2" s="916"/>
      <c r="H2" s="916"/>
      <c r="I2" s="916"/>
      <c r="J2" s="916"/>
      <c r="K2" s="916"/>
      <c r="L2" s="916"/>
      <c r="M2" s="916"/>
      <c r="N2" s="916"/>
      <c r="O2" s="916"/>
      <c r="P2" s="916"/>
      <c r="Q2" s="916"/>
      <c r="R2" s="916"/>
      <c r="S2" s="916"/>
      <c r="T2" s="916"/>
      <c r="U2" s="916"/>
      <c r="V2" s="916"/>
      <c r="W2" s="916"/>
      <c r="X2" s="916"/>
      <c r="Y2" s="916"/>
      <c r="Z2" s="332"/>
      <c r="AA2" s="332"/>
    </row>
    <row r="3" spans="1:30" ht="15" customHeight="1">
      <c r="A3" s="332"/>
      <c r="B3" s="332"/>
      <c r="C3" s="332"/>
      <c r="D3" s="333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6"/>
      <c r="Z3" s="336"/>
      <c r="AA3" s="336"/>
    </row>
    <row r="4" spans="1:30" ht="39.6" customHeight="1">
      <c r="A4" s="917" t="s">
        <v>118</v>
      </c>
      <c r="B4" s="920" t="s">
        <v>2</v>
      </c>
      <c r="C4" s="922" t="s">
        <v>119</v>
      </c>
      <c r="D4" s="923"/>
      <c r="E4" s="926" t="s">
        <v>120</v>
      </c>
      <c r="F4" s="914" t="s">
        <v>121</v>
      </c>
      <c r="G4" s="929"/>
      <c r="H4" s="929"/>
      <c r="I4" s="929"/>
      <c r="J4" s="929"/>
      <c r="K4" s="929"/>
      <c r="L4" s="929"/>
      <c r="M4" s="929"/>
      <c r="N4" s="929"/>
      <c r="O4" s="929"/>
      <c r="P4" s="929"/>
      <c r="Q4" s="929"/>
      <c r="R4" s="929"/>
      <c r="S4" s="929"/>
      <c r="T4" s="929"/>
      <c r="U4" s="929"/>
      <c r="V4" s="929"/>
      <c r="W4" s="915"/>
      <c r="X4" s="535"/>
      <c r="Y4" s="922" t="s">
        <v>122</v>
      </c>
      <c r="Z4" s="930"/>
      <c r="AA4" s="923"/>
      <c r="AB4" s="908" t="s">
        <v>123</v>
      </c>
      <c r="AC4" s="909"/>
      <c r="AD4" s="910"/>
    </row>
    <row r="5" spans="1:30" ht="15.45" customHeight="1">
      <c r="A5" s="918"/>
      <c r="B5" s="900"/>
      <c r="C5" s="924"/>
      <c r="D5" s="925"/>
      <c r="E5" s="927"/>
      <c r="F5" s="914" t="s">
        <v>143</v>
      </c>
      <c r="G5" s="915"/>
      <c r="H5" s="914" t="s">
        <v>144</v>
      </c>
      <c r="I5" s="915"/>
      <c r="J5" s="914" t="s">
        <v>145</v>
      </c>
      <c r="K5" s="915"/>
      <c r="L5" s="914" t="s">
        <v>156</v>
      </c>
      <c r="M5" s="915"/>
      <c r="N5" s="914" t="s">
        <v>155</v>
      </c>
      <c r="O5" s="915"/>
      <c r="P5" s="914" t="s">
        <v>159</v>
      </c>
      <c r="Q5" s="915"/>
      <c r="R5" s="914" t="s">
        <v>166</v>
      </c>
      <c r="S5" s="915"/>
      <c r="T5" s="914"/>
      <c r="U5" s="915"/>
      <c r="V5" s="914"/>
      <c r="W5" s="915"/>
      <c r="X5" s="536"/>
      <c r="Y5" s="924"/>
      <c r="Z5" s="931"/>
      <c r="AA5" s="925"/>
      <c r="AB5" s="911"/>
      <c r="AC5" s="912"/>
      <c r="AD5" s="913"/>
    </row>
    <row r="6" spans="1:30" ht="27.75" customHeight="1">
      <c r="A6" s="919"/>
      <c r="B6" s="921"/>
      <c r="C6" s="337" t="s">
        <v>124</v>
      </c>
      <c r="D6" s="338" t="s">
        <v>125</v>
      </c>
      <c r="E6" s="928"/>
      <c r="F6" s="337" t="s">
        <v>126</v>
      </c>
      <c r="G6" s="337" t="s">
        <v>127</v>
      </c>
      <c r="H6" s="337" t="s">
        <v>126</v>
      </c>
      <c r="I6" s="337" t="s">
        <v>127</v>
      </c>
      <c r="J6" s="337" t="s">
        <v>126</v>
      </c>
      <c r="K6" s="337" t="s">
        <v>127</v>
      </c>
      <c r="L6" s="337" t="s">
        <v>126</v>
      </c>
      <c r="M6" s="337" t="s">
        <v>127</v>
      </c>
      <c r="N6" s="337" t="s">
        <v>126</v>
      </c>
      <c r="O6" s="337" t="s">
        <v>127</v>
      </c>
      <c r="P6" s="337" t="s">
        <v>126</v>
      </c>
      <c r="Q6" s="337" t="s">
        <v>127</v>
      </c>
      <c r="R6" s="337" t="s">
        <v>126</v>
      </c>
      <c r="S6" s="337" t="s">
        <v>127</v>
      </c>
      <c r="T6" s="337" t="s">
        <v>126</v>
      </c>
      <c r="U6" s="337" t="s">
        <v>127</v>
      </c>
      <c r="V6" s="337" t="s">
        <v>126</v>
      </c>
      <c r="W6" s="337" t="s">
        <v>127</v>
      </c>
      <c r="X6" s="337"/>
      <c r="Y6" s="337" t="s">
        <v>128</v>
      </c>
      <c r="Z6" s="337" t="s">
        <v>127</v>
      </c>
      <c r="AA6" s="337" t="s">
        <v>129</v>
      </c>
      <c r="AB6" s="339" t="s">
        <v>16</v>
      </c>
      <c r="AC6" s="340" t="s">
        <v>25</v>
      </c>
      <c r="AD6" s="340" t="s">
        <v>15</v>
      </c>
    </row>
    <row r="7" spans="1:30" s="341" customFormat="1" ht="12.6" thickBot="1">
      <c r="A7" s="482">
        <v>1</v>
      </c>
      <c r="B7" s="483">
        <v>2</v>
      </c>
      <c r="C7" s="484">
        <v>3</v>
      </c>
      <c r="D7" s="485">
        <v>4</v>
      </c>
      <c r="E7" s="484">
        <v>5</v>
      </c>
      <c r="F7" s="485">
        <v>8</v>
      </c>
      <c r="G7" s="485">
        <v>9</v>
      </c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6">
        <v>10</v>
      </c>
      <c r="Z7" s="486">
        <v>11</v>
      </c>
      <c r="AA7" s="484">
        <v>12</v>
      </c>
      <c r="AB7" s="484">
        <v>19</v>
      </c>
      <c r="AC7" s="484">
        <v>20</v>
      </c>
      <c r="AD7" s="484">
        <v>21</v>
      </c>
    </row>
    <row r="8" spans="1:30" s="346" customFormat="1" ht="12" customHeight="1">
      <c r="A8" s="890">
        <v>1</v>
      </c>
      <c r="B8" s="905" t="s">
        <v>95</v>
      </c>
      <c r="C8" s="882" t="s">
        <v>53</v>
      </c>
      <c r="D8" s="884">
        <v>9670800</v>
      </c>
      <c r="E8" s="414" t="s">
        <v>130</v>
      </c>
      <c r="F8" s="415" t="s">
        <v>53</v>
      </c>
      <c r="G8" s="487">
        <f>288379.22</f>
        <v>288379.21999999997</v>
      </c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88">
        <v>1</v>
      </c>
      <c r="Z8" s="489">
        <v>288379.21999999997</v>
      </c>
      <c r="AA8" s="887">
        <f>SUM(AB8:AB22)</f>
        <v>8579031.879999999</v>
      </c>
      <c r="AB8" s="490">
        <v>288379.21999999997</v>
      </c>
      <c r="AC8" s="491">
        <v>279386.06</v>
      </c>
      <c r="AD8" s="418">
        <v>8993.16</v>
      </c>
    </row>
    <row r="9" spans="1:30" s="346" customFormat="1" ht="13.8">
      <c r="A9" s="903"/>
      <c r="B9" s="906"/>
      <c r="C9" s="883"/>
      <c r="D9" s="885"/>
      <c r="E9" s="342" t="s">
        <v>131</v>
      </c>
      <c r="F9" s="343" t="s">
        <v>69</v>
      </c>
      <c r="G9" s="367">
        <v>193609.49</v>
      </c>
      <c r="H9" s="343"/>
      <c r="I9" s="343"/>
      <c r="J9" s="343"/>
      <c r="K9" s="343"/>
      <c r="L9" s="343"/>
      <c r="M9" s="343"/>
      <c r="N9" s="343"/>
      <c r="O9" s="343"/>
      <c r="P9" s="343"/>
      <c r="Q9" s="343"/>
      <c r="R9" s="343"/>
      <c r="S9" s="343"/>
      <c r="T9" s="343"/>
      <c r="U9" s="343"/>
      <c r="V9" s="343"/>
      <c r="W9" s="343"/>
      <c r="X9" s="343"/>
      <c r="Y9" s="434">
        <v>2</v>
      </c>
      <c r="Z9" s="396">
        <v>193609.49</v>
      </c>
      <c r="AA9" s="888"/>
      <c r="AB9" s="435">
        <v>193609.49</v>
      </c>
      <c r="AC9" s="345">
        <v>193609.49</v>
      </c>
      <c r="AD9" s="492">
        <v>0</v>
      </c>
    </row>
    <row r="10" spans="1:30" s="346" customFormat="1" ht="13.8">
      <c r="A10" s="903"/>
      <c r="B10" s="906"/>
      <c r="C10" s="883"/>
      <c r="D10" s="885"/>
      <c r="E10" s="342" t="s">
        <v>132</v>
      </c>
      <c r="F10" s="343"/>
      <c r="G10" s="343"/>
      <c r="H10" s="343" t="s">
        <v>70</v>
      </c>
      <c r="I10" s="367">
        <v>266283.61</v>
      </c>
      <c r="J10" s="343"/>
      <c r="K10" s="343"/>
      <c r="L10" s="343"/>
      <c r="M10" s="343"/>
      <c r="N10" s="343"/>
      <c r="O10" s="343"/>
      <c r="P10" s="343"/>
      <c r="Q10" s="343"/>
      <c r="R10" s="343"/>
      <c r="S10" s="343"/>
      <c r="T10" s="343"/>
      <c r="U10" s="343"/>
      <c r="V10" s="343"/>
      <c r="W10" s="343"/>
      <c r="X10" s="343"/>
      <c r="Y10" s="434">
        <v>3</v>
      </c>
      <c r="Z10" s="396">
        <v>266283.61</v>
      </c>
      <c r="AA10" s="888"/>
      <c r="AB10" s="435">
        <v>266283.61</v>
      </c>
      <c r="AC10" s="345">
        <v>256961.43399999998</v>
      </c>
      <c r="AD10" s="492">
        <v>9322.1759999999995</v>
      </c>
    </row>
    <row r="11" spans="1:30" s="346" customFormat="1" ht="13.8">
      <c r="A11" s="903"/>
      <c r="B11" s="906"/>
      <c r="C11" s="883"/>
      <c r="D11" s="885"/>
      <c r="E11" s="342" t="s">
        <v>133</v>
      </c>
      <c r="F11" s="343"/>
      <c r="G11" s="343"/>
      <c r="H11" s="343" t="s">
        <v>71</v>
      </c>
      <c r="I11" s="367">
        <v>1054954.1000000001</v>
      </c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434">
        <v>4</v>
      </c>
      <c r="Z11" s="396">
        <v>1054954.1000000001</v>
      </c>
      <c r="AA11" s="888"/>
      <c r="AB11" s="435">
        <f>Z11</f>
        <v>1054954.1000000001</v>
      </c>
      <c r="AC11" s="345">
        <v>1043855.2300000001</v>
      </c>
      <c r="AD11" s="492">
        <v>11098.87</v>
      </c>
    </row>
    <row r="12" spans="1:30" s="346" customFormat="1" ht="13.8">
      <c r="A12" s="903"/>
      <c r="B12" s="906"/>
      <c r="C12" s="883"/>
      <c r="D12" s="885"/>
      <c r="E12" s="342" t="s">
        <v>134</v>
      </c>
      <c r="F12" s="343"/>
      <c r="G12" s="345"/>
      <c r="I12" s="368"/>
      <c r="J12" s="368" t="s">
        <v>72</v>
      </c>
      <c r="K12" s="367">
        <v>70786.210000000006</v>
      </c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434">
        <v>5</v>
      </c>
      <c r="Z12" s="396">
        <v>70786.210000000006</v>
      </c>
      <c r="AA12" s="888"/>
      <c r="AB12" s="435">
        <v>70786.210000000006</v>
      </c>
      <c r="AC12" s="369">
        <v>68044.39</v>
      </c>
      <c r="AD12" s="492">
        <v>2741.8199999999997</v>
      </c>
    </row>
    <row r="13" spans="1:30" s="346" customFormat="1">
      <c r="A13" s="903"/>
      <c r="B13" s="906"/>
      <c r="C13" s="883"/>
      <c r="D13" s="885"/>
      <c r="E13" s="342"/>
      <c r="F13" s="343"/>
      <c r="G13" s="345"/>
      <c r="H13" s="368"/>
      <c r="I13" s="368"/>
      <c r="J13" s="343" t="s">
        <v>73</v>
      </c>
      <c r="K13" s="343">
        <v>862817.57</v>
      </c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343"/>
      <c r="W13" s="343"/>
      <c r="X13" s="343"/>
      <c r="Y13" s="395">
        <v>6</v>
      </c>
      <c r="Z13" s="396">
        <v>862817.57</v>
      </c>
      <c r="AA13" s="888"/>
      <c r="AB13" s="436">
        <v>862817.57</v>
      </c>
      <c r="AC13" s="345">
        <v>805192.25</v>
      </c>
      <c r="AD13" s="492">
        <v>57625.32</v>
      </c>
    </row>
    <row r="14" spans="1:30" s="346" customFormat="1">
      <c r="A14" s="903"/>
      <c r="B14" s="906"/>
      <c r="C14" s="883"/>
      <c r="D14" s="885"/>
      <c r="E14" s="342"/>
      <c r="F14" s="343"/>
      <c r="G14" s="345"/>
      <c r="H14" s="368"/>
      <c r="I14" s="368"/>
      <c r="J14" s="343" t="s">
        <v>74</v>
      </c>
      <c r="K14" s="343">
        <v>291462.71000000002</v>
      </c>
      <c r="L14" s="343"/>
      <c r="M14" s="343"/>
      <c r="N14" s="343"/>
      <c r="O14" s="343"/>
      <c r="P14" s="343"/>
      <c r="Q14" s="343"/>
      <c r="R14" s="343"/>
      <c r="S14" s="343"/>
      <c r="T14" s="343"/>
      <c r="U14" s="343"/>
      <c r="V14" s="343"/>
      <c r="W14" s="343"/>
      <c r="X14" s="343"/>
      <c r="Y14" s="395">
        <v>7</v>
      </c>
      <c r="Z14" s="396">
        <v>291462.71000000002</v>
      </c>
      <c r="AA14" s="888"/>
      <c r="AB14" s="436">
        <v>291462.71000000002</v>
      </c>
      <c r="AC14" s="345">
        <v>280166.43</v>
      </c>
      <c r="AD14" s="492">
        <v>11296.28</v>
      </c>
    </row>
    <row r="15" spans="1:30" s="346" customFormat="1">
      <c r="A15" s="903"/>
      <c r="B15" s="906"/>
      <c r="C15" s="883"/>
      <c r="D15" s="885"/>
      <c r="E15" s="342"/>
      <c r="F15" s="343"/>
      <c r="G15" s="345"/>
      <c r="H15" s="368"/>
      <c r="I15" s="368"/>
      <c r="J15" s="343" t="s">
        <v>77</v>
      </c>
      <c r="K15" s="343">
        <v>449187.01</v>
      </c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95">
        <v>8</v>
      </c>
      <c r="Z15" s="396">
        <f>K15</f>
        <v>449187.01</v>
      </c>
      <c r="AA15" s="888"/>
      <c r="AB15" s="436">
        <f>Z15</f>
        <v>449187.01</v>
      </c>
      <c r="AC15" s="345">
        <v>439722.83</v>
      </c>
      <c r="AD15" s="492">
        <v>9464.18</v>
      </c>
    </row>
    <row r="16" spans="1:30" s="346" customFormat="1">
      <c r="A16" s="903"/>
      <c r="B16" s="906"/>
      <c r="C16" s="883"/>
      <c r="D16" s="885"/>
      <c r="E16" s="342"/>
      <c r="F16" s="343"/>
      <c r="G16" s="345"/>
      <c r="H16" s="368"/>
      <c r="I16" s="368"/>
      <c r="J16" s="343" t="s">
        <v>78</v>
      </c>
      <c r="K16" s="344">
        <v>603287.62</v>
      </c>
      <c r="L16" s="343"/>
      <c r="M16" s="343"/>
      <c r="N16" s="343"/>
      <c r="O16" s="343"/>
      <c r="P16" s="343"/>
      <c r="Q16" s="343"/>
      <c r="R16" s="343"/>
      <c r="S16" s="343"/>
      <c r="T16" s="343"/>
      <c r="U16" s="343"/>
      <c r="V16" s="343"/>
      <c r="W16" s="343"/>
      <c r="X16" s="343"/>
      <c r="Y16" s="395">
        <v>9</v>
      </c>
      <c r="Z16" s="396">
        <v>603287.62</v>
      </c>
      <c r="AA16" s="888"/>
      <c r="AB16" s="396">
        <v>603287.62</v>
      </c>
      <c r="AC16" s="345">
        <v>595984.13</v>
      </c>
      <c r="AD16" s="492">
        <v>7303.49</v>
      </c>
    </row>
    <row r="17" spans="1:30" s="346" customFormat="1">
      <c r="A17" s="903"/>
      <c r="B17" s="906"/>
      <c r="C17" s="883"/>
      <c r="D17" s="885"/>
      <c r="E17" s="342" t="s">
        <v>135</v>
      </c>
      <c r="F17" s="368"/>
      <c r="G17" s="368"/>
      <c r="H17" s="368"/>
      <c r="I17" s="368"/>
      <c r="L17" s="343" t="s">
        <v>76</v>
      </c>
      <c r="M17" s="343">
        <v>941673.71</v>
      </c>
      <c r="N17" s="368"/>
      <c r="P17" s="343"/>
      <c r="Q17" s="343"/>
      <c r="R17" s="343"/>
      <c r="S17" s="343"/>
      <c r="T17" s="343"/>
      <c r="U17" s="343"/>
      <c r="V17" s="343"/>
      <c r="W17" s="343"/>
      <c r="X17" s="343"/>
      <c r="Y17" s="395">
        <v>10</v>
      </c>
      <c r="Z17" s="396">
        <f>M17</f>
        <v>941673.71</v>
      </c>
      <c r="AA17" s="888"/>
      <c r="AB17" s="436">
        <f>Z17</f>
        <v>941673.71</v>
      </c>
      <c r="AC17" s="345">
        <f>AB17-AD17</f>
        <v>921997.46600000001</v>
      </c>
      <c r="AD17" s="492">
        <v>19676.243999999999</v>
      </c>
    </row>
    <row r="18" spans="1:30" s="346" customFormat="1">
      <c r="A18" s="903"/>
      <c r="B18" s="906"/>
      <c r="C18" s="883"/>
      <c r="D18" s="885"/>
      <c r="E18" s="342" t="s">
        <v>136</v>
      </c>
      <c r="G18" s="368"/>
      <c r="H18" s="368"/>
      <c r="I18" s="368"/>
      <c r="J18" s="343"/>
      <c r="K18" s="343"/>
      <c r="L18" s="343" t="s">
        <v>79</v>
      </c>
      <c r="M18" s="343">
        <f>Z18</f>
        <v>293363.46999999997</v>
      </c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95">
        <v>11</v>
      </c>
      <c r="Z18" s="396">
        <v>293363.46999999997</v>
      </c>
      <c r="AA18" s="888"/>
      <c r="AB18" s="436">
        <f>Z18</f>
        <v>293363.46999999997</v>
      </c>
      <c r="AC18" s="345">
        <v>290271.42</v>
      </c>
      <c r="AD18" s="492">
        <v>3092.05</v>
      </c>
    </row>
    <row r="19" spans="1:30" s="346" customFormat="1">
      <c r="A19" s="903"/>
      <c r="B19" s="906"/>
      <c r="C19" s="883"/>
      <c r="D19" s="885"/>
      <c r="E19" s="342" t="s">
        <v>137</v>
      </c>
      <c r="F19" s="368"/>
      <c r="G19" s="368"/>
      <c r="H19" s="368"/>
      <c r="I19" s="368"/>
      <c r="J19" s="343"/>
      <c r="K19" s="343"/>
      <c r="L19" s="394" t="s">
        <v>75</v>
      </c>
      <c r="M19" s="394">
        <v>372983.72</v>
      </c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95">
        <v>12</v>
      </c>
      <c r="Z19" s="396">
        <f>M19</f>
        <v>372983.72</v>
      </c>
      <c r="AA19" s="888"/>
      <c r="AB19" s="436">
        <f>Z19</f>
        <v>372983.72</v>
      </c>
      <c r="AC19" s="345">
        <v>368468.62</v>
      </c>
      <c r="AD19" s="492">
        <v>4515.1000000000004</v>
      </c>
    </row>
    <row r="20" spans="1:30" s="346" customFormat="1">
      <c r="A20" s="903"/>
      <c r="B20" s="906"/>
      <c r="C20" s="883"/>
      <c r="D20" s="885"/>
      <c r="E20" s="342" t="s">
        <v>138</v>
      </c>
      <c r="F20" s="368"/>
      <c r="G20" s="443"/>
      <c r="H20" s="368"/>
      <c r="I20" s="368"/>
      <c r="J20" s="343"/>
      <c r="K20" s="343"/>
      <c r="L20" s="343"/>
      <c r="M20" s="343"/>
      <c r="N20" s="394" t="s">
        <v>80</v>
      </c>
      <c r="O20" s="394">
        <v>354144.6</v>
      </c>
      <c r="P20" s="343"/>
      <c r="Q20" s="343"/>
      <c r="R20" s="343"/>
      <c r="S20" s="343"/>
      <c r="T20" s="343"/>
      <c r="U20" s="343"/>
      <c r="V20" s="343"/>
      <c r="W20" s="343"/>
      <c r="X20" s="343"/>
      <c r="Y20" s="394" t="s">
        <v>80</v>
      </c>
      <c r="Z20" s="394">
        <v>354144.6</v>
      </c>
      <c r="AA20" s="888"/>
      <c r="AB20" s="436">
        <v>354144.6</v>
      </c>
      <c r="AC20" s="345">
        <f>Z20-AD20</f>
        <v>349857.55</v>
      </c>
      <c r="AD20" s="492">
        <v>4287.05</v>
      </c>
    </row>
    <row r="21" spans="1:30" s="346" customFormat="1">
      <c r="A21" s="903"/>
      <c r="B21" s="906"/>
      <c r="C21" s="861"/>
      <c r="D21" s="885"/>
      <c r="E21" s="342" t="s">
        <v>139</v>
      </c>
      <c r="F21" s="368"/>
      <c r="G21" s="368"/>
      <c r="H21" s="368"/>
      <c r="I21" s="368"/>
      <c r="J21" s="343"/>
      <c r="K21" s="343"/>
      <c r="L21" s="343"/>
      <c r="M21" s="343"/>
      <c r="N21" s="394" t="s">
        <v>81</v>
      </c>
      <c r="O21" s="394">
        <v>177987.94</v>
      </c>
      <c r="P21" s="368"/>
      <c r="Q21" s="368"/>
      <c r="R21" s="343"/>
      <c r="S21" s="343"/>
      <c r="T21" s="343"/>
      <c r="U21" s="343"/>
      <c r="V21" s="343"/>
      <c r="W21" s="343"/>
      <c r="X21" s="343"/>
      <c r="Y21" s="394" t="s">
        <v>81</v>
      </c>
      <c r="Z21" s="396">
        <f>O21</f>
        <v>177987.94</v>
      </c>
      <c r="AA21" s="888"/>
      <c r="AB21" s="396">
        <v>177987.94</v>
      </c>
      <c r="AC21" s="345">
        <f>AB21-AD21</f>
        <v>160077.57</v>
      </c>
      <c r="AD21" s="492">
        <v>17910.37</v>
      </c>
    </row>
    <row r="22" spans="1:30" s="346" customFormat="1" ht="12.6" thickBot="1">
      <c r="A22" s="904"/>
      <c r="B22" s="907"/>
      <c r="C22" s="877"/>
      <c r="D22" s="886"/>
      <c r="E22" s="421" t="s">
        <v>140</v>
      </c>
      <c r="F22" s="422"/>
      <c r="G22" s="422"/>
      <c r="H22" s="422"/>
      <c r="I22" s="422"/>
      <c r="J22" s="422"/>
      <c r="K22" s="422"/>
      <c r="L22" s="422"/>
      <c r="M22" s="422"/>
      <c r="N22" s="493"/>
      <c r="O22" s="493"/>
      <c r="P22" s="494" t="s">
        <v>158</v>
      </c>
      <c r="Q22" s="422">
        <v>2358110.9</v>
      </c>
      <c r="R22" s="422"/>
      <c r="S22" s="422"/>
      <c r="T22" s="422"/>
      <c r="U22" s="422"/>
      <c r="V22" s="422"/>
      <c r="W22" s="422"/>
      <c r="X22" s="422"/>
      <c r="Y22" s="494" t="s">
        <v>158</v>
      </c>
      <c r="Z22" s="495">
        <f>Q22</f>
        <v>2358110.9</v>
      </c>
      <c r="AA22" s="889"/>
      <c r="AB22" s="496">
        <f>Z22</f>
        <v>2358110.9</v>
      </c>
      <c r="AC22" s="497">
        <v>1910403.5699999998</v>
      </c>
      <c r="AD22" s="425">
        <v>447707.33</v>
      </c>
    </row>
    <row r="23" spans="1:30" s="346" customFormat="1" ht="12.6" customHeight="1">
      <c r="A23" s="507"/>
      <c r="B23" s="445"/>
      <c r="C23" s="508"/>
      <c r="D23" s="509"/>
      <c r="E23" s="510"/>
      <c r="F23" s="408"/>
      <c r="G23" s="409"/>
      <c r="H23" s="409"/>
      <c r="I23" s="409"/>
      <c r="J23" s="409"/>
      <c r="K23" s="409"/>
      <c r="L23" s="409"/>
      <c r="M23" s="409"/>
      <c r="N23" s="409"/>
      <c r="O23" s="409"/>
      <c r="P23" s="409"/>
      <c r="Q23" s="409"/>
      <c r="R23" s="409"/>
      <c r="S23" s="409"/>
      <c r="T23" s="409"/>
      <c r="U23" s="409"/>
      <c r="V23" s="409"/>
      <c r="W23" s="409"/>
      <c r="X23" s="409"/>
      <c r="Y23" s="410" t="s">
        <v>148</v>
      </c>
      <c r="Z23" s="411">
        <f>SUM(Z8:Z22)</f>
        <v>8579031.879999999</v>
      </c>
      <c r="AA23" s="412"/>
      <c r="AB23" s="409">
        <f>SUM(AB8:AB22)</f>
        <v>8579031.879999999</v>
      </c>
      <c r="AC23" s="409">
        <f>SUM(AC8:AC22)</f>
        <v>7963998.4400000013</v>
      </c>
      <c r="AD23" s="413">
        <f>SUM(AD8:AD22)</f>
        <v>615033.43999999994</v>
      </c>
    </row>
    <row r="24" spans="1:30" s="346" customFormat="1" ht="12.6" thickBot="1">
      <c r="A24" s="511"/>
      <c r="B24" s="512"/>
      <c r="C24" s="513"/>
      <c r="D24" s="514"/>
      <c r="E24" s="515"/>
      <c r="F24" s="516"/>
      <c r="G24" s="516"/>
      <c r="H24" s="516"/>
      <c r="I24" s="516"/>
      <c r="J24" s="516"/>
      <c r="K24" s="516"/>
      <c r="L24" s="516"/>
      <c r="M24" s="516"/>
      <c r="N24" s="516"/>
      <c r="O24" s="516"/>
      <c r="P24" s="516"/>
      <c r="Q24" s="516"/>
      <c r="R24" s="516"/>
      <c r="S24" s="516"/>
      <c r="T24" s="516"/>
      <c r="U24" s="516"/>
      <c r="V24" s="516"/>
      <c r="W24" s="516"/>
      <c r="X24" s="516"/>
      <c r="Y24" s="517"/>
      <c r="Z24" s="518"/>
      <c r="AA24" s="519"/>
      <c r="AB24" s="516"/>
      <c r="AC24" s="516"/>
      <c r="AD24" s="520"/>
    </row>
    <row r="25" spans="1:30" s="346" customFormat="1" ht="16.95" customHeight="1">
      <c r="A25" s="897">
        <v>2</v>
      </c>
      <c r="B25" s="898" t="s">
        <v>157</v>
      </c>
      <c r="C25" s="900" t="s">
        <v>150</v>
      </c>
      <c r="D25" s="498">
        <v>281803.98</v>
      </c>
      <c r="E25" s="499"/>
      <c r="F25" s="500"/>
      <c r="G25" s="500"/>
      <c r="H25" s="500"/>
      <c r="I25" s="500"/>
      <c r="J25" s="500"/>
      <c r="K25" s="500"/>
      <c r="L25" s="501"/>
      <c r="M25" s="500"/>
      <c r="N25" s="501"/>
      <c r="O25" s="501"/>
      <c r="P25" s="502" t="s">
        <v>53</v>
      </c>
      <c r="Q25" s="503">
        <v>281803.98</v>
      </c>
      <c r="R25" s="500"/>
      <c r="S25" s="500"/>
      <c r="T25" s="500"/>
      <c r="U25" s="500"/>
      <c r="V25" s="500"/>
      <c r="W25" s="500"/>
      <c r="X25" s="500"/>
      <c r="Y25" s="502" t="s">
        <v>53</v>
      </c>
      <c r="Z25" s="504">
        <v>281803.98</v>
      </c>
      <c r="AA25" s="901">
        <f>SUM(AB25:AB26)</f>
        <v>281803.98</v>
      </c>
      <c r="AB25" s="505">
        <f>AC25+AD25</f>
        <v>281803.98</v>
      </c>
      <c r="AC25" s="505">
        <f>Z25-AD25</f>
        <v>251804.02999999997</v>
      </c>
      <c r="AD25" s="506">
        <v>29999.95</v>
      </c>
    </row>
    <row r="26" spans="1:30" s="346" customFormat="1" ht="15.6" customHeight="1" thickBot="1">
      <c r="A26" s="879"/>
      <c r="B26" s="899"/>
      <c r="C26" s="877"/>
      <c r="D26" s="429"/>
      <c r="E26" s="430"/>
      <c r="F26" s="431"/>
      <c r="G26" s="431"/>
      <c r="H26" s="431"/>
      <c r="I26" s="431"/>
      <c r="J26" s="431"/>
      <c r="K26" s="431"/>
      <c r="L26" s="431"/>
      <c r="M26" s="431"/>
      <c r="N26" s="431"/>
      <c r="O26" s="431"/>
      <c r="P26" s="431"/>
      <c r="Q26" s="431"/>
      <c r="R26" s="431"/>
      <c r="S26" s="431"/>
      <c r="T26" s="431"/>
      <c r="U26" s="431"/>
      <c r="V26" s="431"/>
      <c r="W26" s="431"/>
      <c r="X26" s="431"/>
      <c r="Y26" s="432"/>
      <c r="Z26" s="440"/>
      <c r="AA26" s="902"/>
      <c r="AB26" s="441"/>
      <c r="AC26" s="441"/>
      <c r="AD26" s="442"/>
    </row>
    <row r="27" spans="1:30" s="346" customFormat="1" ht="12" customHeight="1">
      <c r="A27" s="890">
        <v>3</v>
      </c>
      <c r="B27" s="891" t="s">
        <v>98</v>
      </c>
      <c r="C27" s="533"/>
      <c r="D27" s="894">
        <v>131336.26</v>
      </c>
      <c r="E27" s="414"/>
      <c r="F27" s="415"/>
      <c r="G27" s="415"/>
      <c r="H27" s="415" t="s">
        <v>53</v>
      </c>
      <c r="I27" s="415">
        <v>110363.99</v>
      </c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6">
        <v>1</v>
      </c>
      <c r="Z27" s="417">
        <f>I27</f>
        <v>110363.99</v>
      </c>
      <c r="AA27" s="444">
        <f>AB27</f>
        <v>110363.99</v>
      </c>
      <c r="AB27" s="415">
        <f>I27</f>
        <v>110363.99</v>
      </c>
      <c r="AC27" s="415">
        <f>AB27-AD27</f>
        <v>85118.37000000001</v>
      </c>
      <c r="AD27" s="418">
        <v>25245.62</v>
      </c>
    </row>
    <row r="28" spans="1:30" s="346" customFormat="1" ht="12" customHeight="1">
      <c r="A28" s="878"/>
      <c r="B28" s="892"/>
      <c r="C28" s="534"/>
      <c r="D28" s="895"/>
      <c r="E28" s="342"/>
      <c r="F28" s="343"/>
      <c r="G28" s="343"/>
      <c r="H28" s="343"/>
      <c r="I28" s="343"/>
      <c r="AD28" s="419"/>
    </row>
    <row r="29" spans="1:30" s="346" customFormat="1" ht="12.6" thickBot="1">
      <c r="A29" s="879"/>
      <c r="B29" s="893"/>
      <c r="C29" s="420"/>
      <c r="D29" s="896"/>
      <c r="E29" s="421"/>
      <c r="F29" s="422"/>
      <c r="G29" s="422"/>
      <c r="H29" s="422"/>
      <c r="I29" s="422"/>
      <c r="J29" s="422"/>
      <c r="K29" s="422"/>
      <c r="L29" s="422"/>
      <c r="M29" s="422"/>
      <c r="N29" s="422"/>
      <c r="O29" s="422"/>
      <c r="P29" s="422"/>
      <c r="Q29" s="422"/>
      <c r="R29" s="422"/>
      <c r="S29" s="422"/>
      <c r="T29" s="422"/>
      <c r="U29" s="422"/>
      <c r="V29" s="422"/>
      <c r="W29" s="422"/>
      <c r="X29" s="422"/>
      <c r="Y29" s="423"/>
      <c r="Z29" s="424"/>
      <c r="AA29" s="524"/>
      <c r="AB29" s="422"/>
      <c r="AC29" s="422"/>
      <c r="AD29" s="425"/>
    </row>
    <row r="30" spans="1:30" s="346" customFormat="1" ht="16.2" customHeight="1">
      <c r="A30" s="862">
        <f>A8+1</f>
        <v>2</v>
      </c>
      <c r="B30" s="865" t="s">
        <v>152</v>
      </c>
      <c r="C30" s="868" t="s">
        <v>69</v>
      </c>
      <c r="D30" s="871" t="e">
        <f>#REF!</f>
        <v>#REF!</v>
      </c>
      <c r="E30" s="451" t="s">
        <v>141</v>
      </c>
      <c r="F30" s="433"/>
      <c r="G30" s="433"/>
      <c r="H30" s="433" t="s">
        <v>53</v>
      </c>
      <c r="I30" s="433">
        <v>111154.22</v>
      </c>
      <c r="J30" s="433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 t="s">
        <v>53</v>
      </c>
      <c r="Z30" s="433">
        <v>111154.22</v>
      </c>
      <c r="AA30" s="860">
        <f>SUM(AB30:AB44)</f>
        <v>2293462.2600000002</v>
      </c>
      <c r="AB30" s="433">
        <v>111154.22</v>
      </c>
      <c r="AC30" s="433">
        <f>AB30-AD30</f>
        <v>44105.48000000001</v>
      </c>
      <c r="AD30" s="452">
        <f>55873.95*1.2</f>
        <v>67048.739999999991</v>
      </c>
    </row>
    <row r="31" spans="1:30" s="346" customFormat="1" ht="12" customHeight="1">
      <c r="A31" s="863"/>
      <c r="B31" s="866"/>
      <c r="C31" s="869"/>
      <c r="D31" s="872"/>
      <c r="E31" s="370" t="s">
        <v>142</v>
      </c>
      <c r="F31" s="371"/>
      <c r="G31" s="371"/>
      <c r="H31" s="371"/>
      <c r="I31" s="371"/>
      <c r="J31" s="371" t="s">
        <v>69</v>
      </c>
      <c r="K31" s="371">
        <v>99020.51</v>
      </c>
      <c r="L31" s="371"/>
      <c r="M31" s="371"/>
      <c r="N31" s="371"/>
      <c r="O31" s="371"/>
      <c r="P31" s="371"/>
      <c r="Q31" s="371"/>
      <c r="R31" s="371"/>
      <c r="S31" s="371"/>
      <c r="T31" s="371"/>
      <c r="U31" s="371"/>
      <c r="V31" s="371"/>
      <c r="W31" s="371"/>
      <c r="X31" s="371"/>
      <c r="Y31" s="374" t="s">
        <v>69</v>
      </c>
      <c r="Z31" s="375">
        <f>K31</f>
        <v>99020.51</v>
      </c>
      <c r="AA31" s="861"/>
      <c r="AB31" s="371">
        <f>K31</f>
        <v>99020.51</v>
      </c>
      <c r="AC31" s="371">
        <v>53748.149999999994</v>
      </c>
      <c r="AD31" s="453">
        <v>45272.36</v>
      </c>
    </row>
    <row r="32" spans="1:30" s="346" customFormat="1" ht="12" customHeight="1">
      <c r="A32" s="863"/>
      <c r="B32" s="866"/>
      <c r="C32" s="861"/>
      <c r="D32" s="872"/>
      <c r="E32" s="370"/>
      <c r="F32" s="371"/>
      <c r="G32" s="371"/>
      <c r="H32" s="371"/>
      <c r="I32" s="371"/>
      <c r="J32" s="371" t="s">
        <v>70</v>
      </c>
      <c r="K32" s="373">
        <v>345752.57</v>
      </c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 t="s">
        <v>70</v>
      </c>
      <c r="Z32" s="373">
        <v>345752.57</v>
      </c>
      <c r="AA32" s="861"/>
      <c r="AB32" s="373">
        <v>345752.57</v>
      </c>
      <c r="AC32" s="373">
        <v>231533.51</v>
      </c>
      <c r="AD32" s="453">
        <v>114219.06</v>
      </c>
    </row>
    <row r="33" spans="1:30" s="346" customFormat="1" ht="12" customHeight="1">
      <c r="A33" s="863"/>
      <c r="B33" s="866"/>
      <c r="C33" s="861"/>
      <c r="D33" s="872"/>
      <c r="E33" s="370"/>
      <c r="F33" s="371"/>
      <c r="G33" s="371"/>
      <c r="H33" s="371"/>
      <c r="I33" s="371"/>
      <c r="J33" s="371" t="s">
        <v>71</v>
      </c>
      <c r="K33" s="372">
        <v>103230.59</v>
      </c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 t="e">
        <f>D30-Z45</f>
        <v>#REF!</v>
      </c>
      <c r="W33" s="371"/>
      <c r="X33" s="371"/>
      <c r="Y33" s="371" t="s">
        <v>71</v>
      </c>
      <c r="Z33" s="372">
        <v>103230.59</v>
      </c>
      <c r="AA33" s="861"/>
      <c r="AB33" s="372">
        <v>103230.59</v>
      </c>
      <c r="AC33" s="373">
        <v>30347.26999999999</v>
      </c>
      <c r="AD33" s="453">
        <v>72883.320000000007</v>
      </c>
    </row>
    <row r="34" spans="1:30" s="346" customFormat="1" ht="12" customHeight="1">
      <c r="A34" s="863"/>
      <c r="B34" s="866"/>
      <c r="C34" s="861"/>
      <c r="D34" s="872"/>
      <c r="E34" s="370"/>
      <c r="F34" s="371"/>
      <c r="G34" s="371"/>
      <c r="H34" s="371"/>
      <c r="I34" s="371"/>
      <c r="J34" s="371" t="s">
        <v>72</v>
      </c>
      <c r="K34" s="372">
        <v>58541.36</v>
      </c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 t="s">
        <v>72</v>
      </c>
      <c r="Z34" s="372">
        <v>58541.36</v>
      </c>
      <c r="AA34" s="861"/>
      <c r="AB34" s="372">
        <v>58541.36</v>
      </c>
      <c r="AC34" s="373">
        <v>33049.979999999996</v>
      </c>
      <c r="AD34" s="453">
        <v>25491.38</v>
      </c>
    </row>
    <row r="35" spans="1:30" s="346" customFormat="1" ht="12" customHeight="1">
      <c r="A35" s="863"/>
      <c r="B35" s="866"/>
      <c r="C35" s="861"/>
      <c r="D35" s="872"/>
      <c r="E35" s="370"/>
      <c r="F35" s="371"/>
      <c r="G35" s="371"/>
      <c r="H35" s="371"/>
      <c r="I35" s="371"/>
      <c r="J35" s="371"/>
      <c r="K35" s="371"/>
      <c r="L35" s="371" t="s">
        <v>73</v>
      </c>
      <c r="M35" s="372">
        <v>20510.87</v>
      </c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 t="s">
        <v>73</v>
      </c>
      <c r="Z35" s="372">
        <v>20510.87</v>
      </c>
      <c r="AA35" s="861"/>
      <c r="AB35" s="372">
        <v>20510.87</v>
      </c>
      <c r="AC35" s="373">
        <f>Z35-AD35</f>
        <v>19006.322</v>
      </c>
      <c r="AD35" s="453">
        <v>1504.548</v>
      </c>
    </row>
    <row r="36" spans="1:30" s="346" customFormat="1" ht="12" customHeight="1">
      <c r="A36" s="863"/>
      <c r="B36" s="866"/>
      <c r="C36" s="861"/>
      <c r="D36" s="872"/>
      <c r="E36" s="370"/>
      <c r="F36" s="371"/>
      <c r="G36" s="371"/>
      <c r="H36" s="371"/>
      <c r="I36" s="371"/>
      <c r="J36" s="371"/>
      <c r="K36" s="371"/>
      <c r="L36" s="371" t="s">
        <v>74</v>
      </c>
      <c r="M36" s="371">
        <f>Z36</f>
        <v>112396.12</v>
      </c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 t="s">
        <v>74</v>
      </c>
      <c r="Z36" s="372">
        <v>112396.12</v>
      </c>
      <c r="AA36" s="861"/>
      <c r="AB36" s="373">
        <f t="shared" ref="AB36:AB38" si="0">Z36</f>
        <v>112396.12</v>
      </c>
      <c r="AC36" s="373">
        <v>57471.423999999999</v>
      </c>
      <c r="AD36" s="453">
        <v>54924.696000000004</v>
      </c>
    </row>
    <row r="37" spans="1:30" s="346" customFormat="1" ht="12" customHeight="1">
      <c r="A37" s="863"/>
      <c r="B37" s="866"/>
      <c r="C37" s="861"/>
      <c r="D37" s="872"/>
      <c r="E37" s="370"/>
      <c r="F37" s="371"/>
      <c r="G37" s="371"/>
      <c r="H37" s="371"/>
      <c r="I37" s="371"/>
      <c r="J37" s="371"/>
      <c r="K37" s="371"/>
      <c r="L37" s="371" t="s">
        <v>77</v>
      </c>
      <c r="M37" s="371">
        <v>36533.03</v>
      </c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 t="s">
        <v>77</v>
      </c>
      <c r="Z37" s="372">
        <f>M37</f>
        <v>36533.03</v>
      </c>
      <c r="AA37" s="861"/>
      <c r="AB37" s="373">
        <f t="shared" si="0"/>
        <v>36533.03</v>
      </c>
      <c r="AC37" s="373">
        <v>32587.68</v>
      </c>
      <c r="AD37" s="453">
        <v>3945.35</v>
      </c>
    </row>
    <row r="38" spans="1:30" s="346" customFormat="1" ht="12" customHeight="1">
      <c r="A38" s="863"/>
      <c r="B38" s="866"/>
      <c r="C38" s="861"/>
      <c r="D38" s="872"/>
      <c r="E38" s="370"/>
      <c r="F38" s="371"/>
      <c r="G38" s="371"/>
      <c r="H38" s="371"/>
      <c r="I38" s="371"/>
      <c r="J38" s="371"/>
      <c r="K38" s="371"/>
      <c r="L38" s="371" t="s">
        <v>78</v>
      </c>
      <c r="M38" s="371">
        <v>282807.74</v>
      </c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 t="s">
        <v>78</v>
      </c>
      <c r="Z38" s="372">
        <f>M38</f>
        <v>282807.74</v>
      </c>
      <c r="AA38" s="861"/>
      <c r="AB38" s="373">
        <f t="shared" si="0"/>
        <v>282807.74</v>
      </c>
      <c r="AC38" s="373">
        <f t="shared" ref="AC38:AC44" si="1">AB38-AD38</f>
        <v>157013.31</v>
      </c>
      <c r="AD38" s="453">
        <v>125794.43</v>
      </c>
    </row>
    <row r="39" spans="1:30" s="346" customFormat="1" ht="12" customHeight="1">
      <c r="A39" s="863"/>
      <c r="B39" s="866"/>
      <c r="C39" s="861"/>
      <c r="D39" s="872"/>
      <c r="E39" s="376"/>
      <c r="F39" s="373"/>
      <c r="G39" s="373"/>
      <c r="H39" s="373"/>
      <c r="I39" s="373"/>
      <c r="J39" s="373"/>
      <c r="K39" s="373"/>
      <c r="L39" s="373"/>
      <c r="M39" s="373"/>
      <c r="N39" s="521"/>
      <c r="O39" s="526"/>
      <c r="P39" s="521"/>
      <c r="Q39" s="521"/>
      <c r="R39" s="371" t="s">
        <v>76</v>
      </c>
      <c r="S39" s="525">
        <v>236670.38</v>
      </c>
      <c r="T39" s="373"/>
      <c r="U39" s="373"/>
      <c r="V39" s="373"/>
      <c r="W39" s="373" t="s">
        <v>160</v>
      </c>
      <c r="X39" s="371">
        <f>Z39+Z43+Z44</f>
        <v>596567.15</v>
      </c>
      <c r="Y39" s="529" t="s">
        <v>76</v>
      </c>
      <c r="Z39" s="525">
        <v>236670.38</v>
      </c>
      <c r="AA39" s="861"/>
      <c r="AB39" s="525">
        <v>236670.38</v>
      </c>
      <c r="AC39" s="527">
        <f t="shared" si="1"/>
        <v>135826.63</v>
      </c>
      <c r="AD39" s="528">
        <v>100843.75</v>
      </c>
    </row>
    <row r="40" spans="1:30" s="346" customFormat="1" ht="12" customHeight="1">
      <c r="A40" s="863"/>
      <c r="B40" s="866"/>
      <c r="C40" s="861"/>
      <c r="D40" s="872"/>
      <c r="E40" s="376"/>
      <c r="F40" s="373"/>
      <c r="G40" s="373"/>
      <c r="H40" s="373"/>
      <c r="I40" s="373"/>
      <c r="J40" s="373"/>
      <c r="K40" s="373"/>
      <c r="L40" s="373"/>
      <c r="M40" s="373"/>
      <c r="N40" s="521"/>
      <c r="O40" s="526"/>
      <c r="P40" s="521"/>
      <c r="Q40" s="521"/>
      <c r="R40" s="371" t="s">
        <v>79</v>
      </c>
      <c r="S40" s="525">
        <v>78675.94</v>
      </c>
      <c r="T40" s="373"/>
      <c r="U40" s="373"/>
      <c r="V40" s="373"/>
      <c r="W40" s="373" t="s">
        <v>161</v>
      </c>
      <c r="X40" s="371" t="e">
        <f>X39+'Реєстр ДЦ '!#REF!+'Реєстр ДЦ '!#REF!+'Реєстр ДЦ '!#REF!+'Реєстр ДЦ '!#REF!</f>
        <v>#REF!</v>
      </c>
      <c r="Y40" s="529" t="s">
        <v>79</v>
      </c>
      <c r="Z40" s="537">
        <v>78675.94</v>
      </c>
      <c r="AA40" s="861"/>
      <c r="AB40" s="525">
        <v>78675.94</v>
      </c>
      <c r="AC40" s="527">
        <f t="shared" si="1"/>
        <v>32607.32</v>
      </c>
      <c r="AD40" s="528">
        <v>46068.62</v>
      </c>
    </row>
    <row r="41" spans="1:30" s="346" customFormat="1" ht="12" customHeight="1">
      <c r="A41" s="863"/>
      <c r="B41" s="866"/>
      <c r="C41" s="861"/>
      <c r="D41" s="872"/>
      <c r="E41" s="522"/>
      <c r="F41" s="397"/>
      <c r="G41" s="398"/>
      <c r="H41" s="398"/>
      <c r="I41" s="398"/>
      <c r="J41" s="398"/>
      <c r="K41" s="398"/>
      <c r="L41" s="398"/>
      <c r="M41" s="398"/>
      <c r="N41" s="523"/>
      <c r="O41" s="523"/>
      <c r="P41" s="521"/>
      <c r="Q41" s="521"/>
      <c r="R41" s="371" t="s">
        <v>75</v>
      </c>
      <c r="S41" s="525">
        <v>83218.66</v>
      </c>
      <c r="T41" s="373"/>
      <c r="U41" s="373"/>
      <c r="V41" s="373"/>
      <c r="W41" s="373" t="s">
        <v>162</v>
      </c>
      <c r="X41" s="371"/>
      <c r="Y41" s="529" t="s">
        <v>75</v>
      </c>
      <c r="Z41" s="537">
        <v>75489.289999999994</v>
      </c>
      <c r="AA41" s="861"/>
      <c r="AB41" s="525">
        <f>Z41</f>
        <v>75489.289999999994</v>
      </c>
      <c r="AC41" s="527">
        <f t="shared" si="1"/>
        <v>31514.699999999997</v>
      </c>
      <c r="AD41" s="527">
        <v>43974.59</v>
      </c>
    </row>
    <row r="42" spans="1:30" s="346" customFormat="1" ht="12" customHeight="1">
      <c r="A42" s="863"/>
      <c r="B42" s="866"/>
      <c r="C42" s="861"/>
      <c r="D42" s="872"/>
      <c r="E42" s="522"/>
      <c r="F42" s="397"/>
      <c r="G42" s="398"/>
      <c r="H42" s="398"/>
      <c r="I42" s="398"/>
      <c r="J42" s="398"/>
      <c r="K42" s="398"/>
      <c r="L42" s="398"/>
      <c r="M42" s="398"/>
      <c r="N42" s="523"/>
      <c r="O42" s="523"/>
      <c r="P42" s="521"/>
      <c r="Q42" s="521"/>
      <c r="R42" s="371" t="s">
        <v>80</v>
      </c>
      <c r="S42" s="525">
        <f>Z42</f>
        <v>372782.87</v>
      </c>
      <c r="T42" s="373"/>
      <c r="U42" s="373"/>
      <c r="V42" s="373"/>
      <c r="W42" s="373" t="s">
        <v>163</v>
      </c>
      <c r="X42" s="371"/>
      <c r="Y42" s="529" t="s">
        <v>80</v>
      </c>
      <c r="Z42" s="538">
        <v>372782.87</v>
      </c>
      <c r="AA42" s="861"/>
      <c r="AB42" s="525">
        <f>Z42</f>
        <v>372782.87</v>
      </c>
      <c r="AC42" s="527">
        <f t="shared" si="1"/>
        <v>152785.19</v>
      </c>
      <c r="AD42" s="527">
        <v>219997.68</v>
      </c>
    </row>
    <row r="43" spans="1:30" s="346" customFormat="1" ht="12" customHeight="1">
      <c r="A43" s="863"/>
      <c r="B43" s="866"/>
      <c r="C43" s="861"/>
      <c r="D43" s="872"/>
      <c r="E43" s="522"/>
      <c r="F43" s="397"/>
      <c r="G43" s="398"/>
      <c r="H43" s="398"/>
      <c r="I43" s="398"/>
      <c r="J43" s="398"/>
      <c r="K43" s="398"/>
      <c r="L43" s="398"/>
      <c r="M43" s="398"/>
      <c r="N43" s="523"/>
      <c r="O43" s="523"/>
      <c r="P43" s="521"/>
      <c r="Q43" s="521"/>
      <c r="R43" s="371" t="s">
        <v>81</v>
      </c>
      <c r="S43" s="525">
        <v>328788.28999999998</v>
      </c>
      <c r="T43" s="373"/>
      <c r="U43" s="373"/>
      <c r="V43" s="373"/>
      <c r="W43" s="373" t="s">
        <v>164</v>
      </c>
      <c r="X43" s="371"/>
      <c r="Y43" s="529" t="s">
        <v>81</v>
      </c>
      <c r="Z43" s="525">
        <v>356228.86</v>
      </c>
      <c r="AA43" s="861"/>
      <c r="AB43" s="525">
        <f>Z43</f>
        <v>356228.86</v>
      </c>
      <c r="AC43" s="527">
        <f t="shared" si="1"/>
        <v>201417.03999999998</v>
      </c>
      <c r="AD43" s="527">
        <v>154811.82</v>
      </c>
    </row>
    <row r="44" spans="1:30" s="346" customFormat="1" ht="12" customHeight="1">
      <c r="A44" s="863"/>
      <c r="B44" s="866"/>
      <c r="C44" s="861"/>
      <c r="D44" s="872"/>
      <c r="E44" s="522"/>
      <c r="F44" s="397"/>
      <c r="G44" s="398"/>
      <c r="H44" s="398"/>
      <c r="I44" s="398"/>
      <c r="J44" s="398"/>
      <c r="K44" s="398"/>
      <c r="L44" s="398"/>
      <c r="M44" s="398"/>
      <c r="N44" s="523"/>
      <c r="O44" s="523"/>
      <c r="P44" s="521"/>
      <c r="Q44" s="521"/>
      <c r="R44" s="371" t="s">
        <v>158</v>
      </c>
      <c r="S44" s="525">
        <v>12657.74</v>
      </c>
      <c r="T44" s="373"/>
      <c r="U44" s="373"/>
      <c r="V44" s="373"/>
      <c r="W44" s="373" t="s">
        <v>165</v>
      </c>
      <c r="X44" s="371"/>
      <c r="Y44" s="529" t="s">
        <v>158</v>
      </c>
      <c r="Z44" s="525">
        <v>3667.91</v>
      </c>
      <c r="AA44" s="861"/>
      <c r="AB44" s="525">
        <f>Z44</f>
        <v>3667.91</v>
      </c>
      <c r="AC44" s="527">
        <f t="shared" si="1"/>
        <v>2114.5099999999998</v>
      </c>
      <c r="AD44" s="527">
        <v>1553.4</v>
      </c>
    </row>
    <row r="45" spans="1:30" s="346" customFormat="1" ht="12" customHeight="1" thickBot="1">
      <c r="A45" s="864"/>
      <c r="B45" s="867"/>
      <c r="C45" s="877"/>
      <c r="D45" s="873"/>
      <c r="E45" s="454"/>
      <c r="F45" s="446"/>
      <c r="G45" s="447"/>
      <c r="H45" s="447"/>
      <c r="I45" s="447"/>
      <c r="J45" s="447"/>
      <c r="K45" s="447"/>
      <c r="L45" s="447"/>
      <c r="M45" s="447"/>
      <c r="N45" s="447"/>
      <c r="O45" s="447"/>
      <c r="P45" s="521"/>
      <c r="Q45" s="521"/>
      <c r="R45" s="521"/>
      <c r="S45" s="521"/>
      <c r="T45" s="373"/>
      <c r="U45" s="373"/>
      <c r="V45" s="373"/>
      <c r="W45" s="447"/>
      <c r="X45" s="447"/>
      <c r="Y45" s="432" t="s">
        <v>148</v>
      </c>
      <c r="Z45" s="431">
        <f>SUM(Z30:Z44)</f>
        <v>2293462.2600000002</v>
      </c>
      <c r="AA45" s="480"/>
      <c r="AB45" s="431">
        <f>SUM(AB30:AB44)</f>
        <v>2293462.2600000002</v>
      </c>
      <c r="AC45" s="431">
        <f>SUM(AC30:AC40)</f>
        <v>827297.07599999988</v>
      </c>
      <c r="AD45" s="481">
        <f>AB45-AC45</f>
        <v>1466165.1840000004</v>
      </c>
    </row>
    <row r="46" spans="1:30" s="346" customFormat="1" ht="12" customHeight="1" thickBot="1">
      <c r="A46" s="455"/>
      <c r="B46" s="456"/>
      <c r="C46" s="457"/>
      <c r="D46" s="458"/>
      <c r="E46" s="459"/>
      <c r="F46" s="460"/>
      <c r="G46" s="460"/>
      <c r="H46" s="460"/>
      <c r="I46" s="460"/>
      <c r="J46" s="460"/>
      <c r="K46" s="460"/>
      <c r="L46" s="460"/>
      <c r="M46" s="460"/>
      <c r="N46" s="460"/>
      <c r="O46" s="460"/>
      <c r="P46" s="460"/>
      <c r="Q46" s="460"/>
      <c r="R46" s="460"/>
      <c r="S46" s="460"/>
      <c r="T46" s="460"/>
      <c r="U46" s="460"/>
      <c r="V46" s="460"/>
      <c r="W46" s="460"/>
      <c r="X46" s="460"/>
      <c r="Y46" s="427"/>
      <c r="Z46" s="426"/>
      <c r="AA46" s="428"/>
      <c r="AB46" s="426"/>
      <c r="AC46" s="426"/>
      <c r="AD46" s="426"/>
    </row>
    <row r="47" spans="1:30" s="346" customFormat="1" ht="12" customHeight="1">
      <c r="A47" s="862">
        <v>3</v>
      </c>
      <c r="B47" s="865" t="s">
        <v>146</v>
      </c>
      <c r="C47" s="868" t="s">
        <v>70</v>
      </c>
      <c r="D47" s="871">
        <v>1540968</v>
      </c>
      <c r="E47" s="461"/>
      <c r="F47" s="433"/>
      <c r="G47" s="433"/>
      <c r="H47" s="433"/>
      <c r="I47" s="433"/>
      <c r="J47" s="433"/>
      <c r="K47" s="433"/>
      <c r="L47" s="462"/>
      <c r="M47" s="462"/>
      <c r="N47" s="463" t="s">
        <v>53</v>
      </c>
      <c r="O47" s="463">
        <v>248026.63</v>
      </c>
      <c r="P47" s="463"/>
      <c r="Q47" s="463"/>
      <c r="R47" s="463"/>
      <c r="S47" s="463"/>
      <c r="T47" s="463"/>
      <c r="U47" s="463"/>
      <c r="V47" s="463"/>
      <c r="W47" s="463"/>
      <c r="X47" s="530"/>
      <c r="Y47" s="531" t="s">
        <v>53</v>
      </c>
      <c r="Z47" s="463">
        <v>248026.63</v>
      </c>
      <c r="AA47" s="874">
        <f>SUM(AB47:AB51)</f>
        <v>672881.95</v>
      </c>
      <c r="AB47" s="463">
        <v>248026.63</v>
      </c>
      <c r="AC47" s="464">
        <f>Z47-AD47</f>
        <v>242763.11000000002</v>
      </c>
      <c r="AD47" s="465">
        <v>5263.52</v>
      </c>
    </row>
    <row r="48" spans="1:30" s="346" customFormat="1" ht="12" customHeight="1">
      <c r="A48" s="863"/>
      <c r="B48" s="866"/>
      <c r="C48" s="869"/>
      <c r="D48" s="872"/>
      <c r="E48" s="376"/>
      <c r="F48" s="371"/>
      <c r="G48" s="371"/>
      <c r="H48" s="371"/>
      <c r="I48" s="371"/>
      <c r="J48" s="371"/>
      <c r="K48" s="371"/>
      <c r="L48" s="371"/>
      <c r="M48" s="371"/>
      <c r="N48" s="392" t="s">
        <v>69</v>
      </c>
      <c r="O48" s="392">
        <v>227228.23</v>
      </c>
      <c r="P48" s="392"/>
      <c r="Q48" s="392"/>
      <c r="R48" s="392"/>
      <c r="S48" s="392"/>
      <c r="T48" s="392"/>
      <c r="U48" s="392"/>
      <c r="V48" s="392"/>
      <c r="W48" s="392"/>
      <c r="X48" s="530"/>
      <c r="Y48" s="530" t="s">
        <v>69</v>
      </c>
      <c r="Z48" s="392">
        <f>O48</f>
        <v>227228.23</v>
      </c>
      <c r="AA48" s="875"/>
      <c r="AB48" s="392">
        <f>Z48</f>
        <v>227228.23</v>
      </c>
      <c r="AC48" s="392">
        <f>AB48-AD48</f>
        <v>222406.2</v>
      </c>
      <c r="AD48" s="468">
        <v>4822.03</v>
      </c>
    </row>
    <row r="49" spans="1:30" s="346" customFormat="1" ht="12" customHeight="1">
      <c r="A49" s="863"/>
      <c r="B49" s="866"/>
      <c r="C49" s="869"/>
      <c r="D49" s="872"/>
      <c r="E49" s="376"/>
      <c r="F49" s="371"/>
      <c r="G49" s="371"/>
      <c r="H49" s="371"/>
      <c r="I49" s="371"/>
      <c r="J49" s="371"/>
      <c r="K49" s="371"/>
      <c r="L49" s="371"/>
      <c r="M49" s="371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530"/>
      <c r="Y49" s="530" t="s">
        <v>70</v>
      </c>
      <c r="Z49" s="438">
        <v>197627.09</v>
      </c>
      <c r="AA49" s="875"/>
      <c r="AB49" s="438">
        <f>Z49</f>
        <v>197627.09</v>
      </c>
      <c r="AC49" s="438"/>
      <c r="AD49" s="466"/>
    </row>
    <row r="50" spans="1:30" s="346" customFormat="1" ht="12" customHeight="1">
      <c r="A50" s="863"/>
      <c r="B50" s="866"/>
      <c r="C50" s="869"/>
      <c r="D50" s="872"/>
      <c r="E50" s="376"/>
      <c r="F50" s="371"/>
      <c r="G50" s="371"/>
      <c r="H50" s="371"/>
      <c r="I50" s="371"/>
      <c r="J50" s="371"/>
      <c r="K50" s="371"/>
      <c r="L50" s="371"/>
      <c r="M50" s="371"/>
      <c r="N50" s="392"/>
      <c r="O50" s="392"/>
      <c r="P50" s="392"/>
      <c r="Q50" s="392"/>
      <c r="R50" s="392"/>
      <c r="S50" s="392"/>
      <c r="T50" s="392"/>
      <c r="U50" s="392"/>
      <c r="V50" s="392"/>
      <c r="W50" s="392"/>
      <c r="X50" s="392"/>
      <c r="Y50" s="437"/>
      <c r="Z50" s="438"/>
      <c r="AA50" s="875"/>
      <c r="AB50" s="438"/>
      <c r="AC50" s="438"/>
      <c r="AD50" s="466"/>
    </row>
    <row r="51" spans="1:30" s="346" customFormat="1" ht="12" customHeight="1" thickBot="1">
      <c r="A51" s="863"/>
      <c r="B51" s="866"/>
      <c r="C51" s="869"/>
      <c r="D51" s="872"/>
      <c r="E51" s="376"/>
      <c r="F51" s="383"/>
      <c r="G51" s="383"/>
      <c r="H51" s="383"/>
      <c r="I51" s="383"/>
      <c r="J51" s="383"/>
      <c r="K51" s="383"/>
      <c r="L51" s="383"/>
      <c r="M51" s="38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439"/>
      <c r="Z51" s="438"/>
      <c r="AA51" s="876"/>
      <c r="AB51" s="438"/>
      <c r="AC51" s="438"/>
      <c r="AD51" s="467"/>
    </row>
    <row r="52" spans="1:30" s="346" customFormat="1" ht="12.6" customHeight="1" thickBot="1">
      <c r="A52" s="864"/>
      <c r="B52" s="867"/>
      <c r="C52" s="870"/>
      <c r="D52" s="873"/>
      <c r="E52" s="454"/>
      <c r="F52" s="384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6" t="s">
        <v>148</v>
      </c>
      <c r="Z52" s="390">
        <f>SUM(Z47:Z51)</f>
        <v>672881.95</v>
      </c>
      <c r="AA52" s="391"/>
      <c r="AB52" s="390">
        <f>SUM(AB47:AB51)</f>
        <v>672881.95</v>
      </c>
      <c r="AC52" s="390">
        <f>SUM(AC47:AC51)</f>
        <v>465169.31000000006</v>
      </c>
      <c r="AD52" s="389">
        <f>SUM(AD47:AD51)</f>
        <v>10085.549999999999</v>
      </c>
    </row>
    <row r="53" spans="1:30" s="346" customFormat="1" ht="12" customHeight="1">
      <c r="A53" s="862">
        <v>4</v>
      </c>
      <c r="B53" s="865" t="s">
        <v>151</v>
      </c>
      <c r="C53" s="868" t="s">
        <v>71</v>
      </c>
      <c r="D53" s="871">
        <v>414039.73</v>
      </c>
      <c r="E53" s="461"/>
      <c r="F53" s="433"/>
      <c r="G53" s="433"/>
      <c r="H53" s="433"/>
      <c r="I53" s="433"/>
      <c r="J53" s="433"/>
      <c r="K53" s="433"/>
      <c r="L53" s="463" t="s">
        <v>53</v>
      </c>
      <c r="M53" s="463">
        <v>87813.66</v>
      </c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 t="s">
        <v>53</v>
      </c>
      <c r="Z53" s="463">
        <v>87813.66</v>
      </c>
      <c r="AA53" s="858">
        <f>SUM(AB53:AB57)</f>
        <v>376145.98000000004</v>
      </c>
      <c r="AB53" s="463">
        <f>Z53</f>
        <v>87813.66</v>
      </c>
      <c r="AC53" s="463">
        <v>42008.340000000004</v>
      </c>
      <c r="AD53" s="465">
        <v>45805.32</v>
      </c>
    </row>
    <row r="54" spans="1:30" s="346" customFormat="1" ht="12" customHeight="1">
      <c r="A54" s="878"/>
      <c r="B54" s="880"/>
      <c r="C54" s="861"/>
      <c r="D54" s="861"/>
      <c r="E54" s="376"/>
      <c r="F54" s="371"/>
      <c r="G54" s="371"/>
      <c r="H54" s="371"/>
      <c r="I54" s="371"/>
      <c r="J54" s="371"/>
      <c r="K54" s="371"/>
      <c r="L54" s="392" t="s">
        <v>69</v>
      </c>
      <c r="M54" s="392">
        <f>Z54</f>
        <v>43236.49</v>
      </c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4" t="s">
        <v>69</v>
      </c>
      <c r="Z54" s="392">
        <v>43236.49</v>
      </c>
      <c r="AA54" s="859"/>
      <c r="AB54" s="392">
        <f>Z54</f>
        <v>43236.49</v>
      </c>
      <c r="AC54" s="392">
        <v>20794.07</v>
      </c>
      <c r="AD54" s="468">
        <v>22442.42</v>
      </c>
    </row>
    <row r="55" spans="1:30" s="346" customFormat="1" ht="12" customHeight="1">
      <c r="A55" s="878"/>
      <c r="B55" s="880"/>
      <c r="C55" s="861"/>
      <c r="D55" s="861"/>
      <c r="E55" s="343"/>
      <c r="F55" s="371"/>
      <c r="G55" s="371"/>
      <c r="H55" s="371"/>
      <c r="I55" s="371"/>
      <c r="J55" s="371"/>
      <c r="K55" s="371"/>
      <c r="L55" s="392" t="s">
        <v>70</v>
      </c>
      <c r="M55" s="392">
        <f>Z55</f>
        <v>199976.26</v>
      </c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 t="s">
        <v>70</v>
      </c>
      <c r="Z55" s="392">
        <v>199976.26</v>
      </c>
      <c r="AA55" s="859"/>
      <c r="AB55" s="392">
        <f t="shared" ref="AB55:AB56" si="2">Z55</f>
        <v>199976.26</v>
      </c>
      <c r="AC55" s="392">
        <v>190762.90000000002</v>
      </c>
      <c r="AD55" s="468">
        <v>9213.36</v>
      </c>
    </row>
    <row r="56" spans="1:30" s="346" customFormat="1" ht="12" customHeight="1">
      <c r="A56" s="878"/>
      <c r="B56" s="880"/>
      <c r="C56" s="861"/>
      <c r="D56" s="861"/>
      <c r="E56" s="343"/>
      <c r="F56" s="371"/>
      <c r="G56" s="371"/>
      <c r="H56" s="371"/>
      <c r="I56" s="371"/>
      <c r="J56" s="371"/>
      <c r="K56" s="371"/>
      <c r="L56" s="392" t="s">
        <v>71</v>
      </c>
      <c r="M56" s="392">
        <f>Z56</f>
        <v>45119.57</v>
      </c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 t="s">
        <v>71</v>
      </c>
      <c r="Z56" s="392">
        <v>45119.57</v>
      </c>
      <c r="AA56" s="859"/>
      <c r="AB56" s="392">
        <f t="shared" si="2"/>
        <v>45119.57</v>
      </c>
      <c r="AC56" s="392">
        <f>AB56</f>
        <v>45119.57</v>
      </c>
      <c r="AD56" s="468" t="s">
        <v>153</v>
      </c>
    </row>
    <row r="57" spans="1:30" s="346" customFormat="1" ht="12" customHeight="1" thickBot="1">
      <c r="A57" s="878"/>
      <c r="B57" s="880"/>
      <c r="C57" s="861"/>
      <c r="D57" s="861"/>
      <c r="E57" s="34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  <c r="Z57" s="393"/>
      <c r="AA57" s="859"/>
      <c r="AB57" s="393"/>
      <c r="AC57" s="393"/>
      <c r="AD57" s="469"/>
    </row>
    <row r="58" spans="1:30" s="346" customFormat="1" ht="13.2" customHeight="1" thickBot="1">
      <c r="A58" s="879"/>
      <c r="B58" s="881"/>
      <c r="C58" s="877"/>
      <c r="D58" s="877"/>
      <c r="E58" s="470"/>
      <c r="F58" s="384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6" t="s">
        <v>148</v>
      </c>
      <c r="Z58" s="387">
        <f>SUM(Z53:Z57)</f>
        <v>376145.98000000004</v>
      </c>
      <c r="AA58" s="388"/>
      <c r="AB58" s="387">
        <f>SUM(AB53:AB57)</f>
        <v>376145.98000000004</v>
      </c>
      <c r="AC58" s="387">
        <f>SUM(AC53:AC57)</f>
        <v>298684.88</v>
      </c>
      <c r="AD58" s="389">
        <f>SUM(AD53:AD57)</f>
        <v>77461.099999999991</v>
      </c>
    </row>
    <row r="59" spans="1:30" s="346" customFormat="1" ht="13.2" customHeight="1">
      <c r="A59" s="862">
        <v>5</v>
      </c>
      <c r="B59" s="865" t="s">
        <v>154</v>
      </c>
      <c r="C59" s="868" t="s">
        <v>72</v>
      </c>
      <c r="D59" s="871">
        <v>234737.15</v>
      </c>
      <c r="E59" s="471"/>
      <c r="F59" s="472"/>
      <c r="G59" s="473"/>
      <c r="H59" s="473"/>
      <c r="I59" s="473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3"/>
      <c r="U59" s="473"/>
      <c r="V59" s="473"/>
      <c r="W59" s="473"/>
      <c r="X59" s="473"/>
      <c r="Y59" s="474"/>
      <c r="Z59" s="475"/>
      <c r="AA59" s="476"/>
      <c r="AB59" s="475"/>
      <c r="AC59" s="475"/>
      <c r="AD59" s="477"/>
    </row>
    <row r="60" spans="1:30" s="346" customFormat="1" ht="13.2" customHeight="1">
      <c r="A60" s="878"/>
      <c r="B60" s="880"/>
      <c r="C60" s="861"/>
      <c r="D60" s="861"/>
      <c r="E60" s="382"/>
      <c r="F60" s="397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9"/>
      <c r="Z60" s="400"/>
      <c r="AA60" s="401"/>
      <c r="AB60" s="400"/>
      <c r="AC60" s="400"/>
      <c r="AD60" s="478"/>
    </row>
    <row r="61" spans="1:30" s="346" customFormat="1" ht="13.2" customHeight="1">
      <c r="A61" s="878"/>
      <c r="B61" s="880"/>
      <c r="C61" s="861"/>
      <c r="D61" s="861"/>
      <c r="E61" s="382"/>
      <c r="F61" s="397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9"/>
      <c r="Z61" s="400"/>
      <c r="AA61" s="401"/>
      <c r="AB61" s="400"/>
      <c r="AC61" s="400"/>
      <c r="AD61" s="478"/>
    </row>
    <row r="62" spans="1:30" s="346" customFormat="1" ht="13.2" customHeight="1">
      <c r="A62" s="878"/>
      <c r="B62" s="880"/>
      <c r="C62" s="861"/>
      <c r="D62" s="861"/>
      <c r="E62" s="382"/>
      <c r="F62" s="397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9"/>
      <c r="Z62" s="400"/>
      <c r="AA62" s="401"/>
      <c r="AB62" s="400"/>
      <c r="AC62" s="400"/>
      <c r="AD62" s="478"/>
    </row>
    <row r="63" spans="1:30" s="346" customFormat="1" ht="13.2" customHeight="1">
      <c r="A63" s="878"/>
      <c r="B63" s="880"/>
      <c r="C63" s="861"/>
      <c r="D63" s="861"/>
      <c r="E63" s="382"/>
      <c r="F63" s="397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9"/>
      <c r="Z63" s="400"/>
      <c r="AA63" s="401"/>
      <c r="AB63" s="400"/>
      <c r="AC63" s="400"/>
      <c r="AD63" s="478"/>
    </row>
    <row r="64" spans="1:30" s="346" customFormat="1" ht="13.2" customHeight="1" thickBot="1">
      <c r="A64" s="879"/>
      <c r="B64" s="881"/>
      <c r="C64" s="877"/>
      <c r="D64" s="877"/>
      <c r="E64" s="470"/>
      <c r="F64" s="479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32"/>
      <c r="Z64" s="429"/>
      <c r="AA64" s="480"/>
      <c r="AB64" s="429"/>
      <c r="AC64" s="429"/>
      <c r="AD64" s="481"/>
    </row>
    <row r="65" spans="1:32" s="347" customFormat="1" ht="17.399999999999999" customHeight="1" thickBot="1">
      <c r="A65" s="402"/>
      <c r="B65" s="403" t="s">
        <v>47</v>
      </c>
      <c r="C65" s="404"/>
      <c r="D65" s="405" t="e">
        <f>SUM(D8:D64)</f>
        <v>#REF!</v>
      </c>
      <c r="E65" s="406"/>
      <c r="F65" s="407"/>
      <c r="G65" s="407">
        <f>SUM(G8:G64)</f>
        <v>481988.70999999996</v>
      </c>
      <c r="H65" s="407"/>
      <c r="I65" s="407">
        <f>SUM(I8:I64)</f>
        <v>1542755.92</v>
      </c>
      <c r="J65" s="407"/>
      <c r="K65" s="407">
        <f>SUM(K8:K64)</f>
        <v>2884086.1499999994</v>
      </c>
      <c r="L65" s="407"/>
      <c r="M65" s="407">
        <f>SUM(M8:M64)</f>
        <v>2436414.64</v>
      </c>
      <c r="N65" s="407"/>
      <c r="O65" s="407">
        <f>SUM(O8:O64)</f>
        <v>1007387.4</v>
      </c>
      <c r="P65" s="407"/>
      <c r="Q65" s="407">
        <f>SUM(Q8:Q64)</f>
        <v>2639914.88</v>
      </c>
      <c r="R65" s="407"/>
      <c r="S65" s="407">
        <f>SUM(S8:S64)</f>
        <v>1112793.8799999999</v>
      </c>
      <c r="T65" s="407"/>
      <c r="U65" s="407">
        <f>SUM(U8:U64)</f>
        <v>0</v>
      </c>
      <c r="V65" s="407"/>
      <c r="W65" s="407">
        <f t="shared" ref="W65" si="3">SUM(W8:W64)</f>
        <v>0</v>
      </c>
      <c r="X65" s="407"/>
      <c r="Y65" s="407"/>
      <c r="Z65" s="407">
        <f>Z23+Z27+Z45+Z52+Z58+Z25</f>
        <v>12313690.039999999</v>
      </c>
      <c r="AA65" s="448">
        <f>SUM(AA8:AA58)</f>
        <v>12313690.039999999</v>
      </c>
      <c r="AB65" s="449">
        <f>AB23+AB27+AB45+AB52+AB58+AB25</f>
        <v>12313690.039999999</v>
      </c>
      <c r="AC65" s="449">
        <f>AC23+AC27+AC45+AC52+AC58+AC25</f>
        <v>9892072.1060000025</v>
      </c>
      <c r="AD65" s="450">
        <f>AD23+AD27+AD45+AD52+AD58+AD25</f>
        <v>2223990.8440000005</v>
      </c>
    </row>
    <row r="66" spans="1:32" s="347" customFormat="1" ht="22.2" customHeight="1">
      <c r="C66" s="377"/>
      <c r="D66" s="378"/>
      <c r="E66" s="379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1"/>
      <c r="Z66" s="380"/>
      <c r="AA66" s="381"/>
      <c r="AB66" s="380"/>
      <c r="AC66" s="380"/>
      <c r="AD66" s="380"/>
      <c r="AF66" s="532" t="e">
        <f>D30-AA30</f>
        <v>#REF!</v>
      </c>
    </row>
    <row r="67" spans="1:32" s="347" customFormat="1" ht="21.75" customHeight="1">
      <c r="A67" s="332"/>
      <c r="B67" s="348"/>
      <c r="C67" s="349"/>
      <c r="D67" s="350"/>
      <c r="E67" s="348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49"/>
      <c r="Z67" s="349"/>
      <c r="AA67" s="349"/>
    </row>
    <row r="68" spans="1:32" s="347" customFormat="1" ht="17.25" customHeight="1">
      <c r="A68" s="332"/>
      <c r="B68" s="352" t="s">
        <v>147</v>
      </c>
      <c r="C68" s="349"/>
      <c r="D68" s="350"/>
      <c r="E68" s="348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49"/>
      <c r="Z68" s="349"/>
      <c r="AB68" s="353"/>
    </row>
    <row r="69" spans="1:32" s="354" customFormat="1">
      <c r="C69" s="355"/>
      <c r="D69" s="356"/>
      <c r="E69" s="334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8"/>
      <c r="Z69" s="358"/>
      <c r="AA69" s="359"/>
    </row>
    <row r="70" spans="1:32" s="354" customFormat="1">
      <c r="C70" s="355"/>
      <c r="D70" s="356"/>
      <c r="E70" s="334"/>
      <c r="F70" s="357"/>
      <c r="G70" s="357"/>
      <c r="H70" s="357"/>
      <c r="I70" s="357"/>
      <c r="J70" s="357"/>
      <c r="K70" s="357"/>
      <c r="L70" s="357"/>
      <c r="M70" s="357"/>
      <c r="N70" s="357"/>
      <c r="O70" s="357"/>
      <c r="P70" s="357"/>
      <c r="Q70" s="357"/>
      <c r="R70" s="357"/>
      <c r="S70" s="357"/>
      <c r="T70" s="357"/>
      <c r="U70" s="357"/>
      <c r="V70" s="357"/>
      <c r="W70" s="357"/>
      <c r="X70" s="357"/>
      <c r="Y70" s="358"/>
      <c r="Z70" s="358"/>
      <c r="AA70" s="358"/>
      <c r="AB70" s="360"/>
    </row>
    <row r="71" spans="1:32">
      <c r="C71" s="361"/>
      <c r="D71" s="362"/>
      <c r="F71" s="357"/>
      <c r="G71" s="357"/>
      <c r="H71" s="357"/>
      <c r="I71" s="357"/>
      <c r="J71" s="357"/>
      <c r="K71" s="357"/>
      <c r="L71" s="357"/>
      <c r="M71" s="357"/>
      <c r="N71" s="357"/>
      <c r="O71" s="357"/>
      <c r="P71" s="357"/>
      <c r="Q71" s="357"/>
      <c r="R71" s="357"/>
      <c r="S71" s="357"/>
      <c r="T71" s="357"/>
      <c r="U71" s="357"/>
      <c r="V71" s="357"/>
      <c r="W71" s="357"/>
      <c r="X71" s="357"/>
      <c r="Y71" s="363"/>
      <c r="Z71" s="363"/>
      <c r="AA71" s="363"/>
    </row>
    <row r="72" spans="1:32">
      <c r="B72" s="331" t="s">
        <v>7</v>
      </c>
      <c r="C72" s="361"/>
      <c r="D72" s="362"/>
      <c r="F72" s="357"/>
      <c r="G72" s="357"/>
      <c r="H72" s="357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8"/>
      <c r="Z72" s="358"/>
      <c r="AA72" s="358"/>
    </row>
    <row r="73" spans="1:32">
      <c r="C73" s="361"/>
      <c r="D73" s="362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7"/>
      <c r="Q73" s="357"/>
      <c r="R73" s="357"/>
      <c r="S73" s="357"/>
      <c r="T73" s="357"/>
      <c r="U73" s="357"/>
      <c r="V73" s="357"/>
      <c r="W73" s="357"/>
      <c r="X73" s="357"/>
      <c r="Y73" s="363"/>
      <c r="Z73" s="363"/>
      <c r="AA73" s="363"/>
    </row>
    <row r="74" spans="1:32">
      <c r="C74" s="361"/>
      <c r="D74" s="362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41"/>
      <c r="Z74" s="341"/>
      <c r="AA74" s="341"/>
    </row>
    <row r="75" spans="1:32">
      <c r="C75" s="361"/>
      <c r="D75" s="362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41"/>
      <c r="Z75" s="341"/>
      <c r="AA75" s="341"/>
    </row>
    <row r="76" spans="1:32">
      <c r="C76" s="361"/>
      <c r="D76" s="362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41"/>
      <c r="Z76" s="341"/>
      <c r="AA76" s="341"/>
    </row>
    <row r="77" spans="1:32">
      <c r="C77" s="361"/>
      <c r="D77" s="362"/>
      <c r="F77" s="357"/>
      <c r="G77" s="357"/>
      <c r="H77" s="357"/>
      <c r="I77" s="357"/>
      <c r="J77" s="357"/>
      <c r="K77" s="357"/>
      <c r="L77" s="357"/>
      <c r="M77" s="357"/>
      <c r="N77" s="357"/>
      <c r="O77" s="357"/>
      <c r="P77" s="357"/>
      <c r="Q77" s="357"/>
      <c r="R77" s="357"/>
      <c r="S77" s="357"/>
      <c r="T77" s="357"/>
      <c r="U77" s="357"/>
      <c r="V77" s="357"/>
      <c r="W77" s="357"/>
      <c r="X77" s="357"/>
      <c r="Y77" s="341"/>
      <c r="Z77" s="341"/>
      <c r="AA77" s="341"/>
    </row>
    <row r="78" spans="1:32">
      <c r="C78" s="361"/>
      <c r="D78" s="362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  <c r="Y78" s="341"/>
      <c r="Z78" s="341"/>
      <c r="AA78" s="341"/>
    </row>
    <row r="79" spans="1:32">
      <c r="C79" s="361"/>
      <c r="D79" s="362"/>
      <c r="F79" s="357"/>
      <c r="G79" s="357"/>
      <c r="H79" s="357"/>
      <c r="I79" s="357"/>
      <c r="J79" s="357"/>
      <c r="K79" s="357"/>
      <c r="L79" s="357"/>
      <c r="M79" s="357"/>
      <c r="N79" s="357"/>
      <c r="O79" s="357"/>
      <c r="P79" s="357"/>
      <c r="Q79" s="357"/>
      <c r="R79" s="357"/>
      <c r="S79" s="357"/>
      <c r="T79" s="357"/>
      <c r="U79" s="357"/>
      <c r="V79" s="357"/>
      <c r="W79" s="357"/>
      <c r="X79" s="357"/>
      <c r="Y79" s="341"/>
      <c r="Z79" s="341"/>
      <c r="AA79" s="341"/>
    </row>
    <row r="80" spans="1:32">
      <c r="C80" s="361"/>
      <c r="D80" s="362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41"/>
      <c r="Z80" s="341"/>
      <c r="AA80" s="341"/>
    </row>
    <row r="81" spans="3:27">
      <c r="C81" s="361"/>
      <c r="D81" s="362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41"/>
      <c r="Z81" s="341"/>
      <c r="AA81" s="341"/>
    </row>
    <row r="82" spans="3:27">
      <c r="C82" s="361"/>
      <c r="D82" s="362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41"/>
      <c r="Z82" s="341"/>
      <c r="AA82" s="341"/>
    </row>
    <row r="83" spans="3:27">
      <c r="C83" s="361"/>
      <c r="D83" s="362"/>
      <c r="F83" s="357"/>
      <c r="G83" s="357"/>
      <c r="H83" s="357"/>
      <c r="I83" s="357"/>
      <c r="J83" s="357"/>
      <c r="K83" s="357"/>
      <c r="L83" s="357"/>
      <c r="M83" s="357"/>
      <c r="N83" s="357"/>
      <c r="O83" s="357"/>
      <c r="P83" s="357"/>
      <c r="Q83" s="357"/>
      <c r="R83" s="357"/>
      <c r="S83" s="357"/>
      <c r="T83" s="357"/>
      <c r="U83" s="357"/>
      <c r="V83" s="357"/>
      <c r="W83" s="357"/>
      <c r="X83" s="357"/>
      <c r="Y83" s="341"/>
      <c r="Z83" s="341"/>
      <c r="AA83" s="341"/>
    </row>
    <row r="84" spans="3:27">
      <c r="C84" s="361"/>
      <c r="D84" s="362"/>
      <c r="F84" s="357"/>
      <c r="G84" s="357"/>
      <c r="H84" s="357"/>
      <c r="I84" s="357"/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41"/>
      <c r="Z84" s="341"/>
      <c r="AA84" s="341"/>
    </row>
    <row r="85" spans="3:27">
      <c r="C85" s="361"/>
      <c r="D85" s="362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41"/>
      <c r="Z85" s="341"/>
      <c r="AA85" s="341"/>
    </row>
    <row r="86" spans="3:27">
      <c r="C86" s="361"/>
      <c r="D86" s="362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41"/>
      <c r="Z86" s="341"/>
      <c r="AA86" s="341"/>
    </row>
    <row r="87" spans="3:27">
      <c r="C87" s="361"/>
      <c r="D87" s="362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41"/>
      <c r="Z87" s="341"/>
      <c r="AA87" s="341"/>
    </row>
    <row r="88" spans="3:27">
      <c r="C88" s="361"/>
      <c r="D88" s="362"/>
      <c r="F88" s="357"/>
      <c r="G88" s="357"/>
      <c r="H88" s="357"/>
      <c r="I88" s="357"/>
      <c r="J88" s="357"/>
      <c r="K88" s="357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41"/>
      <c r="Z88" s="341"/>
      <c r="AA88" s="341"/>
    </row>
    <row r="89" spans="3:27">
      <c r="C89" s="361"/>
      <c r="D89" s="362"/>
      <c r="F89" s="357"/>
      <c r="G89" s="357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41"/>
      <c r="Z89" s="341"/>
      <c r="AA89" s="341"/>
    </row>
    <row r="90" spans="3:27">
      <c r="C90" s="361"/>
      <c r="D90" s="362"/>
      <c r="F90" s="357"/>
      <c r="G90" s="357"/>
      <c r="H90" s="357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41"/>
      <c r="Z90" s="341"/>
      <c r="AA90" s="341"/>
    </row>
    <row r="91" spans="3:27">
      <c r="C91" s="361"/>
      <c r="D91" s="362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41"/>
      <c r="Z91" s="341"/>
      <c r="AA91" s="341"/>
    </row>
    <row r="92" spans="3:27">
      <c r="C92" s="361"/>
      <c r="D92" s="362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41"/>
      <c r="Z92" s="341"/>
      <c r="AA92" s="341"/>
    </row>
    <row r="93" spans="3:27">
      <c r="C93" s="361"/>
      <c r="D93" s="362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41"/>
      <c r="Z93" s="341"/>
      <c r="AA93" s="341"/>
    </row>
    <row r="94" spans="3:27">
      <c r="C94" s="361"/>
      <c r="D94" s="362"/>
      <c r="F94" s="357"/>
      <c r="G94" s="357"/>
      <c r="H94" s="357"/>
      <c r="I94" s="357"/>
      <c r="J94" s="357"/>
      <c r="K94" s="357"/>
      <c r="L94" s="357"/>
      <c r="M94" s="357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  <c r="Y94" s="341"/>
      <c r="Z94" s="341"/>
      <c r="AA94" s="341"/>
    </row>
    <row r="95" spans="3:27">
      <c r="C95" s="361"/>
      <c r="D95" s="362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7"/>
      <c r="Q95" s="357"/>
      <c r="R95" s="357"/>
      <c r="S95" s="357"/>
      <c r="T95" s="357"/>
      <c r="U95" s="357"/>
      <c r="V95" s="357"/>
      <c r="W95" s="357"/>
      <c r="X95" s="357"/>
      <c r="Y95" s="341"/>
      <c r="Z95" s="341"/>
      <c r="AA95" s="341"/>
    </row>
    <row r="96" spans="3:27">
      <c r="C96" s="361"/>
      <c r="D96" s="362"/>
      <c r="F96" s="357"/>
      <c r="G96" s="357"/>
      <c r="H96" s="357"/>
      <c r="I96" s="357"/>
      <c r="J96" s="357"/>
      <c r="K96" s="357"/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  <c r="Y96" s="341"/>
      <c r="Z96" s="341"/>
      <c r="AA96" s="341"/>
    </row>
    <row r="97" spans="3:27">
      <c r="C97" s="361"/>
      <c r="D97" s="362"/>
      <c r="F97" s="357"/>
      <c r="G97" s="357"/>
      <c r="H97" s="357"/>
      <c r="I97" s="357"/>
      <c r="J97" s="357"/>
      <c r="K97" s="357"/>
      <c r="L97" s="357"/>
      <c r="M97" s="357"/>
      <c r="N97" s="357"/>
      <c r="O97" s="357"/>
      <c r="P97" s="357"/>
      <c r="Q97" s="357"/>
      <c r="R97" s="357"/>
      <c r="S97" s="357"/>
      <c r="T97" s="357"/>
      <c r="U97" s="357"/>
      <c r="V97" s="357"/>
      <c r="W97" s="357"/>
      <c r="X97" s="357"/>
      <c r="Y97" s="341"/>
      <c r="Z97" s="341"/>
      <c r="AA97" s="341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48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/>
  <cols>
    <col min="1" max="1" width="5.6640625" style="331" customWidth="1"/>
    <col min="2" max="2" width="35.6640625" style="331" customWidth="1"/>
    <col min="3" max="3" width="5.6640625" style="330" customWidth="1"/>
    <col min="4" max="4" width="10.44140625" style="330" customWidth="1"/>
    <col min="5" max="5" width="13.5546875" style="330" customWidth="1"/>
    <col min="6" max="6" width="9.109375" style="331"/>
    <col min="7" max="7" width="13.33203125" style="331" bestFit="1" customWidth="1"/>
    <col min="8" max="16384" width="9.109375" style="331"/>
  </cols>
  <sheetData>
    <row r="1" spans="1:5" ht="16.95" customHeight="1">
      <c r="C1" s="332"/>
      <c r="D1" s="331"/>
      <c r="E1" s="331"/>
    </row>
    <row r="2" spans="1:5" ht="15" customHeight="1">
      <c r="A2" s="932" t="s">
        <v>181</v>
      </c>
      <c r="B2" s="932"/>
      <c r="C2" s="932"/>
      <c r="D2" s="933"/>
      <c r="E2" s="933"/>
    </row>
    <row r="3" spans="1:5" ht="15" customHeight="1">
      <c r="A3" s="332"/>
      <c r="B3" s="332"/>
      <c r="C3" s="332"/>
      <c r="D3" s="912" t="s">
        <v>182</v>
      </c>
      <c r="E3" s="912"/>
    </row>
    <row r="4" spans="1:5" ht="27.75" customHeight="1">
      <c r="A4" s="544" t="s">
        <v>179</v>
      </c>
      <c r="B4" s="545" t="s">
        <v>180</v>
      </c>
      <c r="C4" s="337" t="s">
        <v>128</v>
      </c>
      <c r="D4" s="546" t="s">
        <v>183</v>
      </c>
      <c r="E4" s="543" t="s">
        <v>184</v>
      </c>
    </row>
    <row r="5" spans="1:5" s="346" customFormat="1" ht="12" customHeight="1">
      <c r="A5" s="903">
        <v>1</v>
      </c>
      <c r="B5" s="906" t="s">
        <v>173</v>
      </c>
      <c r="C5" s="345" t="s">
        <v>53</v>
      </c>
      <c r="D5" s="345">
        <v>7494.3</v>
      </c>
      <c r="E5" s="345">
        <f>D5*1.2</f>
        <v>8993.16</v>
      </c>
    </row>
    <row r="6" spans="1:5" s="346" customFormat="1" ht="12" customHeight="1">
      <c r="A6" s="903"/>
      <c r="B6" s="906"/>
      <c r="C6" s="345" t="s">
        <v>69</v>
      </c>
      <c r="D6" s="345">
        <v>23.05</v>
      </c>
      <c r="E6" s="345">
        <f t="shared" ref="E6:E19" si="0">D6*1.2</f>
        <v>27.66</v>
      </c>
    </row>
    <row r="7" spans="1:5" s="346" customFormat="1" ht="12" customHeight="1">
      <c r="A7" s="903"/>
      <c r="B7" s="906"/>
      <c r="C7" s="345" t="s">
        <v>70</v>
      </c>
      <c r="D7" s="345">
        <v>7768.48</v>
      </c>
      <c r="E7" s="345">
        <f t="shared" si="0"/>
        <v>9322.1759999999995</v>
      </c>
    </row>
    <row r="8" spans="1:5" s="346" customFormat="1" ht="12" customHeight="1">
      <c r="A8" s="903"/>
      <c r="B8" s="906"/>
      <c r="C8" s="345" t="s">
        <v>71</v>
      </c>
      <c r="D8" s="345">
        <v>9249.06</v>
      </c>
      <c r="E8" s="345">
        <f t="shared" si="0"/>
        <v>11098.871999999999</v>
      </c>
    </row>
    <row r="9" spans="1:5" s="346" customFormat="1" ht="12" customHeight="1">
      <c r="A9" s="903"/>
      <c r="B9" s="906"/>
      <c r="C9" s="345" t="s">
        <v>72</v>
      </c>
      <c r="D9" s="345">
        <v>2284.84</v>
      </c>
      <c r="E9" s="345">
        <f t="shared" si="0"/>
        <v>2741.808</v>
      </c>
    </row>
    <row r="10" spans="1:5" s="346" customFormat="1" ht="12" customHeight="1">
      <c r="A10" s="903"/>
      <c r="B10" s="906"/>
      <c r="C10" s="345" t="s">
        <v>73</v>
      </c>
      <c r="D10" s="345">
        <v>48021.11</v>
      </c>
      <c r="E10" s="345">
        <f t="shared" si="0"/>
        <v>57625.332000000002</v>
      </c>
    </row>
    <row r="11" spans="1:5" s="346" customFormat="1" ht="12" customHeight="1">
      <c r="A11" s="903"/>
      <c r="B11" s="906"/>
      <c r="C11" s="345" t="s">
        <v>74</v>
      </c>
      <c r="D11" s="345">
        <v>9413.57</v>
      </c>
      <c r="E11" s="345">
        <f t="shared" si="0"/>
        <v>11296.284</v>
      </c>
    </row>
    <row r="12" spans="1:5" s="346" customFormat="1" ht="12" customHeight="1">
      <c r="A12" s="903"/>
      <c r="B12" s="906"/>
      <c r="C12" s="345" t="s">
        <v>77</v>
      </c>
      <c r="D12" s="345">
        <v>7886.82</v>
      </c>
      <c r="E12" s="345">
        <f t="shared" si="0"/>
        <v>9464.1839999999993</v>
      </c>
    </row>
    <row r="13" spans="1:5" s="346" customFormat="1" ht="12" customHeight="1">
      <c r="A13" s="903"/>
      <c r="B13" s="906"/>
      <c r="C13" s="345" t="s">
        <v>78</v>
      </c>
      <c r="D13" s="345">
        <v>6086.26</v>
      </c>
      <c r="E13" s="345">
        <f t="shared" si="0"/>
        <v>7303.5119999999997</v>
      </c>
    </row>
    <row r="14" spans="1:5" s="346" customFormat="1" ht="12" customHeight="1">
      <c r="A14" s="903"/>
      <c r="B14" s="906"/>
      <c r="C14" s="345" t="s">
        <v>76</v>
      </c>
      <c r="D14" s="345">
        <v>16396.86</v>
      </c>
      <c r="E14" s="345">
        <f t="shared" si="0"/>
        <v>19676.232</v>
      </c>
    </row>
    <row r="15" spans="1:5" s="346" customFormat="1" ht="12" customHeight="1">
      <c r="A15" s="903"/>
      <c r="B15" s="906"/>
      <c r="C15" s="345" t="s">
        <v>79</v>
      </c>
      <c r="D15" s="345">
        <v>2576.71</v>
      </c>
      <c r="E15" s="345">
        <f t="shared" si="0"/>
        <v>3092.0520000000001</v>
      </c>
    </row>
    <row r="16" spans="1:5" s="346" customFormat="1" ht="12" customHeight="1">
      <c r="A16" s="903"/>
      <c r="B16" s="906"/>
      <c r="C16" s="345" t="s">
        <v>75</v>
      </c>
      <c r="D16" s="345">
        <v>3762.57</v>
      </c>
      <c r="E16" s="345">
        <f t="shared" si="0"/>
        <v>4515.0839999999998</v>
      </c>
    </row>
    <row r="17" spans="1:5" s="346" customFormat="1" ht="12" customHeight="1">
      <c r="A17" s="903"/>
      <c r="B17" s="906"/>
      <c r="C17" s="345" t="s">
        <v>80</v>
      </c>
      <c r="D17" s="345">
        <v>3572.55</v>
      </c>
      <c r="E17" s="345">
        <f t="shared" si="0"/>
        <v>4287.0600000000004</v>
      </c>
    </row>
    <row r="18" spans="1:5" s="346" customFormat="1" ht="12" customHeight="1">
      <c r="A18" s="903"/>
      <c r="B18" s="906"/>
      <c r="C18" s="345" t="s">
        <v>81</v>
      </c>
      <c r="D18" s="345">
        <v>14925.31</v>
      </c>
      <c r="E18" s="345">
        <f t="shared" si="0"/>
        <v>17910.371999999999</v>
      </c>
    </row>
    <row r="19" spans="1:5" s="346" customFormat="1" ht="12" customHeight="1" thickBot="1">
      <c r="A19" s="903"/>
      <c r="B19" s="906"/>
      <c r="C19" s="539" t="s">
        <v>158</v>
      </c>
      <c r="D19" s="539">
        <v>373089.66</v>
      </c>
      <c r="E19" s="539">
        <f t="shared" si="0"/>
        <v>447707.59199999995</v>
      </c>
    </row>
    <row r="20" spans="1:5" s="346" customFormat="1" ht="12" customHeight="1" thickBot="1">
      <c r="A20" s="553"/>
      <c r="B20" s="548"/>
      <c r="C20" s="554" t="s">
        <v>148</v>
      </c>
      <c r="D20" s="554"/>
      <c r="E20" s="555">
        <f>SUM(E5:E19)</f>
        <v>615061.37999999989</v>
      </c>
    </row>
    <row r="21" spans="1:5" s="346" customFormat="1" ht="36" customHeight="1" thickBot="1">
      <c r="A21" s="550">
        <v>2</v>
      </c>
      <c r="B21" s="551" t="s">
        <v>174</v>
      </c>
      <c r="C21" s="385" t="s">
        <v>53</v>
      </c>
      <c r="D21" s="540">
        <v>24999.960000000003</v>
      </c>
      <c r="E21" s="540">
        <f>D21*1.2</f>
        <v>29999.952000000001</v>
      </c>
    </row>
    <row r="22" spans="1:5" s="346" customFormat="1" ht="40.200000000000003" customHeight="1" thickBot="1">
      <c r="A22" s="547">
        <v>3</v>
      </c>
      <c r="B22" s="548" t="s">
        <v>175</v>
      </c>
      <c r="C22" s="549" t="s">
        <v>53</v>
      </c>
      <c r="D22" s="549">
        <v>21038.02</v>
      </c>
      <c r="E22" s="549">
        <f>D22*1.2</f>
        <v>25245.624</v>
      </c>
    </row>
    <row r="23" spans="1:5" s="346" customFormat="1" ht="16.2" customHeight="1">
      <c r="A23" s="863">
        <f>A5+1</f>
        <v>2</v>
      </c>
      <c r="B23" s="866" t="s">
        <v>177</v>
      </c>
      <c r="C23" s="502" t="s">
        <v>53</v>
      </c>
      <c r="D23" s="540">
        <v>55874.91</v>
      </c>
      <c r="E23" s="540">
        <f t="shared" ref="E23:E50" si="1">D23*1.2</f>
        <v>67049.892000000007</v>
      </c>
    </row>
    <row r="24" spans="1:5" s="346" customFormat="1" ht="12" customHeight="1">
      <c r="A24" s="863"/>
      <c r="B24" s="866"/>
      <c r="C24" s="374" t="s">
        <v>69</v>
      </c>
      <c r="D24" s="540">
        <v>37726.97</v>
      </c>
      <c r="E24" s="373">
        <f t="shared" si="1"/>
        <v>45272.364000000001</v>
      </c>
    </row>
    <row r="25" spans="1:5" s="346" customFormat="1" ht="16.2" customHeight="1">
      <c r="A25" s="863"/>
      <c r="B25" s="866"/>
      <c r="C25" s="371" t="s">
        <v>70</v>
      </c>
      <c r="D25" s="540">
        <v>95182.55</v>
      </c>
      <c r="E25" s="373">
        <f t="shared" si="1"/>
        <v>114219.06</v>
      </c>
    </row>
    <row r="26" spans="1:5" s="346" customFormat="1" ht="13.95" customHeight="1">
      <c r="A26" s="863"/>
      <c r="B26" s="866"/>
      <c r="C26" s="371" t="s">
        <v>71</v>
      </c>
      <c r="D26" s="540">
        <v>60736.1</v>
      </c>
      <c r="E26" s="373">
        <f t="shared" si="1"/>
        <v>72883.319999999992</v>
      </c>
    </row>
    <row r="27" spans="1:5" s="346" customFormat="1" ht="16.95" customHeight="1">
      <c r="A27" s="863"/>
      <c r="B27" s="866"/>
      <c r="C27" s="371" t="s">
        <v>72</v>
      </c>
      <c r="D27" s="540">
        <v>21242.81</v>
      </c>
      <c r="E27" s="373">
        <f t="shared" si="1"/>
        <v>25491.371999999999</v>
      </c>
    </row>
    <row r="28" spans="1:5" s="346" customFormat="1" ht="12" customHeight="1">
      <c r="A28" s="863"/>
      <c r="B28" s="866"/>
      <c r="C28" s="371" t="s">
        <v>73</v>
      </c>
      <c r="D28" s="540">
        <v>1253.78</v>
      </c>
      <c r="E28" s="373">
        <f t="shared" si="1"/>
        <v>1504.5359999999998</v>
      </c>
    </row>
    <row r="29" spans="1:5" s="346" customFormat="1" ht="12" customHeight="1">
      <c r="A29" s="863"/>
      <c r="B29" s="866"/>
      <c r="C29" s="371" t="s">
        <v>74</v>
      </c>
      <c r="D29" s="540">
        <v>45770.58</v>
      </c>
      <c r="E29" s="373">
        <f t="shared" si="1"/>
        <v>54924.696000000004</v>
      </c>
    </row>
    <row r="30" spans="1:5" s="346" customFormat="1" ht="12" customHeight="1">
      <c r="A30" s="863"/>
      <c r="B30" s="866"/>
      <c r="C30" s="371" t="s">
        <v>77</v>
      </c>
      <c r="D30" s="540">
        <v>3287.79</v>
      </c>
      <c r="E30" s="373">
        <f t="shared" si="1"/>
        <v>3945.348</v>
      </c>
    </row>
    <row r="31" spans="1:5" s="346" customFormat="1" ht="12" customHeight="1">
      <c r="A31" s="863"/>
      <c r="B31" s="866"/>
      <c r="C31" s="371" t="s">
        <v>78</v>
      </c>
      <c r="D31" s="540">
        <v>104828.68</v>
      </c>
      <c r="E31" s="373">
        <f t="shared" si="1"/>
        <v>125794.41599999998</v>
      </c>
    </row>
    <row r="32" spans="1:5" s="346" customFormat="1" ht="12" customHeight="1">
      <c r="A32" s="863"/>
      <c r="B32" s="866"/>
      <c r="C32" s="392" t="s">
        <v>76</v>
      </c>
      <c r="D32" s="540">
        <v>38390.54</v>
      </c>
      <c r="E32" s="373">
        <f t="shared" si="1"/>
        <v>46068.648000000001</v>
      </c>
    </row>
    <row r="33" spans="1:5" s="346" customFormat="1" ht="12" customHeight="1">
      <c r="A33" s="863"/>
      <c r="B33" s="866"/>
      <c r="C33" s="392" t="s">
        <v>79</v>
      </c>
      <c r="D33" s="540">
        <v>33164.519999999997</v>
      </c>
      <c r="E33" s="373">
        <f t="shared" si="1"/>
        <v>39797.423999999992</v>
      </c>
    </row>
    <row r="34" spans="1:5" s="346" customFormat="1" ht="12" customHeight="1">
      <c r="A34" s="863"/>
      <c r="B34" s="866"/>
      <c r="C34" s="393" t="s">
        <v>75</v>
      </c>
      <c r="D34" s="540">
        <v>171056.73</v>
      </c>
      <c r="E34" s="373">
        <f t="shared" si="1"/>
        <v>205268.076</v>
      </c>
    </row>
    <row r="35" spans="1:5" s="346" customFormat="1" ht="12" customHeight="1">
      <c r="A35" s="863"/>
      <c r="B35" s="866"/>
      <c r="C35" s="531" t="s">
        <v>80</v>
      </c>
      <c r="D35" s="540">
        <v>59510.96</v>
      </c>
      <c r="E35" s="373">
        <f t="shared" si="1"/>
        <v>71413.152000000002</v>
      </c>
    </row>
    <row r="36" spans="1:5" s="346" customFormat="1" ht="12" customHeight="1">
      <c r="A36" s="863"/>
      <c r="B36" s="866"/>
      <c r="C36" s="393" t="s">
        <v>167</v>
      </c>
      <c r="D36" s="540">
        <v>5935.61</v>
      </c>
      <c r="E36" s="373">
        <f t="shared" si="1"/>
        <v>7122.7319999999991</v>
      </c>
    </row>
    <row r="37" spans="1:5" s="346" customFormat="1" ht="12" customHeight="1">
      <c r="A37" s="863"/>
      <c r="B37" s="866"/>
      <c r="C37" s="531" t="s">
        <v>168</v>
      </c>
      <c r="D37" s="540">
        <v>17328.79</v>
      </c>
      <c r="E37" s="373">
        <f t="shared" si="1"/>
        <v>20794.547999999999</v>
      </c>
    </row>
    <row r="38" spans="1:5" s="346" customFormat="1" ht="12" customHeight="1">
      <c r="A38" s="863"/>
      <c r="B38" s="866"/>
      <c r="C38" s="531" t="s">
        <v>169</v>
      </c>
      <c r="D38" s="540">
        <v>29440.14</v>
      </c>
      <c r="E38" s="373">
        <f t="shared" si="1"/>
        <v>35328.167999999998</v>
      </c>
    </row>
    <row r="39" spans="1:5" s="346" customFormat="1" ht="12" customHeight="1">
      <c r="A39" s="863"/>
      <c r="B39" s="866"/>
      <c r="C39" s="531" t="s">
        <v>170</v>
      </c>
      <c r="D39" s="540">
        <v>84036.47</v>
      </c>
      <c r="E39" s="373">
        <f t="shared" si="1"/>
        <v>100843.764</v>
      </c>
    </row>
    <row r="40" spans="1:5" s="346" customFormat="1" ht="12" customHeight="1">
      <c r="A40" s="863"/>
      <c r="B40" s="866"/>
      <c r="C40" s="531" t="s">
        <v>171</v>
      </c>
      <c r="D40" s="540">
        <v>129009.85</v>
      </c>
      <c r="E40" s="373">
        <f t="shared" si="1"/>
        <v>154811.82</v>
      </c>
    </row>
    <row r="41" spans="1:5" s="346" customFormat="1" ht="12" customHeight="1" thickBot="1">
      <c r="A41" s="863"/>
      <c r="B41" s="866"/>
      <c r="C41" s="531" t="s">
        <v>172</v>
      </c>
      <c r="D41" s="531">
        <v>766.9</v>
      </c>
      <c r="E41" s="373">
        <f t="shared" si="1"/>
        <v>920.28</v>
      </c>
    </row>
    <row r="42" spans="1:5" s="346" customFormat="1" ht="12" customHeight="1" thickBot="1">
      <c r="A42" s="863"/>
      <c r="B42" s="866"/>
      <c r="C42" s="554" t="s">
        <v>148</v>
      </c>
      <c r="D42" s="554"/>
      <c r="E42" s="555">
        <f>SUM(E23:E41)</f>
        <v>1193453.6159999999</v>
      </c>
    </row>
    <row r="43" spans="1:5" s="346" customFormat="1" ht="12" customHeight="1">
      <c r="A43" s="862">
        <v>3</v>
      </c>
      <c r="B43" s="865" t="s">
        <v>176</v>
      </c>
      <c r="C43" s="464" t="s">
        <v>53</v>
      </c>
      <c r="D43" s="463">
        <v>4386.25</v>
      </c>
      <c r="E43" s="373">
        <f t="shared" si="1"/>
        <v>5263.5</v>
      </c>
    </row>
    <row r="44" spans="1:5" s="346" customFormat="1" ht="12" customHeight="1">
      <c r="A44" s="863"/>
      <c r="B44" s="866"/>
      <c r="C44" s="530" t="s">
        <v>69</v>
      </c>
      <c r="D44" s="530">
        <v>4018.36</v>
      </c>
      <c r="E44" s="373">
        <f t="shared" si="1"/>
        <v>4822.0320000000002</v>
      </c>
    </row>
    <row r="45" spans="1:5" s="346" customFormat="1" ht="12" customHeight="1">
      <c r="A45" s="863"/>
      <c r="B45" s="866"/>
      <c r="C45" s="530" t="s">
        <v>70</v>
      </c>
      <c r="D45" s="530">
        <v>3494.95</v>
      </c>
      <c r="E45" s="373">
        <f t="shared" si="1"/>
        <v>4193.9399999999996</v>
      </c>
    </row>
    <row r="46" spans="1:5" s="346" customFormat="1" ht="12" customHeight="1" thickBot="1">
      <c r="A46" s="863"/>
      <c r="B46" s="866"/>
      <c r="C46" s="530" t="s">
        <v>71</v>
      </c>
      <c r="D46" s="530">
        <v>3400.86</v>
      </c>
      <c r="E46" s="373">
        <f t="shared" si="1"/>
        <v>4081.0320000000002</v>
      </c>
    </row>
    <row r="47" spans="1:5" s="346" customFormat="1" ht="12.6" customHeight="1" thickBot="1">
      <c r="A47" s="864"/>
      <c r="B47" s="867"/>
      <c r="C47" s="554" t="s">
        <v>148</v>
      </c>
      <c r="D47" s="554"/>
      <c r="E47" s="555">
        <f>SUM(E43:E46)</f>
        <v>18360.503999999997</v>
      </c>
    </row>
    <row r="48" spans="1:5" s="346" customFormat="1" ht="12" customHeight="1">
      <c r="A48" s="862">
        <v>4</v>
      </c>
      <c r="B48" s="865" t="s">
        <v>178</v>
      </c>
      <c r="C48" s="433" t="s">
        <v>53</v>
      </c>
      <c r="D48" s="433">
        <v>38171.620000000003</v>
      </c>
      <c r="E48" s="373">
        <f t="shared" si="1"/>
        <v>45805.944000000003</v>
      </c>
    </row>
    <row r="49" spans="1:7" s="346" customFormat="1" ht="12" customHeight="1">
      <c r="A49" s="878"/>
      <c r="B49" s="880"/>
      <c r="C49" s="374" t="s">
        <v>69</v>
      </c>
      <c r="D49" s="373">
        <v>18702.27</v>
      </c>
      <c r="E49" s="373">
        <f t="shared" si="1"/>
        <v>22442.723999999998</v>
      </c>
    </row>
    <row r="50" spans="1:7" s="346" customFormat="1" ht="12" customHeight="1" thickBot="1">
      <c r="A50" s="878"/>
      <c r="B50" s="880"/>
      <c r="C50" s="371" t="s">
        <v>70</v>
      </c>
      <c r="D50" s="371">
        <v>7677.79</v>
      </c>
      <c r="E50" s="373">
        <f t="shared" si="1"/>
        <v>9213.348</v>
      </c>
    </row>
    <row r="51" spans="1:7" s="346" customFormat="1" ht="12" customHeight="1" thickBot="1">
      <c r="A51" s="878"/>
      <c r="B51" s="880"/>
      <c r="C51" s="554" t="s">
        <v>148</v>
      </c>
      <c r="D51" s="554"/>
      <c r="E51" s="555">
        <f>SUM(E48:E50)</f>
        <v>77462.016000000003</v>
      </c>
    </row>
    <row r="52" spans="1:7" s="347" customFormat="1" ht="17.399999999999999" customHeight="1" thickBot="1">
      <c r="A52" s="541"/>
      <c r="B52" s="542" t="s">
        <v>47</v>
      </c>
      <c r="C52" s="407"/>
      <c r="D52" s="407"/>
      <c r="E52" s="552">
        <f>E51+E47+E42+E22+E21+E20</f>
        <v>1959583.0919999999</v>
      </c>
    </row>
    <row r="53" spans="1:7" s="347" customFormat="1" ht="22.2" customHeight="1">
      <c r="C53" s="381"/>
      <c r="D53" s="381"/>
      <c r="E53" s="381"/>
      <c r="G53" s="532"/>
    </row>
    <row r="54" spans="1:7" s="347" customFormat="1" ht="21.75" customHeight="1">
      <c r="A54" s="332"/>
      <c r="B54" s="348"/>
      <c r="C54" s="349"/>
      <c r="D54" s="349"/>
      <c r="E54" s="349"/>
    </row>
    <row r="55" spans="1:7" s="347" customFormat="1" ht="17.25" customHeight="1">
      <c r="A55" s="332"/>
      <c r="B55" s="352" t="s">
        <v>147</v>
      </c>
      <c r="C55" s="349"/>
      <c r="D55" s="349"/>
      <c r="E55" s="349"/>
    </row>
    <row r="56" spans="1:7" s="354" customFormat="1">
      <c r="C56" s="358"/>
      <c r="D56" s="358"/>
      <c r="E56" s="358"/>
    </row>
    <row r="57" spans="1:7" s="354" customFormat="1">
      <c r="C57" s="358"/>
      <c r="D57" s="358"/>
      <c r="E57" s="358"/>
    </row>
    <row r="58" spans="1:7">
      <c r="C58" s="363"/>
      <c r="D58" s="363"/>
      <c r="E58" s="363"/>
    </row>
    <row r="59" spans="1:7">
      <c r="B59" s="331" t="s">
        <v>7</v>
      </c>
      <c r="C59" s="358"/>
      <c r="D59" s="358"/>
      <c r="E59" s="358"/>
    </row>
    <row r="60" spans="1:7">
      <c r="C60" s="363"/>
      <c r="D60" s="363"/>
      <c r="E60" s="363"/>
    </row>
    <row r="61" spans="1:7">
      <c r="C61" s="341"/>
      <c r="D61" s="341"/>
      <c r="E61" s="341"/>
    </row>
    <row r="62" spans="1:7">
      <c r="C62" s="341"/>
      <c r="D62" s="341"/>
      <c r="E62" s="341"/>
    </row>
    <row r="63" spans="1:7">
      <c r="C63" s="341"/>
      <c r="D63" s="341"/>
      <c r="E63" s="341"/>
    </row>
    <row r="64" spans="1:7">
      <c r="C64" s="341"/>
      <c r="D64" s="341"/>
      <c r="E64" s="341"/>
    </row>
    <row r="65" spans="3:5">
      <c r="C65" s="341"/>
      <c r="D65" s="341"/>
      <c r="E65" s="341"/>
    </row>
    <row r="66" spans="3:5">
      <c r="C66" s="341"/>
      <c r="D66" s="341"/>
      <c r="E66" s="341"/>
    </row>
    <row r="67" spans="3:5">
      <c r="C67" s="341"/>
      <c r="D67" s="341"/>
      <c r="E67" s="341"/>
    </row>
    <row r="68" spans="3:5">
      <c r="C68" s="341"/>
      <c r="D68" s="341"/>
      <c r="E68" s="341"/>
    </row>
    <row r="69" spans="3:5">
      <c r="C69" s="341"/>
      <c r="D69" s="341"/>
      <c r="E69" s="341"/>
    </row>
    <row r="70" spans="3:5">
      <c r="C70" s="341"/>
      <c r="D70" s="341"/>
      <c r="E70" s="341"/>
    </row>
    <row r="71" spans="3:5">
      <c r="C71" s="341"/>
      <c r="D71" s="341"/>
      <c r="E71" s="341"/>
    </row>
    <row r="72" spans="3:5">
      <c r="C72" s="341"/>
      <c r="D72" s="341"/>
      <c r="E72" s="341"/>
    </row>
    <row r="73" spans="3:5">
      <c r="C73" s="341"/>
      <c r="D73" s="341"/>
      <c r="E73" s="341"/>
    </row>
    <row r="74" spans="3:5">
      <c r="C74" s="341"/>
      <c r="D74" s="341"/>
      <c r="E74" s="341"/>
    </row>
    <row r="75" spans="3:5">
      <c r="C75" s="341"/>
      <c r="D75" s="341"/>
      <c r="E75" s="341"/>
    </row>
    <row r="76" spans="3:5">
      <c r="C76" s="341"/>
      <c r="D76" s="341"/>
      <c r="E76" s="341"/>
    </row>
    <row r="77" spans="3:5">
      <c r="C77" s="341"/>
      <c r="D77" s="341"/>
      <c r="E77" s="341"/>
    </row>
    <row r="78" spans="3:5">
      <c r="C78" s="341"/>
      <c r="D78" s="341"/>
      <c r="E78" s="341"/>
    </row>
    <row r="79" spans="3:5">
      <c r="C79" s="341"/>
      <c r="D79" s="341"/>
      <c r="E79" s="341"/>
    </row>
    <row r="80" spans="3:5">
      <c r="C80" s="341"/>
      <c r="D80" s="341"/>
      <c r="E80" s="341"/>
    </row>
    <row r="81" spans="3:5">
      <c r="C81" s="341"/>
      <c r="D81" s="341"/>
      <c r="E81" s="341"/>
    </row>
    <row r="82" spans="3:5">
      <c r="C82" s="341"/>
      <c r="D82" s="341"/>
      <c r="E82" s="341"/>
    </row>
    <row r="83" spans="3:5">
      <c r="C83" s="341"/>
      <c r="D83" s="341"/>
      <c r="E83" s="341"/>
    </row>
    <row r="84" spans="3:5">
      <c r="C84" s="341"/>
      <c r="D84" s="341"/>
      <c r="E84" s="341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/>
  <cols>
    <col min="1" max="1" width="5.109375" style="128" customWidth="1"/>
    <col min="2" max="2" width="65.5546875" style="128" customWidth="1"/>
    <col min="3" max="3" width="19.6640625" style="147" customWidth="1"/>
    <col min="4" max="4" width="13.88671875" style="147" customWidth="1"/>
    <col min="5" max="5" width="16.44140625" style="148" customWidth="1"/>
    <col min="6" max="6" width="16.6640625" style="128" customWidth="1"/>
    <col min="7" max="7" width="9.109375" style="128"/>
    <col min="8" max="8" width="11.6640625" style="128" customWidth="1"/>
    <col min="9" max="16384" width="9.109375" style="128"/>
  </cols>
  <sheetData>
    <row r="1" spans="1:8" s="114" customFormat="1" ht="13.5" customHeight="1">
      <c r="A1" s="934" t="s">
        <v>6</v>
      </c>
      <c r="B1" s="934"/>
      <c r="C1" s="934"/>
      <c r="D1" s="934"/>
      <c r="E1" s="934"/>
      <c r="F1" s="934"/>
    </row>
    <row r="2" spans="1:8" s="114" customFormat="1" ht="12.75" customHeight="1">
      <c r="A2" s="935"/>
      <c r="B2" s="935"/>
      <c r="C2" s="935"/>
      <c r="D2" s="935"/>
      <c r="E2" s="935"/>
    </row>
    <row r="3" spans="1:8" s="114" customFormat="1" ht="33" customHeight="1" thickBot="1">
      <c r="A3" s="130" t="s">
        <v>1</v>
      </c>
      <c r="B3" s="131" t="s">
        <v>2</v>
      </c>
      <c r="C3" s="132" t="s">
        <v>10</v>
      </c>
      <c r="D3" s="132" t="s">
        <v>8</v>
      </c>
      <c r="E3" s="133" t="s">
        <v>12</v>
      </c>
      <c r="F3" s="134" t="s">
        <v>9</v>
      </c>
    </row>
    <row r="4" spans="1:8" s="115" customFormat="1" ht="15" customHeight="1">
      <c r="A4" s="149">
        <v>1</v>
      </c>
      <c r="B4" s="150" t="s">
        <v>54</v>
      </c>
      <c r="C4" s="135" t="s">
        <v>55</v>
      </c>
      <c r="D4" s="129" t="s">
        <v>53</v>
      </c>
      <c r="E4" s="152">
        <v>107970.18</v>
      </c>
      <c r="F4" s="151" t="s">
        <v>52</v>
      </c>
      <c r="H4" s="154"/>
    </row>
    <row r="5" spans="1:8" s="115" customFormat="1" ht="15" customHeight="1">
      <c r="A5" s="149">
        <f t="shared" ref="A5:A13" si="0">A4+1</f>
        <v>2</v>
      </c>
      <c r="B5" s="150" t="s">
        <v>57</v>
      </c>
      <c r="C5" s="135" t="s">
        <v>55</v>
      </c>
      <c r="D5" s="129" t="s">
        <v>69</v>
      </c>
      <c r="E5" s="152">
        <v>38378.589999999997</v>
      </c>
      <c r="F5" s="151" t="s">
        <v>52</v>
      </c>
      <c r="H5" s="154"/>
    </row>
    <row r="6" spans="1:8" s="115" customFormat="1" ht="15" customHeight="1">
      <c r="A6" s="149">
        <f t="shared" si="0"/>
        <v>3</v>
      </c>
      <c r="B6" s="150" t="s">
        <v>59</v>
      </c>
      <c r="C6" s="135" t="s">
        <v>55</v>
      </c>
      <c r="D6" s="129" t="s">
        <v>70</v>
      </c>
      <c r="E6" s="152">
        <v>82852.78</v>
      </c>
      <c r="F6" s="151" t="s">
        <v>52</v>
      </c>
      <c r="H6" s="154"/>
    </row>
    <row r="7" spans="1:8" s="115" customFormat="1" ht="15" customHeight="1">
      <c r="A7" s="149">
        <f t="shared" si="0"/>
        <v>4</v>
      </c>
      <c r="B7" s="150" t="s">
        <v>60</v>
      </c>
      <c r="C7" s="135" t="s">
        <v>55</v>
      </c>
      <c r="D7" s="129" t="s">
        <v>71</v>
      </c>
      <c r="E7" s="152">
        <v>979787.02</v>
      </c>
      <c r="F7" s="151" t="s">
        <v>52</v>
      </c>
      <c r="H7" s="154"/>
    </row>
    <row r="8" spans="1:8" s="115" customFormat="1" ht="15" customHeight="1">
      <c r="A8" s="149">
        <f t="shared" si="0"/>
        <v>5</v>
      </c>
      <c r="B8" s="150" t="s">
        <v>62</v>
      </c>
      <c r="C8" s="135" t="s">
        <v>55</v>
      </c>
      <c r="D8" s="129" t="s">
        <v>72</v>
      </c>
      <c r="E8" s="152">
        <v>565478.29</v>
      </c>
      <c r="F8" s="151" t="s">
        <v>52</v>
      </c>
      <c r="H8" s="154"/>
    </row>
    <row r="9" spans="1:8" s="115" customFormat="1" ht="15" customHeight="1">
      <c r="A9" s="149">
        <f t="shared" si="0"/>
        <v>6</v>
      </c>
      <c r="B9" s="150" t="s">
        <v>64</v>
      </c>
      <c r="C9" s="135" t="s">
        <v>55</v>
      </c>
      <c r="D9" s="129" t="s">
        <v>73</v>
      </c>
      <c r="E9" s="152">
        <v>573308.27</v>
      </c>
      <c r="F9" s="151" t="s">
        <v>52</v>
      </c>
      <c r="H9" s="154"/>
    </row>
    <row r="10" spans="1:8" s="115" customFormat="1" ht="15" customHeight="1">
      <c r="A10" s="149">
        <f t="shared" si="0"/>
        <v>7</v>
      </c>
      <c r="B10" s="150" t="s">
        <v>66</v>
      </c>
      <c r="C10" s="135" t="s">
        <v>55</v>
      </c>
      <c r="D10" s="129" t="s">
        <v>74</v>
      </c>
      <c r="E10" s="152">
        <v>88842.36</v>
      </c>
      <c r="F10" s="151" t="s">
        <v>52</v>
      </c>
      <c r="H10" s="154"/>
    </row>
    <row r="11" spans="1:8" s="115" customFormat="1" ht="15" customHeight="1">
      <c r="A11" s="149">
        <f t="shared" si="0"/>
        <v>8</v>
      </c>
      <c r="B11" s="150" t="s">
        <v>63</v>
      </c>
      <c r="C11" s="135" t="s">
        <v>55</v>
      </c>
      <c r="D11" s="129" t="s">
        <v>75</v>
      </c>
      <c r="E11" s="152">
        <v>589296.65</v>
      </c>
      <c r="F11" s="151" t="s">
        <v>52</v>
      </c>
      <c r="H11" s="154"/>
    </row>
    <row r="12" spans="1:8" s="115" customFormat="1" ht="15" customHeight="1">
      <c r="A12" s="149">
        <f t="shared" si="0"/>
        <v>9</v>
      </c>
      <c r="B12" s="150" t="s">
        <v>67</v>
      </c>
      <c r="C12" s="135" t="s">
        <v>55</v>
      </c>
      <c r="D12" s="129" t="s">
        <v>76</v>
      </c>
      <c r="E12" s="152">
        <v>100485.89</v>
      </c>
      <c r="F12" s="151" t="s">
        <v>52</v>
      </c>
      <c r="H12" s="154"/>
    </row>
    <row r="13" spans="1:8" s="115" customFormat="1" ht="15" customHeight="1">
      <c r="A13" s="149">
        <f t="shared" si="0"/>
        <v>10</v>
      </c>
      <c r="B13" s="150" t="s">
        <v>56</v>
      </c>
      <c r="C13" s="135" t="s">
        <v>55</v>
      </c>
      <c r="D13" s="129" t="s">
        <v>77</v>
      </c>
      <c r="E13" s="152">
        <v>107970.18</v>
      </c>
      <c r="F13" s="151" t="s">
        <v>52</v>
      </c>
      <c r="H13" s="154"/>
    </row>
    <row r="14" spans="1:8" s="115" customFormat="1" ht="15" customHeight="1">
      <c r="A14" s="149">
        <f>A13+1</f>
        <v>11</v>
      </c>
      <c r="B14" s="150" t="s">
        <v>58</v>
      </c>
      <c r="C14" s="135" t="s">
        <v>55</v>
      </c>
      <c r="D14" s="129" t="s">
        <v>78</v>
      </c>
      <c r="E14" s="152">
        <v>55788.36</v>
      </c>
      <c r="F14" s="151" t="s">
        <v>52</v>
      </c>
      <c r="H14" s="154"/>
    </row>
    <row r="15" spans="1:8" s="115" customFormat="1" ht="15" customHeight="1">
      <c r="A15" s="149">
        <f>A14+1</f>
        <v>12</v>
      </c>
      <c r="B15" s="150" t="s">
        <v>61</v>
      </c>
      <c r="C15" s="135" t="s">
        <v>55</v>
      </c>
      <c r="D15" s="129" t="s">
        <v>79</v>
      </c>
      <c r="E15" s="152">
        <v>1129114.07</v>
      </c>
      <c r="F15" s="151" t="s">
        <v>52</v>
      </c>
      <c r="H15" s="154"/>
    </row>
    <row r="16" spans="1:8" s="115" customFormat="1" ht="15" customHeight="1">
      <c r="A16" s="149">
        <f>A15+1</f>
        <v>13</v>
      </c>
      <c r="B16" s="150" t="s">
        <v>65</v>
      </c>
      <c r="C16" s="135" t="s">
        <v>55</v>
      </c>
      <c r="D16" s="129" t="s">
        <v>80</v>
      </c>
      <c r="E16" s="152">
        <v>542099.16</v>
      </c>
      <c r="F16" s="151" t="s">
        <v>52</v>
      </c>
      <c r="H16" s="154"/>
    </row>
    <row r="17" spans="1:8" s="115" customFormat="1" ht="15" customHeight="1" thickBot="1">
      <c r="A17" s="149">
        <f>A16+1</f>
        <v>14</v>
      </c>
      <c r="B17" s="150" t="s">
        <v>68</v>
      </c>
      <c r="C17" s="135" t="s">
        <v>55</v>
      </c>
      <c r="D17" s="129" t="s">
        <v>81</v>
      </c>
      <c r="E17" s="152">
        <v>91400.04</v>
      </c>
      <c r="F17" s="151" t="s">
        <v>52</v>
      </c>
      <c r="H17" s="154"/>
    </row>
    <row r="18" spans="1:8" s="115" customFormat="1" ht="13.8" thickBot="1">
      <c r="A18" s="136"/>
      <c r="B18" s="137" t="s">
        <v>4</v>
      </c>
      <c r="C18" s="138"/>
      <c r="D18" s="139"/>
      <c r="E18" s="140">
        <f>SUBTOTAL(109,E4:E17)</f>
        <v>5052771.84</v>
      </c>
      <c r="F18" s="141"/>
    </row>
    <row r="19" spans="1:8" s="121" customFormat="1" ht="17.25" customHeight="1">
      <c r="A19" s="116"/>
      <c r="B19" s="142"/>
      <c r="C19" s="143"/>
      <c r="D19" s="144"/>
      <c r="E19" s="145"/>
      <c r="F19" s="146"/>
    </row>
    <row r="20" spans="1:8" s="121" customFormat="1" ht="17.25" customHeight="1">
      <c r="A20" s="116"/>
      <c r="B20" s="117"/>
      <c r="C20" s="118"/>
      <c r="D20" s="118"/>
      <c r="E20" s="119"/>
      <c r="F20" s="120"/>
    </row>
    <row r="21" spans="1:8" s="121" customFormat="1" ht="17.25" customHeight="1">
      <c r="A21" s="116"/>
      <c r="B21" s="117"/>
      <c r="C21" s="118"/>
      <c r="D21" s="118"/>
      <c r="E21" s="119"/>
      <c r="F21" s="120"/>
    </row>
    <row r="22" spans="1:8" s="126" customFormat="1">
      <c r="A22" s="122"/>
      <c r="B22" s="123"/>
      <c r="C22" s="124"/>
      <c r="D22" s="124"/>
      <c r="E22" s="125"/>
      <c r="F22" s="121"/>
    </row>
    <row r="23" spans="1:8" s="126" customFormat="1">
      <c r="A23" s="153"/>
      <c r="B23" s="117"/>
      <c r="C23" s="124"/>
      <c r="D23" s="124"/>
      <c r="E23" s="125"/>
      <c r="F23" s="121"/>
    </row>
    <row r="24" spans="1:8">
      <c r="A24" s="126"/>
      <c r="B24" s="126"/>
      <c r="C24" s="120"/>
      <c r="D24" s="120"/>
      <c r="E24" s="127"/>
      <c r="F24" s="126"/>
    </row>
    <row r="25" spans="1:8">
      <c r="A25" s="126"/>
      <c r="B25" s="126"/>
      <c r="C25" s="120"/>
      <c r="D25" s="120"/>
      <c r="E25" s="127"/>
      <c r="F25" s="126"/>
    </row>
    <row r="28" spans="1:8">
      <c r="E28" s="148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РеєстрАВР (БУХГ)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  <vt:lpstr>'РеєстрАВР (БУХГ)'!Область_печати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2024-07-23T13:42:33Z</cp:lastPrinted>
  <dcterms:created xsi:type="dcterms:W3CDTF">2016-07-15T13:11:41Z</dcterms:created>
  <dcterms:modified xsi:type="dcterms:W3CDTF">2024-07-24T06:00:27Z</dcterms:modified>
</cp:coreProperties>
</file>
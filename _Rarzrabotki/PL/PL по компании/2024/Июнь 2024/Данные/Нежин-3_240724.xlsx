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3040" windowHeight="8328"/>
  </bookViews>
  <sheets>
    <sheet name="ИТОГ" sheetId="5" r:id="rId1"/>
    <sheet name="пто" sheetId="1" r:id="rId2"/>
    <sheet name="акты" sheetId="2" r:id="rId3"/>
    <sheet name="списания" sheetId="3" r:id="rId4"/>
    <sheet name="План-Факт" sheetId="7" r:id="rId5"/>
    <sheet name="Лист1" sheetId="4" r:id="rId6"/>
  </sheets>
  <definedNames>
    <definedName name="_xlnm._FilterDatabase" localSheetId="2" hidden="1">акты!$A$1:$J$60</definedName>
    <definedName name="_xlnm._FilterDatabase" localSheetId="1" hidden="1">пто!$A$3:$J$81</definedName>
    <definedName name="_xlnm._FilterDatabase" localSheetId="3" hidden="1">списания!$A$5:$E$48</definedName>
  </definedNames>
  <calcPr calcId="145621" refMode="R1C1"/>
</workbook>
</file>

<file path=xl/calcChain.xml><?xml version="1.0" encoding="utf-8"?>
<calcChain xmlns="http://schemas.openxmlformats.org/spreadsheetml/2006/main">
  <c r="E13" i="5" l="1"/>
  <c r="E24" i="5" l="1"/>
  <c r="D13" i="7" l="1"/>
  <c r="D37" i="7"/>
  <c r="C20" i="5" l="1"/>
  <c r="C19" i="5"/>
  <c r="C18" i="5"/>
  <c r="D15" i="5"/>
  <c r="C16" i="5"/>
  <c r="C15" i="5"/>
  <c r="C10" i="5"/>
  <c r="E6" i="5"/>
  <c r="C30" i="5" l="1"/>
  <c r="C22" i="5"/>
  <c r="C21" i="5"/>
  <c r="E15" i="5"/>
  <c r="D16" i="5"/>
  <c r="E16" i="5" s="1"/>
  <c r="D3" i="5"/>
  <c r="F78" i="1" l="1"/>
  <c r="K9" i="1"/>
  <c r="K58" i="1"/>
  <c r="K61" i="1"/>
  <c r="E53" i="3"/>
  <c r="E52" i="3"/>
  <c r="E51" i="3"/>
  <c r="E54" i="3" s="1"/>
  <c r="E6" i="3"/>
  <c r="D45" i="3"/>
  <c r="K15" i="1" s="1"/>
  <c r="D43" i="3"/>
  <c r="D41" i="3"/>
  <c r="K20" i="1" s="1"/>
  <c r="D36" i="3"/>
  <c r="K16" i="1" s="1"/>
  <c r="D34" i="3"/>
  <c r="K27" i="1" s="1"/>
  <c r="D33" i="3"/>
  <c r="D32" i="3"/>
  <c r="K55" i="1" s="1"/>
  <c r="D31" i="3"/>
  <c r="K13" i="1" s="1"/>
  <c r="D26" i="3"/>
  <c r="K14" i="1" s="1"/>
  <c r="D20" i="3"/>
  <c r="D19" i="3"/>
  <c r="K22" i="1" s="1"/>
  <c r="D18" i="3"/>
  <c r="K21" i="1" s="1"/>
  <c r="C5" i="3"/>
  <c r="C4" i="3" s="1"/>
  <c r="B5" i="3"/>
  <c r="B4" i="3" s="1"/>
  <c r="G10" i="4"/>
  <c r="F7" i="4"/>
  <c r="F5" i="4"/>
  <c r="F13" i="4" s="1"/>
  <c r="E5" i="4"/>
  <c r="E13" i="4" s="1"/>
  <c r="D5" i="4"/>
  <c r="D13" i="4" s="1"/>
  <c r="C5" i="4"/>
  <c r="C13" i="4" s="1"/>
  <c r="B11" i="4"/>
  <c r="B10" i="4"/>
  <c r="B9" i="4"/>
  <c r="B8" i="4"/>
  <c r="B7" i="4"/>
  <c r="B6" i="4"/>
  <c r="F58" i="2"/>
  <c r="D58" i="2"/>
  <c r="D19" i="2"/>
  <c r="D57" i="2" s="1"/>
  <c r="F57" i="2"/>
  <c r="F56" i="2"/>
  <c r="F55" i="2"/>
  <c r="D52" i="2"/>
  <c r="D51" i="2"/>
  <c r="D10" i="2"/>
  <c r="D9" i="2"/>
  <c r="D5" i="2"/>
  <c r="D4" i="2"/>
  <c r="D3" i="2"/>
  <c r="D2" i="2"/>
  <c r="C3" i="5" l="1"/>
  <c r="D59" i="2"/>
  <c r="F59" i="2"/>
  <c r="E43" i="3"/>
  <c r="C17" i="5" s="1"/>
  <c r="D5" i="5"/>
  <c r="B5" i="4"/>
  <c r="B13" i="4"/>
  <c r="E18" i="3"/>
  <c r="C5" i="5" s="1"/>
  <c r="L69" i="1"/>
  <c r="L53" i="1"/>
  <c r="L47" i="1"/>
  <c r="L34" i="1"/>
  <c r="L27" i="1"/>
  <c r="L21" i="1"/>
  <c r="L13" i="1"/>
  <c r="L67" i="1"/>
  <c r="L52" i="1"/>
  <c r="L46" i="1"/>
  <c r="L33" i="1"/>
  <c r="L26" i="1"/>
  <c r="L20" i="1"/>
  <c r="L12" i="1"/>
  <c r="L61" i="1"/>
  <c r="L51" i="1"/>
  <c r="L45" i="1"/>
  <c r="L32" i="1"/>
  <c r="L25" i="1"/>
  <c r="L18" i="1"/>
  <c r="L9" i="1"/>
  <c r="L60" i="1"/>
  <c r="L50" i="1"/>
  <c r="L41" i="1"/>
  <c r="L30" i="1"/>
  <c r="L24" i="1"/>
  <c r="L16" i="1"/>
  <c r="L8" i="1"/>
  <c r="L58" i="1"/>
  <c r="L49" i="1"/>
  <c r="L40" i="1"/>
  <c r="L29" i="1"/>
  <c r="L23" i="1"/>
  <c r="L15" i="1"/>
  <c r="L6" i="1"/>
  <c r="L55" i="1"/>
  <c r="L48" i="1"/>
  <c r="L39" i="1"/>
  <c r="L28" i="1"/>
  <c r="L22" i="1"/>
  <c r="L14" i="1"/>
  <c r="L5" i="1"/>
  <c r="L4" i="1"/>
  <c r="D60" i="2"/>
  <c r="D5" i="3"/>
  <c r="D4" i="3" s="1"/>
  <c r="E4" i="3" s="1"/>
  <c r="F60" i="2"/>
  <c r="D53" i="2"/>
  <c r="D54" i="2" s="1"/>
  <c r="E60" i="2"/>
  <c r="D17" i="5" l="1"/>
  <c r="C29" i="5"/>
  <c r="E17" i="5"/>
  <c r="C7" i="5"/>
  <c r="C13" i="5" s="1"/>
  <c r="E5" i="5"/>
  <c r="C23" i="5"/>
  <c r="C24" i="5" s="1"/>
  <c r="E3" i="5"/>
  <c r="C28" i="5"/>
  <c r="C78" i="1"/>
  <c r="G78" i="1"/>
  <c r="H78" i="1"/>
  <c r="C80" i="1"/>
  <c r="F80" i="1"/>
  <c r="F81" i="1" s="1"/>
  <c r="C26" i="5" l="1"/>
  <c r="E26" i="5" s="1"/>
  <c r="C32" i="5"/>
  <c r="C31" i="5"/>
  <c r="C33" i="5"/>
  <c r="H80" i="1"/>
  <c r="G80" i="1"/>
  <c r="E76" i="1"/>
  <c r="E75" i="1"/>
  <c r="E69" i="1"/>
  <c r="E68" i="1"/>
  <c r="E67" i="1"/>
  <c r="E66" i="1"/>
  <c r="E65" i="1"/>
  <c r="E64" i="1"/>
  <c r="E63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0" i="1"/>
  <c r="E29" i="1"/>
  <c r="E28" i="1"/>
  <c r="E27" i="1"/>
  <c r="E26" i="1"/>
  <c r="E24" i="1"/>
  <c r="E23" i="1"/>
  <c r="E22" i="1"/>
  <c r="E21" i="1"/>
  <c r="E20" i="1"/>
  <c r="E19" i="1"/>
  <c r="E18" i="1"/>
  <c r="E16" i="1"/>
  <c r="E15" i="1"/>
  <c r="E14" i="1"/>
  <c r="E13" i="1"/>
  <c r="E12" i="1"/>
  <c r="E9" i="1"/>
  <c r="E8" i="1"/>
  <c r="E6" i="1"/>
  <c r="E5" i="1"/>
  <c r="E4" i="1"/>
  <c r="C34" i="5" l="1"/>
  <c r="C36" i="5" l="1"/>
  <c r="E36" i="5" s="1"/>
  <c r="E34" i="5"/>
</calcChain>
</file>

<file path=xl/comments1.xml><?xml version="1.0" encoding="utf-8"?>
<comments xmlns="http://schemas.openxmlformats.org/spreadsheetml/2006/main">
  <authors>
    <author>Автор</author>
  </authors>
  <commentList>
    <comment ref="F7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Склад обмена строительными материалами</t>
        </r>
      </text>
    </comment>
  </commentList>
</comments>
</file>

<file path=xl/sharedStrings.xml><?xml version="1.0" encoding="utf-8"?>
<sst xmlns="http://schemas.openxmlformats.org/spreadsheetml/2006/main" count="1023" uniqueCount="509">
  <si>
    <t>№ ДЦ</t>
  </si>
  <si>
    <t>Найменування договірної ціни</t>
  </si>
  <si>
    <t>Всього по ДЦ  з ПДВ, грн</t>
  </si>
  <si>
    <t>АКТИ</t>
  </si>
  <si>
    <t xml:space="preserve">№ акта </t>
  </si>
  <si>
    <t>Всього, грн з ПДВ</t>
  </si>
  <si>
    <t>Матеріали з ПДВ, грн</t>
  </si>
  <si>
    <t>Роботи з ПДВ, грн</t>
  </si>
  <si>
    <t>Статус</t>
  </si>
  <si>
    <t xml:space="preserve">Дата </t>
  </si>
  <si>
    <t>№1</t>
  </si>
  <si>
    <t>Деф.акт-Ескіз фундаментної основи під ємність д.12500 та д.8500 мм</t>
  </si>
  <si>
    <t>Оригінал в офісі</t>
  </si>
  <si>
    <t>10 04 2024</t>
  </si>
  <si>
    <t>№2</t>
  </si>
  <si>
    <t>Деф. акт- Демонтажні робіти по пожводопровіду</t>
  </si>
  <si>
    <t>№18</t>
  </si>
  <si>
    <t>Орігінал в офісі</t>
  </si>
  <si>
    <t>26 04 2024</t>
  </si>
  <si>
    <t>№3.5.1.5</t>
  </si>
  <si>
    <t>310-2020-5.1.5-КБ-Р-Силос металевий для зберігання насіння</t>
  </si>
  <si>
    <t>№29</t>
  </si>
  <si>
    <t>-</t>
  </si>
  <si>
    <t>21 06 2024</t>
  </si>
  <si>
    <t>№53</t>
  </si>
  <si>
    <t>Погоджено Замовником</t>
  </si>
  <si>
    <t>22 07 2024</t>
  </si>
  <si>
    <t>№3.5.1.6</t>
  </si>
  <si>
    <t>310-2020-5.1.6-КБ-Р-Силос металевий для зберігання насіння</t>
  </si>
  <si>
    <t>№27</t>
  </si>
  <si>
    <t>24 05 2024</t>
  </si>
  <si>
    <t>№42</t>
  </si>
  <si>
    <t>№50</t>
  </si>
  <si>
    <t>18 07 2024</t>
  </si>
  <si>
    <t>№54</t>
  </si>
  <si>
    <t>№3.5.1.7</t>
  </si>
  <si>
    <t>310-2020-5.1.7-КБ-Р-Силос металевий для зберігання насіння</t>
  </si>
  <si>
    <t>№15</t>
  </si>
  <si>
    <t>№28</t>
  </si>
  <si>
    <t>№36</t>
  </si>
  <si>
    <t>07 06 2024</t>
  </si>
  <si>
    <t>№37</t>
  </si>
  <si>
    <t>№4</t>
  </si>
  <si>
    <t>310-2024-13-КБ Градирня</t>
  </si>
  <si>
    <t>№16</t>
  </si>
  <si>
    <t>№49</t>
  </si>
  <si>
    <t>№4.1</t>
  </si>
  <si>
    <t>Нарощення опор Градирні</t>
  </si>
  <si>
    <t>№17</t>
  </si>
  <si>
    <t>№5</t>
  </si>
  <si>
    <t>310-66.3- КБ-Р-Транспортна галерея</t>
  </si>
  <si>
    <t>№6.1</t>
  </si>
  <si>
    <t xml:space="preserve">310-11.1-КБ-Р-Склад олії; V=4000м3
</t>
  </si>
  <si>
    <t>№10</t>
  </si>
  <si>
    <t>№6.2</t>
  </si>
  <si>
    <t>310-11.2-КБ-Р-Склад олії; V=2000м3</t>
  </si>
  <si>
    <t>05 04 2024</t>
  </si>
  <si>
    <t>№6.3</t>
  </si>
  <si>
    <t>310-11.3-КБ-Р-Склад олії; V=2000м3</t>
  </si>
  <si>
    <t>№3</t>
  </si>
  <si>
    <t>№7</t>
  </si>
  <si>
    <t>Демонтаж маслобаку</t>
  </si>
  <si>
    <t>№8</t>
  </si>
  <si>
    <t xml:space="preserve">310-66-2-КМ-Норія </t>
  </si>
  <si>
    <t>№12</t>
  </si>
  <si>
    <t>10 05 2024</t>
  </si>
  <si>
    <t xml:space="preserve">№12.1 </t>
  </si>
  <si>
    <t>20 05 2024</t>
  </si>
  <si>
    <t>№9</t>
  </si>
  <si>
    <t>310-66.3-КМ-Транспортна галерея</t>
  </si>
  <si>
    <t>№13</t>
  </si>
  <si>
    <t>310-10-КБ-Р-Ділянка експандування</t>
  </si>
  <si>
    <t>№23</t>
  </si>
  <si>
    <t>№11</t>
  </si>
  <si>
    <t>Влаштування додаткової основи з щебня</t>
  </si>
  <si>
    <t xml:space="preserve">№14 </t>
  </si>
  <si>
    <t>№30</t>
  </si>
  <si>
    <t>№33</t>
  </si>
  <si>
    <t>№51</t>
  </si>
  <si>
    <t>Почасовка</t>
  </si>
  <si>
    <t>№22</t>
  </si>
  <si>
    <t>№38</t>
  </si>
  <si>
    <t>№43</t>
  </si>
  <si>
    <t>15 07 2024</t>
  </si>
  <si>
    <t>№44</t>
  </si>
  <si>
    <t>Подано на Замовника</t>
  </si>
  <si>
    <t>27 06 2024</t>
  </si>
  <si>
    <t>№45</t>
  </si>
  <si>
    <t>310-ЗВК-Р</t>
  </si>
  <si>
    <t>№14</t>
  </si>
  <si>
    <t>Дефектовка на демонтаж дорожнього покриття</t>
  </si>
  <si>
    <t>12 04 2024</t>
  </si>
  <si>
    <t>№15.1</t>
  </si>
  <si>
    <t>Дефектовка на тимчасові дороги (під наш кран РДК 250)</t>
  </si>
  <si>
    <t>№6</t>
  </si>
  <si>
    <t>№15.2</t>
  </si>
  <si>
    <t>Дефектовка на тимчасові дороги (кран замовника)</t>
  </si>
  <si>
    <t>№19</t>
  </si>
  <si>
    <t>№15.3</t>
  </si>
  <si>
    <t>Демонтаж тимчасові дороги 15.2</t>
  </si>
  <si>
    <t>ГП310-3-ГП-П- Ніжин Model Благоустрій</t>
  </si>
  <si>
    <t xml:space="preserve">310-66-2-КБ-Р Норійна вежа </t>
  </si>
  <si>
    <t>№52</t>
  </si>
  <si>
    <t>Дефектовка на демонтаж градирні</t>
  </si>
  <si>
    <t>Дефектовка на розроблення та перевезення піску, демонтаж фундаментів</t>
  </si>
  <si>
    <t>№20</t>
  </si>
  <si>
    <t>Дефектовка на влаштування основи під протипожежний резервуар</t>
  </si>
  <si>
    <t xml:space="preserve">№9 </t>
  </si>
  <si>
    <t>№21</t>
  </si>
  <si>
    <t>310-10-КМ-Р- Ділянка експандування</t>
  </si>
  <si>
    <t>№26</t>
  </si>
  <si>
    <t>№35</t>
  </si>
  <si>
    <t>12 06 2024</t>
  </si>
  <si>
    <t>№39</t>
  </si>
  <si>
    <t>Монтаж Градирні</t>
  </si>
  <si>
    <t>№25</t>
  </si>
  <si>
    <t>№32</t>
  </si>
  <si>
    <t>№40</t>
  </si>
  <si>
    <t>310-11.4-КБ-Р-Підпірна стінка (склад олії)</t>
  </si>
  <si>
    <t>№24.1</t>
  </si>
  <si>
    <t xml:space="preserve">Гідроізоляція Градирні </t>
  </si>
  <si>
    <t>№24.2.1</t>
  </si>
  <si>
    <t>Гідроізоляція Силосу 5.1.5</t>
  </si>
  <si>
    <t>№24.2.2</t>
  </si>
  <si>
    <t>Гідроізоляція Силосу 5.1.6</t>
  </si>
  <si>
    <t>№46</t>
  </si>
  <si>
    <t>11 07 2024</t>
  </si>
  <si>
    <t>№24.2.3</t>
  </si>
  <si>
    <t>Гідроізоляція Силосу 5.1.7</t>
  </si>
  <si>
    <t>№24.2.4</t>
  </si>
  <si>
    <t>Гідроізоляція Норії</t>
  </si>
  <si>
    <t>310-13-ТХ-Ніжин Градирня</t>
  </si>
  <si>
    <t>№34</t>
  </si>
  <si>
    <t>№41</t>
  </si>
  <si>
    <t>№48</t>
  </si>
  <si>
    <t xml:space="preserve">310-10-АР-П- Ділянка експандування макухи </t>
  </si>
  <si>
    <t>310-66.2-АР-Р  Норія</t>
  </si>
  <si>
    <t xml:space="preserve">ТХ Монтаж транспортоного обладнання </t>
  </si>
  <si>
    <t xml:space="preserve">310-10-ТХ-П-Ділянка експандування макухи </t>
  </si>
  <si>
    <t>Влаштування фундаметнів та насоси в насосній станції олії</t>
  </si>
  <si>
    <t>№24</t>
  </si>
  <si>
    <t>№31</t>
  </si>
  <si>
    <t>Тимчасові опори під олієпровід</t>
  </si>
  <si>
    <t>Демонтаж фундаменту бака олії №10</t>
  </si>
  <si>
    <t>Майданчик для монтажних робіт корпусу Градірні</t>
  </si>
  <si>
    <t>310-11.5-АБ-Р-Естакада</t>
  </si>
  <si>
    <t>Додаткові роботи по ТХ Градирні</t>
  </si>
  <si>
    <t>№47</t>
  </si>
  <si>
    <t>Вимощення Градирні</t>
  </si>
  <si>
    <t>Перевезення щебеня на 1 км</t>
  </si>
  <si>
    <t>Аренда техніки від 14.05.2024</t>
  </si>
  <si>
    <t>Аренда техніки від 14.05.2025</t>
  </si>
  <si>
    <t>ВСЬОГО:</t>
  </si>
  <si>
    <t>ПРОМЕЖУТОЧНЫЕ ИТОГИ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</si>
  <si>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</si>
  <si>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</si>
  <si>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</si>
  <si>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</si>
  <si>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</si>
  <si>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</si>
  <si>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</si>
  <si>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</si>
  <si>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</si>
  <si>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24.05.2024 09:41:45</t>
  </si>
  <si>
    <t>ІБ00-000154</t>
  </si>
  <si>
    <t>НІЖИНСЬКИЙ ЖИРКОМБІНАТ ПрАТ</t>
  </si>
  <si>
    <t>грн</t>
  </si>
  <si>
    <t>Виробничий (Ніжин-3)</t>
  </si>
  <si>
    <t>ТОВ "ІНДАСТРІАЛБУД"</t>
  </si>
  <si>
    <t>Хлань Елена</t>
  </si>
  <si>
    <t>ДЦ № 34 без дати проведення</t>
  </si>
  <si>
    <t>* в Мае 24</t>
  </si>
  <si>
    <t>24.05.2024 09:41:46</t>
  </si>
  <si>
    <t>ІБ00-000157</t>
  </si>
  <si>
    <t>ДЦ № 27 без дати проведення</t>
  </si>
  <si>
    <t>24.05.2024 09:42:29</t>
  </si>
  <si>
    <t>ІБ00-000155</t>
  </si>
  <si>
    <t>ДЦ № 32 без дати проведення</t>
  </si>
  <si>
    <t>24.05.2024 09:45:33</t>
  </si>
  <si>
    <t>ІБ00-000156</t>
  </si>
  <si>
    <t>ДЦ № 28 без дати проведення</t>
  </si>
  <si>
    <t>24.05.2024 11:32:39</t>
  </si>
  <si>
    <t>ІБ00-000147</t>
  </si>
  <si>
    <t xml:space="preserve"> Акт № 22 без дати проведення</t>
  </si>
  <si>
    <t>24.05.2024 11:34:02</t>
  </si>
  <si>
    <t>ІБ00-000149</t>
  </si>
  <si>
    <t xml:space="preserve"> Акт № 24 без дати проведення</t>
  </si>
  <si>
    <t>24.05.2024 11:51:48</t>
  </si>
  <si>
    <t>ІБ00-000131</t>
  </si>
  <si>
    <t>Акт № 19 без дати проведення</t>
  </si>
  <si>
    <t>* в Апреле 24</t>
  </si>
  <si>
    <t>24.05.2024 11:52:19</t>
  </si>
  <si>
    <t>ІБ00-000132</t>
  </si>
  <si>
    <t>Акт № 27 без дати проведення</t>
  </si>
  <si>
    <t>24.05.2024 11:53:24</t>
  </si>
  <si>
    <t>ІБ00-000133</t>
  </si>
  <si>
    <t>ЦД 31 Акт №  без дати проведення</t>
  </si>
  <si>
    <t>24.05.2024 12:00:00</t>
  </si>
  <si>
    <t>ІБ00-000090</t>
  </si>
  <si>
    <t>Акт № 1 без дати проведення</t>
  </si>
  <si>
    <t>* в Марте 24</t>
  </si>
  <si>
    <t>24.05.2024 12:00:03</t>
  </si>
  <si>
    <t>ІБ00-000093</t>
  </si>
  <si>
    <t>Акт № 4 без дати проведення</t>
  </si>
  <si>
    <t>24.05.2024 12:00:04</t>
  </si>
  <si>
    <t>ІБ00-000095</t>
  </si>
  <si>
    <t>Акт № 5 без дати проведення</t>
  </si>
  <si>
    <t>24.05.2024 12:00:05</t>
  </si>
  <si>
    <t>ІБ00-000096</t>
  </si>
  <si>
    <t>Акт № 6 без дати проведення</t>
  </si>
  <si>
    <t>24.05.2024 12:00:06</t>
  </si>
  <si>
    <t>ІБ00-000097</t>
  </si>
  <si>
    <t>Акт № 7 без дати проведення</t>
  </si>
  <si>
    <t>24.05.2024 12:00:08</t>
  </si>
  <si>
    <t>ІБ00-000099</t>
  </si>
  <si>
    <t>Акт № 9 без дати проведення</t>
  </si>
  <si>
    <t>24.05.2024 12:00:15</t>
  </si>
  <si>
    <t>ІБ00-000116</t>
  </si>
  <si>
    <t>Акт № 11 без дати проведення</t>
  </si>
  <si>
    <t>24.05.2024 12:00:20</t>
  </si>
  <si>
    <t>ІБ00-000121</t>
  </si>
  <si>
    <t>Акт № 18 без дати проведення</t>
  </si>
  <si>
    <t>ІБ00-000165</t>
  </si>
  <si>
    <t>31.05.2024 00:00:00</t>
  </si>
  <si>
    <t>ІБ00-000181</t>
  </si>
  <si>
    <t>Акт № 31 без дати проведення</t>
  </si>
  <si>
    <t>* в ИЮНЬ 24</t>
  </si>
  <si>
    <t>03.06.2024 00:00:00</t>
  </si>
  <si>
    <t>ІБ00-000091</t>
  </si>
  <si>
    <t>Акт № 2 без дати проведення</t>
  </si>
  <si>
    <t>ІБ00-000092</t>
  </si>
  <si>
    <t>Акт № 3 без дати проведення</t>
  </si>
  <si>
    <t>10.06.2024 00:00:00</t>
  </si>
  <si>
    <t>ІБ00-000098</t>
  </si>
  <si>
    <t>Акт № 8 без дати проведення</t>
  </si>
  <si>
    <t>ІБ00-000115</t>
  </si>
  <si>
    <t>Акт № 10 без дати проведення</t>
  </si>
  <si>
    <t>ІБ00-000129</t>
  </si>
  <si>
    <t>Акт № 12 без дати проведення</t>
  </si>
  <si>
    <t>ІБ00-000130</t>
  </si>
  <si>
    <t>Акт № 13 без дати проведення</t>
  </si>
  <si>
    <t>ІБ00-000153</t>
  </si>
  <si>
    <t>Акт № 12.1 без дати проведення</t>
  </si>
  <si>
    <t>14.06.2024 00:00:00</t>
  </si>
  <si>
    <t>ІБ00-000117</t>
  </si>
  <si>
    <t>Акт № 14 без дати проведення</t>
  </si>
  <si>
    <t>ІБ00-000118</t>
  </si>
  <si>
    <t>Акт № 15 без дати проведення</t>
  </si>
  <si>
    <t>ІБ00-000119</t>
  </si>
  <si>
    <t>Акт № 16 без дати проведення</t>
  </si>
  <si>
    <t>ІБ00-000120</t>
  </si>
  <si>
    <t>Акт № 17 без дати проведення</t>
  </si>
  <si>
    <t>ІБ00-000145</t>
  </si>
  <si>
    <t xml:space="preserve"> Акт № 20 без дати проведення</t>
  </si>
  <si>
    <t>17.06.2024 00:00:00</t>
  </si>
  <si>
    <t>ІБ00-000146</t>
  </si>
  <si>
    <t xml:space="preserve"> Акт № 21 без дати проведення</t>
  </si>
  <si>
    <t>ІБ00-000148</t>
  </si>
  <si>
    <t xml:space="preserve"> Акт № 23 без дати проведення</t>
  </si>
  <si>
    <t>ІБ00-000151</t>
  </si>
  <si>
    <t xml:space="preserve"> Акт № 25 без дати проведення</t>
  </si>
  <si>
    <t>ІБ00-000152</t>
  </si>
  <si>
    <t xml:space="preserve"> Акт № 26 без дати проведення</t>
  </si>
  <si>
    <t>ІБ00-000163</t>
  </si>
  <si>
    <t>Акт № 30 без дати проведення</t>
  </si>
  <si>
    <t>ІБ00-000164</t>
  </si>
  <si>
    <t>Акт № 28 без дати проведення</t>
  </si>
  <si>
    <t>ІБ00-000182</t>
  </si>
  <si>
    <t>Акт № 32 без дати проведення</t>
  </si>
  <si>
    <t>ІБ00-000183</t>
  </si>
  <si>
    <t>Акт № 33 без дати проведення</t>
  </si>
  <si>
    <t>ІБ00-000184</t>
  </si>
  <si>
    <t>Акт № 34 без дати проведення</t>
  </si>
  <si>
    <t>ІБ00-000185</t>
  </si>
  <si>
    <t>Акт № 36 без дати проведення</t>
  </si>
  <si>
    <t>ІБ00-000207</t>
  </si>
  <si>
    <t xml:space="preserve">Акт № 41 </t>
  </si>
  <si>
    <t>01.07.2024 10:05:34</t>
  </si>
  <si>
    <t>ІБ00-000208</t>
  </si>
  <si>
    <t xml:space="preserve">Акт № 42 </t>
  </si>
  <si>
    <t>* в июЛь 24</t>
  </si>
  <si>
    <t>ІБ00-000209</t>
  </si>
  <si>
    <t xml:space="preserve">Акт № 40 </t>
  </si>
  <si>
    <t>01.07.2024 10:07:26</t>
  </si>
  <si>
    <t>ІБ00-000210</t>
  </si>
  <si>
    <t xml:space="preserve">Акт № 39 </t>
  </si>
  <si>
    <t>ІБ00-000211</t>
  </si>
  <si>
    <t xml:space="preserve">Акт № 38 </t>
  </si>
  <si>
    <t>01.07.2024 10:08:35</t>
  </si>
  <si>
    <t>ІБ00-000212</t>
  </si>
  <si>
    <t>Акт № 37</t>
  </si>
  <si>
    <t>01.07.2024 10:09:56</t>
  </si>
  <si>
    <t>ІБ00-000213</t>
  </si>
  <si>
    <t>Акт № 29</t>
  </si>
  <si>
    <t>03.07.2024 00:00:00</t>
  </si>
  <si>
    <t>ІБ00-000188</t>
  </si>
  <si>
    <t xml:space="preserve">Акт № 35 </t>
  </si>
  <si>
    <t>15.07.2024 09:47:43</t>
  </si>
  <si>
    <t>ІБ00-000238</t>
  </si>
  <si>
    <t>Аулова Маргарита</t>
  </si>
  <si>
    <t>Акт № 43</t>
  </si>
  <si>
    <t>15.07.2024 09:48:12</t>
  </si>
  <si>
    <t>ІБ00-000239</t>
  </si>
  <si>
    <t>Акт № 47</t>
  </si>
  <si>
    <t>* на 18.07.24</t>
  </si>
  <si>
    <t>Как проведено в PL</t>
  </si>
  <si>
    <t>март</t>
  </si>
  <si>
    <t>апрель</t>
  </si>
  <si>
    <t>май</t>
  </si>
  <si>
    <t>июнь</t>
  </si>
  <si>
    <t>июль</t>
  </si>
  <si>
    <t>Рахунок</t>
  </si>
  <si>
    <t>20</t>
  </si>
  <si>
    <t>205</t>
  </si>
  <si>
    <t>207</t>
  </si>
  <si>
    <t>209</t>
  </si>
  <si>
    <t>221</t>
  </si>
  <si>
    <t>Підрозділи</t>
  </si>
  <si>
    <t>Податкове призначення</t>
  </si>
  <si>
    <t>Період</t>
  </si>
  <si>
    <t>01.02.2024 00:00:00</t>
  </si>
  <si>
    <t>01.03.2024 00:00:00</t>
  </si>
  <si>
    <t>01.04.2024 00:00:00</t>
  </si>
  <si>
    <t>01.05.2024 00:00:00</t>
  </si>
  <si>
    <t>01.06.2024 00:00:00</t>
  </si>
  <si>
    <t>01.07.2024 00:00:00</t>
  </si>
  <si>
    <t>С НДС</t>
  </si>
  <si>
    <t>Дохід</t>
  </si>
  <si>
    <t>Договір</t>
  </si>
  <si>
    <t>Акт</t>
  </si>
  <si>
    <t>Договір генпідряду №14/02/24-1ГП від 14.02.2024</t>
  </si>
  <si>
    <t>Надання виробничих послуг ІБ00-000090 від 24.05.2024 12:00:00</t>
  </si>
  <si>
    <t>Надання виробничих послуг ІБ00-000091 від 03.06.2024 00:00:00</t>
  </si>
  <si>
    <t>Надання виробничих послуг ІБ00-000092 від 03.06.2024 00:00:00</t>
  </si>
  <si>
    <t>Надання виробничих послуг ІБ00-000093 від 24.05.2024 12:00:03</t>
  </si>
  <si>
    <t>Надання виробничих послуг ІБ00-000095 від 24.05.2024 12:00:04</t>
  </si>
  <si>
    <t>Надання виробничих послуг ІБ00-000096 від 24.05.2024 12:00:05</t>
  </si>
  <si>
    <t>Надання виробничих послуг ІБ00-000213 від 01.07.2024 10:09:56</t>
  </si>
  <si>
    <t>Надання виробничих послуг ІБ00-000207 від 05.06.2024 00:00:00</t>
  </si>
  <si>
    <t>Надання виробничих послуг ІБ00-000208 від 01.07.2024 10:05:34</t>
  </si>
  <si>
    <t>Надання виробничих послуг ІБ00-000209 від 05.06.2024 00:00:00</t>
  </si>
  <si>
    <t>Надання виробничих послуг ІБ00-000210 від 01.07.2024 10:07:26</t>
  </si>
  <si>
    <t>Надання виробничих послуг ІБ00-000211 від 05.06.2024 00:00:00</t>
  </si>
  <si>
    <t>Надання виробничих послуг ІБ00-000212 від 01.07.2024 10:08:35</t>
  </si>
  <si>
    <t>Надання виробничих послуг ІБ00-000181 від 31.05.2024 00:00:00</t>
  </si>
  <si>
    <t>Надання виробничих послуг ІБ00-000182 від 05.06.2024 00:00:00</t>
  </si>
  <si>
    <t>Надання виробничих послуг ІБ00-000183 від 17.06.2024 00:00:00</t>
  </si>
  <si>
    <t>Надання виробничих послуг ІБ00-000184 від 05.06.2024 00:00:00</t>
  </si>
  <si>
    <t>Надання виробничих послуг ІБ00-000185 від 17.06.2024 00:00:00</t>
  </si>
  <si>
    <t>Надання виробничих послуг ІБ00-000188 від 03.07.2024 00:00:00</t>
  </si>
  <si>
    <t>Надання виробничих послуг ІБ00-000151 від 05.06.2024 00:00:00</t>
  </si>
  <si>
    <t>Надання виробничих послуг ІБ00-000152 від 17.06.2024 00:00:00</t>
  </si>
  <si>
    <t>Надання виробничих послуг ІБ00-000153 від 10.06.2024 00:00:00</t>
  </si>
  <si>
    <t>Надання виробничих послуг ІБ00-000163 від 17.06.2024 00:00:00</t>
  </si>
  <si>
    <t>Надання виробничих послуг ІБ00-000164 від 17.06.2024 00:00:00</t>
  </si>
  <si>
    <t>Надання виробничих послуг ІБ00-000165 від 01.07.2024 00:00:00</t>
  </si>
  <si>
    <t>Надання виробничих послуг ІБ00-000131 від 24.05.2024 11:51:48</t>
  </si>
  <si>
    <t>Надання виробничих послуг ІБ00-000145 від 05.06.2024 00:00:00</t>
  </si>
  <si>
    <t>Надання виробничих послуг ІБ00-000146 від 17.06.2024 00:00:00</t>
  </si>
  <si>
    <t>Надання виробничих послуг ІБ00-000147 від 24.05.2024 11:32:39</t>
  </si>
  <si>
    <t>Надання виробничих послуг ІБ00-000148 від 17.06.2024 00:00:00</t>
  </si>
  <si>
    <t>Надання виробничих послуг ІБ00-000149 від 24.05.2024 11:34:02</t>
  </si>
  <si>
    <t>Надання виробничих послуг ІБ00-000118 від 14.06.2024 00:00:00</t>
  </si>
  <si>
    <t>Надання виробничих послуг ІБ00-000119 від 05.06.2024 00:00:00</t>
  </si>
  <si>
    <t>Надання виробничих послуг ІБ00-000120 від 05.06.2024 00:00:00</t>
  </si>
  <si>
    <t>Надання виробничих послуг ІБ00-000121 від 24.05.2024 12:00:20</t>
  </si>
  <si>
    <t>Надання виробничих послуг ІБ00-000129 від 10.06.2024 00:00:00</t>
  </si>
  <si>
    <t>Надання виробничих послуг ІБ00-000130 від 10.06.2024 00:00:00</t>
  </si>
  <si>
    <t>Надання виробничих послуг ІБ00-000097 від 24.05.2024 12:00:06</t>
  </si>
  <si>
    <t>Надання виробничих послуг ІБ00-000098 від 10.06.2024 00:00:00</t>
  </si>
  <si>
    <t>Надання виробничих послуг ІБ00-000099 від 24.05.2024 12:00:08</t>
  </si>
  <si>
    <t>Надання виробничих послуг ІБ00-000115 від 10.06.2024 00:00:00</t>
  </si>
  <si>
    <t>Надання виробничих послуг ІБ00-000116 від 24.05.2024 12:00:15</t>
  </si>
  <si>
    <t>Надання виробничих послуг ІБ00-000117 від 14.06.2024 00:00:00</t>
  </si>
  <si>
    <t>Собівартість без ПДВ</t>
  </si>
  <si>
    <t>Собівартість з ПДВ</t>
  </si>
  <si>
    <t>ЗАКАЗЧИКУ</t>
  </si>
  <si>
    <t>Склад</t>
  </si>
  <si>
    <t>Цех_Ніжин-3</t>
  </si>
  <si>
    <t>Стецюк Татьяна</t>
  </si>
  <si>
    <t>17.06.2024 17:42:29</t>
  </si>
  <si>
    <t>ІБ00-000270</t>
  </si>
  <si>
    <t>ОПОРА</t>
  </si>
  <si>
    <t>17.06.2024 17:42:37</t>
  </si>
  <si>
    <t>ІБ00-000271</t>
  </si>
  <si>
    <t>НОРІЯ 2</t>
  </si>
  <si>
    <t>17.06.2024 17:42:45</t>
  </si>
  <si>
    <t>ІБ00-000272</t>
  </si>
  <si>
    <t>ЕКСПОНДУВАННЯ</t>
  </si>
  <si>
    <t>Сумма без НДС</t>
  </si>
  <si>
    <t>Сумма С НДС</t>
  </si>
  <si>
    <t>Наименование</t>
  </si>
  <si>
    <t>МШП</t>
  </si>
  <si>
    <t>Строительные материалы</t>
  </si>
  <si>
    <t>Разница</t>
  </si>
  <si>
    <t>Данные PL</t>
  </si>
  <si>
    <t>Данные ПТО</t>
  </si>
  <si>
    <t>АВР закрытые по 30.06.24</t>
  </si>
  <si>
    <t>* в том числе материалы привезенные на ЦЕХ - 199 311,43</t>
  </si>
  <si>
    <t>Списание материалов Ф2 - арматура</t>
  </si>
  <si>
    <t>Оплата за выполненные работы</t>
  </si>
  <si>
    <t>Ремонты</t>
  </si>
  <si>
    <t>Прочие производственные затраты</t>
  </si>
  <si>
    <t>Расход от ивест. Деятельности (ОС)</t>
  </si>
  <si>
    <t>Хозтовары и материалы</t>
  </si>
  <si>
    <t>ИТ расходы</t>
  </si>
  <si>
    <t>Питьевая вода</t>
  </si>
  <si>
    <t>Курьерские и почтовые</t>
  </si>
  <si>
    <t>Канцтовары</t>
  </si>
  <si>
    <t>Общепроизводственные затраты</t>
  </si>
  <si>
    <t>Административные затраты</t>
  </si>
  <si>
    <t>Производственные затраты без Материалов и МШП</t>
  </si>
  <si>
    <t>Комиссия фин.агента</t>
  </si>
  <si>
    <t>Прибыль на 30.06.24</t>
  </si>
  <si>
    <t>АВР проведены в июЛе</t>
  </si>
  <si>
    <t>АВР будут в июЛе</t>
  </si>
  <si>
    <t>Работы</t>
  </si>
  <si>
    <t>Списание материалов и МШП к проведенным АВР</t>
  </si>
  <si>
    <t>Работы к проведенным АВР</t>
  </si>
  <si>
    <t>Списание материалов и МШП к будущим АВР</t>
  </si>
  <si>
    <t>Работы к будущим АВР</t>
  </si>
  <si>
    <t>Статья движения денежных средств</t>
  </si>
  <si>
    <t>Сумма план объект</t>
  </si>
  <si>
    <t>Сумма Факт</t>
  </si>
  <si>
    <t>Доходы</t>
  </si>
  <si>
    <t xml:space="preserve">Операционная деятельность </t>
  </si>
  <si>
    <t>Поступление от возврата денежных средств</t>
  </si>
  <si>
    <t>Поступление от заказчика</t>
  </si>
  <si>
    <t>Прочие поступления</t>
  </si>
  <si>
    <t>Финансовая деятельность</t>
  </si>
  <si>
    <t>Внутригрупповые доходы</t>
  </si>
  <si>
    <t>Поступление от Фин агента</t>
  </si>
  <si>
    <t>Транзит Вх</t>
  </si>
  <si>
    <t>Списание</t>
  </si>
  <si>
    <t>1.Операционная деятельность</t>
  </si>
  <si>
    <t>Аренда квартиры</t>
  </si>
  <si>
    <t>Коммунальные платежи</t>
  </si>
  <si>
    <t>Зарплата управленческого персонала</t>
  </si>
  <si>
    <t>Зарплата PM</t>
  </si>
  <si>
    <t>Начисления на зарплату PM</t>
  </si>
  <si>
    <t>Удержание с зарплаты РМ</t>
  </si>
  <si>
    <t>Затраты на командировку</t>
  </si>
  <si>
    <t>Проезд</t>
  </si>
  <si>
    <t>Суточные</t>
  </si>
  <si>
    <t>Затраты на персонал</t>
  </si>
  <si>
    <t>Затраты по корпоративной культуре</t>
  </si>
  <si>
    <t>Налоги и сборы</t>
  </si>
  <si>
    <t>Прочие налоги</t>
  </si>
  <si>
    <t>Транспортные затраты</t>
  </si>
  <si>
    <t>ГСМ (топливо)</t>
  </si>
  <si>
    <t>Услуги</t>
  </si>
  <si>
    <t>Представительские затраты</t>
  </si>
  <si>
    <t>Прочие затраты</t>
  </si>
  <si>
    <t>Услуги банков</t>
  </si>
  <si>
    <t>Комиссия банков и др.платежи по РКО</t>
  </si>
  <si>
    <t>Юридические услуги</t>
  </si>
  <si>
    <t>Штраф</t>
  </si>
  <si>
    <t>Заправка картриджа</t>
  </si>
  <si>
    <t>Обслуживание офисной техники</t>
  </si>
  <si>
    <t>Спецодежда</t>
  </si>
  <si>
    <t>Охрана труда</t>
  </si>
  <si>
    <t>Обучение производственного персонала</t>
  </si>
  <si>
    <t>Прочие затраты охраны труда</t>
  </si>
  <si>
    <t>Другие хозтовары</t>
  </si>
  <si>
    <t>Производственные затраты</t>
  </si>
  <si>
    <t>Аренда производственного назначения</t>
  </si>
  <si>
    <t>Аренда баллонов</t>
  </si>
  <si>
    <t>Аренда опалубки</t>
  </si>
  <si>
    <t>Аренда сторонней техники</t>
  </si>
  <si>
    <t>Аренда строительного оборудования</t>
  </si>
  <si>
    <t>Аренда техники</t>
  </si>
  <si>
    <t>Горючесмазочные материалы</t>
  </si>
  <si>
    <t>Топливо</t>
  </si>
  <si>
    <t xml:space="preserve">Зарплата производственного персонала с начислениями </t>
  </si>
  <si>
    <t>Зарплата ИТР</t>
  </si>
  <si>
    <t>Зарплата кладовщика</t>
  </si>
  <si>
    <t>Зарплата механизаторов</t>
  </si>
  <si>
    <t>Зарплата подсобников</t>
  </si>
  <si>
    <t>Зарплата производственного персонала</t>
  </si>
  <si>
    <t>Начисления на зарплату ИТР</t>
  </si>
  <si>
    <t>Начисления на зарплату механизаторов</t>
  </si>
  <si>
    <t>Начисления на зарплату производственного персонала</t>
  </si>
  <si>
    <t>Удержание с зарплаты ИТР</t>
  </si>
  <si>
    <t>Удержание с зарплаты механизатров</t>
  </si>
  <si>
    <t>Удержание с зарплаты производственного персонала</t>
  </si>
  <si>
    <t>Производственные затраты и услуги</t>
  </si>
  <si>
    <t>Залоговая сумма</t>
  </si>
  <si>
    <t>Транспортные расходы</t>
  </si>
  <si>
    <t>Услуги сторонних организаций</t>
  </si>
  <si>
    <t>2.Инвестиционная деятельность</t>
  </si>
  <si>
    <t>4.Покупка ОС административного назначения</t>
  </si>
  <si>
    <t>Мебель</t>
  </si>
  <si>
    <t>Прочие ОС</t>
  </si>
  <si>
    <t>Покупка производственных ОС</t>
  </si>
  <si>
    <t>3.Финансовая деятельность</t>
  </si>
  <si>
    <t>Внутригрупповые затраты</t>
  </si>
  <si>
    <t>Комиссия по Фин агенту</t>
  </si>
  <si>
    <t>Оплата Фин агентам</t>
  </si>
  <si>
    <t>Разом</t>
  </si>
  <si>
    <t>Материалы</t>
  </si>
  <si>
    <t>Списание материалов и МШП в бух.учете</t>
  </si>
  <si>
    <t>Ожидаемая прибыль на 31.07.24</t>
  </si>
  <si>
    <t>АВР которые необходимо еще закрыть по объекту</t>
  </si>
  <si>
    <t>Ожидаемая прибыль за июль</t>
  </si>
  <si>
    <t>Ожидаемая прибыль с объекта</t>
  </si>
  <si>
    <t>Планируемая прибыль с 01.08 до окончания объекта</t>
  </si>
  <si>
    <t>* % прибыли</t>
  </si>
  <si>
    <t>Списано Бухг</t>
  </si>
  <si>
    <t>Данные из бюджета объекта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</si>
</sst>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₴_-;\-* #,##0.00_₴_-;_-* &quot;-&quot;??_₴_-;_-@_-"/>
    <numFmt numFmtId="164" formatCode="#,##0.00\ _₴"/>
    <numFmt numFmtId="165" formatCode="_-* #,##0.00\ _₴_-;\-* #,##0.00\ _₴_-;_-* &quot;-&quot;??\ _₴_-;_-@_-"/>
    <numFmt numFmtId="166" formatCode="\№0"/>
    <numFmt numFmtId="167" formatCode="\№0.0"/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sz val="10"/>
      <color indexed="21"/>
      <name val="Arial"/>
      <family val="2"/>
      <charset val="204"/>
    </font>
    <font>
      <sz val="8"/>
      <color indexed="21"/>
      <name val="Arial"/>
      <family val="2"/>
      <charset val="204"/>
    </font>
    <font>
      <sz val="8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indexed="9"/>
      <name val="Arial"/>
      <family val="2"/>
      <charset val="204"/>
    </font>
    <font>
      <b/>
      <sz val="8"/>
      <color indexed="56"/>
      <name val="Arial"/>
      <family val="2"/>
      <charset val="204"/>
    </font>
    <font>
      <b/>
      <sz val="14"/>
      <color rgb="FFFF0000"/>
      <name val="Times New Roman"/>
      <family val="1"/>
      <charset val="204"/>
    </font>
    <font>
      <b/>
      <sz val="10"/>
      <color indexed="21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medium">
        <color indexed="64"/>
      </left>
      <right style="thin">
        <color indexed="54"/>
      </right>
      <top style="medium">
        <color indexed="64"/>
      </top>
      <bottom style="thin">
        <color indexed="54"/>
      </bottom>
      <diagonal/>
    </border>
    <border>
      <left style="thin">
        <color indexed="54"/>
      </left>
      <right style="medium">
        <color indexed="64"/>
      </right>
      <top style="medium">
        <color indexed="64"/>
      </top>
      <bottom style="thin">
        <color indexed="54"/>
      </bottom>
      <diagonal/>
    </border>
    <border>
      <left style="medium">
        <color indexed="6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 style="medium">
        <color indexed="64"/>
      </right>
      <top style="thin">
        <color indexed="54"/>
      </top>
      <bottom style="thin">
        <color indexed="54"/>
      </bottom>
      <diagonal/>
    </border>
    <border>
      <left style="medium">
        <color indexed="64"/>
      </left>
      <right style="thin">
        <color indexed="54"/>
      </right>
      <top style="thin">
        <color indexed="54"/>
      </top>
      <bottom style="medium">
        <color indexed="64"/>
      </bottom>
      <diagonal/>
    </border>
    <border>
      <left style="thin">
        <color indexed="54"/>
      </left>
      <right style="medium">
        <color indexed="64"/>
      </right>
      <top style="thin">
        <color indexed="54"/>
      </top>
      <bottom style="medium">
        <color indexed="64"/>
      </bottom>
      <diagonal/>
    </border>
    <border>
      <left style="thin">
        <color indexed="31"/>
      </left>
      <right/>
      <top style="thin">
        <color indexed="31"/>
      </top>
      <bottom/>
      <diagonal/>
    </border>
    <border>
      <left style="thin">
        <color indexed="31"/>
      </left>
      <right/>
      <top/>
      <bottom/>
      <diagonal/>
    </border>
    <border>
      <left style="thin">
        <color indexed="54"/>
      </left>
      <right/>
      <top style="medium">
        <color indexed="64"/>
      </top>
      <bottom style="thin">
        <color indexed="54"/>
      </bottom>
      <diagonal/>
    </border>
    <border>
      <left style="thin">
        <color indexed="54"/>
      </left>
      <right/>
      <top style="thin">
        <color indexed="54"/>
      </top>
      <bottom style="medium">
        <color indexed="64"/>
      </bottom>
      <diagonal/>
    </border>
    <border>
      <left style="thin">
        <color indexed="54"/>
      </left>
      <right/>
      <top style="thin">
        <color indexed="54"/>
      </top>
      <bottom style="thin">
        <color indexed="5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4"/>
      </bottom>
      <diagonal/>
    </border>
    <border>
      <left style="medium">
        <color indexed="64"/>
      </left>
      <right style="medium">
        <color indexed="64"/>
      </right>
      <top style="thin">
        <color indexed="54"/>
      </top>
      <bottom style="thin">
        <color indexed="54"/>
      </bottom>
      <diagonal/>
    </border>
    <border>
      <left style="medium">
        <color indexed="64"/>
      </left>
      <right style="medium">
        <color indexed="64"/>
      </right>
      <top style="thin">
        <color indexed="5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54"/>
      </bottom>
      <diagonal/>
    </border>
    <border>
      <left style="medium">
        <color indexed="64"/>
      </left>
      <right/>
      <top style="thin">
        <color indexed="5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05">
    <xf numFmtId="0" fontId="0" fillId="0" borderId="0" xfId="0"/>
    <xf numFmtId="43" fontId="3" fillId="2" borderId="4" xfId="1" applyFont="1" applyFill="1" applyBorder="1" applyAlignment="1">
      <alignment horizontal="center" vertical="center" wrapText="1"/>
    </xf>
    <xf numFmtId="43" fontId="3" fillId="2" borderId="13" xfId="1" applyFont="1" applyFill="1" applyBorder="1" applyAlignment="1">
      <alignment horizontal="center" vertical="center" wrapText="1"/>
    </xf>
    <xf numFmtId="0" fontId="4" fillId="0" borderId="15" xfId="2" applyFont="1" applyFill="1" applyBorder="1" applyAlignment="1">
      <alignment horizontal="center" vertical="center"/>
    </xf>
    <xf numFmtId="0" fontId="4" fillId="0" borderId="15" xfId="2" applyFont="1" applyFill="1" applyBorder="1" applyAlignment="1">
      <alignment horizontal="left" vertical="center" wrapText="1"/>
    </xf>
    <xf numFmtId="165" fontId="4" fillId="0" borderId="15" xfId="2" applyNumberFormat="1" applyFont="1" applyFill="1" applyBorder="1" applyAlignment="1">
      <alignment horizontal="center" vertical="center"/>
    </xf>
    <xf numFmtId="1" fontId="4" fillId="0" borderId="15" xfId="2" applyNumberFormat="1" applyFont="1" applyFill="1" applyBorder="1" applyAlignment="1">
      <alignment horizontal="center" vertical="center"/>
    </xf>
    <xf numFmtId="166" fontId="4" fillId="0" borderId="15" xfId="2" applyNumberFormat="1" applyFont="1" applyFill="1" applyBorder="1" applyAlignment="1">
      <alignment horizontal="center" vertical="center"/>
    </xf>
    <xf numFmtId="165" fontId="3" fillId="3" borderId="15" xfId="2" applyNumberFormat="1" applyFont="1" applyFill="1" applyBorder="1" applyAlignment="1">
      <alignment horizontal="center" vertical="center"/>
    </xf>
    <xf numFmtId="165" fontId="4" fillId="0" borderId="8" xfId="2" applyNumberFormat="1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left" vertical="center" wrapText="1"/>
    </xf>
    <xf numFmtId="165" fontId="4" fillId="0" borderId="16" xfId="2" applyNumberFormat="1" applyFont="1" applyFill="1" applyBorder="1" applyAlignment="1">
      <alignment horizontal="center" vertical="center"/>
    </xf>
    <xf numFmtId="1" fontId="4" fillId="0" borderId="7" xfId="2" applyNumberFormat="1" applyFont="1" applyFill="1" applyBorder="1" applyAlignment="1">
      <alignment horizontal="center" vertical="center" wrapText="1"/>
    </xf>
    <xf numFmtId="166" fontId="4" fillId="0" borderId="7" xfId="2" applyNumberFormat="1" applyFont="1" applyFill="1" applyBorder="1" applyAlignment="1">
      <alignment horizontal="center" vertical="center"/>
    </xf>
    <xf numFmtId="165" fontId="3" fillId="3" borderId="16" xfId="2" applyNumberFormat="1" applyFont="1" applyFill="1" applyBorder="1" applyAlignment="1">
      <alignment horizontal="center" vertical="center"/>
    </xf>
    <xf numFmtId="165" fontId="4" fillId="0" borderId="7" xfId="2" applyNumberFormat="1" applyFont="1" applyFill="1" applyBorder="1" applyAlignment="1">
      <alignment horizontal="center" vertical="center"/>
    </xf>
    <xf numFmtId="1" fontId="4" fillId="0" borderId="7" xfId="2" applyNumberFormat="1" applyFont="1" applyFill="1" applyBorder="1" applyAlignment="1">
      <alignment horizontal="center" vertical="center"/>
    </xf>
    <xf numFmtId="165" fontId="3" fillId="3" borderId="7" xfId="2" applyNumberFormat="1" applyFont="1" applyFill="1" applyBorder="1" applyAlignment="1">
      <alignment horizontal="center" vertical="center"/>
    </xf>
    <xf numFmtId="165" fontId="3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 wrapText="1"/>
    </xf>
    <xf numFmtId="165" fontId="4" fillId="0" borderId="7" xfId="2" applyNumberFormat="1" applyFont="1" applyFill="1" applyBorder="1" applyAlignment="1">
      <alignment vertical="center"/>
    </xf>
    <xf numFmtId="165" fontId="3" fillId="4" borderId="7" xfId="2" applyNumberFormat="1" applyFont="1" applyFill="1" applyBorder="1" applyAlignment="1">
      <alignment horizontal="center" vertical="center"/>
    </xf>
    <xf numFmtId="0" fontId="4" fillId="0" borderId="7" xfId="2" applyNumberFormat="1" applyFont="1" applyFill="1" applyBorder="1" applyAlignment="1">
      <alignment horizontal="center" vertical="center" wrapText="1"/>
    </xf>
    <xf numFmtId="165" fontId="3" fillId="3" borderId="7" xfId="2" applyNumberFormat="1" applyFont="1" applyFill="1" applyBorder="1" applyAlignment="1">
      <alignment horizontal="center" vertical="center" wrapText="1"/>
    </xf>
    <xf numFmtId="165" fontId="4" fillId="0" borderId="7" xfId="2" applyNumberFormat="1" applyFont="1" applyFill="1" applyBorder="1" applyAlignment="1">
      <alignment horizontal="center" vertical="center" wrapText="1"/>
    </xf>
    <xf numFmtId="165" fontId="3" fillId="0" borderId="7" xfId="2" applyNumberFormat="1" applyFont="1" applyFill="1" applyBorder="1" applyAlignment="1">
      <alignment horizontal="center" vertical="center" wrapText="1"/>
    </xf>
    <xf numFmtId="0" fontId="4" fillId="0" borderId="16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left" vertical="center" wrapText="1"/>
    </xf>
    <xf numFmtId="165" fontId="3" fillId="3" borderId="7" xfId="2" applyNumberFormat="1" applyFont="1" applyFill="1" applyBorder="1" applyAlignment="1">
      <alignment vertical="center"/>
    </xf>
    <xf numFmtId="165" fontId="3" fillId="3" borderId="7" xfId="2" applyNumberFormat="1" applyFont="1" applyFill="1" applyBorder="1" applyAlignment="1">
      <alignment vertical="center" wrapText="1"/>
    </xf>
    <xf numFmtId="165" fontId="4" fillId="0" borderId="7" xfId="2" applyNumberFormat="1" applyFont="1" applyFill="1" applyBorder="1" applyAlignment="1">
      <alignment vertical="center" wrapText="1"/>
    </xf>
    <xf numFmtId="166" fontId="4" fillId="0" borderId="7" xfId="2" applyNumberFormat="1" applyFont="1" applyFill="1" applyBorder="1" applyAlignment="1">
      <alignment horizontal="center" vertical="center" wrapText="1"/>
    </xf>
    <xf numFmtId="167" fontId="4" fillId="0" borderId="7" xfId="2" applyNumberFormat="1" applyFont="1" applyFill="1" applyBorder="1" applyAlignment="1">
      <alignment horizontal="center" vertical="center" wrapText="1"/>
    </xf>
    <xf numFmtId="166" fontId="4" fillId="0" borderId="7" xfId="2" applyNumberFormat="1" applyFont="1" applyFill="1" applyBorder="1" applyAlignment="1">
      <alignment vertical="center"/>
    </xf>
    <xf numFmtId="165" fontId="3" fillId="0" borderId="7" xfId="2" applyNumberFormat="1" applyFont="1" applyFill="1" applyBorder="1" applyAlignment="1">
      <alignment vertical="center"/>
    </xf>
    <xf numFmtId="165" fontId="4" fillId="0" borderId="16" xfId="2" applyNumberFormat="1" applyFont="1" applyFill="1" applyBorder="1" applyAlignment="1">
      <alignment vertical="center"/>
    </xf>
    <xf numFmtId="165" fontId="3" fillId="4" borderId="7" xfId="2" applyNumberFormat="1" applyFont="1" applyFill="1" applyBorder="1" applyAlignment="1">
      <alignment vertical="center"/>
    </xf>
    <xf numFmtId="0" fontId="4" fillId="0" borderId="7" xfId="2" applyNumberFormat="1" applyFont="1" applyFill="1" applyBorder="1" applyAlignment="1">
      <alignment horizontal="left" vertical="center" wrapText="1"/>
    </xf>
    <xf numFmtId="165" fontId="3" fillId="5" borderId="7" xfId="2" applyNumberFormat="1" applyFont="1" applyFill="1" applyBorder="1" applyAlignment="1">
      <alignment vertical="center"/>
    </xf>
    <xf numFmtId="165" fontId="3" fillId="5" borderId="7" xfId="2" applyNumberFormat="1" applyFont="1" applyFill="1" applyBorder="1" applyAlignment="1">
      <alignment horizontal="center" vertical="center"/>
    </xf>
    <xf numFmtId="0" fontId="3" fillId="0" borderId="7" xfId="2" applyFont="1" applyBorder="1" applyAlignment="1">
      <alignment vertical="center"/>
    </xf>
    <xf numFmtId="164" fontId="3" fillId="0" borderId="7" xfId="1" applyNumberFormat="1" applyFont="1" applyFill="1" applyBorder="1" applyAlignment="1">
      <alignment vertical="center"/>
    </xf>
    <xf numFmtId="0" fontId="4" fillId="6" borderId="7" xfId="2" applyFont="1" applyFill="1" applyBorder="1" applyAlignment="1">
      <alignment horizontal="center" vertical="center"/>
    </xf>
    <xf numFmtId="165" fontId="3" fillId="6" borderId="7" xfId="2" applyNumberFormat="1" applyFont="1" applyFill="1" applyBorder="1" applyAlignment="1">
      <alignment vertical="center" wrapText="1"/>
    </xf>
    <xf numFmtId="165" fontId="4" fillId="6" borderId="7" xfId="2" applyNumberFormat="1" applyFont="1" applyFill="1" applyBorder="1" applyAlignment="1">
      <alignment vertical="center"/>
    </xf>
    <xf numFmtId="166" fontId="4" fillId="6" borderId="7" xfId="2" applyNumberFormat="1" applyFont="1" applyFill="1" applyBorder="1" applyAlignment="1">
      <alignment vertical="center"/>
    </xf>
    <xf numFmtId="165" fontId="4" fillId="6" borderId="7" xfId="2" applyNumberFormat="1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left" vertical="center" wrapText="1"/>
    </xf>
    <xf numFmtId="43" fontId="3" fillId="2" borderId="1" xfId="1" applyFont="1" applyFill="1" applyBorder="1" applyAlignment="1">
      <alignment vertical="center" wrapText="1"/>
    </xf>
    <xf numFmtId="0" fontId="3" fillId="2" borderId="2" xfId="2" applyFont="1" applyFill="1" applyBorder="1" applyAlignment="1">
      <alignment vertical="center"/>
    </xf>
    <xf numFmtId="164" fontId="3" fillId="2" borderId="2" xfId="1" applyNumberFormat="1" applyFont="1" applyFill="1" applyBorder="1" applyAlignment="1">
      <alignment vertical="center" wrapText="1"/>
    </xf>
    <xf numFmtId="43" fontId="3" fillId="2" borderId="3" xfId="1" applyFont="1" applyFill="1" applyBorder="1" applyAlignment="1">
      <alignment vertical="center" wrapText="1"/>
    </xf>
    <xf numFmtId="43" fontId="3" fillId="2" borderId="4" xfId="1" applyFont="1" applyFill="1" applyBorder="1" applyAlignment="1">
      <alignment vertical="center" wrapText="1"/>
    </xf>
    <xf numFmtId="43" fontId="3" fillId="2" borderId="5" xfId="1" applyFont="1" applyFill="1" applyBorder="1" applyAlignment="1">
      <alignment vertical="center" wrapText="1"/>
    </xf>
    <xf numFmtId="43" fontId="3" fillId="2" borderId="6" xfId="1" applyFont="1" applyFill="1" applyBorder="1" applyAlignment="1">
      <alignment vertical="center" wrapText="1"/>
    </xf>
    <xf numFmtId="0" fontId="3" fillId="2" borderId="8" xfId="2" applyFont="1" applyFill="1" applyBorder="1" applyAlignment="1">
      <alignment vertical="center"/>
    </xf>
    <xf numFmtId="164" fontId="3" fillId="2" borderId="8" xfId="1" applyNumberFormat="1" applyFont="1" applyFill="1" applyBorder="1" applyAlignment="1">
      <alignment vertical="center" wrapText="1"/>
    </xf>
    <xf numFmtId="43" fontId="3" fillId="2" borderId="9" xfId="1" applyFont="1" applyFill="1" applyBorder="1" applyAlignment="1">
      <alignment vertical="center" wrapText="1"/>
    </xf>
    <xf numFmtId="43" fontId="3" fillId="2" borderId="10" xfId="1" applyFont="1" applyFill="1" applyBorder="1" applyAlignment="1">
      <alignment vertical="center" wrapText="1"/>
    </xf>
    <xf numFmtId="43" fontId="3" fillId="2" borderId="11" xfId="1" applyFont="1" applyFill="1" applyBorder="1" applyAlignment="1">
      <alignment vertical="center" wrapText="1"/>
    </xf>
    <xf numFmtId="43" fontId="3" fillId="2" borderId="12" xfId="1" applyFont="1" applyFill="1" applyBorder="1" applyAlignment="1">
      <alignment vertical="center" wrapText="1"/>
    </xf>
    <xf numFmtId="0" fontId="3" fillId="2" borderId="14" xfId="2" applyFont="1" applyFill="1" applyBorder="1" applyAlignment="1">
      <alignment vertical="center"/>
    </xf>
    <xf numFmtId="164" fontId="3" fillId="2" borderId="14" xfId="1" applyNumberFormat="1" applyFont="1" applyFill="1" applyBorder="1" applyAlignment="1">
      <alignment vertical="center" wrapText="1"/>
    </xf>
    <xf numFmtId="0" fontId="7" fillId="7" borderId="17" xfId="3" applyNumberFormat="1" applyFont="1" applyFill="1" applyBorder="1" applyAlignment="1">
      <alignment horizontal="left" vertical="top"/>
    </xf>
    <xf numFmtId="0" fontId="8" fillId="4" borderId="17" xfId="3" applyNumberFormat="1" applyFont="1" applyFill="1" applyBorder="1" applyAlignment="1">
      <alignment horizontal="left" vertical="top"/>
    </xf>
    <xf numFmtId="4" fontId="8" fillId="4" borderId="17" xfId="3" applyNumberFormat="1" applyFont="1" applyFill="1" applyBorder="1" applyAlignment="1">
      <alignment horizontal="right" vertical="top"/>
    </xf>
    <xf numFmtId="0" fontId="9" fillId="4" borderId="0" xfId="0" applyFont="1" applyFill="1"/>
    <xf numFmtId="0" fontId="10" fillId="7" borderId="17" xfId="3" applyNumberFormat="1" applyFont="1" applyFill="1" applyBorder="1" applyAlignment="1">
      <alignment horizontal="left" vertical="top"/>
    </xf>
    <xf numFmtId="4" fontId="10" fillId="3" borderId="17" xfId="3" applyNumberFormat="1" applyFont="1" applyFill="1" applyBorder="1" applyAlignment="1">
      <alignment horizontal="right" vertical="top"/>
    </xf>
    <xf numFmtId="22" fontId="10" fillId="7" borderId="17" xfId="3" applyNumberFormat="1" applyFont="1" applyFill="1" applyBorder="1" applyAlignment="1">
      <alignment horizontal="left" vertical="top"/>
    </xf>
    <xf numFmtId="0" fontId="10" fillId="4" borderId="17" xfId="3" applyNumberFormat="1" applyFont="1" applyFill="1" applyBorder="1" applyAlignment="1">
      <alignment horizontal="left" vertical="top"/>
    </xf>
    <xf numFmtId="4" fontId="0" fillId="0" borderId="0" xfId="0" applyNumberFormat="1"/>
    <xf numFmtId="4" fontId="0" fillId="0" borderId="0" xfId="0" applyNumberFormat="1" applyAlignment="1">
      <alignment horizontal="left" vertical="center"/>
    </xf>
    <xf numFmtId="4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4" fontId="8" fillId="4" borderId="17" xfId="3" applyNumberFormat="1" applyFont="1" applyFill="1" applyBorder="1" applyAlignment="1">
      <alignment horizontal="left" vertical="top"/>
    </xf>
    <xf numFmtId="0" fontId="12" fillId="7" borderId="18" xfId="4" applyNumberFormat="1" applyFont="1" applyFill="1" applyBorder="1" applyAlignment="1">
      <alignment vertical="top" wrapText="1"/>
    </xf>
    <xf numFmtId="0" fontId="13" fillId="7" borderId="22" xfId="4" applyNumberFormat="1" applyFont="1" applyFill="1" applyBorder="1" applyAlignment="1">
      <alignment vertical="top" wrapText="1" indent="1"/>
    </xf>
    <xf numFmtId="4" fontId="13" fillId="7" borderId="22" xfId="4" applyNumberFormat="1" applyFont="1" applyFill="1" applyBorder="1" applyAlignment="1">
      <alignment horizontal="right" vertical="top" wrapText="1"/>
    </xf>
    <xf numFmtId="0" fontId="14" fillId="0" borderId="22" xfId="4" applyNumberFormat="1" applyFont="1" applyBorder="1" applyAlignment="1">
      <alignment vertical="top" wrapText="1" indent="3"/>
    </xf>
    <xf numFmtId="4" fontId="6" fillId="0" borderId="22" xfId="4" applyNumberFormat="1" applyFont="1" applyBorder="1" applyAlignment="1">
      <alignment horizontal="right" vertical="top" wrapText="1"/>
    </xf>
    <xf numFmtId="0" fontId="6" fillId="0" borderId="22" xfId="4" applyNumberFormat="1" applyFont="1" applyBorder="1" applyAlignment="1">
      <alignment vertical="top" wrapText="1"/>
    </xf>
    <xf numFmtId="2" fontId="6" fillId="0" borderId="22" xfId="4" applyNumberFormat="1" applyFont="1" applyBorder="1" applyAlignment="1">
      <alignment horizontal="right" vertical="top" wrapText="1"/>
    </xf>
    <xf numFmtId="0" fontId="14" fillId="0" borderId="0" xfId="4" applyNumberFormat="1" applyFont="1" applyFill="1" applyBorder="1" applyAlignment="1">
      <alignment vertical="top" wrapText="1" indent="3"/>
    </xf>
    <xf numFmtId="0" fontId="17" fillId="8" borderId="23" xfId="5" applyNumberFormat="1" applyFont="1" applyFill="1" applyBorder="1" applyAlignment="1">
      <alignment vertical="top" wrapText="1"/>
    </xf>
    <xf numFmtId="0" fontId="17" fillId="8" borderId="24" xfId="5" applyNumberFormat="1" applyFont="1" applyFill="1" applyBorder="1" applyAlignment="1">
      <alignment vertical="top" wrapText="1"/>
    </xf>
    <xf numFmtId="0" fontId="6" fillId="0" borderId="25" xfId="5" applyNumberFormat="1" applyFont="1" applyBorder="1" applyAlignment="1">
      <alignment vertical="top" wrapText="1" indent="4"/>
    </xf>
    <xf numFmtId="4" fontId="6" fillId="0" borderId="26" xfId="5" applyNumberFormat="1" applyFont="1" applyBorder="1" applyAlignment="1">
      <alignment horizontal="right" vertical="top"/>
    </xf>
    <xf numFmtId="0" fontId="6" fillId="0" borderId="27" xfId="5" applyNumberFormat="1" applyFont="1" applyBorder="1" applyAlignment="1">
      <alignment vertical="top" wrapText="1" indent="4"/>
    </xf>
    <xf numFmtId="4" fontId="6" fillId="0" borderId="28" xfId="5" applyNumberFormat="1" applyFont="1" applyBorder="1" applyAlignment="1">
      <alignment horizontal="right" vertical="top"/>
    </xf>
    <xf numFmtId="0" fontId="6" fillId="0" borderId="29" xfId="5" applyNumberFormat="1" applyFont="1" applyBorder="1" applyAlignment="1">
      <alignment vertical="top" wrapText="1" indent="4"/>
    </xf>
    <xf numFmtId="4" fontId="6" fillId="0" borderId="30" xfId="5" applyNumberFormat="1" applyFont="1" applyBorder="1" applyAlignment="1">
      <alignment horizontal="right" vertical="top"/>
    </xf>
    <xf numFmtId="0" fontId="18" fillId="9" borderId="25" xfId="5" applyNumberFormat="1" applyFont="1" applyFill="1" applyBorder="1" applyAlignment="1">
      <alignment vertical="top" wrapText="1"/>
    </xf>
    <xf numFmtId="0" fontId="18" fillId="10" borderId="29" xfId="5" applyNumberFormat="1" applyFont="1" applyFill="1" applyBorder="1" applyAlignment="1">
      <alignment vertical="top" wrapText="1" indent="2"/>
    </xf>
    <xf numFmtId="4" fontId="18" fillId="9" borderId="33" xfId="5" applyNumberFormat="1" applyFont="1" applyFill="1" applyBorder="1" applyAlignment="1">
      <alignment horizontal="right" vertical="top"/>
    </xf>
    <xf numFmtId="4" fontId="18" fillId="10" borderId="34" xfId="5" applyNumberFormat="1" applyFont="1" applyFill="1" applyBorder="1" applyAlignment="1">
      <alignment horizontal="right" vertical="top"/>
    </xf>
    <xf numFmtId="4" fontId="6" fillId="0" borderId="33" xfId="5" applyNumberFormat="1" applyFont="1" applyBorder="1" applyAlignment="1">
      <alignment horizontal="right" vertical="top"/>
    </xf>
    <xf numFmtId="4" fontId="6" fillId="0" borderId="35" xfId="5" applyNumberFormat="1" applyFont="1" applyBorder="1" applyAlignment="1">
      <alignment horizontal="right" vertical="top"/>
    </xf>
    <xf numFmtId="4" fontId="6" fillId="0" borderId="34" xfId="5" applyNumberFormat="1" applyFont="1" applyBorder="1" applyAlignment="1">
      <alignment horizontal="right" vertical="top"/>
    </xf>
    <xf numFmtId="4" fontId="6" fillId="0" borderId="36" xfId="5" applyNumberFormat="1" applyFont="1" applyBorder="1" applyAlignment="1">
      <alignment horizontal="right" vertical="top"/>
    </xf>
    <xf numFmtId="4" fontId="6" fillId="0" borderId="37" xfId="5" applyNumberFormat="1" applyFont="1" applyBorder="1" applyAlignment="1">
      <alignment horizontal="right" vertical="top"/>
    </xf>
    <xf numFmtId="4" fontId="6" fillId="0" borderId="38" xfId="5" applyNumberFormat="1" applyFont="1" applyBorder="1" applyAlignment="1">
      <alignment horizontal="right" vertical="top"/>
    </xf>
    <xf numFmtId="4" fontId="18" fillId="9" borderId="41" xfId="5" applyNumberFormat="1" applyFont="1" applyFill="1" applyBorder="1" applyAlignment="1">
      <alignment horizontal="right" vertical="top"/>
    </xf>
    <xf numFmtId="4" fontId="18" fillId="10" borderId="42" xfId="5" applyNumberFormat="1" applyFont="1" applyFill="1" applyBorder="1" applyAlignment="1">
      <alignment horizontal="right" vertical="top"/>
    </xf>
    <xf numFmtId="4" fontId="18" fillId="9" borderId="36" xfId="5" applyNumberFormat="1" applyFont="1" applyFill="1" applyBorder="1" applyAlignment="1">
      <alignment horizontal="right" vertical="top"/>
    </xf>
    <xf numFmtId="4" fontId="18" fillId="10" borderId="38" xfId="5" applyNumberFormat="1" applyFont="1" applyFill="1" applyBorder="1" applyAlignment="1">
      <alignment horizontal="right" vertical="top"/>
    </xf>
    <xf numFmtId="43" fontId="19" fillId="2" borderId="10" xfId="1" applyFont="1" applyFill="1" applyBorder="1" applyAlignment="1">
      <alignment vertical="center" wrapText="1"/>
    </xf>
    <xf numFmtId="43" fontId="19" fillId="2" borderId="10" xfId="1" applyFont="1" applyFill="1" applyBorder="1" applyAlignment="1">
      <alignment horizontal="center" vertical="center" wrapText="1"/>
    </xf>
    <xf numFmtId="43" fontId="0" fillId="0" borderId="0" xfId="0" applyNumberFormat="1"/>
    <xf numFmtId="0" fontId="7" fillId="7" borderId="17" xfId="5" applyNumberFormat="1" applyFont="1" applyFill="1" applyBorder="1" applyAlignment="1">
      <alignment horizontal="left" vertical="top"/>
    </xf>
    <xf numFmtId="0" fontId="10" fillId="7" borderId="17" xfId="5" applyNumberFormat="1" applyFont="1" applyFill="1" applyBorder="1" applyAlignment="1">
      <alignment horizontal="left" vertical="top"/>
    </xf>
    <xf numFmtId="4" fontId="7" fillId="7" borderId="17" xfId="6" applyNumberFormat="1" applyFont="1" applyFill="1" applyBorder="1" applyAlignment="1">
      <alignment horizontal="center" vertical="center"/>
    </xf>
    <xf numFmtId="4" fontId="10" fillId="7" borderId="17" xfId="6" applyNumberFormat="1" applyFont="1" applyFill="1" applyBorder="1" applyAlignment="1">
      <alignment horizontal="center" vertical="top"/>
    </xf>
    <xf numFmtId="4" fontId="10" fillId="0" borderId="17" xfId="6" applyNumberFormat="1" applyFont="1" applyFill="1" applyBorder="1" applyAlignment="1">
      <alignment horizontal="center" vertical="top"/>
    </xf>
    <xf numFmtId="4" fontId="0" fillId="0" borderId="0" xfId="0" applyNumberFormat="1" applyAlignment="1">
      <alignment horizontal="center"/>
    </xf>
    <xf numFmtId="0" fontId="7" fillId="7" borderId="17" xfId="6" applyNumberFormat="1" applyFont="1" applyFill="1" applyBorder="1" applyAlignment="1">
      <alignment horizontal="left" vertical="top"/>
    </xf>
    <xf numFmtId="0" fontId="10" fillId="7" borderId="17" xfId="6" applyNumberFormat="1" applyFont="1" applyFill="1" applyBorder="1" applyAlignment="1">
      <alignment horizontal="left" vertical="top"/>
    </xf>
    <xf numFmtId="4" fontId="6" fillId="3" borderId="26" xfId="5" applyNumberFormat="1" applyFont="1" applyFill="1" applyBorder="1" applyAlignment="1">
      <alignment horizontal="right" vertical="top"/>
    </xf>
    <xf numFmtId="4" fontId="6" fillId="3" borderId="28" xfId="5" applyNumberFormat="1" applyFont="1" applyFill="1" applyBorder="1" applyAlignment="1">
      <alignment horizontal="right" vertical="top"/>
    </xf>
    <xf numFmtId="43" fontId="3" fillId="2" borderId="13" xfId="1" applyFont="1" applyFill="1" applyBorder="1" applyAlignment="1">
      <alignment vertical="center" wrapText="1"/>
    </xf>
    <xf numFmtId="165" fontId="4" fillId="0" borderId="15" xfId="2" applyNumberFormat="1" applyFont="1" applyFill="1" applyBorder="1" applyAlignment="1">
      <alignment vertical="center"/>
    </xf>
    <xf numFmtId="0" fontId="4" fillId="0" borderId="7" xfId="2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165" fontId="3" fillId="6" borderId="7" xfId="2" applyNumberFormat="1" applyFont="1" applyFill="1" applyBorder="1" applyAlignment="1">
      <alignment horizontal="center" vertical="center" wrapText="1"/>
    </xf>
    <xf numFmtId="164" fontId="3" fillId="0" borderId="7" xfId="1" applyNumberFormat="1" applyFont="1" applyFill="1" applyBorder="1" applyAlignment="1">
      <alignment horizontal="center" vertical="center"/>
    </xf>
    <xf numFmtId="165" fontId="4" fillId="4" borderId="7" xfId="2" applyNumberFormat="1" applyFont="1" applyFill="1" applyBorder="1" applyAlignment="1">
      <alignment horizontal="center" vertical="center" wrapText="1"/>
    </xf>
    <xf numFmtId="165" fontId="4" fillId="4" borderId="7" xfId="2" applyNumberFormat="1" applyFont="1" applyFill="1" applyBorder="1" applyAlignment="1">
      <alignment horizontal="center" vertical="center"/>
    </xf>
    <xf numFmtId="165" fontId="4" fillId="11" borderId="7" xfId="2" applyNumberFormat="1" applyFont="1" applyFill="1" applyBorder="1" applyAlignment="1">
      <alignment vertical="center"/>
    </xf>
    <xf numFmtId="4" fontId="0" fillId="0" borderId="7" xfId="0" applyNumberForma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0" fontId="20" fillId="7" borderId="18" xfId="7" applyNumberFormat="1" applyFont="1" applyFill="1" applyBorder="1" applyAlignment="1">
      <alignment vertical="top" wrapText="1"/>
    </xf>
    <xf numFmtId="0" fontId="20" fillId="7" borderId="22" xfId="7" applyNumberFormat="1" applyFont="1" applyFill="1" applyBorder="1" applyAlignment="1">
      <alignment vertical="top" wrapText="1"/>
    </xf>
    <xf numFmtId="4" fontId="20" fillId="7" borderId="22" xfId="7" applyNumberFormat="1" applyFont="1" applyFill="1" applyBorder="1" applyAlignment="1">
      <alignment horizontal="right" vertical="top"/>
    </xf>
    <xf numFmtId="0" fontId="20" fillId="7" borderId="22" xfId="7" applyNumberFormat="1" applyFont="1" applyFill="1" applyBorder="1" applyAlignment="1">
      <alignment vertical="top" wrapText="1" indent="2"/>
    </xf>
    <xf numFmtId="0" fontId="6" fillId="0" borderId="22" xfId="7" applyNumberFormat="1" applyFont="1" applyBorder="1" applyAlignment="1">
      <alignment vertical="top" wrapText="1" indent="4"/>
    </xf>
    <xf numFmtId="0" fontId="6" fillId="0" borderId="22" xfId="7" applyNumberFormat="1" applyFont="1" applyBorder="1" applyAlignment="1">
      <alignment horizontal="right" vertical="top"/>
    </xf>
    <xf numFmtId="4" fontId="6" fillId="0" borderId="22" xfId="7" applyNumberFormat="1" applyFont="1" applyBorder="1" applyAlignment="1">
      <alignment horizontal="right" vertical="top"/>
    </xf>
    <xf numFmtId="0" fontId="20" fillId="7" borderId="22" xfId="7" applyNumberFormat="1" applyFont="1" applyFill="1" applyBorder="1" applyAlignment="1">
      <alignment vertical="top" wrapText="1" indent="4"/>
    </xf>
    <xf numFmtId="0" fontId="20" fillId="7" borderId="22" xfId="7" applyNumberFormat="1" applyFont="1" applyFill="1" applyBorder="1" applyAlignment="1">
      <alignment vertical="top" wrapText="1" indent="6"/>
    </xf>
    <xf numFmtId="0" fontId="6" fillId="0" borderId="22" xfId="7" applyNumberFormat="1" applyFont="1" applyBorder="1" applyAlignment="1">
      <alignment vertical="top" wrapText="1" indent="8"/>
    </xf>
    <xf numFmtId="0" fontId="20" fillId="7" borderId="22" xfId="7" applyNumberFormat="1" applyFont="1" applyFill="1" applyBorder="1" applyAlignment="1">
      <alignment horizontal="right" vertical="top"/>
    </xf>
    <xf numFmtId="2" fontId="6" fillId="0" borderId="22" xfId="7" applyNumberFormat="1" applyFont="1" applyBorder="1" applyAlignment="1">
      <alignment horizontal="right" vertical="top"/>
    </xf>
    <xf numFmtId="2" fontId="20" fillId="7" borderId="22" xfId="7" applyNumberFormat="1" applyFont="1" applyFill="1" applyBorder="1" applyAlignment="1">
      <alignment horizontal="right" vertical="top"/>
    </xf>
    <xf numFmtId="0" fontId="6" fillId="0" borderId="22" xfId="7" applyNumberFormat="1" applyFont="1" applyBorder="1" applyAlignment="1">
      <alignment vertical="top" wrapText="1" indent="6"/>
    </xf>
    <xf numFmtId="0" fontId="20" fillId="7" borderId="18" xfId="7" applyNumberFormat="1" applyFont="1" applyFill="1" applyBorder="1" applyAlignment="1">
      <alignment vertical="top"/>
    </xf>
    <xf numFmtId="4" fontId="20" fillId="7" borderId="18" xfId="7" applyNumberFormat="1" applyFont="1" applyFill="1" applyBorder="1" applyAlignment="1">
      <alignment horizontal="right" vertical="top"/>
    </xf>
    <xf numFmtId="10" fontId="0" fillId="0" borderId="0" xfId="0" applyNumberFormat="1"/>
    <xf numFmtId="0" fontId="2" fillId="0" borderId="46" xfId="0" applyFont="1" applyBorder="1"/>
    <xf numFmtId="4" fontId="2" fillId="0" borderId="47" xfId="0" applyNumberFormat="1" applyFont="1" applyBorder="1" applyAlignment="1">
      <alignment horizontal="center" vertical="center"/>
    </xf>
    <xf numFmtId="4" fontId="0" fillId="0" borderId="47" xfId="0" applyNumberFormat="1" applyBorder="1" applyAlignment="1">
      <alignment horizontal="center" vertical="center"/>
    </xf>
    <xf numFmtId="4" fontId="0" fillId="0" borderId="48" xfId="0" applyNumberFormat="1" applyBorder="1" applyAlignment="1">
      <alignment horizontal="center" vertical="center"/>
    </xf>
    <xf numFmtId="0" fontId="0" fillId="0" borderId="49" xfId="0" applyBorder="1"/>
    <xf numFmtId="4" fontId="2" fillId="0" borderId="50" xfId="0" applyNumberFormat="1" applyFont="1" applyBorder="1" applyAlignment="1">
      <alignment horizontal="center" vertical="center"/>
    </xf>
    <xf numFmtId="4" fontId="0" fillId="0" borderId="50" xfId="0" applyNumberFormat="1" applyBorder="1" applyAlignment="1">
      <alignment horizontal="center" vertical="center"/>
    </xf>
    <xf numFmtId="4" fontId="0" fillId="0" borderId="51" xfId="0" applyNumberFormat="1" applyBorder="1" applyAlignment="1">
      <alignment horizontal="center" vertical="center"/>
    </xf>
    <xf numFmtId="0" fontId="0" fillId="0" borderId="52" xfId="0" applyBorder="1"/>
    <xf numFmtId="4" fontId="0" fillId="0" borderId="53" xfId="0" applyNumberFormat="1" applyBorder="1" applyAlignment="1">
      <alignment horizontal="center" vertical="center"/>
    </xf>
    <xf numFmtId="0" fontId="0" fillId="0" borderId="54" xfId="0" applyBorder="1"/>
    <xf numFmtId="4" fontId="0" fillId="0" borderId="13" xfId="0" applyNumberFormat="1" applyBorder="1" applyAlignment="1">
      <alignment horizontal="center" vertical="center"/>
    </xf>
    <xf numFmtId="4" fontId="0" fillId="0" borderId="55" xfId="0" applyNumberFormat="1" applyBorder="1" applyAlignment="1">
      <alignment horizontal="center" vertical="center"/>
    </xf>
    <xf numFmtId="0" fontId="0" fillId="0" borderId="46" xfId="0" applyBorder="1"/>
    <xf numFmtId="0" fontId="2" fillId="0" borderId="46" xfId="0" applyFont="1" applyBorder="1" applyAlignment="1">
      <alignment horizontal="left" vertic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56" xfId="0" applyBorder="1"/>
    <xf numFmtId="4" fontId="0" fillId="0" borderId="15" xfId="0" applyNumberFormat="1" applyBorder="1" applyAlignment="1">
      <alignment horizontal="center" vertical="center"/>
    </xf>
    <xf numFmtId="4" fontId="0" fillId="0" borderId="57" xfId="0" applyNumberFormat="1" applyBorder="1" applyAlignment="1">
      <alignment horizontal="center" vertical="center"/>
    </xf>
    <xf numFmtId="0" fontId="2" fillId="2" borderId="46" xfId="0" applyFont="1" applyFill="1" applyBorder="1"/>
    <xf numFmtId="4" fontId="2" fillId="2" borderId="47" xfId="0" applyNumberFormat="1" applyFont="1" applyFill="1" applyBorder="1" applyAlignment="1">
      <alignment horizontal="center" vertical="center"/>
    </xf>
    <xf numFmtId="4" fontId="0" fillId="2" borderId="47" xfId="0" applyNumberFormat="1" applyFill="1" applyBorder="1" applyAlignment="1">
      <alignment horizontal="center" vertical="center"/>
    </xf>
    <xf numFmtId="0" fontId="21" fillId="0" borderId="0" xfId="0" applyFont="1"/>
    <xf numFmtId="168" fontId="0" fillId="0" borderId="48" xfId="0" applyNumberFormat="1" applyBorder="1" applyAlignment="1">
      <alignment horizontal="center" vertical="center"/>
    </xf>
    <xf numFmtId="168" fontId="0" fillId="2" borderId="48" xfId="0" applyNumberForma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4" fillId="0" borderId="15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left" vertical="center" wrapText="1"/>
    </xf>
    <xf numFmtId="0" fontId="4" fillId="0" borderId="8" xfId="2" applyFont="1" applyFill="1" applyBorder="1" applyAlignment="1">
      <alignment horizontal="left" vertical="center" wrapText="1"/>
    </xf>
    <xf numFmtId="0" fontId="4" fillId="0" borderId="15" xfId="2" applyFont="1" applyFill="1" applyBorder="1" applyAlignment="1">
      <alignment horizontal="left" vertical="center" wrapText="1"/>
    </xf>
    <xf numFmtId="165" fontId="4" fillId="0" borderId="16" xfId="2" applyNumberFormat="1" applyFont="1" applyFill="1" applyBorder="1" applyAlignment="1">
      <alignment horizontal="center" vertical="center"/>
    </xf>
    <xf numFmtId="165" fontId="4" fillId="0" borderId="8" xfId="2" applyNumberFormat="1" applyFont="1" applyFill="1" applyBorder="1" applyAlignment="1">
      <alignment horizontal="center" vertical="center"/>
    </xf>
    <xf numFmtId="165" fontId="4" fillId="0" borderId="15" xfId="2" applyNumberFormat="1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4" fillId="0" borderId="15" xfId="2" applyFont="1" applyFill="1" applyBorder="1" applyAlignment="1">
      <alignment horizontal="center" vertical="center" wrapText="1"/>
    </xf>
    <xf numFmtId="4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7" fillId="8" borderId="31" xfId="5" applyNumberFormat="1" applyFont="1" applyFill="1" applyBorder="1" applyAlignment="1">
      <alignment vertical="top" wrapText="1"/>
    </xf>
    <xf numFmtId="0" fontId="17" fillId="8" borderId="32" xfId="5" applyNumberFormat="1" applyFont="1" applyFill="1" applyBorder="1" applyAlignment="1">
      <alignment vertical="top" wrapText="1"/>
    </xf>
    <xf numFmtId="0" fontId="17" fillId="8" borderId="39" xfId="5" applyNumberFormat="1" applyFont="1" applyFill="1" applyBorder="1" applyAlignment="1">
      <alignment vertical="top" wrapText="1"/>
    </xf>
    <xf numFmtId="0" fontId="17" fillId="8" borderId="40" xfId="5" applyNumberFormat="1" applyFont="1" applyFill="1" applyBorder="1" applyAlignment="1">
      <alignment vertical="top" wrapText="1"/>
    </xf>
    <xf numFmtId="0" fontId="17" fillId="8" borderId="43" xfId="5" applyNumberFormat="1" applyFont="1" applyFill="1" applyBorder="1" applyAlignment="1">
      <alignment vertical="top" wrapText="1"/>
    </xf>
    <xf numFmtId="0" fontId="17" fillId="8" borderId="44" xfId="5" applyNumberFormat="1" applyFont="1" applyFill="1" applyBorder="1" applyAlignment="1">
      <alignment vertical="top" wrapText="1"/>
    </xf>
    <xf numFmtId="0" fontId="12" fillId="7" borderId="19" xfId="4" applyNumberFormat="1" applyFont="1" applyFill="1" applyBorder="1" applyAlignment="1">
      <alignment vertical="top" wrapText="1" indent="2"/>
    </xf>
    <xf numFmtId="0" fontId="12" fillId="7" borderId="20" xfId="4" applyNumberFormat="1" applyFont="1" applyFill="1" applyBorder="1" applyAlignment="1">
      <alignment vertical="top" wrapText="1" indent="2"/>
    </xf>
    <xf numFmtId="0" fontId="12" fillId="7" borderId="21" xfId="4" applyNumberFormat="1" applyFont="1" applyFill="1" applyBorder="1" applyAlignment="1">
      <alignment vertical="top" wrapText="1" indent="2"/>
    </xf>
    <xf numFmtId="0" fontId="12" fillId="7" borderId="19" xfId="4" applyNumberFormat="1" applyFont="1" applyFill="1" applyBorder="1" applyAlignment="1">
      <alignment vertical="top" wrapText="1" indent="1"/>
    </xf>
    <xf numFmtId="0" fontId="12" fillId="7" borderId="20" xfId="4" applyNumberFormat="1" applyFont="1" applyFill="1" applyBorder="1" applyAlignment="1">
      <alignment vertical="top" wrapText="1" indent="1"/>
    </xf>
    <xf numFmtId="0" fontId="12" fillId="7" borderId="21" xfId="4" applyNumberFormat="1" applyFont="1" applyFill="1" applyBorder="1" applyAlignment="1">
      <alignment vertical="top" wrapText="1" indent="1"/>
    </xf>
    <xf numFmtId="4" fontId="0" fillId="4" borderId="7" xfId="0" applyNumberFormat="1" applyFill="1" applyBorder="1" applyAlignment="1">
      <alignment horizontal="center" vertical="center"/>
    </xf>
  </cellXfs>
  <cellStyles count="8">
    <cellStyle name="Обычный" xfId="0" builtinId="0"/>
    <cellStyle name="Обычный 13 3 2" xfId="2"/>
    <cellStyle name="Обычный_Акты заказчика" xfId="3"/>
    <cellStyle name="Обычный_Лист1" xfId="4"/>
    <cellStyle name="Обычный_План-Факт" xfId="7"/>
    <cellStyle name="Обычный_Списание стройматериалов" xfId="6"/>
    <cellStyle name="Обычный_СПИСАНИЯ" xfId="5"/>
    <cellStyle name="Финансовый 2 3 2" xfId="1"/>
  </cellStyles>
  <dxfs count="2"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8" sqref="H18"/>
    </sheetView>
  </sheetViews>
  <sheetFormatPr defaultRowHeight="14.4" x14ac:dyDescent="0.3"/>
  <cols>
    <col min="1" max="1" width="3.44140625" customWidth="1"/>
    <col min="2" max="2" width="48.6640625" bestFit="1" customWidth="1"/>
    <col min="3" max="4" width="15" customWidth="1"/>
    <col min="5" max="5" width="11.88671875" customWidth="1"/>
    <col min="8" max="8" width="11.33203125" bestFit="1" customWidth="1"/>
  </cols>
  <sheetData>
    <row r="1" spans="2:6" ht="15" thickBot="1" x14ac:dyDescent="0.35"/>
    <row r="2" spans="2:6" ht="15" thickBot="1" x14ac:dyDescent="0.35">
      <c r="B2" s="165" t="s">
        <v>391</v>
      </c>
      <c r="C2" s="166" t="s">
        <v>395</v>
      </c>
      <c r="D2" s="166" t="s">
        <v>396</v>
      </c>
      <c r="E2" s="167" t="s">
        <v>394</v>
      </c>
    </row>
    <row r="3" spans="2:6" ht="15" thickBot="1" x14ac:dyDescent="0.35">
      <c r="B3" s="164" t="s">
        <v>397</v>
      </c>
      <c r="C3" s="152">
        <f>акты!F55+акты!F56+акты!F57+акты!F58</f>
        <v>15836437.75</v>
      </c>
      <c r="D3" s="153">
        <f>пто!F4+пто!F5+пто!F12+пто!F13+пто!F14+пто!F16+пто!F18+пто!F20+пто!F21+пто!F22+пто!F23+пто!F24+пто!F25+пто!F26+пто!F27+пто!F28+пто!F29+пто!F30+пто!F32+пто!F33+пто!F34+пто!F39+пто!F40+пто!F41+пто!F45+пто!F46+пто!F47+пто!F48+пто!F51+пто!F52+пто!F53+пто!F55+пто!F58+пто!F60+пто!F61+пто!F67+пто!F69</f>
        <v>15836437.749999998</v>
      </c>
      <c r="E3" s="154">
        <f>C3-D3</f>
        <v>0</v>
      </c>
    </row>
    <row r="4" spans="2:6" ht="3" customHeight="1" thickBot="1" x14ac:dyDescent="0.35"/>
    <row r="5" spans="2:6" x14ac:dyDescent="0.3">
      <c r="B5" s="155" t="s">
        <v>500</v>
      </c>
      <c r="C5" s="157">
        <f>-(списания!E18+списания!E54)</f>
        <v>-4313945.58</v>
      </c>
      <c r="D5" s="157">
        <f>-(SUM(пто!K4:K69)-пто!K9-пто!K15+списания!E54)</f>
        <v>-4313945.5799999991</v>
      </c>
      <c r="E5" s="158">
        <f>C5-D5</f>
        <v>0</v>
      </c>
      <c r="F5" t="s">
        <v>398</v>
      </c>
    </row>
    <row r="6" spans="2:6" x14ac:dyDescent="0.3">
      <c r="B6" s="159" t="s">
        <v>399</v>
      </c>
      <c r="C6" s="204">
        <v>-738944.15</v>
      </c>
      <c r="D6" s="132"/>
      <c r="E6" s="160">
        <f>C6-D6</f>
        <v>-738944.15</v>
      </c>
    </row>
    <row r="7" spans="2:6" x14ac:dyDescent="0.3">
      <c r="B7" s="159" t="s">
        <v>411</v>
      </c>
      <c r="C7" s="132">
        <f>-14088414.684-C5-C6</f>
        <v>-9035524.9539999999</v>
      </c>
      <c r="D7" s="132"/>
      <c r="E7" s="160"/>
    </row>
    <row r="8" spans="2:6" x14ac:dyDescent="0.3">
      <c r="B8" s="159" t="s">
        <v>403</v>
      </c>
      <c r="C8" s="132">
        <v>-488403.69</v>
      </c>
      <c r="D8" s="132"/>
      <c r="E8" s="160"/>
    </row>
    <row r="9" spans="2:6" x14ac:dyDescent="0.3">
      <c r="B9" s="159" t="s">
        <v>409</v>
      </c>
      <c r="C9" s="132">
        <v>-19375.687999999998</v>
      </c>
      <c r="D9" s="132"/>
      <c r="E9" s="160"/>
    </row>
    <row r="10" spans="2:6" x14ac:dyDescent="0.3">
      <c r="B10" s="159" t="s">
        <v>410</v>
      </c>
      <c r="C10" s="132">
        <f>-306715.91</f>
        <v>-306715.90999999997</v>
      </c>
      <c r="D10" s="132"/>
      <c r="E10" s="160"/>
    </row>
    <row r="11" spans="2:6" ht="15" thickBot="1" x14ac:dyDescent="0.35">
      <c r="B11" s="161" t="s">
        <v>412</v>
      </c>
      <c r="C11" s="162">
        <v>-539038.97293377039</v>
      </c>
      <c r="D11" s="162"/>
      <c r="E11" s="163"/>
    </row>
    <row r="12" spans="2:6" ht="2.4" customHeight="1" thickBot="1" x14ac:dyDescent="0.35"/>
    <row r="13" spans="2:6" ht="15" thickBot="1" x14ac:dyDescent="0.35">
      <c r="B13" s="171" t="s">
        <v>413</v>
      </c>
      <c r="C13" s="172">
        <f>SUM(C3:C11)</f>
        <v>394488.80506622931</v>
      </c>
      <c r="D13" s="173"/>
      <c r="E13" s="176">
        <f>C13/C3</f>
        <v>2.4910198321982435E-2</v>
      </c>
      <c r="F13" t="s">
        <v>506</v>
      </c>
    </row>
    <row r="14" spans="2:6" ht="15" thickBot="1" x14ac:dyDescent="0.35"/>
    <row r="15" spans="2:6" x14ac:dyDescent="0.3">
      <c r="B15" s="155" t="s">
        <v>414</v>
      </c>
      <c r="C15" s="156">
        <f>SUM(списания!B43:B48)</f>
        <v>2600739.39</v>
      </c>
      <c r="D15" s="157">
        <f>пто!F6+пто!F8+пто!F9+пто!F15+пто!F49+пто!F50</f>
        <v>2600739.39</v>
      </c>
      <c r="E15" s="158">
        <f>C15-D15</f>
        <v>0</v>
      </c>
    </row>
    <row r="16" spans="2:6" x14ac:dyDescent="0.3">
      <c r="B16" s="159" t="s">
        <v>415</v>
      </c>
      <c r="C16" s="133">
        <f>пто!F7+пто!F10+пто!F11+пто!F17+пто!F31+пто!F36+пто!F37+пто!F44+пто!F57+пто!F62</f>
        <v>4358835.4554839125</v>
      </c>
      <c r="D16" s="132">
        <f>C16</f>
        <v>4358835.4554839125</v>
      </c>
      <c r="E16" s="160">
        <f>C16-D16</f>
        <v>0</v>
      </c>
    </row>
    <row r="17" spans="2:6" x14ac:dyDescent="0.3">
      <c r="B17" s="159" t="s">
        <v>417</v>
      </c>
      <c r="C17" s="132">
        <f>-списания!E43</f>
        <v>-306048.696</v>
      </c>
      <c r="D17" s="132">
        <f>C17</f>
        <v>-306048.696</v>
      </c>
      <c r="E17" s="160">
        <f t="shared" ref="E17" si="0">C17-D17</f>
        <v>0</v>
      </c>
    </row>
    <row r="18" spans="2:6" x14ac:dyDescent="0.3">
      <c r="B18" s="159" t="s">
        <v>418</v>
      </c>
      <c r="C18" s="132">
        <f>-(пто!H6+пто!H8+пто!H9+пто!H15+пто!H49+пто!H50)*0.5</f>
        <v>-1142512.77</v>
      </c>
      <c r="D18" s="132"/>
      <c r="E18" s="160"/>
    </row>
    <row r="19" spans="2:6" x14ac:dyDescent="0.3">
      <c r="B19" s="159" t="s">
        <v>419</v>
      </c>
      <c r="C19" s="132">
        <f>-(пто!G7+пто!G11+пто!G17+пто!G44+пто!G57+пто!G62)</f>
        <v>-1822876.2754839128</v>
      </c>
      <c r="D19" s="132"/>
      <c r="E19" s="160"/>
    </row>
    <row r="20" spans="2:6" x14ac:dyDescent="0.3">
      <c r="B20" s="159" t="s">
        <v>420</v>
      </c>
      <c r="C20" s="132">
        <f>-(пто!H7+пто!H10+пто!H11+пто!H17+пто!H31+пто!H36+пто!H37+пто!H44+пто!H57+пто!H62)*0.5</f>
        <v>-1267979.5899999999</v>
      </c>
      <c r="D20" s="132"/>
      <c r="E20" s="160"/>
    </row>
    <row r="21" spans="2:6" x14ac:dyDescent="0.3">
      <c r="B21" s="159" t="s">
        <v>409</v>
      </c>
      <c r="C21" s="132">
        <f>-(C15+C16)*'План-Факт'!D37</f>
        <v>-22391.201730402521</v>
      </c>
      <c r="D21" s="132"/>
      <c r="E21" s="160"/>
    </row>
    <row r="22" spans="2:6" x14ac:dyDescent="0.3">
      <c r="B22" s="159" t="s">
        <v>410</v>
      </c>
      <c r="C22" s="132">
        <f>-(C15+C16)*'План-Факт'!D13</f>
        <v>-721643.29979897966</v>
      </c>
      <c r="D22" s="132"/>
      <c r="E22" s="160"/>
    </row>
    <row r="23" spans="2:6" ht="15" thickBot="1" x14ac:dyDescent="0.35">
      <c r="B23" s="161" t="s">
        <v>412</v>
      </c>
      <c r="C23" s="162">
        <f>C11/C3*(C15+C16)</f>
        <v>-236889.26360761604</v>
      </c>
      <c r="D23" s="162"/>
      <c r="E23" s="163"/>
    </row>
    <row r="24" spans="2:6" ht="15" thickBot="1" x14ac:dyDescent="0.35">
      <c r="B24" s="151" t="s">
        <v>503</v>
      </c>
      <c r="C24" s="152">
        <f>SUM(C15:C23)</f>
        <v>1439233.7488630011</v>
      </c>
      <c r="D24" s="153"/>
      <c r="E24" s="175">
        <f>C24/(C15+C16)</f>
        <v>0.20679909057906373</v>
      </c>
      <c r="F24" t="s">
        <v>506</v>
      </c>
    </row>
    <row r="25" spans="2:6" ht="15" thickBot="1" x14ac:dyDescent="0.35"/>
    <row r="26" spans="2:6" ht="15" thickBot="1" x14ac:dyDescent="0.35">
      <c r="B26" s="171" t="s">
        <v>501</v>
      </c>
      <c r="C26" s="172">
        <f>C13+C24</f>
        <v>1833722.5539292304</v>
      </c>
      <c r="D26" s="173"/>
      <c r="E26" s="176">
        <f>C26/(C16+C15+C3)</f>
        <v>8.0440495733561171E-2</v>
      </c>
      <c r="F26" t="s">
        <v>506</v>
      </c>
    </row>
    <row r="27" spans="2:6" ht="15" thickBot="1" x14ac:dyDescent="0.35">
      <c r="B27" s="174" t="s">
        <v>508</v>
      </c>
    </row>
    <row r="28" spans="2:6" ht="15" thickBot="1" x14ac:dyDescent="0.35">
      <c r="B28" s="164" t="s">
        <v>502</v>
      </c>
      <c r="C28" s="152">
        <f>47882934-C3-C15-C16</f>
        <v>25086921.404516086</v>
      </c>
      <c r="D28" s="153"/>
      <c r="E28" s="154"/>
    </row>
    <row r="29" spans="2:6" x14ac:dyDescent="0.3">
      <c r="B29" s="168" t="s">
        <v>499</v>
      </c>
      <c r="C29" s="169">
        <f>'План-Факт'!B78+'План-Факт'!B75-C19-C17-C5-C6</f>
        <v>-1268038.2985160877</v>
      </c>
      <c r="D29" s="169"/>
      <c r="E29" s="170"/>
    </row>
    <row r="30" spans="2:6" x14ac:dyDescent="0.3">
      <c r="B30" s="159" t="s">
        <v>416</v>
      </c>
      <c r="C30" s="132">
        <f>'План-Факт'!B69+'План-Факт'!B68+'План-Факт'!B72-C20-C18-'План-Факт'!C69+'План-Факт'!B61+'План-Факт'!B66+'План-Факт'!B70</f>
        <v>-4620948.6400000006</v>
      </c>
      <c r="D30" s="132"/>
      <c r="E30" s="160"/>
    </row>
    <row r="31" spans="2:6" x14ac:dyDescent="0.3">
      <c r="B31" s="159" t="s">
        <v>409</v>
      </c>
      <c r="C31" s="132">
        <f>-C28*'План-Факт'!D37</f>
        <v>-80712.734676282475</v>
      </c>
      <c r="D31" s="132"/>
      <c r="E31" s="160"/>
    </row>
    <row r="32" spans="2:6" x14ac:dyDescent="0.3">
      <c r="B32" s="159" t="s">
        <v>410</v>
      </c>
      <c r="C32" s="132">
        <f>-C28*'План-Факт'!D13</f>
        <v>-2601280.8463293207</v>
      </c>
      <c r="D32" s="132"/>
      <c r="E32" s="160"/>
    </row>
    <row r="33" spans="2:6" ht="15" thickBot="1" x14ac:dyDescent="0.35">
      <c r="B33" s="161" t="s">
        <v>412</v>
      </c>
      <c r="C33" s="162">
        <f>C11/C3*C28</f>
        <v>-853905.94535444514</v>
      </c>
      <c r="D33" s="162"/>
      <c r="E33" s="163"/>
    </row>
    <row r="34" spans="2:6" ht="15" thickBot="1" x14ac:dyDescent="0.35">
      <c r="B34" s="151" t="s">
        <v>505</v>
      </c>
      <c r="C34" s="152">
        <f>SUM(C28:C33)</f>
        <v>15662034.93963995</v>
      </c>
      <c r="D34" s="153"/>
      <c r="E34" s="175">
        <f>C34/C28</f>
        <v>0.6243107588649961</v>
      </c>
      <c r="F34" t="s">
        <v>506</v>
      </c>
    </row>
    <row r="35" spans="2:6" ht="15" thickBot="1" x14ac:dyDescent="0.35"/>
    <row r="36" spans="2:6" ht="15" thickBot="1" x14ac:dyDescent="0.35">
      <c r="B36" s="171" t="s">
        <v>504</v>
      </c>
      <c r="C36" s="172">
        <f>C24+C34</f>
        <v>17101268.688502952</v>
      </c>
      <c r="D36" s="173"/>
      <c r="E36" s="176">
        <f>C36/(C28+C16+C15+C3)</f>
        <v>0.35714746904404299</v>
      </c>
      <c r="F36" t="s">
        <v>506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81"/>
  <sheetViews>
    <sheetView topLeftCell="A48" workbookViewId="0">
      <selection activeCell="K3" sqref="K3"/>
    </sheetView>
  </sheetViews>
  <sheetFormatPr defaultRowHeight="14.4" x14ac:dyDescent="0.3"/>
  <cols>
    <col min="2" max="2" width="38.21875" customWidth="1"/>
    <col min="3" max="3" width="31.44140625" bestFit="1" customWidth="1"/>
    <col min="4" max="4" width="8.33203125" bestFit="1" customWidth="1"/>
    <col min="5" max="5" width="7.77734375" bestFit="1" customWidth="1"/>
    <col min="6" max="6" width="19.21875" bestFit="1" customWidth="1"/>
    <col min="7" max="7" width="18.109375" style="126" bestFit="1" customWidth="1"/>
    <col min="8" max="8" width="19.21875" style="126" bestFit="1" customWidth="1"/>
    <col min="9" max="9" width="20.88671875" bestFit="1" customWidth="1"/>
    <col min="10" max="10" width="14" bestFit="1" customWidth="1"/>
    <col min="11" max="11" width="18.109375" style="75" bestFit="1" customWidth="1"/>
    <col min="12" max="12" width="10.5546875" bestFit="1" customWidth="1"/>
  </cols>
  <sheetData>
    <row r="1" spans="1:12" ht="17.399999999999999" customHeight="1" x14ac:dyDescent="0.3">
      <c r="A1" s="49" t="s">
        <v>0</v>
      </c>
      <c r="B1" s="50" t="s">
        <v>1</v>
      </c>
      <c r="C1" s="51" t="s">
        <v>2</v>
      </c>
      <c r="D1" s="52" t="s">
        <v>3</v>
      </c>
      <c r="E1" s="53"/>
      <c r="F1" s="53"/>
      <c r="G1" s="53"/>
      <c r="H1" s="53"/>
      <c r="I1" s="53"/>
      <c r="J1" s="54"/>
      <c r="K1" s="1"/>
    </row>
    <row r="2" spans="1:12" ht="17.399999999999999" x14ac:dyDescent="0.3">
      <c r="A2" s="55"/>
      <c r="B2" s="56"/>
      <c r="C2" s="57"/>
      <c r="D2" s="58"/>
      <c r="E2" s="59"/>
      <c r="F2" s="59"/>
      <c r="G2" s="110" t="s">
        <v>376</v>
      </c>
      <c r="H2" s="59"/>
      <c r="I2" s="59"/>
      <c r="J2" s="60"/>
      <c r="K2" s="111" t="s">
        <v>507</v>
      </c>
    </row>
    <row r="3" spans="1:12" ht="35.4" thickBot="1" x14ac:dyDescent="0.35">
      <c r="A3" s="61"/>
      <c r="B3" s="62"/>
      <c r="C3" s="63"/>
      <c r="D3" s="2" t="s">
        <v>4</v>
      </c>
      <c r="E3" s="2"/>
      <c r="F3" s="2" t="s">
        <v>5</v>
      </c>
      <c r="G3" s="123" t="s">
        <v>6</v>
      </c>
      <c r="H3" s="123" t="s">
        <v>7</v>
      </c>
      <c r="I3" s="2" t="s">
        <v>8</v>
      </c>
      <c r="J3" s="2" t="s">
        <v>9</v>
      </c>
      <c r="K3" s="2" t="s">
        <v>6</v>
      </c>
    </row>
    <row r="4" spans="1:12" ht="54" x14ac:dyDescent="0.3">
      <c r="A4" s="3" t="s">
        <v>10</v>
      </c>
      <c r="B4" s="4" t="s">
        <v>11</v>
      </c>
      <c r="C4" s="5">
        <v>69779.8</v>
      </c>
      <c r="D4" s="6" t="s">
        <v>10</v>
      </c>
      <c r="E4" s="7">
        <f>IFERROR(VALUE(MID(D4,2,LEN(D4)-1)),"")</f>
        <v>1</v>
      </c>
      <c r="F4" s="8">
        <v>74844.200000000012</v>
      </c>
      <c r="G4" s="124">
        <v>0</v>
      </c>
      <c r="H4" s="124">
        <v>74844.200000000012</v>
      </c>
      <c r="I4" s="5" t="s">
        <v>12</v>
      </c>
      <c r="J4" s="9" t="s">
        <v>13</v>
      </c>
      <c r="K4" s="5"/>
      <c r="L4" t="str">
        <f>VLOOKUP(F4,списания!B:F,5,0)</f>
        <v>май</v>
      </c>
    </row>
    <row r="5" spans="1:12" ht="36" x14ac:dyDescent="0.3">
      <c r="A5" s="10" t="s">
        <v>14</v>
      </c>
      <c r="B5" s="11" t="s">
        <v>15</v>
      </c>
      <c r="C5" s="12">
        <v>2044</v>
      </c>
      <c r="D5" s="13" t="s">
        <v>16</v>
      </c>
      <c r="E5" s="14">
        <f t="shared" ref="E5:E76" si="0">IFERROR(VALUE(MID(D5,2,LEN(D5)-1)),"")</f>
        <v>18</v>
      </c>
      <c r="F5" s="15">
        <v>2044</v>
      </c>
      <c r="G5" s="21">
        <v>0</v>
      </c>
      <c r="H5" s="36">
        <v>2044</v>
      </c>
      <c r="I5" s="16" t="s">
        <v>17</v>
      </c>
      <c r="J5" s="12" t="s">
        <v>18</v>
      </c>
      <c r="K5" s="16"/>
      <c r="L5" t="str">
        <f>VLOOKUP(F5,списания!B:F,5,0)</f>
        <v>май</v>
      </c>
    </row>
    <row r="6" spans="1:12" ht="18" hidden="1" x14ac:dyDescent="0.3">
      <c r="A6" s="177" t="s">
        <v>19</v>
      </c>
      <c r="B6" s="180" t="s">
        <v>20</v>
      </c>
      <c r="C6" s="183">
        <v>7883363.147839915</v>
      </c>
      <c r="D6" s="17" t="s">
        <v>21</v>
      </c>
      <c r="E6" s="14">
        <f t="shared" si="0"/>
        <v>29</v>
      </c>
      <c r="F6" s="18">
        <v>359694.36</v>
      </c>
      <c r="G6" s="21" t="s">
        <v>22</v>
      </c>
      <c r="H6" s="131">
        <v>359694.36</v>
      </c>
      <c r="I6" s="16" t="s">
        <v>17</v>
      </c>
      <c r="J6" s="12" t="s">
        <v>23</v>
      </c>
      <c r="K6" s="16"/>
      <c r="L6" t="str">
        <f>VLOOKUP(F6,списания!B:F,5,0)</f>
        <v>июль</v>
      </c>
    </row>
    <row r="7" spans="1:12" ht="36" hidden="1" x14ac:dyDescent="0.3">
      <c r="A7" s="179"/>
      <c r="B7" s="182"/>
      <c r="C7" s="185"/>
      <c r="D7" s="17" t="s">
        <v>24</v>
      </c>
      <c r="E7" s="14"/>
      <c r="F7" s="19">
        <v>1041800.0712068096</v>
      </c>
      <c r="G7" s="16">
        <v>358436.37120680953</v>
      </c>
      <c r="H7" s="16">
        <v>683363.70000000007</v>
      </c>
      <c r="I7" s="20" t="s">
        <v>25</v>
      </c>
      <c r="J7" s="21" t="s">
        <v>26</v>
      </c>
      <c r="K7" s="16"/>
    </row>
    <row r="8" spans="1:12" ht="18" hidden="1" x14ac:dyDescent="0.3">
      <c r="A8" s="177" t="s">
        <v>27</v>
      </c>
      <c r="B8" s="180" t="s">
        <v>28</v>
      </c>
      <c r="C8" s="183">
        <v>7051600.8118639104</v>
      </c>
      <c r="D8" s="17" t="s">
        <v>29</v>
      </c>
      <c r="E8" s="14">
        <f t="shared" si="0"/>
        <v>27</v>
      </c>
      <c r="F8" s="18">
        <v>330648.58</v>
      </c>
      <c r="G8" s="21">
        <v>0</v>
      </c>
      <c r="H8" s="131">
        <v>330648.57999999996</v>
      </c>
      <c r="I8" s="16" t="s">
        <v>17</v>
      </c>
      <c r="J8" s="16" t="s">
        <v>30</v>
      </c>
      <c r="K8" s="16"/>
      <c r="L8" t="str">
        <f>VLOOKUP(F8,списания!B:F,5,0)</f>
        <v>июль</v>
      </c>
    </row>
    <row r="9" spans="1:12" ht="18" hidden="1" x14ac:dyDescent="0.3">
      <c r="A9" s="178"/>
      <c r="B9" s="181"/>
      <c r="C9" s="184"/>
      <c r="D9" s="17" t="s">
        <v>31</v>
      </c>
      <c r="E9" s="14">
        <f t="shared" si="0"/>
        <v>42</v>
      </c>
      <c r="F9" s="18">
        <v>908895.93</v>
      </c>
      <c r="G9" s="21">
        <v>307721.33</v>
      </c>
      <c r="H9" s="131">
        <v>601174.6</v>
      </c>
      <c r="I9" s="16" t="s">
        <v>17</v>
      </c>
      <c r="J9" s="12" t="s">
        <v>23</v>
      </c>
      <c r="K9" s="16">
        <f>списания!D43</f>
        <v>298286.00400000002</v>
      </c>
      <c r="L9" t="str">
        <f>VLOOKUP(F9,списания!B:F,5,0)</f>
        <v>июль</v>
      </c>
    </row>
    <row r="10" spans="1:12" ht="36" hidden="1" x14ac:dyDescent="0.3">
      <c r="A10" s="178"/>
      <c r="B10" s="181"/>
      <c r="C10" s="184"/>
      <c r="D10" s="17" t="s">
        <v>32</v>
      </c>
      <c r="E10" s="14"/>
      <c r="F10" s="19">
        <v>15568.8</v>
      </c>
      <c r="G10" s="16"/>
      <c r="H10" s="16">
        <v>15568.8</v>
      </c>
      <c r="I10" s="20" t="s">
        <v>25</v>
      </c>
      <c r="J10" s="21" t="s">
        <v>33</v>
      </c>
      <c r="K10" s="16"/>
    </row>
    <row r="11" spans="1:12" ht="36" hidden="1" x14ac:dyDescent="0.3">
      <c r="A11" s="179"/>
      <c r="B11" s="182"/>
      <c r="C11" s="185"/>
      <c r="D11" s="17" t="s">
        <v>34</v>
      </c>
      <c r="E11" s="14"/>
      <c r="F11" s="19">
        <v>2738195.2531138035</v>
      </c>
      <c r="G11" s="16">
        <v>1165791.7731138035</v>
      </c>
      <c r="H11" s="16">
        <v>1572403.4799999997</v>
      </c>
      <c r="I11" s="20" t="s">
        <v>25</v>
      </c>
      <c r="J11" s="21" t="s">
        <v>26</v>
      </c>
      <c r="K11" s="16"/>
    </row>
    <row r="12" spans="1:12" ht="18" x14ac:dyDescent="0.3">
      <c r="A12" s="177" t="s">
        <v>35</v>
      </c>
      <c r="B12" s="180" t="s">
        <v>36</v>
      </c>
      <c r="C12" s="183">
        <v>7766307.4578399099</v>
      </c>
      <c r="D12" s="17" t="s">
        <v>37</v>
      </c>
      <c r="E12" s="14">
        <f t="shared" si="0"/>
        <v>15</v>
      </c>
      <c r="F12" s="18">
        <v>554353</v>
      </c>
      <c r="G12" s="21">
        <v>0</v>
      </c>
      <c r="H12" s="21">
        <v>554353</v>
      </c>
      <c r="I12" s="16" t="s">
        <v>17</v>
      </c>
      <c r="J12" s="12" t="s">
        <v>18</v>
      </c>
      <c r="K12" s="16"/>
      <c r="L12" t="str">
        <f>VLOOKUP(F12,списания!B:F,5,0)</f>
        <v>июнь</v>
      </c>
    </row>
    <row r="13" spans="1:12" ht="18" x14ac:dyDescent="0.3">
      <c r="A13" s="178"/>
      <c r="B13" s="181"/>
      <c r="C13" s="184"/>
      <c r="D13" s="17" t="s">
        <v>38</v>
      </c>
      <c r="E13" s="14">
        <f t="shared" si="0"/>
        <v>28</v>
      </c>
      <c r="F13" s="18">
        <v>5437399.7400000002</v>
      </c>
      <c r="G13" s="21">
        <v>2649255.2429927043</v>
      </c>
      <c r="H13" s="21">
        <v>2788144.5</v>
      </c>
      <c r="I13" s="16" t="s">
        <v>17</v>
      </c>
      <c r="J13" s="16" t="s">
        <v>30</v>
      </c>
      <c r="K13" s="16">
        <f>списания!D31</f>
        <v>2607455.0160000003</v>
      </c>
      <c r="L13" t="str">
        <f>VLOOKUP(F13,списания!B:F,5,0)</f>
        <v>июнь</v>
      </c>
    </row>
    <row r="14" spans="1:12" ht="18" x14ac:dyDescent="0.3">
      <c r="A14" s="178"/>
      <c r="B14" s="181"/>
      <c r="C14" s="184"/>
      <c r="D14" s="17" t="s">
        <v>39</v>
      </c>
      <c r="E14" s="14">
        <f t="shared" si="0"/>
        <v>36</v>
      </c>
      <c r="F14" s="18">
        <v>887716.17</v>
      </c>
      <c r="G14" s="21">
        <v>122464.17086603522</v>
      </c>
      <c r="H14" s="21">
        <v>765252</v>
      </c>
      <c r="I14" s="23" t="s">
        <v>12</v>
      </c>
      <c r="J14" s="16" t="s">
        <v>40</v>
      </c>
      <c r="K14" s="16">
        <f>списания!D26</f>
        <v>122016.27599999998</v>
      </c>
      <c r="L14" t="str">
        <f>VLOOKUP(F14,списания!B:F,5,0)</f>
        <v>июнь</v>
      </c>
    </row>
    <row r="15" spans="1:12" ht="18" hidden="1" x14ac:dyDescent="0.3">
      <c r="A15" s="179"/>
      <c r="B15" s="182"/>
      <c r="C15" s="185"/>
      <c r="D15" s="17" t="s">
        <v>41</v>
      </c>
      <c r="E15" s="14">
        <f t="shared" si="0"/>
        <v>37</v>
      </c>
      <c r="F15" s="18">
        <v>426150.52</v>
      </c>
      <c r="G15" s="21">
        <v>7992.5166297717396</v>
      </c>
      <c r="H15" s="131">
        <v>418158</v>
      </c>
      <c r="I15" s="16" t="s">
        <v>17</v>
      </c>
      <c r="J15" s="12" t="s">
        <v>23</v>
      </c>
      <c r="K15" s="16">
        <f>списания!D45</f>
        <v>7762.6919999999991</v>
      </c>
      <c r="L15" t="str">
        <f>VLOOKUP(F15,списания!B:F,5,0)</f>
        <v>июль</v>
      </c>
    </row>
    <row r="16" spans="1:12" ht="18" x14ac:dyDescent="0.3">
      <c r="A16" s="177" t="s">
        <v>42</v>
      </c>
      <c r="B16" s="180" t="s">
        <v>43</v>
      </c>
      <c r="C16" s="183">
        <v>403929.07</v>
      </c>
      <c r="D16" s="13" t="s">
        <v>44</v>
      </c>
      <c r="E16" s="14">
        <f t="shared" si="0"/>
        <v>16</v>
      </c>
      <c r="F16" s="24">
        <v>446461.48</v>
      </c>
      <c r="G16" s="31">
        <v>95684.599359999993</v>
      </c>
      <c r="H16" s="31">
        <v>350776.88</v>
      </c>
      <c r="I16" s="16" t="s">
        <v>17</v>
      </c>
      <c r="J16" s="12" t="s">
        <v>18</v>
      </c>
      <c r="K16" s="25">
        <f>списания!D36</f>
        <v>69242.123999999996</v>
      </c>
      <c r="L16" t="str">
        <f>VLOOKUP(F16,списания!B:F,5,0)</f>
        <v>июнь</v>
      </c>
    </row>
    <row r="17" spans="1:12" ht="36" hidden="1" x14ac:dyDescent="0.3">
      <c r="A17" s="179"/>
      <c r="B17" s="182"/>
      <c r="C17" s="185"/>
      <c r="D17" s="13" t="s">
        <v>45</v>
      </c>
      <c r="E17" s="14"/>
      <c r="F17" s="26">
        <v>73982.732399999994</v>
      </c>
      <c r="G17" s="25">
        <v>46197.162399999994</v>
      </c>
      <c r="H17" s="25">
        <v>27785.57</v>
      </c>
      <c r="I17" s="20" t="s">
        <v>25</v>
      </c>
      <c r="J17" s="21" t="s">
        <v>26</v>
      </c>
      <c r="K17" s="25"/>
    </row>
    <row r="18" spans="1:12" ht="18" x14ac:dyDescent="0.3">
      <c r="A18" s="27" t="s">
        <v>46</v>
      </c>
      <c r="B18" s="28" t="s">
        <v>47</v>
      </c>
      <c r="C18" s="16">
        <v>47254.520000000004</v>
      </c>
      <c r="D18" s="13" t="s">
        <v>48</v>
      </c>
      <c r="E18" s="14">
        <f t="shared" si="0"/>
        <v>17</v>
      </c>
      <c r="F18" s="24">
        <v>47254.52</v>
      </c>
      <c r="G18" s="31">
        <v>9854.52</v>
      </c>
      <c r="H18" s="31">
        <v>37400</v>
      </c>
      <c r="I18" s="16" t="s">
        <v>17</v>
      </c>
      <c r="J18" s="12" t="s">
        <v>18</v>
      </c>
      <c r="K18" s="129"/>
      <c r="L18" t="str">
        <f>VLOOKUP(F18,списания!B:F,5,0)</f>
        <v>июнь</v>
      </c>
    </row>
    <row r="19" spans="1:12" ht="36" hidden="1" x14ac:dyDescent="0.3">
      <c r="A19" s="10" t="s">
        <v>49</v>
      </c>
      <c r="B19" s="11" t="s">
        <v>50</v>
      </c>
      <c r="C19" s="21">
        <v>37950.600000000006</v>
      </c>
      <c r="D19" s="16"/>
      <c r="E19" s="14" t="str">
        <f t="shared" si="0"/>
        <v/>
      </c>
      <c r="F19" s="19"/>
      <c r="G19" s="16"/>
      <c r="H19" s="25"/>
      <c r="I19" s="16"/>
      <c r="J19" s="16"/>
      <c r="K19" s="16"/>
    </row>
    <row r="20" spans="1:12" ht="54" x14ac:dyDescent="0.3">
      <c r="A20" s="10" t="s">
        <v>51</v>
      </c>
      <c r="B20" s="11" t="s">
        <v>52</v>
      </c>
      <c r="C20" s="16">
        <v>994922</v>
      </c>
      <c r="D20" s="16" t="s">
        <v>53</v>
      </c>
      <c r="E20" s="14">
        <f t="shared" si="0"/>
        <v>10</v>
      </c>
      <c r="F20" s="18">
        <v>1609186.51</v>
      </c>
      <c r="G20" s="21">
        <v>680569.72</v>
      </c>
      <c r="H20" s="21">
        <v>928616.79</v>
      </c>
      <c r="I20" s="16" t="s">
        <v>17</v>
      </c>
      <c r="J20" s="12" t="s">
        <v>18</v>
      </c>
      <c r="K20" s="16">
        <f>списания!D41</f>
        <v>599623.54799999995</v>
      </c>
      <c r="L20" t="str">
        <f>VLOOKUP(F20,списания!B:F,5,0)</f>
        <v>июнь</v>
      </c>
    </row>
    <row r="21" spans="1:12" ht="36" x14ac:dyDescent="0.3">
      <c r="A21" s="10" t="s">
        <v>54</v>
      </c>
      <c r="B21" s="11" t="s">
        <v>55</v>
      </c>
      <c r="C21" s="16">
        <v>401488.07</v>
      </c>
      <c r="D21" s="17" t="s">
        <v>14</v>
      </c>
      <c r="E21" s="14">
        <f t="shared" si="0"/>
        <v>2</v>
      </c>
      <c r="F21" s="18">
        <v>585276.81999999995</v>
      </c>
      <c r="G21" s="21">
        <v>236280.52</v>
      </c>
      <c r="H21" s="21">
        <v>348996.3</v>
      </c>
      <c r="I21" s="16" t="s">
        <v>17</v>
      </c>
      <c r="J21" s="25" t="s">
        <v>56</v>
      </c>
      <c r="K21" s="16">
        <f>списания!D18</f>
        <v>233090.14800000002</v>
      </c>
      <c r="L21" t="str">
        <f>VLOOKUP(F21,списания!B:F,5,0)</f>
        <v>июнь</v>
      </c>
    </row>
    <row r="22" spans="1:12" ht="36" x14ac:dyDescent="0.3">
      <c r="A22" s="10" t="s">
        <v>57</v>
      </c>
      <c r="B22" s="11" t="s">
        <v>58</v>
      </c>
      <c r="C22" s="16">
        <v>401488.07</v>
      </c>
      <c r="D22" s="17" t="s">
        <v>59</v>
      </c>
      <c r="E22" s="14">
        <f t="shared" si="0"/>
        <v>3</v>
      </c>
      <c r="F22" s="29">
        <v>585218.81999999995</v>
      </c>
      <c r="G22" s="21">
        <v>236280.52</v>
      </c>
      <c r="H22" s="21">
        <v>348938.3</v>
      </c>
      <c r="I22" s="16" t="s">
        <v>17</v>
      </c>
      <c r="J22" s="25" t="s">
        <v>56</v>
      </c>
      <c r="K22" s="16">
        <f>списания!D19</f>
        <v>226340.052</v>
      </c>
      <c r="L22" t="str">
        <f>VLOOKUP(F22,списания!B:F,5,0)</f>
        <v>июнь</v>
      </c>
    </row>
    <row r="23" spans="1:12" ht="18" x14ac:dyDescent="0.3">
      <c r="A23" s="10" t="s">
        <v>60</v>
      </c>
      <c r="B23" s="11" t="s">
        <v>61</v>
      </c>
      <c r="C23" s="21">
        <v>70000</v>
      </c>
      <c r="D23" s="17" t="s">
        <v>42</v>
      </c>
      <c r="E23" s="14">
        <f t="shared" si="0"/>
        <v>4</v>
      </c>
      <c r="F23" s="30">
        <v>70000</v>
      </c>
      <c r="G23" s="31">
        <v>0</v>
      </c>
      <c r="H23" s="31">
        <v>70000</v>
      </c>
      <c r="I23" s="16" t="s">
        <v>12</v>
      </c>
      <c r="J23" s="12" t="s">
        <v>13</v>
      </c>
      <c r="K23" s="25"/>
      <c r="L23" t="str">
        <f>VLOOKUP(F23,списания!B:F,5,0)</f>
        <v>май</v>
      </c>
    </row>
    <row r="24" spans="1:12" ht="18" x14ac:dyDescent="0.3">
      <c r="A24" s="177" t="s">
        <v>62</v>
      </c>
      <c r="B24" s="180" t="s">
        <v>63</v>
      </c>
      <c r="C24" s="183">
        <v>2183910</v>
      </c>
      <c r="D24" s="23" t="s">
        <v>64</v>
      </c>
      <c r="E24" s="32">
        <f t="shared" si="0"/>
        <v>12</v>
      </c>
      <c r="F24" s="30">
        <v>1027136</v>
      </c>
      <c r="G24" s="125"/>
      <c r="H24" s="31">
        <v>1027136</v>
      </c>
      <c r="I24" s="16" t="s">
        <v>12</v>
      </c>
      <c r="J24" s="25" t="s">
        <v>65</v>
      </c>
      <c r="K24" s="23"/>
      <c r="L24" t="str">
        <f>VLOOKUP(F24,списания!B:F,5,0)</f>
        <v>июнь</v>
      </c>
    </row>
    <row r="25" spans="1:12" ht="18" x14ac:dyDescent="0.3">
      <c r="A25" s="179"/>
      <c r="B25" s="182"/>
      <c r="C25" s="185"/>
      <c r="D25" s="23" t="s">
        <v>66</v>
      </c>
      <c r="E25" s="33">
        <v>12.1</v>
      </c>
      <c r="F25" s="30">
        <v>33000</v>
      </c>
      <c r="G25" s="125"/>
      <c r="H25" s="31">
        <v>33000</v>
      </c>
      <c r="I25" s="23" t="s">
        <v>12</v>
      </c>
      <c r="J25" s="25" t="s">
        <v>67</v>
      </c>
      <c r="K25" s="23"/>
      <c r="L25" t="str">
        <f>VLOOKUP(F25,списания!B:F,5,0)</f>
        <v>июнь</v>
      </c>
    </row>
    <row r="26" spans="1:12" ht="36" x14ac:dyDescent="0.3">
      <c r="A26" s="10" t="s">
        <v>68</v>
      </c>
      <c r="B26" s="11" t="s">
        <v>69</v>
      </c>
      <c r="C26" s="16">
        <v>644106.1</v>
      </c>
      <c r="D26" s="23" t="s">
        <v>70</v>
      </c>
      <c r="E26" s="32">
        <f t="shared" si="0"/>
        <v>13</v>
      </c>
      <c r="F26" s="18">
        <v>309258.40000000002</v>
      </c>
      <c r="G26" s="21"/>
      <c r="H26" s="31">
        <v>309258.40000000002</v>
      </c>
      <c r="I26" s="16" t="s">
        <v>12</v>
      </c>
      <c r="J26" s="25" t="s">
        <v>65</v>
      </c>
      <c r="K26" s="16"/>
      <c r="L26" t="str">
        <f>VLOOKUP(F26,списания!B:F,5,0)</f>
        <v>июнь</v>
      </c>
    </row>
    <row r="27" spans="1:12" ht="36" x14ac:dyDescent="0.3">
      <c r="A27" s="10" t="s">
        <v>53</v>
      </c>
      <c r="B27" s="11" t="s">
        <v>71</v>
      </c>
      <c r="C27" s="16">
        <v>526703.78</v>
      </c>
      <c r="D27" s="21" t="s">
        <v>72</v>
      </c>
      <c r="E27" s="34">
        <f t="shared" si="0"/>
        <v>23</v>
      </c>
      <c r="F27" s="29">
        <v>593059.22</v>
      </c>
      <c r="G27" s="21">
        <v>150765.30000000002</v>
      </c>
      <c r="H27" s="21">
        <v>442293.92000000004</v>
      </c>
      <c r="I27" s="16" t="s">
        <v>12</v>
      </c>
      <c r="J27" s="25" t="s">
        <v>65</v>
      </c>
      <c r="K27" s="16">
        <f>списания!D34</f>
        <v>141649.56</v>
      </c>
      <c r="L27" t="str">
        <f>VLOOKUP(F27,списания!B:F,5,0)</f>
        <v>июнь</v>
      </c>
    </row>
    <row r="28" spans="1:12" ht="18" x14ac:dyDescent="0.3">
      <c r="A28" s="177" t="s">
        <v>73</v>
      </c>
      <c r="B28" s="180" t="s">
        <v>74</v>
      </c>
      <c r="C28" s="183">
        <v>76937.850000000006</v>
      </c>
      <c r="D28" s="21" t="s">
        <v>75</v>
      </c>
      <c r="E28" s="34">
        <f t="shared" si="0"/>
        <v>14</v>
      </c>
      <c r="F28" s="29">
        <v>27868</v>
      </c>
      <c r="G28" s="21">
        <v>0</v>
      </c>
      <c r="H28" s="21">
        <v>27868</v>
      </c>
      <c r="I28" s="16" t="s">
        <v>17</v>
      </c>
      <c r="J28" s="12" t="s">
        <v>18</v>
      </c>
      <c r="K28" s="16"/>
      <c r="L28" t="str">
        <f>VLOOKUP(F28,списания!B:F,5,0)</f>
        <v>июнь</v>
      </c>
    </row>
    <row r="29" spans="1:12" ht="18" x14ac:dyDescent="0.3">
      <c r="A29" s="178"/>
      <c r="B29" s="181"/>
      <c r="C29" s="184"/>
      <c r="D29" s="21" t="s">
        <v>76</v>
      </c>
      <c r="E29" s="34">
        <f t="shared" si="0"/>
        <v>30</v>
      </c>
      <c r="F29" s="29">
        <v>27224</v>
      </c>
      <c r="G29" s="21">
        <v>0</v>
      </c>
      <c r="H29" s="21">
        <v>27224</v>
      </c>
      <c r="I29" s="16" t="s">
        <v>17</v>
      </c>
      <c r="J29" s="16" t="s">
        <v>30</v>
      </c>
      <c r="K29" s="16"/>
      <c r="L29" t="str">
        <f>VLOOKUP(F29,списания!B:F,5,0)</f>
        <v>июнь</v>
      </c>
    </row>
    <row r="30" spans="1:12" ht="18" x14ac:dyDescent="0.3">
      <c r="A30" s="178"/>
      <c r="B30" s="181"/>
      <c r="C30" s="184"/>
      <c r="D30" s="21" t="s">
        <v>77</v>
      </c>
      <c r="E30" s="34">
        <f t="shared" si="0"/>
        <v>33</v>
      </c>
      <c r="F30" s="29">
        <v>28858</v>
      </c>
      <c r="G30" s="21">
        <v>0</v>
      </c>
      <c r="H30" s="21">
        <v>28858</v>
      </c>
      <c r="I30" s="23" t="s">
        <v>12</v>
      </c>
      <c r="J30" s="16" t="s">
        <v>40</v>
      </c>
      <c r="K30" s="16"/>
      <c r="L30" t="str">
        <f>VLOOKUP(F30,списания!B:F,5,0)</f>
        <v>июнь</v>
      </c>
    </row>
    <row r="31" spans="1:12" ht="36" hidden="1" x14ac:dyDescent="0.3">
      <c r="A31" s="179"/>
      <c r="B31" s="182"/>
      <c r="C31" s="185"/>
      <c r="D31" s="21" t="s">
        <v>78</v>
      </c>
      <c r="E31" s="34"/>
      <c r="F31" s="35">
        <v>5193.3999999999996</v>
      </c>
      <c r="G31" s="21">
        <v>0</v>
      </c>
      <c r="H31" s="21">
        <v>5193.3999999999996</v>
      </c>
      <c r="I31" s="20" t="s">
        <v>25</v>
      </c>
      <c r="J31" s="21" t="s">
        <v>26</v>
      </c>
      <c r="K31" s="16"/>
    </row>
    <row r="32" spans="1:12" ht="18" x14ac:dyDescent="0.3">
      <c r="A32" s="177" t="s">
        <v>64</v>
      </c>
      <c r="B32" s="186" t="s">
        <v>79</v>
      </c>
      <c r="C32" s="183">
        <v>300000</v>
      </c>
      <c r="D32" s="21" t="s">
        <v>73</v>
      </c>
      <c r="E32" s="34">
        <f t="shared" si="0"/>
        <v>11</v>
      </c>
      <c r="F32" s="29">
        <v>231000</v>
      </c>
      <c r="G32" s="21">
        <v>0</v>
      </c>
      <c r="H32" s="21">
        <v>231000</v>
      </c>
      <c r="I32" s="16" t="s">
        <v>17</v>
      </c>
      <c r="J32" s="12" t="s">
        <v>18</v>
      </c>
      <c r="K32" s="16"/>
      <c r="L32" t="str">
        <f>VLOOKUP(F32,списания!B:F,5,0)</f>
        <v>май</v>
      </c>
    </row>
    <row r="33" spans="1:12" ht="18" x14ac:dyDescent="0.3">
      <c r="A33" s="178"/>
      <c r="B33" s="187"/>
      <c r="C33" s="184"/>
      <c r="D33" s="21" t="s">
        <v>80</v>
      </c>
      <c r="E33" s="34">
        <f t="shared" si="0"/>
        <v>22</v>
      </c>
      <c r="F33" s="29">
        <v>111000</v>
      </c>
      <c r="G33" s="21">
        <v>0</v>
      </c>
      <c r="H33" s="21">
        <v>111000</v>
      </c>
      <c r="I33" s="16" t="s">
        <v>12</v>
      </c>
      <c r="J33" s="25" t="s">
        <v>65</v>
      </c>
      <c r="K33" s="16"/>
      <c r="L33" t="str">
        <f>VLOOKUP(F33,списания!B:F,5,0)</f>
        <v>май</v>
      </c>
    </row>
    <row r="34" spans="1:12" ht="18" x14ac:dyDescent="0.3">
      <c r="A34" s="178"/>
      <c r="B34" s="187"/>
      <c r="C34" s="184"/>
      <c r="D34" s="21" t="s">
        <v>81</v>
      </c>
      <c r="E34" s="34">
        <f t="shared" si="0"/>
        <v>38</v>
      </c>
      <c r="F34" s="29">
        <v>106875</v>
      </c>
      <c r="G34" s="21">
        <v>0</v>
      </c>
      <c r="H34" s="21">
        <v>106875</v>
      </c>
      <c r="I34" s="16" t="s">
        <v>17</v>
      </c>
      <c r="J34" s="12" t="s">
        <v>23</v>
      </c>
      <c r="K34" s="16"/>
      <c r="L34" t="str">
        <f>VLOOKUP(F34,списания!B:F,5,0)</f>
        <v>июнь</v>
      </c>
    </row>
    <row r="35" spans="1:12" ht="18" hidden="1" x14ac:dyDescent="0.3">
      <c r="A35" s="178"/>
      <c r="B35" s="187"/>
      <c r="C35" s="185"/>
      <c r="D35" s="21" t="s">
        <v>82</v>
      </c>
      <c r="E35" s="34">
        <f t="shared" si="0"/>
        <v>43</v>
      </c>
      <c r="F35" s="37">
        <v>83250</v>
      </c>
      <c r="G35" s="21">
        <v>0</v>
      </c>
      <c r="H35" s="21">
        <v>83250</v>
      </c>
      <c r="I35" s="16" t="s">
        <v>17</v>
      </c>
      <c r="J35" s="12" t="s">
        <v>83</v>
      </c>
      <c r="K35" s="16"/>
    </row>
    <row r="36" spans="1:12" ht="36" hidden="1" x14ac:dyDescent="0.3">
      <c r="A36" s="178"/>
      <c r="B36" s="187"/>
      <c r="C36" s="5"/>
      <c r="D36" s="21" t="s">
        <v>84</v>
      </c>
      <c r="E36" s="34">
        <f t="shared" si="0"/>
        <v>44</v>
      </c>
      <c r="F36" s="35">
        <v>33750</v>
      </c>
      <c r="G36" s="21">
        <v>0</v>
      </c>
      <c r="H36" s="21">
        <v>33750</v>
      </c>
      <c r="I36" s="20" t="s">
        <v>85</v>
      </c>
      <c r="J36" s="12" t="s">
        <v>86</v>
      </c>
      <c r="K36" s="16"/>
    </row>
    <row r="37" spans="1:12" ht="36" hidden="1" x14ac:dyDescent="0.3">
      <c r="A37" s="179"/>
      <c r="B37" s="188"/>
      <c r="C37" s="5"/>
      <c r="D37" s="21" t="s">
        <v>87</v>
      </c>
      <c r="E37" s="34">
        <f t="shared" si="0"/>
        <v>45</v>
      </c>
      <c r="F37" s="35">
        <v>30375</v>
      </c>
      <c r="G37" s="21">
        <v>0</v>
      </c>
      <c r="H37" s="21">
        <v>30375</v>
      </c>
      <c r="I37" s="20" t="s">
        <v>85</v>
      </c>
      <c r="J37" s="12" t="s">
        <v>86</v>
      </c>
      <c r="K37" s="16"/>
    </row>
    <row r="38" spans="1:12" ht="18" hidden="1" x14ac:dyDescent="0.3">
      <c r="A38" s="10" t="s">
        <v>70</v>
      </c>
      <c r="B38" s="11" t="s">
        <v>88</v>
      </c>
      <c r="C38" s="16"/>
      <c r="D38" s="21"/>
      <c r="E38" s="34" t="str">
        <f t="shared" si="0"/>
        <v/>
      </c>
      <c r="F38" s="35"/>
      <c r="G38" s="21"/>
      <c r="H38" s="21"/>
      <c r="I38" s="21"/>
      <c r="J38" s="21"/>
      <c r="K38" s="16"/>
    </row>
    <row r="39" spans="1:12" ht="36" x14ac:dyDescent="0.3">
      <c r="A39" s="10" t="s">
        <v>89</v>
      </c>
      <c r="B39" s="11" t="s">
        <v>90</v>
      </c>
      <c r="C39" s="16">
        <v>92115.83</v>
      </c>
      <c r="D39" s="21" t="s">
        <v>49</v>
      </c>
      <c r="E39" s="34">
        <f t="shared" si="0"/>
        <v>5</v>
      </c>
      <c r="F39" s="30">
        <v>92115.83</v>
      </c>
      <c r="G39" s="31">
        <v>0</v>
      </c>
      <c r="H39" s="31">
        <v>92115.83</v>
      </c>
      <c r="I39" s="16" t="s">
        <v>12</v>
      </c>
      <c r="J39" s="16" t="s">
        <v>91</v>
      </c>
      <c r="K39" s="25"/>
      <c r="L39" t="str">
        <f>VLOOKUP(F39,списания!B:F,5,0)</f>
        <v>май</v>
      </c>
    </row>
    <row r="40" spans="1:12" ht="36" x14ac:dyDescent="0.3">
      <c r="A40" s="10" t="s">
        <v>92</v>
      </c>
      <c r="B40" s="11" t="s">
        <v>93</v>
      </c>
      <c r="C40" s="16">
        <v>69692.789999999994</v>
      </c>
      <c r="D40" s="21" t="s">
        <v>94</v>
      </c>
      <c r="E40" s="34">
        <f t="shared" si="0"/>
        <v>6</v>
      </c>
      <c r="F40" s="18">
        <v>69692.789999999994</v>
      </c>
      <c r="G40" s="21">
        <v>0</v>
      </c>
      <c r="H40" s="21">
        <v>69692.789999999994</v>
      </c>
      <c r="I40" s="16" t="s">
        <v>12</v>
      </c>
      <c r="J40" s="16" t="s">
        <v>91</v>
      </c>
      <c r="K40" s="16"/>
      <c r="L40" t="str">
        <f>VLOOKUP(F40,списания!B:F,5,0)</f>
        <v>май</v>
      </c>
    </row>
    <row r="41" spans="1:12" ht="36" x14ac:dyDescent="0.3">
      <c r="A41" s="10" t="s">
        <v>95</v>
      </c>
      <c r="B41" s="11" t="s">
        <v>96</v>
      </c>
      <c r="C41" s="16">
        <v>130832</v>
      </c>
      <c r="D41" s="21" t="s">
        <v>97</v>
      </c>
      <c r="E41" s="34">
        <f t="shared" si="0"/>
        <v>19</v>
      </c>
      <c r="F41" s="29">
        <v>151220.25</v>
      </c>
      <c r="G41" s="21">
        <v>0</v>
      </c>
      <c r="H41" s="21">
        <v>151220.25</v>
      </c>
      <c r="I41" s="16" t="s">
        <v>12</v>
      </c>
      <c r="J41" s="25" t="s">
        <v>65</v>
      </c>
      <c r="K41" s="16"/>
      <c r="L41" t="str">
        <f>VLOOKUP(F41,списания!B:F,5,0)</f>
        <v>май</v>
      </c>
    </row>
    <row r="42" spans="1:12" ht="18" hidden="1" x14ac:dyDescent="0.3">
      <c r="A42" s="10" t="s">
        <v>98</v>
      </c>
      <c r="B42" s="11" t="s">
        <v>99</v>
      </c>
      <c r="C42" s="16"/>
      <c r="D42" s="21"/>
      <c r="E42" s="34" t="str">
        <f t="shared" si="0"/>
        <v/>
      </c>
      <c r="F42" s="19"/>
      <c r="G42" s="21"/>
      <c r="H42" s="23"/>
      <c r="I42" s="25"/>
      <c r="J42" s="38"/>
      <c r="K42" s="16"/>
    </row>
    <row r="43" spans="1:12" ht="36" hidden="1" x14ac:dyDescent="0.3">
      <c r="A43" s="10" t="s">
        <v>44</v>
      </c>
      <c r="B43" s="11" t="s">
        <v>100</v>
      </c>
      <c r="C43" s="16">
        <v>5868795.1899999995</v>
      </c>
      <c r="D43" s="21"/>
      <c r="E43" s="34" t="str">
        <f t="shared" si="0"/>
        <v/>
      </c>
      <c r="F43" s="35"/>
      <c r="G43" s="21"/>
      <c r="H43" s="21"/>
      <c r="I43" s="21"/>
      <c r="J43" s="21"/>
      <c r="K43" s="16"/>
    </row>
    <row r="44" spans="1:12" ht="36" hidden="1" x14ac:dyDescent="0.3">
      <c r="A44" s="10" t="s">
        <v>48</v>
      </c>
      <c r="B44" s="11" t="s">
        <v>101</v>
      </c>
      <c r="C44" s="16">
        <v>1109034.9700000002</v>
      </c>
      <c r="D44" s="21" t="s">
        <v>102</v>
      </c>
      <c r="E44" s="34">
        <f t="shared" si="0"/>
        <v>52</v>
      </c>
      <c r="F44" s="35">
        <v>244644.62437129952</v>
      </c>
      <c r="G44" s="21">
        <v>129446.72437129953</v>
      </c>
      <c r="H44" s="21">
        <v>115197.90000000001</v>
      </c>
      <c r="I44" s="20" t="s">
        <v>25</v>
      </c>
      <c r="J44" s="21" t="s">
        <v>26</v>
      </c>
      <c r="K44" s="16"/>
    </row>
    <row r="45" spans="1:12" ht="36" x14ac:dyDescent="0.3">
      <c r="A45" s="10" t="s">
        <v>16</v>
      </c>
      <c r="B45" s="11" t="s">
        <v>103</v>
      </c>
      <c r="C45" s="16">
        <v>220420.19</v>
      </c>
      <c r="D45" s="21" t="s">
        <v>60</v>
      </c>
      <c r="E45" s="34">
        <f t="shared" si="0"/>
        <v>7</v>
      </c>
      <c r="F45" s="29">
        <v>220420.19</v>
      </c>
      <c r="G45" s="21">
        <v>0</v>
      </c>
      <c r="H45" s="21">
        <v>220420.19</v>
      </c>
      <c r="I45" s="16" t="s">
        <v>12</v>
      </c>
      <c r="J45" s="16" t="s">
        <v>91</v>
      </c>
      <c r="K45" s="16"/>
      <c r="L45" t="str">
        <f>VLOOKUP(F45,списания!B:F,5,0)</f>
        <v>май</v>
      </c>
    </row>
    <row r="46" spans="1:12" ht="54" x14ac:dyDescent="0.3">
      <c r="A46" s="10" t="s">
        <v>97</v>
      </c>
      <c r="B46" s="11" t="s">
        <v>104</v>
      </c>
      <c r="C46" s="16">
        <v>19075.719999999998</v>
      </c>
      <c r="D46" s="21" t="s">
        <v>62</v>
      </c>
      <c r="E46" s="34">
        <f t="shared" si="0"/>
        <v>8</v>
      </c>
      <c r="F46" s="18">
        <v>19075.72</v>
      </c>
      <c r="G46" s="21">
        <v>0</v>
      </c>
      <c r="H46" s="21">
        <v>19075.719999999998</v>
      </c>
      <c r="I46" s="16" t="s">
        <v>12</v>
      </c>
      <c r="J46" s="16" t="s">
        <v>91</v>
      </c>
      <c r="K46" s="16"/>
      <c r="L46" t="str">
        <f>VLOOKUP(F46,списания!B:F,5,0)</f>
        <v>июнь</v>
      </c>
    </row>
    <row r="47" spans="1:12" ht="54" x14ac:dyDescent="0.3">
      <c r="A47" s="10" t="s">
        <v>105</v>
      </c>
      <c r="B47" s="11" t="s">
        <v>106</v>
      </c>
      <c r="C47" s="16">
        <v>8730</v>
      </c>
      <c r="D47" s="21" t="s">
        <v>107</v>
      </c>
      <c r="E47" s="34">
        <f t="shared" si="0"/>
        <v>9</v>
      </c>
      <c r="F47" s="18">
        <v>8730</v>
      </c>
      <c r="G47" s="21">
        <v>0</v>
      </c>
      <c r="H47" s="21">
        <v>8730</v>
      </c>
      <c r="I47" s="16" t="s">
        <v>12</v>
      </c>
      <c r="J47" s="16" t="s">
        <v>91</v>
      </c>
      <c r="K47" s="16"/>
      <c r="L47" t="str">
        <f>VLOOKUP(F47,списания!B:F,5,0)</f>
        <v>май</v>
      </c>
    </row>
    <row r="48" spans="1:12" ht="18" x14ac:dyDescent="0.3">
      <c r="A48" s="177" t="s">
        <v>108</v>
      </c>
      <c r="B48" s="180" t="s">
        <v>109</v>
      </c>
      <c r="C48" s="16">
        <v>1821725.04</v>
      </c>
      <c r="D48" s="21" t="s">
        <v>110</v>
      </c>
      <c r="E48" s="34">
        <f t="shared" si="0"/>
        <v>26</v>
      </c>
      <c r="F48" s="29">
        <v>954520.6</v>
      </c>
      <c r="G48" s="21">
        <v>0</v>
      </c>
      <c r="H48" s="21">
        <v>954520.6</v>
      </c>
      <c r="I48" s="23" t="s">
        <v>12</v>
      </c>
      <c r="J48" s="25" t="s">
        <v>67</v>
      </c>
      <c r="K48" s="16"/>
      <c r="L48" t="str">
        <f>VLOOKUP(F48,списания!B:F,5,0)</f>
        <v>июнь</v>
      </c>
    </row>
    <row r="49" spans="1:12" ht="18" hidden="1" x14ac:dyDescent="0.3">
      <c r="A49" s="178"/>
      <c r="B49" s="181"/>
      <c r="C49" s="12"/>
      <c r="D49" s="21" t="s">
        <v>111</v>
      </c>
      <c r="E49" s="34">
        <f t="shared" si="0"/>
        <v>35</v>
      </c>
      <c r="F49" s="29">
        <v>320050</v>
      </c>
      <c r="G49" s="21">
        <v>0</v>
      </c>
      <c r="H49" s="131">
        <v>320050</v>
      </c>
      <c r="I49" s="23" t="s">
        <v>12</v>
      </c>
      <c r="J49" s="16" t="s">
        <v>112</v>
      </c>
      <c r="K49" s="16"/>
      <c r="L49" t="str">
        <f>VLOOKUP(F49,списания!B:F,5,0)</f>
        <v>июль</v>
      </c>
    </row>
    <row r="50" spans="1:12" ht="18" hidden="1" x14ac:dyDescent="0.3">
      <c r="A50" s="179"/>
      <c r="B50" s="182"/>
      <c r="C50" s="12"/>
      <c r="D50" s="21" t="s">
        <v>113</v>
      </c>
      <c r="E50" s="34">
        <f t="shared" si="0"/>
        <v>39</v>
      </c>
      <c r="F50" s="29">
        <v>255300</v>
      </c>
      <c r="G50" s="21">
        <v>0</v>
      </c>
      <c r="H50" s="131">
        <v>255300</v>
      </c>
      <c r="I50" s="16" t="s">
        <v>17</v>
      </c>
      <c r="J50" s="12" t="s">
        <v>23</v>
      </c>
      <c r="K50" s="16"/>
      <c r="L50" t="str">
        <f>VLOOKUP(F50,списания!B:F,5,0)</f>
        <v>июль</v>
      </c>
    </row>
    <row r="51" spans="1:12" ht="18" x14ac:dyDescent="0.3">
      <c r="A51" s="177" t="s">
        <v>80</v>
      </c>
      <c r="B51" s="180" t="s">
        <v>114</v>
      </c>
      <c r="C51" s="183">
        <v>505000</v>
      </c>
      <c r="D51" s="21" t="s">
        <v>115</v>
      </c>
      <c r="E51" s="34">
        <f t="shared" si="0"/>
        <v>25</v>
      </c>
      <c r="F51" s="29">
        <v>290457</v>
      </c>
      <c r="G51" s="21">
        <v>0</v>
      </c>
      <c r="H51" s="21">
        <v>290457</v>
      </c>
      <c r="I51" s="23" t="s">
        <v>12</v>
      </c>
      <c r="J51" s="25" t="s">
        <v>67</v>
      </c>
      <c r="K51" s="16"/>
      <c r="L51" t="str">
        <f>VLOOKUP(F51,списания!B:F,5,0)</f>
        <v>июнь</v>
      </c>
    </row>
    <row r="52" spans="1:12" ht="18" x14ac:dyDescent="0.3">
      <c r="A52" s="178"/>
      <c r="B52" s="181"/>
      <c r="C52" s="184"/>
      <c r="D52" s="21" t="s">
        <v>116</v>
      </c>
      <c r="E52" s="34">
        <f t="shared" si="0"/>
        <v>32</v>
      </c>
      <c r="F52" s="29">
        <v>145228.5</v>
      </c>
      <c r="G52" s="21">
        <v>0</v>
      </c>
      <c r="H52" s="21">
        <v>145228.5</v>
      </c>
      <c r="I52" s="23" t="s">
        <v>12</v>
      </c>
      <c r="J52" s="16" t="s">
        <v>40</v>
      </c>
      <c r="K52" s="16"/>
      <c r="L52" t="str">
        <f>VLOOKUP(F52,списания!B:F,5,0)</f>
        <v>июнь</v>
      </c>
    </row>
    <row r="53" spans="1:12" ht="18" x14ac:dyDescent="0.3">
      <c r="A53" s="179"/>
      <c r="B53" s="182"/>
      <c r="C53" s="185"/>
      <c r="D53" s="21" t="s">
        <v>117</v>
      </c>
      <c r="E53" s="34">
        <f t="shared" si="0"/>
        <v>40</v>
      </c>
      <c r="F53" s="29">
        <v>69314.5</v>
      </c>
      <c r="G53" s="21">
        <v>0</v>
      </c>
      <c r="H53" s="21">
        <v>69314.5</v>
      </c>
      <c r="I53" s="16" t="s">
        <v>17</v>
      </c>
      <c r="J53" s="12" t="s">
        <v>23</v>
      </c>
      <c r="K53" s="16"/>
      <c r="L53" t="str">
        <f>VLOOKUP(F53,списания!B:F,5,0)</f>
        <v>июнь</v>
      </c>
    </row>
    <row r="54" spans="1:12" ht="36" hidden="1" x14ac:dyDescent="0.3">
      <c r="A54" s="10" t="s">
        <v>72</v>
      </c>
      <c r="B54" s="28" t="s">
        <v>118</v>
      </c>
      <c r="C54" s="16">
        <v>959112.20788461529</v>
      </c>
      <c r="D54" s="21"/>
      <c r="E54" s="34" t="str">
        <f t="shared" si="0"/>
        <v/>
      </c>
      <c r="F54" s="35"/>
      <c r="G54" s="21"/>
      <c r="H54" s="21"/>
      <c r="I54" s="21"/>
      <c r="J54" s="21"/>
      <c r="K54" s="16"/>
    </row>
    <row r="55" spans="1:12" ht="18" x14ac:dyDescent="0.3">
      <c r="A55" s="10" t="s">
        <v>119</v>
      </c>
      <c r="B55" s="28" t="s">
        <v>120</v>
      </c>
      <c r="C55" s="16">
        <v>16887.37</v>
      </c>
      <c r="D55" s="21" t="s">
        <v>105</v>
      </c>
      <c r="E55" s="34">
        <f t="shared" si="0"/>
        <v>20</v>
      </c>
      <c r="F55" s="29">
        <v>46960.61</v>
      </c>
      <c r="G55" s="21">
        <v>30073.237999999998</v>
      </c>
      <c r="H55" s="21">
        <v>16887.37</v>
      </c>
      <c r="I55" s="16" t="s">
        <v>12</v>
      </c>
      <c r="J55" s="25" t="s">
        <v>65</v>
      </c>
      <c r="K55" s="16">
        <f>списания!D32</f>
        <v>8544.2160000000003</v>
      </c>
      <c r="L55" t="str">
        <f>VLOOKUP(F55,списания!B:F,5,0)</f>
        <v>июнь</v>
      </c>
    </row>
    <row r="56" spans="1:12" ht="18" hidden="1" x14ac:dyDescent="0.3">
      <c r="A56" s="10" t="s">
        <v>121</v>
      </c>
      <c r="B56" s="28" t="s">
        <v>122</v>
      </c>
      <c r="C56" s="16">
        <v>35345</v>
      </c>
      <c r="D56" s="21"/>
      <c r="E56" s="34" t="str">
        <f t="shared" si="0"/>
        <v/>
      </c>
      <c r="F56" s="35"/>
      <c r="G56" s="21"/>
      <c r="H56" s="21"/>
      <c r="I56" s="21"/>
      <c r="J56" s="21"/>
      <c r="K56" s="16"/>
    </row>
    <row r="57" spans="1:12" ht="36" hidden="1" x14ac:dyDescent="0.3">
      <c r="A57" s="10" t="s">
        <v>123</v>
      </c>
      <c r="B57" s="28" t="s">
        <v>124</v>
      </c>
      <c r="C57" s="16">
        <v>35365.25</v>
      </c>
      <c r="D57" s="21" t="s">
        <v>125</v>
      </c>
      <c r="E57" s="34">
        <f t="shared" si="0"/>
        <v>46</v>
      </c>
      <c r="F57" s="35">
        <v>148135.124392</v>
      </c>
      <c r="G57" s="21">
        <v>115874.374392</v>
      </c>
      <c r="H57" s="21">
        <v>32260.75</v>
      </c>
      <c r="I57" s="20" t="s">
        <v>85</v>
      </c>
      <c r="J57" s="21" t="s">
        <v>126</v>
      </c>
      <c r="K57" s="16"/>
    </row>
    <row r="58" spans="1:12" ht="18" x14ac:dyDescent="0.3">
      <c r="A58" s="10" t="s">
        <v>127</v>
      </c>
      <c r="B58" s="28" t="s">
        <v>128</v>
      </c>
      <c r="C58" s="16">
        <v>35433.65</v>
      </c>
      <c r="D58" s="21" t="s">
        <v>108</v>
      </c>
      <c r="E58" s="34">
        <f t="shared" si="0"/>
        <v>21</v>
      </c>
      <c r="F58" s="29">
        <v>148179.73000000001</v>
      </c>
      <c r="G58" s="21">
        <v>115912.73</v>
      </c>
      <c r="H58" s="21">
        <v>32267</v>
      </c>
      <c r="I58" s="16" t="s">
        <v>12</v>
      </c>
      <c r="J58" s="25" t="s">
        <v>40</v>
      </c>
      <c r="K58" s="16">
        <f>списания!D33</f>
        <v>106423.692</v>
      </c>
      <c r="L58" t="str">
        <f>VLOOKUP(F58,списания!B:F,5,0)</f>
        <v>июнь</v>
      </c>
    </row>
    <row r="59" spans="1:12" ht="18" hidden="1" x14ac:dyDescent="0.3">
      <c r="A59" s="10" t="s">
        <v>129</v>
      </c>
      <c r="B59" s="28" t="s">
        <v>130</v>
      </c>
      <c r="C59" s="16">
        <v>30402.5</v>
      </c>
      <c r="D59" s="21"/>
      <c r="E59" s="34" t="str">
        <f t="shared" si="0"/>
        <v/>
      </c>
      <c r="F59" s="35"/>
      <c r="G59" s="21"/>
      <c r="H59" s="21"/>
      <c r="I59" s="23"/>
      <c r="J59" s="16"/>
      <c r="K59" s="16"/>
    </row>
    <row r="60" spans="1:12" ht="18" x14ac:dyDescent="0.3">
      <c r="A60" s="177" t="s">
        <v>115</v>
      </c>
      <c r="B60" s="180" t="s">
        <v>131</v>
      </c>
      <c r="C60" s="183">
        <v>246953.74</v>
      </c>
      <c r="D60" s="21" t="s">
        <v>132</v>
      </c>
      <c r="E60" s="34">
        <f t="shared" si="0"/>
        <v>34</v>
      </c>
      <c r="F60" s="29">
        <v>325313.90000000002</v>
      </c>
      <c r="G60" s="21">
        <v>168734.02174199998</v>
      </c>
      <c r="H60" s="21">
        <v>156579.88</v>
      </c>
      <c r="I60" s="23" t="s">
        <v>12</v>
      </c>
      <c r="J60" s="16" t="s">
        <v>40</v>
      </c>
      <c r="K60" s="130"/>
      <c r="L60" t="str">
        <f>VLOOKUP(F60,списания!B:F,5,0)</f>
        <v>июнь</v>
      </c>
    </row>
    <row r="61" spans="1:12" ht="18" x14ac:dyDescent="0.3">
      <c r="A61" s="178"/>
      <c r="B61" s="181"/>
      <c r="C61" s="184"/>
      <c r="D61" s="21" t="s">
        <v>133</v>
      </c>
      <c r="E61" s="34">
        <f t="shared" si="0"/>
        <v>41</v>
      </c>
      <c r="F61" s="29">
        <v>121976.77</v>
      </c>
      <c r="G61" s="21">
        <v>59072.827742367997</v>
      </c>
      <c r="H61" s="21">
        <v>62903.94</v>
      </c>
      <c r="I61" s="16" t="s">
        <v>17</v>
      </c>
      <c r="J61" s="12" t="s">
        <v>23</v>
      </c>
      <c r="K61" s="130">
        <f>списания!D20</f>
        <v>249.51599999999999</v>
      </c>
      <c r="L61" t="str">
        <f>VLOOKUP(F61,списания!B:F,5,0)</f>
        <v>июнь</v>
      </c>
    </row>
    <row r="62" spans="1:12" ht="36" hidden="1" x14ac:dyDescent="0.3">
      <c r="A62" s="179"/>
      <c r="B62" s="182"/>
      <c r="C62" s="185"/>
      <c r="D62" s="21" t="s">
        <v>134</v>
      </c>
      <c r="E62" s="34"/>
      <c r="F62" s="35">
        <v>27190.45</v>
      </c>
      <c r="G62" s="21">
        <v>7129.87</v>
      </c>
      <c r="H62" s="21">
        <v>20060.580000000002</v>
      </c>
      <c r="I62" s="20" t="s">
        <v>25</v>
      </c>
      <c r="J62" s="21" t="s">
        <v>26</v>
      </c>
      <c r="K62" s="16"/>
    </row>
    <row r="63" spans="1:12" ht="36" hidden="1" x14ac:dyDescent="0.3">
      <c r="A63" s="10" t="s">
        <v>110</v>
      </c>
      <c r="B63" s="11" t="s">
        <v>135</v>
      </c>
      <c r="C63" s="16"/>
      <c r="D63" s="21"/>
      <c r="E63" s="34" t="str">
        <f t="shared" si="0"/>
        <v/>
      </c>
      <c r="F63" s="35"/>
      <c r="G63" s="21"/>
      <c r="H63" s="21"/>
      <c r="I63" s="21"/>
      <c r="J63" s="21"/>
      <c r="K63" s="16"/>
    </row>
    <row r="64" spans="1:12" ht="18" hidden="1" x14ac:dyDescent="0.3">
      <c r="A64" s="10" t="s">
        <v>29</v>
      </c>
      <c r="B64" s="11" t="s">
        <v>136</v>
      </c>
      <c r="C64" s="16">
        <v>48963.26</v>
      </c>
      <c r="D64" s="21"/>
      <c r="E64" s="34" t="str">
        <f t="shared" si="0"/>
        <v/>
      </c>
      <c r="F64" s="35"/>
      <c r="G64" s="21"/>
      <c r="H64" s="21"/>
      <c r="I64" s="21"/>
      <c r="J64" s="21"/>
      <c r="K64" s="16"/>
    </row>
    <row r="65" spans="1:12" ht="36" hidden="1" x14ac:dyDescent="0.3">
      <c r="A65" s="10" t="s">
        <v>38</v>
      </c>
      <c r="B65" s="11" t="s">
        <v>137</v>
      </c>
      <c r="C65" s="16">
        <v>1900000</v>
      </c>
      <c r="D65" s="21"/>
      <c r="E65" s="34" t="str">
        <f t="shared" si="0"/>
        <v/>
      </c>
      <c r="F65" s="35"/>
      <c r="G65" s="21"/>
      <c r="H65" s="21"/>
      <c r="I65" s="21"/>
      <c r="J65" s="21"/>
      <c r="K65" s="16"/>
    </row>
    <row r="66" spans="1:12" ht="36" hidden="1" x14ac:dyDescent="0.3">
      <c r="A66" s="10" t="s">
        <v>21</v>
      </c>
      <c r="B66" s="11" t="s">
        <v>138</v>
      </c>
      <c r="C66" s="16"/>
      <c r="D66" s="21"/>
      <c r="E66" s="34" t="str">
        <f t="shared" si="0"/>
        <v/>
      </c>
      <c r="F66" s="35"/>
      <c r="G66" s="21"/>
      <c r="H66" s="21"/>
      <c r="I66" s="21"/>
      <c r="J66" s="21"/>
      <c r="K66" s="16"/>
    </row>
    <row r="67" spans="1:12" ht="36" x14ac:dyDescent="0.3">
      <c r="A67" s="10" t="s">
        <v>76</v>
      </c>
      <c r="B67" s="11" t="s">
        <v>139</v>
      </c>
      <c r="C67" s="16">
        <v>44103.59</v>
      </c>
      <c r="D67" s="21" t="s">
        <v>140</v>
      </c>
      <c r="E67" s="34">
        <f t="shared" si="0"/>
        <v>24</v>
      </c>
      <c r="F67" s="29">
        <v>40991.120000000003</v>
      </c>
      <c r="G67" s="21">
        <v>187.78200000000001</v>
      </c>
      <c r="H67" s="21">
        <v>40803.339999999997</v>
      </c>
      <c r="I67" s="16" t="s">
        <v>12</v>
      </c>
      <c r="J67" s="25" t="s">
        <v>65</v>
      </c>
      <c r="K67" s="130"/>
      <c r="L67" t="str">
        <f>VLOOKUP(F67,списания!B:F,5,0)</f>
        <v>май</v>
      </c>
    </row>
    <row r="68" spans="1:12" ht="18" hidden="1" x14ac:dyDescent="0.3">
      <c r="A68" s="10" t="s">
        <v>141</v>
      </c>
      <c r="B68" s="11" t="s">
        <v>142</v>
      </c>
      <c r="C68" s="16"/>
      <c r="D68" s="21"/>
      <c r="E68" s="34" t="str">
        <f t="shared" si="0"/>
        <v/>
      </c>
      <c r="F68" s="35"/>
      <c r="G68" s="21"/>
      <c r="H68" s="21"/>
      <c r="I68" s="21"/>
      <c r="J68" s="21"/>
      <c r="K68" s="16"/>
    </row>
    <row r="69" spans="1:12" ht="36" x14ac:dyDescent="0.3">
      <c r="A69" s="10" t="s">
        <v>116</v>
      </c>
      <c r="B69" s="11" t="s">
        <v>143</v>
      </c>
      <c r="C69" s="16">
        <v>337206.36</v>
      </c>
      <c r="D69" s="21" t="s">
        <v>141</v>
      </c>
      <c r="E69" s="34">
        <f t="shared" si="0"/>
        <v>31</v>
      </c>
      <c r="F69" s="18">
        <v>337206.36</v>
      </c>
      <c r="G69" s="21">
        <v>0</v>
      </c>
      <c r="H69" s="21">
        <v>337206.36</v>
      </c>
      <c r="I69" s="23" t="s">
        <v>12</v>
      </c>
      <c r="J69" s="16" t="s">
        <v>40</v>
      </c>
      <c r="K69" s="16"/>
      <c r="L69" t="str">
        <f>VLOOKUP(F69,списания!B:F,5,0)</f>
        <v>май</v>
      </c>
    </row>
    <row r="70" spans="1:12" ht="36" hidden="1" x14ac:dyDescent="0.3">
      <c r="A70" s="10" t="s">
        <v>77</v>
      </c>
      <c r="B70" s="11" t="s">
        <v>144</v>
      </c>
      <c r="C70" s="16">
        <v>5040</v>
      </c>
      <c r="D70" s="21"/>
      <c r="E70" s="34"/>
      <c r="F70" s="19"/>
      <c r="G70" s="21"/>
      <c r="H70" s="21"/>
      <c r="I70" s="23"/>
      <c r="J70" s="16"/>
      <c r="K70" s="16"/>
    </row>
    <row r="71" spans="1:12" ht="18" hidden="1" x14ac:dyDescent="0.3">
      <c r="A71" s="10" t="s">
        <v>132</v>
      </c>
      <c r="B71" s="11" t="s">
        <v>145</v>
      </c>
      <c r="C71" s="16">
        <v>40920.067115384612</v>
      </c>
      <c r="D71" s="21"/>
      <c r="E71" s="34"/>
      <c r="F71" s="19"/>
      <c r="G71" s="21"/>
      <c r="H71" s="21"/>
      <c r="I71" s="23"/>
      <c r="J71" s="16"/>
      <c r="K71" s="16"/>
    </row>
    <row r="72" spans="1:12" ht="36" hidden="1" x14ac:dyDescent="0.3">
      <c r="A72" s="10" t="s">
        <v>111</v>
      </c>
      <c r="B72" s="11" t="s">
        <v>146</v>
      </c>
      <c r="C72" s="16">
        <v>108026.29200000002</v>
      </c>
      <c r="D72" s="21" t="s">
        <v>147</v>
      </c>
      <c r="E72" s="34"/>
      <c r="F72" s="22">
        <v>120418.52706000002</v>
      </c>
      <c r="G72" s="21">
        <v>12392.235060000001</v>
      </c>
      <c r="H72" s="21">
        <v>108026.29200000002</v>
      </c>
      <c r="I72" s="23" t="s">
        <v>12</v>
      </c>
      <c r="J72" s="16" t="s">
        <v>83</v>
      </c>
      <c r="K72" s="16"/>
    </row>
    <row r="73" spans="1:12" ht="18" hidden="1" x14ac:dyDescent="0.3">
      <c r="A73" s="10" t="s">
        <v>39</v>
      </c>
      <c r="B73" s="11" t="s">
        <v>148</v>
      </c>
      <c r="C73" s="16">
        <v>6116.26</v>
      </c>
      <c r="D73" s="21"/>
      <c r="E73" s="34"/>
      <c r="F73" s="19"/>
      <c r="G73" s="21"/>
      <c r="H73" s="21"/>
      <c r="I73" s="23"/>
      <c r="J73" s="16"/>
      <c r="K73" s="16"/>
    </row>
    <row r="74" spans="1:12" ht="18" hidden="1" x14ac:dyDescent="0.3">
      <c r="A74" s="10" t="s">
        <v>41</v>
      </c>
      <c r="B74" s="11" t="s">
        <v>149</v>
      </c>
      <c r="C74" s="16">
        <v>15568.8</v>
      </c>
      <c r="D74" s="21"/>
      <c r="E74" s="34"/>
      <c r="F74" s="19"/>
      <c r="G74" s="21"/>
      <c r="H74" s="21"/>
      <c r="I74" s="23"/>
      <c r="J74" s="16"/>
      <c r="K74" s="16"/>
    </row>
    <row r="75" spans="1:12" ht="18" hidden="1" x14ac:dyDescent="0.3">
      <c r="A75" s="10"/>
      <c r="B75" s="11" t="s">
        <v>150</v>
      </c>
      <c r="C75" s="16">
        <v>40920.067115384612</v>
      </c>
      <c r="D75" s="21" t="s">
        <v>44</v>
      </c>
      <c r="E75" s="34">
        <f t="shared" si="0"/>
        <v>16</v>
      </c>
      <c r="F75" s="39">
        <v>30200</v>
      </c>
      <c r="G75" s="21"/>
      <c r="H75" s="21"/>
      <c r="I75" s="21"/>
      <c r="J75" s="21"/>
      <c r="K75" s="16"/>
    </row>
    <row r="76" spans="1:12" ht="18" hidden="1" x14ac:dyDescent="0.3">
      <c r="A76" s="10"/>
      <c r="B76" s="11" t="s">
        <v>151</v>
      </c>
      <c r="C76" s="16"/>
      <c r="D76" s="21" t="s">
        <v>110</v>
      </c>
      <c r="E76" s="34">
        <f t="shared" si="0"/>
        <v>26</v>
      </c>
      <c r="F76" s="40">
        <v>68000</v>
      </c>
      <c r="G76" s="21"/>
      <c r="H76" s="23"/>
      <c r="I76" s="25"/>
      <c r="J76" s="21"/>
      <c r="K76" s="16"/>
    </row>
    <row r="77" spans="1:12" ht="18" hidden="1" x14ac:dyDescent="0.3">
      <c r="A77" s="10"/>
      <c r="B77" s="11"/>
      <c r="C77" s="16">
        <v>4441.6160500000005</v>
      </c>
      <c r="D77" s="21"/>
      <c r="E77" s="34"/>
      <c r="F77" s="19"/>
      <c r="G77" s="21"/>
      <c r="H77" s="23"/>
      <c r="I77" s="25"/>
      <c r="J77" s="21"/>
      <c r="K77" s="16"/>
    </row>
    <row r="78" spans="1:12" ht="17.399999999999999" hidden="1" x14ac:dyDescent="0.3">
      <c r="A78" s="41"/>
      <c r="B78" s="41" t="s">
        <v>152</v>
      </c>
      <c r="C78" s="42">
        <f>SUM(C4:C77)</f>
        <v>42618013.037709109</v>
      </c>
      <c r="D78" s="42"/>
      <c r="E78" s="42"/>
      <c r="F78" s="42">
        <f>SUM(F4:F77)</f>
        <v>23097881.122543905</v>
      </c>
      <c r="G78" s="42">
        <f>SUM(G4:G77)</f>
        <v>6706117.5498767896</v>
      </c>
      <c r="H78" s="42">
        <f>SUM(H4:H77)</f>
        <v>16293563.572000001</v>
      </c>
      <c r="I78" s="42"/>
      <c r="J78" s="42"/>
      <c r="K78" s="128"/>
    </row>
    <row r="79" spans="1:12" hidden="1" x14ac:dyDescent="0.3"/>
    <row r="80" spans="1:12" ht="18" hidden="1" x14ac:dyDescent="0.3">
      <c r="A80" s="43"/>
      <c r="B80" s="48" t="s">
        <v>153</v>
      </c>
      <c r="C80" s="44">
        <f>SUBTOTAL(9,C4:C77)</f>
        <v>17437046.997839905</v>
      </c>
      <c r="D80" s="45"/>
      <c r="E80" s="46"/>
      <c r="F80" s="44">
        <f>SUBTOTAL(9,F4:F77)</f>
        <v>15836437.749999998</v>
      </c>
      <c r="G80" s="44">
        <f>SUBTOTAL(9,G4:G77)</f>
        <v>4555135.1927031074</v>
      </c>
      <c r="H80" s="44">
        <f>SUBTOTAL(9,H4:H77)</f>
        <v>11281302.559999997</v>
      </c>
      <c r="I80" s="47"/>
      <c r="J80" s="47"/>
      <c r="K80" s="127"/>
    </row>
    <row r="81" spans="6:6" hidden="1" x14ac:dyDescent="0.3">
      <c r="F81" s="112">
        <f>F80-списания!B5</f>
        <v>-2600739.3899999987</v>
      </c>
    </row>
  </sheetData>
  <autoFilter ref="A3:J81">
    <filterColumn colId="5">
      <colorFilter dxfId="1"/>
    </filterColumn>
    <filterColumn colId="7">
      <colorFilter dxfId="0"/>
    </filterColumn>
  </autoFilter>
  <mergeCells count="29">
    <mergeCell ref="A24:A25"/>
    <mergeCell ref="B24:B25"/>
    <mergeCell ref="C24:C25"/>
    <mergeCell ref="A6:A7"/>
    <mergeCell ref="B6:B7"/>
    <mergeCell ref="C6:C7"/>
    <mergeCell ref="A8:A11"/>
    <mergeCell ref="B8:B11"/>
    <mergeCell ref="C8:C11"/>
    <mergeCell ref="A12:A15"/>
    <mergeCell ref="B12:B15"/>
    <mergeCell ref="C12:C15"/>
    <mergeCell ref="A16:A17"/>
    <mergeCell ref="B16:B17"/>
    <mergeCell ref="C16:C17"/>
    <mergeCell ref="A60:A62"/>
    <mergeCell ref="B60:B62"/>
    <mergeCell ref="C60:C62"/>
    <mergeCell ref="A28:A31"/>
    <mergeCell ref="B28:B31"/>
    <mergeCell ref="C28:C31"/>
    <mergeCell ref="A32:A37"/>
    <mergeCell ref="B32:B37"/>
    <mergeCell ref="C32:C35"/>
    <mergeCell ref="A48:A50"/>
    <mergeCell ref="B48:B50"/>
    <mergeCell ref="A51:A53"/>
    <mergeCell ref="B51:B53"/>
    <mergeCell ref="C51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opLeftCell="A43" workbookViewId="0">
      <selection activeCell="C75" sqref="C75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25.5546875" bestFit="1" customWidth="1"/>
    <col min="4" max="4" width="12.44140625" bestFit="1" customWidth="1"/>
    <col min="5" max="5" width="12.109375" bestFit="1" customWidth="1"/>
    <col min="6" max="6" width="17.88671875" bestFit="1" customWidth="1"/>
    <col min="7" max="7" width="16.6640625" bestFit="1" customWidth="1"/>
    <col min="8" max="8" width="14.5546875" bestFit="1" customWidth="1"/>
    <col min="9" max="9" width="24.77734375" bestFit="1" customWidth="1"/>
    <col min="10" max="10" width="12.44140625" bestFit="1" customWidth="1"/>
  </cols>
  <sheetData>
    <row r="1" spans="1:10" x14ac:dyDescent="0.3">
      <c r="A1" s="64" t="s">
        <v>154</v>
      </c>
      <c r="B1" s="64" t="s">
        <v>155</v>
      </c>
      <c r="C1" s="64" t="s">
        <v>156</v>
      </c>
      <c r="D1" s="64" t="s">
        <v>157</v>
      </c>
      <c r="E1" s="64" t="s">
        <v>158</v>
      </c>
      <c r="F1" s="64" t="s">
        <v>159</v>
      </c>
      <c r="G1" s="64" t="s">
        <v>160</v>
      </c>
      <c r="H1" s="64" t="s">
        <v>161</v>
      </c>
      <c r="I1" s="64" t="s">
        <v>162</v>
      </c>
    </row>
    <row r="2" spans="1:10" x14ac:dyDescent="0.3">
      <c r="A2" s="65" t="s">
        <v>163</v>
      </c>
      <c r="B2" s="65" t="s">
        <v>164</v>
      </c>
      <c r="C2" s="65" t="s">
        <v>165</v>
      </c>
      <c r="D2" s="66">
        <f>40920.07*0</f>
        <v>0</v>
      </c>
      <c r="E2" s="65" t="s">
        <v>166</v>
      </c>
      <c r="F2" s="65" t="s">
        <v>167</v>
      </c>
      <c r="G2" s="65" t="s">
        <v>168</v>
      </c>
      <c r="H2" s="65" t="s">
        <v>169</v>
      </c>
      <c r="I2" s="65" t="s">
        <v>170</v>
      </c>
      <c r="J2" s="67" t="s">
        <v>171</v>
      </c>
    </row>
    <row r="3" spans="1:10" x14ac:dyDescent="0.3">
      <c r="A3" s="65" t="s">
        <v>172</v>
      </c>
      <c r="B3" s="65" t="s">
        <v>173</v>
      </c>
      <c r="C3" s="65" t="s">
        <v>165</v>
      </c>
      <c r="D3" s="66">
        <f>330648.58*0</f>
        <v>0</v>
      </c>
      <c r="E3" s="65" t="s">
        <v>166</v>
      </c>
      <c r="F3" s="65" t="s">
        <v>167</v>
      </c>
      <c r="G3" s="65" t="s">
        <v>168</v>
      </c>
      <c r="H3" s="65" t="s">
        <v>169</v>
      </c>
      <c r="I3" s="65" t="s">
        <v>174</v>
      </c>
      <c r="J3" s="67" t="s">
        <v>171</v>
      </c>
    </row>
    <row r="4" spans="1:10" x14ac:dyDescent="0.3">
      <c r="A4" s="65" t="s">
        <v>175</v>
      </c>
      <c r="B4" s="65" t="s">
        <v>176</v>
      </c>
      <c r="C4" s="65" t="s">
        <v>165</v>
      </c>
      <c r="D4" s="66">
        <f>337206.36*0</f>
        <v>0</v>
      </c>
      <c r="E4" s="65" t="s">
        <v>166</v>
      </c>
      <c r="F4" s="65" t="s">
        <v>167</v>
      </c>
      <c r="G4" s="65" t="s">
        <v>168</v>
      </c>
      <c r="H4" s="65" t="s">
        <v>169</v>
      </c>
      <c r="I4" s="65" t="s">
        <v>177</v>
      </c>
      <c r="J4" s="67" t="s">
        <v>171</v>
      </c>
    </row>
    <row r="5" spans="1:10" x14ac:dyDescent="0.3">
      <c r="A5" s="65" t="s">
        <v>178</v>
      </c>
      <c r="B5" s="65" t="s">
        <v>179</v>
      </c>
      <c r="C5" s="65" t="s">
        <v>165</v>
      </c>
      <c r="D5" s="66">
        <f>1900000*0</f>
        <v>0</v>
      </c>
      <c r="E5" s="65" t="s">
        <v>166</v>
      </c>
      <c r="F5" s="65" t="s">
        <v>167</v>
      </c>
      <c r="G5" s="65" t="s">
        <v>168</v>
      </c>
      <c r="H5" s="65" t="s">
        <v>169</v>
      </c>
      <c r="I5" s="65" t="s">
        <v>180</v>
      </c>
      <c r="J5" s="67" t="s">
        <v>171</v>
      </c>
    </row>
    <row r="6" spans="1:10" x14ac:dyDescent="0.3">
      <c r="A6" s="68" t="s">
        <v>181</v>
      </c>
      <c r="B6" s="68" t="s">
        <v>182</v>
      </c>
      <c r="C6" s="68" t="s">
        <v>165</v>
      </c>
      <c r="D6" s="69">
        <v>111000</v>
      </c>
      <c r="E6" s="68" t="s">
        <v>166</v>
      </c>
      <c r="F6" s="68" t="s">
        <v>167</v>
      </c>
      <c r="G6" s="68" t="s">
        <v>168</v>
      </c>
      <c r="H6" s="68" t="s">
        <v>169</v>
      </c>
      <c r="I6" s="68" t="s">
        <v>183</v>
      </c>
      <c r="J6" t="s">
        <v>171</v>
      </c>
    </row>
    <row r="7" spans="1:10" x14ac:dyDescent="0.3">
      <c r="A7" s="68" t="s">
        <v>184</v>
      </c>
      <c r="B7" s="68" t="s">
        <v>185</v>
      </c>
      <c r="C7" s="68" t="s">
        <v>165</v>
      </c>
      <c r="D7" s="69">
        <v>40991.120000000003</v>
      </c>
      <c r="E7" s="68" t="s">
        <v>166</v>
      </c>
      <c r="F7" s="68" t="s">
        <v>167</v>
      </c>
      <c r="G7" s="68" t="s">
        <v>168</v>
      </c>
      <c r="H7" s="68" t="s">
        <v>169</v>
      </c>
      <c r="I7" s="68" t="s">
        <v>186</v>
      </c>
      <c r="J7" t="s">
        <v>171</v>
      </c>
    </row>
    <row r="8" spans="1:10" x14ac:dyDescent="0.3">
      <c r="A8" s="68" t="s">
        <v>187</v>
      </c>
      <c r="B8" s="68" t="s">
        <v>188</v>
      </c>
      <c r="C8" s="68" t="s">
        <v>165</v>
      </c>
      <c r="D8" s="69">
        <v>151220.25</v>
      </c>
      <c r="E8" s="68" t="s">
        <v>166</v>
      </c>
      <c r="F8" s="68" t="s">
        <v>167</v>
      </c>
      <c r="G8" s="68" t="s">
        <v>168</v>
      </c>
      <c r="H8" s="68" t="s">
        <v>169</v>
      </c>
      <c r="I8" s="68" t="s">
        <v>189</v>
      </c>
      <c r="J8" t="s">
        <v>190</v>
      </c>
    </row>
    <row r="9" spans="1:10" x14ac:dyDescent="0.3">
      <c r="A9" s="65" t="s">
        <v>191</v>
      </c>
      <c r="B9" s="65" t="s">
        <v>192</v>
      </c>
      <c r="C9" s="65" t="s">
        <v>165</v>
      </c>
      <c r="D9" s="66">
        <f>48963.26*0</f>
        <v>0</v>
      </c>
      <c r="E9" s="65" t="s">
        <v>166</v>
      </c>
      <c r="F9" s="65" t="s">
        <v>167</v>
      </c>
      <c r="G9" s="65" t="s">
        <v>168</v>
      </c>
      <c r="H9" s="65" t="s">
        <v>169</v>
      </c>
      <c r="I9" s="65" t="s">
        <v>193</v>
      </c>
      <c r="J9" s="67" t="s">
        <v>190</v>
      </c>
    </row>
    <row r="10" spans="1:10" x14ac:dyDescent="0.3">
      <c r="A10" s="65" t="s">
        <v>194</v>
      </c>
      <c r="B10" s="65" t="s">
        <v>195</v>
      </c>
      <c r="C10" s="65" t="s">
        <v>165</v>
      </c>
      <c r="D10" s="66">
        <f>25935.46*0</f>
        <v>0</v>
      </c>
      <c r="E10" s="65" t="s">
        <v>166</v>
      </c>
      <c r="F10" s="65" t="s">
        <v>167</v>
      </c>
      <c r="G10" s="65" t="s">
        <v>168</v>
      </c>
      <c r="H10" s="65" t="s">
        <v>169</v>
      </c>
      <c r="I10" s="65" t="s">
        <v>196</v>
      </c>
      <c r="J10" s="67" t="s">
        <v>190</v>
      </c>
    </row>
    <row r="11" spans="1:10" x14ac:dyDescent="0.3">
      <c r="A11" s="68" t="s">
        <v>197</v>
      </c>
      <c r="B11" s="68" t="s">
        <v>198</v>
      </c>
      <c r="C11" s="68" t="s">
        <v>165</v>
      </c>
      <c r="D11" s="69">
        <v>74844.2</v>
      </c>
      <c r="E11" s="68" t="s">
        <v>166</v>
      </c>
      <c r="F11" s="68" t="s">
        <v>167</v>
      </c>
      <c r="G11" s="68" t="s">
        <v>168</v>
      </c>
      <c r="H11" s="68" t="s">
        <v>169</v>
      </c>
      <c r="I11" s="68" t="s">
        <v>199</v>
      </c>
      <c r="J11" t="s">
        <v>200</v>
      </c>
    </row>
    <row r="12" spans="1:10" x14ac:dyDescent="0.3">
      <c r="A12" s="68" t="s">
        <v>201</v>
      </c>
      <c r="B12" s="68" t="s">
        <v>202</v>
      </c>
      <c r="C12" s="68" t="s">
        <v>165</v>
      </c>
      <c r="D12" s="69">
        <v>70000</v>
      </c>
      <c r="E12" s="68" t="s">
        <v>166</v>
      </c>
      <c r="F12" s="68" t="s">
        <v>167</v>
      </c>
      <c r="G12" s="68" t="s">
        <v>168</v>
      </c>
      <c r="H12" s="68" t="s">
        <v>169</v>
      </c>
      <c r="I12" s="68" t="s">
        <v>203</v>
      </c>
      <c r="J12" t="s">
        <v>200</v>
      </c>
    </row>
    <row r="13" spans="1:10" x14ac:dyDescent="0.3">
      <c r="A13" s="68" t="s">
        <v>204</v>
      </c>
      <c r="B13" s="68" t="s">
        <v>205</v>
      </c>
      <c r="C13" s="68" t="s">
        <v>165</v>
      </c>
      <c r="D13" s="69">
        <v>92115.83</v>
      </c>
      <c r="E13" s="68" t="s">
        <v>166</v>
      </c>
      <c r="F13" s="68" t="s">
        <v>167</v>
      </c>
      <c r="G13" s="68" t="s">
        <v>168</v>
      </c>
      <c r="H13" s="68" t="s">
        <v>169</v>
      </c>
      <c r="I13" s="68" t="s">
        <v>206</v>
      </c>
      <c r="J13" t="s">
        <v>200</v>
      </c>
    </row>
    <row r="14" spans="1:10" x14ac:dyDescent="0.3">
      <c r="A14" s="68" t="s">
        <v>207</v>
      </c>
      <c r="B14" s="68" t="s">
        <v>208</v>
      </c>
      <c r="C14" s="68" t="s">
        <v>165</v>
      </c>
      <c r="D14" s="69">
        <v>69692.789999999994</v>
      </c>
      <c r="E14" s="68" t="s">
        <v>166</v>
      </c>
      <c r="F14" s="68" t="s">
        <v>167</v>
      </c>
      <c r="G14" s="68" t="s">
        <v>168</v>
      </c>
      <c r="H14" s="68" t="s">
        <v>169</v>
      </c>
      <c r="I14" s="68" t="s">
        <v>209</v>
      </c>
      <c r="J14" t="s">
        <v>200</v>
      </c>
    </row>
    <row r="15" spans="1:10" x14ac:dyDescent="0.3">
      <c r="A15" s="68" t="s">
        <v>210</v>
      </c>
      <c r="B15" s="68" t="s">
        <v>211</v>
      </c>
      <c r="C15" s="68" t="s">
        <v>165</v>
      </c>
      <c r="D15" s="69">
        <v>220420.19</v>
      </c>
      <c r="E15" s="68" t="s">
        <v>166</v>
      </c>
      <c r="F15" s="68" t="s">
        <v>167</v>
      </c>
      <c r="G15" s="68" t="s">
        <v>168</v>
      </c>
      <c r="H15" s="68" t="s">
        <v>169</v>
      </c>
      <c r="I15" s="68" t="s">
        <v>212</v>
      </c>
      <c r="J15" t="s">
        <v>200</v>
      </c>
    </row>
    <row r="16" spans="1:10" x14ac:dyDescent="0.3">
      <c r="A16" s="68" t="s">
        <v>213</v>
      </c>
      <c r="B16" s="68" t="s">
        <v>214</v>
      </c>
      <c r="C16" s="68" t="s">
        <v>165</v>
      </c>
      <c r="D16" s="69">
        <v>8730</v>
      </c>
      <c r="E16" s="68" t="s">
        <v>166</v>
      </c>
      <c r="F16" s="68" t="s">
        <v>167</v>
      </c>
      <c r="G16" s="68" t="s">
        <v>168</v>
      </c>
      <c r="H16" s="68" t="s">
        <v>169</v>
      </c>
      <c r="I16" s="68" t="s">
        <v>215</v>
      </c>
      <c r="J16" t="s">
        <v>200</v>
      </c>
    </row>
    <row r="17" spans="1:10" x14ac:dyDescent="0.3">
      <c r="A17" s="68" t="s">
        <v>216</v>
      </c>
      <c r="B17" s="68" t="s">
        <v>217</v>
      </c>
      <c r="C17" s="68" t="s">
        <v>165</v>
      </c>
      <c r="D17" s="69">
        <v>231000</v>
      </c>
      <c r="E17" s="68" t="s">
        <v>166</v>
      </c>
      <c r="F17" s="68" t="s">
        <v>167</v>
      </c>
      <c r="G17" s="68" t="s">
        <v>168</v>
      </c>
      <c r="H17" s="68" t="s">
        <v>169</v>
      </c>
      <c r="I17" s="68" t="s">
        <v>218</v>
      </c>
      <c r="J17" t="s">
        <v>190</v>
      </c>
    </row>
    <row r="18" spans="1:10" x14ac:dyDescent="0.3">
      <c r="A18" s="68" t="s">
        <v>219</v>
      </c>
      <c r="B18" s="68" t="s">
        <v>220</v>
      </c>
      <c r="C18" s="68" t="s">
        <v>165</v>
      </c>
      <c r="D18" s="69">
        <v>2044</v>
      </c>
      <c r="E18" s="68" t="s">
        <v>166</v>
      </c>
      <c r="F18" s="68" t="s">
        <v>167</v>
      </c>
      <c r="G18" s="68" t="s">
        <v>168</v>
      </c>
      <c r="H18" s="68" t="s">
        <v>169</v>
      </c>
      <c r="I18" s="68" t="s">
        <v>221</v>
      </c>
      <c r="J18" t="s">
        <v>190</v>
      </c>
    </row>
    <row r="19" spans="1:10" x14ac:dyDescent="0.3">
      <c r="A19" s="79">
        <v>45474</v>
      </c>
      <c r="B19" s="65" t="s">
        <v>222</v>
      </c>
      <c r="C19" s="65" t="s">
        <v>165</v>
      </c>
      <c r="D19" s="66">
        <f>330648.58</f>
        <v>330648.58</v>
      </c>
      <c r="E19" s="65" t="s">
        <v>166</v>
      </c>
      <c r="F19" s="65" t="s">
        <v>167</v>
      </c>
      <c r="G19" s="65" t="s">
        <v>168</v>
      </c>
      <c r="H19" s="65" t="s">
        <v>169</v>
      </c>
      <c r="I19" s="65" t="s">
        <v>193</v>
      </c>
      <c r="J19" s="67" t="s">
        <v>171</v>
      </c>
    </row>
    <row r="20" spans="1:10" x14ac:dyDescent="0.3">
      <c r="A20" s="68" t="s">
        <v>223</v>
      </c>
      <c r="B20" s="68" t="s">
        <v>224</v>
      </c>
      <c r="C20" s="68" t="s">
        <v>165</v>
      </c>
      <c r="D20" s="69">
        <v>337206.36</v>
      </c>
      <c r="E20" s="68" t="s">
        <v>166</v>
      </c>
      <c r="F20" s="68" t="s">
        <v>167</v>
      </c>
      <c r="G20" s="68" t="s">
        <v>168</v>
      </c>
      <c r="H20" s="68" t="s">
        <v>169</v>
      </c>
      <c r="I20" s="68" t="s">
        <v>225</v>
      </c>
      <c r="J20" t="s">
        <v>226</v>
      </c>
    </row>
    <row r="21" spans="1:10" x14ac:dyDescent="0.3">
      <c r="A21" s="68" t="s">
        <v>227</v>
      </c>
      <c r="B21" s="68" t="s">
        <v>228</v>
      </c>
      <c r="C21" s="68" t="s">
        <v>165</v>
      </c>
      <c r="D21" s="69">
        <v>585276.81999999995</v>
      </c>
      <c r="E21" s="68" t="s">
        <v>166</v>
      </c>
      <c r="F21" s="68" t="s">
        <v>167</v>
      </c>
      <c r="G21" s="68" t="s">
        <v>168</v>
      </c>
      <c r="H21" s="68" t="s">
        <v>169</v>
      </c>
      <c r="I21" s="68" t="s">
        <v>229</v>
      </c>
      <c r="J21" t="s">
        <v>200</v>
      </c>
    </row>
    <row r="22" spans="1:10" x14ac:dyDescent="0.3">
      <c r="A22" s="68" t="s">
        <v>227</v>
      </c>
      <c r="B22" s="68" t="s">
        <v>230</v>
      </c>
      <c r="C22" s="68" t="s">
        <v>165</v>
      </c>
      <c r="D22" s="69">
        <v>585218.81999999995</v>
      </c>
      <c r="E22" s="68" t="s">
        <v>166</v>
      </c>
      <c r="F22" s="68" t="s">
        <v>167</v>
      </c>
      <c r="G22" s="68" t="s">
        <v>168</v>
      </c>
      <c r="H22" s="68" t="s">
        <v>169</v>
      </c>
      <c r="I22" s="68" t="s">
        <v>231</v>
      </c>
      <c r="J22" t="s">
        <v>200</v>
      </c>
    </row>
    <row r="23" spans="1:10" x14ac:dyDescent="0.3">
      <c r="A23" s="68" t="s">
        <v>232</v>
      </c>
      <c r="B23" s="68" t="s">
        <v>233</v>
      </c>
      <c r="C23" s="68" t="s">
        <v>165</v>
      </c>
      <c r="D23" s="69">
        <v>19075.72</v>
      </c>
      <c r="E23" s="68" t="s">
        <v>166</v>
      </c>
      <c r="F23" s="68" t="s">
        <v>167</v>
      </c>
      <c r="G23" s="68" t="s">
        <v>168</v>
      </c>
      <c r="H23" s="68" t="s">
        <v>169</v>
      </c>
      <c r="I23" s="68" t="s">
        <v>234</v>
      </c>
      <c r="J23" t="s">
        <v>200</v>
      </c>
    </row>
    <row r="24" spans="1:10" x14ac:dyDescent="0.3">
      <c r="A24" s="68" t="s">
        <v>232</v>
      </c>
      <c r="B24" s="68" t="s">
        <v>235</v>
      </c>
      <c r="C24" s="68" t="s">
        <v>165</v>
      </c>
      <c r="D24" s="69">
        <v>1609186.51</v>
      </c>
      <c r="E24" s="68" t="s">
        <v>166</v>
      </c>
      <c r="F24" s="68" t="s">
        <v>167</v>
      </c>
      <c r="G24" s="68" t="s">
        <v>168</v>
      </c>
      <c r="H24" s="68" t="s">
        <v>169</v>
      </c>
      <c r="I24" s="68" t="s">
        <v>236</v>
      </c>
      <c r="J24" t="s">
        <v>190</v>
      </c>
    </row>
    <row r="25" spans="1:10" x14ac:dyDescent="0.3">
      <c r="A25" s="68" t="s">
        <v>232</v>
      </c>
      <c r="B25" s="68" t="s">
        <v>237</v>
      </c>
      <c r="C25" s="68" t="s">
        <v>165</v>
      </c>
      <c r="D25" s="69">
        <v>1027136</v>
      </c>
      <c r="E25" s="68" t="s">
        <v>166</v>
      </c>
      <c r="F25" s="68" t="s">
        <v>167</v>
      </c>
      <c r="G25" s="68" t="s">
        <v>168</v>
      </c>
      <c r="H25" s="68" t="s">
        <v>169</v>
      </c>
      <c r="I25" s="68" t="s">
        <v>238</v>
      </c>
      <c r="J25" t="s">
        <v>190</v>
      </c>
    </row>
    <row r="26" spans="1:10" x14ac:dyDescent="0.3">
      <c r="A26" s="68" t="s">
        <v>232</v>
      </c>
      <c r="B26" s="68" t="s">
        <v>239</v>
      </c>
      <c r="C26" s="68" t="s">
        <v>165</v>
      </c>
      <c r="D26" s="69">
        <v>309258.40000000002</v>
      </c>
      <c r="E26" s="68" t="s">
        <v>166</v>
      </c>
      <c r="F26" s="68" t="s">
        <v>167</v>
      </c>
      <c r="G26" s="68" t="s">
        <v>168</v>
      </c>
      <c r="H26" s="68" t="s">
        <v>169</v>
      </c>
      <c r="I26" s="68" t="s">
        <v>240</v>
      </c>
      <c r="J26" t="s">
        <v>190</v>
      </c>
    </row>
    <row r="27" spans="1:10" x14ac:dyDescent="0.3">
      <c r="A27" s="68" t="s">
        <v>232</v>
      </c>
      <c r="B27" s="68" t="s">
        <v>241</v>
      </c>
      <c r="C27" s="68" t="s">
        <v>165</v>
      </c>
      <c r="D27" s="69">
        <v>33000</v>
      </c>
      <c r="E27" s="68" t="s">
        <v>166</v>
      </c>
      <c r="F27" s="68" t="s">
        <v>167</v>
      </c>
      <c r="G27" s="68" t="s">
        <v>168</v>
      </c>
      <c r="H27" s="68" t="s">
        <v>169</v>
      </c>
      <c r="I27" s="68" t="s">
        <v>242</v>
      </c>
      <c r="J27" t="s">
        <v>171</v>
      </c>
    </row>
    <row r="28" spans="1:10" x14ac:dyDescent="0.3">
      <c r="A28" s="68" t="s">
        <v>243</v>
      </c>
      <c r="B28" s="68" t="s">
        <v>244</v>
      </c>
      <c r="C28" s="68" t="s">
        <v>165</v>
      </c>
      <c r="D28" s="69">
        <v>27868</v>
      </c>
      <c r="E28" s="68" t="s">
        <v>166</v>
      </c>
      <c r="F28" s="68" t="s">
        <v>167</v>
      </c>
      <c r="G28" s="68" t="s">
        <v>168</v>
      </c>
      <c r="H28" s="68" t="s">
        <v>169</v>
      </c>
      <c r="I28" s="68" t="s">
        <v>245</v>
      </c>
      <c r="J28" t="s">
        <v>190</v>
      </c>
    </row>
    <row r="29" spans="1:10" x14ac:dyDescent="0.3">
      <c r="A29" s="68" t="s">
        <v>243</v>
      </c>
      <c r="B29" s="68" t="s">
        <v>246</v>
      </c>
      <c r="C29" s="68" t="s">
        <v>165</v>
      </c>
      <c r="D29" s="69">
        <v>554353</v>
      </c>
      <c r="E29" s="68" t="s">
        <v>166</v>
      </c>
      <c r="F29" s="68" t="s">
        <v>167</v>
      </c>
      <c r="G29" s="68" t="s">
        <v>168</v>
      </c>
      <c r="H29" s="68" t="s">
        <v>169</v>
      </c>
      <c r="I29" s="68" t="s">
        <v>247</v>
      </c>
      <c r="J29" t="s">
        <v>190</v>
      </c>
    </row>
    <row r="30" spans="1:10" x14ac:dyDescent="0.3">
      <c r="A30" s="68" t="s">
        <v>243</v>
      </c>
      <c r="B30" s="68" t="s">
        <v>248</v>
      </c>
      <c r="C30" s="68" t="s">
        <v>165</v>
      </c>
      <c r="D30" s="69">
        <v>446461.48</v>
      </c>
      <c r="E30" s="68" t="s">
        <v>166</v>
      </c>
      <c r="F30" s="68" t="s">
        <v>167</v>
      </c>
      <c r="G30" s="68" t="s">
        <v>168</v>
      </c>
      <c r="H30" s="68" t="s">
        <v>169</v>
      </c>
      <c r="I30" s="68" t="s">
        <v>249</v>
      </c>
      <c r="J30" t="s">
        <v>190</v>
      </c>
    </row>
    <row r="31" spans="1:10" x14ac:dyDescent="0.3">
      <c r="A31" s="68" t="s">
        <v>243</v>
      </c>
      <c r="B31" s="68" t="s">
        <v>250</v>
      </c>
      <c r="C31" s="68" t="s">
        <v>165</v>
      </c>
      <c r="D31" s="69">
        <v>47254.52</v>
      </c>
      <c r="E31" s="68" t="s">
        <v>166</v>
      </c>
      <c r="F31" s="68" t="s">
        <v>167</v>
      </c>
      <c r="G31" s="68" t="s">
        <v>168</v>
      </c>
      <c r="H31" s="68" t="s">
        <v>169</v>
      </c>
      <c r="I31" s="68" t="s">
        <v>251</v>
      </c>
      <c r="J31" t="s">
        <v>190</v>
      </c>
    </row>
    <row r="32" spans="1:10" x14ac:dyDescent="0.3">
      <c r="A32" s="68" t="s">
        <v>243</v>
      </c>
      <c r="B32" s="68" t="s">
        <v>252</v>
      </c>
      <c r="C32" s="68" t="s">
        <v>165</v>
      </c>
      <c r="D32" s="69">
        <v>46960.61</v>
      </c>
      <c r="E32" s="68" t="s">
        <v>166</v>
      </c>
      <c r="F32" s="68" t="s">
        <v>167</v>
      </c>
      <c r="G32" s="68" t="s">
        <v>168</v>
      </c>
      <c r="H32" s="68" t="s">
        <v>169</v>
      </c>
      <c r="I32" s="68" t="s">
        <v>253</v>
      </c>
      <c r="J32" t="s">
        <v>171</v>
      </c>
    </row>
    <row r="33" spans="1:10" x14ac:dyDescent="0.3">
      <c r="A33" s="68" t="s">
        <v>254</v>
      </c>
      <c r="B33" s="68" t="s">
        <v>255</v>
      </c>
      <c r="C33" s="68" t="s">
        <v>165</v>
      </c>
      <c r="D33" s="69">
        <v>148179.73000000001</v>
      </c>
      <c r="E33" s="68" t="s">
        <v>166</v>
      </c>
      <c r="F33" s="68" t="s">
        <v>167</v>
      </c>
      <c r="G33" s="68" t="s">
        <v>168</v>
      </c>
      <c r="H33" s="68" t="s">
        <v>169</v>
      </c>
      <c r="I33" s="68" t="s">
        <v>256</v>
      </c>
      <c r="J33" t="s">
        <v>226</v>
      </c>
    </row>
    <row r="34" spans="1:10" x14ac:dyDescent="0.3">
      <c r="A34" s="68" t="s">
        <v>254</v>
      </c>
      <c r="B34" s="68" t="s">
        <v>257</v>
      </c>
      <c r="C34" s="68" t="s">
        <v>165</v>
      </c>
      <c r="D34" s="69">
        <v>593059.22</v>
      </c>
      <c r="E34" s="68" t="s">
        <v>166</v>
      </c>
      <c r="F34" s="68" t="s">
        <v>167</v>
      </c>
      <c r="G34" s="68" t="s">
        <v>168</v>
      </c>
      <c r="H34" s="68" t="s">
        <v>169</v>
      </c>
      <c r="I34" s="68" t="s">
        <v>258</v>
      </c>
      <c r="J34" t="s">
        <v>171</v>
      </c>
    </row>
    <row r="35" spans="1:10" x14ac:dyDescent="0.3">
      <c r="A35" s="68" t="s">
        <v>254</v>
      </c>
      <c r="B35" s="68" t="s">
        <v>259</v>
      </c>
      <c r="C35" s="68" t="s">
        <v>165</v>
      </c>
      <c r="D35" s="69">
        <v>290457</v>
      </c>
      <c r="E35" s="68" t="s">
        <v>166</v>
      </c>
      <c r="F35" s="68" t="s">
        <v>167</v>
      </c>
      <c r="G35" s="68" t="s">
        <v>168</v>
      </c>
      <c r="H35" s="68" t="s">
        <v>169</v>
      </c>
      <c r="I35" s="68" t="s">
        <v>260</v>
      </c>
      <c r="J35" t="s">
        <v>171</v>
      </c>
    </row>
    <row r="36" spans="1:10" x14ac:dyDescent="0.3">
      <c r="A36" s="68" t="s">
        <v>254</v>
      </c>
      <c r="B36" s="68" t="s">
        <v>261</v>
      </c>
      <c r="C36" s="68" t="s">
        <v>165</v>
      </c>
      <c r="D36" s="69">
        <v>954520.6</v>
      </c>
      <c r="E36" s="68" t="s">
        <v>166</v>
      </c>
      <c r="F36" s="68" t="s">
        <v>167</v>
      </c>
      <c r="G36" s="68" t="s">
        <v>168</v>
      </c>
      <c r="H36" s="68" t="s">
        <v>169</v>
      </c>
      <c r="I36" s="68" t="s">
        <v>262</v>
      </c>
      <c r="J36" t="s">
        <v>171</v>
      </c>
    </row>
    <row r="37" spans="1:10" x14ac:dyDescent="0.3">
      <c r="A37" s="68" t="s">
        <v>254</v>
      </c>
      <c r="B37" s="68" t="s">
        <v>263</v>
      </c>
      <c r="C37" s="68" t="s">
        <v>165</v>
      </c>
      <c r="D37" s="69">
        <v>27224</v>
      </c>
      <c r="E37" s="68" t="s">
        <v>166</v>
      </c>
      <c r="F37" s="68" t="s">
        <v>167</v>
      </c>
      <c r="G37" s="68" t="s">
        <v>168</v>
      </c>
      <c r="H37" s="68" t="s">
        <v>169</v>
      </c>
      <c r="I37" s="68" t="s">
        <v>264</v>
      </c>
      <c r="J37" t="s">
        <v>171</v>
      </c>
    </row>
    <row r="38" spans="1:10" x14ac:dyDescent="0.3">
      <c r="A38" s="68" t="s">
        <v>254</v>
      </c>
      <c r="B38" s="68" t="s">
        <v>265</v>
      </c>
      <c r="C38" s="68" t="s">
        <v>165</v>
      </c>
      <c r="D38" s="69">
        <v>5437399.7400000002</v>
      </c>
      <c r="E38" s="68" t="s">
        <v>166</v>
      </c>
      <c r="F38" s="68" t="s">
        <v>167</v>
      </c>
      <c r="G38" s="68" t="s">
        <v>168</v>
      </c>
      <c r="H38" s="68" t="s">
        <v>169</v>
      </c>
      <c r="I38" s="68" t="s">
        <v>266</v>
      </c>
      <c r="J38" t="s">
        <v>171</v>
      </c>
    </row>
    <row r="39" spans="1:10" x14ac:dyDescent="0.3">
      <c r="A39" s="68" t="s">
        <v>254</v>
      </c>
      <c r="B39" s="68" t="s">
        <v>267</v>
      </c>
      <c r="C39" s="68" t="s">
        <v>165</v>
      </c>
      <c r="D39" s="69">
        <v>145228.5</v>
      </c>
      <c r="E39" s="68" t="s">
        <v>166</v>
      </c>
      <c r="F39" s="68" t="s">
        <v>167</v>
      </c>
      <c r="G39" s="68" t="s">
        <v>168</v>
      </c>
      <c r="H39" s="68" t="s">
        <v>169</v>
      </c>
      <c r="I39" s="68" t="s">
        <v>268</v>
      </c>
      <c r="J39" t="s">
        <v>226</v>
      </c>
    </row>
    <row r="40" spans="1:10" x14ac:dyDescent="0.3">
      <c r="A40" s="68" t="s">
        <v>254</v>
      </c>
      <c r="B40" s="68" t="s">
        <v>269</v>
      </c>
      <c r="C40" s="68" t="s">
        <v>165</v>
      </c>
      <c r="D40" s="69">
        <v>28858</v>
      </c>
      <c r="E40" s="68" t="s">
        <v>166</v>
      </c>
      <c r="F40" s="68" t="s">
        <v>167</v>
      </c>
      <c r="G40" s="68" t="s">
        <v>168</v>
      </c>
      <c r="H40" s="68" t="s">
        <v>169</v>
      </c>
      <c r="I40" s="68" t="s">
        <v>270</v>
      </c>
      <c r="J40" t="s">
        <v>226</v>
      </c>
    </row>
    <row r="41" spans="1:10" x14ac:dyDescent="0.3">
      <c r="A41" s="68" t="s">
        <v>254</v>
      </c>
      <c r="B41" s="68" t="s">
        <v>271</v>
      </c>
      <c r="C41" s="68" t="s">
        <v>165</v>
      </c>
      <c r="D41" s="69">
        <v>325313.90000000002</v>
      </c>
      <c r="E41" s="68" t="s">
        <v>166</v>
      </c>
      <c r="F41" s="68" t="s">
        <v>167</v>
      </c>
      <c r="G41" s="68" t="s">
        <v>168</v>
      </c>
      <c r="H41" s="68" t="s">
        <v>169</v>
      </c>
      <c r="I41" s="68" t="s">
        <v>272</v>
      </c>
      <c r="J41" t="s">
        <v>226</v>
      </c>
    </row>
    <row r="42" spans="1:10" x14ac:dyDescent="0.3">
      <c r="A42" s="68" t="s">
        <v>254</v>
      </c>
      <c r="B42" s="68" t="s">
        <v>273</v>
      </c>
      <c r="C42" s="68" t="s">
        <v>165</v>
      </c>
      <c r="D42" s="69">
        <v>887716.17</v>
      </c>
      <c r="E42" s="68" t="s">
        <v>166</v>
      </c>
      <c r="F42" s="68" t="s">
        <v>167</v>
      </c>
      <c r="G42" s="68" t="s">
        <v>168</v>
      </c>
      <c r="H42" s="68" t="s">
        <v>169</v>
      </c>
      <c r="I42" s="68" t="s">
        <v>274</v>
      </c>
      <c r="J42" t="s">
        <v>226</v>
      </c>
    </row>
    <row r="43" spans="1:10" x14ac:dyDescent="0.3">
      <c r="A43" s="70">
        <v>45448</v>
      </c>
      <c r="B43" s="68" t="s">
        <v>275</v>
      </c>
      <c r="C43" s="68" t="s">
        <v>165</v>
      </c>
      <c r="D43" s="69">
        <v>121976.77</v>
      </c>
      <c r="E43" s="68" t="s">
        <v>166</v>
      </c>
      <c r="F43" s="68" t="s">
        <v>167</v>
      </c>
      <c r="G43" s="68" t="s">
        <v>168</v>
      </c>
      <c r="H43" s="68" t="s">
        <v>169</v>
      </c>
      <c r="I43" s="71" t="s">
        <v>276</v>
      </c>
      <c r="J43" t="s">
        <v>226</v>
      </c>
    </row>
    <row r="44" spans="1:10" x14ac:dyDescent="0.3">
      <c r="A44" s="68" t="s">
        <v>277</v>
      </c>
      <c r="B44" s="68" t="s">
        <v>278</v>
      </c>
      <c r="C44" s="68" t="s">
        <v>165</v>
      </c>
      <c r="D44" s="69">
        <v>908895.93</v>
      </c>
      <c r="E44" s="68" t="s">
        <v>166</v>
      </c>
      <c r="F44" s="68" t="s">
        <v>167</v>
      </c>
      <c r="G44" s="68" t="s">
        <v>168</v>
      </c>
      <c r="H44" s="68" t="s">
        <v>169</v>
      </c>
      <c r="I44" s="68" t="s">
        <v>279</v>
      </c>
      <c r="J44" t="s">
        <v>280</v>
      </c>
    </row>
    <row r="45" spans="1:10" x14ac:dyDescent="0.3">
      <c r="A45" s="70">
        <v>45448</v>
      </c>
      <c r="B45" s="68" t="s">
        <v>281</v>
      </c>
      <c r="C45" s="68" t="s">
        <v>165</v>
      </c>
      <c r="D45" s="69">
        <v>69314.5</v>
      </c>
      <c r="E45" s="68" t="s">
        <v>166</v>
      </c>
      <c r="F45" s="68" t="s">
        <v>167</v>
      </c>
      <c r="G45" s="68" t="s">
        <v>168</v>
      </c>
      <c r="H45" s="68" t="s">
        <v>169</v>
      </c>
      <c r="I45" s="71" t="s">
        <v>282</v>
      </c>
      <c r="J45" t="s">
        <v>226</v>
      </c>
    </row>
    <row r="46" spans="1:10" x14ac:dyDescent="0.3">
      <c r="A46" s="68" t="s">
        <v>283</v>
      </c>
      <c r="B46" s="68" t="s">
        <v>284</v>
      </c>
      <c r="C46" s="68" t="s">
        <v>165</v>
      </c>
      <c r="D46" s="69">
        <v>255300</v>
      </c>
      <c r="E46" s="68" t="s">
        <v>166</v>
      </c>
      <c r="F46" s="68" t="s">
        <v>167</v>
      </c>
      <c r="G46" s="68" t="s">
        <v>168</v>
      </c>
      <c r="H46" s="68" t="s">
        <v>169</v>
      </c>
      <c r="I46" s="68" t="s">
        <v>285</v>
      </c>
      <c r="J46" t="s">
        <v>280</v>
      </c>
    </row>
    <row r="47" spans="1:10" x14ac:dyDescent="0.3">
      <c r="A47" s="70">
        <v>45448</v>
      </c>
      <c r="B47" s="68" t="s">
        <v>286</v>
      </c>
      <c r="C47" s="68" t="s">
        <v>165</v>
      </c>
      <c r="D47" s="69">
        <v>106875</v>
      </c>
      <c r="E47" s="68" t="s">
        <v>166</v>
      </c>
      <c r="F47" s="68" t="s">
        <v>167</v>
      </c>
      <c r="G47" s="68" t="s">
        <v>168</v>
      </c>
      <c r="H47" s="68" t="s">
        <v>169</v>
      </c>
      <c r="I47" s="71" t="s">
        <v>287</v>
      </c>
      <c r="J47" t="s">
        <v>226</v>
      </c>
    </row>
    <row r="48" spans="1:10" x14ac:dyDescent="0.3">
      <c r="A48" s="68" t="s">
        <v>288</v>
      </c>
      <c r="B48" s="68" t="s">
        <v>289</v>
      </c>
      <c r="C48" s="68" t="s">
        <v>165</v>
      </c>
      <c r="D48" s="69">
        <v>426150.52</v>
      </c>
      <c r="E48" s="68" t="s">
        <v>166</v>
      </c>
      <c r="F48" s="68" t="s">
        <v>167</v>
      </c>
      <c r="G48" s="68" t="s">
        <v>168</v>
      </c>
      <c r="H48" s="68" t="s">
        <v>169</v>
      </c>
      <c r="I48" s="68" t="s">
        <v>290</v>
      </c>
      <c r="J48" t="s">
        <v>280</v>
      </c>
    </row>
    <row r="49" spans="1:10" x14ac:dyDescent="0.3">
      <c r="A49" s="68" t="s">
        <v>291</v>
      </c>
      <c r="B49" s="68" t="s">
        <v>292</v>
      </c>
      <c r="C49" s="68" t="s">
        <v>165</v>
      </c>
      <c r="D49" s="69">
        <v>359694.36</v>
      </c>
      <c r="E49" s="68" t="s">
        <v>166</v>
      </c>
      <c r="F49" s="68" t="s">
        <v>167</v>
      </c>
      <c r="G49" s="68" t="s">
        <v>168</v>
      </c>
      <c r="H49" s="68" t="s">
        <v>169</v>
      </c>
      <c r="I49" s="68" t="s">
        <v>293</v>
      </c>
      <c r="J49" t="s">
        <v>280</v>
      </c>
    </row>
    <row r="50" spans="1:10" x14ac:dyDescent="0.3">
      <c r="A50" s="68" t="s">
        <v>294</v>
      </c>
      <c r="B50" s="68" t="s">
        <v>295</v>
      </c>
      <c r="C50" s="68" t="s">
        <v>165</v>
      </c>
      <c r="D50" s="69">
        <v>320050</v>
      </c>
      <c r="E50" s="68" t="s">
        <v>166</v>
      </c>
      <c r="F50" s="68" t="s">
        <v>167</v>
      </c>
      <c r="G50" s="68" t="s">
        <v>168</v>
      </c>
      <c r="H50" s="68" t="s">
        <v>169</v>
      </c>
      <c r="I50" s="68" t="s">
        <v>296</v>
      </c>
      <c r="J50" t="s">
        <v>280</v>
      </c>
    </row>
    <row r="51" spans="1:10" x14ac:dyDescent="0.3">
      <c r="A51" s="65" t="s">
        <v>297</v>
      </c>
      <c r="B51" s="65" t="s">
        <v>298</v>
      </c>
      <c r="C51" s="65" t="s">
        <v>165</v>
      </c>
      <c r="D51" s="66">
        <f>70875*0</f>
        <v>0</v>
      </c>
      <c r="E51" s="65" t="s">
        <v>166</v>
      </c>
      <c r="F51" s="65" t="s">
        <v>167</v>
      </c>
      <c r="G51" s="65" t="s">
        <v>168</v>
      </c>
      <c r="H51" s="65" t="s">
        <v>299</v>
      </c>
      <c r="I51" s="65" t="s">
        <v>300</v>
      </c>
      <c r="J51" s="67" t="s">
        <v>280</v>
      </c>
    </row>
    <row r="52" spans="1:10" x14ac:dyDescent="0.3">
      <c r="A52" s="65" t="s">
        <v>301</v>
      </c>
      <c r="B52" s="65" t="s">
        <v>302</v>
      </c>
      <c r="C52" s="65" t="s">
        <v>165</v>
      </c>
      <c r="D52" s="66">
        <f>120418.53*0</f>
        <v>0</v>
      </c>
      <c r="E52" s="65" t="s">
        <v>166</v>
      </c>
      <c r="F52" s="65" t="s">
        <v>167</v>
      </c>
      <c r="G52" s="65" t="s">
        <v>168</v>
      </c>
      <c r="H52" s="65" t="s">
        <v>299</v>
      </c>
      <c r="I52" s="65" t="s">
        <v>303</v>
      </c>
      <c r="J52" s="67" t="s">
        <v>280</v>
      </c>
    </row>
    <row r="53" spans="1:10" x14ac:dyDescent="0.3">
      <c r="D53" s="72">
        <f>SUM(D2:D52)</f>
        <v>18437177.140000001</v>
      </c>
      <c r="E53" s="73" t="s">
        <v>304</v>
      </c>
    </row>
    <row r="54" spans="1:10" x14ac:dyDescent="0.3">
      <c r="D54" s="74">
        <f>D53-D57-D58-D59</f>
        <v>0</v>
      </c>
      <c r="F54" s="75" t="s">
        <v>305</v>
      </c>
    </row>
    <row r="55" spans="1:10" x14ac:dyDescent="0.3">
      <c r="D55" s="76"/>
      <c r="E55" s="75" t="s">
        <v>306</v>
      </c>
      <c r="F55" s="76">
        <f>D11+D12+D13+D14+D15+D16+D21+D22+D23</f>
        <v>1725374.3699999999</v>
      </c>
    </row>
    <row r="56" spans="1:10" x14ac:dyDescent="0.3">
      <c r="D56" s="76"/>
      <c r="E56" s="75" t="s">
        <v>307</v>
      </c>
      <c r="F56" s="76">
        <f>D8+D17+D18+D24+D25+D26+D28+D29+D30+D31</f>
        <v>4405782.1599999992</v>
      </c>
    </row>
    <row r="57" spans="1:10" x14ac:dyDescent="0.3">
      <c r="D57" s="76">
        <f>SUM(D2:D20)-D19</f>
        <v>1409264.7400000002</v>
      </c>
      <c r="E57" s="75" t="s">
        <v>308</v>
      </c>
      <c r="F57" s="76">
        <f>D6+D7+D27+D32+D34+D35+D36+D37+D38</f>
        <v>7534612.29</v>
      </c>
    </row>
    <row r="58" spans="1:10" x14ac:dyDescent="0.3">
      <c r="D58" s="76">
        <f>SUM(D21:D42)</f>
        <v>14129006.74</v>
      </c>
      <c r="E58" s="75" t="s">
        <v>309</v>
      </c>
      <c r="F58" s="77">
        <f>D20+D33+D39+D40+D41+D42+D43+D45+D47</f>
        <v>2170668.9300000002</v>
      </c>
    </row>
    <row r="59" spans="1:10" x14ac:dyDescent="0.3">
      <c r="D59" s="76">
        <f>SUM(D43:D52)+D19</f>
        <v>2898905.66</v>
      </c>
      <c r="E59" s="75" t="s">
        <v>310</v>
      </c>
      <c r="F59" s="76">
        <f>SUM(D43:D52)-D43-D45-D47+D19</f>
        <v>2600739.39</v>
      </c>
    </row>
    <row r="60" spans="1:10" x14ac:dyDescent="0.3">
      <c r="D60" s="78">
        <f>SUM(D55:D59)</f>
        <v>18437177.140000001</v>
      </c>
      <c r="E60" s="74">
        <f>D60-F60</f>
        <v>0</v>
      </c>
      <c r="F60" s="78">
        <f>SUM(F55:F59)</f>
        <v>18437177.140000001</v>
      </c>
    </row>
    <row r="62" spans="1:10" x14ac:dyDescent="0.3">
      <c r="D62" s="72"/>
    </row>
  </sheetData>
  <autoFilter ref="A1:J6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34" workbookViewId="0">
      <selection activeCell="B43" sqref="B43:B48"/>
    </sheetView>
  </sheetViews>
  <sheetFormatPr defaultRowHeight="14.4" outlineLevelCol="1" x14ac:dyDescent="0.3"/>
  <cols>
    <col min="1" max="1" width="61.5546875" customWidth="1"/>
    <col min="2" max="2" width="14.77734375" customWidth="1"/>
    <col min="3" max="3" width="14.77734375" customWidth="1" outlineLevel="1"/>
    <col min="4" max="4" width="14.77734375" customWidth="1"/>
    <col min="5" max="5" width="13.21875" bestFit="1" customWidth="1"/>
    <col min="6" max="6" width="9.33203125" bestFit="1" customWidth="1"/>
    <col min="7" max="7" width="14.5546875" bestFit="1" customWidth="1"/>
    <col min="8" max="8" width="13.77734375" bestFit="1" customWidth="1"/>
  </cols>
  <sheetData>
    <row r="1" spans="1:6" x14ac:dyDescent="0.3">
      <c r="A1" s="88" t="s">
        <v>156</v>
      </c>
      <c r="B1" s="192" t="s">
        <v>327</v>
      </c>
      <c r="C1" s="194" t="s">
        <v>374</v>
      </c>
      <c r="D1" s="196" t="s">
        <v>375</v>
      </c>
    </row>
    <row r="2" spans="1:6" x14ac:dyDescent="0.3">
      <c r="A2" s="88" t="s">
        <v>328</v>
      </c>
      <c r="B2" s="193"/>
      <c r="C2" s="195"/>
      <c r="D2" s="197"/>
    </row>
    <row r="3" spans="1:6" ht="15" thickBot="1" x14ac:dyDescent="0.35">
      <c r="A3" s="89" t="s">
        <v>329</v>
      </c>
      <c r="B3" s="193"/>
      <c r="C3" s="195"/>
      <c r="D3" s="197"/>
    </row>
    <row r="4" spans="1:6" x14ac:dyDescent="0.3">
      <c r="A4" s="96" t="s">
        <v>165</v>
      </c>
      <c r="B4" s="98">
        <f>B5</f>
        <v>18437177.139999997</v>
      </c>
      <c r="C4" s="106">
        <f t="shared" ref="C4:D4" si="0">C5</f>
        <v>3683902.3700000006</v>
      </c>
      <c r="D4" s="108">
        <f t="shared" si="0"/>
        <v>4420682.8439999996</v>
      </c>
      <c r="E4">
        <f>C4*1.2-D4</f>
        <v>0</v>
      </c>
    </row>
    <row r="5" spans="1:6" ht="15" thickBot="1" x14ac:dyDescent="0.35">
      <c r="A5" s="97" t="s">
        <v>330</v>
      </c>
      <c r="B5" s="99">
        <f>SUM(B6:B48)</f>
        <v>18437177.139999997</v>
      </c>
      <c r="C5" s="107">
        <f t="shared" ref="C5:D5" si="1">SUM(C6:C48)</f>
        <v>3683902.3700000006</v>
      </c>
      <c r="D5" s="109">
        <f t="shared" si="1"/>
        <v>4420682.8439999996</v>
      </c>
    </row>
    <row r="6" spans="1:6" x14ac:dyDescent="0.3">
      <c r="A6" s="90" t="s">
        <v>331</v>
      </c>
      <c r="B6" s="100">
        <v>74844.200000000012</v>
      </c>
      <c r="C6" s="103"/>
      <c r="D6" s="91"/>
      <c r="E6" s="189">
        <f>SUM(D6:D17)</f>
        <v>0</v>
      </c>
      <c r="F6" t="s">
        <v>308</v>
      </c>
    </row>
    <row r="7" spans="1:6" x14ac:dyDescent="0.3">
      <c r="A7" s="92" t="s">
        <v>334</v>
      </c>
      <c r="B7" s="101">
        <v>70000</v>
      </c>
      <c r="C7" s="104"/>
      <c r="D7" s="93"/>
      <c r="E7" s="190"/>
      <c r="F7" t="s">
        <v>308</v>
      </c>
    </row>
    <row r="8" spans="1:6" x14ac:dyDescent="0.3">
      <c r="A8" s="92" t="s">
        <v>335</v>
      </c>
      <c r="B8" s="101">
        <v>92115.83</v>
      </c>
      <c r="C8" s="104"/>
      <c r="D8" s="93"/>
      <c r="E8" s="190"/>
      <c r="F8" t="s">
        <v>308</v>
      </c>
    </row>
    <row r="9" spans="1:6" x14ac:dyDescent="0.3">
      <c r="A9" s="92" t="s">
        <v>336</v>
      </c>
      <c r="B9" s="101">
        <v>69692.789999999994</v>
      </c>
      <c r="C9" s="104"/>
      <c r="D9" s="93"/>
      <c r="E9" s="190"/>
      <c r="F9" t="s">
        <v>308</v>
      </c>
    </row>
    <row r="10" spans="1:6" x14ac:dyDescent="0.3">
      <c r="A10" s="92" t="s">
        <v>372</v>
      </c>
      <c r="B10" s="101">
        <v>231000</v>
      </c>
      <c r="C10" s="104"/>
      <c r="D10" s="93"/>
      <c r="E10" s="190"/>
      <c r="F10" t="s">
        <v>308</v>
      </c>
    </row>
    <row r="11" spans="1:6" x14ac:dyDescent="0.3">
      <c r="A11" s="92" t="s">
        <v>359</v>
      </c>
      <c r="B11" s="101">
        <v>111000</v>
      </c>
      <c r="C11" s="104"/>
      <c r="D11" s="93"/>
      <c r="E11" s="190"/>
      <c r="F11" t="s">
        <v>308</v>
      </c>
    </row>
    <row r="12" spans="1:6" x14ac:dyDescent="0.3">
      <c r="A12" s="92" t="s">
        <v>356</v>
      </c>
      <c r="B12" s="101">
        <v>151220.25</v>
      </c>
      <c r="C12" s="104"/>
      <c r="D12" s="93"/>
      <c r="E12" s="190"/>
      <c r="F12" t="s">
        <v>308</v>
      </c>
    </row>
    <row r="13" spans="1:6" x14ac:dyDescent="0.3">
      <c r="A13" s="92" t="s">
        <v>361</v>
      </c>
      <c r="B13" s="101">
        <v>40991.120000000003</v>
      </c>
      <c r="C13" s="104"/>
      <c r="D13" s="93"/>
      <c r="E13" s="190"/>
      <c r="F13" t="s">
        <v>308</v>
      </c>
    </row>
    <row r="14" spans="1:6" x14ac:dyDescent="0.3">
      <c r="A14" s="92" t="s">
        <v>365</v>
      </c>
      <c r="B14" s="101">
        <v>2044</v>
      </c>
      <c r="C14" s="104"/>
      <c r="D14" s="93"/>
      <c r="E14" s="190"/>
      <c r="F14" t="s">
        <v>308</v>
      </c>
    </row>
    <row r="15" spans="1:6" x14ac:dyDescent="0.3">
      <c r="A15" s="92" t="s">
        <v>368</v>
      </c>
      <c r="B15" s="101">
        <v>220420.19</v>
      </c>
      <c r="C15" s="104"/>
      <c r="D15" s="93"/>
      <c r="E15" s="190"/>
      <c r="F15" t="s">
        <v>308</v>
      </c>
    </row>
    <row r="16" spans="1:6" x14ac:dyDescent="0.3">
      <c r="A16" s="92" t="s">
        <v>370</v>
      </c>
      <c r="B16" s="101">
        <v>8730</v>
      </c>
      <c r="C16" s="104"/>
      <c r="D16" s="93"/>
      <c r="E16" s="190"/>
      <c r="F16" t="s">
        <v>308</v>
      </c>
    </row>
    <row r="17" spans="1:6" ht="15" thickBot="1" x14ac:dyDescent="0.35">
      <c r="A17" s="94" t="s">
        <v>344</v>
      </c>
      <c r="B17" s="102">
        <v>337206.36</v>
      </c>
      <c r="C17" s="105"/>
      <c r="D17" s="95"/>
      <c r="E17" s="191"/>
      <c r="F17" t="s">
        <v>308</v>
      </c>
    </row>
    <row r="18" spans="1:6" x14ac:dyDescent="0.3">
      <c r="A18" s="90" t="s">
        <v>332</v>
      </c>
      <c r="B18" s="100">
        <v>585276.81999999995</v>
      </c>
      <c r="C18" s="103">
        <v>194241.79</v>
      </c>
      <c r="D18" s="121">
        <f>C18*1.2</f>
        <v>233090.14800000002</v>
      </c>
      <c r="E18" s="189">
        <f>SUM(D18:D42)</f>
        <v>4114634.148</v>
      </c>
      <c r="F18" t="s">
        <v>309</v>
      </c>
    </row>
    <row r="19" spans="1:6" x14ac:dyDescent="0.3">
      <c r="A19" s="92" t="s">
        <v>333</v>
      </c>
      <c r="B19" s="101">
        <v>585218.81999999995</v>
      </c>
      <c r="C19" s="104">
        <v>188616.71</v>
      </c>
      <c r="D19" s="122">
        <f t="shared" ref="D19:D20" si="2">C19*1.2</f>
        <v>226340.052</v>
      </c>
      <c r="E19" s="190"/>
      <c r="F19" t="s">
        <v>309</v>
      </c>
    </row>
    <row r="20" spans="1:6" x14ac:dyDescent="0.3">
      <c r="A20" s="92" t="s">
        <v>338</v>
      </c>
      <c r="B20" s="101">
        <v>121976.77</v>
      </c>
      <c r="C20" s="104">
        <v>207.93</v>
      </c>
      <c r="D20" s="122">
        <f t="shared" si="2"/>
        <v>249.51599999999999</v>
      </c>
      <c r="E20" s="190"/>
      <c r="F20" t="s">
        <v>309</v>
      </c>
    </row>
    <row r="21" spans="1:6" x14ac:dyDescent="0.3">
      <c r="A21" s="92" t="s">
        <v>340</v>
      </c>
      <c r="B21" s="101">
        <v>69314.5</v>
      </c>
      <c r="C21" s="104"/>
      <c r="D21" s="93"/>
      <c r="E21" s="190"/>
      <c r="F21" t="s">
        <v>309</v>
      </c>
    </row>
    <row r="22" spans="1:6" x14ac:dyDescent="0.3">
      <c r="A22" s="92" t="s">
        <v>342</v>
      </c>
      <c r="B22" s="101">
        <v>106875</v>
      </c>
      <c r="C22" s="104"/>
      <c r="D22" s="93"/>
      <c r="E22" s="190"/>
      <c r="F22" t="s">
        <v>309</v>
      </c>
    </row>
    <row r="23" spans="1:6" x14ac:dyDescent="0.3">
      <c r="A23" s="92" t="s">
        <v>345</v>
      </c>
      <c r="B23" s="101">
        <v>145228.5</v>
      </c>
      <c r="C23" s="104"/>
      <c r="D23" s="93"/>
      <c r="E23" s="190"/>
      <c r="F23" t="s">
        <v>309</v>
      </c>
    </row>
    <row r="24" spans="1:6" x14ac:dyDescent="0.3">
      <c r="A24" s="92" t="s">
        <v>346</v>
      </c>
      <c r="B24" s="101">
        <v>28858</v>
      </c>
      <c r="C24" s="104"/>
      <c r="D24" s="93"/>
      <c r="E24" s="190"/>
      <c r="F24" t="s">
        <v>309</v>
      </c>
    </row>
    <row r="25" spans="1:6" x14ac:dyDescent="0.3">
      <c r="A25" s="92" t="s">
        <v>347</v>
      </c>
      <c r="B25" s="101">
        <v>325313.90000000002</v>
      </c>
      <c r="C25" s="104"/>
      <c r="D25" s="93"/>
      <c r="E25" s="190"/>
      <c r="F25" t="s">
        <v>309</v>
      </c>
    </row>
    <row r="26" spans="1:6" x14ac:dyDescent="0.3">
      <c r="A26" s="92" t="s">
        <v>348</v>
      </c>
      <c r="B26" s="101">
        <v>887716.17</v>
      </c>
      <c r="C26" s="104">
        <v>101680.23</v>
      </c>
      <c r="D26" s="122">
        <f>C26*1.2</f>
        <v>122016.27599999998</v>
      </c>
      <c r="E26" s="190"/>
      <c r="F26" t="s">
        <v>309</v>
      </c>
    </row>
    <row r="27" spans="1:6" x14ac:dyDescent="0.3">
      <c r="A27" s="92" t="s">
        <v>350</v>
      </c>
      <c r="B27" s="101">
        <v>290457</v>
      </c>
      <c r="C27" s="104"/>
      <c r="D27" s="93"/>
      <c r="E27" s="190"/>
      <c r="F27" t="s">
        <v>309</v>
      </c>
    </row>
    <row r="28" spans="1:6" x14ac:dyDescent="0.3">
      <c r="A28" s="92" t="s">
        <v>351</v>
      </c>
      <c r="B28" s="101">
        <v>954520.6</v>
      </c>
      <c r="C28" s="104"/>
      <c r="D28" s="93"/>
      <c r="E28" s="190"/>
      <c r="F28" t="s">
        <v>309</v>
      </c>
    </row>
    <row r="29" spans="1:6" x14ac:dyDescent="0.3">
      <c r="A29" s="92" t="s">
        <v>352</v>
      </c>
      <c r="B29" s="101">
        <v>33000</v>
      </c>
      <c r="C29" s="104"/>
      <c r="D29" s="93"/>
      <c r="E29" s="190"/>
      <c r="F29" t="s">
        <v>309</v>
      </c>
    </row>
    <row r="30" spans="1:6" x14ac:dyDescent="0.3">
      <c r="A30" s="92" t="s">
        <v>353</v>
      </c>
      <c r="B30" s="101">
        <v>27224</v>
      </c>
      <c r="C30" s="104"/>
      <c r="D30" s="93"/>
      <c r="E30" s="190"/>
      <c r="F30" t="s">
        <v>309</v>
      </c>
    </row>
    <row r="31" spans="1:6" x14ac:dyDescent="0.3">
      <c r="A31" s="92" t="s">
        <v>354</v>
      </c>
      <c r="B31" s="101">
        <v>5437399.7400000002</v>
      </c>
      <c r="C31" s="104">
        <v>2172879.1800000002</v>
      </c>
      <c r="D31" s="122">
        <f t="shared" ref="D31:D34" si="3">C31*1.2</f>
        <v>2607455.0160000003</v>
      </c>
      <c r="E31" s="190"/>
      <c r="F31" t="s">
        <v>309</v>
      </c>
    </row>
    <row r="32" spans="1:6" x14ac:dyDescent="0.3">
      <c r="A32" s="92" t="s">
        <v>357</v>
      </c>
      <c r="B32" s="101">
        <v>46960.61</v>
      </c>
      <c r="C32" s="104">
        <v>7120.18</v>
      </c>
      <c r="D32" s="122">
        <f t="shared" si="3"/>
        <v>8544.2160000000003</v>
      </c>
      <c r="E32" s="190"/>
      <c r="F32" t="s">
        <v>309</v>
      </c>
    </row>
    <row r="33" spans="1:6" x14ac:dyDescent="0.3">
      <c r="A33" s="92" t="s">
        <v>358</v>
      </c>
      <c r="B33" s="101">
        <v>148179.73000000001</v>
      </c>
      <c r="C33" s="104">
        <v>88686.41</v>
      </c>
      <c r="D33" s="122">
        <f t="shared" si="3"/>
        <v>106423.692</v>
      </c>
      <c r="E33" s="190"/>
      <c r="F33" t="s">
        <v>309</v>
      </c>
    </row>
    <row r="34" spans="1:6" x14ac:dyDescent="0.3">
      <c r="A34" s="92" t="s">
        <v>360</v>
      </c>
      <c r="B34" s="101">
        <v>593059.22</v>
      </c>
      <c r="C34" s="104">
        <v>118041.3</v>
      </c>
      <c r="D34" s="122">
        <f t="shared" si="3"/>
        <v>141649.56</v>
      </c>
      <c r="E34" s="190"/>
      <c r="F34" t="s">
        <v>309</v>
      </c>
    </row>
    <row r="35" spans="1:6" x14ac:dyDescent="0.3">
      <c r="A35" s="92" t="s">
        <v>362</v>
      </c>
      <c r="B35" s="101">
        <v>554353</v>
      </c>
      <c r="C35" s="104"/>
      <c r="D35" s="93"/>
      <c r="E35" s="190"/>
      <c r="F35" t="s">
        <v>309</v>
      </c>
    </row>
    <row r="36" spans="1:6" x14ac:dyDescent="0.3">
      <c r="A36" s="92" t="s">
        <v>363</v>
      </c>
      <c r="B36" s="101">
        <v>446461.48</v>
      </c>
      <c r="C36" s="104">
        <v>57701.77</v>
      </c>
      <c r="D36" s="122">
        <f>C36*1.2</f>
        <v>69242.123999999996</v>
      </c>
      <c r="E36" s="190"/>
      <c r="F36" t="s">
        <v>309</v>
      </c>
    </row>
    <row r="37" spans="1:6" x14ac:dyDescent="0.3">
      <c r="A37" s="92" t="s">
        <v>364</v>
      </c>
      <c r="B37" s="101">
        <v>47254.52</v>
      </c>
      <c r="C37" s="104"/>
      <c r="D37" s="93"/>
      <c r="E37" s="190"/>
      <c r="F37" t="s">
        <v>309</v>
      </c>
    </row>
    <row r="38" spans="1:6" x14ac:dyDescent="0.3">
      <c r="A38" s="92" t="s">
        <v>366</v>
      </c>
      <c r="B38" s="101">
        <v>1027136</v>
      </c>
      <c r="C38" s="104"/>
      <c r="D38" s="93"/>
      <c r="E38" s="190"/>
      <c r="F38" t="s">
        <v>309</v>
      </c>
    </row>
    <row r="39" spans="1:6" x14ac:dyDescent="0.3">
      <c r="A39" s="92" t="s">
        <v>367</v>
      </c>
      <c r="B39" s="101">
        <v>309258.40000000002</v>
      </c>
      <c r="C39" s="104"/>
      <c r="D39" s="93"/>
      <c r="E39" s="190"/>
      <c r="F39" t="s">
        <v>309</v>
      </c>
    </row>
    <row r="40" spans="1:6" x14ac:dyDescent="0.3">
      <c r="A40" s="92" t="s">
        <v>369</v>
      </c>
      <c r="B40" s="101">
        <v>19075.72</v>
      </c>
      <c r="C40" s="104"/>
      <c r="D40" s="93"/>
      <c r="E40" s="190"/>
      <c r="F40" t="s">
        <v>309</v>
      </c>
    </row>
    <row r="41" spans="1:6" x14ac:dyDescent="0.3">
      <c r="A41" s="92" t="s">
        <v>371</v>
      </c>
      <c r="B41" s="101">
        <v>1609186.51</v>
      </c>
      <c r="C41" s="104">
        <v>499686.29</v>
      </c>
      <c r="D41" s="122">
        <f>C41*1.2</f>
        <v>599623.54799999995</v>
      </c>
      <c r="E41" s="190"/>
      <c r="F41" t="s">
        <v>309</v>
      </c>
    </row>
    <row r="42" spans="1:6" ht="15" thickBot="1" x14ac:dyDescent="0.35">
      <c r="A42" s="94" t="s">
        <v>373</v>
      </c>
      <c r="B42" s="102">
        <v>27868</v>
      </c>
      <c r="C42" s="105"/>
      <c r="D42" s="95"/>
      <c r="E42" s="191"/>
      <c r="F42" t="s">
        <v>309</v>
      </c>
    </row>
    <row r="43" spans="1:6" x14ac:dyDescent="0.3">
      <c r="A43" s="90" t="s">
        <v>339</v>
      </c>
      <c r="B43" s="100">
        <v>908895.93</v>
      </c>
      <c r="C43" s="103">
        <v>248571.67</v>
      </c>
      <c r="D43" s="121">
        <f>C43*1.2</f>
        <v>298286.00400000002</v>
      </c>
      <c r="E43" s="189">
        <f>SUM(D43:D48)</f>
        <v>306048.696</v>
      </c>
      <c r="F43" t="s">
        <v>310</v>
      </c>
    </row>
    <row r="44" spans="1:6" x14ac:dyDescent="0.3">
      <c r="A44" s="92" t="s">
        <v>355</v>
      </c>
      <c r="B44" s="101">
        <v>330648.58</v>
      </c>
      <c r="C44" s="104"/>
      <c r="D44" s="93"/>
      <c r="E44" s="190"/>
      <c r="F44" t="s">
        <v>310</v>
      </c>
    </row>
    <row r="45" spans="1:6" x14ac:dyDescent="0.3">
      <c r="A45" s="92" t="s">
        <v>343</v>
      </c>
      <c r="B45" s="101">
        <v>426150.52</v>
      </c>
      <c r="C45" s="104">
        <v>6468.91</v>
      </c>
      <c r="D45" s="122">
        <f>C45*1.2</f>
        <v>7762.6919999999991</v>
      </c>
      <c r="E45" s="190"/>
      <c r="F45" t="s">
        <v>310</v>
      </c>
    </row>
    <row r="46" spans="1:6" x14ac:dyDescent="0.3">
      <c r="A46" s="92" t="s">
        <v>341</v>
      </c>
      <c r="B46" s="101">
        <v>255300</v>
      </c>
      <c r="C46" s="104"/>
      <c r="D46" s="93"/>
      <c r="E46" s="190"/>
      <c r="F46" t="s">
        <v>310</v>
      </c>
    </row>
    <row r="47" spans="1:6" x14ac:dyDescent="0.3">
      <c r="A47" s="92" t="s">
        <v>337</v>
      </c>
      <c r="B47" s="101">
        <v>359694.36</v>
      </c>
      <c r="C47" s="104"/>
      <c r="D47" s="93"/>
      <c r="E47" s="190"/>
      <c r="F47" t="s">
        <v>310</v>
      </c>
    </row>
    <row r="48" spans="1:6" ht="15" thickBot="1" x14ac:dyDescent="0.35">
      <c r="A48" s="94" t="s">
        <v>349</v>
      </c>
      <c r="B48" s="102">
        <v>320050</v>
      </c>
      <c r="C48" s="105"/>
      <c r="D48" s="95"/>
      <c r="E48" s="191"/>
      <c r="F48" t="s">
        <v>310</v>
      </c>
    </row>
    <row r="50" spans="1:8" x14ac:dyDescent="0.3">
      <c r="A50" s="113" t="s">
        <v>154</v>
      </c>
      <c r="B50" s="113" t="s">
        <v>155</v>
      </c>
      <c r="C50" s="113" t="s">
        <v>377</v>
      </c>
      <c r="D50" s="115" t="s">
        <v>389</v>
      </c>
      <c r="E50" s="115" t="s">
        <v>390</v>
      </c>
      <c r="F50" s="119" t="s">
        <v>377</v>
      </c>
      <c r="G50" s="113" t="s">
        <v>161</v>
      </c>
      <c r="H50" s="113" t="s">
        <v>162</v>
      </c>
    </row>
    <row r="51" spans="1:8" x14ac:dyDescent="0.3">
      <c r="A51" s="114" t="s">
        <v>380</v>
      </c>
      <c r="B51" s="114" t="s">
        <v>381</v>
      </c>
      <c r="C51" s="114" t="s">
        <v>378</v>
      </c>
      <c r="D51" s="116">
        <v>1290.53</v>
      </c>
      <c r="E51" s="117">
        <f t="shared" ref="E51:E53" si="4">D51*1.2</f>
        <v>1548.636</v>
      </c>
      <c r="F51" s="120" t="s">
        <v>378</v>
      </c>
      <c r="G51" s="114" t="s">
        <v>379</v>
      </c>
      <c r="H51" s="114" t="s">
        <v>382</v>
      </c>
    </row>
    <row r="52" spans="1:8" x14ac:dyDescent="0.3">
      <c r="A52" s="114" t="s">
        <v>383</v>
      </c>
      <c r="B52" s="114" t="s">
        <v>384</v>
      </c>
      <c r="C52" s="114" t="s">
        <v>378</v>
      </c>
      <c r="D52" s="116">
        <v>10565.34</v>
      </c>
      <c r="E52" s="117">
        <f t="shared" si="4"/>
        <v>12678.407999999999</v>
      </c>
      <c r="F52" s="120" t="s">
        <v>378</v>
      </c>
      <c r="G52" s="114" t="s">
        <v>379</v>
      </c>
      <c r="H52" s="114" t="s">
        <v>385</v>
      </c>
    </row>
    <row r="53" spans="1:8" x14ac:dyDescent="0.3">
      <c r="A53" s="114" t="s">
        <v>386</v>
      </c>
      <c r="B53" s="114" t="s">
        <v>387</v>
      </c>
      <c r="C53" s="114" t="s">
        <v>378</v>
      </c>
      <c r="D53" s="116">
        <v>154236.99000000002</v>
      </c>
      <c r="E53" s="117">
        <f t="shared" si="4"/>
        <v>185084.38800000001</v>
      </c>
      <c r="F53" s="120" t="s">
        <v>378</v>
      </c>
      <c r="G53" s="114" t="s">
        <v>379</v>
      </c>
      <c r="H53" s="114" t="s">
        <v>388</v>
      </c>
    </row>
    <row r="54" spans="1:8" x14ac:dyDescent="0.3">
      <c r="E54" s="118">
        <f>SUM(E51:E53)</f>
        <v>199311.432</v>
      </c>
    </row>
  </sheetData>
  <autoFilter ref="A5:E48"/>
  <mergeCells count="6">
    <mergeCell ref="E43:E48"/>
    <mergeCell ref="B1:B3"/>
    <mergeCell ref="C1:C3"/>
    <mergeCell ref="D1:D3"/>
    <mergeCell ref="E6:E17"/>
    <mergeCell ref="E18:E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opLeftCell="A81" workbookViewId="0">
      <selection activeCell="D12" sqref="D12"/>
    </sheetView>
  </sheetViews>
  <sheetFormatPr defaultRowHeight="14.4" x14ac:dyDescent="0.3"/>
  <cols>
    <col min="1" max="1" width="63.33203125" bestFit="1" customWidth="1"/>
    <col min="2" max="3" width="13.44140625" bestFit="1" customWidth="1"/>
    <col min="4" max="4" width="8.88671875" style="150"/>
  </cols>
  <sheetData>
    <row r="1" spans="1:4" ht="26.4" x14ac:dyDescent="0.3">
      <c r="A1" s="134" t="s">
        <v>421</v>
      </c>
      <c r="B1" s="134" t="s">
        <v>422</v>
      </c>
      <c r="C1" s="134" t="s">
        <v>423</v>
      </c>
    </row>
    <row r="2" spans="1:4" x14ac:dyDescent="0.3">
      <c r="A2" s="135" t="s">
        <v>424</v>
      </c>
      <c r="B2" s="136">
        <v>57463611</v>
      </c>
      <c r="C2" s="136">
        <v>35121174.549999997</v>
      </c>
    </row>
    <row r="3" spans="1:4" x14ac:dyDescent="0.3">
      <c r="A3" s="137" t="s">
        <v>425</v>
      </c>
      <c r="B3" s="136">
        <v>47882934</v>
      </c>
      <c r="C3" s="136">
        <v>32167708.280000001</v>
      </c>
    </row>
    <row r="4" spans="1:4" x14ac:dyDescent="0.3">
      <c r="A4" s="138" t="s">
        <v>426</v>
      </c>
      <c r="B4" s="139"/>
      <c r="C4" s="140">
        <v>10000</v>
      </c>
    </row>
    <row r="5" spans="1:4" x14ac:dyDescent="0.3">
      <c r="A5" s="138" t="s">
        <v>427</v>
      </c>
      <c r="B5" s="140">
        <v>47882934</v>
      </c>
      <c r="C5" s="140">
        <v>32157708.280000001</v>
      </c>
    </row>
    <row r="6" spans="1:4" x14ac:dyDescent="0.3">
      <c r="A6" s="138" t="s">
        <v>428</v>
      </c>
      <c r="B6" s="139"/>
      <c r="C6" s="139"/>
    </row>
    <row r="7" spans="1:4" x14ac:dyDescent="0.3">
      <c r="A7" s="137" t="s">
        <v>429</v>
      </c>
      <c r="B7" s="136">
        <v>9580677</v>
      </c>
      <c r="C7" s="136">
        <v>2953466.27</v>
      </c>
    </row>
    <row r="8" spans="1:4" x14ac:dyDescent="0.3">
      <c r="A8" s="138" t="s">
        <v>430</v>
      </c>
      <c r="B8" s="139"/>
      <c r="C8" s="140">
        <v>2893466.27</v>
      </c>
    </row>
    <row r="9" spans="1:4" x14ac:dyDescent="0.3">
      <c r="A9" s="138" t="s">
        <v>431</v>
      </c>
      <c r="B9" s="140">
        <v>9580677</v>
      </c>
      <c r="C9" s="139"/>
    </row>
    <row r="10" spans="1:4" x14ac:dyDescent="0.3">
      <c r="A10" s="138" t="s">
        <v>432</v>
      </c>
      <c r="B10" s="139"/>
      <c r="C10" s="140">
        <v>60000</v>
      </c>
    </row>
    <row r="11" spans="1:4" x14ac:dyDescent="0.3">
      <c r="A11" s="135" t="s">
        <v>433</v>
      </c>
      <c r="B11" s="136">
        <v>-39565497</v>
      </c>
      <c r="C11" s="136">
        <v>-24754361.109999999</v>
      </c>
    </row>
    <row r="12" spans="1:4" x14ac:dyDescent="0.3">
      <c r="A12" s="137" t="s">
        <v>434</v>
      </c>
      <c r="B12" s="136">
        <v>-28135190</v>
      </c>
      <c r="C12" s="136">
        <v>-21047615.949999999</v>
      </c>
    </row>
    <row r="13" spans="1:4" x14ac:dyDescent="0.3">
      <c r="A13" s="141" t="s">
        <v>410</v>
      </c>
      <c r="B13" s="136">
        <v>-2917358</v>
      </c>
      <c r="C13" s="136">
        <v>-900255.84</v>
      </c>
      <c r="D13" s="150">
        <f>B13/B12</f>
        <v>0.10369071614586572</v>
      </c>
    </row>
    <row r="14" spans="1:4" x14ac:dyDescent="0.3">
      <c r="A14" s="142" t="s">
        <v>435</v>
      </c>
      <c r="B14" s="136">
        <v>-606500</v>
      </c>
      <c r="C14" s="136">
        <v>-469661.57</v>
      </c>
    </row>
    <row r="15" spans="1:4" x14ac:dyDescent="0.3">
      <c r="A15" s="143" t="s">
        <v>435</v>
      </c>
      <c r="B15" s="140">
        <v>-508500</v>
      </c>
      <c r="C15" s="140">
        <v>-413000</v>
      </c>
    </row>
    <row r="16" spans="1:4" x14ac:dyDescent="0.3">
      <c r="A16" s="143" t="s">
        <v>436</v>
      </c>
      <c r="B16" s="140">
        <v>-98000</v>
      </c>
      <c r="C16" s="140">
        <v>-56661.57</v>
      </c>
    </row>
    <row r="17" spans="1:3" x14ac:dyDescent="0.3">
      <c r="A17" s="142" t="s">
        <v>437</v>
      </c>
      <c r="B17" s="136">
        <v>-390670</v>
      </c>
      <c r="C17" s="136">
        <v>-106900</v>
      </c>
    </row>
    <row r="18" spans="1:3" x14ac:dyDescent="0.3">
      <c r="A18" s="143" t="s">
        <v>438</v>
      </c>
      <c r="B18" s="140">
        <v>-350000</v>
      </c>
      <c r="C18" s="140">
        <v>-106900</v>
      </c>
    </row>
    <row r="19" spans="1:3" x14ac:dyDescent="0.3">
      <c r="A19" s="143" t="s">
        <v>439</v>
      </c>
      <c r="B19" s="140">
        <v>-21560</v>
      </c>
      <c r="C19" s="139"/>
    </row>
    <row r="20" spans="1:3" x14ac:dyDescent="0.3">
      <c r="A20" s="143" t="s">
        <v>440</v>
      </c>
      <c r="B20" s="140">
        <v>-19110</v>
      </c>
      <c r="C20" s="139"/>
    </row>
    <row r="21" spans="1:3" x14ac:dyDescent="0.3">
      <c r="A21" s="142" t="s">
        <v>441</v>
      </c>
      <c r="B21" s="136">
        <v>-171700</v>
      </c>
      <c r="C21" s="136">
        <v>-134207.79999999999</v>
      </c>
    </row>
    <row r="22" spans="1:3" x14ac:dyDescent="0.3">
      <c r="A22" s="143" t="s">
        <v>442</v>
      </c>
      <c r="B22" s="140">
        <v>-40000</v>
      </c>
      <c r="C22" s="140">
        <v>-16896</v>
      </c>
    </row>
    <row r="23" spans="1:3" x14ac:dyDescent="0.3">
      <c r="A23" s="143" t="s">
        <v>443</v>
      </c>
      <c r="B23" s="140">
        <v>-131700</v>
      </c>
      <c r="C23" s="140">
        <v>-117311.8</v>
      </c>
    </row>
    <row r="24" spans="1:3" x14ac:dyDescent="0.3">
      <c r="A24" s="142" t="s">
        <v>444</v>
      </c>
      <c r="B24" s="144"/>
      <c r="C24" s="136">
        <v>-50000</v>
      </c>
    </row>
    <row r="25" spans="1:3" x14ac:dyDescent="0.3">
      <c r="A25" s="143" t="s">
        <v>445</v>
      </c>
      <c r="B25" s="139"/>
      <c r="C25" s="140">
        <v>-50000</v>
      </c>
    </row>
    <row r="26" spans="1:3" x14ac:dyDescent="0.3">
      <c r="A26" s="142" t="s">
        <v>446</v>
      </c>
      <c r="B26" s="136">
        <v>-1436488</v>
      </c>
      <c r="C26" s="144"/>
    </row>
    <row r="27" spans="1:3" x14ac:dyDescent="0.3">
      <c r="A27" s="143" t="s">
        <v>447</v>
      </c>
      <c r="B27" s="140">
        <v>-1436488</v>
      </c>
      <c r="C27" s="139"/>
    </row>
    <row r="28" spans="1:3" x14ac:dyDescent="0.3">
      <c r="A28" s="142" t="s">
        <v>448</v>
      </c>
      <c r="B28" s="136">
        <v>-105000</v>
      </c>
      <c r="C28" s="136">
        <v>-32482.58</v>
      </c>
    </row>
    <row r="29" spans="1:3" x14ac:dyDescent="0.3">
      <c r="A29" s="143" t="s">
        <v>449</v>
      </c>
      <c r="B29" s="140">
        <v>-105000</v>
      </c>
      <c r="C29" s="140">
        <v>-32482.58</v>
      </c>
    </row>
    <row r="30" spans="1:3" x14ac:dyDescent="0.3">
      <c r="A30" s="142" t="s">
        <v>450</v>
      </c>
      <c r="B30" s="136">
        <v>-200000</v>
      </c>
      <c r="C30" s="136">
        <v>-106105.49</v>
      </c>
    </row>
    <row r="31" spans="1:3" x14ac:dyDescent="0.3">
      <c r="A31" s="143" t="s">
        <v>451</v>
      </c>
      <c r="B31" s="140">
        <v>-200000</v>
      </c>
      <c r="C31" s="140">
        <v>-105847.49</v>
      </c>
    </row>
    <row r="32" spans="1:3" x14ac:dyDescent="0.3">
      <c r="A32" s="143" t="s">
        <v>452</v>
      </c>
      <c r="B32" s="139"/>
      <c r="C32" s="145">
        <v>-258</v>
      </c>
    </row>
    <row r="33" spans="1:4" x14ac:dyDescent="0.3">
      <c r="A33" s="142" t="s">
        <v>453</v>
      </c>
      <c r="B33" s="136">
        <v>-7000</v>
      </c>
      <c r="C33" s="146">
        <v>-398.4</v>
      </c>
    </row>
    <row r="34" spans="1:4" x14ac:dyDescent="0.3">
      <c r="A34" s="143" t="s">
        <v>454</v>
      </c>
      <c r="B34" s="140">
        <v>-7000</v>
      </c>
      <c r="C34" s="145">
        <v>-398.4</v>
      </c>
    </row>
    <row r="35" spans="1:4" x14ac:dyDescent="0.3">
      <c r="A35" s="142" t="s">
        <v>455</v>
      </c>
      <c r="B35" s="144"/>
      <c r="C35" s="146">
        <v>-500</v>
      </c>
    </row>
    <row r="36" spans="1:4" x14ac:dyDescent="0.3">
      <c r="A36" s="143" t="s">
        <v>456</v>
      </c>
      <c r="B36" s="139"/>
      <c r="C36" s="145">
        <v>-500</v>
      </c>
    </row>
    <row r="37" spans="1:4" x14ac:dyDescent="0.3">
      <c r="A37" s="141" t="s">
        <v>409</v>
      </c>
      <c r="B37" s="136">
        <v>-90520</v>
      </c>
      <c r="C37" s="136">
        <v>-46618.05</v>
      </c>
      <c r="D37" s="150">
        <f>B37/B12</f>
        <v>3.217323216939356E-3</v>
      </c>
    </row>
    <row r="38" spans="1:4" x14ac:dyDescent="0.3">
      <c r="A38" s="142" t="s">
        <v>405</v>
      </c>
      <c r="B38" s="136">
        <v>-2520</v>
      </c>
      <c r="C38" s="146">
        <v>-300</v>
      </c>
    </row>
    <row r="39" spans="1:4" x14ac:dyDescent="0.3">
      <c r="A39" s="143" t="s">
        <v>457</v>
      </c>
      <c r="B39" s="140">
        <v>-2520</v>
      </c>
      <c r="C39" s="139"/>
    </row>
    <row r="40" spans="1:4" x14ac:dyDescent="0.3">
      <c r="A40" s="143" t="s">
        <v>458</v>
      </c>
      <c r="B40" s="139"/>
      <c r="C40" s="145">
        <v>-300</v>
      </c>
    </row>
    <row r="41" spans="1:4" x14ac:dyDescent="0.3">
      <c r="A41" s="142" t="s">
        <v>409</v>
      </c>
      <c r="B41" s="136">
        <v>-66000</v>
      </c>
      <c r="C41" s="136">
        <v>-42691.15</v>
      </c>
    </row>
    <row r="42" spans="1:4" x14ac:dyDescent="0.3">
      <c r="A42" s="143" t="s">
        <v>408</v>
      </c>
      <c r="B42" s="140">
        <v>-7000</v>
      </c>
      <c r="C42" s="140">
        <v>-5794.02</v>
      </c>
    </row>
    <row r="43" spans="1:4" x14ac:dyDescent="0.3">
      <c r="A43" s="143" t="s">
        <v>407</v>
      </c>
      <c r="B43" s="140">
        <v>-14000</v>
      </c>
      <c r="C43" s="140">
        <v>-2775.12</v>
      </c>
    </row>
    <row r="44" spans="1:4" x14ac:dyDescent="0.3">
      <c r="A44" s="143" t="s">
        <v>406</v>
      </c>
      <c r="B44" s="140">
        <v>-14000</v>
      </c>
      <c r="C44" s="140">
        <v>-5030</v>
      </c>
    </row>
    <row r="45" spans="1:4" x14ac:dyDescent="0.3">
      <c r="A45" s="143" t="s">
        <v>459</v>
      </c>
      <c r="B45" s="140">
        <v>-31000</v>
      </c>
      <c r="C45" s="140">
        <v>-29092.01</v>
      </c>
    </row>
    <row r="46" spans="1:4" x14ac:dyDescent="0.3">
      <c r="A46" s="142" t="s">
        <v>460</v>
      </c>
      <c r="B46" s="136">
        <v>-15000</v>
      </c>
      <c r="C46" s="144"/>
    </row>
    <row r="47" spans="1:4" x14ac:dyDescent="0.3">
      <c r="A47" s="143" t="s">
        <v>461</v>
      </c>
      <c r="B47" s="140">
        <v>-12000</v>
      </c>
      <c r="C47" s="139"/>
    </row>
    <row r="48" spans="1:4" x14ac:dyDescent="0.3">
      <c r="A48" s="143" t="s">
        <v>462</v>
      </c>
      <c r="B48" s="140">
        <v>-3000</v>
      </c>
      <c r="C48" s="139"/>
    </row>
    <row r="49" spans="1:3" x14ac:dyDescent="0.3">
      <c r="A49" s="142" t="s">
        <v>404</v>
      </c>
      <c r="B49" s="136">
        <v>-7000</v>
      </c>
      <c r="C49" s="136">
        <v>-3626.9</v>
      </c>
    </row>
    <row r="50" spans="1:3" x14ac:dyDescent="0.3">
      <c r="A50" s="143" t="s">
        <v>463</v>
      </c>
      <c r="B50" s="140">
        <v>-7000</v>
      </c>
      <c r="C50" s="140">
        <v>-3626.9</v>
      </c>
    </row>
    <row r="51" spans="1:3" x14ac:dyDescent="0.3">
      <c r="A51" s="141" t="s">
        <v>464</v>
      </c>
      <c r="B51" s="136">
        <v>-25127312</v>
      </c>
      <c r="C51" s="136">
        <v>-20100742.059999999</v>
      </c>
    </row>
    <row r="52" spans="1:3" x14ac:dyDescent="0.3">
      <c r="A52" s="142" t="s">
        <v>465</v>
      </c>
      <c r="B52" s="136">
        <v>-4297358</v>
      </c>
      <c r="C52" s="136">
        <v>-1977792.54</v>
      </c>
    </row>
    <row r="53" spans="1:3" x14ac:dyDescent="0.3">
      <c r="A53" s="143" t="s">
        <v>466</v>
      </c>
      <c r="B53" s="140">
        <v>-12600</v>
      </c>
      <c r="C53" s="145">
        <v>-900</v>
      </c>
    </row>
    <row r="54" spans="1:3" x14ac:dyDescent="0.3">
      <c r="A54" s="143" t="s">
        <v>467</v>
      </c>
      <c r="B54" s="140">
        <v>-664062</v>
      </c>
      <c r="C54" s="140">
        <v>-238921.8</v>
      </c>
    </row>
    <row r="55" spans="1:3" x14ac:dyDescent="0.3">
      <c r="A55" s="143" t="s">
        <v>468</v>
      </c>
      <c r="B55" s="140">
        <v>-687600</v>
      </c>
      <c r="C55" s="140">
        <v>-436743.24</v>
      </c>
    </row>
    <row r="56" spans="1:3" x14ac:dyDescent="0.3">
      <c r="A56" s="143" t="s">
        <v>469</v>
      </c>
      <c r="B56" s="140">
        <v>-59263</v>
      </c>
      <c r="C56" s="140">
        <v>-59536</v>
      </c>
    </row>
    <row r="57" spans="1:3" x14ac:dyDescent="0.3">
      <c r="A57" s="143" t="s">
        <v>470</v>
      </c>
      <c r="B57" s="140">
        <v>-2873833</v>
      </c>
      <c r="C57" s="140">
        <v>-1241691.5</v>
      </c>
    </row>
    <row r="58" spans="1:3" x14ac:dyDescent="0.3">
      <c r="A58" s="142" t="s">
        <v>471</v>
      </c>
      <c r="B58" s="136">
        <v>-56600</v>
      </c>
      <c r="C58" s="136">
        <v>-909890.81</v>
      </c>
    </row>
    <row r="59" spans="1:3" x14ac:dyDescent="0.3">
      <c r="A59" s="143" t="s">
        <v>472</v>
      </c>
      <c r="B59" s="140">
        <v>-56600</v>
      </c>
      <c r="C59" s="140">
        <v>-909890.81</v>
      </c>
    </row>
    <row r="60" spans="1:3" x14ac:dyDescent="0.3">
      <c r="A60" s="142" t="s">
        <v>473</v>
      </c>
      <c r="B60" s="136">
        <v>-9312037</v>
      </c>
      <c r="C60" s="136">
        <v>-3750742.35</v>
      </c>
    </row>
    <row r="61" spans="1:3" x14ac:dyDescent="0.3">
      <c r="A61" s="143" t="s">
        <v>474</v>
      </c>
      <c r="B61" s="140">
        <v>-805000</v>
      </c>
      <c r="C61" s="140">
        <v>-575076.29</v>
      </c>
    </row>
    <row r="62" spans="1:3" x14ac:dyDescent="0.3">
      <c r="A62" s="143" t="s">
        <v>475</v>
      </c>
      <c r="B62" s="139"/>
      <c r="C62" s="139"/>
    </row>
    <row r="63" spans="1:3" x14ac:dyDescent="0.3">
      <c r="A63" s="143" t="s">
        <v>476</v>
      </c>
      <c r="B63" s="139"/>
      <c r="C63" s="140">
        <v>-137364.98000000001</v>
      </c>
    </row>
    <row r="64" spans="1:3" x14ac:dyDescent="0.3">
      <c r="A64" s="143" t="s">
        <v>477</v>
      </c>
      <c r="B64" s="140">
        <v>-307800</v>
      </c>
      <c r="C64" s="140">
        <v>-263070</v>
      </c>
    </row>
    <row r="65" spans="1:3" x14ac:dyDescent="0.3">
      <c r="A65" s="143" t="s">
        <v>478</v>
      </c>
      <c r="B65" s="139"/>
      <c r="C65" s="140">
        <v>-404215.47</v>
      </c>
    </row>
    <row r="66" spans="1:3" x14ac:dyDescent="0.3">
      <c r="A66" s="143" t="s">
        <v>479</v>
      </c>
      <c r="B66" s="140">
        <v>-65780</v>
      </c>
      <c r="C66" s="140">
        <v>-56144.11</v>
      </c>
    </row>
    <row r="67" spans="1:3" x14ac:dyDescent="0.3">
      <c r="A67" s="143" t="s">
        <v>480</v>
      </c>
      <c r="B67" s="139"/>
      <c r="C67" s="140">
        <v>-40507.89</v>
      </c>
    </row>
    <row r="68" spans="1:3" x14ac:dyDescent="0.3">
      <c r="A68" s="143" t="s">
        <v>481</v>
      </c>
      <c r="B68" s="140">
        <v>-280280</v>
      </c>
      <c r="C68" s="140">
        <v>-113877.48</v>
      </c>
    </row>
    <row r="69" spans="1:3" x14ac:dyDescent="0.3">
      <c r="A69" s="143" t="s">
        <v>400</v>
      </c>
      <c r="B69" s="140">
        <v>-7546442</v>
      </c>
      <c r="C69" s="140">
        <v>-1972796</v>
      </c>
    </row>
    <row r="70" spans="1:3" x14ac:dyDescent="0.3">
      <c r="A70" s="143" t="s">
        <v>482</v>
      </c>
      <c r="B70" s="140">
        <v>-58305</v>
      </c>
      <c r="C70" s="140">
        <v>-54990.94</v>
      </c>
    </row>
    <row r="71" spans="1:3" x14ac:dyDescent="0.3">
      <c r="A71" s="143" t="s">
        <v>483</v>
      </c>
      <c r="B71" s="139"/>
      <c r="C71" s="140">
        <v>-33537.19</v>
      </c>
    </row>
    <row r="72" spans="1:3" x14ac:dyDescent="0.3">
      <c r="A72" s="143" t="s">
        <v>484</v>
      </c>
      <c r="B72" s="140">
        <v>-248430</v>
      </c>
      <c r="C72" s="140">
        <v>-99162</v>
      </c>
    </row>
    <row r="73" spans="1:3" x14ac:dyDescent="0.3">
      <c r="A73" s="142" t="s">
        <v>485</v>
      </c>
      <c r="B73" s="136">
        <v>-11461317</v>
      </c>
      <c r="C73" s="136">
        <v>-13462316.359999999</v>
      </c>
    </row>
    <row r="74" spans="1:3" x14ac:dyDescent="0.3">
      <c r="A74" s="143" t="s">
        <v>486</v>
      </c>
      <c r="B74" s="139"/>
      <c r="C74" s="140">
        <v>-75160</v>
      </c>
    </row>
    <row r="75" spans="1:3" x14ac:dyDescent="0.3">
      <c r="A75" s="143" t="s">
        <v>392</v>
      </c>
      <c r="B75" s="140">
        <v>-903879</v>
      </c>
      <c r="C75" s="140">
        <v>-775778.83</v>
      </c>
    </row>
    <row r="76" spans="1:3" x14ac:dyDescent="0.3">
      <c r="A76" s="143" t="s">
        <v>402</v>
      </c>
      <c r="B76" s="140">
        <v>-468858</v>
      </c>
      <c r="C76" s="140">
        <v>-15068.26</v>
      </c>
    </row>
    <row r="77" spans="1:3" x14ac:dyDescent="0.3">
      <c r="A77" s="143" t="s">
        <v>401</v>
      </c>
      <c r="B77" s="140">
        <v>-14000</v>
      </c>
      <c r="C77" s="140">
        <v>-87657</v>
      </c>
    </row>
    <row r="78" spans="1:3" x14ac:dyDescent="0.3">
      <c r="A78" s="143" t="s">
        <v>393</v>
      </c>
      <c r="B78" s="140">
        <v>-7545974</v>
      </c>
      <c r="C78" s="140">
        <v>-9936668.8499999996</v>
      </c>
    </row>
    <row r="79" spans="1:3" x14ac:dyDescent="0.3">
      <c r="A79" s="143" t="s">
        <v>487</v>
      </c>
      <c r="B79" s="140">
        <v>-629550</v>
      </c>
      <c r="C79" s="140">
        <v>-350018.5</v>
      </c>
    </row>
    <row r="80" spans="1:3" x14ac:dyDescent="0.3">
      <c r="A80" s="143" t="s">
        <v>488</v>
      </c>
      <c r="B80" s="140">
        <v>-1899056</v>
      </c>
      <c r="C80" s="140">
        <v>-2221964.92</v>
      </c>
    </row>
    <row r="81" spans="1:3" x14ac:dyDescent="0.3">
      <c r="A81" s="137" t="s">
        <v>489</v>
      </c>
      <c r="B81" s="136">
        <v>-412528</v>
      </c>
      <c r="C81" s="136">
        <v>-505140.5</v>
      </c>
    </row>
    <row r="82" spans="1:3" x14ac:dyDescent="0.3">
      <c r="A82" s="141" t="s">
        <v>490</v>
      </c>
      <c r="B82" s="136">
        <v>-412528</v>
      </c>
      <c r="C82" s="136">
        <v>-16900</v>
      </c>
    </row>
    <row r="83" spans="1:3" x14ac:dyDescent="0.3">
      <c r="A83" s="147" t="s">
        <v>491</v>
      </c>
      <c r="B83" s="140">
        <v>-16900</v>
      </c>
      <c r="C83" s="140">
        <v>-16900</v>
      </c>
    </row>
    <row r="84" spans="1:3" x14ac:dyDescent="0.3">
      <c r="A84" s="147" t="s">
        <v>492</v>
      </c>
      <c r="B84" s="140">
        <v>-395628</v>
      </c>
      <c r="C84" s="139"/>
    </row>
    <row r="85" spans="1:3" x14ac:dyDescent="0.3">
      <c r="A85" s="138" t="s">
        <v>493</v>
      </c>
      <c r="B85" s="139"/>
      <c r="C85" s="140">
        <v>-488240.5</v>
      </c>
    </row>
    <row r="86" spans="1:3" x14ac:dyDescent="0.3">
      <c r="A86" s="137" t="s">
        <v>494</v>
      </c>
      <c r="B86" s="136">
        <v>-11017779</v>
      </c>
      <c r="C86" s="136">
        <v>-3201604.66</v>
      </c>
    </row>
    <row r="87" spans="1:3" x14ac:dyDescent="0.3">
      <c r="A87" s="141" t="s">
        <v>495</v>
      </c>
      <c r="B87" s="136">
        <v>-11017779</v>
      </c>
      <c r="C87" s="136">
        <v>-3201604.66</v>
      </c>
    </row>
    <row r="88" spans="1:3" x14ac:dyDescent="0.3">
      <c r="A88" s="147" t="s">
        <v>495</v>
      </c>
      <c r="B88" s="139"/>
      <c r="C88" s="140">
        <v>-2834433</v>
      </c>
    </row>
    <row r="89" spans="1:3" x14ac:dyDescent="0.3">
      <c r="A89" s="147" t="s">
        <v>496</v>
      </c>
      <c r="B89" s="140">
        <v>-1437102</v>
      </c>
      <c r="C89" s="140">
        <v>-367171.66</v>
      </c>
    </row>
    <row r="90" spans="1:3" x14ac:dyDescent="0.3">
      <c r="A90" s="147" t="s">
        <v>497</v>
      </c>
      <c r="B90" s="140">
        <v>-9580677</v>
      </c>
      <c r="C90" s="139"/>
    </row>
    <row r="91" spans="1:3" x14ac:dyDescent="0.3">
      <c r="A91" s="148" t="s">
        <v>498</v>
      </c>
      <c r="B91" s="149">
        <v>17898114</v>
      </c>
      <c r="C91" s="149">
        <v>10366813.439999999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8"/>
  <sheetViews>
    <sheetView workbookViewId="0">
      <selection activeCell="D10" activeCellId="1" sqref="D11:F11 D10"/>
    </sheetView>
  </sheetViews>
  <sheetFormatPr defaultRowHeight="14.4" x14ac:dyDescent="0.3"/>
  <cols>
    <col min="1" max="1" width="21.77734375" bestFit="1" customWidth="1"/>
    <col min="2" max="2" width="11.33203125" bestFit="1" customWidth="1"/>
    <col min="3" max="3" width="9.109375" bestFit="1" customWidth="1"/>
  </cols>
  <sheetData>
    <row r="1" spans="1:7" ht="14.4" customHeight="1" x14ac:dyDescent="0.3">
      <c r="A1" s="80" t="s">
        <v>311</v>
      </c>
      <c r="B1" s="201" t="s">
        <v>312</v>
      </c>
      <c r="C1" s="198" t="s">
        <v>313</v>
      </c>
      <c r="D1" s="198" t="s">
        <v>314</v>
      </c>
      <c r="E1" s="198" t="s">
        <v>315</v>
      </c>
      <c r="F1" s="198" t="s">
        <v>316</v>
      </c>
    </row>
    <row r="2" spans="1:7" x14ac:dyDescent="0.3">
      <c r="A2" s="80" t="s">
        <v>317</v>
      </c>
      <c r="B2" s="202"/>
      <c r="C2" s="199"/>
      <c r="D2" s="199"/>
      <c r="E2" s="199"/>
      <c r="F2" s="199"/>
    </row>
    <row r="3" spans="1:7" x14ac:dyDescent="0.3">
      <c r="A3" s="80" t="s">
        <v>318</v>
      </c>
      <c r="B3" s="202"/>
      <c r="C3" s="199"/>
      <c r="D3" s="199"/>
      <c r="E3" s="199"/>
      <c r="F3" s="199"/>
    </row>
    <row r="4" spans="1:7" x14ac:dyDescent="0.3">
      <c r="A4" s="80" t="s">
        <v>319</v>
      </c>
      <c r="B4" s="203"/>
      <c r="C4" s="200"/>
      <c r="D4" s="200"/>
      <c r="E4" s="200"/>
      <c r="F4" s="200"/>
    </row>
    <row r="5" spans="1:7" x14ac:dyDescent="0.3">
      <c r="A5" s="81" t="s">
        <v>167</v>
      </c>
      <c r="B5" s="82">
        <f>SUM(B6:B11)</f>
        <v>4409033.5600000005</v>
      </c>
      <c r="C5" s="82">
        <f t="shared" ref="C5:F5" si="0">SUM(C6:C11)</f>
        <v>4335674.3999999994</v>
      </c>
      <c r="D5" s="82">
        <f t="shared" si="0"/>
        <v>2667.7</v>
      </c>
      <c r="E5" s="82">
        <f t="shared" si="0"/>
        <v>10194.689999999999</v>
      </c>
      <c r="F5" s="82">
        <f t="shared" si="0"/>
        <v>60496.77</v>
      </c>
    </row>
    <row r="6" spans="1:7" x14ac:dyDescent="0.3">
      <c r="A6" s="83" t="s">
        <v>320</v>
      </c>
      <c r="B6" s="84">
        <f>SUM(C6:F6)</f>
        <v>0</v>
      </c>
      <c r="C6" s="85"/>
      <c r="D6" s="85"/>
      <c r="E6" s="85"/>
      <c r="F6" s="85"/>
    </row>
    <row r="7" spans="1:7" x14ac:dyDescent="0.3">
      <c r="A7" s="83" t="s">
        <v>321</v>
      </c>
      <c r="B7" s="84">
        <f t="shared" ref="B7:B11" si="1">SUM(C7:F7)</f>
        <v>497938.51</v>
      </c>
      <c r="C7" s="84">
        <v>497789.46</v>
      </c>
      <c r="D7" s="85"/>
      <c r="E7" s="86">
        <v>149.05000000000001</v>
      </c>
      <c r="F7" s="84">
        <f>44599.44*0</f>
        <v>0</v>
      </c>
    </row>
    <row r="8" spans="1:7" x14ac:dyDescent="0.3">
      <c r="A8" s="83" t="s">
        <v>322</v>
      </c>
      <c r="B8" s="84">
        <f t="shared" si="1"/>
        <v>0</v>
      </c>
      <c r="C8" s="85"/>
      <c r="D8" s="85"/>
      <c r="E8" s="85"/>
      <c r="F8" s="85"/>
    </row>
    <row r="9" spans="1:7" x14ac:dyDescent="0.3">
      <c r="A9" s="83" t="s">
        <v>323</v>
      </c>
      <c r="B9" s="84">
        <f t="shared" si="1"/>
        <v>0</v>
      </c>
      <c r="C9" s="85"/>
      <c r="D9" s="85"/>
      <c r="E9" s="85"/>
      <c r="F9" s="85"/>
    </row>
    <row r="10" spans="1:7" x14ac:dyDescent="0.3">
      <c r="A10" s="83" t="s">
        <v>324</v>
      </c>
      <c r="B10" s="84">
        <f t="shared" si="1"/>
        <v>3648694.52</v>
      </c>
      <c r="C10" s="84">
        <v>3583004.61</v>
      </c>
      <c r="D10" s="84">
        <v>2527.6999999999998</v>
      </c>
      <c r="E10" s="84">
        <v>10025.39</v>
      </c>
      <c r="F10" s="84">
        <v>53136.82</v>
      </c>
      <c r="G10">
        <f>F10*1.2</f>
        <v>63764.183999999994</v>
      </c>
    </row>
    <row r="11" spans="1:7" x14ac:dyDescent="0.3">
      <c r="A11" s="83" t="s">
        <v>325</v>
      </c>
      <c r="B11" s="84">
        <f t="shared" si="1"/>
        <v>262400.52999999997</v>
      </c>
      <c r="C11" s="84">
        <v>254880.33</v>
      </c>
      <c r="D11" s="86">
        <v>140</v>
      </c>
      <c r="E11" s="86">
        <v>20.25</v>
      </c>
      <c r="F11" s="84">
        <v>7359.95</v>
      </c>
    </row>
    <row r="13" spans="1:7" x14ac:dyDescent="0.3">
      <c r="A13" s="87" t="s">
        <v>326</v>
      </c>
      <c r="B13" s="82">
        <f>SUM(C13:F13)</f>
        <v>5290840.2719999989</v>
      </c>
      <c r="C13" s="82">
        <f>C5*1.2</f>
        <v>5202809.2799999993</v>
      </c>
      <c r="D13" s="82">
        <f t="shared" ref="D13:F13" si="2">D5*1.2</f>
        <v>3201.24</v>
      </c>
      <c r="E13" s="82">
        <f t="shared" si="2"/>
        <v>12233.627999999999</v>
      </c>
      <c r="F13" s="82">
        <f t="shared" si="2"/>
        <v>72596.123999999996</v>
      </c>
    </row>
    <row r="17" spans="1:2" x14ac:dyDescent="0.3">
      <c r="A17" t="s">
        <v>392</v>
      </c>
      <c r="B17" s="72">
        <v>64740.983999999997</v>
      </c>
    </row>
    <row r="18" spans="1:2" x14ac:dyDescent="0.3">
      <c r="A18" t="s">
        <v>393</v>
      </c>
      <c r="B18" s="72">
        <v>4295429.7180000003</v>
      </c>
    </row>
  </sheetData>
  <mergeCells count="5">
    <mergeCell ref="E1:E4"/>
    <mergeCell ref="F1:F4"/>
    <mergeCell ref="C1:C4"/>
    <mergeCell ref="D1:D4"/>
    <mergeCell ref="B1:B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ИТОГ</vt:lpstr>
      <vt:lpstr>пто</vt:lpstr>
      <vt:lpstr>акты</vt:lpstr>
      <vt:lpstr>списания</vt:lpstr>
      <vt:lpstr>План-Факт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2024-07-24T13:59:30Z</dcterms:modified>
</cp:coreProperties>
</file>
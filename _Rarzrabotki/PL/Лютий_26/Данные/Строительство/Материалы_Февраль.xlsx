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i.steblianko\Desktop\"/>
    </mc:Choice>
  </mc:AlternateContent>
  <xr:revisionPtr revIDLastSave="0" documentId="13_ncr:1_{7F2FE31C-0B56-484D-BB0A-6B9249222494}" xr6:coauthVersionLast="45" xr6:coauthVersionMax="45" xr10:uidLastSave="{00000000-0000-0000-0000-000000000000}"/>
  <bookViews>
    <workbookView xWindow="-108" yWindow="-108" windowWidth="23256" windowHeight="12600" activeTab="3" xr2:uid="{00000000-000D-0000-FFFF-FFFF00000000}"/>
  </bookViews>
  <sheets>
    <sheet name="Тищенки" sheetId="1" r:id="rId1"/>
    <sheet name="МХП" sheetId="2" r:id="rId2"/>
    <sheet name="Глобино-2" sheetId="3" r:id="rId3"/>
    <sheet name="Глобино-2_2051" sheetId="4" r:id="rId4"/>
  </sheets>
  <definedNames>
    <definedName name="_xlnm._FilterDatabase" localSheetId="2" hidden="1">'Глобино-2'!$B$1:$D$1556</definedName>
    <definedName name="_xlnm._FilterDatabase" localSheetId="3" hidden="1">'Глобино-2_2051'!$B$1:$D$116</definedName>
    <definedName name="_xlnm._FilterDatabase" localSheetId="1" hidden="1">МХП!$B$1:$D$69</definedName>
    <definedName name="_xlnm._FilterDatabase" localSheetId="0" hidden="1">Тищенки!$B$1:$D$204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119" i="4" l="1"/>
  <c r="J118" i="4"/>
  <c r="J1559" i="3"/>
  <c r="J1558" i="3"/>
  <c r="J71" i="2"/>
  <c r="J73" i="2" s="1"/>
  <c r="J207" i="1"/>
  <c r="J206" i="1"/>
</calcChain>
</file>

<file path=xl/sharedStrings.xml><?xml version="1.0" encoding="utf-8"?>
<sst xmlns="http://schemas.openxmlformats.org/spreadsheetml/2006/main" count="15482" uniqueCount="1730">
  <si>
    <t>Період</t>
  </si>
  <si>
    <t>Документ</t>
  </si>
  <si>
    <t>Аналітика Дт</t>
  </si>
  <si>
    <t>Аналітика Кт</t>
  </si>
  <si>
    <t>Дебет</t>
  </si>
  <si>
    <t>Кредит</t>
  </si>
  <si>
    <t>Поточне сальдо</t>
  </si>
  <si>
    <t>Рахунок</t>
  </si>
  <si>
    <t>Д</t>
  </si>
  <si>
    <t>01.02.2026</t>
  </si>
  <si>
    <t>Комплектація номенклатури ІБ00-000004 від 01.02.2026 23:00:01
Комплектация</t>
  </si>
  <si>
    <t>Обл. НДС
Конструкція ЗД-2
Комплектація номенклатури ІБ00-000004 від 01.02.2026 23:00:01
Астарта_Тищенки</t>
  </si>
  <si>
    <t>Обл. НДС
Смуга 40*4 мм ст.3ПС  6 м
Надходження товарів і послуг ІБ00-006551 від 09.10.2025 11:00:00
Астарта_Тищенки</t>
  </si>
  <si>
    <t>205</t>
  </si>
  <si>
    <t>Обл. НДС
Смуга 60 мм 6,0 мм, 6 м S235JR
Надходження товарів і послуг ІБ00-005343 від 18.09.2025 11:00:00
Астарта_Тищенки</t>
  </si>
  <si>
    <t>Обл. НДС
Кутик 50*50*5мм ст. S275 JR 6м
Надходження товарів і послуг ІБ00-005517 від 10.09.2025 11:00:00
Астарта_Тищенки</t>
  </si>
  <si>
    <t>Обл. НДС
Кутник 50х50х4 L= 6000 мм, ст 3 пс
Надходження товарів і послуг ІБ00-004634 від 14.08.2025 11:00:00
Астарта_Тищенки</t>
  </si>
  <si>
    <t>Обл. НДС
Кутник 50х50х5 L= 6 м
Надходження товарів і послуг ІБ00-005343 від 18.09.2025 11:00:00
Астарта_Тищенки</t>
  </si>
  <si>
    <t>02.02.2026</t>
  </si>
  <si>
    <t>Комплектація номенклатури ІБ00-000037 від 02.02.2026 17:46:54
Комплектация</t>
  </si>
  <si>
    <t>Обл. НДС
Арматура 10 міра (12-3760  А500С/А400С)
Комплектація номенклатури ІБ00-000037 від 02.02.2026 17:46:54
Астарта_Тищенки</t>
  </si>
  <si>
    <t>Обл. НДС
Прокат арматурний №14 мм  А500С, 12 м
Надходження товарів і послуг ІБ00-006551 від 09.10.2025 11:00:00
Астарта_Тищенки</t>
  </si>
  <si>
    <t>Комплектація номенклатури ІБ00-000038 від 02.02.2026 17:46:55
Комплектация</t>
  </si>
  <si>
    <t>Обл. НДС
Труба  80х60х3 (12,05-8940:2019 08кп/1-3пс)
Комплектація номенклатури ІБ00-000038 від 02.02.2026 17:46:55
Астарта_Тищенки</t>
  </si>
  <si>
    <t>Обл. НДС
Труба профільна 80*80*4 L=12  ст 1-3 сп/пс
Надходження товарів і послуг ІБ00-006208 від 24.10.2025 11:00:00
Астарта_Тищенки</t>
  </si>
  <si>
    <t>16.02.2026</t>
  </si>
  <si>
    <t>Реалізація товарів і послуг ІБ00-000036 від 16.02.2026 00:00:00
Списаны ТМЦ</t>
  </si>
  <si>
    <t>&lt;...&gt;
&lt;...&gt;
Себестоимость реализованных покупных запасов</t>
  </si>
  <si>
    <t>Обл. НДС
Арматура 12 міра (12-3760  А400С/А500С)
Надходження товарів і послуг ІБ00-005080 від 03.09.2025 11:00:00
Астарта_Тищенки</t>
  </si>
  <si>
    <t>943</t>
  </si>
  <si>
    <t xml:space="preserve"> </t>
  </si>
  <si>
    <t>Обл. НДС
Арматура 12 міра (12-3760  А400С/А500С)
Надходження товарів і послуг ІБ00-006282 від 27.10.2025 11:00:00
Астарта_Тищенки</t>
  </si>
  <si>
    <t>Обл. НДС
Арматура 12 міра (12-3760  А500С/А400С)
Надходження товарів і послуг ІБ00-006984 від 21.11.2025 11:00:00
Астарта_Тищенки</t>
  </si>
  <si>
    <t>Обл. НДС
Арматура № 8 міра
Переміщення товарів ІБ00-001307 від 01.11.2025 12:00:11
Астарта_Тищенки</t>
  </si>
  <si>
    <t>Обл. НДС
Арматура композитна 10мм  100м
Надходження товарів і послуг ІБ00-006034 від 13.10.2025 11:00:00
Астарта_Тищенки</t>
  </si>
  <si>
    <t>Обл. НДС
Бортова втулка D 160 SDR 17 ПЕ 100 FOX 
Надходження товарів і послуг ІБ00-007297 від 21.11.2025 11:00:00
Астарта_Тищенки</t>
  </si>
  <si>
    <t>Обл. НДС
Буртова втулка D 250 SDR 17 ПЕ 100 FOX
Надходження товарів і послуг ІБ00-007297 від 21.11.2025 11:00:00
Астарта_Тищенки</t>
  </si>
  <si>
    <t>Обл. НДС
Відведення ПВХ, кут=45 град., D=160 мм
Надходження товарів і послуг ІБ00-007293 від 19.11.2025 11:00:00
Астарта_Тищенки</t>
  </si>
  <si>
    <t>Обл. НДС
Відвід 90* 630 ПЕ 100 SDR17
Надходження товарів і послуг ІБ00-007298 від 25.11.2025 11:00:00
Астарта_Тищенки</t>
  </si>
  <si>
    <t>Обл. НДС
Відвід d 110 мм 45"
Надходження товарів і послуг ІБ00-007293 від 19.11.2025 11:00:00
Астарта_Тищенки</t>
  </si>
  <si>
    <t>Обл. НДС
Відвід D=50 mm 45
Надходження товарів і послуг ІБ00-007293 від 19.11.2025 11:00:00
Астарта_Тищенки</t>
  </si>
  <si>
    <t>Обл. НДС
Газоблок 100*200*600 D400
Надходження товарів і послуг ІБ00-006854 від 10.11.2025 11:00:00
Астарта_Тищенки</t>
  </si>
  <si>
    <t>Обл. НДС
Газоблок 200*400*600 D500
Надходження товарів і послуг ІБ00-006855 від 07.11.2025 11:00:00
Астарта_Тищенки</t>
  </si>
  <si>
    <t>Обл. НДС
Газоблок 200*400*600 D500
Надходження товарів і послуг ІБ00-006854 від 10.11.2025 11:00:00
Астарта_Тищенки</t>
  </si>
  <si>
    <t>Обл. НДС
Газоблок 200*400*600 D500
Надходження товарів і послуг ІБ00-007210 від 27.11.2025 11:00:00
Астарта_Тищенки</t>
  </si>
  <si>
    <t>Обл. НДС
Газоблок 300*200*600 D400
Надходження товарів і послуг ІБ00-006854 від 10.11.2025 11:00:00
Астарта_Тищенки</t>
  </si>
  <si>
    <t>Обл. НДС
Днище кільця ПН 15
Надходження товарів і послуг ІБ00-007332 від 26.11.2025 11:00:00
Астарта_Тищенки</t>
  </si>
  <si>
    <t>Обл. НДС
Днище кільця ПН 20
Надходження товарів і послуг ІБ00-007332 від 26.11.2025 11:00:00
Астарта_Тищенки</t>
  </si>
  <si>
    <t>Обл. НДС
Заглушка 110
Надходження товарів і послуг ІБ00-007293 від 19.11.2025 11:00:00
Астарта_Тищенки</t>
  </si>
  <si>
    <t>Обл. НДС
Заглушка D=160
Надходження товарів і послуг ІБ00-007293 від 19.11.2025 11:00:00
Астарта_Тищенки</t>
  </si>
  <si>
    <t>Обл. НДС
Засувка з обгумованим клином PN 16 Dn 150
Надходження товарів і послуг ІБ00-007297 від 21.11.2025 11:00:00
Астарта_Тищенки</t>
  </si>
  <si>
    <t>Обл. НДС
Кільце добірне на оглядовий колодязь ПД6.8
Надходження товарів і послуг ІБ00-007331 від 26.11.2025 11:00:00
Астарта_Тищенки</t>
  </si>
  <si>
    <t>Обл. НДС
Кільце КСІ 15.9
Надходження товарів і послуг ІБ00-007331 від 26.11.2025 11:00:00
Астарта_Тищенки</t>
  </si>
  <si>
    <t>Обл. НДС
Кільце КСІ 15.9
Надходження товарів і послуг ІБ00-007332 від 26.11.2025 11:00:00
Астарта_Тищенки</t>
  </si>
  <si>
    <t>Обл. НДС
Кільце КСІ 20.6
Надходження товарів і послуг ІБ00-007332 від 26.11.2025 11:00:00
Астарта_Тищенки</t>
  </si>
  <si>
    <t>Обл. НДС
Кільце КСІ 20.9
Надходження товарів і послуг ІБ00-007331 від 26.11.2025 11:00:00
Астарта_Тищенки</t>
  </si>
  <si>
    <t>Обл. НДС
Коліно сегментне (45*) D 315 SDR 17 PE100
Надходження товарів і послуг ІБ00-007298 від 25.11.2025 11:00:00
Астарта_Тищенки</t>
  </si>
  <si>
    <t>Обл. НДС
Коліно стикове (90*) D 110 SDR 11 РЕ 100 "TEGA"
Надходження товарів і послуг ІБ00-007295 від 26.11.2025 11:00:00
Астарта_Тищенки</t>
  </si>
  <si>
    <t>Обл. НДС
Коліно стикове (90*) D 250 SDR 17
Надходження товарів і послуг ІБ00-007298 від 25.11.2025 11:00:00
Астарта_Тищенки</t>
  </si>
  <si>
    <t>Обл. НДС
Коліно терморезисторне D 50 90* ПЕ100 FOX
Надходження товарів і послуг ІБ00-007297 від 21.11.2025 11:00:00
Астарта_Тищенки</t>
  </si>
  <si>
    <t>Обл. НДС
Кришка кільця 1ППІ 15-1
Надходження товарів і послуг ІБ00-007331 від 26.11.2025 11:00:00
Астарта_Тищенки</t>
  </si>
  <si>
    <t>Обл. НДС
Кришка кільця 1ППІ 15-2 
Надходження товарів і послуг ІБ00-007331 від 26.11.2025 11:00:00
Астарта_Тищенки</t>
  </si>
  <si>
    <t>Обл. НДС
Кришка кільця 1ППІ 20-2 
Надходження товарів і послуг ІБ00-007331 від 26.11.2025 11:00:00
Астарта_Тищенки</t>
  </si>
  <si>
    <t>Обл. НДС
Круг  8 мм  кл. А240С ; 6 м
Надходження товарів і послуг ІБ00-005374 від 08.09.2025 11:00:00
Астарта_Тищенки</t>
  </si>
  <si>
    <t>Обл. НДС
Кутик 40*40*4 мм ст3пс
Надходження товарів і послуг ІБ00-005374 від 08.09.2025 11:00:00
Астарта_Тищенки</t>
  </si>
  <si>
    <t>Обл. НДС
Кутник 63*63 мм  5,0 мм, S275 JR 12 м
Надходження товарів і послуг ІБ00-005517 від 10.09.2025 11:00:00
Астарта_Тищенки</t>
  </si>
  <si>
    <t>Обл. НДС
Лист г/к  3*1500*6000 мм
Надходження товарів і послуг ІБ00-006552 від 09.10.2025 11:00:00
Астарта_Тищенки</t>
  </si>
  <si>
    <t>Обл. НДС
Лист г/к  6*1500*6000 мм S235JR
Надходження товарів і послуг ІБ00-005512 від 10.09.2025 11:00:00
Астарта_Тищенки</t>
  </si>
  <si>
    <t>Обл. НДС
Лист г/к  6*1500*6000 мм S235JR
Надходження товарів і послуг ІБ00-005517 від 10.09.2025 11:00:00
Астарта_Тищенки</t>
  </si>
  <si>
    <t>Обл. НДС
лист ПВЛ 406х1250х2500 мм
Переміщення товарів ІБ00-001307 від 01.11.2025 12:00:11
Астарта_Тищенки</t>
  </si>
  <si>
    <t>Обл. НДС
Лист ПВЛ 5 (506) ((1,0*3,0))
Надходження товарів і послуг ІБ00-006987 від 21.11.2025 11:00:00
Астарта_Тищенки</t>
  </si>
  <si>
    <t>Обл. НДС
Лист ПВЛ 506х1250х2500
Переміщення товарів ІБ00-001307 від 01.11.2025 12:00:11
Астарта_Тищенки</t>
  </si>
  <si>
    <t>Обл. НДС
Лист рифлений г/к 6*1250*6000 1-3 сп/пс 
Надходження товарів і послуг ІБ00-006988 від 21.11.2025 11:00:00
Астарта_Тищенки</t>
  </si>
  <si>
    <t>Обл. НДС
Люк чавунний тип Т канал с з/у (С250)
Надходження товарів і послуг ІБ00-007297 від 21.11.2025 11:00:00
Астарта_Тищенки</t>
  </si>
  <si>
    <t>Обл. НДС
Люк чавунний тип тип С канал с з/у
Надходження товарів і послуг ІБ00-007297 від 21.11.2025 11:00:00
Астарта_Тищенки</t>
  </si>
  <si>
    <t>Обл. НДС
Металопрофіль ТП 20 СО поліестер 0,5 мм (б.п. 5005 синій 1,50м. )
Надходження товарів і послуг ІБ00-007025 від 13.11.2025 11:00:00
Астарта_Тищенки</t>
  </si>
  <si>
    <t>Обл. НДС
Металопрофіль ТП 20 СО поліестер 0,5 мм (б.п. 5005 синій 2,65м. )
Надходження товарів і послуг ІБ00-007025 від 13.11.2025 11:00:00
Астарта_Тищенки</t>
  </si>
  <si>
    <t>Обл. НДС
Металопрофіль ТП 20 СО поліестер 0,5 мм (б.п. 5005 синій 2,75м. )
Надходження товарів і послуг ІБ00-007023 від 13.11.2025 11:00:00
Астарта_Тищенки</t>
  </si>
  <si>
    <t>Обл. НДС
Металопрофіль ТП 20 СО поліестер 0,5 мм (б.п. 5005 синій 2,85м. )
Надходження товарів і послуг ІБ00-007025 від 13.11.2025 11:00:00
Астарта_Тищенки</t>
  </si>
  <si>
    <t>Обл. НДС
Металопрофіль ТП 20 СО поліестер 0,5 мм (б.п. 5005 синій 2,95м. )
Надходження товарів і послуг ІБ00-007025 від 13.11.2025 11:00:00
Астарта_Тищенки</t>
  </si>
  <si>
    <t>Обл. НДС
Металопрофіль ТП 20 СО поліестер 0,5 мм (б.п. 5005 синій 3,15м. )
Надходження товарів і послуг ІБ00-007025 від 13.11.2025 11:00:00
Астарта_Тищенки</t>
  </si>
  <si>
    <t>Обл. НДС
Металопрофіль ТП 20 СО поліестер 0,5 мм (б.п. 5005 синій 3,18м. )
Надходження товарів і послуг ІБ00-007023 від 13.11.2025 11:00:00
Астарта_Тищенки</t>
  </si>
  <si>
    <t>Обл. НДС
Металопрофіль ТП 20 СО поліестер 0,5 мм (б.п. 5005 синій 3,42м. )
Надходження товарів і послуг ІБ00-007025 від 13.11.2025 11:00:00
Астарта_Тищенки</t>
  </si>
  <si>
    <t>Обл. НДС
Металопрофіль ТП 20 СО поліестер 0,5 мм (б.п. 5005 синій 3,45м. )
Надходження товарів і послуг ІБ00-007023 від 13.11.2025 11:00:00
Астарта_Тищенки</t>
  </si>
  <si>
    <t>Обл. НДС
Металопрофіль ТП 20 СО поліестер 0,5 мм (б.п. 5005 синій 3,72м. )
Надходження товарів і послуг ІБ00-007025 від 13.11.2025 11:00:00
Астарта_Тищенки</t>
  </si>
  <si>
    <t>Обл. НДС
Металопрофіль ТП 20 СО поліестер 0,5 мм (б.п. 5005 синій 4,28м. )
Надходження товарів і послуг ІБ00-007025 від 13.11.2025 11:00:00
Астарта_Тищенки</t>
  </si>
  <si>
    <t>Обл. НДС
Металопрофіль ТП 20 СО поліестер 0,5 мм (б.п. 5005 синій 4,58м. )
Надходження товарів і послуг ІБ00-007025 від 13.11.2025 11:00:00
Астарта_Тищенки</t>
  </si>
  <si>
    <t>Обл. НДС
Металопрофіль ТП 20 СО поліестер 0,5 мм (б.п. 5005 синій 4,85м. )
Надходження товарів і послуг ІБ00-007025 від 13.11.2025 11:00:00
Астарта_Тищенки</t>
  </si>
  <si>
    <t>Обл. НДС
Металопрофіль ТП 20 СО поліестер 0,5 мм (б.п. 5005 синій 5,72м. )
Надходження товарів і послуг ІБ00-007025 від 13.11.2025 11:00:00
Астарта_Тищенки</t>
  </si>
  <si>
    <t>Обл. НДС
Металопрофіль ТП 20 СО поліестер 0,5 мм (б.п. 5005 синій 6,00м. )
Надходження товарів і послуг ІБ00-007025 від 13.11.2025 11:00:00
Астарта_Тищенки</t>
  </si>
  <si>
    <t>Обл. НДС
Металопрофіль ТП-60  0,5мм поліестер срібл 9006 4,25м
Надходження товарів і послуг ІБ00-007024 від 13.11.2025 11:00:00
Астарта_Тищенки</t>
  </si>
  <si>
    <t>Обл. НДС
Металопрофіль ТП-60  0,5мм поліестер срібл 9006 4,65м
Надходження товарів і послуг ІБ00-007024 від 13.11.2025 11:00:00
Астарта_Тищенки</t>
  </si>
  <si>
    <t>Обл. НДС
Металопрофіль ТП-60  0,5мм поліестер срібл 9006 4,88м
Надходження товарів і послуг ІБ00-007024 від 13.11.2025 11:00:00
Астарта_Тищенки</t>
  </si>
  <si>
    <t>Обл. НДС
Металопрофіль ТП-60  0,5мм поліестер срібл 9006 4,95м
Надходження товарів і послуг ІБ00-006553 від 24.10.2025 11:00:00
Астарта_Тищенки</t>
  </si>
  <si>
    <t>Обл. НДС
Металопрофіль ТП-60  0,5мм поліестер срібл 9006 5,45м
Надходження товарів і послуг ІБ00-006553 від 24.10.2025 11:00:00
Астарта_Тищенки</t>
  </si>
  <si>
    <t>Обл. НДС
Металопрофіль ТП-60  0,5мм поліестер срібл 9006 6,470м
Надходження товарів і послуг ІБ00-006553 від 24.10.2025 11:00:00
Астарта_Тищенки</t>
  </si>
  <si>
    <t>Обл. НДС
Металопрофіль ТП-60  0,5мм поліестер срібл 9006 7,5м
Надходження товарів і послуг ІБ00-006553 від 24.10.2025 11:00:00
Астарта_Тищенки</t>
  </si>
  <si>
    <t>Обл. НДС
Муфта терморезисторна 250 SDR17 ПЕ 100 FOX
Надходження товарів і послуг ІБ00-007297 від 21.11.2025 11:00:00
Астарта_Тищенки</t>
  </si>
  <si>
    <t>Обл. НДС
Перемички 2ПБ 13-1
Надходження товарів і послуг ІБ00-006540 від 07.11.2025 11:00:00
Астарта_Тищенки</t>
  </si>
  <si>
    <t>Обл. НДС
Перемички 2ПБ 25-3
Надходження товарів і послуг ІБ00-006963 від 18.11.2025 11:00:00
Астарта_Тищенки</t>
  </si>
  <si>
    <t>Обл. НДС
Перемички 3ПБ 13-37
Надходження товарів і послуг ІБ00-006963 від 18.11.2025 11:00:00
Астарта_Тищенки</t>
  </si>
  <si>
    <t>Обл. НДС
Перемички 3ПБ 16-37
Надходження товарів і послуг ІБ00-006540 від 07.11.2025 11:00:00
Астарта_Тищенки</t>
  </si>
  <si>
    <t>Обл. НДС
Перемички 5ПБ 25-37
Надходження товарів і послуг ІБ00-006540 від 07.11.2025 11:00:00
Астарта_Тищенки</t>
  </si>
  <si>
    <t>Обл. НДС
Перехід ексцентричний D=110/50 мм 
Надходження товарів і послуг ІБ00-007293 від 19.11.2025 11:00:00
Астарта_Тищенки</t>
  </si>
  <si>
    <t>Обл. НДС
Перехід ексцентричний D=160/110 мм 
Надходження товарів і послуг ІБ00-007293 від 19.11.2025 11:00:00
Астарта_Тищенки</t>
  </si>
  <si>
    <t>Обл. НДС
Плита пустотна ПБ 31-12-8т
Надходження товарів і послуг ІБ00-007230 від 03.12.2025 11:00:00
Астарта_Тищенки</t>
  </si>
  <si>
    <t>Обл. НДС
Плита пустотна ПБ 31-15-8т
Надходження товарів і послуг ІБ00-006540 від 07.11.2025 11:00:00
Астарта_Тищенки</t>
  </si>
  <si>
    <t>Обл. НДС
Плита пустотна ПБ 48-15-8т
Надходження товарів і послуг ІБ00-006540 від 07.11.2025 11:00:00
Астарта_Тищенки</t>
  </si>
  <si>
    <t>Обл. НДС
Плита пустотна ПБ 48-15-8т
Надходження товарів і послуг ІБ00-006963 від 18.11.2025 11:00:00
Астарта_Тищенки</t>
  </si>
  <si>
    <t>Обл. НДС
Плита пустотна ПБ 48-15-8т
Надходження товарів і послуг ІБ00-007230 від 03.12.2025 11:00:00
Астарта_Тищенки</t>
  </si>
  <si>
    <t>Обл. НДС
Плита пустотна ПБ 60-12-8т
Надходження товарів і послуг ІБ00-006567 від 06.11.2025 11:00:00
Астарта_Тищенки</t>
  </si>
  <si>
    <t>Обл. НДС
Плита пустотна ПБ 60-12-8т
Надходження товарів і послуг ІБ00-007330 від 01.12.2025 11:00:00
Астарта_Тищенки</t>
  </si>
  <si>
    <t>Обл. НДС
Плита пустотна ПБ 60-15-8т
Надходження товарів і послуг ІБ00-007329 від 02.12.2025 11:00:00
Астарта_Тищенки</t>
  </si>
  <si>
    <t>Обл. НДС
Плита пустотна ПБ 60-15-8т
Надходження товарів і послуг ІБ00-007230 від 03.12.2025 11:00:00
Астарта_Тищенки</t>
  </si>
  <si>
    <t>Обл. НДС
Плита пустотна ПБ 60-15-8т
Надходження товарів і послуг ІБ00-007300 від 04.12.2025 11:00:00
Астарта_Тищенки</t>
  </si>
  <si>
    <t>Обл. НДС
Плита пустотна ПБ 63-12-8т
Надходження товарів і послуг ІБ00-007330 від 01.12.2025 11:00:00
Астарта_Тищенки</t>
  </si>
  <si>
    <t>Обл. НДС
Плита пустотна ПБ 64-12-8т
Надходження товарів і послуг ІБ00-007301 від 03.12.2025 11:00:00
Астарта_Тищенки</t>
  </si>
  <si>
    <t>Обл. НДС
Плита пустотна ПБ 64-15-8т
Надходження товарів і послуг ІБ00-007301 від 03.12.2025 11:00:00
Астарта_Тищенки</t>
  </si>
  <si>
    <t>Обл. НДС
Плита пустотна ПК 48-12-8т
Надходження товарів і послуг ІБ00-006540 від 07.11.2025 11:00:00
Астарта_Тищенки</t>
  </si>
  <si>
    <t>Обл. НДС
Пож. підставка прохідна 150 сталева
Надходження товарів і послуг ІБ00-007297 від 21.11.2025 11:00:00
Астарта_Тищенки</t>
  </si>
  <si>
    <t>Обл. НДС
Пож. підставка трійникова 150 сталева
Надходження товарів і послуг ІБ00-007297 від 21.11.2025 11:00:00
Астарта_Тищенки</t>
  </si>
  <si>
    <t>Обл. НДС
Прокат арматурний №14 мм  А500С, 12 м
Надходження товарів і послуг ІБ00-006552 від 09.10.2025 11:00:00
Астарта_Тищенки</t>
  </si>
  <si>
    <t>Обл. НДС
Прокат сталевий круглий (кл. А240С) ф6,5мм, ст.3пс, міра 6м
Надходження товарів і послуг ІБ00-004587 від 07.08.2025 11:00:00
Астарта_Тищенки</t>
  </si>
  <si>
    <t>Обл. НДС
Прокат сталевий круглий (кл. А240С) ф6,5мм, ст.3пс, міра 6м
Надходження товарів і послуг ІБ00-005512 від 10.09.2025 11:00:00
Астарта_Тищенки</t>
  </si>
  <si>
    <t>Обл. НДС
Прокат сталевий круглий (кл. А240С) ф8мм, ст.3пс, міра 6м
Надходження товарів і послуг ІБ00-006551 від 09.10.2025 11:00:00
Астарта_Тищенки</t>
  </si>
  <si>
    <t>Обл. НДС
Прокат сталевий круглий (кл. А240С) ф8мм, ст.3пс, міра 6м
Надходження товарів і послуг ІБ00-006552 від 09.10.2025 11:00:00
Астарта_Тищенки</t>
  </si>
  <si>
    <t>Обл. НДС
Профільований полікарбонат прозорий 1,5 мм, SUNTUF 260 TPK60 UV2
Надходження товарів і послуг ІБ00-007745 від 24.12.2025 11:00:00
Астарта_Тищенки</t>
  </si>
  <si>
    <t>Обл. НДС
Трійник D=110 мм, 45°
Надходження товарів і послуг ІБ00-007293 від 19.11.2025 11:00:00
Астарта_Тищенки</t>
  </si>
  <si>
    <t>Обл. НДС
Трійник ПВХ, кут=45 град., D=160х110 мм
Надходження товарів і послуг ІБ00-007293 від 19.11.2025 11:00:00
Астарта_Тищенки</t>
  </si>
  <si>
    <t>Обл. НДС
Трійник ПВХ, кут=45 град., D=160х160 мм
Надходження товарів і послуг ІБ00-007293 від 19.11.2025 11:00:00
Астарта_Тищенки</t>
  </si>
  <si>
    <t>Обл. НДС
Трійник стиковий D 250 SDR 17 РЕ 100 FOX
Надходження товарів і послуг ІБ00-007297 від 21.11.2025 11:00:00
Астарта_Тищенки</t>
  </si>
  <si>
    <t>Обл. НДС
Труба  150*100*4
Переміщення товарів ІБ00-001307 від 01.11.2025 12:00:11
Астарта_Тищенки</t>
  </si>
  <si>
    <t>Обл. НДС
Труба 120х120х6 мм; ст. 3пс5; 12 м
Надходження товарів і послуг ІБ00-006984 від 21.11.2025 11:00:00
Астарта_Тищенки</t>
  </si>
  <si>
    <t>Обл. НДС
труба 50х50х3 мм 6 м
Надходження товарів і послуг ІБ00-005346 від 18.09.2025 11:00:00
Астарта_Тищенки</t>
  </si>
  <si>
    <t>Обл. НДС
Труба 60х60х5 (6,05- EN 10219 S235JRH)
Надходження товарів і послуг ІБ00-006984 від 21.11.2025 11:00:00
Астарта_Тищенки</t>
  </si>
  <si>
    <t>Обл. НДС
Труба каналізац. ПВХ SN4 160*4,0 мм 1000 мм
Надходження товарів і послуг ІБ00-007293 від 19.11.2025 11:00:00
Астарта_Тищенки</t>
  </si>
  <si>
    <t>Обл. НДС
Труба каналізац. ПВХ SN4 160*4,0 мм 2000 мм
Надходження товарів і послуг ІБ00-007293 від 19.11.2025 11:00:00
Астарта_Тищенки</t>
  </si>
  <si>
    <t>Обл. НДС
Труба каналізац. ПВХ SN4 160*4,0 мм 3000 мм
Надходження товарів і послуг ІБ00-007293 від 19.11.2025 11:00:00
Астарта_Тищенки</t>
  </si>
  <si>
    <t>Обл. НДС
Труба поліпропіленова каналізаційна d=110  мм І=1000 мм
Надходження товарів і послуг ІБ00-007293 від 19.11.2025 11:00:00
Астарта_Тищенки</t>
  </si>
  <si>
    <t>Обл. НДС
Труба поліпропіленова каналізаційна d=110  мм І=2000 мм
Надходження товарів і послуг ІБ00-007293 від 19.11.2025 11:00:00
Астарта_Тищенки</t>
  </si>
  <si>
    <t>Обл. НДС
Труба поліпропіленова каналізаційна d=110  мм І=3000 мм
Надходження товарів і послуг ІБ00-007293 від 19.11.2025 11:00:00
Астарта_Тищенки</t>
  </si>
  <si>
    <t>Обл. НДС
Труба поліпропіленова каналізаційна d=50  мм І=1000 мм
Надходження товарів і послуг ІБ00-007293 від 19.11.2025 11:00:00
Астарта_Тищенки</t>
  </si>
  <si>
    <t>Обл. НДС
Труба поліпропіленова каналізаційна d=50  мм І=500 мм
Надходження товарів і послуг ІБ00-007293 від 19.11.2025 11:00:00
Астарта_Тищенки</t>
  </si>
  <si>
    <t>Обл. НДС
Труба профільна 100*100*5 мм, 12 м
Надходження товарів і послуг ІБ00-004634 від 14.08.2025 11:00:00
Астарта_Тищенки</t>
  </si>
  <si>
    <t>Обл. НДС
Труба профільна 80*60*3  L=12000 мм ст1-3 сп/пс
Надходження товарів і послуг ІБ00-005512 від 10.09.2025 11:00:00
Астарта_Тищенки</t>
  </si>
  <si>
    <t>Обл. НДС
Труба профільна 80*60*3  L=12000 мм ст1-3 сп/пс
Надходження товарів і послуг ІБ00-006984 від 21.11.2025 11:00:00
Астарта_Тищенки</t>
  </si>
  <si>
    <t>Обл. НДС
Труба харчова ПЕ 100  діам. 110*6,6/10 атм 
Надходження товарів і послуг ІБ00-007298 від 25.11.2025 11:00:00
Астарта_Тищенки</t>
  </si>
  <si>
    <t>Обл. НДС
Труба харчова ПЕ100 діам. 160*9,5/10атм SDR-17
Надходження товарів і послуг ІБ00-007298 від 25.11.2025 11:00:00
Астарта_Тищенки</t>
  </si>
  <si>
    <t>Обл. НДС
Труба харчова ПЕ100 діам. 250 х 14,8 SDR 17
Надходження товарів і послуг ІБ00-007298 від 25.11.2025 11:00:00
Астарта_Тищенки</t>
  </si>
  <si>
    <t>Обл. НДС
Труба харчова ПЕ100 діам. 315х18,7/10атм
Надходження товарів і послуг ІБ00-007296 від 25.11.2025 11:00:00
Астарта_Тищенки</t>
  </si>
  <si>
    <t>Обл. НДС
Труба харчова ПЕ100 діам. 315х18,7/10атм
Надходження товарів і послуг ІБ00-007298 від 25.11.2025 11:00:00
Астарта_Тищенки</t>
  </si>
  <si>
    <t>Обл. НДС
Труба харчова ПЕ100 діам. 50*3,0/10атм.
Надходження товарів і послуг ІБ00-007298 від 25.11.2025 11:00:00
Астарта_Тищенки</t>
  </si>
  <si>
    <t>Обл. НДС
Труба харчова ПЕ100 діам. 630х37,4/10атм
Надходження товарів і послуг ІБ00-007298 від 25.11.2025 11:00:00
Астарта_Тищенки</t>
  </si>
  <si>
    <t>Обл. НДС
Труба харчова ПЕ100 діам.75*4,5/10 атм
Надходження товарів і послуг ІБ00-007298 від 25.11.2025 11:00:00
Астарта_Тищенки</t>
  </si>
  <si>
    <t>Обл. НДС
Труби двошарові профільовані КОРСИС 600ID (680/600) SN8 L=6м
Надходження товарів і послуг ІБ00-007298 від 25.11.2025 11:00:00
Астарта_Тищенки</t>
  </si>
  <si>
    <t>Обл. НДС
Фланец сталевий глухий Ру-10 Ду 250 
Надходження товарів і послуг ІБ00-007297 від 21.11.2025 11:00:00
Астарта_Тищенки</t>
  </si>
  <si>
    <t>Обл. НДС
Фланець приварний Ду 150 (стал., Ру 16, імпорт)
Надходження товарів і послуг ІБ00-007297 від 21.11.2025 11:00:00
Астарта_Тищенки</t>
  </si>
  <si>
    <t>Обл. НДС
Фланець приварний Ду 250 (стал., Ру10, розточ., під 250 бурт із внут. отв 288 мм)
Надходження товарів і послуг ІБ00-007297 від 21.11.2025 11:00:00
Астарта_Тищенки</t>
  </si>
  <si>
    <t>Обл. НДС
Цегла рядова повнотіла М100
Надходження товарів і послуг ІБ00-007209 від 20.11.2025 11:00:00
Астарта_Тищенки</t>
  </si>
  <si>
    <t>Обл. НДС
Цегла рядова повнотіла М100
Надходження товарів і послуг ІБ00-007211 від 28.11.2025 11:00:00
Астарта_Тищенки</t>
  </si>
  <si>
    <t>Обл. НДС
Швелер 12 UPEAA
Переміщення товарів ІБ00-001307 від 01.11.2025 12:00:11
Астарта_Тищенки</t>
  </si>
  <si>
    <t>Обл. НДС
Швелер 16П  S275JR,12 м
Переміщення товарів ІБ00-001307 від 01.11.2025 12:00:11
Астарта_Тищенки</t>
  </si>
  <si>
    <t>24.02.2026</t>
  </si>
  <si>
    <t>Вимога-накладна ІБ00-000147 від 24.02.2026 17:29:53
Списаны ТМЦ</t>
  </si>
  <si>
    <t>Обл. НДС
Виробничий (Астарта_Тищенки)
Астарта_Тищенки
Прямі материальні виробничі витрати крім зворотніх відходів</t>
  </si>
  <si>
    <t>231</t>
  </si>
  <si>
    <t>Обл. НДС
Клей для газобетону МР2 (25 кг)
Надходження товарів і послуг ІБ00-006272 від 17.10.2025 11:00:00
Астарта_Тищенки</t>
  </si>
  <si>
    <t>Вимога-накладна ІБ00-000149 від 24.02.2026 17:30:00
Списаны ТМЦ</t>
  </si>
  <si>
    <t>Обл. НДС
Грунт ГФ-021 світло-коричнева 25кг
Надходження товарів і послуг ІБ00-007302 від 02.12.2025 11:00:00
Астарта_Тищенки</t>
  </si>
  <si>
    <t>Вимога-накладна ІБ00-000150 від 24.02.2026 17:30:01
Списаны ТМЦ</t>
  </si>
  <si>
    <t>Обл. НДС
Грунтівка ХС-10 червоно-коричн, 25 кг
Надходження товарів і послуг ІБ00-005965 від 08.10.2025 18:17:45
Астарта_Тищенки</t>
  </si>
  <si>
    <t>Обл. НДС
Емаль ХВ-124 сіра,  кг
Надходження товарів і послуг ІБ00-005965 від 08.10.2025 18:17:45
Астарта_Тищенки</t>
  </si>
  <si>
    <t>Обл. НДС
Розчинник "SOLVENT INDUSTRIAL" (л)
Надходження товарів і послуг ІБ00-007302 від 02.12.2025 11:00:00
Астарта_Тищенки</t>
  </si>
  <si>
    <t>Списання товарів ІБ00-000065 від 24.02.2026 17:30:02
Списаны ТМЦ</t>
  </si>
  <si>
    <t>Обл. НДС
Демпферна стрічка 5/150 50м п з плівкою
Надходження товарів і послуг ІБ00-007665 від 10.12.2025 11:00:00
Астарта_Тищенки</t>
  </si>
  <si>
    <t>Обл. НДС
Муфта (32)
Авансовий звіт ІБ00-000246 від 15.09.2025 17:24:13
Астарта_Тищенки</t>
  </si>
  <si>
    <t>Обл. НДС
Муфта (32/20)
Авансовий звіт ІБ00-000246 від 15.09.2025 17:24:13
Астарта_Тищенки</t>
  </si>
  <si>
    <t>Обл. НДС
Муфта (32/32)
Авансовий звіт ІБ00-000246 від 15.09.2025 17:24:13
Астарта_Тищенки</t>
  </si>
  <si>
    <t>Вимога-накладна ІБ00-000151 від 24.02.2026 17:30:05
Списаны ТМЦ</t>
  </si>
  <si>
    <t>Обл. НДС
Металопрофіль ТП 20 СО поліестер 0,5 мм (б.п. 5005 синій 0,95м. )
Надходження товарів і послуг ІБ00-007023 від 13.11.2025 11:00:00
Астарта_Тищенки</t>
  </si>
  <si>
    <t>Обл. НДС
Металопрофіль ТП 20 СО поліестер 0,5 мм (б.п. 5005 синій 1,25м. )
Надходження товарів і послуг ІБ00-007023 від 13.11.2025 11:00:00
Астарта_Тищенки</t>
  </si>
  <si>
    <t>Обл. НДС
Металопрофіль ТП 20 СО поліестер 0,5 мм (б.п. 5005 синій 1,95м. )
Надходження товарів і послуг ІБ00-007023 від 13.11.2025 11:00:00
Астарта_Тищенки</t>
  </si>
  <si>
    <t>Обл. НДС
Металопрофіль ТП 20 СО поліестер 0,5 мм (б.п. 5005 синій 2,75м. )
Надходження товарів і послуг ІБ00-007025 від 13.11.2025 11:00:00
Астарта_Тищенки</t>
  </si>
  <si>
    <t>Обл. НДС
Металопрофіль ТП 20 СО поліестер 0,5 мм (б.п. 5005 синій 3,68м. )
Надходження товарів і послуг ІБ00-007023 від 13.11.2025 11:00:00
Астарта_Тищенки</t>
  </si>
  <si>
    <t>Обл. НДС
Металопрофіль ТП 20 СО поліестер 0,5 мм (б.п. 5005 синій 4,48м. )
Надходження товарів і послуг ІБ00-007023 від 13.11.2025 11:00:00
Астарта_Тищенки</t>
  </si>
  <si>
    <t>Обл. НДС
Металопрофіль ТП 20 СО поліестер 0,5 мм (б.п. 5005 синій 4,75м. )
Надходження товарів і послуг ІБ00-007023 від 13.11.2025 11:00:00
Астарта_Тищенки</t>
  </si>
  <si>
    <t>Обл. НДС
Металопрофіль ТП 20 СО поліестер 0,5 мм (б.п. 5005 синій 5,00м. )
Надходження товарів і послуг ІБ00-007023 від 13.11.2025 11:00:00
Астарта_Тищенки</t>
  </si>
  <si>
    <t>Обл. НДС
Металопрофіль ТП 20 СО поліестер 0,5 мм (б.п. 5005 синій 5,25м. )
Надходження товарів і послуг ІБ00-007023 від 13.11.2025 11:00:00
Астарта_Тищенки</t>
  </si>
  <si>
    <t>Обл. НДС
Металопрофіль ТП 20 СО поліестер 0,5 мм (б.п. 5005 синій 5,58м. )
Надходження товарів і послуг ІБ00-007023 від 13.11.2025 11:00:00
Астарта_Тищенки</t>
  </si>
  <si>
    <t>Обл. НДС
Металопрофіль ТП 20 СО поліестер 0,5 мм (б.п. 5005 синій 5,85м. )
Надходження товарів і послуг ІБ00-007023 від 13.11.2025 11:00:00
Астарта_Тищенки</t>
  </si>
  <si>
    <t>Обл. НДС
Металопрофіль ТП-60  0,5мм поліестер срібл 9006 3,770м
Надходження товарів і послуг ІБ00-006553 від 24.10.2025 11:00:00
Астарта_Тищенки</t>
  </si>
  <si>
    <t>27.02.2026</t>
  </si>
  <si>
    <t>Вимога-накладна ІБ00-000178 від 27.02.2026 20:00:00
Списаны ТМЦ</t>
  </si>
  <si>
    <t>Обл. НДС
Металопрофіль ТП-60  0,5мм поліестер срібл 9006 5,20м
Надходження товарів і послуг ІБ00-007024 від 13.11.2025 11:00:00
Астарта_Тищенки</t>
  </si>
  <si>
    <t>Обл. НДС
Металопрофіль ТП-60  0,5мм поліестер срібл 9006 5,65м
Надходження товарів і послуг ІБ00-007024 від 13.11.2025 11:00:00
Астарта_Тищенки</t>
  </si>
  <si>
    <t>Обл. НДС
Металопрофіль ТП-60  0,5мм поліестер срібл 9006 6,00м
Надходження товарів і послуг ІБ00-007024 від 13.11.2025 11:00:00
Астарта_Тищенки</t>
  </si>
  <si>
    <t>Обл. НДС
Металопрофіль ТП-60  0,5мм поліестер срібл 9006 6,80м
Надходження товарів і послуг ІБ00-007024 від 13.11.2025 11:00:00
Астарта_Тищенки</t>
  </si>
  <si>
    <t>Обл. НДС
Металопрофіль ТП-60  0,5мм поліестер срібл 9006 6,85м
Надходження товарів і послуг ІБ00-006553 від 24.10.2025 11:00:00
Астарта_Тищенки</t>
  </si>
  <si>
    <t>Списання товарів ІБ00-000099 від 27.02.2026 20:48:19
Списаны ТМЦ</t>
  </si>
  <si>
    <t>Обл. НДС
Шайба плоска збільш. для дерев.констр
Авансовий звіт ІБ00-000357 від 18.11.2025 15:56:27
Астарта_Тищенки</t>
  </si>
  <si>
    <t>Обл. НДС
Шайба плоська DIN 125 М16 140 HV ЦБ
Надходження товарів і послуг ІБ00-006045 від 17.10.2025 11:00:00
Астарта_Тищенки</t>
  </si>
  <si>
    <t>Обл. НДС
Шайба плоська DIN 125 М20 140 HV ЦБ
Надходження товарів і послуг ІБ00-006045 від 17.10.2025 11:00:00
Астарта_Тищенки</t>
  </si>
  <si>
    <t>Обл. НДС
Шайба плоська DIN 125 М20 140 HV ЦБ
Надходження товарів і послуг ІБ00-006046 від 17.10.2025 11:00:00
Астарта_Тищенки</t>
  </si>
  <si>
    <t>Обл. НДС
Труба харч. ПЕ100 SDR 17 d-225*13,4 10 атм 
Надходження товарів і послуг ІБ00-007296 від 25.11.2025 11:00:00
Астарта_Тищенки</t>
  </si>
  <si>
    <t>Вимога-накладна ІБ00-000179 від 27.02.2026 20:48:25
Списаны ТМЦ</t>
  </si>
  <si>
    <t>Обл. НДС
Фарба вапняна А 10л
Надходження товарів і послуг ІБ00-006237 від 24.10.2025 11:00:00
Астарта_Тищенки</t>
  </si>
  <si>
    <t>Обороти за період та сальдо на кінець</t>
  </si>
  <si>
    <t>05.02.2026</t>
  </si>
  <si>
    <t>Переміщення товарів ІБ00-000194 від 05.02.2026 00:00:00
Перемещение ТМЦ</t>
  </si>
  <si>
    <t>Обл. НДС
Лист 20 (г.к)  (1,5х6) imp ((1,5*6,0) S235JR)
Переміщення товарів ІБ00-000194 від 05.02.2026 00:00:00
Цех загальний склад виробництво</t>
  </si>
  <si>
    <t>Обл. НДС
Лист 20 (г.к)  (1,5х6) imp ((1,5*6,0) S235JR)
Переміщення товарів ІБ00-000893 від 01.09.2025 18:00:21
Цех_Катеринопіль МХП</t>
  </si>
  <si>
    <t>Обл. НДС
Лист 20 (г.к)  (1,5х6) imp ((1,5*6,0) S235JR)
Переміщення товарів ІБ00-000895 від 01.09.2025 18:00:23
Цех_Катеринопіль МХП</t>
  </si>
  <si>
    <t>Обл. НДС
Лист г/к 20*1500*6000, S235 JR
Переміщення товарів ІБ00-000194 від 05.02.2026 00:00:00
Цех загальний склад виробництво</t>
  </si>
  <si>
    <t>Обл. НДС
Лист г/к 20*1500*6000, S235 JR
Надходження товарів і послуг ІБ00-004639 від 14.08.2025 11:00:00
Цех_Катеринопіль МХП</t>
  </si>
  <si>
    <t>Обл. НДС
Лист 10*1500*6000 3 сп/пс5  7208
Переміщення товарів ІБ00-000194 від 05.02.2026 00:00:00
Цех загальний склад виробництво</t>
  </si>
  <si>
    <t>Обл. НДС
Лист 10*1500*6000 3 сп/пс5  7208
Переміщення товарів ІБ00-000895 від 01.09.2025 18:00:23
Цех_Катеринопіль МХП</t>
  </si>
  <si>
    <t>Обл. НДС
Швелер 10П 
Переміщення товарів ІБ00-000194 від 05.02.2026 00:00:00
Цех загальний склад виробництво</t>
  </si>
  <si>
    <t>Обл. НДС
Швелер 10П 
Оприбуткування товарів ІБ00-000001 від 01.02.2024 20:00:33
Цех_Катеринопіль МХП</t>
  </si>
  <si>
    <t>Обл. НДС
Швелер 10П 
Надходження товарів і послуг ІБ00-001671 від 03.04.2025 17:42:11
Цех_Катеринопіль МХП</t>
  </si>
  <si>
    <t>Обл. НДС
Лист 12*1500*6000
Переміщення товарів ІБ00-000194 від 05.02.2026 00:00:00
Цех загальний склад виробництво</t>
  </si>
  <si>
    <t>Обл. НДС
Лист 12*1500*6000
Надходження товарів і послуг ІБ00-001471 від 04.04.2025 16:24:39
Цех_Катеринопіль МХП</t>
  </si>
  <si>
    <t>Обл. НДС
труба 140х140х4 мм; ст. 3пс5; 12 м
Переміщення товарів ІБ00-000194 від 05.02.2026 00:00:00
Цех загальний склад виробництво</t>
  </si>
  <si>
    <t>Обл. НДС
труба 140х140х4 мм; ст. 3пс5; 12 м
Переміщення товарів ІБ00-000893 від 01.09.2025 18:00:21
Цех_Катеринопіль МХП</t>
  </si>
  <si>
    <t>Обл. НДС
труба 140х140х4 мм; ст. 3пс5; 12 м
Переміщення товарів ІБ00-000894 від 01.09.2025 18:00:22
Цех_Катеринопіль МХП</t>
  </si>
  <si>
    <t>Обл. НДС
Лист 14 (г.к.) (1,5х6) imp ((1,5*6,0) S235JR)
Переміщення товарів ІБ00-000194 від 05.02.2026 00:00:00
Цех загальний склад виробництво</t>
  </si>
  <si>
    <t>Обл. НДС
Лист 14 (г.к.) (1,5х6) imp ((1,5*6,0) S235JR)
Надходження товарів і послуг ІБ00-001471 від 04.04.2025 16:24:39
Цех_Катеринопіль МХП</t>
  </si>
  <si>
    <t>Обл. НДС
Швелер 24П міра 12,00 м 
Переміщення товарів ІБ00-000194 від 05.02.2026 00:00:00
Цех загальний склад виробництво</t>
  </si>
  <si>
    <t>Обл. НДС
Швелер 24П міра 12,00 м 
Надходження товарів і послуг ІБ00-001671 від 03.04.2025 17:42:11
Цех_Катеринопіль МХП</t>
  </si>
  <si>
    <t>Обл. НДС
Швелер 24П міра 12,00 м 
Надходження товарів і послуг ІБ00-002212 від 15.05.2025 18:45:41
Цех_Катеринопіль МХП</t>
  </si>
  <si>
    <t>Обл. НДС
Швелер 24П міра 12,00 м 
Переміщення товарів ІБ00-000891 від 01.09.2025 18:00:19
Цех_Катеринопіль МХП</t>
  </si>
  <si>
    <t>Обл. НДС
Балка ІРN 240
Переміщення товарів ІБ00-000194 від 05.02.2026 00:00:00
Цех загальний склад виробництво</t>
  </si>
  <si>
    <t>Обл. НДС
Балка ІРN 240
Переміщення товарів ІБ00-000893 від 01.09.2025 18:00:21
Цех_Катеринопіль МХП</t>
  </si>
  <si>
    <t>Обл. НДС
Швелер 30П
Переміщення товарів ІБ00-000194 від 05.02.2026 00:00:00
Цех загальний склад виробництво</t>
  </si>
  <si>
    <t>Обл. НДС
Швелер 30П
Переміщення товарів ІБ00-000891 від 01.09.2025 18:00:19
Цех_Катеринопіль МХП</t>
  </si>
  <si>
    <t>Обл. НДС
Швелер 30П
Переміщення товарів ІБ00-000893 від 01.09.2025 18:00:21
Цех_Катеринопіль МХП</t>
  </si>
  <si>
    <t>Обл. НДС
Швелер 30У ст.1-3сп/пс 5, 12м
Переміщення товарів ІБ00-000194 від 05.02.2026 00:00:00
Цех загальний склад виробництво</t>
  </si>
  <si>
    <t>Обл. НДС
Швелер 30У ст.1-3сп/пс 5, 12м
Надходження товарів і послуг 00000000066 від 12.01.2022 17:08:04
Цех_Катеринопіль МХП</t>
  </si>
  <si>
    <t>Обл. НДС
Труба профільна 30*30*2  L=6 м
Переміщення товарів ІБ00-000194 від 05.02.2026 00:00:00
Цех загальний склад виробництво</t>
  </si>
  <si>
    <t>Обл. НДС
Труба профільна 30*30*2  L=6 м
Переміщення товарів ІБ00-000893 від 01.09.2025 18:00:21
Цех_Катеринопіль МХП</t>
  </si>
  <si>
    <t>Обл. НДС
Труба профільна 30*30*2  L=6 м
Переміщення товарів ІБ00-000894 від 01.09.2025 18:00:22
Цех_Катеринопіль МХП</t>
  </si>
  <si>
    <t>06.02.2026</t>
  </si>
  <si>
    <t>Переміщення товарів ІБ00-000195 від 06.02.2026 00:00:00
Перемещение ТМЦ</t>
  </si>
  <si>
    <t>Обл. НДС
Лист 4 (г.к)  (1,5х6) ((1,5*6,0) 14637 3сп5)
Переміщення товарів ІБ00-000195 від 06.02.2026 00:00:00
Склад Обміну Стройматеріалів</t>
  </si>
  <si>
    <t>Обл. НДС
Лист 4 (г.к)  (1,5х6) ((1,5*6,0) 14637 3сп5)
Надходження товарів і послуг ІБ00-001671 від 03.04.2025 17:42:11
Цех_Катеринопіль МХП</t>
  </si>
  <si>
    <t>Обл. НДС
Лист 4 (г.к)  (1,5х6) ((1,5*6,0) 14637 3сп5)
Переміщення товарів ІБ00-000895 від 01.09.2025 18:00:23
Цех_Катеринопіль МХП</t>
  </si>
  <si>
    <t>Обл. НДС
Труба 40х40х3 (6,05-S235/S275)
Переміщення товарів ІБ00-000195 від 06.02.2026 00:00:00
Склад Обміну Стройматеріалів</t>
  </si>
  <si>
    <t>Обл. НДС
Труба 40х40х3 (6,05-S235/S275)
Надходження товарів і послуг ІБ00-002212 від 15.05.2025 18:45:41
Цех_Катеринопіль МХП</t>
  </si>
  <si>
    <t>Обл. НДС
Труба 40х40х3 (6,05-S235/S275)
Переміщення товарів ІБ00-000890 від 01.09.2025 18:00:18
Цех_Катеринопіль МХП</t>
  </si>
  <si>
    <t>Обл. НДС
Труба 40х40х3 (6,05-S235/S275)
Переміщення товарів ІБ00-000892 від 01.09.2025 18:00:20
Цех_Катеринопіль МХП</t>
  </si>
  <si>
    <t>Обл. НДС
Труба 40х40х3 (6,05-S235/S275)
Переміщення товарів ІБ00-000895 від 01.09.2025 18:00:23
Цех_Катеринопіль МХП</t>
  </si>
  <si>
    <t>Обл. НДС
Лист г/к 10 мм, 1500*6000, S235 JR
Переміщення товарів ІБ00-000195 від 06.02.2026 00:00:00
Склад Обміну Стройматеріалів</t>
  </si>
  <si>
    <t>Обл. НДС
Лист г/к 10 мм, 1500*6000, S235 JR
Надходження товарів і послуг ІБ00-004639 від 14.08.2025 11:00:00
Цех_Катеринопіль МХП</t>
  </si>
  <si>
    <t>Обл. НДС
Круг 20 мм 3 ПС, 6 м
Переміщення товарів ІБ00-000195 від 06.02.2026 00:00:00
Склад Обміну Стройматеріалів</t>
  </si>
  <si>
    <t>Обл. НДС
Круг 20 мм 3 ПС, 6 м
Надходження товарів і послуг ІБ00-001471 від 04.04.2025 16:24:39
Цех_Катеринопіль МХП</t>
  </si>
  <si>
    <t>Обл. НДС
Круг 20 мм 3 ПС, 6 м
Переміщення товарів ІБ00-000893 від 01.09.2025 18:00:21
Цех_Катеринопіль МХП</t>
  </si>
  <si>
    <t>Обл. НДС
Балка № 16 (ІПЕ 160); S235JR/S275JR; L=12 м
Переміщення товарів ІБ00-000195 від 06.02.2026 00:00:00
Склад Обміну Стройматеріалів</t>
  </si>
  <si>
    <t>Обл. НДС
Балка № 16 (ІПЕ 160); S235JR/S275JR; L=12 м
Оприбуткування товарів ІБ00-000001 від 01.02.2024 20:00:33
Цех_Катеринопіль МХП</t>
  </si>
  <si>
    <t>Обл. НДС
Балка двутаврова ІРЕ 360 С275 12м
Переміщення товарів ІБ00-000195 від 06.02.2026 00:00:00
Склад Обміну Стройматеріалів</t>
  </si>
  <si>
    <t>Обл. НДС
Балка двутаврова ІРЕ 360 С275 12м
Надходження товарів і послуг ІБ00-004639 від 14.08.2025 11:00:00
Цех_Катеринопіль МХП</t>
  </si>
  <si>
    <t>Обл. НДС
Швелер г/к № 16П ст.3ПС МІРА
Переміщення товарів ІБ00-000195 від 06.02.2026 00:00:00
Склад Обміну Стройматеріалів</t>
  </si>
  <si>
    <t>Обл. НДС
Швелер г/к № 16П ст.3ПС МІРА
Надходження товарів і послуг ІБ00-004639 від 14.08.2025 11:00:00
Цех_Катеринопіль МХП</t>
  </si>
  <si>
    <t>Обл. НДС
Швелер г/к № 16П ст.3ПС МІРА
Надходження товарів і послуг ІБ00-005181 від 16.09.2025 14:53:19
Цех_Катеринопіль МХП</t>
  </si>
  <si>
    <t>Обл. НДС
Труба 273*8
Переміщення товарів ІБ00-000195 від 06.02.2026 00:00:00
Склад Обміну Стройматеріалів</t>
  </si>
  <si>
    <t>Обл. НДС
Труба 273*8
Переміщення товарів ІБ00-000890 від 01.09.2025 18:00:18
Цех_Катеринопіль МХП</t>
  </si>
  <si>
    <t>Обл. НДС
Лист 4 (рифл) ((1,25*6,0) 
Переміщення товарів ІБ00-000195 від 06.02.2026 00:00:00
Склад Обміну Стройматеріалів</t>
  </si>
  <si>
    <t>Обл. НДС
Лист 4 (рифл) ((1,25*6,0) 
Надходження товарів і послуг ІБ00-001671 від 03.04.2025 17:42:11
Цех_Катеринопіль МХП</t>
  </si>
  <si>
    <t>Обл. НДС
Лист 4 (рифл) ((1,25*6,0) 
Переміщення товарів ІБ00-000893 від 01.09.2025 18:00:21
Цех_Катеринопіль МХП</t>
  </si>
  <si>
    <t>Обл. НДС
Балка 16 IPE160 12м S275JR
Переміщення товарів ІБ00-000195 від 06.02.2026 00:00:00
Склад Обміну Стройматеріалів</t>
  </si>
  <si>
    <t>Обл. НДС
Балка 16 IPE160 12м S275JR
Надходження товарів і послуг ІБ00-001471 від 04.04.2025 16:24:39
Цех_Катеринопіль МХП</t>
  </si>
  <si>
    <t>Обл. НДС
Балка 16 IPE160 12м S275JR
Переміщення товарів ІБ00-000890 від 01.09.2025 18:00:18
Цех_Катеринопіль МХП</t>
  </si>
  <si>
    <t>Обл. НДС
Балка 16 IPE160 12м S275JR
Переміщення товарів ІБ00-000893 від 01.09.2025 18:00:21
Цех_Катеринопіль МХП</t>
  </si>
  <si>
    <t>Обл. НДС
Балка ІРN 240
Переміщення товарів ІБ00-000195 від 06.02.2026 00:00:00
Склад Обміну Стройматеріалів</t>
  </si>
  <si>
    <t>Обл. НДС
Балка ІРN 240
Переміщення товарів ІБ00-000894 від 01.09.2025 18:00:22
Цех_Катеринопіль МХП</t>
  </si>
  <si>
    <t>Обл. НДС
Балка 30 ІРЕ (12.15 EN 10024 S235/ S275)
Переміщення товарів ІБ00-000195 від 06.02.2026 00:00:00
Склад Обміну Стройматеріалів</t>
  </si>
  <si>
    <t>Обл. НДС
Балка 30 ІРЕ (12.15 EN 10024 S235/ S275)
Надходження товарів і послуг ІБ00-005181 від 16.09.2025 14:53:19
Цех_Катеринопіль МХП</t>
  </si>
  <si>
    <t>Обл. НДС
Лист  2*1000*2000
Переміщення товарів ІБ00-000195 від 06.02.2026 00:00:00
Склад Обміну Стройматеріалів</t>
  </si>
  <si>
    <t>Обл. НДС
Лист  2*1000*2000
Надходження товарів і послуг ІБ00-001671 від 03.04.2025 17:42:11
Цех_Катеринопіль МХП</t>
  </si>
  <si>
    <t>Обл. НДС
Лист  2*1000*2000
Переміщення товарів ІБ00-000895 від 01.09.2025 18:00:23
Цех_Катеринопіль МХП</t>
  </si>
  <si>
    <t>Обл. НДС
Лист 10*1500*6000 3 сп/пс5  7208
Переміщення товарів ІБ00-000195 від 06.02.2026 00:00:00
Склад Обміну Стройматеріалів</t>
  </si>
  <si>
    <t>Обл. НДС
Кутник 125х125х10
Переміщення товарів ІБ00-000195 від 06.02.2026 00:00:00
Склад Обміну Стройматеріалів</t>
  </si>
  <si>
    <t>Обл. НДС
Кутник 125х125х10
Переміщення товарів ІБ00-000891 від 01.09.2025 18:00:19
Цех_Катеринопіль МХП</t>
  </si>
  <si>
    <t>Обл. НДС
Кутник 50х50х5 мм ст.3пс 6м
Переміщення товарів ІБ00-000195 від 06.02.2026 00:00:00
Склад Обміну Стройматеріалів</t>
  </si>
  <si>
    <t>Обл. НДС
Кутник 50х50х5 мм ст.3пс 6м
Переміщення товарів ІБ00-000893 від 01.09.2025 18:00:21
Цех_Катеринопіль МХП</t>
  </si>
  <si>
    <t>Обл. НДС
Кутник 50х50х5 мм ст.3пс 6м
Переміщення товарів ІБ00-000895 від 01.09.2025 18:00:23
Цех_Катеринопіль МХП</t>
  </si>
  <si>
    <t>Обл. НДС
Кутник 75х75х6 мм ст.3сп5 12м
Переміщення товарів ІБ00-000195 від 06.02.2026 00:00:00
Склад Обміну Стройматеріалів</t>
  </si>
  <si>
    <t>Обл. НДС
Кутник 75х75х6 мм ст.3сп5 12м
Переміщення товарів ІБ00-000895 від 01.09.2025 18:00:23
Цех_Катеринопіль МХП</t>
  </si>
  <si>
    <t>Обл. НДС
Швелер 12П  
Переміщення товарів ІБ00-000195 від 06.02.2026 00:00:00
Склад Обміну Стройматеріалів</t>
  </si>
  <si>
    <t>Обл. НДС
Швелер 12П  
Переміщення товарів ІБ00-000893 від 01.09.2025 18:00:21
Цех_Катеринопіль МХП</t>
  </si>
  <si>
    <t>Обл. НДС
Швелер 10П 
Переміщення товарів ІБ00-000195 від 06.02.2026 00:00:00
Склад Обміну Стройматеріалів</t>
  </si>
  <si>
    <t>Обл. НДС
Швелер 10П 
Переміщення товарів ІБ00-000890 від 01.09.2025 18:00:18
Цех_Катеринопіль МХП</t>
  </si>
  <si>
    <t>Обл. НДС
Труба  40*20*2 мм  S235JRH, L=6 м
Переміщення товарів ІБ00-000195 від 06.02.2026 00:00:00
Склад Обміну Стройматеріалів</t>
  </si>
  <si>
    <t>Обл. НДС
Труба  40*20*2 мм  S235JRH, L=6 м
Переміщення товарів ІБ00-000890 від 01.09.2025 18:00:18
Цех_Катеринопіль МХП</t>
  </si>
  <si>
    <t>Обл. НДС
Труба  40*20*2 мм  S235JRH, L=6 м
Переміщення товарів ІБ00-000891 від 01.09.2025 18:00:19
Цех_Катеринопіль МХП</t>
  </si>
  <si>
    <t>Обл. НДС
Труба  40*20*2 мм  S235JRH, L=6 м
Переміщення товарів ІБ00-000892 від 01.09.2025 18:00:20
Цех_Катеринопіль МХП</t>
  </si>
  <si>
    <t>Обл. НДС
Труба  40*20*2 мм  S235JRH, L=6 м
Переміщення товарів ІБ00-000893 від 01.09.2025 18:00:21
Цех_Катеринопіль МХП</t>
  </si>
  <si>
    <t>Обл. НДС
Труба  40*20*2 мм  S235JRH, L=6 м
Переміщення товарів ІБ00-000895 від 01.09.2025 18:00:23
Цех_Катеринопіль МХП</t>
  </si>
  <si>
    <t>Обл. НДС
Круг 18 мм
Переміщення товарів ІБ00-000195 від 06.02.2026 00:00:00
Склад Обміну Стройматеріалів</t>
  </si>
  <si>
    <t>Обл. НДС
Круг 18 мм
Переміщення товарів ІБ00-000890 від 01.09.2025 18:00:18
Цех_Катеринопіль МХП</t>
  </si>
  <si>
    <t>Обл. НДС
Круг 18 мм
Переміщення товарів ІБ00-000891 від 01.09.2025 18:00:19
Цех_Катеринопіль МХП</t>
  </si>
  <si>
    <t>Обл. НДС
Круг 18 мм
Переміщення товарів ІБ00-000893 від 01.09.2025 18:00:21
Цех_Катеринопіль МХП</t>
  </si>
  <si>
    <t>Обл. НДС
Круг 18 мм
Переміщення товарів ІБ00-000895 від 01.09.2025 18:00:23
Цех_Катеринопіль МХП</t>
  </si>
  <si>
    <t>10.02.2026</t>
  </si>
  <si>
    <t>Вимога-накладна ІБ00-000110 від 10.02.2026 20:00:18
Списаны ТМЦ</t>
  </si>
  <si>
    <t>Обл. НДС
Виробничий (Катеринопіль МХП)
Катеринопіль МХП
Прямі материальні виробничі витрати крім зворотніх відходів</t>
  </si>
  <si>
    <t>Обл. НДС
Повітропровід Д870мм н/ж 1мм
Надходження товарів і послуг ІБ00-000286 від 06.01.2026 11:00:00
Катеринопіль МХП</t>
  </si>
  <si>
    <t>Обл. НДС
Перехід вентиляційний 400*600мм на 274*874мм н/ж 1мм
Надходження товарів і послуг ІБ00-000286 від 06.01.2026 11:00:00
Катеринопіль МХП</t>
  </si>
  <si>
    <t>Обл. НДС
Повітропровід 234*234мм 90гр н/ж 1мм
Надходження товарів і послуг ІБ00-000286 від 06.01.2026 11:00:00
Катеринопіль МХП</t>
  </si>
  <si>
    <t>Списання товарів ІБ00-000054 від 10.02.2026 20:00:19
Списаны ТМЦ</t>
  </si>
  <si>
    <t>Обл. НДС
Болт М20*75  DIN 931 цб
Надходження товарів і послуг ІБ00-006832 від 01.11.2025 11:00:00
Катеринопіль МХП</t>
  </si>
  <si>
    <t>Обл. НДС
Гайка М20  DIN 934 цб
Надходження товарів і послуг ІБ00-003703 від 01.07.2025 11:00:00
Катеринопіль МХП</t>
  </si>
  <si>
    <t>Обл. НДС
Шайба плоська DIN 125 М20 140 HV ЦБ
Надходження товарів і послуг ІБ00-006832 від 01.11.2025 11:00:00
Катеринопіль МХП</t>
  </si>
  <si>
    <t>Переміщення товарів ІБ00-000338 від 01.02.2026 00:00:00
Перемещение ТМЦ</t>
  </si>
  <si>
    <t>Обл. НДС
Арматура №12  А500С L=12000 мм
Переміщення товарів ІБ00-000338 від 01.02.2026 00:00:00
Цех екстракції (Глобине)</t>
  </si>
  <si>
    <t>Обл. НДС
Арматура №12  А500С L=12000 мм
Переміщення товарів ІБ00-001160 від 01.10.2025 11:10:00
СПК (Глобине)</t>
  </si>
  <si>
    <t>Обл. НДС
Бетон С 8/10 Р4 доб-15
Переміщення товарів ІБ00-000338 від 01.02.2026 00:00:00
Цех екстракції (Глобине)</t>
  </si>
  <si>
    <t>Обл. НДС
Бетон С 8/10 Р4 доб-15
Надходження товарів і послуг ІБ00-000541 від 13.02.2025 18:05:07
СПК (Глобине)</t>
  </si>
  <si>
    <t>Переміщення товарів ІБ00-000169 від 01.02.2026 12:00:01
Перемещение ТМЦ</t>
  </si>
  <si>
    <t>Обл. НДС
Швелер № 16П міра 12,00 м
Переміщення товарів ІБ00-000169 від 01.02.2026 12:00:01
Цех_Глобино Виробничий</t>
  </si>
  <si>
    <t>Обл. НДС
Швелер № 16П міра 12,00 м
Переміщення товарів ІБ00-001444 від 03.12.2025 11:00:00
Цех_Глобино</t>
  </si>
  <si>
    <t>2051</t>
  </si>
  <si>
    <t>Обл. НДС
Швелер 16У (160 12,05- 8240 3пс)
Переміщення товарів ІБ00-000169 від 01.02.2026 12:00:01
Цех_Глобино Виробничий</t>
  </si>
  <si>
    <t>Обл. НДС
Швелер 16У (160 12,05- 8240 3пс)
Надходження товарів і послуг ІБ00-004269 від 06.08.2025 18:31:15
Цех_Глобино</t>
  </si>
  <si>
    <t>Обл. НДС
Швелер 16П  S275JR,12 м
Переміщення товарів ІБ00-000169 від 01.02.2026 12:00:01
Цех_Глобино Виробничий</t>
  </si>
  <si>
    <t>Обл. НДС
Швелер 16П  S275JR,12 м
Надходження товарів і послуг ІБ00-005290 від 18.09.2025 20:52:43
Цех_Глобино</t>
  </si>
  <si>
    <t>Обл. НДС
Швелер 16П  S275JR,12 м
Надходження товарів і послуг ІБ00-006954 від 27.11.2025 18:01:15
Цех_Глобино</t>
  </si>
  <si>
    <t>Обл. НДС
Лист г/к 10,0 мм 1500*6000, S235 JR
Переміщення товарів ІБ00-000169 від 01.02.2026 12:00:01
Цех_Глобино Виробничий</t>
  </si>
  <si>
    <t>Обл. НДС
Лист г/к 10,0 мм 1500*6000, S235 JR
Надходження товарів і послуг ІБ00-005283 від 18.09.2025 20:52:24
Цех_Глобино</t>
  </si>
  <si>
    <t>Переміщення товарів ІБ00-000170 від 01.02.2026 12:00:02
Перемещение ТМЦ</t>
  </si>
  <si>
    <t>Обл. НДС
Труба 40*40*3 мм ст.1-3пс, 6 м
Переміщення товарів ІБ00-000170 від 01.02.2026 12:00:02
Цех_Глобино Виробничий</t>
  </si>
  <si>
    <t>Обл. НДС
Труба 40*40*3 мм ст.1-3пс, 6 м
Надходження товарів і послуг ІБ00-004264 від 06.08.2025 18:30:59
Цех_Глобино</t>
  </si>
  <si>
    <t>Обл. НДС
Труба 40*40*3 мм ст.1-3пс, 6 м
Надходження товарів і послуг ІБ00-004266 від 06.08.2025 18:31:06
Цех_Глобино</t>
  </si>
  <si>
    <t>Обл. НДС
Труба 40*40*3 мм ст.1-3пс, 6 м
Надходження товарів і послуг ІБ00-005475 від 24.09.2025 18:20:43
Цех_Глобино</t>
  </si>
  <si>
    <t>Обл. НДС
Труба 40*40*3 мм ст.1-3пс, 6 м
Надходження товарів і послуг ІБ00-005478 від 24.09.2025 18:20:48
Цех_Глобино</t>
  </si>
  <si>
    <t>Обл. НДС
Лист г/к  8 мм (1500х6000, ст3пс)
Переміщення товарів ІБ00-000170 від 01.02.2026 12:00:02
Цех_Глобино Виробничий</t>
  </si>
  <si>
    <t>Обл. НДС
Лист г/к  8 мм (1500х6000, ст3пс)
Надходження товарів і послуг ІБ00-005282 від 18.09.2025 20:52:21
Цех_Глобино</t>
  </si>
  <si>
    <t>Обл. НДС
Лист 4 (г.к)  (1,5х6) ((1,5*6,0) 14637 3сп5)
Переміщення товарів ІБ00-000170 від 01.02.2026 12:00:02
Цех_Глобино Виробничий</t>
  </si>
  <si>
    <t>Обл. НДС
Лист 4 (г.к)  (1,5х6) ((1,5*6,0) 14637 3сп5)
Надходження товарів і послуг ІБ00-005284 від 18.09.2025 20:52:27
Цех_Глобино</t>
  </si>
  <si>
    <t>Обл. НДС
Лист 4 (г.к)  (1,5х6) ((1,5*6,0) 14637 3сп5)
Надходження товарів і послуг ІБ00-006955 від 01.11.2025 08:00:42
Цех_Глобино</t>
  </si>
  <si>
    <t>Обл. НДС
Лист г/к 10,0 мм 1500*6000, S235 JR
Переміщення товарів ІБ00-000170 від 01.02.2026 12:00:02
Цех_Глобино Виробничий</t>
  </si>
  <si>
    <t>Переміщення товарів ІБ00-000340 від 01.02.2026 14:51:23
Перемещение ТМЦ</t>
  </si>
  <si>
    <t>Обл. НДС
(я-94)BOSCH витратні Круг відрізний 230*2,5*22 увігнутий
Переміщення товарів ІБ00-000340 від 01.02.2026 14:51:23
Цех екстракції (Глобине)</t>
  </si>
  <si>
    <t>Обл. НДС
(я-94)BOSCH витратні Круг відрізний 230*2,5*22 увігнутий
Переміщення товарів ІБ00-001165 від 09.10.2025 11:10:00
Котельна (Глобине)</t>
  </si>
  <si>
    <t>221</t>
  </si>
  <si>
    <t>Обл. НДС
Круг відрізний  125*1,6*22
Переміщення товарів ІБ00-000340 від 01.02.2026 14:51:23
Цех екстракції (Глобине)</t>
  </si>
  <si>
    <t>Обл. НДС
Круг відрізний  125*1,6*22
Переміщення товарів ІБ00-001165 від 09.10.2025 11:10:00
Котельна (Глобине)</t>
  </si>
  <si>
    <t>Переміщення товарів ІБ00-000339 від 01.02.2026 20:00:00
Перемещение ТМЦ</t>
  </si>
  <si>
    <t>Обл. НДС
Бетон С  8/10 Р4
Переміщення товарів ІБ00-000339 від 01.02.2026 20:00:00
Цех екстракції (Глобине)</t>
  </si>
  <si>
    <t>Обл. НДС
Бетон С  8/10 Р4
Надходження товарів і послуг ІБ00-005183 від 09.09.2025 11:00:00
Пожежений резервуар (Глобине)</t>
  </si>
  <si>
    <t>Переміщення товарів ІБ00-000285 від 01.02.2026 23:00:17
Перемещение ТМЦ</t>
  </si>
  <si>
    <t>Обл. НДС
Грунт-емаль ПФ-012 Р RAL7024
Переміщення товарів ІБ00-000285 від 01.02.2026 23:00:17
Пункт фасування та зберігання в бігбегах (Глобине)</t>
  </si>
  <si>
    <t>Обл. НДС
Грунт-емаль ПФ-012 Р RAL7024
Надходження товарів і послуг ІБ00-008131 від 01.12.2025 11:00:00
СПК (Глобине)</t>
  </si>
  <si>
    <t>Обл. НДС
Грунт-емаль ПФ-012 Р RAL7024
Надходження товарів і послуг ІБ00-008128 від 01.12.2025 12:00:00
СПК (Глобине)</t>
  </si>
  <si>
    <t>Обл. НДС
Розчинник "White Spirit" (л)
Переміщення товарів ІБ00-000285 від 01.02.2026 23:00:17
Пункт фасування та зберігання в бігбегах (Глобине)</t>
  </si>
  <si>
    <t>Обл. НДС
Розчинник "White Spirit" (л)
Надходження товарів і послуг ІБ00-007688 від 10.12.2025 11:00:00
СПК (Глобине)</t>
  </si>
  <si>
    <t>Переміщення товарів ІБ00-000336 від 01.02.2026 23:00:30
Перемещение ТМЦ</t>
  </si>
  <si>
    <t>Обл. НДС
Грунт-емаль ПФ-012 Р RAL7024
Переміщення товарів ІБ00-000336 від 01.02.2026 23:00:30
СПК (Глобине)</t>
  </si>
  <si>
    <t>Обл. НДС
Грунт-емаль ПФ-012 Р RAL7024
Надходження товарів і послуг ІБ00-006443 від 10.10.2025 11:00:00
Резервуарний парк соєвої меляси (Глобине)</t>
  </si>
  <si>
    <t>Переміщення товарів ІБ00-000341 від 01.02.2026 23:00:31
Перемещение ТМЦ</t>
  </si>
  <si>
    <t>Обл. НДС
Електрод  АНО-36 ф3  2,5кг (пач)
Переміщення товарів ІБ00-000341 від 01.02.2026 23:00:31
Цех екстракції (Глобине)</t>
  </si>
  <si>
    <t>Обл. НДС
Електрод  АНО-36 ф3  2,5кг (пач)
Переміщення товарів ІБ00-000042 від 14.01.2026 14:42:48
Глобине-2</t>
  </si>
  <si>
    <t>Переміщення товарів ІБ00-000342 від 01.02.2026 23:00:32
Перемещение ТМЦ</t>
  </si>
  <si>
    <t>Обл. НДС
Грунт-емаль ПФ-012 Р RAL7024
Переміщення товарів ІБ00-000342 від 01.02.2026 23:00:32
Транспортна галерея Естакада 3.4 (Глобине)</t>
  </si>
  <si>
    <t>Обл. НДС
Розчинник "White Spirit" (л)
Переміщення товарів ІБ00-000342 від 01.02.2026 23:00:32
Транспортна галерея Естакада 3.4 (Глобине)</t>
  </si>
  <si>
    <t>Переміщення товарів ІБ00-000343 від 01.02.2026 23:00:33
Перемещение ТМЦ</t>
  </si>
  <si>
    <t>Обл. НДС
Гіпсокартон KNAUF 12,5 мм х 1,2 х 2,5 м
Переміщення товарів ІБ00-000343 від 01.02.2026 23:00:33
АПК (Глобине)</t>
  </si>
  <si>
    <t>Обл. НДС
Гіпсокартон KNAUF 12,5 мм х 1,2 х 2,5 м
Надходження товарів і послуг ІБ00-004199 від 29.07.2025 11:00:00
Котельна (Глобине)</t>
  </si>
  <si>
    <t>Переміщення товарів ІБ00-000345 від 01.02.2026 23:00:34
Перемещение ТМЦ</t>
  </si>
  <si>
    <t>Обл. НДС
Болт М12*50  DIN 933
Переміщення товарів ІБ00-000345 від 01.02.2026 23:00:34
Транспортна галерея (Глобине)</t>
  </si>
  <si>
    <t>Обл. НДС
Болт М12*50  DIN 933
Надходження товарів і послуг ІБ00-002111 від 08.05.2025 11:00:01
Транспортна галерея (Глобине)</t>
  </si>
  <si>
    <t>Обл. НДС
Болт М16*60 DIN931
Переміщення товарів ІБ00-000345 від 01.02.2026 23:00:34
Транспортна галерея (Глобине)</t>
  </si>
  <si>
    <t>Обл. НДС
Болт М16*60 DIN931
Надходження товарів і послуг ІБ00-002111 від 08.05.2025 11:00:01
Транспортна галерея (Глобине)</t>
  </si>
  <si>
    <t>Обл. НДС
Болт М16*70  DIN 931
Переміщення товарів ІБ00-000345 від 01.02.2026 23:00:34
Транспортна галерея (Глобине)</t>
  </si>
  <si>
    <t>Обл. НДС
Болт М16*70  DIN 931
Надходження товарів і послуг ІБ00-002111 від 08.05.2025 11:00:01
Транспортна галерея (Глобине)</t>
  </si>
  <si>
    <t>Обл. НДС
Болт М20*90  DIN 933 10,9 бп
Переміщення товарів ІБ00-000345 від 01.02.2026 23:00:34
Транспортна галерея (Глобине)</t>
  </si>
  <si>
    <t>Обл. НДС
Болт М20*90  DIN 933 10,9 бп
Надходження товарів і послуг ІБ00-002111 від 08.05.2025 11:00:01
Транспортна галерея (Глобине)</t>
  </si>
  <si>
    <t>Обл. НДС
Болт М20*90  DIN 933 10,9 бп
Надходження товарів і послуг ІБ00-004838 від 27.08.2025 11:00:00
Транспортна галерея (Глобине)</t>
  </si>
  <si>
    <t>Обл. НДС
Гайка М12  DIN 934
Переміщення товарів ІБ00-000345 від 01.02.2026 23:00:34
Транспортна галерея (Глобине)</t>
  </si>
  <si>
    <t>Обл. НДС
Гайка М12  DIN 934
Надходження товарів і послуг ІБ00-002111 від 08.05.2025 11:00:01
Транспортна галерея (Глобине)</t>
  </si>
  <si>
    <t>Обл. НДС
Гайка М16  DIN 934 
Переміщення товарів ІБ00-000345 від 01.02.2026 23:00:34
Транспортна галерея (Глобине)</t>
  </si>
  <si>
    <t>Обл. НДС
Гайка М16  DIN 934 
Надходження товарів і послуг ІБ00-002111 від 08.05.2025 11:00:01
Транспортна галерея (Глобине)</t>
  </si>
  <si>
    <t>Обл. НДС
Гайка М20  DIN 934
Переміщення товарів ІБ00-000345 від 01.02.2026 23:00:34
Транспортна галерея (Глобине)</t>
  </si>
  <si>
    <t>Обл. НДС
Гайка М20  DIN 934
Надходження товарів і послуг ІБ00-002111 від 08.05.2025 11:00:01
Транспортна галерея (Глобине)</t>
  </si>
  <si>
    <t>Обл. НДС
Шайба М12  DIN125 плоска 14HV цб
Переміщення товарів ІБ00-000345 від 01.02.2026 23:00:34
Транспортна галерея (Глобине)</t>
  </si>
  <si>
    <t>Обл. НДС
Шайба М12  DIN125 плоска 14HV цб
Надходження товарів і послуг ІБ00-002111 від 08.05.2025 11:00:01
Транспортна галерея (Глобине)</t>
  </si>
  <si>
    <t>Обл. НДС
Шайба М16 DIN 125 плоска 140 HV цб
Переміщення товарів ІБ00-000345 від 01.02.2026 23:00:34
Транспортна галерея (Глобине)</t>
  </si>
  <si>
    <t>Обл. НДС
Шайба М16 DIN 125 плоска 140 HV цб
Надходження товарів і послуг ІБ00-002111 від 08.05.2025 11:00:01
Транспортна галерея (Глобине)</t>
  </si>
  <si>
    <t>Обл. НДС
Шайба М20 DIN 125 плоска 140 HV цб
Переміщення товарів ІБ00-000345 від 01.02.2026 23:00:34
Транспортна галерея (Глобине)</t>
  </si>
  <si>
    <t>Обл. НДС
Шайба М20 DIN 125 плоска 140 HV цб
Надходження товарів і послуг ІБ00-002111 від 08.05.2025 11:00:01
Транспортна галерея (Глобине)</t>
  </si>
  <si>
    <t>Реалізація товарів і послуг ІБ00-000022 від 02.02.2026 00:00:00
Списаны ТМЦ</t>
  </si>
  <si>
    <t>Обл. НДС
Відвід безшовний 90° A/SA182 ASME B16.11 F304/304L 1/2'' 3000LBS
Надходження товарів і послуг ІБ00-000285 від 29.01.2026 18:09:31
Цех екстракції (Глобине)</t>
  </si>
  <si>
    <t>Обл. НДС
Відвід зварний 45° 3' SCH10S LR A/SA403 ASME B16.9 WP304/304L-W
Надходження товарів і послуг ІБ00-000285 від 29.01.2026 18:09:31
Цех екстракції (Глобине)</t>
  </si>
  <si>
    <t>Обл. НДС
Відвід зварний 45° 14' SCH10S LR A/SA403 ASME B16.9 WP304/304L-W /ASTM A312
Надходження товарів і послуг ІБ00-000285 від 29.01.2026 18:09:31
Цех екстракції (Глобине)</t>
  </si>
  <si>
    <t>Реалізація товарів і послуг ІБ00-000023 від 02.02.2026 00:00:01
Списаны ТМЦ</t>
  </si>
  <si>
    <t>Обл. НДС
Перехід ексцентричний зварний 18'' х 10' SCH10S A/SA403 ASME B16.9 WP304/304L-W
Надходження товарів і послуг ІБ00-000288 від 29.01.2026 18:09:33
Цех екстракції (Глобине)</t>
  </si>
  <si>
    <t>Реалізація товарів і послуг ІБ00-000024 від 02.02.2026 00:00:03
Списаны ТМЦ</t>
  </si>
  <si>
    <t>Обл. НДС
Фланець глухий 6" PN16, RF, 304L SS, TYPE 05B, BS EN1092-1
Надходження товарів і послуг ІБ00-000293 від 29.01.2026 18:09:34
Цех екстракції (Глобине)</t>
  </si>
  <si>
    <t>Обл. НДС
Фланець глухий 18" PN16, RF, 304L SS, TYPE 05B, BS EN1092-1
Надходження товарів і послуг ІБ00-000293 від 29.01.2026 18:09:34
Цех екстракції (Глобине)</t>
  </si>
  <si>
    <t>Реалізація товарів і послуг ІБ00-000025 від 02.02.2026 00:00:04
Списаны ТМЦ</t>
  </si>
  <si>
    <t>Обл. НДС
Відвід зварний 45° 3' SCH10S LR A/SA403 ASME B16.9 WP304/304L-W
Надходження товарів і послуг ІБ00-000298 від 29.01.2026 18:09:41
Цех екстракції (Глобине)</t>
  </si>
  <si>
    <t>Обл. НДС
Відвід зварний 45° 14' SCH10S LR A/SA403 ASME B16.9 WP304/304L-W /ASTM A312
Надходження товарів і послуг ІБ00-000298 від 29.01.2026 18:09:41
Цех екстракції (Глобине)</t>
  </si>
  <si>
    <t>Обл. НДС
Відвід безшовний 45° 1' SCH40S LR A/SA403 ASME B16.9 WP304/304L-W
Надходження товарів і послуг ІБ00-000298 від 29.01.2026 18:09:41
Цех екстракції (Глобине)</t>
  </si>
  <si>
    <t>Обл. НДС
Трійник безшовний 1/2'' SW A/SA182 ASME B16.11 F304/304L 3000LBS (PN 100)
Надходження товарів і послуг ІБ00-000298 від 29.01.2026 18:09:41
Цех екстракції (Глобине)</t>
  </si>
  <si>
    <t>Обл. НДС
Перехід ексцентричний зварний 20'' х 12' SCH10S A/SA403 ASME B16.9 WP304/304L-W
Надходження товарів і послуг ІБ00-000298 від 29.01.2026 18:09:41
Цех екстракції (Глобине)</t>
  </si>
  <si>
    <t>Обл. НДС
Фланець глухий 2"x1/2" з різьбовим отвором під 15NB, PN16, RF, AISI 304L, тип 05B, BS EN1092-1
Надходження товарів і послуг ІБ00-000298 від 29.01.2026 18:09:41
Цех екстракції (Глобине)</t>
  </si>
  <si>
    <t>Обл. НДС
Заглушка різьба внутр. 1/2" Class 3000 (PN 100), EN 10226-1, ASTM A182 F304L
Надходження товарів і послуг ІБ00-000298 від 29.01.2026 18:09:41
Цех екстракції (Глобине)</t>
  </si>
  <si>
    <t>Обл. НДС
Заглушка різьба внутр. 1" Class 3000 (PN 100), EN 10226-1, ASTM A182 F304L
Надходження товарів і послуг ІБ00-000298 від 29.01.2026 18:09:41
Цех екстракції (Глобине)</t>
  </si>
  <si>
    <t>Обл. НДС
Муфта DN15, PN100, перехідна SW x G ½", нержавіюча сталь 1.4306 (304L), EN 10241
Надходження товарів і послуг ІБ00-000298 від 29.01.2026 18:09:41
Цех екстракції (Глобине)</t>
  </si>
  <si>
    <t>Обл. НДС
Муфта DN25, PN100, перехідна SW x G 1", нержавіюча сталь 1.4306 (304L), EN 10241
Надходження товарів і послуг ІБ00-000298 від 29.01.2026 18:09:41
Цех екстракції (Глобине)</t>
  </si>
  <si>
    <t>Обл. НДС
Втулка перехідна DN25×DN15, різьба G, нерж.сталь 1.4306 (304L), внутр/зовн.EN 10241
Надходження товарів і послуг ІБ00-000298 від 29.01.2026 18:09:41
Цех екстракції (Глобине)</t>
  </si>
  <si>
    <t>Обл. НДС
Втулка перехідна DN20×DN15, різьба G, нерж.сталь 1.4306 (304L), внутр/зовн.EN 10241
Надходження товарів і послуг ІБ00-000298 від 29.01.2026 18:09:41
Цех екстракції (Глобине)</t>
  </si>
  <si>
    <t>Обл. НДС
З'єднання різьбове під зварювання 1 1/2'' З/З SW UNION TP.304L клас 3000 (PN 100)
Надходження товарів і послуг ІБ00-000298 від 29.01.2026 18:09:41
Цех екстракції (Глобине)</t>
  </si>
  <si>
    <t>Обл. НДС
З'єднання різьбове під зварювання 3/4'' З/З SW UNION A/SA 182 ASME B16.11 F304/304L 3000 LBS (PN 100
Надходження товарів і послуг ІБ00-000298 від 29.01.2026 18:09:41
Цех екстракції (Глобине)</t>
  </si>
  <si>
    <t>Обл. НДС
З'єднання різьбове під зварювання 1/2'' З/З SW UNION A/SA 182 ASME B16.11 F304/304L 3000 LBS (PN 100
Надходження товарів і послуг ІБ00-000298 від 29.01.2026 18:09:41
Цех екстракції (Глобине)</t>
  </si>
  <si>
    <t>Обл. НДС
Нипель трубний 1/2" (DN15) PBE, довжина 50  мм (2"), Sch 40S, зварний, нерж.сталь 1.4306 (304L), AST
Надходження товарів і послуг ІБ00-000298 від 29.01.2026 18:09:41
Цех екстракції (Глобине)</t>
  </si>
  <si>
    <t>Обл. НДС
Нипель трубний 1/2" (DN15) PBE, довжина 100  мм (4"), Sch 40S, зварний, нерж.сталь 1.4306 (304L), AS
Надходження товарів і послуг ІБ00-000298 від 29.01.2026 18:09:41
Цех екстракції (Глобине)</t>
  </si>
  <si>
    <t>Обл. НДС
Нипель трубний 1" (DN25) PBE, довжина 100  мм (4"), Sch 40S, зварний, нерж.сталь 1.4306 (304L), ASTM
Надходження товарів і послуг ІБ00-000298 від 29.01.2026 18:09:41
Цех екстракції (Глобине)</t>
  </si>
  <si>
    <t>Обл. НДС
Ніпель трубний різьба одностороння DN15 (1/2") TOE, довжина 50 мм (2") S/40S, 1.4306 (304L), EN 1024
Надходження товарів і послуг ІБ00-000298 від 29.01.2026 18:09:41
Цех екстракції (Глобине)</t>
  </si>
  <si>
    <t>Обл. НДС
Ніпель трубний різьба одностороння DN15 (1/2") TOE, довжина 100 мм (4") S/40S, 1.4306 (304L), EN 102
Надходження товарів і послуг ІБ00-000298 від 29.01.2026 18:09:41
Цех екстракції (Глобине)</t>
  </si>
  <si>
    <t>Обл. НДС
Ніпель трубний різьба одностороння DN20 (3/4") TOE, довжина 100 мм (4") S/40S, 1.4306 (304L), EN 102
Надходження товарів і послуг ІБ00-000298 від 29.01.2026 18:09:41
Цех екстракції (Глобине)</t>
  </si>
  <si>
    <t>Обл. НДС
Ніпель трубний різьба одностороння DN25 (1") TOE, довжина 100 мм (4") S/40S, 1.4306 (304L), EN 10241
Надходження товарів і послуг ІБ00-000298 від 29.01.2026 18:09:41
Цех екстракції (Глобине)</t>
  </si>
  <si>
    <t>Обл. НДС
Ніпель трубний різьба одностороння DN40 (1 1/2") TOE, довжина 100 мм (4") S/40S, 1.4306 (304L), EN 1
Надходження товарів і послуг ІБ00-000298 від 29.01.2026 18:09:41
Цех екстракції (Глобине)</t>
  </si>
  <si>
    <t>Обл. НДС
Ніпель трубний різьба одностороння DN50 (2") TOE, довжина 100 мм (4") S/40S, 1.4306 (304L), EN 10241
Надходження товарів і послуг ІБ00-000298 від 29.01.2026 18:09:41
Цех екстракції (Глобине)</t>
  </si>
  <si>
    <t>Обл. НДС
Ніпель трубний різьба одностороння DN15 (1/2") TOE, довжина 150 мм (6") S/40S, 1.4306 (304L), EN 102
Надходження товарів і послуг ІБ00-000298 від 29.01.2026 18:09:41
Цех екстракції (Глобине)</t>
  </si>
  <si>
    <t>Обл. НДС
Врізка зварна колінна 12"x6"  Елболет S/10S, ASTM A312-TP304L
Надходження товарів і послуг ІБ00-000298 від 29.01.2026 18:09:41
Цех екстракції (Глобине)</t>
  </si>
  <si>
    <t>Обл. НДС
Врізка різьбова колінна 2"x1/2" Елболет ТРД  S/40S, BSPT R ½", 1.4306 (304L), EN 10241
Надходження товарів і послуг ІБ00-000298 від 29.01.2026 18:09:41
Цех екстракції (Глобине)</t>
  </si>
  <si>
    <t>Обл. НДС
Врізка різьбова колінна 3"x1 ½" Елболет ТРД  S/40S, BSPT R 1 ½", 1.4306 (304L), EN 10241
Надходження товарів і послуг ІБ00-000298 від 29.01.2026 18:09:41
Цех екстракції (Глобине)</t>
  </si>
  <si>
    <t>Обл. НДС
Відгалуження зварне різьбове Тредолет 2"x½", клас 3000 (PN 100), BSP R ½", 1.4306 (304L), EN 10241 /
Надходження товарів і послуг ІБ00-000298 від 29.01.2026 18:09:41
Цех екстракції (Глобине)</t>
  </si>
  <si>
    <t>Обл. НДС
Відгалуження зварне різьбове Тредолет 3"x½", клас 3000 (PN 100), BSP R ½", 1.4306 (304L), EN 10241 /
Надходження товарів і послуг ІБ00-000298 від 29.01.2026 18:09:41
Цех екстракції (Глобине)</t>
  </si>
  <si>
    <t>Обл. НДС
Відгалуження зварне різьбове Тредолет 6"x1", клас 3000 (PN 100), BSP R 1", 1.4306 (304L), EN 10241 /
Надходження товарів і послуг ІБ00-000298 від 29.01.2026 18:09:41
Цех екстракції (Глобине)</t>
  </si>
  <si>
    <t>Обл. НДС
Відгалуження зварне різьбове Тредолет 8"x1", клас 3000 (PN 100), BSP R 1", 1.4306 (304L), EN 10241 /
Надходження товарів і послуг ІБ00-000298 від 29.01.2026 18:09:41
Цех екстракції (Глобине)</t>
  </si>
  <si>
    <t>Обл. НДС
Відгалуження зварне різьбове Тредолет 12"x2", клас 3000 (PN 100), BSP R 2", 1.4306 (304L), EN 10241 
Надходження товарів і послуг ІБ00-000298 від 29.01.2026 18:09:41
Цех екстракції (Глобине)</t>
  </si>
  <si>
    <t>Обл. НДС
Відгалуження зварне різьбове Тредолет 14"x1", клас 3000 (PN 100), BSP R 1", 1.4306 (304L), EN 10241 
Надходження товарів і послуг ІБ00-000298 від 29.01.2026 18:09:41
Цех екстракції (Глобине)</t>
  </si>
  <si>
    <t>Обл. НДС
Відгалуження зварне різьбове Тредолет 16"x1", клас 3000 (PN 100), BSP R 1", 1.4306 (304L), EN 10241 
Надходження товарів і послуг ІБ00-000298 від 29.01.2026 18:09:41
Цех екстракції (Глобине)</t>
  </si>
  <si>
    <t>Обл. НДС
Відгалуження зварне різьбове Тредолет 18"x1", клас 3000 (PN 100), BSP R 1", 1.4306 (304L), EN 10241 
Надходження товарів і послуг ІБ00-000298 від 29.01.2026 18:09:41
Цех екстракції (Глобине)</t>
  </si>
  <si>
    <t>Обл. НДС
Відгалуження зварне різьбове Тредолет 20"x1", клас 3000 (PN 100), BSP R 1", 1.4306 (304L), EN 10241 
Надходження товарів і послуг ІБ00-000298 від 29.01.2026 18:09:41
Цех екстракції (Глобине)</t>
  </si>
  <si>
    <t>Обл. НДС
Відгалуження зварне Велдолет 12"x6" S/10S, BW під зварювання, сталь 1.4306 (304L), ASTM A182
Надходження товарів і послуг ІБ00-000298 від 29.01.2026 18:09:41
Цех екстракції (Глобине)</t>
  </si>
  <si>
    <t>Обл. НДС
Відгалуження зварне Велдолет 1 1/2"x1/2" S/40S, BW під зварювання, сталь 1.4306 (304L), ASTM A182
Надходження товарів і послуг ІБ00-000298 від 29.01.2026 18:09:41
Цех екстракції (Глобине)</t>
  </si>
  <si>
    <t>Обл. НДС
Відгалуження зварне Велдолет 3"x1/2" S/40S, BW під зварювання, сталь 1.4306 (304L), ASTM A182
Надходження товарів і послуг ІБ00-000298 від 29.01.2026 18:09:41
Цех екстракції (Глобине)</t>
  </si>
  <si>
    <t>Обл. НДС
Відгалуження зварне Велдолет 6"x1/2" S/40S, BW під зварювання, сталь 1.4306 (304L), ASTM A182
Надходження товарів і послуг ІБ00-000298 від 29.01.2026 18:09:41
Цех екстракції (Глобине)</t>
  </si>
  <si>
    <t>Обл. НДС
Відгалуження зварне Велдолет 8"x1/2" S/40S, BW під зварювання, сталь 1.4306 (304L), ASTM A182
Надходження товарів і послуг ІБ00-000298 від 29.01.2026 18:09:41
Цех екстракції (Глобине)</t>
  </si>
  <si>
    <t>Обл. НДС
Відгалуження зварне Велдолет 12"x1/2" S/40S, BW під зварювання, сталь 1.4306 (304L), ASTM A182
Надходження товарів і послуг ІБ00-000298 від 29.01.2026 18:09:41
Цех екстракції (Глобине)</t>
  </si>
  <si>
    <t>Обл. НДС
Відгалуження зварне Велдолет 14"x1/2" S/40S, BW під зварювання, сталь 1.4306 (304L), ASTM A182
Надходження товарів і послуг ІБ00-000298 від 29.01.2026 18:09:41
Цех екстракції (Глобине)</t>
  </si>
  <si>
    <t>Обл. НДС
Відгалуження зварне Велдолет 18"x1/2" S/40S, BW під зварювання, сталь 1.4306 (304L), ASTM A182
Надходження товарів і послуг ІБ00-000298 від 29.01.2026 18:09:41
Цех екстракції (Глобине)</t>
  </si>
  <si>
    <t>Обл. НДС
Врізка зварна бокова (Lateral) 14", S10S, під зварювання BW,сталь 1.4306 (304L), ASTM A403
Надходження товарів і послуг ІБ00-000298 від 29.01.2026 18:09:41
Цех екстракції (Глобине)</t>
  </si>
  <si>
    <t>Обл. НДС
Трійник безшовний перехідний 2'' X 1/2" A/SA403 ASME B16.9 WP304/304L SCH40S
Надходження товарів і послуг ІБ00-000298 від 29.01.2026 18:09:41
Цех екстракції (Глобине)</t>
  </si>
  <si>
    <t>Обл. НДС
Заглушка шестикутна трубна 1½" (DN40), зовнішня різьба BSPT R 1½",  сталь 1.4306 (304L), EN ISO 7-1
Надходження товарів і послуг ІБ00-000298 від 29.01.2026 18:09:41
Цех екстракції (Глобине)</t>
  </si>
  <si>
    <t>Обл. НДС
Заглушка шестикутна трубна 2" (DN50), зовнішня різьба BSPT R 2",  сталь 1.4306 (304L), EN ISO 7-1
Надходження товарів і послуг ІБ00-000298 від 29.01.2026 18:09:41
Цех екстракції (Глобине)</t>
  </si>
  <si>
    <t>Реалізація товарів і послуг ІБ00-000026 від 02.02.2026 00:00:05
Списаны ТМЦ</t>
  </si>
  <si>
    <t>Обл. НДС
Фланець глухий PN16 DN 600, B1, вуглецева сталь P250GH (1.0460), EN 1092-1
Надходження товарів і послуг ІБ00-000301 від 29.01.2026 18:09:50
Цех екстракції (Глобине)</t>
  </si>
  <si>
    <t>Обл. НДС
Фланець плоский приварний DN 300/323,9, type 01, PN16, вуглецева сталь P250GH / 1.0460 EN 1092-1
Надходження товарів і послуг ІБ00-000301 від 29.01.2026 18:09:50
Цех екстракції (Глобине)</t>
  </si>
  <si>
    <t>Обл. НДС
Фланець плоский приварний DN 350/355,6, type 01, PN16, вуглецева сталь P250GH / 1.0460 EN 1092-1
Надходження товарів і послуг ІБ00-000301 від 29.01.2026 18:09:50
Цех екстракції (Глобине)</t>
  </si>
  <si>
    <t>Обл. НДС
Фланець плоский приварний DN 400/406,4, type 01, PN16, вуглецева сталь P250GH / 1.0460 EN 1092-1
Надходження товарів і послуг ІБ00-000301 від 29.01.2026 18:09:50
Цех екстракції (Глобине)</t>
  </si>
  <si>
    <t>Обл. НДС
Фланець надвижний приварний DN 65/76,1, SO, PN16, вуглецева сталь P250GH / 1.0460 EN 10222-2, APZ DI
Надходження товарів і послуг ІБ00-000301 від 29.01.2026 18:09:50
Цех екстракції (Глобине)</t>
  </si>
  <si>
    <t>Обл. НДС
Фланець надвижний приварний DN 400/406,4, SO, PN16, вуглецева сталь P250GH / 1.0460 EN 10222-2, APZ 
Надходження товарів і послуг ІБ00-000301 від 29.01.2026 18:09:50
Цех екстракції (Глобине)</t>
  </si>
  <si>
    <t>Надходження товарів і послуг ІБ00-000546 від 05.02.2026 11:00:00
Оприходованы ТМЦ</t>
  </si>
  <si>
    <t>Обл. НДС
Анкер клинопод. М12*100 стальний з гайкою
Надходження товарів і послуг ІБ00-000546 від 05.02.2026 11:00:00
Глобине-2</t>
  </si>
  <si>
    <t>ЄВРОБОЛТ УКРАЇНА ТОВ
Рахунки_Глобине-2
Рахунок на оплату постачальника ІБ00-000450 від 02.02.2026 17:46:34</t>
  </si>
  <si>
    <t>631</t>
  </si>
  <si>
    <t>Обл. НДС
Болт М20*90  DIN 933 10,9 бп
Надходження товарів і послуг ІБ00-000546 від 05.02.2026 11:00:00
Глобине-2</t>
  </si>
  <si>
    <t>Обл. НДС
Гайка М20  DIN 934
Надходження товарів і послуг ІБ00-000546 від 05.02.2026 11:00:00
Глобине-2</t>
  </si>
  <si>
    <t>Обл. НДС
Шайба плоська DIN 125 М20 140 HV ЦБ
Надходження товарів і послуг ІБ00-000546 від 05.02.2026 11:00:00
Глобине-2</t>
  </si>
  <si>
    <t>Обл. НДС
Анкер однорозпірний з гайкою ЦЖ 16*М12*110
Надходження товарів і послуг ІБ00-000546 від 05.02.2026 11:00:00
Глобине-2</t>
  </si>
  <si>
    <t>Обл. НДС
Болт М 8*30 DIN 933 8,8 цб пр
Надходження товарів і послуг ІБ00-000546 від 05.02.2026 11:00:00
Глобине-2</t>
  </si>
  <si>
    <t>Надходження товарів і послуг ІБ00-000549 від 05.02.2026 11:00:00
Оприходованы ТМЦ</t>
  </si>
  <si>
    <t>Обл. НДС
Болт М12*40  DIN 933
Надходження товарів і послуг ІБ00-000549 від 05.02.2026 11:00:00
Транспортна галерея (Глобине)</t>
  </si>
  <si>
    <t>ЄВРОБОЛТ УКРАЇНА ТОВ
Рахунки_Глобине-2
Рахунок на оплату постачальника ІБ00-000452 від 02.02.2026 17:46:35</t>
  </si>
  <si>
    <t>Обл. НДС
Болт М12*50  DIN 933
Надходження товарів і послуг ІБ00-000549 від 05.02.2026 11:00:00
Транспортна галерея (Глобине)</t>
  </si>
  <si>
    <t>Обл. НДС
Болт М16*55  DIN 933 8,8 цб пр
Надходження товарів і послуг ІБ00-000549 від 05.02.2026 11:00:00
Транспортна галерея (Глобине)</t>
  </si>
  <si>
    <t>Обл. НДС
Болт М16*60  DIN 933 оц. 8.8цб
Надходження товарів і послуг ІБ00-000549 від 05.02.2026 11:00:00
Транспортна галерея (Глобине)</t>
  </si>
  <si>
    <t>Обл. НДС
Болт М16*70  DIN 933 8,8 цб пр
Надходження товарів і послуг ІБ00-000549 від 05.02.2026 11:00:00
Транспортна галерея (Глобине)</t>
  </si>
  <si>
    <t>Обл. НДС
Болт М16*140  DIN 931
Надходження товарів і послуг ІБ00-000549 від 05.02.2026 11:00:00
Транспортна галерея (Глобине)</t>
  </si>
  <si>
    <t>Обл. НДС
Болт М20*90  DIN 933 10,9 бп
Надходження товарів і послуг ІБ00-000549 від 05.02.2026 11:00:00
Транспортна галерея (Глобине)</t>
  </si>
  <si>
    <t>Обл. НДС
Гайка М12  DIN 934  цб
Надходження товарів і послуг ІБ00-000549 від 05.02.2026 11:00:00
Транспортна галерея (Глобине)</t>
  </si>
  <si>
    <t>Обл. НДС
Гайка М16  DIN 934 
Надходження товарів і послуг ІБ00-000549 від 05.02.2026 11:00:00
Транспортна галерея (Глобине)</t>
  </si>
  <si>
    <t>Обл. НДС
Гайка М20 DIN 934 ЦБ
Надходження товарів і послуг ІБ00-000549 від 05.02.2026 11:00:00
Транспортна галерея (Глобине)</t>
  </si>
  <si>
    <t>Обл. НДС
Шайба плоська DIN 125 М12 140 HV ЦБ
Надходження товарів і послуг ІБ00-000549 від 05.02.2026 11:00:00
Транспортна галерея (Глобине)</t>
  </si>
  <si>
    <t>Обл. НДС
Шайба плоська DIN 125 М16 140 HV ЦБ
Надходження товарів і послуг ІБ00-000549 від 05.02.2026 11:00:00
Транспортна галерея (Глобине)</t>
  </si>
  <si>
    <t>Обл. НДС
Шайба плоська DIN 125 М20 140 HV ЦБ
Надходження товарів і послуг ІБ00-000549 від 05.02.2026 11:00:00
Транспортна галерея (Глобине)</t>
  </si>
  <si>
    <t>Надходження товарів і послуг ІБ00-000607 від 05.02.2026 11:00:00
Оприходованы ТМЦ</t>
  </si>
  <si>
    <t>Обл. НДС
Лист рифлений г/к  А4 1250*6000 мм, 3пс
Надходження товарів і послуг ІБ00-000607 від 05.02.2026 11:00:00
СПК (Глобине)</t>
  </si>
  <si>
    <t>АВ МЕТАЛ ГРУП ТОВ
Дог 2420/Р от 05.10.2023від 05.10.2023_Глобино-2
Рахунок на оплату постачальника ІБ00-000522 від 21.01.2026 18:42:56</t>
  </si>
  <si>
    <t>Надходження товарів і послуг ІБ00-000620 від 05.02.2026 11:00:00
Оприходованы ТМЦ (Зачет аванса поставщику)</t>
  </si>
  <si>
    <t>Обл. НДС
Суміш клеюча для облицювання плиткою з кераміки IQ Gres, 25 кг
Надходження товарів і послуг ІБ00-000620 від 05.02.2026 11:00:00
АПК (Глобине)</t>
  </si>
  <si>
    <t>БУДІВЕЛЬНА ГІЛЬДІЯ УКРАЇНИ
82 від 21.04.2023 РАХУНКИ_Глобино_2
Рахунок на оплату постачальника ІБ00-000308 від 29.01.2026 18:09:57</t>
  </si>
  <si>
    <t>Обл. НДС
Гіпсокартон 2500*1200*12,5 
Надходження товарів і послуг ІБ00-000620 від 05.02.2026 11:00:00
АПК (Глобине)</t>
  </si>
  <si>
    <t>Надходження товарів і послуг ІБ00-000620 від 05.02.2026 11:00:00
Оприходованы ТМЦ</t>
  </si>
  <si>
    <t>Обл. НДС
Шпаклівка Уніфлот, 25 кг
Надходження товарів і послуг ІБ00-000620 від 05.02.2026 11:00:00
АПК (Глобине)</t>
  </si>
  <si>
    <t>Обл. НДС
Профіль пластиковий перфориров  3м
Надходження товарів і послуг ІБ00-000620 від 05.02.2026 11:00:00
АПК (Глобине)</t>
  </si>
  <si>
    <t>Обл. НДС
Скоба 305*30 прям підвіс крипільна 0,8 універс 125
Надходження товарів і послуг ІБ00-000620 від 05.02.2026 11:00:00
АПК (Глобине)</t>
  </si>
  <si>
    <t>Надходження товарів і послуг ІБ00-000621 від 05.02.2026 11:00:00
Оприходованы ТМЦ</t>
  </si>
  <si>
    <t>Обл. НДС
Мембрана супердифузійна X-treme блакитна пл140
Надходження товарів і послуг ІБ00-000621 від 05.02.2026 11:00:00
АПК (Глобине)</t>
  </si>
  <si>
    <t>БУДІВЕЛЬНА ГІЛЬДІЯ УКРАЇНИ
82 від 21.04.2023 РАХУНКИ_Глобино_2
Рахунок на оплату постачальника ІБ00-000529 від 02.02.2026 17:46:46</t>
  </si>
  <si>
    <t>Обл. НДС
Стрічка бутилкаучукова 1/15мм*25м
Надходження товарів і послуг ІБ00-000621 від 05.02.2026 11:00:00
АПК (Глобине)</t>
  </si>
  <si>
    <t>Надходження товарів і послуг ІБ00-000668 від 05.02.2026 11:00:00
Оприходованы ТМЦ</t>
  </si>
  <si>
    <t>Обл. НДС
Кільце опорне КО-6
Надходження товарів і послуг ІБ00-000668 від 05.02.2026 11:00:00
ЗВК_Глобіне</t>
  </si>
  <si>
    <t>ТЕПЛОАРМАТУРА ТОВ
Рахунки_Глобино-2
Рахунок на оплату постачальника ІБ00-006507 від 03.12.2025 18:16:32</t>
  </si>
  <si>
    <t>Обл. НДС
Кільце  КС 10-6
Надходження товарів і послуг ІБ00-000668 від 05.02.2026 11:00:00
ЗВК_Глобіне</t>
  </si>
  <si>
    <t>Обл. НДС
Кільце  КС 10-9
Надходження товарів і послуг ІБ00-000668 від 05.02.2026 11:00:00
ЗВК_Глобіне</t>
  </si>
  <si>
    <t>Обл. НДС
Кільце  КС 15-9
Надходження товарів і послуг ІБ00-000668 від 05.02.2026 11:00:00
ЗВК_Глобіне</t>
  </si>
  <si>
    <t>Обл. НДС
Кільце  КС 7-3
Надходження товарів і послуг ІБ00-000668 від 05.02.2026 11:00:00
ЗВК_Глобіне</t>
  </si>
  <si>
    <t>Обл. НДС
Днище ПН-10
Надходження товарів і послуг ІБ00-000668 від 05.02.2026 11:00:00
ЗВК_Глобіне</t>
  </si>
  <si>
    <t>Обл. НДС
Днище ПН-15
Надходження товарів і послуг ІБ00-000668 від 05.02.2026 11:00:00
ЗВК_Глобіне</t>
  </si>
  <si>
    <t>Обл. НДС
Кришка ПП 1-15-1
Надходження товарів і послуг ІБ00-000668 від 05.02.2026 11:00:00
ЗВК_Глобіне</t>
  </si>
  <si>
    <t>Надходження товарів і послуг ІБ00-000669 від 05.02.2026 11:00:00
Оприходованы ТМЦ</t>
  </si>
  <si>
    <t>Обл. НДС
Прокладка паронітова на газ міжфланцева Ду300 382*318*2мм
Надходження товарів і послуг ІБ00-000669 від 05.02.2026 11:00:00
Резервуарний парк соєвої меляси (Глобине)</t>
  </si>
  <si>
    <t>ТЕПЛОАРМАТУРА ТОВ
Рахунки_Глобино-2
Рахунок на оплату постачальника ІБ00-000405 від 04.02.2026 19:00:21</t>
  </si>
  <si>
    <t>Обл. НДС
Фланець сталев Ду300 Ру16
Надходження товарів і послуг ІБ00-000669 від 05.02.2026 11:00:00
Резервуарний парк соєвої меляси (Глобине)</t>
  </si>
  <si>
    <t>Переміщення товарів ІБ00-000229 від 05.02.2026 11:10:00
Перемещение ТМЦ</t>
  </si>
  <si>
    <t>Обл. НДС
Анкер клинопод. М12*100 стальний з гайкою
Переміщення товарів ІБ00-000229 від 05.02.2026 11:10:00
Цех екстракції (Глобине)</t>
  </si>
  <si>
    <t>Переміщення товарів ІБ00-000230 від 05.02.2026 11:10:00
Перемещение ТМЦ</t>
  </si>
  <si>
    <t>Обл. НДС
Болт М20*90  DIN 933 10,9 бп
Переміщення товарів ІБ00-000230 від 05.02.2026 11:10:00
СПК (Глобине)</t>
  </si>
  <si>
    <t>Обл. НДС
Гайка М20  DIN 934
Переміщення товарів ІБ00-000230 від 05.02.2026 11:10:00
СПК (Глобине)</t>
  </si>
  <si>
    <t>Обл. НДС
Шайба плоська DIN 125 М20 140 HV ЦБ
Переміщення товарів ІБ00-000230 від 05.02.2026 11:10:00
СПК (Глобине)</t>
  </si>
  <si>
    <t>Обл. НДС
Анкер однорозпірний з гайкою ЦЖ 16*М12*110
Переміщення товарів ІБ00-000230 від 05.02.2026 11:10:00
СПК (Глобине)</t>
  </si>
  <si>
    <t>Обл. НДС
Болт М 8*30 DIN 933 8,8 цб пр
Переміщення товарів ІБ00-000230 від 05.02.2026 11:10:00
СПК (Глобине)</t>
  </si>
  <si>
    <t>Надходження дод. витрат ІБ00-000060 від 05.02.2026 11:10:00
Доп. расходы при поступлении товаров</t>
  </si>
  <si>
    <t>Надходження дод. витрат ІБ00-000063 від 05.02.2026 12:00:00
Доп. расходы при поступлении товаров</t>
  </si>
  <si>
    <t>Списання товарів ІБ00-000044 від 06.02.2026 00:00:00
Списаны ТМЦ</t>
  </si>
  <si>
    <t>Обл. НДС
Виробничий (Глобине-2)
Глобине-2
Прямі материальні виробничі витрати крім зворотніх відходів</t>
  </si>
  <si>
    <t>Обл. НДС
Кисень газ технічний  (40л/6,4 м3)
Надходження товарів і послуг ІБ00-000373 від 08.01.2026 11:00:00
Глобине-2</t>
  </si>
  <si>
    <t>Списання товарів ІБ00-000046 від 06.02.2026 00:00:00
Списаны ТМЦ</t>
  </si>
  <si>
    <t>Обл. НДС
Перехідник
Авансовий звіт ІБ00-000411 від 24.12.2025 12:23:14
Глобине-2</t>
  </si>
  <si>
    <t>Списання товарів ІБ00-000047 від 06.02.2026 00:00:00
Списаны ТМЦ</t>
  </si>
  <si>
    <t>Обл. НДС
Бур по бетону 
Авансовий звіт ІБ00-000024 від 21.01.2026 00:00:00
Глобине-2</t>
  </si>
  <si>
    <t>Вимога-накладна ІБ00-000074 від 06.02.2026 10:00:00
Списаны ТМЦ</t>
  </si>
  <si>
    <t>Обл. НДС
Електрод  АНО-21 ф 4 (5кг),  пач
Переміщення товарів ІБ00-000254 від 30.01.2026 08:00:00
Цех екстракції (Глобине)</t>
  </si>
  <si>
    <t>Надходження товарів і послуг ІБ00-000456 від 06.02.2026 11:00:00
Оприходованы ТМЦ</t>
  </si>
  <si>
    <t>Обл. НДС
Однокомпонентна гідроізоляційна мастика Ceresit CL 51 14кг
Надходження товарів і послуг ІБ00-000456 від 06.02.2026 11:00:00
Глобине-2</t>
  </si>
  <si>
    <t>ФОРТЕЦЯ
Рахунки_Глобине-2
Рахунок на оплату постачальника ІБ00-000414 від 04.02.2026 19:00:24</t>
  </si>
  <si>
    <t>Надходження товарів і послуг ІБ00-000547 від 06.02.2026 11:00:00
Оприходованы ТМЦ</t>
  </si>
  <si>
    <t>Обл. НДС
Саморіз  5,5/6,3*150 мм RAL 5005 д/сендвічпан
Надходження товарів і послуг ІБ00-000547 від 06.02.2026 11:00:00
Глобине-2</t>
  </si>
  <si>
    <t>Надходження товарів і послуг ІБ00-000548 від 06.02.2026 11:00:00
Оприходованы ТМЦ</t>
  </si>
  <si>
    <t>Обл. НДС
Дюбель для газобетону GB14
Надходження товарів і послуг ІБ00-000548 від 06.02.2026 11:00:00
АПК (Глобине)</t>
  </si>
  <si>
    <t>ЄВРОБОЛТ УКРАЇНА ТОВ
Рахунки_Глобине-2
Рахунок на оплату постачальника ІБ00-006077 від 02.12.2025 18:31:08</t>
  </si>
  <si>
    <t>Надходження товарів і послуг ІБ00-000548 від 06.02.2026 11:00:00
Оприходованы ТМЦ (Зачет аванса поставщику)</t>
  </si>
  <si>
    <t>Обл. НДС
Гвинт для дерева з шестигран.голівкою DIN 571  оц.10,0*100
Надходження товарів і послуг ІБ00-000548 від 06.02.2026 11:00:00
АПК (Глобине)</t>
  </si>
  <si>
    <t>Надходження товарів і послуг ІБ00-000643 від 06.02.2026 11:00:00
Оприходованы ТМЦ</t>
  </si>
  <si>
    <t>Обл. НДС
Змішувач для умивальника Kroner vivi хром
Надходження товарів і послуг ІБ00-000643 від 06.02.2026 11:00:00
АПК (Глобине)</t>
  </si>
  <si>
    <t>РОМСТАЛ УКРАЇНА ТОВ
Договір №2810-25 від  28.10.2025_Глобине 2
Надходження товарів і послуг ІБ00-000643 від 06.02.2026 11:00:00</t>
  </si>
  <si>
    <t>Обл. НДС
Насосна каналізаційна станція MSS 11.1.2
Надходження товарів і послуг ІБ00-000643 від 06.02.2026 11:00:00
АПК (Глобине)</t>
  </si>
  <si>
    <t>Обл. НДС
Кріплення умивальника до стін з екстентриками і болтами
Надходження товарів і послуг ІБ00-000643 від 06.02.2026 11:00:00
АПК (Глобине)</t>
  </si>
  <si>
    <t>Обл. НДС
Сифон для умив."Waterstal" 1 1/2 з гнуч.трубкою
Надходження товарів і послуг ІБ00-000643 від 06.02.2026 11:00:00
АПК (Глобине)</t>
  </si>
  <si>
    <t>Обл. НДС
Умивальник PRESIDENT 50 з отвором для арматури 
Надходження товарів і послуг ІБ00-000643 від 06.02.2026 11:00:00
АПК (Глобине)</t>
  </si>
  <si>
    <t>Обл. НДС
П’ЄДЕСТАЛ DECO
Надходження товарів і послуг ІБ00-000643 від 06.02.2026 11:00:00
АПК (Глобине)</t>
  </si>
  <si>
    <t>Обл. НДС
Унітаз-Компакт підлоговий
Надходження товарів і послуг ІБ00-000643 від 06.02.2026 11:00:00
АПК (Глобине)</t>
  </si>
  <si>
    <t>Обл. НДС
Гнучка труба для унітаза 500мм
Надходження товарів і послуг ІБ00-000643 від 06.02.2026 11:00:00
АПК (Глобине)</t>
  </si>
  <si>
    <t>Обл. НДС
Водонагрівач Atlantic GC 1004424D B14 TBR, 100л
Надходження товарів і послуг ІБ00-000643 від 06.02.2026 11:00:00
АПК (Глобине)</t>
  </si>
  <si>
    <t>Надходження товарів і послуг ІБ00-000644 від 06.02.2026 11:00:00
Оприходованы ТМЦ</t>
  </si>
  <si>
    <t>Обл. НДС
П’ЄДЕСТАЛ DECO
Надходження товарів і послуг ІБ00-000644 від 06.02.2026 11:00:00
АПК (Глобине)</t>
  </si>
  <si>
    <t>РОМСТАЛ УКРАЇНА ТОВ
Договір №2810-25 від  28.10.2025_Глобине 2
Надходження товарів і послуг ІБ00-000644 від 06.02.2026 11:00:00</t>
  </si>
  <si>
    <t>Надходження товарів і послуг ІБ00-000670 від 06.02.2026 11:00:00
Оприходованы ТМЦ (Зачет аванса поставщику)</t>
  </si>
  <si>
    <t>Обл. НДС
Плитка зовнішня SOLANO LIGHT GREY MATT 598*598*83
Надходження товарів і послуг ІБ00-000670 від 06.02.2026 11:00:00
АПК (Глобине)</t>
  </si>
  <si>
    <t>Агромат ПТК ТОВ 
РАХУНКИ_Глобине-2
Рахунок на оплату постачальника ІБ00-000352 від 02.02.2026 17:46:29</t>
  </si>
  <si>
    <t>Обл. НДС
КЛЕЙ Д/ГРЕСУ ATIS A-7 GRES XL C2TE КЛЕЙ ЕЛАСТИЧНИЙ
Надходження товарів і послуг ІБ00-000670 від 06.02.2026 11:00:00
АПК (Глобине)</t>
  </si>
  <si>
    <t>Надходження товарів і послуг ІБ00-000671 від 06.02.2026 11:00:00
Оприходованы ТМЦ (Зачет аванса поставщику)</t>
  </si>
  <si>
    <t>Обл. НДС
Плитка зовнішня SOLANO LIGHT GREY MATT 598*598*83
Надходження товарів і послуг ІБ00-000671 від 06.02.2026 11:00:00
АПК (Глобине)</t>
  </si>
  <si>
    <t>Надходження товарів і послуг ІБ00-000671 від 06.02.2026 11:00:00
Оприходованы ТМЦ</t>
  </si>
  <si>
    <t>Обл. НДС
КЛЕЙ Д/ГРЕСУ ATIS A-7 GRES XL C2TE КЛЕЙ ЕЛАСТИЧНИЙ
Надходження товарів і послуг ІБ00-000671 від 06.02.2026 11:00:00
АПК (Глобине)</t>
  </si>
  <si>
    <t>Переміщення товарів ІБ00-000207 від 06.02.2026 11:10:00
Перемещение ТМЦ</t>
  </si>
  <si>
    <t>Обл. НДС
Однокомпонентна гідроізоляційна мастика Ceresit CL 51 14кг
Переміщення товарів ІБ00-000207 від 06.02.2026 11:10:00
АПК (Глобине)</t>
  </si>
  <si>
    <t>Переміщення товарів ІБ00-000231 від 06.02.2026 11:10:00
Перемещение ТМЦ</t>
  </si>
  <si>
    <t>Обл. НДС
Саморіз  5,5/6,3*150 мм RAL 5005 д/сендвічпан
Переміщення товарів ІБ00-000231 від 06.02.2026 11:10:00
Пункт фасування та зберігання в бігбегах (Глобине)</t>
  </si>
  <si>
    <t>Переміщення товарів ІБ00-000232 від 06.02.2026 11:10:00
Перемещение ТМЦ</t>
  </si>
  <si>
    <t>Обл. НДС
Саморіз  5,5/6,3*150 мм RAL 5005 д/сендвічпан
Переміщення товарів ІБ00-000232 від 06.02.2026 11:10:00
Цех екстракції (Глобине)</t>
  </si>
  <si>
    <t>Надходження товарів і послуг ІБ00-000560 від 06.02.2026 19:00:04
Оприходованы ТМЦ (Зачет аванса поставщику)</t>
  </si>
  <si>
    <t>Обл. НДС
Клей-герметик д/сендвіч-панелей Soudaflex 40 FC  (12 шт/уп) (600мл(шт.) cірий)
Надходження товарів і послуг ІБ00-000560 від 06.02.2026 19:00:04
Цех екстракції (Глобине)</t>
  </si>
  <si>
    <t>ТПК-ЦЕНТР ТОВ
Договір 13/20/П/011від 21.07.2020_Глобино-2
Рахунок на оплату постачальника ІБ00-005307 від 13.10.2025 17:36:03</t>
  </si>
  <si>
    <t>Надходження товарів і послуг ІБ00-000560 від 06.02.2026 19:00:04
Оприходованы ТМЦ</t>
  </si>
  <si>
    <t>Обл. НДС
Самонаріз в метал до сендвіч-панелей 5,5х6,3/150 (9006 сріблястий (100шт))
Надходження товарів і послуг ІБ00-000560 від 06.02.2026 19:00:04
Цех екстракції (Глобине)</t>
  </si>
  <si>
    <t>Обл. НДС
Самонаріз в метал до сендвіч-панелей 5,5х6,3/150 (5005 синій (100шт))
Надходження товарів і послуг ІБ00-000560 від 06.02.2026 19:00:04
Цех екстракції (Глобине)</t>
  </si>
  <si>
    <t>Обл. НДС
Ущільнювальна стрічка ТПК УП-1 ППЕ НХ (5х50мм 20м)
Надходження товарів і послуг ІБ00-000560 від 06.02.2026 19:00:04
Цех екстракції (Глобине)</t>
  </si>
  <si>
    <t>Надходження товарів і послуг ІБ00-000562 від 06.02.2026 19:00:05
Оприходованы ТМЦ (Зачет аванса поставщику)</t>
  </si>
  <si>
    <t>Обл. НДС
Саморіз 4,8х19 для скріплення листів Wkret-Met WSBP (250 шт/уп.), свердлення до 2 мм (5005 cиній (25
Надходження товарів і послуг ІБ00-000562 від 06.02.2026 19:00:05
Цех екстракції (Глобине)</t>
  </si>
  <si>
    <t>ТПК-ЦЕНТР ТОВ
Договір 13/20/П/011від 21.07.2020_Глобино-2
Рахунок на оплату постачальника ІБ00-005149 від 07.10.2025 22:00:01</t>
  </si>
  <si>
    <t>Обл. НДС
Самонаріз в метал до сендвіч-панелей 5,5х6,3/150 (5005 синій (100шт))
Надходження товарів і послуг ІБ00-000562 від 06.02.2026 19:00:05
Цех екстракції (Глобине)</t>
  </si>
  <si>
    <t>Обл. НДС
Ущільнювач КН для с/п 1 м ППЕ НХ
Надходження товарів і послуг ІБ00-000562 від 06.02.2026 19:00:05
Цех екстракції (Глобине)</t>
  </si>
  <si>
    <t>Обл. НДС
Клей-герметик д/сендвіч-панелей Soudaflex 40 FC  (12 шт/уп) (600мл(шт.) білий)
Надходження товарів і послуг ІБ00-000562 від 06.02.2026 19:00:05
Цех екстракції (Глобине)</t>
  </si>
  <si>
    <t>Обл. НДС
Стрічка ущільнювальна ТПК УП-4 ППЕ 3*15мм 30м
Надходження товарів і послуг ІБ00-000562 від 06.02.2026 19:00:05
Цех екстракції (Глобине)</t>
  </si>
  <si>
    <t>Обл. НДС
Ущільнювальна стрічка ТПК УП-1 ППЕ НХ (5х50мм 20м)
Надходження товарів і послуг ІБ00-000562 від 06.02.2026 19:00:05
Цех екстракції (Глобине)</t>
  </si>
  <si>
    <t>Надходження товарів і послуг ІБ00-000563 від 06.02.2026 19:00:06
Оприходованы ТМЦ (Зачет аванса поставщику)</t>
  </si>
  <si>
    <t>Обл. НДС
Сендвіч-панель ТПК стінова 100 мм МВ 1180 мм відкр.замок С 0,5 PS/C 0,5 PS білий 7,290м
Надходження товарів і послуг ІБ00-000563 від 06.02.2026 19:00:06
Цех екстракції (Глобине)</t>
  </si>
  <si>
    <t>ТПК-ЦЕНТР ТОВ
Договір 13/20/П/011від 21.07.2020_Глобино-2
Рахунок на оплату постачальника ІБ00-005306 від 13.10.2025 17:36:02</t>
  </si>
  <si>
    <t>Обл. НДС
Сендвіч-панель ТПК стінова 100 мм МВ 1180 мм відкр.замок С 0,5 PS/C 0,5 PS 7,180м трап5005/9003
Надходження товарів і послуг ІБ00-000563 від 06.02.2026 19:00:06
Цех екстракції (Глобине)</t>
  </si>
  <si>
    <t>Обл. НДС
Сендвіч-панель ТПК стінова 100 мм МВ 1180 мм відкр.замок С 0,5 PS/C 0,5 PS білий 6,980м
Надходження товарів і послуг ІБ00-000563 від 06.02.2026 19:00:06
Цех екстракції (Глобине)</t>
  </si>
  <si>
    <t>Обл. НДС
Сендвіч-панель ТПК стінова 100 мм МВ 1180 мм відкр.замок С 0,5 PS/C 0,5 PS білий 5,000м
Надходження товарів і послуг ІБ00-000563 від 06.02.2026 19:00:06
Цех екстракції (Глобине)</t>
  </si>
  <si>
    <t>Обл. НДС
Сендвіч-панель ТПК стінова 100 мм МВ 1180 мм відкр.замок С 0,5 PS/C 0,5 PS білий 4,890м
Надходження товарів і послуг ІБ00-000563 від 06.02.2026 19:00:06
Цех екстракції (Глобине)</t>
  </si>
  <si>
    <t>Обл. НДС
Сендвіч-панель ТПК стінова 100 мм МВ 1180 мм відкр.замок С 0,5 PS/C 0,5 PS білий 4,700м
Надходження товарів і послуг ІБ00-000563 від 06.02.2026 19:00:06
Цех екстракції (Глобине)</t>
  </si>
  <si>
    <t>Обл. НДС
Сендвіч-панель ТПК стінова 100 мм МВ 1180 мм відкр.замок С 0,5 PS/C 0,5 PS білий 4,200м
Надходження товарів і послуг ІБ00-000563 від 06.02.2026 19:00:06
Цех екстракції (Глобине)</t>
  </si>
  <si>
    <t>Обл. НДС
Сендвіч-панель ТПК стінова 100 мм МВ 1180 мм відкр.замок С 0,5 PS/C 0,5 PS білий 2,990м
Надходження товарів і послуг ІБ00-000563 від 06.02.2026 19:00:06
Цех екстракції (Глобине)</t>
  </si>
  <si>
    <t>Обл. НДС
Сендвіч-панель ТПК стінова 100 мм МВ 1180 мм відкр.замок С 0,5 PS/C 0,5 PS білий 2,980м
Надходження товарів і послуг ІБ00-000563 від 06.02.2026 19:00:06
Цех екстракції (Глобине)</t>
  </si>
  <si>
    <t>Обл. НДС
Сендвіч-панель ТПК стінова 100 мм МВ 1180 мм відкр.замок С 0,5 PS/C 0,5 PS білий 2,780м
Надходження товарів і послуг ІБ00-000563 від 06.02.2026 19:00:06
Цех екстракції (Глобине)</t>
  </si>
  <si>
    <t>Обл. НДС
Сендвіч-панель ТПК стінова 100 мм МВ 1180 мм відкр.замок С 0,5 PS/C 0,5 PS білий 2,580м
Надходження товарів і послуг ІБ00-000563 від 06.02.2026 19:00:06
Цех екстракції (Глобине)</t>
  </si>
  <si>
    <t>Обл. НДС
Сендвіч-панель ТПК стінова 100 мм МВ 1180 мм відкр.замок С 0,5 PS/C 0,5 PS білий 2,380м
Надходження товарів і послуг ІБ00-000563 від 06.02.2026 19:00:06
Цех екстракції (Глобине)</t>
  </si>
  <si>
    <t>Обл. НДС
Сендвіч-панель ТПК стінова 100 мм МВ 1180 мм відкр.замок С 0,5 PS/C 0,5 PS білий 2,290м
Надходження товарів і послуг ІБ00-000563 від 06.02.2026 19:00:06
Цех екстракції (Глобине)</t>
  </si>
  <si>
    <t>Обл. НДС
Сендвіч-панель ТПК стінова 100 мм МВ 1180 мм відкр.замок С 0,5 PS/C 0,5 PS білий 2,240м
Надходження товарів і послуг ІБ00-000563 від 06.02.2026 19:00:06
Цех екстракції (Глобине)</t>
  </si>
  <si>
    <t>Списання товарів ІБ00-000038 від 06.02.2026 20:00:00
Списаны ТМЦ</t>
  </si>
  <si>
    <t>Обл. НДС
Дюбель
Авансовий звіт ІБ00-000025 від 21.01.2026 16:13:16
Глобине-2</t>
  </si>
  <si>
    <t>Вимога-накладна ІБ00-000082 від 06.02.2026 20:00:00
Списаны ТМЦ</t>
  </si>
  <si>
    <t>Обл. НДС
Сендвіч-панель ТПК покрівельна 100мм МВ 1000мм С0,5 PS/C0,5 PS 7,230м покрів5005/трап9003
Надходження товарів і послуг ІБ00-000430 від 07.01.2026 11:00:00
ГРП (Глобине)</t>
  </si>
  <si>
    <t>Обл. НДС
Ущільнювальна стрічка ТПК УП-1 ППЕ НХ (5х50мм 20м)
Надходження товарів і послуг ІБ00-000430 від 07.01.2026 11:00:00
ГРП (Глобине)</t>
  </si>
  <si>
    <t>Обл. НДС
Ущільнювальна стрічка ТПК-УП-4 ППЕ (3х15мм 30м)
Надходження товарів і послуг ІБ00-000430 від 07.01.2026 11:00:00
ГРП (Глобине)</t>
  </si>
  <si>
    <t>Обл. НДС
Клей-герметик д/сендвіч- панелей Soudaflex 40 FC (12 шт/уп) (600мл(шт.) білий)
Надходження товарів і послуг ІБ00-000430 від 07.01.2026 11:00:00
ГРП (Глобине)</t>
  </si>
  <si>
    <t>Обл. НДС
Ущільнювач КН для с/п 1 м ППЕ НХ
Надходження товарів і послуг ІБ00-000430 від 07.01.2026 11:00:00
ГРП (Глобине)</t>
  </si>
  <si>
    <t>Обл. НДС
Самонаріз в метал до сендвіч-панелей 5,5*6,3/200 5005 синій
Надходження товарів і послуг ІБ00-000430 від 07.01.2026 11:00:00
ГРП (Глобине)</t>
  </si>
  <si>
    <t>Обл. НДС
Саморіз  4,8*19 для скріплення листів 250шт 5005 синій
Надходження товарів і послуг ІБ00-000430 від 07.01.2026 11:00:00
ГРП (Глобине)</t>
  </si>
  <si>
    <t>Вимога-накладна ІБ00-000087 від 06.02.2026 20:00:00
Списаны ТМЦ</t>
  </si>
  <si>
    <t>Обл. НДС
Сендвіч-панель ТПК стінова 100 мм МВ 1000 мм відкр.замок С 0,5 PS/C 0,5 PS 5,240м трап9006/трап9003
Надходження товарів і послуг ІБ00-007534 від 11.12.2025 11:00:00
Пункт фасування та зберігання в бігбегах (Глобине)</t>
  </si>
  <si>
    <t>Обл. НДС
Сендвіч-панель ТПК стінова 100 мм МВ 1000 мм відкр.замок С 0,5 PS/C 0,5 PS 4,910м трап9006/трап9003
Надходження товарів і послуг ІБ00-007532 від 10.12.2025 11:00:00
Пункт фасування та зберігання в бігбегах (Глобине)</t>
  </si>
  <si>
    <t>Обл. НДС
Сендвіч-панель ТПК стінова 100 мм МВ 1000 мм відкр.замок С 0,5 PS/C 0,5 PS 4,480м трап9006/трап9003
Надходження товарів і послуг ІБ00-007532 від 10.12.2025 11:00:00
Пункт фасування та зберігання в бігбегах (Глобине)</t>
  </si>
  <si>
    <t>Обл. НДС
Сендвіч-панель ТПК стінова 100 мм МВ 1000 мм відкр.замок С 0,5 PS/C 0,5 PS 2,450м трап9006/трап9003
Надходження товарів і послуг ІБ00-007532 від 10.12.2025 11:00:00
Пункт фасування та зберігання в бігбегах (Глобине)</t>
  </si>
  <si>
    <t>Обл. НДС
Сендвіч-панель ТПК стінова 100 мм МВ 1000 мм відкр.замок С 0,5 PS/C 0,5 PS 2,030м трап9006/трап9003
Надходження товарів і послуг ІБ00-007532 від 10.12.2025 11:00:00
Пункт фасування та зберігання в бігбегах (Глобине)</t>
  </si>
  <si>
    <t>Обл. НДС
Сендвіч-панель ТПК стінова 100 мм МВ 1180 мм відкр.замок С 0,5 PS/C 0,5 PS 4,910м трап9006/трап9003
Надходження товарів і послуг ІБ00-007532 від 10.12.2025 11:00:00
Пункт фасування та зберігання в бігбегах (Глобине)</t>
  </si>
  <si>
    <t>Обл. НДС
Сендвіч-панель ТПК стінова 100 мм МВ 1180 мм відкр.замок С 0,5 PS/C 0,5 PS 4,910м трап9006/трап9003
Надходження товарів і послуг ІБ00-007535 від 12.12.2025 11:00:00
Пункт фасування та зберігання в бігбегах (Глобине)</t>
  </si>
  <si>
    <t>Обл. НДС
Сендвіч-панель ТПК стінова 100 мм МВ 1180 мм відкр.замок С 0,5 PS/C 0,5 PS 4,480м трап9006/трап9003
Надходження товарів і послуг ІБ00-007535 від 12.12.2025 11:00:00
Пункт фасування та зберігання в бігбегах (Глобине)</t>
  </si>
  <si>
    <t>Обл. НДС
Сендвіч-панель ТПК стінова 100 мм МВ 1180 мм відкр.замок С 0,5 PS/C 0,5 PS 3,680м трап9006/трап9003
Надходження товарів і послуг ІБ00-007534 від 11.12.2025 11:00:00
Пункт фасування та зберігання в бігбегах (Глобине)</t>
  </si>
  <si>
    <t>Обл. НДС
Сендвіч-панель ТПК стінова 100 мм МВ 1000 мм відкр.замок С 0,5 PS/C 0,5 PS 4,910м трап5005/трап9003
Надходження товарів і послуг ІБ00-007534 від 11.12.2025 11:00:00
Пункт фасування та зберігання в бігбегах (Глобине)</t>
  </si>
  <si>
    <t>Обл. НДС
Сендвіч-панель ТПК стінова 100 мм МВ 1000 мм відкр.замок С 0,5 PS/C 0,5 PS 4,480м трап5005/трап9003
Надходження товарів і послуг ІБ00-007534 від 11.12.2025 11:00:00
Пункт фасування та зберігання в бігбегах (Глобине)</t>
  </si>
  <si>
    <t>Обл. НДС
Стрічка ущільнювальна ППЕ НХ 5х50х20 м
Надходження товарів і послуг ІБ00-007532 від 10.12.2025 11:00:00
Пункт фасування та зберігання в бігбегах (Глобине)</t>
  </si>
  <si>
    <t>Обл. НДС
Клей-герметик д/сендвіч- панелей Soudaflex 40 FC (12 шт/уп) (600мл(шт.) білий)
Надходження товарів і послуг ІБ00-007532 від 10.12.2025 11:00:00
Пункт фасування та зберігання в бігбегах (Глобине)</t>
  </si>
  <si>
    <t>Обл. НДС
Самонаріз в метал до сендвіч-панелей 5,5*6,3/150 9006 срібло
Надходження товарів і послуг ІБ00-007532 від 10.12.2025 11:00:00
Пункт фасування та зберігання в бігбегах (Глобине)</t>
  </si>
  <si>
    <t>Обл. НДС
Самонаріз в метал до сендвіч-панелей 5,5х6,3/150 (5005 синій (100шт))
Надходження товарів і послуг ІБ00-007532 від 10.12.2025 11:00:00
Пункт фасування та зберігання в бігбегах (Глобине)</t>
  </si>
  <si>
    <t>Обл. НДС
Самонаріз в метал до сендвіч-панелей 5,5*6,3/150 9003 білий
Надходження товарів і послуг ІБ00-007532 від 10.12.2025 11:00:00
Пункт фасування та зберігання в бігбегах (Глобине)</t>
  </si>
  <si>
    <t>Вимога-накладна ІБ00-000083 від 06.02.2026 20:00:09
Списаны ТМЦ</t>
  </si>
  <si>
    <t>Вимога-накладна ІБ00-000084 від 06.02.2026 20:00:13
Списаны ТМЦ</t>
  </si>
  <si>
    <t>Обл. НДС
Шпилька  М16х1000 DIN 975 8.8цб
Надходження товарів і послуг ІБ00-000234 від 21.01.2026 11:00:00
Цех екстракції (Глобине)</t>
  </si>
  <si>
    <t>Обл. НДС
Шпилька  М20х1000
Надходження товарів і послуг ІБ00-000234 від 21.01.2026 11:00:00
Цех екстракції (Глобине)</t>
  </si>
  <si>
    <t>Обл. НДС
Анкер хімічний 410 мл 
Надходження товарів і послуг ІБ00-000234 від 21.01.2026 11:00:00
Цех екстракції (Глобине)</t>
  </si>
  <si>
    <t>Списання товарів ІБ00-000042 від 06.02.2026 20:00:14
Списаны ТМЦ</t>
  </si>
  <si>
    <t>Обл. НДС
Колодка електр. б/з 2+2 гнізда
Переміщення товарів ІБ00-000069 від 16.01.2026 11:00:00
Глобине-2</t>
  </si>
  <si>
    <t>Обл. НДС
Колодка клемна 20 А
Авансовий звіт ІБ00-000025 від 21.01.2026 16:13:16
Глобине-2</t>
  </si>
  <si>
    <t>Списання товарів ІБ00-000043 від 06.02.2026 20:00:15
Списаны ТМЦ</t>
  </si>
  <si>
    <t>Обл. НДС
Змішувач  д/хіманкера
Надходження товарів і послуг ІБ00-000234 від 21.01.2026 11:00:00
Цех екстракції (Глобине)</t>
  </si>
  <si>
    <t>Вимога-накладна ІБ00-000085 від 06.02.2026 20:00:18
Списаны ТМЦ</t>
  </si>
  <si>
    <t>Обл. НДС
Болт М12*50  DIN 933
Надходження товарів і послуг ІБ00-007647 від 17.12.2025 11:00:00
Транспортна галерея Естакада 3.4 (Глобине)</t>
  </si>
  <si>
    <t>Обл. НДС
Болт М14*50  DIN 933
Надходження товарів і послуг ІБ00-007647 від 17.12.2025 11:00:00
Транспортна галерея Естакада 3.4 (Глобине)</t>
  </si>
  <si>
    <t>Обл. НДС
Болт М16*55  DIN 933 8,8 цб пр
Надходження товарів і послуг ІБ00-007647 від 17.12.2025 11:00:00
Транспортна галерея Естакада 3.4 (Глобине)</t>
  </si>
  <si>
    <t>Обл. НДС
Болт М16*60  DIN 933 оц. 8.8цб
Надходження товарів і послуг ІБ00-007647 від 17.12.2025 11:00:00
Транспортна галерея Естакада 3.4 (Глобине)</t>
  </si>
  <si>
    <t>Обл. НДС
Болт М16*70  DIN 933 8,8 цб пр
Надходження товарів і послуг ІБ00-007647 від 17.12.2025 11:00:00
Транспортна галерея Естакада 3.4 (Глобине)</t>
  </si>
  <si>
    <t>Обл. НДС
Болт М20*70  DIN 933 цб
Надходження товарів і послуг ІБ00-007647 від 17.12.2025 11:00:00
Транспортна галерея Естакада 3.4 (Глобине)</t>
  </si>
  <si>
    <t>Обл. НДС
Болт М20*90  DIN 933 оц. 8,8
Надходження товарів і послуг ІБ00-007647 від 17.12.2025 11:00:00
Транспортна галерея Естакада 3.4 (Глобине)</t>
  </si>
  <si>
    <t>Обл. НДС
Гайка DIN934 M 12
Надходження товарів і послуг ІБ00-007647 від 17.12.2025 11:00:00
Транспортна галерея Естакада 3.4 (Глобине)</t>
  </si>
  <si>
    <t>Обл. НДС
Гайка DIN934 M14 8 цинк
Надходження товарів і послуг ІБ00-007647 від 17.12.2025 11:00:00
Транспортна галерея Естакада 3.4 (Глобине)</t>
  </si>
  <si>
    <t>Обл. НДС
Гайка DIN934 M16 8 цинк
Надходження товарів і послуг ІБ00-007647 від 17.12.2025 11:00:00
Транспортна галерея Естакада 3.4 (Глобине)</t>
  </si>
  <si>
    <t>Обл. НДС
Гайка DIN934 M20 8 цинк
Надходження товарів і послуг ІБ00-007647 від 17.12.2025 11:00:00
Транспортна галерея Естакада 3.4 (Глобине)</t>
  </si>
  <si>
    <t>Обл. НДС
Шайба плоська DIN 125 М12 140 HV ЦБ
Надходження товарів і послуг ІБ00-007647 від 17.12.2025 11:00:00
Транспортна галерея Естакада 3.4 (Глобине)</t>
  </si>
  <si>
    <t>Обл. НДС
Шайба плоська DIN 125 М14 140 HV ЦБ
Надходження товарів і послуг ІБ00-007647 від 17.12.2025 11:00:00
Транспортна галерея Естакада 3.4 (Глобине)</t>
  </si>
  <si>
    <t>Обл. НДС
Шайба плоська DIN 125 М16 140 HV ЦБ
Надходження товарів і послуг ІБ00-007647 від 17.12.2025 11:00:00
Транспортна галерея Естакада 3.4 (Глобине)</t>
  </si>
  <si>
    <t>Обл. НДС
Шайба плоська DIN 125 М20 140 HV ЦБ
Надходження товарів і послуг ІБ00-007647 від 17.12.2025 11:00:00
Транспортна галерея Естакада 3.4 (Глобине)</t>
  </si>
  <si>
    <t>Вимога-накладна ІБ00-000086 від 06.02.2026 20:00:23
Списаны ТМЦ</t>
  </si>
  <si>
    <t>Обл. НДС
Швелер № 16П міра 12,00 м
Переміщення товарів ІБ00-001782 від 31.12.2025 08:00:00
СПК (Глобине)</t>
  </si>
  <si>
    <t>Обл. НДС
Труба 80х80х4 12,0-S235/S275
Переміщення товарів ІБ00-000243 від 01.01.2026 11:02:54
СПК (Глобине)</t>
  </si>
  <si>
    <t>Обл. НДС
Труба профільна 100*100*4 L=12000 мм ст1-3 сп/пс
Надходження товарів і послуг ІБ00-006206 від 01.10.2025 11:00:00
СПК (Глобине)</t>
  </si>
  <si>
    <t>Обл. НДС
Труба профільна 120*120*4 L=12000 мм ст1-3 сп/пс
Надходження товарів і послуг ІБ00-006219 від 01.10.2025 11:00:00
СПК (Глобине)</t>
  </si>
  <si>
    <t>Обл. НДС
Труба 273*6,0
Надходження товарів і послуг ІБ00-002962 від 17.06.2025 11:00:00
СПК (Глобине)</t>
  </si>
  <si>
    <t>Обл. НДС
Грунт ГФ-021 сірий
Надходження товарів і послуг ІБ00-008131 від 01.12.2025 11:00:00
СПК (Глобине)</t>
  </si>
  <si>
    <t>Вимога-накладна ІБ00-000088 від 06.02.2026 20:00:29
Списаны ТМЦ</t>
  </si>
  <si>
    <t>Обл. НДС
Самонаріз в метал до сендвіч-панелей 5,5х6,3/150 (9006 сріблястий (100шт))
Надходження товарів і послуг ІБ00-006364 від 28.10.2025 11:00:00
Цех екстракції (Глобине)</t>
  </si>
  <si>
    <t>Обл. НДС
Самонаріз в метал до сендвіч-панелей 5,5х6,3/150 (5005 синій (100шт))
Надходження товарів і послуг ІБ00-006364 від 28.10.2025 11:00:00
Цех екстракції (Глобине)</t>
  </si>
  <si>
    <t>09.02.2026</t>
  </si>
  <si>
    <t>Надходження товарів і послуг ІБ00-000657 від 09.02.2026 11:00:00
Оприходованы ТМЦ</t>
  </si>
  <si>
    <t>Обл. НДС
Унітаз-Компакт підлоговий
Надходження товарів і послуг ІБ00-000657 від 09.02.2026 11:00:00
АПК (Глобине)</t>
  </si>
  <si>
    <t>РОМСТАЛ УКРАЇНА ТОВ
Договір №2810-25 від  28.10.2025_Глобине 2
Надходження товарів і послуг ІБ00-000657 від 09.02.2026 11:00:00</t>
  </si>
  <si>
    <t>Надходження товарів і послуг ІБ00-000672 від 09.02.2026 11:00:00
Оприходованы ТМЦ</t>
  </si>
  <si>
    <t>Обл. НДС
Стрічка безпеки для стубцини 350мм
Надходження товарів і послуг ІБ00-000672 від 09.02.2026 11:00:00
Резервуарний парк соєвої меляси (Глобине)</t>
  </si>
  <si>
    <t>ОВК-СИСТЕМИ ТОВ
Договору №030925 від 03.09.2025_Глобино-2
Рахунок на оплату постачальника ІБ00-005648 від 11.11.2025 22:53:50</t>
  </si>
  <si>
    <t>Обл. НДС
HD1501 Хомут для велик. навант. з гумов. ізоляц. 6'' DN150 159-169мм М10/12 BUP
Надходження товарів і послуг ІБ00-000672 від 09.02.2026 11:00:00
Резервуарний парк соєвої меляси (Глобине)</t>
  </si>
  <si>
    <t>Вимога-накладна ІБ00-000103 від 10.02.2026 00:00:00
Списаны ТМЦ</t>
  </si>
  <si>
    <t>Обл. НДС
Бетон С20/25 W6 F75 P4
Переміщення товарів ІБ00-001514 від 25.11.2025 11:20:00
Цех екстракції (Глобине)</t>
  </si>
  <si>
    <t>Обл. НДС
Бетон С20/25 W6 F75 P4 доб-10
Переміщення товарів ІБ00-001711 від 26.12.2025 11:20:00
Цех екстракції (Глобине)</t>
  </si>
  <si>
    <t>Надходження товарів і послуг ІБ00-000558 від 10.02.2026 11:00:00
Оприходованы ТМЦ (Зачет аванса поставщику)</t>
  </si>
  <si>
    <t>Обл. НДС
Газоблок ХСМ 375*200*600 D500
Надходження товарів і послуг ІБ00-000558 від 10.02.2026 11:00:00
СПК (Глобине)</t>
  </si>
  <si>
    <t>СТАНДАРТ-БУД ТОВ
РАХУНКИ_Глобино-2
Рахунок на оплату постачальника ІБ00-000390 від 21.01.2026 18:42:52</t>
  </si>
  <si>
    <t>Обл. НДС
Клей для газобетону ХСМ МР2 (25 кг)
Надходження товарів і послуг ІБ00-000558 від 10.02.2026 11:00:00
СПК (Глобине)</t>
  </si>
  <si>
    <t>Вимога-накладна ІБ00-000102 від 10.02.2026 11:58:33
Списаны ТМЦ</t>
  </si>
  <si>
    <t>Обл. НДС
Швелер гнутий 160*100*5 (160 6-S235JR)
Надходження товарів і послуг ІБ00-006175 від 22.10.2025 11:00:00
СПК (Глобине)</t>
  </si>
  <si>
    <t>Обл. НДС
Грунт ГФ-021 сірий
Надходження товарів і послуг ІБ00-007689 від 09.12.2025 11:00:00
СПК (Глобине)</t>
  </si>
  <si>
    <t>Обл. НДС
Грунт-емаль ПФ-012 Р RAL7024
Переміщення товарів ІБ00-000412 від 01.01.2026 08:00:00
СПК (Глобине)</t>
  </si>
  <si>
    <t>Вимога-накладна ІБ00-000104 від 10.02.2026 14:44:24
Списаны ТМЦ</t>
  </si>
  <si>
    <t>Вимога-накладна ІБ00-000105 від 10.02.2026 15:00:41
Списаны ТМЦ</t>
  </si>
  <si>
    <t>Вимога-накладна ІБ00-000106 від 10.02.2026 15:07:25
Списаны ТМЦ</t>
  </si>
  <si>
    <t>Обл. НДС
Решітковий настил KOZ 34*38/30*3/оц/ 2088*1000
Надходження товарів і послуг ІБ00-000450 від 22.01.2026 11:00:00
Резервуарний парк соєвої меляси (Глобине)</t>
  </si>
  <si>
    <t>Обл. НДС
Решітковий настил KOZ 34*38/30*3/оц/ 2088*1032
Надходження товарів і послуг ІБ00-000450 від 22.01.2026 11:00:00
Резервуарний парк соєвої меляси (Глобине)</t>
  </si>
  <si>
    <t>Обл. НДС
Решітковий настил KOZ 34*38/30*3/оц/ 2088*700
Надходження товарів і послуг ІБ00-000450 від 22.01.2026 11:00:00
Резервуарний парк соєвої меляси (Глобине)</t>
  </si>
  <si>
    <t>Обл. НДС
Решітковий настил KOZ 34*38/30*3/оц/1225*706
Надходження товарів і послуг ІБ00-000450 від 22.01.2026 11:00:00
Резервуарний парк соєвої меляси (Глобине)</t>
  </si>
  <si>
    <t>Обл. НДС
Решітковий настил KOZ 34*38/30*3/оц/1344*1141
Надходження товарів і послуг ІБ00-000450 від 22.01.2026 11:00:00
Резервуарний парк соєвої меляси (Глобине)</t>
  </si>
  <si>
    <t>Обл. НДС
Решітковий настил KOZ 34*38/30*3/оц/1744*947
Надходження товарів і послуг ІБ00-000450 від 22.01.2026 11:00:00
Резервуарний парк соєвої меляси (Глобине)</t>
  </si>
  <si>
    <t>Обл. НДС
Решітковий настил KOZ 34*38/30*3/оц/2900*1000
Надходження товарів і послуг ІБ00-000450 від 22.01.2026 11:00:00
Резервуарний парк соєвої меляси (Глобине)</t>
  </si>
  <si>
    <t>Обл. НДС
Решітковий настил KOZ 34*38/30*3/оц/800*1000
Надходження товарів і послуг ІБ00-000450 від 22.01.2026 11:00:00
Резервуарний парк соєвої меляси (Глобине)</t>
  </si>
  <si>
    <t>Обл. НДС
Решітковий настил KOZ 34*38/30*3/оц/828*1000
Надходження товарів і послуг ІБ00-000450 від 22.01.2026 11:00:00
Резервуарний парк соєвої меляси (Глобине)</t>
  </si>
  <si>
    <t>Обл. НДС
Решітковий настил KOZ 34*38/30*3/оц/828*394
Надходження товарів і послуг ІБ00-000450 від 22.01.2026 11:00:00
Резервуарний парк соєвої меляси (Глобине)</t>
  </si>
  <si>
    <t>Обл. НДС
Решітковий настил KOZ 34*38/30*3/оц/828*72
Надходження товарів і послуг ІБ00-000450 від 22.01.2026 11:00:00
Резервуарний парк соєвої меляси (Глобине)</t>
  </si>
  <si>
    <t>Обл. НДС
Решітковий настил KOZ 34*38/30*3/оц/988*1000
Надходження товарів і послуг ІБ00-000450 від 22.01.2026 11:00:00
Резервуарний парк соєвої меляси (Глобине)</t>
  </si>
  <si>
    <t>Обл. НДС
Решітковий настил KOZ 34*38/30*3/оц/988*608
Надходження товарів і послуг ІБ00-000450 від 22.01.2026 11:00:00
Резервуарний парк соєвої меляси (Глобине)</t>
  </si>
  <si>
    <t>Обл. НДС
Решітковий настил KOZ 34*38/40*3/оц/ 2088*312
Надходження товарів і послуг ІБ00-000450 від 22.01.2026 11:00:00
Резервуарний парк соєвої меляси (Глобине)</t>
  </si>
  <si>
    <t>Обл. НДС
Решітковий настил KOZ 34*38/40*3/оц/ 825*706
Надходження товарів і послуг ІБ00-000450 від 22.01.2026 11:00:00
Резервуарний парк соєвої меляси (Глобине)</t>
  </si>
  <si>
    <t>Обл. НДС
Решітковий настил KOZ 34*38/40*3/оц/ 825*895
Надходження товарів і послуг ІБ00-000450 від 22.01.2026 11:00:00
Резервуарний парк соєвої меляси (Глобине)</t>
  </si>
  <si>
    <t>Обл. НДС
Решітковий настил KOZ 34*38/40*3/оц/519*586
Надходження товарів і послуг ІБ00-000450 від 22.01.2026 11:00:00
Резервуарний парк соєвої меляси (Глобине)</t>
  </si>
  <si>
    <t>Обл. НДС
Решітковий настил KOZ 34*38/40*3/оц/544*1087
Надходження товарів і послуг ІБ00-000450 від 22.01.2026 11:00:00
Резервуарний парк соєвої меляси (Глобине)</t>
  </si>
  <si>
    <t>Обл. НДС
Решітковий настил KOZ 34*38/40*3/оц/544*415
Надходження товарів і послуг ІБ00-000450 від 22.01.2026 11:00:00
Резервуарний парк соєвої меляси (Глобине)</t>
  </si>
  <si>
    <t>Обл. НДС
Решітковий настил KOZ/34x38/30x3 оц. /844*723       
Надходження товарів і послуг ІБ00-000450 від 22.01.2026 11:00:00
Резервуарний парк соєвої меляси (Глобине)</t>
  </si>
  <si>
    <t>Обл. НДС
Решітковий настил KOZ/34x38/30x3 оц. /844*873       
Надходження товарів і послуг ІБ00-000450 від 22.01.2026 11:00:00
Резервуарний парк соєвої меляси (Глобине)</t>
  </si>
  <si>
    <t>Обл. НДС
Кріплення стандартні
Надходження товарів і послуг ІБ00-000450 від 22.01.2026 11:00:00
Резервуарний парк соєвої меляси (Глобине)</t>
  </si>
  <si>
    <t>Обл. НДС
Кріплення гакове до швелера 14
Надходження товарів і послуг ІБ00-000450 від 22.01.2026 11:00:00
Резервуарний парк соєвої меляси (Глобине)</t>
  </si>
  <si>
    <t>Обл. НДС
Кріплення гакове до швелера 16
Надходження товарів і послуг ІБ00-000450 від 22.01.2026 11:00:00
Резервуарний парк соєвої меляси (Глобине)</t>
  </si>
  <si>
    <t>Обл. НДС
Сходинки SOZ/34*38/25*3/оц/700*205
Надходження товарів і послуг ІБ00-000450 від 22.01.2026 11:00:00
Резервуарний парк соєвої меляси (Глобине)</t>
  </si>
  <si>
    <t>Обл. НДС
Затиск для з'єднання решіток/ Х
Надходження товарів і послуг ІБ00-000450 від 22.01.2026 11:00:00
Резервуарний парк соєвої меляси (Глобине)</t>
  </si>
  <si>
    <t>Обл. НДС
Скоба 7мм з отв
Надходження товарів і послуг ІБ00-000450 від 22.01.2026 11:00:00
Резервуарний парк соєвої меляси (Глобине)</t>
  </si>
  <si>
    <t>Обл. НДС
Самонаріз 6,3х60
Надходження товарів і послуг ІБ00-000450 від 22.01.2026 11:00:00
Резервуарний парк соєвої меляси (Глобине)</t>
  </si>
  <si>
    <t>Обл. НДС
Кріплення для сходинок
Надходження товарів і послуг ІБ00-000450 від 22.01.2026 11:00:00
Резервуарний парк соєвої меляси (Глобине)</t>
  </si>
  <si>
    <t>Вимога-накладна ІБ00-000107 від 10.02.2026 15:21:21
Списаны ТМЦ</t>
  </si>
  <si>
    <t>Обл. НДС
Сендвіч-панель ТПК стінова 100 мм МВ 1000 мм відкр.замок С 0,5 PS/C 0,5 PS 6,810м трап9006/трап9003
Надходження товарів і послуг ІБ00-007534 від 11.12.2025 11:00:00
Пункт фасування та зберігання в бігбегах (Глобине)</t>
  </si>
  <si>
    <t>Обл. НДС
Сендвіч-панель ТПК стінова 100 мм МВ 1000 мм відкр.замок С 0,5 PS/C 0,5 PS 6,490м трап9006/трап9003
Надходження товарів і послуг ІБ00-007534 від 11.12.2025 11:00:00
Пункт фасування та зберігання в бігбегах (Глобине)</t>
  </si>
  <si>
    <t>Обл. НДС
Сендвіч-панель ТПК стінова 100 мм МВ 1000 мм відкр.замок С 0,5 PS/C 0,5 PS 6,300м трап9006/трап9003
Надходження товарів і послуг ІБ00-007532 від 10.12.2025 11:00:00
Пункт фасування та зберігання в бігбегах (Глобине)</t>
  </si>
  <si>
    <t>Обл. НДС
Сендвіч-панель ТПК стінова 100 мм МВ 1000 мм відкр.замок С 0,5 PS/C 0,5 PS 5,980м трап9006/трап9003
Надходження товарів і послуг ІБ00-007532 від 10.12.2025 11:00:00
Пункт фасування та зберігання в бігбегах (Глобине)</t>
  </si>
  <si>
    <t>Обл. НДС
Сендвіч-панель ТПК стінова 100 мм МВ 1000 мм відкр.замок С 0,5 PS/C 0,5 PS 4,980м трап9006/трап9003
Надходження товарів і послуг ІБ00-007532 від 10.12.2025 11:00:00
Пункт фасування та зберігання в бігбегах (Глобине)</t>
  </si>
  <si>
    <t>Обл. НДС
Сендвіч-панель ТПК стінова 100 мм МВ 1000 мм відкр.замок С 0,5 PS/C 0,5 PS 4,590м трап9006/трап9003
Надходження товарів і послуг ІБ00-007532 від 10.12.2025 11:00:00
Пункт фасування та зберігання в бігбегах (Глобине)</t>
  </si>
  <si>
    <t>Обл. НДС
Сендвіч-панель ТПК стінова 100 мм МВ 1000 мм відкр.замок С 0,5 PS/C 0,5 PS 4,480м трап9006/трап9003
Надходження товарів і послуг ІБ00-007534 від 11.12.2025 11:00:00
Пункт фасування та зберігання в бігбегах (Глобине)</t>
  </si>
  <si>
    <t>Обл. НДС
Сендвіч-панель ТПК стінова 100 мм МВ 1000 мм відкр.замок С 0,5 PS/C 0,5 PS 2,500м трап9006/трап9003
Надходження товарів і послуг ІБ00-007532 від 10.12.2025 11:00:00
Пункт фасування та зберігання в бігбегах (Глобине)</t>
  </si>
  <si>
    <t>Обл. НДС
Сендвіч-панель ТПК стінова 100 мм МВ 1000 мм відкр.замок С 0,5 PS/C 0,5 PS 2,00м трап9006/трап9003
Надходження товарів і послуг ІБ00-007534 від 11.12.2025 11:00:00
Пункт фасування та зберігання в бігбегах (Глобине)</t>
  </si>
  <si>
    <t>Обл. НДС
Сендвіч-панель ТПК стінова 100 мм МВ 1180 мм відкр.замок С 0,5 PS/C 0,5 PS 6,810м трап9006/трап9003
Надходження товарів і послуг ІБ00-007532 від 10.12.2025 11:00:00
Пункт фасування та зберігання в бігбегах (Глобине)</t>
  </si>
  <si>
    <t>Обл. НДС
Сендвіч-панель ТПК стінова 100 мм МВ 1180 мм відкр.замок С 0,5 PS/C 0,5 PS 6,30м трап9006/трап9003
Надходження товарів і послуг ІБ00-007532 від 10.12.2025 11:00:00
Пункт фасування та зберігання в бігбегах (Глобине)</t>
  </si>
  <si>
    <t>Обл. НДС
Сендвіч-панель ТПК стінова 100 мм МВ 1180 мм відкр.замок С 0,5 PS/C 0,5 PS 5,98м трап9006/трап9003
Надходження товарів і послуг ІБ00-007532 від 10.12.2025 11:00:00
Пункт фасування та зберігання в бігбегах (Глобине)</t>
  </si>
  <si>
    <t>Обл. НДС
Сендвіч-панель ТПК стінова 100 мм МВ 1180 мм відкр.замок С 0,5 PS/C 0,5 PS 4,980м трап9006/трап9003
Надходження товарів і послуг ІБ00-007532 від 10.12.2025 11:00:00
Пункт фасування та зберігання в бігбегах (Глобине)</t>
  </si>
  <si>
    <t>Обл. НДС
Сендвіч-панель ТПК стінова 100 мм МВ 1180 мм відкр.замок С 0,5 PS/C 0,5 PS 2,220м трап9006/трап9003
Надходження товарів і послуг ІБ00-007534 від 11.12.2025 11:00:00
Пункт фасування та зберігання в бігбегах (Глобине)</t>
  </si>
  <si>
    <t>Обл. НДС
Сендвіч-панель ТПК стінова 100 мм МВ 1000 мм відкр.замок С 0,5 PS/C 0,5 PS 6,300м трап5005/трап9003
Надходження товарів і послуг ІБ00-007534 від 11.12.2025 11:00:00
Пункт фасування та зберігання в бігбегах (Глобине)</t>
  </si>
  <si>
    <t>Обл. НДС
Сендвіч-панель ТПК стінова 100 мм МВ 1000 мм відкр.замок С 0,5 PS/C 0,5 PS 5,980м трап5005/трап9003
Надходження товарів і послуг ІБ00-007534 від 11.12.2025 11:00:00
Пункт фасування та зберігання в бігбегах (Глобине)</t>
  </si>
  <si>
    <t>Списання товарів ІБ00-000053 від 10.02.2026 15:51:16
Списаны ТМЦ</t>
  </si>
  <si>
    <t>Обл. НДС
Клей-піна монтажна , 750 мл
Переміщення товарів ІБ00-001127 від 01.10.2025 11:10:00
АПК (Глобине)</t>
  </si>
  <si>
    <t>Обл. НДС
Кут перфорований пластиковий 25*25мм білий 3 м
Надходження товарів і послуг ІБ00-000503 від 27.01.2026 11:00:00
АПК (Глобине)</t>
  </si>
  <si>
    <t>Обл. НДС
Пенекрит 25кг/відро
Переміщення товарів ІБ00-000284 від 01.01.2026 11:02:56
АПК (Глобине)</t>
  </si>
  <si>
    <t>Обл. НДС
Пластифікатор для всіх видів 5л
Надходження товарів і послуг ІБ00-008151 від 24.12.2025 11:00:00
АПК (Глобине)</t>
  </si>
  <si>
    <t>Надходження товарів і послуг ІБ00-000542 від 10.02.2026 16:33:45
Оприходованы ТМЦ</t>
  </si>
  <si>
    <t>Обл. НДС
Кутник  50х50х5 (6,05- S235/S275)
Надходження товарів і послуг ІБ00-000542 від 10.02.2026 16:33:45
Цех_Глобино</t>
  </si>
  <si>
    <t>АВ МЕТАЛ ГРУП ТОВ
Дог 2420/Р от 05.10.2023від 05.10.2023_Глобино-2
Рахунок на оплату постачальника ІБ00-000403 від 03.02.2026 17:26:16</t>
  </si>
  <si>
    <t>Обл. НДС
Кутник 63х63х5  L=6000
Надходження товарів і послуг ІБ00-000542 від 10.02.2026 16:33:45
Цех_Глобино</t>
  </si>
  <si>
    <t>Обл. НДС
Кутник 100*100 7мм 12м
Надходження товарів і послуг ІБ00-000542 від 10.02.2026 16:33:45
Цех_Глобино</t>
  </si>
  <si>
    <t>Обл. НДС
Труба 60х60х3 мм; проф 6 м
Надходження товарів і послуг ІБ00-000542 від 10.02.2026 16:33:45
Цех_Глобино</t>
  </si>
  <si>
    <t>Обл. НДС
Труба 60х60х4,0мм МІРА 6м
Надходження товарів і послуг ІБ00-000542 від 10.02.2026 16:33:45
Цех_Глобино</t>
  </si>
  <si>
    <t>Обл. НДС
Труба 80х80х4 
Надходження товарів і послуг ІБ00-000542 від 10.02.2026 16:33:45
Цех_Глобино</t>
  </si>
  <si>
    <t>Обл. НДС
труба 100*100*4,0мм 12м
Надходження товарів і послуг ІБ00-000542 від 10.02.2026 16:33:45
Цех_Глобино</t>
  </si>
  <si>
    <t>Обл. НДС
Швелер 20П
Надходження товарів і послуг ІБ00-000542 від 10.02.2026 16:33:45
Цех_Глобино</t>
  </si>
  <si>
    <t>Переміщення товарів ІБ00-000269 від 10.02.2026 18:20:09
Перемещение ТМЦ</t>
  </si>
  <si>
    <t>Обл. НДС
Кутник 63х63х5  L=6000
Переміщення товарів ІБ00-000269 від 10.02.2026 18:20:09
Цех_Глобино Виробничий</t>
  </si>
  <si>
    <t>Обл. НДС
Кутник 63х63х5  L=6000
Надходження товарів і послуг ІБ00-006954 від 27.11.2025 18:01:15
Цех_Глобино</t>
  </si>
  <si>
    <t>Обл. НДС
Труба 40*40*3 мм ст.1-3пс, 6 м
Переміщення товарів ІБ00-000269 від 10.02.2026 18:20:09
Цех_Глобино Виробничий</t>
  </si>
  <si>
    <t>Обл. НДС
Труба 40*40*3 мм ст.1-3пс, 6 м
Надходження товарів і послуг ІБ00-005480 від 24.09.2025 18:20:53
Цех_Глобино</t>
  </si>
  <si>
    <t>Обл. НДС
Труба 40*40*3 мм ст.1-3пс, 6 м
Надходження товарів і послуг ІБ00-006954 від 27.11.2025 18:01:15
Цех_Глобино</t>
  </si>
  <si>
    <t>Обл. НДС
Труба 80х80х4 
Переміщення товарів ІБ00-000269 від 10.02.2026 18:20:09
Цех_Глобино Виробничий</t>
  </si>
  <si>
    <t>Обл. НДС
Труба 80х80х4 
Надходження товарів і послуг ІБ00-006954 від 27.11.2025 18:01:15
Цех_Глобино</t>
  </si>
  <si>
    <t>Обл. НДС
труба 100*100*4,0мм 12м
Переміщення товарів ІБ00-000269 від 10.02.2026 18:20:09
Цех_Глобино Виробничий</t>
  </si>
  <si>
    <t>Обл. НДС
труба 100*100*4,0мм 12м
Надходження товарів і послуг ІБ00-005296 від 19.09.2025 18:18:44
Цех_Глобино</t>
  </si>
  <si>
    <t>Обл. НДС
Швелер 16П  S275JR,12 м
Переміщення товарів ІБ00-000269 від 10.02.2026 18:20:09
Цех_Глобино Виробничий</t>
  </si>
  <si>
    <t>Обл. НДС
Швелер 20П
Переміщення товарів ІБ00-000269 від 10.02.2026 18:20:09
Цех_Глобино Виробничий</t>
  </si>
  <si>
    <t>Обл. НДС
Швелер 30П міра 12,00 м 
Переміщення товарів ІБ00-000269 від 10.02.2026 18:20:09
Цех_Глобино Виробничий</t>
  </si>
  <si>
    <t>Обл. НДС
Швелер 30П міра 12,00 м 
Надходження товарів і послуг ІБ00-004267 від 06.08.2025 18:31:09
Цех_Глобино</t>
  </si>
  <si>
    <t>Списання товарів ІБ00-000051 від 10.02.2026 20:00:00
Списаны ТМЦ</t>
  </si>
  <si>
    <t>Обл. НДС
Фанера 21*2500*1250 мм
Надходження товарів і послуг ІБ00-006702 від 12.11.2025 11:00:00
Глобине-2</t>
  </si>
  <si>
    <t>Вимога-накладна ІБ00-000108 від 10.02.2026 20:00:13
Списаны ТМЦ</t>
  </si>
  <si>
    <t>Вимога-накладна ІБ00-000109 від 10.02.2026 20:00:16
Списаны ТМЦ</t>
  </si>
  <si>
    <t>Обл. НДС
Лист ЛГК 12,5*1200*2500 (шт)
Надходження товарів і послуг ІБ00-007643 від 19.12.2025 11:00:00
АПК (Глобине)</t>
  </si>
  <si>
    <t>Обл. НДС
Стрічка ущільнювальна ППЕ НХ 5х50х20 м
Надходження товарів і послуг ІБ00-007974 від 11.12.2025 11:00:00
АПК (Глобине)</t>
  </si>
  <si>
    <t>Обл. НДС
Дюбель розпірний UFІ 14/135
Надходження товарів і послуг ІБ00-007492 від 15.12.2025 11:00:00
АПК (Глобине)</t>
  </si>
  <si>
    <t>Обл. НДС
Профіль UD 27 4м 0,55мм (шт)
Надходження товарів і послуг ІБ00-005315 від 18.09.2025 11:00:00
АПК (Глобине)</t>
  </si>
  <si>
    <t>Обл. НДС
Профіль UD 28*22  3м 0,4мм 1/30/720шт
Надходження товарів і послуг ІБ00-000503 від 27.01.2026 11:00:00
АПК (Глобине)</t>
  </si>
  <si>
    <t>Обл. НДС
Профіль CW-100*40  4м, 0,55мм 3.16кг
Надходження товарів і послуг ІБ00-005341 від 18.09.2025 11:00:00
АПК (Глобине)</t>
  </si>
  <si>
    <t>Обл. НДС
Профіль CW-100/40/4м 0.55мм
Надходження товарів і послуг ІБ00-007091 від 28.11.2025 11:00:00
АПК (Глобине)</t>
  </si>
  <si>
    <t>Обл. НДС
Профіль CW-100/50/4м 0.55мм
Надходження товарів і послуг ІБ00-007090 від 28.11.2025 11:00:00
АПК (Глобине)</t>
  </si>
  <si>
    <t>Обл. НДС
Профіль CW-100/50/4м 0.55мм
Надходження товарів і послуг ІБ00-007091 від 28.11.2025 11:00:00
АПК (Глобине)</t>
  </si>
  <si>
    <t>Обл. НДС
Грунт глибокого проникнення з/в універсальна 10л
Надходження товарів і послуг ІБ00-000503 від 27.01.2026 11:00:00
АПК (Глобине)</t>
  </si>
  <si>
    <t>Обл. НДС
Шпаклівка гіпсова для швів 10кг
Надходження товарів і послуг ІБ00-000503 від 27.01.2026 11:00:00
АПК (Глобине)</t>
  </si>
  <si>
    <t>Обл. НДС
Шпаклівка гіпсова для швів 5кг
Надходження товарів і послуг ІБ00-000503 від 27.01.2026 11:00:00
АПК (Глобине)</t>
  </si>
  <si>
    <t>Обл. НДС
Шпаклівка фініш 25кг
Надходження товарів і послуг ІБ00-008142 від 19.12.2025 11:00:00
АПК (Глобине)</t>
  </si>
  <si>
    <t>Обл. НДС
Шпаклівка фініш 25кг
Надходження товарів і послуг ІБ00-008145 від 19.12.2025 11:00:00
АПК (Глобине)</t>
  </si>
  <si>
    <t>Обл. НДС
Плитка зовнішня SOLANO LIGHT GREY MATT 598*598*83
Надходження товарів і послуг ІБ00-006829 від 11.11.2025 11:00:00
АПК (Глобине)</t>
  </si>
  <si>
    <t>Обл. НДС
Затирка однокомпонентна антрацит 114/5кг Ultracolor Plus
Надходження товарів і послуг ІБ00-006829 від 11.11.2025 11:00:00
АПК (Глобине)</t>
  </si>
  <si>
    <t>Обл. НДС
Клей для плитки (25 кг)
Надходження товарів і послуг ІБ00-000503 від 27.01.2026 11:00:00
АПК (Глобине)</t>
  </si>
  <si>
    <t>11.02.2026</t>
  </si>
  <si>
    <t>Надходження товарів і послуг ІБ00-000663 від 11.02.2026 11:00:00
Оприходованы ТМЦ (Зачет аванса поставщику)</t>
  </si>
  <si>
    <t>Обл. НДС
Сендвіч-панель ТПК стінова 100 мм МВ 1180 мм відкр.замок С 0,5 PS/C 0,5 PS 6,980м трап5005/9003
Надходження товарів і послуг ІБ00-000663 від 11.02.2026 11:00:00
Цех екстракції (Глобине)</t>
  </si>
  <si>
    <t>Обл. НДС
Сендвіч-панель ТПК стінова 100 мм МВ 1180 мм відкр.замок С 0,5 PS/C 0,5 PS 7,180м трап5005/9003
Надходження товарів і послуг ІБ00-000663 від 11.02.2026 11:00:00
Цех екстракції (Глобине)</t>
  </si>
  <si>
    <t>Обл. НДС
Сендвіч-панель ТПК стінова 100 мм МВ 1180 мм відкр.замок С 0,5 PS/C 0,5 PS 6,980м трап9006/9003
Надходження товарів і послуг ІБ00-000663 від 11.02.2026 11:00:00
Цех екстракції (Глобине)</t>
  </si>
  <si>
    <t>Обл. НДС
Сендвіч-панель ТПК стінова 100 мм МВ 1180 мм відкр.замок С 0,5 PS/C 0,5 PS 2,090м (трап9006/9003
Надходження товарів і послуг ІБ00-000663 від 11.02.2026 11:00:00
Цех екстракції (Глобине)</t>
  </si>
  <si>
    <t>Надходження товарів і послуг ІБ00-000667 від 11.02.2026 11:00:00
Оприходованы ТМЦ</t>
  </si>
  <si>
    <t>Обл. НДС
Вставка редукційна для зварювання 3/4"х1/2", MF, клас 3000, вуглецева сталь A105N
Надходження товарів і послуг ІБ00-000667 від 11.02.2026 11:00:00
Цех екстракції (Глобине)</t>
  </si>
  <si>
    <t>СПЕШАЛ ЕЛЛОЙЗ ТРЕЙДІНГ УКРАЇНА ТОВ
Дог.7/07  07.07.2025_Глобино-2
Рахунок на оплату постачальника ІБ00-000586 від 27.01.2026 17:41:10</t>
  </si>
  <si>
    <t>Обл. НДС
Вставка редукційна для зварювання 1"х3/4", MF, клас 3000, вуглецева сталь A105N
Надходження товарів і послуг ІБ00-000667 від 11.02.2026 11:00:00
Цех екстракції (Глобине)</t>
  </si>
  <si>
    <t>Реалізація товарів і послуг ІБ00-000032 від 11.02.2026 14:29:15
Списаны ТМЦ</t>
  </si>
  <si>
    <t>Реалізація товарів і послуг ІБ00-000033 від 11.02.2026 14:30:35
Списаны ТМЦ</t>
  </si>
  <si>
    <t>Надходження товарів і послуг ІБ00-000573 від 11.02.2026 15:33:22
Оприходованы ТМЦ</t>
  </si>
  <si>
    <t>Обл. НДС
Фланець надвижний приварний 2" SO, PN16, RF, 304L SS, TYPE 12B, BS EN1092-1
Надходження товарів і послуг ІБ00-000573 від 11.02.2026 15:33:22
Цех екстракції (Глобине)</t>
  </si>
  <si>
    <t>СПЕШАЛ ЕЛЛОЙЗ ТРЕЙДІНГ УКРАЇНА ТОВ
Дог.7/07  07.07.2025_Глобино-2
Рахунок на оплату постачальника ІБ00-003844 від 19.08.2025 21:48:52</t>
  </si>
  <si>
    <t>Обл. НДС
Фланець надвижний приварний 5" SO, PN16, RF, 304L SS, TYPE 12B, BS EN1092-1
Надходження товарів і послуг ІБ00-000573 від 11.02.2026 15:33:22
Цех екстракції (Глобине)</t>
  </si>
  <si>
    <t>Надходження товарів і послуг ІБ00-000574 від 11.02.2026 16:54:02
Оприходованы ТМЦ</t>
  </si>
  <si>
    <t>Обл. НДС
Фланець надвижний приварний 2" SO, PN16, RF, 304L SS, TYPE 12B, BS EN1092-1
Надходження товарів і послуг ІБ00-000574 від 11.02.2026 16:54:02
Цех екстракції (Глобине)</t>
  </si>
  <si>
    <t>СПЕШАЛ ЕЛЛОЙЗ ТРЕЙДІНГ УКРАЇНА ТОВ
Дог.7/07  07.07.2025_Глобино-2
Рахунок на оплату постачальника ІБ00-005137 від 01.10.2025 23:00:13</t>
  </si>
  <si>
    <t>Обл. НДС
Фланець надвижний приварний 5" SO, PN16, RF, 304L SS, TYPE 12B, BS EN1092-1
Надходження товарів і послуг ІБ00-000574 від 11.02.2026 16:54:02
Цех екстракції (Глобине)</t>
  </si>
  <si>
    <t>Обл. НДС
Фланець надвижний приварний 14" SO, PN16, RF, 304L SS, TYPE 12B, BS EN1092-1
Надходження товарів і послуг ІБ00-000574 від 11.02.2026 16:54:02
Цех екстракції (Глобине)</t>
  </si>
  <si>
    <t>Надходження товарів і послуг ІБ00-000579 від 11.02.2026 17:45:04
Оприходованы ТМЦ</t>
  </si>
  <si>
    <t>Обл. НДС
Балка 45 (ІРЕ 450) S275 JR, 12 м
Надходження товарів і послуг ІБ00-000579 від 11.02.2026 17:45:04
Цех_Глобино</t>
  </si>
  <si>
    <t>Обл. НДС
Круг 18 мм
Надходження товарів і послуг ІБ00-000579 від 11.02.2026 17:45:04
Цех_Глобино</t>
  </si>
  <si>
    <t>Обл. НДС
Круг 20 мм 3 ПС, 6 м
Надходження товарів і послуг ІБ00-000579 від 11.02.2026 17:45:04
Цех_Глобино</t>
  </si>
  <si>
    <t>Обл. НДС
Лист 8 (г.к)  (1,5х6) ((1,5*6,0) 14637 3сп5)
Надходження товарів і послуг ІБ00-000579 від 11.02.2026 17:45:04
Цех_Глобино</t>
  </si>
  <si>
    <t>Обл. НДС
Лист г/к 10,0 мм 1500*6000, S235 JR
Надходження товарів і послуг ІБ00-000579 від 11.02.2026 17:45:04
Цех_Глобино</t>
  </si>
  <si>
    <t>Обл. НДС
Лист 16 (г.к)  (1,5х6) imp ((1,5*6,0) S235JR)
Надходження товарів і послуг ІБ00-000579 від 11.02.2026 17:45:04
Цех_Глобино</t>
  </si>
  <si>
    <t>Обл. НДС
Лист г/к 20*1500*6000, S355J2
Надходження товарів і послуг ІБ00-000579 від 11.02.2026 17:45:04
Цех_Глобино</t>
  </si>
  <si>
    <t>Обл. НДС
Лист рифлений 3*1500*3000 
Надходження товарів і послуг ІБ00-000579 від 11.02.2026 17:45:04
Цех_Глобино</t>
  </si>
  <si>
    <t>Обл. НДС
Труба 159*6
Надходження товарів і послуг ІБ00-000579 від 11.02.2026 17:45:04
Цех_Глобино</t>
  </si>
  <si>
    <t>Обл. НДС
Труба 219*6 ст1-3 сп/пс L=6,05
Надходження товарів і послуг ІБ00-000579 від 11.02.2026 17:45:04
Цех_Глобино</t>
  </si>
  <si>
    <t>Обл. НДС
Труба 140*140*5 мм (12,5-8940:2019 08пк/1-3пс)
Надходження товарів і послуг ІБ00-000579 від 11.02.2026 17:45:04
Цех_Глобино</t>
  </si>
  <si>
    <t>Обл. НДС
труба 160*160*4,0мм 6м
Надходження товарів і послуг ІБ00-000579 від 11.02.2026 17:45:04
Цех_Глобино</t>
  </si>
  <si>
    <t>Обл. НДС
Швелер 30П міра 12,00 м 
Надходження товарів і послуг ІБ00-000579 від 11.02.2026 17:45:04
Цех_Глобино</t>
  </si>
  <si>
    <t>Надходження дод. витрат ІБ00-000057 від 11.02.2026 17:45:05
Доп. расходы при поступлении товаров</t>
  </si>
  <si>
    <t>Надходження товарів і послуг ІБ00-000587 від 11.02.2026 17:45:16
Оприходованы ТМЦ</t>
  </si>
  <si>
    <t>Обл. НДС
Перехід концентричний безшовний 18'' х 16' STD вуглецева сталь ASTM A 234 Grade WPB ASME B 16.9
Надходження товарів і послуг ІБ00-000587 від 11.02.2026 17:45:16
Цех екстракції (Глобине)</t>
  </si>
  <si>
    <t>СПЕШАЛ ЕЛЛОЙЗ ТРЕЙДІНГ УКРАЇНА ТОВ
Дог.7/07  07.07.2025_Глобино-2
Рахунок на оплату постачальника ІБ00-005136 від 01.10.2025 23:00:12</t>
  </si>
  <si>
    <t>Обл. НДС
Перехід ексцентричний безшовний 3'' х 1 1/2" STD вуглецева сталь ASTM A 234 Grade WPB ASME B 16.9
Надходження товарів і послуг ІБ00-000587 від 11.02.2026 17:45:16
Цех екстракції (Глобине)</t>
  </si>
  <si>
    <t>Обл. НДС
Перехід ексцентричний безшовний 4'' х 2' STD вуглецева сталь ASTM A 234 Grade WPB ASME B 16.9
Надходження товарів і послуг ІБ00-000587 від 11.02.2026 17:45:16
Цех екстракції (Глобине)</t>
  </si>
  <si>
    <t>Обл. НДС
Перехід ексцентричний безшовний 6'' х 4' STD вуглецева сталь ASTM A 234 Grade WPB ASME B 16.9
Надходження товарів і послуг ІБ00-000587 від 11.02.2026 17:45:16
Цех екстракції (Глобине)</t>
  </si>
  <si>
    <t>Обл. НДС
Ніпель трубний приварний 1/2"x6", sch80 PBE, вуглецева сталь ASTM/ASME A/SA 106, довжина 152,4 мм
Надходження товарів і послуг ІБ00-000587 від 11.02.2026 17:45:16
Цех екстракції (Глобине)</t>
  </si>
  <si>
    <t>Обл. НДС
Штуцер врізки (Соколет) 3/4" x 1" - 2 1/2", PN 100, муфтова зварка (SW), стикова зварка (BW), ASTM/A
Надходження товарів і послуг ІБ00-000587 від 11.02.2026 17:45:16
Цех екстракції (Глобине)</t>
  </si>
  <si>
    <t>Обл. НДС
Штуцер врізки (Соколет) 3/4" x 3" - 80", PN 100, муфтова зварка (SW), стикова зварка (BW), ASTM/ASME
Надходження товарів і послуг ІБ00-000587 від 11.02.2026 17:45:16
Цех екстракції (Глобине)</t>
  </si>
  <si>
    <t>Обл. НДС
Штуцер врізки (Соколет) 1/2" x 3/4" - 80", PN 100, муфтова зварка (SW), стикова зварка (BW), ASTM/AS
Надходження товарів і послуг ІБ00-000587 від 11.02.2026 17:45:16
Цех екстракції (Глобине)</t>
  </si>
  <si>
    <t>Обл. НДС
Штуцер врізки (Велдолет) 3"x1", S/STD, стикова зварка BW end: MSS SP97 ANSI B16.25 A105 N
Надходження товарів і послуг ІБ00-000587 від 11.02.2026 17:45:16
Цех екстракції (Глобине)</t>
  </si>
  <si>
    <t>Обл. НДС
Штуцер врізки (Велдолет) 4"x1", S/STD, стикова зварка BW end: MSS SP97 ANSI B16.25 A105 N
Надходження товарів і послуг ІБ00-000587 від 11.02.2026 17:45:16
Цех екстракції (Глобине)</t>
  </si>
  <si>
    <t>Обл. НДС
Штуцер врізки (Велдолет) 6"x1", S/STD, стикова зварка BW end: MSS SP97 ANSI B16.25 A105 N
Надходження товарів і послуг ІБ00-000587 від 11.02.2026 17:45:16
Цех екстракції (Глобине)</t>
  </si>
  <si>
    <t>Обл. НДС
Штуцер врізки (Велдолет) 8"x2", S/STD, стикова зварка BW end: MSS SP97 ANSI B16.25 A105 N
Надходження товарів і послуг ІБ00-000587 від 11.02.2026 17:45:16
Цех екстракції (Глобине)</t>
  </si>
  <si>
    <t>Обл. НДС
Штуцер врізки (Велдолет) 10"x3", S/STD, стикова зварка BW end: MSS SP97 ANSI B16.25 A105 N
Надходження товарів і послуг ІБ00-000587 від 11.02.2026 17:45:16
Цех екстракції (Глобине)</t>
  </si>
  <si>
    <t>Обл. НДС
Штуцер врізки (Велдолет) 14"x4", S/STD, стикова зварка BW end: MSS SP97 ANSI B16.25 A105 N
Надходження товарів і послуг ІБ00-000587 від 11.02.2026 17:45:16
Цех екстракції (Глобине)</t>
  </si>
  <si>
    <t>Обл. НДС
Штуцер врізки (Велдолет) 20"x1 1/2", S/STD, стикова зварка BW end: MSS SP97 ANSI B16.25 A105 N
Надходження товарів і послуг ІБ00-000587 від 11.02.2026 17:45:16
Цех екстракції (Глобине)</t>
  </si>
  <si>
    <t>Обл. НДС
Трійник безшовний 1'' STD вуглецева сталь ASTM A 234 WPB
Надходження товарів і послуг ІБ00-000587 від 11.02.2026 17:45:16
Цех екстракції (Глобине)</t>
  </si>
  <si>
    <t>Обл. НДС
Трійник безшовний 1 1/2" STD вуглецева сталь ASTM A 234 WPB
Надходження товарів і послуг ІБ00-000587 від 11.02.2026 17:45:16
Цех екстракції (Глобине)</t>
  </si>
  <si>
    <t>Обл. НДС
Трійник безшовний 2" STD вуглецева сталь ASTM A 234 WPB
Надходження товарів і послуг ІБ00-000587 від 11.02.2026 17:45:16
Цех екстракції (Глобине)</t>
  </si>
  <si>
    <t>Обл. НДС
Трійник безшовний 3'' STD вуглецева сталь ASTM A 234 WPB
Надходження товарів і послуг ІБ00-000587 від 11.02.2026 17:45:16
Цех екстракції (Глобине)</t>
  </si>
  <si>
    <t>Обл. НДС
Трійник безшовний 4'' STD вуглецева сталь ASTM A 234 WPB
Надходження товарів і послуг ІБ00-000587 від 11.02.2026 17:45:16
Цех екстракції (Глобине)</t>
  </si>
  <si>
    <t>Обл. НДС
Трійник безшовний 12'' STD вуглецева сталь ASTM A 234 WPB
Надходження товарів і послуг ІБ00-000587 від 11.02.2026 17:45:16
Цех екстракції (Глобине)</t>
  </si>
  <si>
    <t>Обл. НДС
Трійник безшовний редукційний 2"х 1" STD вуглецева сталь ASTM A 234 WPB
Надходження товарів і послуг ІБ00-000587 від 11.02.2026 17:45:16
Цех екстракції (Глобине)</t>
  </si>
  <si>
    <t>Обл. НДС
Трійник безшовний редукційний 6"х 3" STD вуглецева сталь ASTM A 234 WPB
Надходження товарів і послуг ІБ00-000587 від 11.02.2026 17:45:16
Цех екстракції (Глобине)</t>
  </si>
  <si>
    <t>Обл. НДС
Трійник приварний SW 3/4", вуглецева сталь A/SA 105N, клас 3000, ASME B16.11
Надходження товарів і послуг ІБ00-000587 від 11.02.2026 17:45:16
Цех екстракції (Глобине)</t>
  </si>
  <si>
    <t>Обл. НДС
Муфта повна DN 15, PN 100, зварка/внутрішня різьба ISO 7-1, матеріал P235GH ISO 4144
Надходження товарів і послуг ІБ00-000587 від 11.02.2026 17:45:16
Цех екстракції (Глобине)</t>
  </si>
  <si>
    <t>Обл. НДС
Втулка редукційна DN 40x25 PN 100 різьбова внутр./зовн.ISO 7-1, матеріал P235GH ISO 4144
Надходження товарів і послуг ІБ00-000587 від 11.02.2026 17:45:16
Цех екстракції (Глобине)</t>
  </si>
  <si>
    <t>Обл. НДС
Втулка редукційна DN 40x25 PN 16 різьбова внутр./зовн.ISO 7-1, матеріал A197 (EN-GJMB-350-10)
Надходження товарів і послуг ІБ00-000587 від 11.02.2026 17:45:16
Цех екстракції (Глобине)</t>
  </si>
  <si>
    <t>Обл. НДС
Втулка редукційна DN 50x40 PN 16 різьбова внутр./зовн.ISO 7-1, матеріал A197 (EN-GJMB-350-10)
Надходження товарів і послуг ІБ00-000587 від 11.02.2026 17:45:16
Цех екстракції (Глобине)</t>
  </si>
  <si>
    <t>Обл. НДС
Коліно 45° DN 25 (1") , PN 16, різьба ISO 7-1, Вн/Вн, матеріал EN-GJMB-350-10
Надходження товарів і послуг ІБ00-000587 від 11.02.2026 17:45:16
Цех екстракції (Глобине)</t>
  </si>
  <si>
    <t>Обл. НДС
Коліно 45° DN 50 (2") , PN 16, різьба ISO 7-1, Вн/Вн, матеріал EN-GJMB-350-10
Надходження товарів і послуг ІБ00-000587 від 11.02.2026 17:45:16
Цех екстракції (Глобине)</t>
  </si>
  <si>
    <t>Обл. НДС
Коліно 90° DN 15 (1/2") , PN 16, різьба ISO 7-1, Вн/Вн, матеріал EN-GJMB-350-10
Надходження товарів і послуг ІБ00-000587 від 11.02.2026 17:45:16
Цех екстракції (Глобине)</t>
  </si>
  <si>
    <t>Обл. НДС
Коліно 90° DN 20 (3/4") , PN 16, різьба ISO 7-1, Вн/Вн, матеріал EN-GJMB-350-10
Надходження товарів і послуг ІБ00-000587 від 11.02.2026 17:45:16
Цех екстракції (Глобине)</t>
  </si>
  <si>
    <t>Обл. НДС
Коліно 90° DN 50 (2") , PN 16, різьба ISO 7-1, Вн/Вн, матеріал EN-GJMB-350-10
Надходження товарів і послуг ІБ00-000587 від 11.02.2026 17:45:16
Цех екстракції (Глобине)</t>
  </si>
  <si>
    <t>Обл. НДС
Муфта редукційна редукційна різьбова 2"x1", PN 16, матеріал EN-GJMB-350-10 (А197)
Надходження товарів і послуг ІБ00-000587 від 11.02.2026 17:45:16
Цех екстракції (Глобине)</t>
  </si>
  <si>
    <t>Обл. НДС
З’єднання роз’ємне (уніон) різьба Вн/Вн 1/2", PN 16, матеріал EN-GJMB-350-10 (A105)
Надходження товарів і послуг ІБ00-000587 від 11.02.2026 17:45:16
Цех екстракції (Глобине)</t>
  </si>
  <si>
    <t>Обл. НДС
З’єднання роз’ємне (уніон) різьба Вн/Вн 3/4", PN 16, матеріал EN-GJMB-350-10 (A105)
Надходження товарів і послуг ІБ00-000587 від 11.02.2026 17:45:16
Цех екстракції (Глобине)</t>
  </si>
  <si>
    <t>Обл. НДС
З’єднання роз’ємне (уніон) різьба Вн/Вн 1", PN 16, матеріал EN-GJMB-350-10 (A105)
Надходження товарів і послуг ІБ00-000587 від 11.02.2026 17:45:16
Цех екстракції (Глобине)</t>
  </si>
  <si>
    <t>Обл. НДС
З’єднання роз’ємне (уніон) різьба Вн/Вн 1 1/2", PN 16, матеріал EN-GJMB-350-10 (A105)
Надходження товарів і послуг ІБ00-000587 від 11.02.2026 17:45:16
Цех екстракції (Глобине)</t>
  </si>
  <si>
    <t>Обл. НДС
З’єднання роз’ємне (уніон) різьба Вн/Вн 2", PN 16, матеріал EN-GJMB-350-10 (A105)
Надходження товарів і послуг ІБ00-000587 від 11.02.2026 17:45:16
Цех екстракції (Глобине)</t>
  </si>
  <si>
    <t>Обл. НДС
Ніпель трубний різьбовий 1/2"х4" Зовн/Зовн, TBE сталь ASTM/ASME A/SA 106B, довжина 100 мм
Надходження товарів і послуг ІБ00-000587 від 11.02.2026 17:45:16
Цех екстракції (Глобине)</t>
  </si>
  <si>
    <t>Обл. НДС
Ніпель трубний різьбовий 1 1/2"х4" Зовн/Зовн, TBE сталь ASTM/ASME A/SA 106B, довжина 100 мм
Надходження товарів і послуг ІБ00-000587 від 11.02.2026 17:45:16
Цех екстракції (Глобине)</t>
  </si>
  <si>
    <t>Обл. НДС
Ніпель DN15 × 50 мм, різьбовий з одного кінця (BSP) TOE, зварний, EN 10255 S195T (A106)
Надходження товарів і послуг ІБ00-000587 від 11.02.2026 17:45:16
Цех екстракції (Глобине)</t>
  </si>
  <si>
    <t>Обл. НДС
Ніпель DN20 × 100 мм, різьбовий з одного кінця (BSP) TOE, зварний, EN 10255 S195T (A106)
Надходження товарів і послуг ІБ00-000587 від 11.02.2026 17:45:16
Цех екстракції (Глобине)</t>
  </si>
  <si>
    <t>Обл. НДС
Ніпель DN15 × 150 мм, різьбовий з одного кінця (BSP) TOE, зварний, EN 10255 S195T (A106)
Надходження товарів і послуг ІБ00-000587 від 11.02.2026 17:45:16
Цех екстракції (Глобине)</t>
  </si>
  <si>
    <t>Обл. НДС
Ніпель DN25 × 150 мм, різьбовий з одного кінця (BSP) TOE, зварний, EN 10255 S195T (A106)
Надходження товарів і послуг ІБ00-000587 від 11.02.2026 17:45:16
Цех екстракції (Глобине)</t>
  </si>
  <si>
    <t>Обл. НДС
Відгалуження зварне різьбове Тредолет DN400 x DN15 (16"x1/2") PN 100 (клас 3000), BSP R 1/2" EN 1022
Надходження товарів і послуг ІБ00-000587 від 11.02.2026 17:45:16
Цех екстракції (Глобине)</t>
  </si>
  <si>
    <t>Обл. НДС
Відгалуження зварне різьбове Тредолет DN50 x DN15 (2"x1/2") PN 100 (клас 3000), BSP R 1/2" EN 10222-
Надходження товарів і послуг ІБ00-000587 від 11.02.2026 17:45:16
Цех екстракції (Глобине)</t>
  </si>
  <si>
    <t>Обл. НДС
Відгалуження зварне різьбове Тредолет DN50 x DN15 (3"x1/2") PN 100 (клас 3000), BSP R 1/2" EN 10222-
Надходження товарів і послуг ІБ00-000587 від 11.02.2026 17:45:16
Цех екстракції (Глобине)</t>
  </si>
  <si>
    <t>Обл. НДС
Відгалуження зварне різьбове Тредолет 1"x 6"-10", 3M MSS-SP97 вуглецева сталь А105
Надходження товарів і послуг ІБ00-000587 від 11.02.2026 17:45:16
Цех екстракції (Глобине)</t>
  </si>
  <si>
    <t>Обл. НДС
Відгалуження зварне різьбове Тредолет DN250 x DN15 (10"x1/2") PN 100 (клас 3000), BSP R 1/2" EN 1022
Надходження товарів і послуг ІБ00-000587 від 11.02.2026 17:45:16
Цех екстракції (Глобине)</t>
  </si>
  <si>
    <t>Обл. НДС
Трійник редукційний різьбовий DN20 x DN15, PN16, BSP внутрішня, матеріал KTH 350-10, EN 10242
Надходження товарів і послуг ІБ00-000587 від 11.02.2026 17:45:16
Цех екстракції (Глобине)</t>
  </si>
  <si>
    <t>Обл. НДС
Трійник редукційний різьбовий DN25 x DN20, PN16, BSP внутрішня, матеріал KTH 350-10, EN 10242
Надходження товарів і послуг ІБ00-000587 від 11.02.2026 17:45:16
Цех екстракції (Глобине)</t>
  </si>
  <si>
    <t>Обл. НДС
Трійник редукційний різьбовий DN40 x DN15, PN16, BSP внутрішня, матеріал KTH 350-10, EN 10242
Надходження товарів і послуг ІБ00-000587 від 11.02.2026 17:45:16
Цех екстракції (Глобине)</t>
  </si>
  <si>
    <t>Обл. НДС
Трійник редукційний різьбовий DN50 x DN25, PN16, BSP внутрішня, матеріал KTH 350-10, EN 10242
Надходження товарів і послуг ІБ00-000587 від 11.02.2026 17:45:16
Цех екстракції (Глобине)</t>
  </si>
  <si>
    <t>Обл. НДС
Трійник різьбовий DN15, PN16, різьба BSP внутрішня, матеріал KTH 350-10, EN 10242
Надходження товарів і послуг ІБ00-000587 від 11.02.2026 17:45:16
Цех екстракції (Глобине)</t>
  </si>
  <si>
    <t>Обл. НДС
Трійник різьбовий DN25, PN16, різьба BSP внутрішня, матеріал KTH 350-10, EN 10242
Надходження товарів і послуг ІБ00-000587 від 11.02.2026 17:45:16
Цех екстракції (Глобине)</t>
  </si>
  <si>
    <t>Обл. НДС
Трійник різьбовий DN40, PN16, різьба BSP внутрішня, матеріал KTH 350-10, EN 10242
Надходження товарів і послуг ІБ00-000587 від 11.02.2026 17:45:16
Цех екстракції (Глобине)</t>
  </si>
  <si>
    <t>Обл. НДС
Трійник різьбовий DN50, PN16, різьба BSP внутрішня, матеріал KTH 350-10, EN 10242
Надходження товарів і послуг ІБ00-000587 від 11.02.2026 17:45:16
Цех екстракції (Глобине)</t>
  </si>
  <si>
    <t>Обл. НДС
Трійник різьбовий DN20, PN100 (3000 LB), різьба BSP внутрішня, вуглецева сталь P245GH, EN 10222-2
Надходження товарів і послуг ІБ00-000587 від 11.02.2026 17:45:16
Цех екстракції (Глобине)</t>
  </si>
  <si>
    <t>Обл. НДС
Заглушка шестикутна, різьба зовнішня DN25 BSP, PN16, матеріал KTH 350-10, EN 10242
Надходження товарів і послуг ІБ00-000587 від 11.02.2026 17:45:16
Цех екстракції (Глобине)</t>
  </si>
  <si>
    <t>Обл. НДС
Муфта різьбова 1" Вн/Вн, PN 16, матеріал EN-GJMB-350-10 (KTH 350-10, А197)
Надходження товарів і послуг ІБ00-000587 від 11.02.2026 17:45:16
Цех екстракції (Глобине)</t>
  </si>
  <si>
    <t>Обл. НДС
Муфта різьбова 1 1/2" Вн/Вн, PN 16, матеріал EN-GJMB-350-10 (KTH 350-10, А197)
Надходження товарів і послуг ІБ00-000587 від 11.02.2026 17:45:16
Цех екстракції (Глобине)</t>
  </si>
  <si>
    <t>Обл. НДС
Муфта різьбова 2" Вн/Вн, PN 16, матеріал EN-GJMB-350-10 (KTH 350-10, А197)
Надходження товарів і послуг ІБ00-000587 від 11.02.2026 17:45:16
Цех екстракції (Глобине)</t>
  </si>
  <si>
    <t>Обл. НДС
Відгалуження зварне різьбове Тредолет DN100 x DN15 (4"x1/2") PN 100 (клас 3000), BSP R 1/2" EN 10222
Надходження товарів і послуг ІБ00-000587 від 11.02.2026 17:45:16
Цех екстракції (Глобине)</t>
  </si>
  <si>
    <t>Вимога-накладна ІБ00-000111 від 11.02.2026 17:45:30
Списаны ТМЦ</t>
  </si>
  <si>
    <t>12.02.2026</t>
  </si>
  <si>
    <t>Реалізація товарів і послуг ІБ00-000034 від 12.02.2026 09:28:35
Списаны ТМЦ</t>
  </si>
  <si>
    <t>Реалізація товарів і послуг ІБ00-000035 від 12.02.2026 09:37:49
Списаны ТМЦ</t>
  </si>
  <si>
    <t>Надходження товарів і послуг ІБ00-000634 від 12.02.2026 11:00:00
Оприходованы ТМЦ (Зачет аванса поставщику)</t>
  </si>
  <si>
    <t>Обл. НДС
Газоблок ХСМ 375*200*600 D500
Надходження товарів і послуг ІБ00-000634 від 12.02.2026 11:00:00
СПК (Глобине)</t>
  </si>
  <si>
    <t>Обл. НДС
Клей для газобетону ХСМ МР2 (25 кг)
Надходження товарів і послуг ІБ00-000634 від 12.02.2026 11:00:00
СПК (Глобине)</t>
  </si>
  <si>
    <t>Надходження товарів і послуг ІБ00-000858 від 12.02.2026 11:00:00
Оприходованы ТМЦ</t>
  </si>
  <si>
    <t>Обл. НДС
Алюмінієві конструкції світлопрозорі
Надходження товарів і послуг ІБ00-000858 від 12.02.2026 11:00:00
АПК (Глобине)</t>
  </si>
  <si>
    <t>АЛЮМІКС-ПІВДЕНЬ ТОВ
Договір №291025 від 29.10.2025_Глобине 2
Рахунок на оплату постачальника ІБ00-005331 від 29.10.2025 18:47:01</t>
  </si>
  <si>
    <t>Надходження товарів і послуг ІБ00-000858 від 12.02.2026 11:00:00
Оприходованы ТМЦ (Зачет аванса поставщику)</t>
  </si>
  <si>
    <t>Надходження товарів і послуг ІБ00-000859 від 12.02.2026 11:00:00
Оприходованы ТМЦ (Зачет аванса поставщику)</t>
  </si>
  <si>
    <t>Обл. НДС
Алюмінієві конструкції світлопрозорі
Надходження товарів і послуг ІБ00-000859 від 12.02.2026 11:00:00
АПК (Глобине)</t>
  </si>
  <si>
    <t>АЛЮМІКС-ПІВДЕНЬ ТОВ
Договір №291025 від 29.10.2025_Глобине 2
Рахунок на оплату постачальника ІБ00-005329 від 29.10.2025 18:46:59</t>
  </si>
  <si>
    <t>Надходження товарів і послуг ІБ00-000860 від 12.02.2026 11:00:00
Оприходованы ТМЦ</t>
  </si>
  <si>
    <t>Обл. НДС
Алюмінієві конструкції світлопрозорі
Надходження товарів і послуг ІБ00-000860 від 12.02.2026 11:00:00
АПК (Глобине)</t>
  </si>
  <si>
    <t>АЛЮМІКС-ПІВДЕНЬ ТОВ
Договір №291025 від 29.10.2025_Глобине 2
Рахунок на оплату постачальника ІБ00-005330 від 29.10.2025 18:47:00</t>
  </si>
  <si>
    <t>Надходження товарів і послуг ІБ00-000860 від 12.02.2026 11:00:00
Оприходованы ТМЦ (Зачет аванса поставщику)</t>
  </si>
  <si>
    <t>Надходження товарів і послуг ІБ00-000861 від 12.02.2026 11:00:00
Оприходованы ТМЦ</t>
  </si>
  <si>
    <t>Обл. НДС
Конструкції світлопрозорі з Алюмінієвого профілю
Надходження товарів і послуг ІБ00-000861 від 12.02.2026 11:00:00
АПК (Глобине)</t>
  </si>
  <si>
    <t>АЛЮМІКС-ПІВДЕНЬ ТОВ
Договір №291025 від 29.10.2025_Глобине 2
Рахунок на оплату постачальника ІБ00-005328 від 29.10.2025 18:46:58</t>
  </si>
  <si>
    <t>Надходження товарів і послуг ІБ00-000861 від 12.02.2026 11:00:00
Оприходованы ТМЦ (Зачет аванса поставщику)</t>
  </si>
  <si>
    <t>Реалізація товарів і послуг ІБ00-000037 від 12.02.2026 16:09:24
Списаны ТМЦ</t>
  </si>
  <si>
    <t>Переміщення товарів ІБ00-000270 від 12.02.2026 22:00:04
Перемещение ТМЦ</t>
  </si>
  <si>
    <t>Обл. НДС
Лист г/к 10,0 мм 1500*6000, S235 JR
Переміщення товарів ІБ00-000270 від 12.02.2026 22:00:04
Цех_Глобино Виробничий</t>
  </si>
  <si>
    <t>Обл. НДС
Лист 16 (г.к)  (1,5х6) imp ((1,5*6,0) S235JR)
Переміщення товарів ІБ00-000270 від 12.02.2026 22:00:04
Цех_Глобино Виробничий</t>
  </si>
  <si>
    <t>Обл. НДС
Круг 20 мм 3 ПС, 6 м
Переміщення товарів ІБ00-000270 від 12.02.2026 22:00:04
Цех_Глобино Виробничий</t>
  </si>
  <si>
    <t>Обл. НДС
Круг 20 мм 3 ПС, 6 м
Надходження товарів і послуг ІБ00-004727 від 28.08.2025 18:11:55
Цех_Глобино</t>
  </si>
  <si>
    <t>Обл. НДС
Балка 45 (ІРЕ 450) S275 JR, 12 м
Переміщення товарів ІБ00-000270 від 12.02.2026 22:00:04
Цех_Глобино Виробничий</t>
  </si>
  <si>
    <t>Обл. НДС
Балка 45 (ІРЕ 450) S275 JR, 12 м
Надходження товарів і послуг ІБ00-005293 від 19.09.2025 18:18:38
Цех_Глобино</t>
  </si>
  <si>
    <t>Обл. НДС
Лист г/к 20*1500*6000, S355J2
Переміщення товарів ІБ00-000270 від 12.02.2026 22:00:04
Цех_Глобино Виробничий</t>
  </si>
  <si>
    <t>Обл. НДС
Лист г/к 20*1500*6000, S355J2
Надходження товарів і послуг ІБ00-004240 від 05.08.2025 18:00:45
Цех_Глобино</t>
  </si>
  <si>
    <t>Обл. НДС
Труба 159*6
Переміщення товарів ІБ00-000270 від 12.02.2026 22:00:04
Цех_Глобино Виробничий</t>
  </si>
  <si>
    <t>Обл. НДС
Труба 219*6 ст1-3 сп/пс L=6,05
Переміщення товарів ІБ00-000270 від 12.02.2026 22:00:04
Цех_Глобино Виробничий</t>
  </si>
  <si>
    <t>Обл. НДС
Труба 219*6 ст1-3 сп/пс L=6,05
Надходження товарів і послуг ІБ00-006955 від 01.11.2025 08:00:42
Цех_Глобино</t>
  </si>
  <si>
    <t>Обл. НДС
труба 100*100*4,0мм 12м
Переміщення товарів ІБ00-000270 від 12.02.2026 22:00:04
Цех_Глобино Виробничий</t>
  </si>
  <si>
    <t>Обл. НДС
Труба 140*140*5 мм (12,5-8940:2019 08пк/1-3пс)
Переміщення товарів ІБ00-000270 від 12.02.2026 22:00:04
Цех_Глобино Виробничий</t>
  </si>
  <si>
    <t>Обл. НДС
Труба 60х60х4,0мм МІРА 6м
Переміщення товарів ІБ00-000270 від 12.02.2026 22:00:04
Цех_Глобино Виробничий</t>
  </si>
  <si>
    <t>Обл. НДС
Труба 60х60х4,0мм МІРА 6м
Надходження товарів і послуг ІБ00-006955 від 01.11.2025 08:00:42
Цех_Глобино</t>
  </si>
  <si>
    <t>Обл. НДС
Швелер 30П міра 12,00 м 
Переміщення товарів ІБ00-000270 від 12.02.2026 22:00:04
Цех_Глобино Виробничий</t>
  </si>
  <si>
    <t>Обл. НДС
Швелер 30П міра 12,00 м 
Надходження товарів і послуг ІБ00-004269 від 06.08.2025 18:31:15
Цех_Глобино</t>
  </si>
  <si>
    <t>13.02.2026</t>
  </si>
  <si>
    <t>Надходження товарів і послуг ІБ00-000635 від 13.02.2026 11:00:00
Оприходованы ТМЦ</t>
  </si>
  <si>
    <t>Обл. НДС
Газоблок ХСМ 375*200*600 D500
Надходження товарів і послуг ІБ00-000635 від 13.02.2026 11:00:00
СПК (Глобине)</t>
  </si>
  <si>
    <t>Надходження товарів і послуг ІБ00-000635 від 13.02.2026 11:00:00
Оприходованы ТМЦ (Зачет аванса поставщику)</t>
  </si>
  <si>
    <t>Обл. НДС
Газоблок ХСМ 100*200*600 D500
Надходження товарів і послуг ІБ00-000635 від 13.02.2026 11:00:00
СПК (Глобине)</t>
  </si>
  <si>
    <t>Надходження товарів і послуг ІБ00-000720 від 13.02.2026 11:00:00
Оприходованы ТМЦ</t>
  </si>
  <si>
    <t>Обл. НДС
Прокладка паронітова на газ міжфланцева Ду300 382*318*2мм
Надходження товарів і послуг ІБ00-000720 від 13.02.2026 11:00:00
Резервуарний парк соєвої меляси (Глобине)</t>
  </si>
  <si>
    <t>Надходження товарів і послуг ІБ00-000662 від 16.02.2026 11:00:00
Оприходованы ТМЦ (Зачет аванса поставщику)</t>
  </si>
  <si>
    <t>Обл. НДС
Клей-герметик д/сендвіч-панелей Soudaflex 40 FC  (12 шт/уп) (600мл(шт.) білий)
Надходження товарів і послуг ІБ00-000662 від 16.02.2026 11:00:00
Цех екстракції (Глобине)</t>
  </si>
  <si>
    <t>Надходження товарів і послуг ІБ00-000629 від 16.02.2026 18:40:20
Оприходованы ТМЦ (Зачет аванса поставщику)</t>
  </si>
  <si>
    <t>Обл. НДС
Сендвіч-панель ТПК стінова 100 мм МВ 1180 мм відкр.замок С 0,5 PS/C 0,5 PS білий 6,980м
Надходження товарів і послуг ІБ00-000629 від 16.02.2026 18:40:20
Цех екстракції (Глобине)</t>
  </si>
  <si>
    <t>Обл. НДС
Сендвіч-панель ТПК стінова 100 мм МВ 1180 мм відкр.замок С 0,5 PS/C 0,5 PS білий 2,240м
Надходження товарів і послуг ІБ00-000629 від 16.02.2026 18:40:20
Цех екстракції (Глобине)</t>
  </si>
  <si>
    <t>Обл. НДС
Сендвіч-панель ТПК стінова 100 мм МВ 1180 мм відкр.замок С 0,5 PS/C 0,5 PS 2,090м (трап9006/9003
Надходження товарів і послуг ІБ00-000629 від 16.02.2026 18:40:20
Цех екстракції (Глобине)</t>
  </si>
  <si>
    <t>Надходження товарів і послуг ІБ00-000929 від 16.02.2026 18:41:10
Оприходованы ТМЦ</t>
  </si>
  <si>
    <t>Обл. НДС
Швелер 10П 
Надходження товарів і послуг ІБ00-000929 від 16.02.2026 18:41:10
Цех_Глобино</t>
  </si>
  <si>
    <t>Обл. НДС
Швелер 12П ст.1-3сп/пс 5 кат L= 12000
Надходження товарів і послуг ІБ00-000929 від 16.02.2026 18:41:10
Цех_Глобино</t>
  </si>
  <si>
    <t>Обл. НДС
Швелер 14П  (140 12,05 8240 3пс)
Надходження товарів і послуг ІБ00-000929 від 16.02.2026 18:41:10
Цех_Глобино</t>
  </si>
  <si>
    <t>Обл. НДС
Швелер 16П  S275JR,12 м
Надходження товарів і послуг ІБ00-000929 від 16.02.2026 18:41:10
Цех_Глобино</t>
  </si>
  <si>
    <t>Обл. НДС
Швелер 24П ст.3сп/пс 5, 12 м
Надходження товарів і послуг ІБ00-000929 від 16.02.2026 18:41:10
Цех_Глобино</t>
  </si>
  <si>
    <t>17.02.2026</t>
  </si>
  <si>
    <t>Надходження товарів і послуг ІБ00-000680 від 17.02.2026 11:00:00
Оприходованы ТМЦ</t>
  </si>
  <si>
    <t>Обл. НДС
Суміш для анкерування СХ 15, 25 кг
Надходження товарів і послуг ІБ00-000680 від 17.02.2026 11:00:00
Насосна Градирня (Глобине)</t>
  </si>
  <si>
    <t>ФОРТЕЦЯ
Рахунки_Глобине-2
Рахунок на оплату постачальника ІБ00-000595 від 16.02.2026 18:40:48</t>
  </si>
  <si>
    <t>Надходження товарів і послуг ІБ00-000712 від 17.02.2026 11:00:00
Оприходованы ТМЦ (Зачет аванса поставщику)</t>
  </si>
  <si>
    <t>Обл. НДС
Решітковий настил KOZ 34*38/30*3/оц/1784*445
Надходження товарів і послуг ІБ00-000712 від 17.02.2026 11:00:00
Транспортна галерея Естакада 3.5 (Глобине)</t>
  </si>
  <si>
    <t>Червоноградський завод металоконструкцій
Договір поставки № 44 від 11.06.2020 р._Глобино-2
Рахунок на оплату постачальника ІБ00-000039 від 01.01.2026 11:00:55</t>
  </si>
  <si>
    <t>Обл. НДС
Решітковий настил KOZ 34*38/30*3/оц/1784*1000
Надходження товарів і послуг ІБ00-000712 від 17.02.2026 11:00:00
Транспортна галерея Естакада 3.5 (Глобине)</t>
  </si>
  <si>
    <t>Надходження товарів і послуг ІБ00-000712 від 17.02.2026 11:00:00
Оприходованы ТМЦ</t>
  </si>
  <si>
    <t>Обл. НДС
Решітковий настил KOZ 34*38/30*3/оц/ 1840*1000
Надходження товарів і послуг ІБ00-000712 від 17.02.2026 11:00:00
Транспортна галерея Естакада 3.5 (Глобине)</t>
  </si>
  <si>
    <t>Обл. НДС
Решітковий настил KOZ/34x38/30x3 оц. /1691*1000
Надходження товарів і послуг ІБ00-000712 від 17.02.2026 11:00:00
Транспортна галерея Естакада 3.5 (Глобине)</t>
  </si>
  <si>
    <t>Обл. НДС
Решітковий настил KOZ/34x38/30x3 оц. /1787*982
Надходження товарів і послуг ІБ00-000712 від 17.02.2026 11:00:00
Транспортна галерея Естакада 3.5 (Глобине)</t>
  </si>
  <si>
    <t>Обл. НДС
Решітковий настил KOZ 34*38/40*3/оц/ 1840*1172
Надходження товарів і послуг ІБ00-000712 від 17.02.2026 11:00:00
Транспортна галерея Естакада 3.5 (Глобине)</t>
  </si>
  <si>
    <t>Обл. НДС
Решітковий настил KOZ/34x38/30x3 оц. /1000*796
Надходження товарів і послуг ІБ00-000712 від 17.02.2026 11:00:00
Транспортна галерея Естакада 3.5 (Глобине)</t>
  </si>
  <si>
    <t>Обл. НДС
Решітковий настил KOZ 34*38/30*3/оц/1833*1000
Надходження товарів і послуг ІБ00-000712 від 17.02.2026 11:00:00
Транспортна галерея Естакада 3.5 (Глобине)</t>
  </si>
  <si>
    <t>Обл. НДС
Сходинки S6 SOZ/34*38/25*3/оц/800*205
Надходження товарів і послуг ІБ00-000712 від 17.02.2026 11:00:00
Транспортна галерея Естакада 3.5 (Глобине)</t>
  </si>
  <si>
    <t>Обл. НДС
Кріплення стандартні
Надходження товарів і послуг ІБ00-000712 від 17.02.2026 11:00:00
Транспортна галерея Естакада 3.5 (Глобине)</t>
  </si>
  <si>
    <t>Обл. НДС
Кріплення гакове до швелера 12
Надходження товарів і послуг ІБ00-000712 від 17.02.2026 11:00:00
Транспортна галерея Естакада 3.5 (Глобине)</t>
  </si>
  <si>
    <t>Обл. НДС
Кріплення для сходинок
Надходження товарів і послуг ІБ00-000712 від 17.02.2026 11:00:00
Транспортна галерея Естакада 3.5 (Глобине)</t>
  </si>
  <si>
    <t>Надходження товарів і послуг ІБ00-000713 від 17.02.2026 11:00:00
Оприходованы ТМЦ (Зачет аванса поставщику)</t>
  </si>
  <si>
    <t>Обл. НДС
Решітковий настил KOZ/34x38/30x3 оц. /1692*1142
Надходження товарів і послуг ІБ00-000713 від 17.02.2026 11:00:00
Транспортна галерея (Глобине)</t>
  </si>
  <si>
    <t>Червоноградський завод металоконструкцій
Договір поставки № 44 від 11.06.2020 р._Глобино-2
Рахунок на оплату постачальника ІБ00-000040 від 01.01.2026 11:00:56</t>
  </si>
  <si>
    <t>Обл. НДС
Решітковий настил KOZ 34*38/30*3/оц/1958*448
Надходження товарів і послуг ІБ00-000713 від 17.02.2026 11:00:00
Транспортна галерея (Глобине)</t>
  </si>
  <si>
    <t>Обл. НДС
Решітковий настил KOZ/34x38/30x3 оц. /2076*160
Надходження товарів і послуг ІБ00-000713 від 17.02.2026 11:00:00
Транспортна галерея (Глобине)</t>
  </si>
  <si>
    <t>Обл. НДС
Решітковий настил KOZ 34*38/30*3/оц/1998*1142
Надходження товарів і послуг ІБ00-000713 від 17.02.2026 11:00:00
Транспортна галерея (Глобине)</t>
  </si>
  <si>
    <t>Обл. НДС
Решітковий настил KOZ 34*38/30*3/оц/1998*448
Надходження товарів і послуг ІБ00-000713 від 17.02.2026 11:00:00
Транспортна галерея (Глобине)</t>
  </si>
  <si>
    <t>Обл. НДС
Решітковий настил KOZ 34*38/30*3/оц/1998*160
Надходження товарів і послуг ІБ00-000713 від 17.02.2026 11:00:00
Транспортна галерея (Глобине)</t>
  </si>
  <si>
    <t>Обл. НДС
Решітковий настил KOZ 34*38/30*3/оц/1726*160
Надходження товарів і послуг ІБ00-000713 від 17.02.2026 11:00:00
Транспортна галерея (Глобине)</t>
  </si>
  <si>
    <t>Обл. НДС
Решітковий настил KOZ 34*38/30*3/оц/ 1960*454
Надходження товарів і послуг ІБ00-000713 від 17.02.2026 11:00:00
Транспортна галерея (Глобине)</t>
  </si>
  <si>
    <t>Обл. НДС
Решітковий настил KOZ/34x38/30x3 оц. /  2604*1204       
Надходження товарів і послуг ІБ00-000713 від 17.02.2026 11:00:00
Транспортна галерея (Глобине)</t>
  </si>
  <si>
    <t>Обл. НДС
Решітковий настил KOZ/34x38/30x3 оц. /982*1116
Надходження товарів і послуг ІБ00-000713 від 17.02.2026 11:00:00
Транспортна галерея (Глобине)</t>
  </si>
  <si>
    <t>Обл. НДС
Решітковий настил KOZ/34x38/30x3 оц. /844*1000      
Надходження товарів і послуг ІБ00-000713 від 17.02.2026 11:00:00
Транспортна галерея (Глобине)</t>
  </si>
  <si>
    <t>Обл. НДС
Решітковий настил KOZ/34x38/30x3 оц. /  1884X1000       
Надходження товарів і послуг ІБ00-000713 від 17.02.2026 11:00:00
Транспортна галерея (Глобине)</t>
  </si>
  <si>
    <t>Обл. НДС
Решітковий настил KOZ/34x38/30x3 оц. /  2131X1000       
Надходження товарів і послуг ІБ00-000713 від 17.02.2026 11:00:00
Транспортна галерея (Глобине)</t>
  </si>
  <si>
    <t>Обл. НДС
Решітковий настил KOZ 34*38/30*3/оц/ 2050*861
Надходження товарів і послуг ІБ00-000713 від 17.02.2026 11:00:00
Транспортна галерея (Глобине)</t>
  </si>
  <si>
    <t>Обл. НДС
Решітковий настил KOZ/34x38/30x3 оц. /2080*448
Надходження товарів і послуг ІБ00-000713 від 17.02.2026 11:00:00
Транспортна галерея (Глобине)</t>
  </si>
  <si>
    <t>Обл. НДС
Решітковий настил KOZ/34x38/30x3 оц. / 2077*181
Надходження товарів і послуг ІБ00-000713 від 17.02.2026 11:00:00
Транспортна галерея (Глобине)</t>
  </si>
  <si>
    <t>Обл. НДС
Решітковий настил KOZ 34*38/30*3/оц/1950*981
Надходження товарів і послуг ІБ00-000713 від 17.02.2026 11:00:00
Транспортна галерея (Глобине)</t>
  </si>
  <si>
    <t>Обл. НДС
Решітковий настил KOZ 34*38/30*3/оц/1950*448
Надходження товарів і послуг ІБ00-000713 від 17.02.2026 11:00:00
Транспортна галерея (Глобине)</t>
  </si>
  <si>
    <t>Обл. НДС
Решітковий настил KOZ 34*38/30*3/оц/1950*181
Надходження товарів і послуг ІБ00-000713 від 17.02.2026 11:00:00
Транспортна галерея (Глобине)</t>
  </si>
  <si>
    <t>Обл. НДС
Решітковий настил KOZ 34*38/30*3/оц/1550*981
Надходження товарів і послуг ІБ00-000713 від 17.02.2026 11:00:00
Транспортна галерея (Глобине)</t>
  </si>
  <si>
    <t>Обл. НДС
Решітковий настил KOZ 34*38/30*3/оц/1550*448
Надходження товарів і послуг ІБ00-000713 від 17.02.2026 11:00:00
Транспортна галерея (Глобине)</t>
  </si>
  <si>
    <t>Обл. НДС
Решітковий настил KOZ/34x38/30x3 оц. /  1920X181    
Надходження товарів і послуг ІБ00-000713 від 17.02.2026 11:00:00
Транспортна галерея (Глобине)</t>
  </si>
  <si>
    <t>Обл. НДС
Решітковий настил KOZ 34*38/30*3/оц/1575*981
Надходження товарів і послуг ІБ00-000713 від 17.02.2026 11:00:00
Транспортна галерея (Глобине)</t>
  </si>
  <si>
    <t>Обл. НДС
Решітковий настил KOZ 34*38/30*3/оц/1575*448
Надходження товарів і послуг ІБ00-000713 від 17.02.2026 11:00:00
Транспортна галерея (Глобине)</t>
  </si>
  <si>
    <t>Обл. НДС
Решітковий настил KOZ/34x38/30x3 оц. /  1145X181        
Надходження товарів і послуг ІБ00-000713 від 17.02.2026 11:00:00
Транспортна галерея (Глобине)</t>
  </si>
  <si>
    <t>Обл. НДС
Решітковий настил KOZ 34*38/30*3/оц/ 1750*981
Надходження товарів і послуг ІБ00-000713 від 17.02.2026 11:00:00
Транспортна галерея (Глобине)</t>
  </si>
  <si>
    <t>Обл. НДС
Решітковий настил KOZ 34*38/30*3/оц/ 1750*448
Надходження товарів і послуг ІБ00-000713 від 17.02.2026 11:00:00
Транспортна галерея (Глобине)</t>
  </si>
  <si>
    <t>Обл. НДС
Решітковий настил KOZ 34*38/30*3/оц/ 1750*181
Надходження товарів і послуг ІБ00-000713 від 17.02.2026 11:00:00
Транспортна галерея (Глобине)</t>
  </si>
  <si>
    <t>Обл. НДС
Решітковий настил S6 KOZ 34*38/30*3/оц/1780*981
Надходження товарів і послуг ІБ00-000713 від 17.02.2026 11:00:00
Транспортна галерея (Глобине)</t>
  </si>
  <si>
    <t>Обл. НДС
Решітковий настил S6 KOZ 34*38/30*3/оц/1780*448
Надходження товарів і послуг ІБ00-000713 від 17.02.2026 11:00:00
Транспортна галерея (Глобине)</t>
  </si>
  <si>
    <t>Обл. НДС
Решітковий настил S6 KOZ 34*38/30*3/оц/1780*181
Надходження товарів і послуг ІБ00-000713 від 17.02.2026 11:00:00
Транспортна галерея (Глобине)</t>
  </si>
  <si>
    <t>Обл. НДС
Решітковий настил KOZ 34*38/30*3/оц/2238*981
Надходження товарів і послуг ІБ00-000713 від 17.02.2026 11:00:00
Транспортна галерея (Глобине)</t>
  </si>
  <si>
    <t>Обл. НДС
Решітковий настил KOZ 34*38/30*3/оц/2238*448
Надходження товарів і послуг ІБ00-000713 від 17.02.2026 11:00:00
Транспортна галерея (Глобине)</t>
  </si>
  <si>
    <t>Обл. НДС
Решітковий настил KOZ 34*38/30*3/оц/2238*181
Надходження товарів і послуг ІБ00-000713 від 17.02.2026 11:00:00
Транспортна галерея (Глобине)</t>
  </si>
  <si>
    <t>Обл. НДС
Решітковий настил S6 KOZ 34*38/30*3/оц/2000*981
Надходження товарів і послуг ІБ00-000713 від 17.02.2026 11:00:00
Транспортна галерея (Глобине)</t>
  </si>
  <si>
    <t>Обл. НДС
Решітковий настил KOZ 34*38/30*3/оц/2000*448
Надходження товарів і послуг ІБ00-000713 від 17.02.2026 11:00:00
Транспортна галерея (Глобине)</t>
  </si>
  <si>
    <t>Обл. НДС
Решітковий настил S6 KOZ 34*38/30*3/оц/2000*181
Надходження товарів і послуг ІБ00-000713 від 17.02.2026 11:00:00
Транспортна галерея (Глобине)</t>
  </si>
  <si>
    <t>Обл. НДС
Решітковий настил S6 KOZ 34*38/30*3/оц/2000*910
Надходження товарів і послуг ІБ00-000713 від 17.02.2026 11:00:00
Транспортна галерея (Глобине)</t>
  </si>
  <si>
    <t>Обл. НДС
Решітковий настил S6 KOZ 34*38/30*3/оц/1019*661
Надходження товарів і послуг ІБ00-000713 від 17.02.2026 11:00:00
Транспортна галерея (Глобине)</t>
  </si>
  <si>
    <t>Обл. НДС
Решітковий настил KOZ 34*38/30*3/оц/1000*661
Надходження товарів і послуг ІБ00-000713 від 17.02.2026 11:00:00
Транспортна галерея (Глобине)</t>
  </si>
  <si>
    <t>Обл. НДС
Решітковий настил S6 KOZ 34*38/30*3/оц/1093*661
Надходження товарів і послуг ІБ00-000713 від 17.02.2026 11:00:00
Транспортна галерея (Глобине)</t>
  </si>
  <si>
    <t>Обл. НДС
Решітковий настил S6 KOZ 34*38/30*3/оц/1802*181
Надходження товарів і послуг ІБ00-000713 від 17.02.2026 11:00:00
Транспортна галерея (Глобине)</t>
  </si>
  <si>
    <t>Обл. НДС
Решітковий настил S6 KOZ 34*38/30*3/оц/2182*448
Надходження товарів і послуг ІБ00-000713 від 17.02.2026 11:00:00
Транспортна галерея (Глобине)</t>
  </si>
  <si>
    <t>Обл. НДС
Решітковий настил S6 KOZ 34*38/30*3/оц/2182*981
Надходження товарів і послуг ІБ00-000713 від 17.02.2026 11:00:00
Транспортна галерея (Глобине)</t>
  </si>
  <si>
    <t>Обл. НДС
Решітковий настил S6 KOZ 34*38/30*3/оц/1650*981
Надходження товарів і послуг ІБ00-000713 від 17.02.2026 11:00:00
Транспортна галерея (Глобине)</t>
  </si>
  <si>
    <t>Обл. НДС
Решітковий настил S6 KOZ 34*38/30*3/оц/1650*448
Надходження товарів і послуг ІБ00-000713 від 17.02.2026 11:00:00
Транспортна галерея (Глобине)</t>
  </si>
  <si>
    <t>Обл. НДС
Решітковий настил S6 KOZ 34*38/30*3/оц/1970*181
Надходження товарів і послуг ІБ00-000713 від 17.02.2026 11:00:00
Транспортна галерея (Глобине)</t>
  </si>
  <si>
    <t>Обл. НДС
Решітковий настил S6 KOZ 34*38/30*3/оц/1720*181
Надходження товарів і послуг ІБ00-000713 від 17.02.2026 11:00:00
Транспортна галерея (Глобине)</t>
  </si>
  <si>
    <t>Обл. НДС
Решітковий настил S6 KOZ 34*38/30*3/оц/ 1350*448
Надходження товарів і послуг ІБ00-000713 від 17.02.2026 11:00:00
Транспортна галерея (Глобине)</t>
  </si>
  <si>
    <t>Обл. НДС
Решітковий настил S6 KOZ 34*38/30*3/оц/1350*981
Надходження товарів і послуг ІБ00-000713 від 17.02.2026 11:00:00
Транспортна галерея (Глобине)</t>
  </si>
  <si>
    <t>Обл. НДС
Решітковий настил S6 KOZ 34*38/30*3/оц/1477*981
Надходження товарів і послуг ІБ00-000713 від 17.02.2026 11:00:00
Транспортна галерея (Глобине)</t>
  </si>
  <si>
    <t>Надходження товарів і послуг ІБ00-000713 від 17.02.2026 11:00:00
Оприходованы ТМЦ</t>
  </si>
  <si>
    <t>Обл. НДС
Решітковий настил S6 KOZ 34*38/30*3/оц/1477*448
Надходження товарів і послуг ІБ00-000713 від 17.02.2026 11:00:00
Транспортна галерея (Глобине)</t>
  </si>
  <si>
    <t>Обл. НДС
Решітковий настил S6 KOZ 34*38/30*3/оц/1047*181
Надходження товарів і послуг ІБ00-000713 від 17.02.2026 11:00:00
Транспортна галерея (Глобине)</t>
  </si>
  <si>
    <t>Обл. НДС
Решітковий настил S6 KOZ 34*38/30*3/оц/1548*981
Надходження товарів і послуг ІБ00-000713 від 17.02.2026 11:00:00
Транспортна галерея (Глобине)</t>
  </si>
  <si>
    <t>Обл. НДС
Решітковий настил S6 KOZ 34*38/30*3/оц/1548*448
Надходження товарів і послуг ІБ00-000713 від 17.02.2026 11:00:00
Транспортна галерея (Глобине)</t>
  </si>
  <si>
    <t>Обл. НДС
Решітковий настил S6 KOZ 34*38/30*3/оц/1548*181
Надходження товарів і послуг ІБ00-000713 від 17.02.2026 11:00:00
Транспортна галерея (Глобине)</t>
  </si>
  <si>
    <t>Обл. НДС
Решітковий настил S6 KOZ 34*38/30*3/оц/1550*181
Надходження товарів і послуг ІБ00-000713 від 17.02.2026 11:00:00
Транспортна галерея (Глобине)</t>
  </si>
  <si>
    <t>Обл. НДС
Решітковий настил S6 KOZ 34*38/30*3/оц/1045*181
Надходження товарів і послуг ІБ00-000713 від 17.02.2026 11:00:00
Транспортна галерея (Глобине)</t>
  </si>
  <si>
    <t>Обл. НДС
Решітковий настил S6 KOZ 34*38/30*3/оц/1475*981
Надходження товарів і послуг ІБ00-000713 від 17.02.2026 11:00:00
Транспортна галерея (Глобине)</t>
  </si>
  <si>
    <t>Обл. НДС
Решітковий настил S6 KOZ 34*38/30*3/оц/1475*448
Надходження товарів і послуг ІБ00-000713 від 17.02.2026 11:00:00
Транспортна галерея (Глобине)</t>
  </si>
  <si>
    <t>Обл. НДС
Решітковий настил S6 KOZ 34*38/30*3/оц/ 916*641
Надходження товарів і послуг ІБ00-000713 від 17.02.2026 11:00:00
Транспортна галерея (Глобине)</t>
  </si>
  <si>
    <t>Обл. НДС
Решітковий настил S6 KOZ 34*38/30*3/оц/ 1320*642
Надходження товарів і послуг ІБ00-000713 від 17.02.2026 11:00:00
Транспортна галерея (Глобине)</t>
  </si>
  <si>
    <t>Обл. НДС
Решітковий настил S6 KOZ/34x38/30x3 оц. /1691*560
Надходження товарів і послуг ІБ00-000713 від 17.02.2026 11:00:00
Транспортна галерея (Глобине)</t>
  </si>
  <si>
    <t>Обл. НДС
Решітковий настил S6 KOZ/34x38/30x3 оц. /545*559
Надходження товарів і послуг ІБ00-000713 від 17.02.2026 11:00:00
Транспортна галерея (Глобине)</t>
  </si>
  <si>
    <t>Обл. НДС
Решітковий настил S6 KOZ/34x38/30x3 оц. /875*448
Надходження товарів і послуг ІБ00-000713 від 17.02.2026 11:00:00
Транспортна галерея (Глобине)</t>
  </si>
  <si>
    <t>Обл. НДС
Решітковий настил S6 KOZ/34x38/30x3 оц. /1320*448
Надходження товарів і послуг ІБ00-000713 від 17.02.2026 11:00:00
Транспортна галерея (Глобине)</t>
  </si>
  <si>
    <t>Обл. НДС
Решітковий настил S6 KOZ/34x38/30x3 оц. /1650*660
Надходження товарів і послуг ІБ00-000713 від 17.02.2026 11:00:00
Транспортна галерея (Глобине)</t>
  </si>
  <si>
    <t>Обл. НДС
Решітковий настил S6 KOZ/34x38/30x3 оц. /545*660
Надходження товарів і послуг ІБ00-000713 від 17.02.2026 11:00:00
Транспортна галерея (Глобине)</t>
  </si>
  <si>
    <t>Обл. НДС
Решітковий настил S6 KOZ/34x38/30x3 оц. /1791*1040
Надходження товарів і послуг ІБ00-000713 від 17.02.2026 11:00:00
Транспортна галерея (Глобине)</t>
  </si>
  <si>
    <t>Обл. НДС
Решітковий настил S6 KOZ/34x38/30x3 оц. /775*1040
Надходження товарів і послуг ІБ00-000713 від 17.02.2026 11:00:00
Транспортна галерея (Глобине)</t>
  </si>
  <si>
    <t>Обл. НДС
Решітковий настил S6 KOZ/34x38/30x3 оц. /545*1040
Надходження товарів і послуг ІБ00-000713 від 17.02.2026 11:00:00
Транспортна галерея (Глобине)</t>
  </si>
  <si>
    <t>Обл. НДС
Решітковий настил S6 KOZ/34x38/30x3 оц. /1579*819
Надходження товарів і послуг ІБ00-000713 від 17.02.2026 11:00:00
Транспортна галерея (Глобине)</t>
  </si>
  <si>
    <t>Обл. НДС
Решітковий настил S6 KOZ/34x38/30x3 оц. /1152*714
Надходження товарів і послуг ІБ00-000713 від 17.02.2026 11:00:00
Транспортна галерея (Глобине)</t>
  </si>
  <si>
    <t>Обл. НДС
Решітковий настил S6 KOZ/34x38/30x3 оц. /1152*1000
Надходження товарів і послуг ІБ00-000713 від 17.02.2026 11:00:00
Транспортна галерея (Глобине)</t>
  </si>
  <si>
    <t>Обл. НДС
Решітковий настил S6 KOZ/34x38/30x3 оц. /2250*1016
Надходження товарів і послуг ІБ00-000713 від 17.02.2026 11:00:00
Транспортна галерея (Глобине)</t>
  </si>
  <si>
    <t>Обл. НДС
Решітковий настил S6 KOZ/34x38/30x3 оц. /2250*448
Надходження товарів і послуг ІБ00-000713 від 17.02.2026 11:00:00
Транспортна галерея (Глобине)</t>
  </si>
  <si>
    <t>Обл. НДС
Решітковий настил S6 KOZ/34x38/30x3 оц. /2196*125
Надходження товарів і послуг ІБ00-000713 від 17.02.2026 11:00:00
Транспортна галерея (Глобине)</t>
  </si>
  <si>
    <t>Обл. НДС
Решітковий настил S6 KOZ/34x38/30x3 оц. /1850*1012
Надходження товарів і послуг ІБ00-000713 від 17.02.2026 11:00:00
Транспортна галерея (Глобине)</t>
  </si>
  <si>
    <t>Обл. НДС
Решітковий настил S6 KOZ/34x38/30x3 оц. /1848*448
Надходження товарів і послуг ІБ00-000713 від 17.02.2026 11:00:00
Транспортна галерея (Глобине)</t>
  </si>
  <si>
    <t>Обл. НДС
Решітковий настил S6 KOZ/34x38/30x3 оц. /1850*129
Надходження товарів і послуг ІБ00-000713 від 17.02.2026 11:00:00
Транспортна галерея (Глобине)</t>
  </si>
  <si>
    <t>Обл. НДС
Решітковий настил S6 KOZ/34x38/30x3 оц. /1850*1009
Надходження товарів і послуг ІБ00-000713 від 17.02.2026 11:00:00
Транспортна галерея (Глобине)</t>
  </si>
  <si>
    <t>Обл. НДС
Решітковий настил S6 KOZ/34x38/30x3 оц. /1850*448
Надходження товарів і послуг ІБ00-000713 від 17.02.2026 11:00:00
Транспортна галерея (Глобине)</t>
  </si>
  <si>
    <t>Обл. НДС
Решітковий настил S6 KOZ/34x38/30x3 оц. /1850*132
Надходження товарів і послуг ІБ00-000713 від 17.02.2026 11:00:00
Транспортна галерея (Глобине)</t>
  </si>
  <si>
    <t>Обл. НДС
Решітковий настил S6 KOZ/34x38/30x3 оц. /1450*1003
Надходження товарів і послуг ІБ00-000713 від 17.02.2026 11:00:00
Транспортна галерея (Глобине)</t>
  </si>
  <si>
    <t>Обл. НДС
Решітковий настил S6 KOZ/34x38/30x3 оц. /1450*448
Надходження товарів і послуг ІБ00-000713 від 17.02.2026 11:00:00
Транспортна галерея (Глобине)</t>
  </si>
  <si>
    <t>Обл. НДС
Решітковий настил S6 KOZ/34x38/30x3 оц. /1820*138
Надходження товарів і послуг ІБ00-000713 від 17.02.2026 11:00:00
Транспортна галерея (Глобине)</t>
  </si>
  <si>
    <t>Обл. НДС
Решітковий настил S6 KOZ/34x38/30x3 оц. /1525*1001
Надходження товарів і послуг ІБ00-000713 від 17.02.2026 11:00:00
Транспортна галерея (Глобине)</t>
  </si>
  <si>
    <t>Обл. НДС
Решітковий настил S6 KOZ/34x38/30x3 оц. /1525*448
Надходження товарів і послуг ІБ00-000713 від 17.02.2026 11:00:00
Транспортна галерея (Глобине)</t>
  </si>
  <si>
    <t>Обл. НДС
Решітковий настил S6 KOZ/34x38/30x3 оц. /1094*141
Надходження товарів і послуг ІБ00-000713 від 17.02.2026 11:00:00
Транспортна галерея (Глобине)</t>
  </si>
  <si>
    <t>Обл. НДС
Решітковий настил S6 KOZ/34x38/30x3 оц. /1650*999
Надходження товарів і послуг ІБ00-000713 від 17.02.2026 11:00:00
Транспортна галерея (Глобине)</t>
  </si>
  <si>
    <t>Обл. НДС
Решітковий настил S6 KOZ/34x38/30x3 оц. /1650*143
Надходження товарів і послуг ІБ00-000713 від 17.02.2026 11:00:00
Транспортна галерея (Глобине)</t>
  </si>
  <si>
    <t>Обл. НДС
Решітковий настил S6 KOZ/34x38/30x3 оц. /1850*996
Надходження товарів і послуг ІБ00-000713 від 17.02.2026 11:00:00
Транспортна галерея (Глобине)</t>
  </si>
  <si>
    <t>Обл. НДС
Решітковий настил S6 KOZ/34x38/30x3 оц. /1850*146
Надходження товарів і послуг ІБ00-000713 від 17.02.2026 11:00:00
Транспортна галерея (Глобине)</t>
  </si>
  <si>
    <t>Обл. НДС
Решітковий настил S6 KOZ/34x38/30x3 оц. /1650*993
Надходження товарів і послуг ІБ00-000713 від 17.02.2026 11:00:00
Транспортна галерея (Глобине)</t>
  </si>
  <si>
    <t>Обл. НДС
Решітковий настил S6 KOZ/34x38/30x3 оц. /1650*148
Надходження товарів і послуг ІБ00-000713 від 17.02.2026 11:00:00
Транспортна галерея (Глобине)</t>
  </si>
  <si>
    <t>Обл. НДС
Решітковий настил S6 KOZ/34x38/30x3 оц. /1525*990
Надходження товарів і послуг ІБ00-000713 від 17.02.2026 11:00:00
Транспортна галерея (Глобине)</t>
  </si>
  <si>
    <t>Обл. НДС
Решітковий настил S6 KOZ/34x38/30x3 оц. /1525*151
Надходження товарів і послуг ІБ00-000713 від 17.02.2026 11:00:00
Транспортна галерея (Глобине)</t>
  </si>
  <si>
    <t>Обл. НДС
Решітковий настил S6 KOZ/34x38/30x3 оц. /1450*988
Надходження товарів і послуг ІБ00-000713 від 17.02.2026 11:00:00
Транспортна галерея (Глобине)</t>
  </si>
  <si>
    <t>Обл. НДС
Решітковий настил S6 KOZ/34x38/30x3 оц. /1450*153
Надходження товарів і послуг ІБ00-000713 від 17.02.2026 11:00:00
Транспортна галерея (Глобине)</t>
  </si>
  <si>
    <t>Обл. НДС
Решітковий настил S6 KOZ/34x38/30x3 оц. /1850*986
Надходження товарів і послуг ІБ00-000713 від 17.02.2026 11:00:00
Транспортна галерея (Глобине)</t>
  </si>
  <si>
    <t>Обл. НДС
Решітковий настил S6 KOZ/34x38/30x3 оц. /1850*156
Надходження товарів і послуг ІБ00-000713 від 17.02.2026 11:00:00
Транспортна галерея (Глобине)</t>
  </si>
  <si>
    <t>Обл. НДС
Решітковий настил S6 KOZ/34x38/30x3 оц. /1850*983
Надходження товарів і послуг ІБ00-000713 від 17.02.2026 11:00:00
Транспортна галерея (Глобине)</t>
  </si>
  <si>
    <t>Обл. НДС
Решітковий настил S6 KOZ/34x38/30x3 оц. /1850*159
Надходження товарів і послуг ІБ00-000713 від 17.02.2026 11:00:00
Транспортна галерея (Глобине)</t>
  </si>
  <si>
    <t>Обл. НДС
Решітковий настил S6 KOZ/34x38/30x3 оц. /1850*980
Надходження товарів і послуг ІБ00-000713 від 17.02.2026 11:00:00
Транспортна галерея (Глобине)</t>
  </si>
  <si>
    <t>Обл. НДС
Решітковий настил S6 KOZ/34x38/30x3 оц. /1850*162
Надходження товарів і послуг ІБ00-000713 від 17.02.2026 11:00:00
Транспортна галерея (Глобине)</t>
  </si>
  <si>
    <t>Обл. НДС
Решітковий настил S6 KOZ/34x38/30x3 оц. /1750*977
Надходження товарів і послуг ІБ00-000713 від 17.02.2026 11:00:00
Транспортна галерея (Глобине)</t>
  </si>
  <si>
    <t>Обл. НДС
Решітковий настил S6 KOZ/34x38/30x3 оц. /1750*165
Надходження товарів і послуг ІБ00-000713 від 17.02.2026 11:00:00
Транспортна галерея (Глобине)</t>
  </si>
  <si>
    <t>Обл. НДС
Решітковий настил S6 KOZ/34x38/30x3 оц. /609*1000
Надходження товарів і послуг ІБ00-000713 від 17.02.2026 11:00:00
Транспортна галерея (Глобине)</t>
  </si>
  <si>
    <t>Обл. НДС
Решітковий настил S6 KOZ/34x38/30x3 оц. /609*752
Надходження товарів і послуг ІБ00-000713 від 17.02.2026 11:00:00
Транспортна галерея (Глобине)</t>
  </si>
  <si>
    <t>Обл. НДС
Решітковий настил S6 KOZ/34x38/30x3 оц. /1832*946
Надходження товарів і послуг ІБ00-000713 від 17.02.2026 11:00:00
Транспортна галерея (Глобине)</t>
  </si>
  <si>
    <t>Обл. НДС
Решітковий настил S6 KOZ/34x38/30x3 оц. /1832*448
Надходження товарів і послуг ІБ00-000713 від 17.02.2026 11:00:00
Транспортна галерея (Глобине)</t>
  </si>
  <si>
    <t>Обл. НДС
Решітковий настил S6 KOZ/34x38/30x3 оц. /1054*600
Надходження товарів і послуг ІБ00-000713 від 17.02.2026 11:00:00
Транспортна галерея (Глобине)</t>
  </si>
  <si>
    <t>Обл. НДС
Решітковий настил S6 KOZ/34x38/30x3 оц. /1054*1000
Надходження товарів і послуг ІБ00-000713 від 17.02.2026 11:00:00
Транспортна галерея (Глобине)</t>
  </si>
  <si>
    <t>Обл. НДС
Решітковий настил S6 KOZ/34x38/30x3 оц. /1507*405
Надходження товарів і послуг ІБ00-000713 від 17.02.2026 11:00:00
Транспортна галерея (Глобине)</t>
  </si>
  <si>
    <t>Обл. НДС
Решітковий настил S6 KOZ/34x38/30x3 оц. /1508*580
Надходження товарів і послуг ІБ00-000713 від 17.02.2026 11:00:00
Транспортна галерея (Глобине)</t>
  </si>
  <si>
    <t>Обл. НДС
Решітковий настил S6 KOZ/34x38/30x3 оц. /1510*902
Надходження товарів і послуг ІБ00-000713 від 17.02.2026 11:00:00
Транспортна галерея (Глобине)</t>
  </si>
  <si>
    <t>Обл. НДС
Решітковий настил S6 KOZ/34x38/30x3 оц. /1432*1000
Надходження товарів і послуг ІБ00-000713 від 17.02.2026 11:00:00
Транспортна галерея (Глобине)</t>
  </si>
  <si>
    <t>Обл. НДС
Решітковий настил S6 KOZ/34x38/30x3 оц. /946*1000
Надходження товарів і послуг ІБ00-000713 від 17.02.2026 11:00:00
Транспортна галерея (Глобине)</t>
  </si>
  <si>
    <t>Обл. НДС
Решітковий настил S6 KOZ/34x38/30x3 оц. /1850*901
Надходження товарів і послуг ІБ00-000713 від 17.02.2026 11:00:00
Транспортна галерея (Глобине)</t>
  </si>
  <si>
    <t>Обл. НДС
Решітковий настил S6 KOZ/34x38/30x3 оц. /1850*266
Надходження товарів і послуг ІБ00-000713 від 17.02.2026 11:00:00
Транспортна галерея (Глобине)</t>
  </si>
  <si>
    <t>Обл. НДС
Решітковий настил S6 KOZ/34x38/30x3 оц. /1900*880
Надходження товарів і послуг ІБ00-000713 від 17.02.2026 11:00:00
Транспортна галерея (Глобине)</t>
  </si>
  <si>
    <t>Обл. НДС
Решітковий настил S6 KOZ/34x38/30x3 оц. /1900*448
Надходження товарів і послуг ІБ00-000713 від 17.02.2026 11:00:00
Транспортна галерея (Глобине)</t>
  </si>
  <si>
    <t>Обл. НДС
Решітковий настил S6 KOZ/34x38/30x3 оц. /1900*267
Надходження товарів і послуг ІБ00-000713 від 17.02.2026 11:00:00
Транспортна галерея (Глобине)</t>
  </si>
  <si>
    <t>Обл. НДС
Решітковий настил S6 KOZ/34x38/30x3 оц. /950*880
Надходження товарів і послуг ІБ00-000713 від 17.02.2026 11:00:00
Транспортна галерея (Глобине)</t>
  </si>
  <si>
    <t>Обл. НДС
Решітковий настил S6 KOZ/34x38/30x3 оц. /950*448
Надходження товарів і послуг ІБ00-000713 від 17.02.2026 11:00:00
Транспортна галерея (Глобине)</t>
  </si>
  <si>
    <t>Обл. НДС
Решітковий настил S6 KOZ/34x38/30x3 оц. /950*267
Надходження товарів і послуг ІБ00-000713 від 17.02.2026 11:00:00
Транспортна галерея (Глобине)</t>
  </si>
  <si>
    <t>Обл. НДС
Решітковий настил S6 KOZ/34x38/30x3 оц. /1500*879
Надходження товарів і послуг ІБ00-000713 від 17.02.2026 11:00:00
Транспортна галерея (Глобине)</t>
  </si>
  <si>
    <t>Обл. НДС
Решітковий настил S6 KOZ/34x38/30x3 оц. /1500*448
Надходження товарів і послуг ІБ00-000713 від 17.02.2026 11:00:00
Транспортна галерея (Глобине)</t>
  </si>
  <si>
    <t>Обл. НДС
Решітковий настил S6 KOZ/34x38/30x3 оц. /1870*267
Надходження товарів і послуг ІБ00-000713 від 17.02.2026 11:00:00
Транспортна галерея (Глобине)</t>
  </si>
  <si>
    <t>Обл. НДС
Решітковий настил S6 KOZ/34x38/30x3 оц. /1550*879
Надходження товарів і послуг ІБ00-000713 від 17.02.2026 11:00:00
Транспортна галерея (Глобине)</t>
  </si>
  <si>
    <t>Обл. НДС
Решітковий настил S6 KOZ/34x38/30x3 оц. /1120*268
Надходження товарів і послуг ІБ00-000713 від 17.02.2026 11:00:00
Транспортна галерея (Глобине)</t>
  </si>
  <si>
    <t>Обл. НДС
Решітковий настил S6 KOZ/34x38/30x3 оц. /1700*879
Надходження товарів і послуг ІБ00-000713 від 17.02.2026 11:00:00
Транспортна галерея (Глобине)</t>
  </si>
  <si>
    <t>Обл. НДС
Решітковий настил S6 KOZ/34x38/30x3 оц. /1700*448
Надходження товарів і послуг ІБ00-000713 від 17.02.2026 11:00:00
Транспортна галерея (Глобине)</t>
  </si>
  <si>
    <t>Обл. НДС
Решітковий настил S6 KOZ/34x38/30x3 оц. /1700*268
Надходження товарів і послуг ІБ00-000713 від 17.02.2026 11:00:00
Транспортна галерея (Глобине)</t>
  </si>
  <si>
    <t>Обл. НДС
Решітковий настил S6 KOZ/34x38/30x3 оц. /2600*872
Надходження товарів і послуг ІБ00-000713 від 17.02.2026 11:00:00
Транспортна галерея (Глобине)</t>
  </si>
  <si>
    <t>Обл. НДС
Решітковий настил S6 KOZ/34x38/30x3 оц. /2600*270
Надходження товарів і послуг ІБ00-000713 від 17.02.2026 11:00:00
Транспортна галерея (Глобине)</t>
  </si>
  <si>
    <t>Обл. НДС
Решітковий настил S6 KOZ/34x38/30x3 оц. /2600*448
Надходження товарів і послуг ІБ00-000713 від 17.02.2026 11:00:00
Транспортна галерея (Глобине)</t>
  </si>
  <si>
    <t>Обл. НДС
Решітковий настил S6 KOZ/34x38/30x3 оц. /1006*861
Надходження товарів і послуг ІБ00-000713 від 17.02.2026 11:00:00
Транспортна галерея (Глобине)</t>
  </si>
  <si>
    <t>Обл. НДС
Решітковий настил S6 KOZ/34x38/30x3 оц. /1632*271
Надходження товарів і послуг ІБ00-000713 від 17.02.2026 11:00:00
Транспортна галерея (Глобине)</t>
  </si>
  <si>
    <t>Обл. НДС
Решітковий настил S6 KOZ/34x38/30x3 оц. /1632*448
Надходження товарів і послуг ІБ00-000713 від 17.02.2026 11:00:00
Транспортна галерея (Глобине)</t>
  </si>
  <si>
    <t>Обл. НДС
Решітковий настил S6 KOZ/34x38/30x3 оц. /1632*872
Надходження товарів і послуг ІБ00-000713 від 17.02.2026 11:00:00
Транспортна галерея (Глобине)</t>
  </si>
  <si>
    <t>Обл. НДС
Решітковий настил S6 KOZ/34x38/30x3 оц. /863*891
Надходження товарів і послуг ІБ00-000713 від 17.02.2026 11:00:00
Транспортна галерея (Глобине)</t>
  </si>
  <si>
    <t>Обл. НДС
Решітковий настил S6 KOZ/34x38/30x3 оц. /1869*291
Надходження товарів і послуг ІБ00-000713 від 17.02.2026 11:00:00
Транспортна галерея (Глобине)</t>
  </si>
  <si>
    <t>Обл. НДС
Решітковий настил S6 KOZ/34x38/30x3 оц. /1041*1085
Надходження товарів і послуг ІБ00-000713 від 17.02.2026 11:00:00
Транспортна галерея (Глобине)</t>
  </si>
  <si>
    <t>Обл. НДС
Решітковий настил S6 KOZ/34x38/30x3 оц. /1291*712
Надходження товарів і послуг ІБ00-000713 від 17.02.2026 11:00:00
Транспортна галерея (Глобине)</t>
  </si>
  <si>
    <t>Обл. НДС
Решітковий настил S6 KOZ/34x38/30x3 оц. /1291*1000
Надходження товарів і послуг ІБ00-000713 від 17.02.2026 11:00:00
Транспортна галерея (Глобине)</t>
  </si>
  <si>
    <t>Обл. НДС
Решітковий настил S6 KOZ/34x38/30x3 оц. /1715*1021
Надходження товарів і послуг ІБ00-000713 від 17.02.2026 11:00:00
Транспортна галерея (Глобине)</t>
  </si>
  <si>
    <t>Обл. НДС
Решітковий настил S6 KOZ/34x38/30x3 оц. /1715*448
Надходження товарів і послуг ІБ00-000713 від 17.02.2026 11:00:00
Транспортна галерея (Глобине)</t>
  </si>
  <si>
    <t>Обл. НДС
Решітковий настил S6 KOZ/34x38/30x3 оц. /1980*111
Надходження товарів і послуг ІБ00-000713 від 17.02.2026 11:00:00
Транспортна галерея (Глобине)</t>
  </si>
  <si>
    <t>Обл. НДС
Решітковий настил S6 KOZ/34x38/30x3 оц. /1830*1021
Надходження товарів і послуг ІБ00-000713 від 17.02.2026 11:00:00
Транспортна галерея (Глобине)</t>
  </si>
  <si>
    <t>Обл. НДС
Решітковий настил S6 KOZ/34x38/30x3 оц. /1830*448
Надходження товарів і послуг ІБ00-000713 від 17.02.2026 11:00:00
Транспортна галерея (Глобине)</t>
  </si>
  <si>
    <t>Обл. НДС
Решітковий настил S6 KOZ/34x38/30x3 оц. /1830*111
Надходження товарів і послуг ІБ00-000713 від 17.02.2026 11:00:00
Транспортна галерея (Глобине)</t>
  </si>
  <si>
    <t>Обл. НДС
Решітковий настил S6 KOZ/34x38/30x3 оц. /1430*1021
Надходження товарів і послуг ІБ00-000713 від 17.02.2026 11:00:00
Транспортна галерея (Глобине)</t>
  </si>
  <si>
    <t>Обл. НДС
Решітковий настил S6 KOZ/34x38/30x3 оц. /1430*448
Надходження товарів і послуг ІБ00-000713 від 17.02.2026 11:00:00
Транспортна галерея (Глобине)</t>
  </si>
  <si>
    <t>Обл. НДС
Решітковий настил S6 KOZ/34x38/30x3 оц. /1810*111
Надходження товарів і послуг ІБ00-000713 від 17.02.2026 11:00:00
Транспортна галерея (Глобине)</t>
  </si>
  <si>
    <t>Обл. НДС
Решітковий настил S6 KOZ/34x38/30x3 оц. /1515*1021
Надходження товарів і послуг ІБ00-000713 від 17.02.2026 11:00:00
Транспортна галерея (Глобине)</t>
  </si>
  <si>
    <t>Обл. НДС
Решітковий настил S6 KOZ/34x38/30x3 оц. /1515*448
Надходження товарів і послуг ІБ00-000713 від 17.02.2026 11:00:00
Транспортна галерея (Глобине)</t>
  </si>
  <si>
    <t>Обл. НДС
Решітковий настил S6 KOZ/34x38/30x3 оц. /1095*111
Надходження товарів і послуг ІБ00-000713 від 17.02.2026 11:00:00
Транспортна галерея (Глобине)</t>
  </si>
  <si>
    <t>Обл. НДС
Решітковий настил S6 KOZ/34x38/30x3 оц. /1630*1021
Надходження товарів і послуг ІБ00-000713 від 17.02.2026 11:00:00
Транспортна галерея (Глобине)</t>
  </si>
  <si>
    <t>Обл. НДС
Решітковий настил S6 KOZ/34x38/30x3 оц. /1630*448
Надходження товарів і послуг ІБ00-000713 від 17.02.2026 11:00:00
Транспортна галерея (Глобине)</t>
  </si>
  <si>
    <t>Обл. НДС
Решітковий настил S6 KOZ/34x38/30x3 оц. /1630*111
Надходження товарів і послуг ІБ00-000713 від 17.02.2026 11:00:00
Транспортна галерея (Глобине)</t>
  </si>
  <si>
    <t>Обл. НДС
Решітковий настил S6 KOZ/34x38/30x3 оц. /1085*111
Надходження товарів і послуг ІБ00-000713 від 17.02.2026 11:00:00
Транспортна галерея (Глобине)</t>
  </si>
  <si>
    <t>Обл. НДС
Решітковий настил S6 KOZ/34x38/30x3 оц. /1800*111
Надходження товарів і послуг ІБ00-000713 від 17.02.2026 11:00:00
Транспортна галерея (Глобине)</t>
  </si>
  <si>
    <t>Обл. НДС
Решітковий настил S6 KOZ/34x38/30x3 оц. /1715*111
Надходження товарів і послуг ІБ00-000713 від 17.02.2026 11:00:00
Транспортна галерея (Глобине)</t>
  </si>
  <si>
    <t>Обл. НДС
Решітковий настил S6 KOZ/34x38/30x3 оц. /1273*1021
Надходження товарів і послуг ІБ00-000713 від 17.02.2026 11:00:00
Транспортна галерея (Глобине)</t>
  </si>
  <si>
    <t>Обл. НДС
Решітковий настил S6 KOZ/34x38/30x3 оц. /1273*448
Надходження товарів і послуг ІБ00-000713 від 17.02.2026 11:00:00
Транспортна галерея (Глобине)</t>
  </si>
  <si>
    <t>Обл. НДС
Решітковий настил S6 KOZ/34x38/30x3 оц. /1273*714
Надходження товарів і послуг ІБ00-000713 від 17.02.2026 11:00:00
Транспортна галерея (Глобине)</t>
  </si>
  <si>
    <t>Обл. НДС
Решітковий настил S6 KOZ/34x38/30x3 оц. /1400*1021
Надходження товарів і послуг ІБ00-000713 від 17.02.2026 11:00:00
Транспортна галерея (Глобине)</t>
  </si>
  <si>
    <t>Обл. НДС
Решітковий настил S6 KOZ/34x38/30x3 оц. /652*448
Надходження товарів і послуг ІБ00-000713 від 17.02.2026 11:00:00
Транспортна галерея (Глобине)</t>
  </si>
  <si>
    <t>Обл. НДС
Решітковий настил S6 KOZ/34x38/30x3 оц. /1400*714
Надходження товарів і послуг ІБ00-000713 від 17.02.2026 11:00:00
Транспортна галерея (Глобине)</t>
  </si>
  <si>
    <t>Обл. НДС
Решітковий настил S6 KOZ/34x38/30x3 оц. /800*1021
Надходження товарів і послуг ІБ00-000713 від 17.02.2026 11:00:00
Транспортна галерея (Глобине)</t>
  </si>
  <si>
    <t>Обл. НДС
Решітковий настил S6 KOZ/34x38/30x3 оц. /798*448
Надходження товарів і послуг ІБ00-000713 від 17.02.2026 11:00:00
Транспортна галерея (Глобине)</t>
  </si>
  <si>
    <t>Обл. НДС
Решітковий настил S6 KOZ/34x38/30x3 оц. /800*714
Надходження товарів і послуг ІБ00-000713 від 17.02.2026 11:00:00
Транспортна галерея (Глобине)</t>
  </si>
  <si>
    <t>Обл. НДС
Решітковий настил S6 KOZ/34x38/30x3 оц. /1617*860
Надходження товарів і послуг ІБ00-000713 від 17.02.2026 11:00:00
Транспортна галерея (Глобине)</t>
  </si>
  <si>
    <t>Обл. НДС
Решітковий настил S6 KOZ/34x38/30x3 оц. /1617*1000
Надходження товарів і послуг ІБ00-000713 від 17.02.2026 11:00:00
Транспортна галерея (Глобине)</t>
  </si>
  <si>
    <t>Обл. НДС
Решітковий настил S6 KOZ/34x38/30x3 оц. /1617*455
Надходження товарів і послуг ІБ00-000713 від 17.02.2026 11:00:00
Транспортна галерея (Глобине)</t>
  </si>
  <si>
    <t>Обл. НДС
Решітковий настил S6 KOZ/34x38/30x3 оц. /905*860
Надходження товарів і послуг ІБ00-000713 від 17.02.2026 11:00:00
Транспортна галерея (Глобине)</t>
  </si>
  <si>
    <t>Обл. НДС
Решітковий настил S6 KOZ/34x38/30x3 оц. /905*1000
Надходження товарів і послуг ІБ00-000713 від 17.02.2026 11:00:00
Транспортна галерея (Глобине)</t>
  </si>
  <si>
    <t>Обл. НДС
Решітковий настил S6 KOZ/34x38/30x3 оц. /990*1000
Надходження товарів і послуг ІБ00-000713 від 17.02.2026 11:00:00
Транспортна галерея (Глобине)</t>
  </si>
  <si>
    <t>Обл. НДС
Решітковий настил S6 KOZ/34x38/30x3 оц. /580*796
Надходження товарів і послуг ІБ00-000713 від 17.02.2026 11:00:00
Транспортна галерея (Глобине)</t>
  </si>
  <si>
    <t>Обл. НДС
Решітковий настил S6 KOZ/34x38/30x3 оц. /982*1000
Надходження товарів і послуг ІБ00-000713 від 17.02.2026 11:00:00
Транспортна галерея (Глобине)</t>
  </si>
  <si>
    <t>Обл. НДС
Решітковий настил S6 KOZ/34x38/30x3 оц. /982*434
Надходження товарів і послуг ІБ00-000713 від 17.02.2026 11:00:00
Транспортна галерея (Глобине)</t>
  </si>
  <si>
    <t>Обл. НДС
Решітковий настил S6 KOZ/34x38/30x3 оц. /724*844
Надходження товарів і послуг ІБ00-000713 від 17.02.2026 11:00:00
Транспортна галерея (Глобине)</t>
  </si>
  <si>
    <t>Обл. НДС
Решітковий настил S6 KOZ/34x38/30x3 оц. /724*1000
Надходження товарів і послуг ІБ00-000713 від 17.02.2026 11:00:00
Транспортна галерея (Глобине)</t>
  </si>
  <si>
    <t>Обл. НДС
Решітковий настил S6 KOZ/34x38/30x3 оц. /278*822
Надходження товарів і послуг ІБ00-000713 від 17.02.2026 11:00:00
Транспортна галерея (Глобине)</t>
  </si>
  <si>
    <t>Обл. НДС
Решітковий настил S6 KOZ/34x38/30x3 оц. /278*478
Надходження товарів і послуг ІБ00-000713 від 17.02.2026 11:00:00
Транспортна галерея (Глобине)</t>
  </si>
  <si>
    <t>Обл. НДС
Решітковий настил S6 KOZ/34x38/30x3 оц. /522*926
Надходження товарів і послуг ІБ00-000713 від 17.02.2026 11:00:00
Транспортна галерея (Глобине)</t>
  </si>
  <si>
    <t>Обл. НДС
Решітковий настил S6 KOZ/34x38/30x3 оц. /788*1000
Надходження товарів і послуг ІБ00-000713 від 17.02.2026 11:00:00
Транспортна галерея (Глобине)</t>
  </si>
  <si>
    <t>Обл. НДС
Решітковий настил S6 KOZ/34x38/30x3 оц. /788*822
Надходження товарів і послуг ІБ00-000713 від 17.02.2026 11:00:00
Транспортна галерея (Глобине)</t>
  </si>
  <si>
    <t>Обл. НДС
Решітковий настил S6 KOZ/34x38/30x3 оц. /1780*1124
Надходження товарів і послуг ІБ00-000713 від 17.02.2026 11:00:00
Транспортна галерея (Глобине)</t>
  </si>
  <si>
    <t>Обл. НДС
Решітковий настил S6 KOZ/34x38/30x3 оц. /732*796
Надходження товарів і послуг ІБ00-000713 від 17.02.2026 11:00:00
Транспортна галерея (Глобине)</t>
  </si>
  <si>
    <t>Обл. НДС
Решітковий настил S6 KOZ/34x38/30x3 оц. /896*1156
Надходження товарів і послуг ІБ00-000713 від 17.02.2026 11:00:00
Транспортна галерея (Глобине)</t>
  </si>
  <si>
    <t>Обл. НДС
Решітковий настил S6 KOZ/34x38/30x3 оц. /929*1152
Надходження товарів і послуг ІБ00-000713 від 17.02.2026 11:00:00
Транспортна галерея (Глобине)</t>
  </si>
  <si>
    <t>Обл. НДС
Решітковий настил S6 KOZ/34x38/30x3 оц. /859*1159
Надходження товарів і послуг ІБ00-000713 від 17.02.2026 11:00:00
Транспортна галерея (Глобине)</t>
  </si>
  <si>
    <t>Обл. НДС
Решітковий настил S6 KOZ/34x38/30x3 оц. /859*1145
Надходження товарів і послуг ІБ00-000713 від 17.02.2026 11:00:00
Транспортна галерея (Глобине)</t>
  </si>
  <si>
    <t>Обл. НДС
Решітковий настил S6 KOZ/34x38/30x3 оц. /947*1000
Надходження товарів і послуг ІБ00-000713 від 17.02.2026 11:00:00
Транспортна галерея (Глобине)</t>
  </si>
  <si>
    <t>Обл. НДС
Решітковий настил S6 KOZ/34x38/30x3 оц. /947*1260
Надходження товарів і послуг ІБ00-000713 від 17.02.2026 11:00:00
Транспортна галерея (Глобине)</t>
  </si>
  <si>
    <t>Обл. НДС
Решітковий настил S6 KOZ/34x38/30x3 оц. /2072*1315
Надходження товарів і послуг ІБ00-000713 від 17.02.2026 11:00:00
Транспортна галерея (Глобине)</t>
  </si>
  <si>
    <t>Обл. НДС
Решітковий настил S6 KOZ/34x38/30x3 оц. /1579*1000
Надходження товарів і послуг ІБ00-000713 від 17.02.2026 11:00:00
Транспортна галерея (Глобине)</t>
  </si>
  <si>
    <t>Обл. НДС
Решітковий настил KOZ 34*38/30*3/оц/1400*1000
Надходження товарів і послуг ІБ00-000713 від 17.02.2026 11:00:00
Транспортна галерея (Глобине)</t>
  </si>
  <si>
    <t>Обл. НДС
Решітковий настил S6 KOZ 34*38/30*3/оц/2819*448
Надходження товарів і послуг ІБ00-000713 від 17.02.2026 11:00:00
Транспортна галерея (Глобине)</t>
  </si>
  <si>
    <t>Обл. НДС
Решітковий настил S6 KOZ 34*38/30*3/оц/878*965
Надходження товарів і послуг ІБ00-000713 від 17.02.2026 11:00:00
Транспортна галерея (Глобине)</t>
  </si>
  <si>
    <t>Обл. НДС
Решітковий настил S6 KOZ 34*38/30*3/оц/1632*963
Надходження товарів і послуг ІБ00-000713 від 17.02.2026 11:00:00
Транспортна галерея (Глобине)</t>
  </si>
  <si>
    <t>Обл. НДС
Решітковий настил S6 KOZ 34*38/30*3/оц/1634*448
Надходження товарів і послуг ІБ00-000713 від 17.02.2026 11:00:00
Транспортна галерея (Глобине)</t>
  </si>
  <si>
    <t>Обл. НДС
Решітковий настил S6 KOZ 34*38/30*3/оц/1687*664
Надходження товарів і послуг ІБ00-000713 від 17.02.2026 11:00:00
Транспортна галерея (Глобине)</t>
  </si>
  <si>
    <t>Обл. НДС
Решітковий настил S6 KOZ 34*38/30*3/оц/1286*617
Надходження товарів і послуг ІБ00-000713 від 17.02.2026 11:00:00
Транспортна галерея (Глобине)</t>
  </si>
  <si>
    <t>Обл. НДС
Решітковий настил S6 KOZ 34*38/30*3/оц/1286*1000
Надходження товарів і послуг ІБ00-000713 від 17.02.2026 11:00:00
Транспортна галерея (Глобине)</t>
  </si>
  <si>
    <t>Обл. НДС
Решітковий настил S6 KOZ 34*38/30*3/оц/876*448
Надходження товарів і послуг ІБ00-000713 від 17.02.2026 11:00:00
Транспортна галерея (Глобине)</t>
  </si>
  <si>
    <t>Обл. НДС
Решітковий настил S6 KOZ 34*38/30*3/оц/877*660
Надходження товарів і послуг ІБ00-000713 від 17.02.2026 11:00:00
Транспортна галерея (Глобине)</t>
  </si>
  <si>
    <t>Обл. НДС
Решітковий настил S6 KOZ 34*38/30*3/оц/1278*614
Надходження товарів і послуг ІБ00-000713 від 17.02.2026 11:00:00
Транспортна галерея (Глобине)</t>
  </si>
  <si>
    <t>Обл. НДС
Решітковий настил KOZ 34*38/30*3/оц/600*1000
Надходження товарів і послуг ІБ00-000713 від 17.02.2026 11:00:00
Транспортна галерея (Глобине)</t>
  </si>
  <si>
    <t>Обл. НДС
Решітковий настил S6 KOZ 34*38/30*3/оц/1044*448
Надходження товарів і послуг ІБ00-000713 від 17.02.2026 11:00:00
Транспортна галерея (Глобине)</t>
  </si>
  <si>
    <t>Обл. НДС
Сходинки S6 SOZ/34*38/25*3/оц/800*205
Надходження товарів і послуг ІБ00-000713 від 17.02.2026 11:00:00
Транспортна галерея (Глобине)</t>
  </si>
  <si>
    <t>Обл. НДС
Кріплення стандартні
Надходження товарів і послуг ІБ00-000713 від 17.02.2026 11:00:00
Транспортна галерея (Глобине)</t>
  </si>
  <si>
    <t>Обл. НДС
Кріплення гакове до профіля 100*100
Надходження товарів і послуг ІБ00-000713 від 17.02.2026 11:00:00
Транспортна галерея (Глобине)</t>
  </si>
  <si>
    <t>Обл. НДС
Кріплення гакове до профіля 80*80
Надходження товарів і послуг ІБ00-000713 від 17.02.2026 11:00:00
Транспортна галерея (Глобине)</t>
  </si>
  <si>
    <t>Обл. НДС
Кріплення гакове до швелера 20
Надходження товарів і послуг ІБ00-000713 від 17.02.2026 11:00:00
Транспортна галерея (Глобине)</t>
  </si>
  <si>
    <t>Обл. НДС
Кріплення гакове до швелера 16
Надходження товарів і послуг ІБ00-000713 від 17.02.2026 11:00:00
Транспортна галерея (Глобине)</t>
  </si>
  <si>
    <t>Обл. НДС
Кріплення для сходинок
Надходження товарів і послуг ІБ00-000713 від 17.02.2026 11:00:00
Транспортна галерея (Глобине)</t>
  </si>
  <si>
    <t>Надходження товарів і послуг ІБ00-000725 від 17.02.2026 11:00:00
Оприходованы ТМЦ (Зачет аванса поставщику)</t>
  </si>
  <si>
    <t>Обл. НДС
Решітковий настил KOZ 34*38/30*3/оц/ 2283*686
Надходження товарів і послуг ІБ00-000725 від 17.02.2026 11:00:00
Цех екстракції (Глобине)</t>
  </si>
  <si>
    <t>Червоноградський завод металоконструкцій
Договір поставки № 44 від 11.06.2020 р._Глобино-2
Рахунок на оплату постачальника ІБ00-000038 від 01.01.2026 11:00:54</t>
  </si>
  <si>
    <t>Обл. НДС
Решітковий настил KOZ 34*38/30*3/оц/ 2283*710
Надходження товарів і послуг ІБ00-000725 від 17.02.2026 11:00:00
Цех екстракції (Глобине)</t>
  </si>
  <si>
    <t>Обл. НДС
Решітковий настил KOZ 34*38/30*3/оц/ 1285*978
Надходження товарів і послуг ІБ00-000725 від 17.02.2026 11:00:00
Цех екстракції (Глобине)</t>
  </si>
  <si>
    <t>Обл. НДС
Решітковий настил KOZ 34*38/30*3/оц/ 2283*1026
Надходження товарів і послуг ІБ00-000725 від 17.02.2026 11:00:00
Цех екстракції (Глобине)</t>
  </si>
  <si>
    <t>Обл. НДС
Решітковий настил KOZ 34*38/30*3/оц/ 2262*1000
Надходження товарів і послуг ІБ00-000725 від 17.02.2026 11:00:00
Цех екстракції (Глобине)</t>
  </si>
  <si>
    <t>Обл. НДС
Решітковий настил KOZ 34*38/30*3/оц/ 2262*604
Надходження товарів і послуг ІБ00-000725 від 17.02.2026 11:00:00
Цех екстракції (Глобине)</t>
  </si>
  <si>
    <t>Обл. НДС
Решітковий настил KOZ 34*38/30*3/оц/ 1104*1000
Надходження товарів і послуг ІБ00-000725 від 17.02.2026 11:00:00
Цех екстракції (Глобине)</t>
  </si>
  <si>
    <t>Обл. НДС
Решітковий настил KOZ 34*38/30*3/оц/ 1104*1167
Надходження товарів і послуг ІБ00-000725 від 17.02.2026 11:00:00
Цех екстракції (Глобине)</t>
  </si>
  <si>
    <t>Обл. НДС
Решітковий настил KOZ 34*38/30*3/оц/ 900*1411
Надходження товарів і послуг ІБ00-000725 від 17.02.2026 11:00:00
Цех екстракції (Глобине)</t>
  </si>
  <si>
    <t>Обл. НДС
Решітковий настил KOZ 34*38/30*3/оц/ 1181*320
Надходження товарів і послуг ІБ00-000725 від 17.02.2026 11:00:00
Цех екстракції (Глобине)</t>
  </si>
  <si>
    <t>Обл. НДС
Решітковий настил KOZ 34*38/30*3/оц/ 1177*1356
Надходження товарів і послуг ІБ00-000725 від 17.02.2026 11:00:00
Цех екстракції (Глобине)</t>
  </si>
  <si>
    <t>Обл. НДС
Решітковий настил KOZ 34*38/30*3/оц/ 1176*1356
Надходження товарів і послуг ІБ00-000725 від 17.02.2026 11:00:00
Цех екстракції (Глобине)</t>
  </si>
  <si>
    <t>Обл. НДС
Решітковий настил KOZ 34*38/30*3/оц/ 1215*1100
Надходження товарів і послуг ІБ00-000725 від 17.02.2026 11:00:00
Цех екстракції (Глобине)</t>
  </si>
  <si>
    <t>Обл. НДС
Решітковий настил KOZ 34*38/30*3/оц/ 1177*1098
Надходження товарів і послуг ІБ00-000725 від 17.02.2026 11:00:00
Цех екстракції (Глобине)</t>
  </si>
  <si>
    <t>Обл. НДС
Решітковий настил KOZ 34*38/30*3/оц/ 1176*930
Надходження товарів і послуг ІБ00-000725 від 17.02.2026 11:00:00
Цех екстракції (Глобине)</t>
  </si>
  <si>
    <t>Обл. НДС
Решітковий настил KOZ 34*38/30*3/оц/1030*1000
Надходження товарів і послуг ІБ00-000725 від 17.02.2026 11:00:00
Цех екстракції (Глобине)</t>
  </si>
  <si>
    <t>Обл. НДС
Решітковий настил KOZ 34*38/30*3/оц/1030*1217
Надходження товарів і послуг ІБ00-000725 від 17.02.2026 11:00:00
Цех екстракції (Глобине)</t>
  </si>
  <si>
    <t>Обл. НДС
Решітковий настил KOZ 34*38/30*3/оц/2192*1000
Надходження товарів і послуг ІБ00-000725 від 17.02.2026 11:00:00
Цех екстракції (Глобине)</t>
  </si>
  <si>
    <t>Обл. НДС
Решітковий настил KOZ/34x38/30x3 оц. /  2230X1000
Надходження товарів і послуг ІБ00-000725 від 17.02.2026 11:00:00
Цех екстракції (Глобине)</t>
  </si>
  <si>
    <t>Обл. НДС
Решітковий настил KOZ 34*38/30*3/оц/2192*386
Надходження товарів і послуг ІБ00-000725 від 17.02.2026 11:00:00
Цех екстракції (Глобине)</t>
  </si>
  <si>
    <t>Обл. НДС
Решітковий настил KOZ 34*38/30*3/оц/806*1015
Надходження товарів і послуг ІБ00-000725 від 17.02.2026 11:00:00
Цех екстракції (Глобине)</t>
  </si>
  <si>
    <t>Обл. НДС
Решітковий настил KOZ 34*38/30*3/оц/1015*1000
Надходження товарів і послуг ІБ00-000725 від 17.02.2026 11:00:00
Цех екстракції (Глобине)</t>
  </si>
  <si>
    <t>Обл. НДС
Решітковий настил KOZ 34*38/30*3/оц/1015*810
Надходження товарів і послуг ІБ00-000725 від 17.02.2026 11:00:00
Цех екстракції (Глобине)</t>
  </si>
  <si>
    <t>Обл. НДС
Решітковий настил KOZ 34*38/30*3/оц/770*365
Надходження товарів і послуг ІБ00-000725 від 17.02.2026 11:00:00
Цех екстракції (Глобине)</t>
  </si>
  <si>
    <t>Обл. НДС
Решітковий настил KOZ 34*38/30*3/оц/770*1000
Надходження товарів і послуг ІБ00-000725 від 17.02.2026 11:00:00
Цех екстракції (Глобине)</t>
  </si>
  <si>
    <t>Обл. НДС
Решітковий настил KOZ 34*38/30*3/оц/806*1264
Надходження товарів і послуг ІБ00-000725 від 17.02.2026 11:00:00
Цех екстракції (Глобине)</t>
  </si>
  <si>
    <t>Обл. НДС
Решітковий настил KOZ 34*38/30*3/оц/948*936
Надходження товарів і послуг ІБ00-000725 від 17.02.2026 11:00:00
Цех екстракції (Глобине)</t>
  </si>
  <si>
    <t>Обл. НДС
Решітковий настил KOZ 34*38/30*3/оц/948*1000
Надходження товарів і послуг ІБ00-000725 від 17.02.2026 11:00:00
Цех екстракції (Глобине)</t>
  </si>
  <si>
    <t>Обл. НДС
Решітковий настил KOZ 34*38/30*3/оц/770*914
Надходження товарів і послуг ІБ00-000725 від 17.02.2026 11:00:00
Цех екстракції (Глобине)</t>
  </si>
  <si>
    <t>Обл. НДС
Решітковий настил KOZ 34*38/30*3/оц/734*450
Надходження товарів і послуг ІБ00-000725 від 17.02.2026 11:00:00
Цех екстракції (Глобине)</t>
  </si>
  <si>
    <t>Обл. НДС
Решітковий настил KOZ 34*38/30*3/оц/1532*936
Надходження товарів і послуг ІБ00-000725 від 17.02.2026 11:00:00
Цех екстракції (Глобине)</t>
  </si>
  <si>
    <t>Обл. НДС
Решітковий настил KOZ 34*38/30*3/оц/1532*1000
Надходження товарів і послуг ІБ00-000725 від 17.02.2026 11:00:00
Цех екстракції (Глобине)</t>
  </si>
  <si>
    <t>Обл. НДС
Решітковий настил KOZ 34*38/30*3/оц/1532*618
Надходження товарів і послуг ІБ00-000725 від 17.02.2026 11:00:00
Цех екстракції (Глобине)</t>
  </si>
  <si>
    <t>Обл. НДС
Решітковий настил KOZ 34*38/30*3/оц/1100*1000
Надходження товарів і послуг ІБ00-000725 від 17.02.2026 11:00:00
Цех екстракції (Глобине)</t>
  </si>
  <si>
    <t>Обл. НДС
Решітковий настил KOZ 34*38/30*3/оц/1100*1217
Надходження товарів і послуг ІБ00-000725 від 17.02.2026 11:00:00
Цех екстракції (Глобине)</t>
  </si>
  <si>
    <t>Обл. НДС
Решітковий настил KOZ 34*38/30*3/оц/1077*916
Надходження товарів і послуг ІБ00-000725 від 17.02.2026 11:00:00
Цех екстракції (Глобине)</t>
  </si>
  <si>
    <t>Обл. НДС
Решітковий настил KOZ 34*38/30*3/оц/1077*1000
Надходження товарів і послуг ІБ00-000725 від 17.02.2026 11:00:00
Цех екстракції (Глобине)</t>
  </si>
  <si>
    <t>Обл. НДС
Решітковий настил KOZ 34*38/30*3/оц/1077*638
Надходження товарів і послуг ІБ00-000725 від 17.02.2026 11:00:00
Цех екстракції (Глобине)</t>
  </si>
  <si>
    <t>Обл. НДС
Решітковий настил KOZ 34*38/30*3/оц/ 1235*1000
Надходження товарів і послуг ІБ00-000725 від 17.02.2026 11:00:00
Цех екстракції (Глобине)</t>
  </si>
  <si>
    <t>Обл. НДС
Решітковий настил KOZ 34*38/30*3/оц/ 925*1217
Надходження товарів і послуг ІБ00-000725 від 17.02.2026 11:00:00
Цех екстракції (Глобине)</t>
  </si>
  <si>
    <t>Обл. НДС
Решітковий настил KOZ 34*38/30*3/оц/1230*916
Надходження товарів і послуг ІБ00-000725 від 17.02.2026 11:00:00
Цех екстракції (Глобине)</t>
  </si>
  <si>
    <t>Обл. НДС
Решітковий настил KOZ 34*38/30*3/оц/1268*1000
Надходження товарів і послуг ІБ00-000725 від 17.02.2026 11:00:00
Цех екстракції (Глобине)</t>
  </si>
  <si>
    <t>Обл. НДС
Решітковий настил KOZ 34*38/30*3/оц/1230*638
Надходження товарів і послуг ІБ00-000725 від 17.02.2026 11:00:00
Цех екстракції (Глобине)</t>
  </si>
  <si>
    <t>Обл. НДС
Решітковий настил KOZ 34*38/30*3/оц/2238*916
Надходження товарів і послуг ІБ00-000725 від 17.02.2026 11:00:00
Цех екстракції (Глобине)</t>
  </si>
  <si>
    <t>Обл. НДС
Решітковий настил KOZ 34*38/30*3/оц/2238*1000
Надходження товарів і послуг ІБ00-000725 від 17.02.2026 11:00:00
Цех екстракції (Глобине)</t>
  </si>
  <si>
    <t>Обл. НДС
Решітковий настил KOZ 34*38/30*3/оц/2238*470
Надходження товарів і послуг ІБ00-000725 від 17.02.2026 11:00:00
Цех екстракції (Глобине)</t>
  </si>
  <si>
    <t>Обл. НДС
Решітковий настил KOZ 34*38/30*3/оц/1722*486
Надходження товарів і послуг ІБ00-000725 від 17.02.2026 11:00:00
Цех екстракції (Глобине)</t>
  </si>
  <si>
    <t>Обл. НДС
Решітковий настил KOZ 34*38/30*3/оц/1722*900
Надходження товарів і послуг ІБ00-000725 від 17.02.2026 11:00:00
Цех екстракції (Глобине)</t>
  </si>
  <si>
    <t>Обл. НДС
Решітковий настил KOZ 34*38/30*3/оц/1722*1000
Надходження товарів і послуг ІБ00-000725 від 17.02.2026 11:00:00
Цех екстракції (Глобине)</t>
  </si>
  <si>
    <t>Надходження товарів і послуг ІБ00-000725 від 17.02.2026 11:00:00
Оприходованы ТМЦ</t>
  </si>
  <si>
    <t>Обл. НДС
Решітковий настил KOZ 34*38/30*3/оц/1355*936
Надходження товарів і послуг ІБ00-000725 від 17.02.2026 11:00:00
Цех екстракції (Глобине)</t>
  </si>
  <si>
    <t>Обл. НДС
Решітковий настил KOZ 34*38/30*3/оц/1355*1000
Надходження товарів і послуг ІБ00-000725 від 17.02.2026 11:00:00
Цех екстракції (Глобине)</t>
  </si>
  <si>
    <t>Обл. НДС
Решітковий настил KOZ 34*38/30*3/оц/1355*450
Надходження товарів і послуг ІБ00-000725 від 17.02.2026 11:00:00
Цех екстракції (Глобине)</t>
  </si>
  <si>
    <t>Обл. НДС
Решітковий настил KOZ 34*38/30*3/оц/1469*936
Надходження товарів і послуг ІБ00-000725 від 17.02.2026 11:00:00
Цех екстракції (Глобине)</t>
  </si>
  <si>
    <t>Обл. НДС
Решітковий настил KOZ 34*38/30*3/оц/1469*1000
Надходження товарів і послуг ІБ00-000725 від 17.02.2026 11:00:00
Цех екстракції (Глобине)</t>
  </si>
  <si>
    <t>Обл. НДС
Решітковий настил KOZ 34*38/30*3/оц/1469*618
Надходження товарів і послуг ІБ00-000725 від 17.02.2026 11:00:00
Цех екстракції (Глобине)</t>
  </si>
  <si>
    <t>Обл. НДС
Решітковий настил KOZ 34*38/30*3/оц/1008*1217
Надходження товарів і послуг ІБ00-000725 від 17.02.2026 11:00:00
Цех екстракції (Глобине)</t>
  </si>
  <si>
    <t>Обл. НДС
Решітковий настил KOZ 34*38/30*3/оц/976*1305
Надходження товарів і послуг ІБ00-000725 від 17.02.2026 11:00:00
Цех екстракції (Глобине)</t>
  </si>
  <si>
    <t>Обл. НДС
Решітковий настил KOZ 34*38/30*3/оц/405*1000
Надходження товарів і послуг ІБ00-000725 від 17.02.2026 11:00:00
Цех екстракції (Глобине)</t>
  </si>
  <si>
    <t>Обл. НДС
Решітковий настил KOZ 34*38/30*3/оц/405*420
Надходження товарів і послуг ІБ00-000725 від 17.02.2026 11:00:00
Цех екстракції (Глобине)</t>
  </si>
  <si>
    <t>Обл. НДС
Решітковий настил KOZ 34*38/30*3/оц/1158*1305
Надходження товарів і послуг ІБ00-000725 від 17.02.2026 11:00:00
Цех екстракції (Глобине)</t>
  </si>
  <si>
    <t>Обл. НДС
Решітковий настил KOZ 34*38/30*3/оц/1035*1000
Надходження товарів і послуг ІБ00-000725 від 17.02.2026 11:00:00
Цех екстракції (Глобине)</t>
  </si>
  <si>
    <t>Обл. НДС
Решітковий настил KOZ 34*38/30*3/оц/1035*1217
Надходження товарів і послуг ІБ00-000725 від 17.02.2026 11:00:00
Цех екстракції (Глобине)</t>
  </si>
  <si>
    <t>Обл. НДС
Решітковий настил KOZ 34*38/30*3/оц/1772*1000
Надходження товарів і послуг ІБ00-000725 від 17.02.2026 11:00:00
Цех екстракції (Глобине)</t>
  </si>
  <si>
    <t>Обл. НДС
Решітковий настил KOZ 34*38/30*3/оц/1772*386
Надходження товарів і послуг ІБ00-000725 від 17.02.2026 11:00:00
Цех екстракції (Глобине)</t>
  </si>
  <si>
    <t>Обл. НДС
Решітковий настил KOZ 34*38/30*3/оц/1464*1000
Надходження товарів і послуг ІБ00-000725 від 17.02.2026 11:00:00
Цех екстракції (Глобине)</t>
  </si>
  <si>
    <t>Обл. НДС
Решітковий настил KOZ 34*38/30*3/оц/1464*386
Надходження товарів і послуг ІБ00-000725 від 17.02.2026 11:00:00
Цех екстракції (Глобине)</t>
  </si>
  <si>
    <t>Обл. НДС
Решітковий настил KOZ 34*38/30*3/оц/1928*1270
Надходження товарів і послуг ІБ00-000725 від 17.02.2026 11:00:00
Цех екстракції (Глобине)</t>
  </si>
  <si>
    <t>Обл. НДС
Решітковий настил KOZ 34*38/30*3/оц/1558*1000
Надходження товарів і послуг ІБ00-000725 від 17.02.2026 11:00:00
Цех екстракції (Глобине)</t>
  </si>
  <si>
    <t>Обл. НДС
Решітковий настил KOZ 34*38/30*3/оц/1558*343
Надходження товарів і послуг ІБ00-000725 від 17.02.2026 11:00:00
Цех екстракції (Глобине)</t>
  </si>
  <si>
    <t>Обл. НДС
Решітковий настил KOZ 34*38/30*3/оц/1093*1000
Надходження товарів і послуг ІБ00-000725 від 17.02.2026 11:00:00
Цех екстракції (Глобине)</t>
  </si>
  <si>
    <t>Обл. НДС
Решітковий настил KOZ 34*38/30*3/оц/ 1335*983
Надходження товарів і послуг ІБ00-000725 від 17.02.2026 11:00:00
Цех екстракції (Глобине)</t>
  </si>
  <si>
    <t>Обл. НДС
Решітковий настил KOZ 34*38/30*3/оц/1093*1030
Надходження товарів і послуг ІБ00-000725 від 17.02.2026 11:00:00
Цех екстракції (Глобине)</t>
  </si>
  <si>
    <t>Обл. НДС
Решітковий настил KOZ 34*38/30*3/оц/1564*1000
Надходження товарів і послуг ІБ00-000725 від 17.02.2026 11:00:00
Цех екстракції (Глобине)</t>
  </si>
  <si>
    <t>Обл. НДС
Решітковий настил KOZ 34*38/30*3/оц/1564*400
Надходження товарів і послуг ІБ00-000725 від 17.02.2026 11:00:00
Цех екстракції (Глобине)</t>
  </si>
  <si>
    <t>Обл. НДС
Решітковий настил KOZ 34*38/30*3/оц/1418*1000
Надходження товарів і послуг ІБ00-000725 від 17.02.2026 11:00:00
Цех екстракції (Глобине)</t>
  </si>
  <si>
    <t>Обл. НДС
Решітковий настил KOZ 34*38/30*3/оц/1418*400
Надходження товарів і послуг ІБ00-000725 від 17.02.2026 11:00:00
Цех екстракції (Глобине)</t>
  </si>
  <si>
    <t>Обл. НДС
Решітковий настил KOZ 34*38/30*3/оц/1608*1000
Надходження товарів і послуг ІБ00-000725 від 17.02.2026 11:00:00
Цех екстракції (Глобине)</t>
  </si>
  <si>
    <t>Обл. НДС
Решітковий настил KOZ 34*38/30*3/оц/1608*400
Надходження товарів і послуг ІБ00-000725 від 17.02.2026 11:00:00
Цех екстракції (Глобине)</t>
  </si>
  <si>
    <t>Обл. НДС
Решітковий настил KOZ 34*38/30*3/оц/1514*1000
Надходження товарів і послуг ІБ00-000725 від 17.02.2026 11:00:00
Цех екстракції (Глобине)</t>
  </si>
  <si>
    <t>Обл. НДС
Решітковий настил KOZ 34*38/30*3/оц/1514*400
Надходження товарів і послуг ІБ00-000725 від 17.02.2026 11:00:00
Цех екстракції (Глобине)</t>
  </si>
  <si>
    <t>Обл. НДС
Решітковий настил KOZ 34*38/30*3/оц/1418*536
Надходження товарів і послуг ІБ00-000725 від 17.02.2026 11:00:00
Цех екстракції (Глобине)</t>
  </si>
  <si>
    <t>Обл. НДС
Решітковий настил KOZ 34*38/30*3/оц/881*1000
Надходження товарів і послуг ІБ00-000725 від 17.02.2026 11:00:00
Цех екстракції (Глобине)</t>
  </si>
  <si>
    <t>Обл. НДС
Решітковий настил KOZ 34*38/30*3/оц/960*1235
Надходження товарів і послуг ІБ00-000725 від 17.02.2026 11:00:00
Цех екстракції (Глобине)</t>
  </si>
  <si>
    <t>Обл. НДС
Решітковий настил KOZ 34*38/30*3/оц/978*1000
Надходження товарів і послуг ІБ00-000725 від 17.02.2026 11:00:00
Цех екстракції (Глобине)</t>
  </si>
  <si>
    <t>Обл. НДС
Решітковий настил KOZ 34*38/30*3/оц/978*554
Надходження товарів і послуг ІБ00-000725 від 17.02.2026 11:00:00
Цех екстракції (Глобине)</t>
  </si>
  <si>
    <t>Обл. НДС
Решітковий настил KOZ 34*38/30*3/оц/1000*860
Надходження товарів і послуг ІБ00-000725 від 17.02.2026 11:00:00
Цех екстракції (Глобине)</t>
  </si>
  <si>
    <t>Обл. НДС
Решітковий настил KOZ 34*38/30*3/оц/ 1235*1090
Надходження товарів і послуг ІБ00-000725 від 17.02.2026 11:00:00
Цех екстракції (Глобине)</t>
  </si>
  <si>
    <t>Обл. НДС
Решітковий настил KOZ 34*38/30*3/оц/ 1328*1000
Надходження товарів і послуг ІБ00-000725 від 17.02.2026 11:00:00
Цех екстракції (Глобине)</t>
  </si>
  <si>
    <t>Обл. НДС
Решітковий настил KOZ 34*38/30*3/оц/ 1362*1000
Надходження товарів і послуг ІБ00-000725 від 17.02.2026 11:00:00
Цех екстракції (Глобине)</t>
  </si>
  <si>
    <t>Обл. НДС
Решітковий настил KOZ 34*38/30*3/оц/ 1328*400
Надходження товарів і послуг ІБ00-000725 від 17.02.2026 11:00:00
Цех екстракції (Глобине)</t>
  </si>
  <si>
    <t>Обл. НДС
Решітковий настил KOZ 34*38/30*3/оц/ 1586*518
Надходження товарів і послуг ІБ00-000725 від 17.02.2026 11:00:00
Цех екстракції (Глобине)</t>
  </si>
  <si>
    <t>Обл. НДС
Решітковий настил KOZ 34*38/30*3/оц/ 1586*1000
Надходження товарів і послуг ІБ00-000725 від 17.02.2026 11:00:00
Цех екстракції (Глобине)</t>
  </si>
  <si>
    <t>Обл. НДС
Решітковий настил KOZ 34*38/30*3/оц/ 1214*518
Надходження товарів і послуг ІБ00-000725 від 17.02.2026 11:00:00
Цех екстракції (Глобине)</t>
  </si>
  <si>
    <t>Обл. НДС
Решітковий настил KOZ 34*38/30*3/оц/ 1214*1000
Надходження товарів і послуг ІБ00-000725 від 17.02.2026 11:00:00
Цех екстракції (Глобине)</t>
  </si>
  <si>
    <t>Обл. НДС
Решітковий настил KOZ 34*38/30*3/оц/ 716*1000
Надходження товарів і послуг ІБ00-000725 від 17.02.2026 11:00:00
Цех екстракції (Глобине)</t>
  </si>
  <si>
    <t>Обл. НДС
Решітковий настил KOZ 34*38/30*3/оц/ 750*1000
Надходження товарів і послуг ІБ00-000725 від 17.02.2026 11:00:00
Цех екстракції (Глобине)</t>
  </si>
  <si>
    <t>Обл. НДС
Решітковий настил KOZ 34*38/30*3/оц/ 716*400
Надходження товарів і послуг ІБ00-000725 від 17.02.2026 11:00:00
Цех екстракції (Глобине)</t>
  </si>
  <si>
    <t>Обл. НДС
Решітковий настил KOZ 34*38/30*3/оц/ 1608*1000
Надходження товарів і послуг ІБ00-000725 від 17.02.2026 11:00:00
Цех екстракції (Глобине)</t>
  </si>
  <si>
    <t>Обл. НДС
Решітковий настил KOZ 34*38/30*3/оц/1450*1000
Надходження товарів і послуг ІБ00-000725 від 17.02.2026 11:00:00
Цех екстракції (Глобине)</t>
  </si>
  <si>
    <t>Обл. НДС
Решітковий настил KOZ 34*38/30*3/оц/ 722*1000
Надходження товарів і послуг ІБ00-000725 від 17.02.2026 11:00:00
Цех екстракції (Глобине)</t>
  </si>
  <si>
    <t>Обл. НДС
Решітковий настил KOZ 34*38/30*3/оц/ 722*400
Надходження товарів і послуг ІБ00-000725 від 17.02.2026 11:00:00
Цех екстракції (Глобине)</t>
  </si>
  <si>
    <t>Обл. НДС
Решітковий настил KOZ 34*38/30*3/оц/ 1204*1000
Надходження товарів і послуг ІБ00-000725 від 17.02.2026 11:00:00
Цех екстракції (Глобине)</t>
  </si>
  <si>
    <t>Обл. НДС
Решітковий настил KOZ 34*38/30*3/оц/ 1204*470
Надходження товарів і послуг ІБ00-000725 від 17.02.2026 11:00:00
Цех екстракції (Глобине)</t>
  </si>
  <si>
    <t>Обл. НДС
Решітковий настил KOZ 34*38/30*3/оц/ 1482*1000
Надходження товарів і послуг ІБ00-000725 від 17.02.2026 11:00:00
Цех екстракції (Глобине)</t>
  </si>
  <si>
    <t>Обл. НДС
Решітковий настил KOZ 34*38/30*3/оц/ 740*1000
Надходження товарів і послуг ІБ00-000725 від 17.02.2026 11:00:00
Цех екстракції (Глобине)</t>
  </si>
  <si>
    <t>Обл. НДС
Решітковий настил KOZ 34*38/30*3/оц/ 881*543
Надходження товарів і послуг ІБ00-000725 від 17.02.2026 11:00:00
Цех екстракції (Глобине)</t>
  </si>
  <si>
    <t>Обл. НДС
Решітковий настил KOZ 34*38/30*3/оц/880*1000
Надходження товарів і послуг ІБ00-000725 від 17.02.2026 11:00:00
Цех екстракції (Глобине)</t>
  </si>
  <si>
    <t>Обл. НДС
Решітковий настил KOZ 34*38/30*3/оц/1250*1235
Надходження товарів і послуг ІБ00-000725 від 17.02.2026 11:00:00
Цех екстракції (Глобине)</t>
  </si>
  <si>
    <t>Обл. НДС
Решітковий настил KOZ 34*38/30*3/оц/1378*1000
Надходження товарів і послуг ІБ00-000725 від 17.02.2026 11:00:00
Цех екстракції (Глобине)</t>
  </si>
  <si>
    <t>Обл. НДС
Решітковий настил KOZ 34*38/30*3/оц/1378*455
Надходження товарів і послуг ІБ00-000725 від 17.02.2026 11:00:00
Цех екстракції (Глобине)</t>
  </si>
  <si>
    <t>Обл. НДС
Решітковий настил KOZ 34*38/30*3/оц/860*1000
Надходження товарів і послуг ІБ00-000725 від 17.02.2026 11:00:00
Цех екстракції (Глобине)</t>
  </si>
  <si>
    <t>Обл. НДС
Решітковий настил KOZ 34*38/30*3/оц/ 916*1316
Надходження товарів і послуг ІБ00-000725 від 17.02.2026 11:00:00
Цех екстракції (Глобине)</t>
  </si>
  <si>
    <t>Обл. НДС
Решітковий настил KOZ/34x38/30x3 оц. /  1664X1000       
Надходження товарів і послуг ІБ00-000725 від 17.02.2026 11:00:00
Цех екстракції (Глобине)</t>
  </si>
  <si>
    <t>Обл. НДС
Решітковий настил KOZ/34x38/30x3 оц. /  1664*400        
Надходження товарів і послуг ІБ00-000725 від 17.02.2026 11:00:00
Цех екстракції (Глобине)</t>
  </si>
  <si>
    <t>Обл. НДС
Решітковий настил KOZ/34x38/30x3 оц. /1498*1000
Надходження товарів і послуг ІБ00-000725 від 17.02.2026 11:00:00
Цех екстракції (Глобине)</t>
  </si>
  <si>
    <t>Обл. НДС
Решітковий настил KOZ/34x38/30x3 оц. /1498*636
Надходження товарів і послуг ІБ00-000725 від 17.02.2026 11:00:00
Цех екстракції (Глобине)</t>
  </si>
  <si>
    <t>Обл. НДС
Решітковий настил KOZ/34x38/30x3 оц. /1498*864
Надходження товарів і послуг ІБ00-000725 від 17.02.2026 11:00:00
Цех екстракції (Глобине)</t>
  </si>
  <si>
    <t>Обл. НДС
Решітковий настил KOZ 34*38/30*3/оц/936*1000
Надходження товарів і послуг ІБ00-000725 від 17.02.2026 11:00:00
Цех екстракції (Глобине)</t>
  </si>
  <si>
    <t>Обл. НДС
Решітковий настил KOZ 34*38/30*3/оц/936*771
Надходження товарів і послуг ІБ00-000725 від 17.02.2026 11:00:00
Цех екстракції (Глобине)</t>
  </si>
  <si>
    <t>Обл. НДС
Решітковий настил KOZ 34*38/30*3/оц/1101*1381
Надходження товарів і послуг ІБ00-000725 від 17.02.2026 11:00:00
Цех екстракції (Глобине)</t>
  </si>
  <si>
    <t>Обл. НДС
Сходинки S6 SOZ/34*38/25*3/оц/800*205
Надходження товарів і послуг ІБ00-000725 від 17.02.2026 11:00:00
Цех екстракції (Глобине)</t>
  </si>
  <si>
    <t>Обл. НДС
Кріплення стандартні
Надходження товарів і послуг ІБ00-000725 від 17.02.2026 11:00:00
Цех екстракції (Глобине)</t>
  </si>
  <si>
    <t>Обл. НДС
Кріплення гакове до швелера 20
Надходження товарів і послуг ІБ00-000725 від 17.02.2026 11:00:00
Цех екстракції (Глобине)</t>
  </si>
  <si>
    <t>Обл. НДС
Кріплення гакове до швелера 16
Надходження товарів і послуг ІБ00-000725 від 17.02.2026 11:00:00
Цех екстракції (Глобине)</t>
  </si>
  <si>
    <t>Обл. НДС
Кріплення для сходинок
Надходження товарів і послуг ІБ00-000725 від 17.02.2026 11:00:00
Цех екстракції (Глобине)</t>
  </si>
  <si>
    <t>18.02.2026</t>
  </si>
  <si>
    <t>Списання товарів ІБ00-000060 від 18.02.2026 10:00:00
Списаны ТМЦ</t>
  </si>
  <si>
    <t>Обл. НДС
Кран кульовий 25
Авансовий звіт ІБ00-000024 від 21.01.2026 00:00:00
Глобине-2</t>
  </si>
  <si>
    <t>Переміщення товарів ІБ00-000460 від 18.02.2026 11:10:00
Перемещение ТМЦ</t>
  </si>
  <si>
    <t>Обл. НДС
Електроди "Моноліт РЦ" 4 мм уп. 5,0 кг
Переміщення товарів ІБ00-000460 від 18.02.2026 11:10:00
Цех екстракції (Глобине)</t>
  </si>
  <si>
    <t>Обл. НДС
Електроди "Моноліт РЦ" 4 мм уп. 5,0 кг
Надходження товарів і послуг ІБ00-000719 від 16.02.2026 11:00:00
Глобине-2</t>
  </si>
  <si>
    <t>Обл. НДС
Круг відрізний по металу 230*2,0*22,2
Переміщення товарів ІБ00-000460 від 18.02.2026 11:10:00
Цех екстракції (Глобине)</t>
  </si>
  <si>
    <t>Обл. НДС
Круг відрізний по металу 230*2,0*22,2
Надходження товарів і послуг ІБ00-000681 від 18.02.2026 11:00:00
Глобине-2</t>
  </si>
  <si>
    <t>Вимога-накладна ІБ00-000140 від 18.02.2026 20:00:07
Списаны ТМЦ</t>
  </si>
  <si>
    <t>Вимога-накладна ІБ00-000141 від 18.02.2026 20:00:08
Списаны ТМЦ</t>
  </si>
  <si>
    <t>Обл. НДС
Сендвіч-панель ТПК стінова 100 мм МВ 1180 мм відкр.замок С 0,5 PS/C 0,5 PS 9,620м трап9003/трап9003
Надходження товарів і послуг ІБ00-007532 від 10.12.2025 11:00:00
Пункт фасування та зберігання в бігбегах (Глобине)</t>
  </si>
  <si>
    <t>Обл. НДС
Сендвіч-панель ТПК стінова 100 мм МВ 1180 мм відкр.замок С 0,5 PS/C 0,5 PS 6,730м трап9003/трап9003
Надходження товарів і послуг ІБ00-007532 від 10.12.2025 11:00:00
Пункт фасування та зберігання в бігбегах (Глобине)</t>
  </si>
  <si>
    <t>Обл. НДС
Сендвіч-панель ТПК стінова 100 мм МВ 1180 мм відкр.замок С 0,5 PS/C 0,5 PS 2,420м трап9003/трап9003
Надходження товарів і послуг ІБ00-007532 від 10.12.2025 11:00:00
Пункт фасування та зберігання в бігбегах (Глобине)</t>
  </si>
  <si>
    <t>Обл. НДС
Сендвіч-панель ТПК стінова 100 мм МВ 1180 мм відкр.замок С 0,5 PS/C 0,5 PS 2,310м трап9003/трап9003
Надходження товарів і послуг ІБ00-007532 від 10.12.2025 11:00:00
Пункт фасування та зберігання в бігбегах (Глобине)</t>
  </si>
  <si>
    <t>Обл. НДС
Ущільнювальна стрічка ТПК УП-1 ППЕ НХ (5х50мм 20м)
Надходження товарів і послуг ІБ00-007642 від 17.12.2025 11:00:00
Пункт фасування та зберігання в бігбегах (Глобине)</t>
  </si>
  <si>
    <t>Переміщення товарів ІБ00-000463 від 18.02.2026 20:00:09
Перемещение ТМЦ</t>
  </si>
  <si>
    <t>Обл. НДС
Труба 40х20х2 мм; ст. 1-3пс; 6 м
Переміщення товарів ІБ00-000463 від 18.02.2026 20:00:09
АПК (Глобине)</t>
  </si>
  <si>
    <t>Обл. НДС
Труба 40х20х2 мм; ст. 1-3пс; 6 м
Надходження товарів і послуг ІБ00-002356 від 20.05.2025 11:00:00
Резервуарний парк соєвої меляси (Глобине)</t>
  </si>
  <si>
    <t>Обл. НДС
Труба 40х40х3 (6,05-S235/S275)
Переміщення товарів ІБ00-000463 від 18.02.2026 20:00:09
АПК (Глобине)</t>
  </si>
  <si>
    <t>Обл. НДС
Труба 40х40х3 (6,05-S235/S275)
Надходження товарів і послуг ІБ00-001667 від 03.04.2025 11:00:00
Резервуарний парк соєвої меляси (Глобине)</t>
  </si>
  <si>
    <t>19.02.2026</t>
  </si>
  <si>
    <t>Надходження товарів і послуг ІБ00-000726 від 19.02.2026 11:00:00
Оприходованы ТМЦ</t>
  </si>
  <si>
    <t>Обл. НДС
Болт М24*100  DIN 931 8,8  цб чр
Надходження товарів і послуг ІБ00-000726 від 19.02.2026 11:00:00
Резервуарний парк соєвої меляси (Глобине)</t>
  </si>
  <si>
    <t>ЄВРОБОЛТ УКРАЇНА ТОВ
Рахунки_Глобине-2
Рахунок на оплату постачальника ІБ00-000617 від 18.02.2026 18:04:51</t>
  </si>
  <si>
    <t>Обл. НДС
Гайка М24  DIN 934
Надходження товарів і послуг ІБ00-000726 від 19.02.2026 11:00:00
Резервуарний парк соєвої меляси (Глобине)</t>
  </si>
  <si>
    <t>Обл. НДС
Шайба плоська DIN 125 М24 140 HV ЦБ
Надходження товарів і послуг ІБ00-000726 від 19.02.2026 11:00:00
Резервуарний парк соєвої меляси (Глобине)</t>
  </si>
  <si>
    <t>Надходження товарів і послуг ІБ00-000727 від 19.02.2026 11:00:00
Оприходованы ТМЦ</t>
  </si>
  <si>
    <t>Обл. НДС
Болт М20*70  DIN 6914
Надходження товарів і послуг ІБ00-000727 від 19.02.2026 11:00:00
Цех екстракції (Глобине)</t>
  </si>
  <si>
    <t>ЄВРОБОЛТ УКРАЇНА ТОВ
Рахунки_Глобине-2
Рахунок на оплату постачальника ІБ00-000618 від 18.02.2026 18:04:52</t>
  </si>
  <si>
    <t>Обл. НДС
Болт М20*80 EN 14399-4 10,9Гц
Надходження товарів і послуг ІБ00-000727 від 19.02.2026 11:00:00
Цех екстракції (Глобине)</t>
  </si>
  <si>
    <t>Обл. НДС
Болт М20*95 EN 14399-4 10,9Гц
Надходження товарів і послуг ІБ00-000727 від 19.02.2026 11:00:00
Цех екстракції (Глобине)</t>
  </si>
  <si>
    <t>Обл. НДС
Гайка М20  DIN 6915 високоміц
Надходження товарів і послуг ІБ00-000727 від 19.02.2026 11:00:00
Цех екстракції (Глобине)</t>
  </si>
  <si>
    <t>Обл. НДС
Шайба 20  DIN6916
Надходження товарів і послуг ІБ00-000727 від 19.02.2026 11:00:00
Цех екстракції (Глобине)</t>
  </si>
  <si>
    <t>Надходження товарів і послуг ІБ00-000728 від 19.02.2026 11:00:00
Оприходованы ТМЦ</t>
  </si>
  <si>
    <t>Обл. НДС
Профіль UD 28*22  3м 0,4мм 1/30/720шт
Надходження товарів і послуг ІБ00-000728 від 19.02.2026 11:00:00
АПК (Глобине)</t>
  </si>
  <si>
    <t>Лозовий Микола Миколайович ФОП
РАХУНКИ_Глобино-2
Рахунок на оплату постачальника ІБ00-000593 від 19.02.2026 17:55:20</t>
  </si>
  <si>
    <t>Обл. НДС
Профіль CD-60*27  3м
Надходження товарів і послуг ІБ00-000728 від 19.02.2026 11:00:00
АПК (Глобине)</t>
  </si>
  <si>
    <t>Обл. НДС
СВП Основа міні 2мм
Надходження товарів і послуг ІБ00-000728 від 19.02.2026 11:00:00
АПК (Глобине)</t>
  </si>
  <si>
    <t>Обл. НДС
Дверцята 150*150 ревізійні пластик
Надходження товарів і послуг ІБ00-000728 від 19.02.2026 11:00:00
АПК (Глобине)</t>
  </si>
  <si>
    <t>Обл. НДС
Люк сантехнічний пластик DR180*230мм
Надходження товарів і послуг ІБ00-000728 від 19.02.2026 11:00:00
АПК (Глобине)</t>
  </si>
  <si>
    <t>Надходження товарів і послуг ІБ00-000764 від 19.02.2026 11:00:00
Оприходованы ТМЦ (Зачет аванса поставщику)</t>
  </si>
  <si>
    <t>Обл. НДС
Лист г/к 30,0 мм 1500*6000, S235 JR
Надходження товарів і послуг ІБ00-000764 від 19.02.2026 11:00:00
СПК (Глобине)</t>
  </si>
  <si>
    <t>МЕТАЛ ХОЛДІНГ ТРЕЙД ТОВ
Дог 01/219/25 від 01.04.2025_Глобине-2
Рахунок на оплату постачальника ІБ00-000530 від 01.02.2026 23:00:22</t>
  </si>
  <si>
    <t>Надходження товарів і послуг ІБ00-000791 від 19.02.2026 11:00:00
Оприходованы ТМЦ</t>
  </si>
  <si>
    <t>Обл. НДС
Подовжувач 1/2"  60мм STA
Надходження товарів і послуг ІБ00-000791 від 19.02.2026 11:00:00
АПК (Глобине)</t>
  </si>
  <si>
    <t>Павленко Р.М. ФОП маг. Дюйм
Глобино-2_РАХУНКИ
Рахунок на оплату постачальника ІБ00-000685 від 19.02.2026 17:55:48</t>
  </si>
  <si>
    <t>Обл. НДС
Комплект ексцентриків Frap F70-1 довж 4,5см
Надходження товарів і послуг ІБ00-000791 від 19.02.2026 11:00:00
АПК (Глобине)</t>
  </si>
  <si>
    <t>Обл. НДС
Шланг н/ж сталь 1/2"*1/2 ВВ 0,5м HS30
Надходження товарів і послуг ІБ00-000791 від 19.02.2026 11:00:00
АПК (Глобине)</t>
  </si>
  <si>
    <t>Обл. НДС
Кріплення до бойлера 120*10 к-кт
Надходження товарів і послуг ІБ00-000791 від 19.02.2026 11:00:00
АПК (Глобине)</t>
  </si>
  <si>
    <t>Обл. НДС
Муфта PPR 20*1/2"**1004 внутр різьба
Надходження товарів і послуг ІБ00-000791 від 19.02.2026 11:00:00
АПК (Глобине)</t>
  </si>
  <si>
    <t>Надходження дод. витрат ІБ00-000068 від 19.02.2026 12:00:00
Доп. расходы при поступлении товаров (Зачет аванса поставщику)</t>
  </si>
  <si>
    <t>Надходження товарів і послуг ІБ00-000733 від 19.02.2026 17:55:35
Оприходованы ТМЦ</t>
  </si>
  <si>
    <t>Обл. НДС
Лист 2 (г.к.) 1,25х2,5
Надходження товарів і послуг ІБ00-000733 від 19.02.2026 17:55:35
Цех_Глобино</t>
  </si>
  <si>
    <t>АВ МЕТАЛ ГРУП ТОВ
Дог 2420/Р от 05.10.2023від 05.10.2023_Глобино-2
Рахунок на оплату постачальника ІБ00-000537 від 16.02.2026 13:27:12</t>
  </si>
  <si>
    <t>Обл. НДС
Лист 3 (г.к)  (1,5х3) 
Надходження товарів і послуг ІБ00-000733 від 19.02.2026 17:55:35
Цех_Глобино</t>
  </si>
  <si>
    <t>Обл. НДС
Лист 4 (г.к)  (1,5х6) ((1,5*6,0) 14637 3сп5)
Надходження товарів і послуг ІБ00-000733 від 19.02.2026 17:55:35
Цех_Глобино</t>
  </si>
  <si>
    <t>Обл. НДС
Лист 8 (г.к)  (1,5х6) ((1,5*6,0) 14637 3сп5)
Надходження товарів і послуг ІБ00-000733 від 19.02.2026 17:55:35
Цех_Глобино</t>
  </si>
  <si>
    <t>Обл. НДС
Лист г/к 10,0 мм 1500*6000, S235 JR
Надходження товарів і послуг ІБ00-000733 від 19.02.2026 17:55:35
Цех_Глобино</t>
  </si>
  <si>
    <t>Обл. НДС
Лист 12  (г,к)(1,5х6)imp((1,5*6,0)S235JR)
Надходження товарів і послуг ІБ00-000733 від 19.02.2026 17:55:35
Цех_Глобино</t>
  </si>
  <si>
    <t>Обл. НДС
Труба профільна 40х20 мм 2,0 мм, 6 м (7306)
Надходження товарів і послуг ІБ00-000733 від 19.02.2026 17:55:35
Цех_Глобино</t>
  </si>
  <si>
    <t>Обл. НДС
Труба профільна 40*40*3,0  L=6000 мм ст1-3 сп/пс
Надходження товарів і послуг ІБ00-000733 від 19.02.2026 17:55:35
Цех_Глобино</t>
  </si>
  <si>
    <t>Обл. НДС
Труба 60х60х3 мм; проф 6 м
Надходження товарів і послуг ІБ00-000733 від 19.02.2026 17:55:35
Цех_Глобино</t>
  </si>
  <si>
    <t>Обл. НДС
Труба 60х60х4,0мм МІРА 6м
Надходження товарів і послуг ІБ00-000733 від 19.02.2026 17:55:35
Цех_Глобино</t>
  </si>
  <si>
    <t>Обл. НДС
труба 80х80х3 мм; ст. 1-3 пс; 12 м
Надходження товарів і послуг ІБ00-000733 від 19.02.2026 17:55:35
Цех_Глобино</t>
  </si>
  <si>
    <t>Обл. НДС
Труба 80х80х4 
Надходження товарів і послуг ІБ00-000733 від 19.02.2026 17:55:35
Цех_Глобино</t>
  </si>
  <si>
    <t>Обл. НДС
Труба 120*120*5
Надходження товарів і послуг ІБ00-000733 від 19.02.2026 17:55:35
Цех_Глобино</t>
  </si>
  <si>
    <t>Обл. НДС
Швелер 10П 
Надходження товарів і послуг ІБ00-000733 від 19.02.2026 17:55:35
Цех_Глобино</t>
  </si>
  <si>
    <t>Обл. НДС
Швелер 12П  
Надходження товарів і послуг ІБ00-000733 від 19.02.2026 17:55:35
Цех_Глобино</t>
  </si>
  <si>
    <t>Обл. НДС
Швелер 14 (UREAA 140) S275 JR, 12 м
Надходження товарів і послуг ІБ00-000733 від 19.02.2026 17:55:35
Цех_Глобино</t>
  </si>
  <si>
    <t>Обл. НДС
Швелер 16П  S275JR,12 м
Надходження товарів і послуг ІБ00-000733 від 19.02.2026 17:55:35
Цех_Глобино</t>
  </si>
  <si>
    <t>Обл. НДС
Швелер 18 П ст.3пс
Надходження товарів і послуг ІБ00-000733 від 19.02.2026 17:55:35
Цех_Глобино</t>
  </si>
  <si>
    <t>Обл. НДС
Швелер 20П
Надходження товарів і послуг ІБ00-000733 від 19.02.2026 17:55:35
Цех_Глобино</t>
  </si>
  <si>
    <t>Обл. НДС
Швелер 30П міра 12,00 м 
Надходження товарів і послуг ІБ00-000733 від 19.02.2026 17:55:35
Цех_Глобино</t>
  </si>
  <si>
    <t>Надходження дод. витрат ІБ00-000067 від 19.02.2026 17:55:37
Доп. расходы при поступлении товаров</t>
  </si>
  <si>
    <t>Вимога-накладна ІБ00-000143 від 19.02.2026 20:00:00
Списаны ТМЦ</t>
  </si>
  <si>
    <t>Обл. НДС
Дюбель "потай"  6*40
Надходження товарів і послуг ІБ00-008172 від 18.12.2025 11:00:00
АПК (Глобине)</t>
  </si>
  <si>
    <t>Обл. НДС
Профіль CD-60  4м 0,55мм (шт)
Надходження товарів і послуг ІБ00-005315 від 18.09.2025 11:00:00
АПК (Глобине)</t>
  </si>
  <si>
    <t>Обл. НДС
Профіль CD-60  4м 0,55мм (шт)
Надходження товарів і послуг ІБ00-005337 від 18.09.2025 11:00:00
АПК (Глобине)</t>
  </si>
  <si>
    <t>Вимога-накладна ІБ00-000142 від 19.02.2026 20:00:09
Списаны ТМЦ</t>
  </si>
  <si>
    <t>20.02.2026</t>
  </si>
  <si>
    <t>Переміщення товарів ІБ00-000272 від 20.02.2026 00:00:00
Перемещение ТМЦ</t>
  </si>
  <si>
    <t>Обл. НДС
Лист г/к 10,0 мм 1500*6000, S235 JR
Переміщення товарів ІБ00-000272 від 20.02.2026 00:00:00
Цех_Глобино Виробничий</t>
  </si>
  <si>
    <t>Обл. НДС
Круг 18 мм
Переміщення товарів ІБ00-000272 від 20.02.2026 00:00:00
Цех_Глобино Виробничий</t>
  </si>
  <si>
    <t>Обл. НДС
Кутник 100*100 7мм 12м
Переміщення товарів ІБ00-000272 від 20.02.2026 00:00:00
Цех_Глобино Виробничий</t>
  </si>
  <si>
    <t>Обл. НДС
Кутник 100*100 7мм 12м
Надходження товарів і послуг ІБ00-005494 від 24.09.2025 18:21:09
Цех_Глобино</t>
  </si>
  <si>
    <t>Обл. НДС
Кутник 63х63х5  L=6000
Переміщення товарів ІБ00-000272 від 20.02.2026 00:00:00
Цех_Глобино Виробничий</t>
  </si>
  <si>
    <t>Обл. НДС
Лист рифлений 3*1500*3000 
Переміщення товарів ІБ00-000272 від 20.02.2026 00:00:00
Цех_Глобино Виробничий</t>
  </si>
  <si>
    <t>Обл. НДС
Швелер 12П  
Переміщення товарів ІБ00-000272 від 20.02.2026 00:00:00
Цех_Глобино Виробничий</t>
  </si>
  <si>
    <t>Обл. НДС
Труба 80х80х4 
Переміщення товарів ІБ00-000272 від 20.02.2026 00:00:00
Цех_Глобино Виробничий</t>
  </si>
  <si>
    <t>Обл. НДС
Швелер 16П  S275JR,12 м
Переміщення товарів ІБ00-000272 від 20.02.2026 00:00:00
Цех_Глобино Виробничий</t>
  </si>
  <si>
    <t>Обл. НДС
Швелер 20П
Переміщення товарів ІБ00-000272 від 20.02.2026 00:00:00
Цех_Глобино Виробничий</t>
  </si>
  <si>
    <t>Обл. НДС
Кутник  50х50х5 (6,05- S235/S275)
Переміщення товарів ІБ00-000272 від 20.02.2026 00:00:00
Цех_Глобино Виробничий</t>
  </si>
  <si>
    <t>Надходження товарів і послуг ІБ00-000768 від 20.02.2026 11:00:00
Оприходованы ТМЦ</t>
  </si>
  <si>
    <t>Обл. НДС
Трубка ізоляційна Д=060*09мм довж=2м
Надходження товарів і послуг ІБ00-000768 від 20.02.2026 11:00:00
АПК (Глобине)</t>
  </si>
  <si>
    <t>РОМСТАЛ УКРАЇНА ТОВ
Договір №2810-25 від  28.10.2025_Глобине 2
Надходження товарів і послуг ІБ00-000768 від 20.02.2026 11:00:00</t>
  </si>
  <si>
    <t>Обл. НДС
Трубка ізоляційна Д=064*09мм довж=2м
Надходження товарів і послуг ІБ00-000768 від 20.02.2026 11:00:00
АПК (Глобине)</t>
  </si>
  <si>
    <t>Обл. НДС
Трубка ізоляційна Д=114*09мм довж=2м
Надходження товарів і послуг ІБ00-000768 від 20.02.2026 11:00:00
АПК (Глобине)</t>
  </si>
  <si>
    <t>Обл. НДС
Трубка ізоляційна Д=060*13мм довж=2м
Надходження товарів і послуг ІБ00-000768 від 20.02.2026 11:00:00
АПК (Глобине)</t>
  </si>
  <si>
    <t>Обл. НДС
Трубка ізоляційна Д=114*13мм довж=2м
Надходження товарів і послуг ІБ00-000768 від 20.02.2026 11:00:00
АПК (Глобине)</t>
  </si>
  <si>
    <t>Авансовий звіт ІБ00-000060 від 20.02.2026 15:09:40
Оприходованы ТМЦ</t>
  </si>
  <si>
    <t>Обл. НДС
проводи, кабелі та електромонтажні пристрої 27.3
Авансовий звіт ІБ00-000060 від 20.02.2026 15:09:40
Глобине-2</t>
  </si>
  <si>
    <t>Старіков Сергій Вікторович</t>
  </si>
  <si>
    <t>3721</t>
  </si>
  <si>
    <t>Обл. НДС
Інструменти ручні 25.73.20 
Авансовий звіт ІБ00-000060 від 20.02.2026 15:09:40
Глобине-2</t>
  </si>
  <si>
    <t>Обл. НДС
Саморізи
Авансовий звіт ІБ00-000060 від 20.02.2026 15:09:40
Глобине-2</t>
  </si>
  <si>
    <t>Обл. НДС
Підвіс прямий оц 60/125 0,9мм
Авансовий звіт ІБ00-000060 від 20.02.2026 15:09:40
Глобине-2</t>
  </si>
  <si>
    <t>Обл. НДС
Ручний інструмент 
Авансовий звіт ІБ00-000060 від 20.02.2026 15:09:40
Глобине-2</t>
  </si>
  <si>
    <t>Обл. НДС
Абразивна затирочна сітка
Авансовий звіт ІБ00-000060 від 20.02.2026 15:09:40
Глобине-2</t>
  </si>
  <si>
    <t>Списання товарів ІБ00-000061 від 20.02.2026 16:00:00
Списаны ТМЦ</t>
  </si>
  <si>
    <t>Обл. НДС
Аргон газоподіб.ТУ У 20.1-05761850-027:2018
Надходження товарів і послуг ІБ00-000425 від 30.01.2026 11:00:00
Глобине-2</t>
  </si>
  <si>
    <t>Списання товарів ІБ00-000062 від 20.02.2026 16:00:00
Списаны ТМЦ</t>
  </si>
  <si>
    <t>Обл. НДС
Комплект кріплення
Авансовий звіт ІБ00-000025 від 21.01.2026 16:13:16
Глобине-2</t>
  </si>
  <si>
    <t>Обл. НДС
Комплектуючі до плитки
Авансовий звіт ІБ00-000411 від 24.12.2025 12:23:14
Глобине-2</t>
  </si>
  <si>
    <t>Списання товарів ІБ00-000063 від 20.02.2026 16:00:00
Списаны ТМЦ</t>
  </si>
  <si>
    <t>Переміщення товарів ІБ00-000456 від 20.02.2026 17:29:25
Перемещение ТМЦ</t>
  </si>
  <si>
    <t>Обл. НДС
Лист г/к 10,0 мм 1500*6000, S235 JR
Переміщення товарів ІБ00-000456 від 20.02.2026 17:29:25
Цех_Глобино Виробничий</t>
  </si>
  <si>
    <t>Обл. НДС
Лист г/к 20*1500*6000, S235 JR
Переміщення товарів ІБ00-000456 від 20.02.2026 17:29:25
Цех_Глобино Виробничий</t>
  </si>
  <si>
    <t>Обл. НДС
Лист г/к 20*1500*6000, S235 JR
Надходження товарів і послуг ІБ00-004241 від 05.08.2025 18:00:48
Цех_Глобино</t>
  </si>
  <si>
    <t>Обл. НДС
Лист г/к  8 мм (1500х6000, ст3пс)
Переміщення товарів ІБ00-000456 від 20.02.2026 17:29:25
Цех_Глобино Виробничий</t>
  </si>
  <si>
    <t>Обл. НДС
Труба 80х80х4 
Переміщення товарів ІБ00-000456 від 20.02.2026 17:29:25
Цех_Глобино Виробничий</t>
  </si>
  <si>
    <t>Обл. НДС
Труба 60х60х3 мм; проф 6 м
Переміщення товарів ІБ00-000456 від 20.02.2026 17:29:25
Цех_Глобино Виробничий</t>
  </si>
  <si>
    <t>Обл. НДС
Труба 60х60х3 мм; проф 6 м
Надходження товарів і послуг ІБ00-005478 від 24.09.2025 18:20:48
Цех_Глобино</t>
  </si>
  <si>
    <t>Обл. НДС
труба 100*100*4,0мм 12м
Переміщення товарів ІБ00-000456 від 20.02.2026 17:29:25
Цех_Глобино Виробничий</t>
  </si>
  <si>
    <t>Обл. НДС
труба 160*160*4,0мм 6м
Переміщення товарів ІБ00-000456 від 20.02.2026 17:29:25
Цех_Глобино Виробничий</t>
  </si>
  <si>
    <t>Обл. НДС
Швелер 14 (UREAA 140) S275 JR, 12 м
Переміщення товарів ІБ00-000456 від 20.02.2026 17:29:25
Цех_Глобино Виробничий</t>
  </si>
  <si>
    <t>Обл. НДС
Швелер 16П  S275JR,12 м
Переміщення товарів ІБ00-000456 від 20.02.2026 17:29:25
Цех_Глобино Виробничий</t>
  </si>
  <si>
    <t>Обл. НДС
Швелер 10П 
Переміщення товарів ІБ00-000456 від 20.02.2026 17:29:25
Цех_Глобино Виробничий</t>
  </si>
  <si>
    <t>Обл. НДС
Швелер 10П 
Надходження товарів і послуг ІБ00-004269 від 06.08.2025 18:31:15
Цех_Глобино</t>
  </si>
  <si>
    <t>Вимога-накладна ІБ00-000144 від 20.02.2026 17:29:33
Списаны ТМЦ</t>
  </si>
  <si>
    <t>Переміщення товарів ІБ00-000480 від 20.02.2026 17:29:37
Перемещение ТМЦ</t>
  </si>
  <si>
    <t>Обл. НДС
Грунт-емаль ПФ-012 Р RAL7024
Переміщення товарів ІБ00-000480 від 20.02.2026 17:29:37
СПК (Глобине)</t>
  </si>
  <si>
    <t>Обл. НДС
Грунт-емаль ПФ-012 Р RAL7024
Переміщення товарів ІБ00-001122 від 08.10.2025 11:10:00
ГРП (Глобине)</t>
  </si>
  <si>
    <t>Переміщення товарів ІБ00-000481 від 20.02.2026 17:29:38
Перемещение ТМЦ</t>
  </si>
  <si>
    <t>Обл. НДС
Грунт-емаль ПФ-012 Р RAL7024
Переміщення товарів ІБ00-000481 від 20.02.2026 17:29:38
СПК (Глобине)</t>
  </si>
  <si>
    <t>Переміщення товарів ІБ00-000482 від 20.02.2026 17:29:39
Перемещение ТМЦ</t>
  </si>
  <si>
    <t>Обл. НДС
Грунт-емаль ПФ-012 Р RAL7024
Переміщення товарів ІБ00-000482 від 20.02.2026 17:29:39
СПК (Глобине)</t>
  </si>
  <si>
    <t>Обл. НДС
Грунт-емаль ПФ-012 Р RAL7024
Переміщення товарів ІБ00-001121 від 08.10.2025 11:10:00
Пожежений резервуар (Глобине)</t>
  </si>
  <si>
    <t>23.02.2026</t>
  </si>
  <si>
    <t>Переміщення товарів ІБ00-000483 від 23.02.2026 00:00:00
Перемещение ТМЦ</t>
  </si>
  <si>
    <t>Обл. НДС
Електроди "Моноліт РЦ" 4 мм уп. 5,0 кг
Переміщення товарів ІБ00-000483 від 23.02.2026 00:00:00
Цех екстракції (Глобине)</t>
  </si>
  <si>
    <t>Обл. НДС
Круг відрізний по металу 230*2,0*22,2
Переміщення товарів ІБ00-000483 від 23.02.2026 00:00:00
Цех екстракції (Глобине)</t>
  </si>
  <si>
    <t>Списання товарів ІБ00-000071 від 23.02.2026 00:00:00
Списаны ТМЦ</t>
  </si>
  <si>
    <t>Вимога-накладна ІБ00-000159 від 23.02.2026 00:00:00
Списаны ТМЦ</t>
  </si>
  <si>
    <t>Переміщення товарів ІБ00-000489 від 23.02.2026 08:00:00
Перемещение ТМЦ</t>
  </si>
  <si>
    <t>Обл. НДС
Труба PPR PIPE d 20mm PN 20 скловолкно
Переміщення товарів ІБ00-000489 від 23.02.2026 08:00:00
Котельна (Глобине)</t>
  </si>
  <si>
    <t>Обл. НДС
Труба PPR PIPE d 20mm PN 20 скловолкно
Надходження товарів і послуг ІБ00-008133 від 25.12.2025 11:11:11
АПК (Глобине)</t>
  </si>
  <si>
    <t>Обл. НДС
Труба PPR PIPE d 25mm PN 20 скловолкно
Переміщення товарів ІБ00-000489 від 23.02.2026 08:00:00
Котельна (Глобине)</t>
  </si>
  <si>
    <t>Обл. НДС
Труба PPR PIPE d 25mm PN 20 скловолкно
Надходження товарів і послуг ІБ00-008133 від 25.12.2025 11:11:11
АПК (Глобине)</t>
  </si>
  <si>
    <t>Обл. НДС
Труба PPR PIPE ф40*6,7мм скловолкно
Переміщення товарів ІБ00-000489 від 23.02.2026 08:00:00
Котельна (Глобине)</t>
  </si>
  <si>
    <t>Обл. НДС
Труба PPR PIPE ф40*6,7мм скловолкно
Надходження товарів і послуг ІБ00-008133 від 25.12.2025 11:11:11
АПК (Глобине)</t>
  </si>
  <si>
    <t>Обл. НДС
Кутник 90  PPR ф20*1/2 вн**1011
Переміщення товарів ІБ00-000489 від 23.02.2026 08:00:00
Котельна (Глобине)</t>
  </si>
  <si>
    <t>Обл. НДС
Кутник 90  PPR ф20*1/2 вн**1011
Надходження товарів і послуг ІБ00-008133 від 25.12.2025 11:11:11
АПК (Глобине)</t>
  </si>
  <si>
    <t>Обл. НДС
Обвід PPR ф25**1027
Переміщення товарів ІБ00-000489 від 23.02.2026 08:00:00
Котельна (Глобине)</t>
  </si>
  <si>
    <t>Обл. НДС
Обвід PPR ф25**1027
Надходження товарів і послуг ІБ00-008133 від 25.12.2025 11:11:11
АПК (Глобине)</t>
  </si>
  <si>
    <t>Вимога-накладна ІБ00-000157 від 23.02.2026 09:00:00
Списаны ТМЦ</t>
  </si>
  <si>
    <t>Обл. НДС
Швелер 16П (160 12,05 8240 3пс)
Надходження товарів і послуг ІБ00-003704 від 14.07.2025 11:00:00
СПК (Глобине)</t>
  </si>
  <si>
    <t>Обл. НДС
Сходинки SOZ/34*38/25*3/оц/800*205
Надходження товарів і послуг ІБ00-006187 від 21.10.2025 11:00:00
СПК (Глобине)</t>
  </si>
  <si>
    <t>Обл. НДС
Кріплення для сходинок
Надходження товарів і послуг ІБ00-006187 від 21.10.2025 11:00:00
СПК (Глобине)</t>
  </si>
  <si>
    <t>Надходження товарів і послуг ІБ00-000738 від 23.02.2026 11:00:00
Оприходованы ТМЦ</t>
  </si>
  <si>
    <t>Обл. НДС
Балка 30 (ІРЕ 300) S275 JR, 12 м
Надходження товарів і послуг ІБ00-000738 від 23.02.2026 11:00:00
СПК (Глобине)</t>
  </si>
  <si>
    <t>АВ МЕТАЛ ГРУП ТОВ
Дог 2420/Р от 05.10.2023від 05.10.2023_Глобино-2
Рахунок на оплату постачальника ІБ00-000536 від 16.02.2026 13:24:42</t>
  </si>
  <si>
    <t>Обл. НДС
Кутник 50х50х5 6м S275JR
Надходження товарів і послуг ІБ00-000738 від 23.02.2026 11:00:00
СПК (Глобине)</t>
  </si>
  <si>
    <t>Обл. НДС
Кутник 100х100х7 мм S275JR 12 м
Надходження товарів і послуг ІБ00-000738 від 23.02.2026 11:00:00
СПК (Глобине)</t>
  </si>
  <si>
    <t>Обл. НДС
Лист г/к 10,0 мм 1500*6000, S235 JR
Надходження товарів і послуг ІБ00-000738 від 23.02.2026 11:00:00
СПК (Глобине)</t>
  </si>
  <si>
    <t>Надходження товарів і послуг ІБ00-000784 від 23.02.2026 11:00:00
Оприходованы ТМЦ (Зачет аванса поставщику)</t>
  </si>
  <si>
    <t>Обл. НДС
Решітковий настил KOZ 34*38/30*3/оц/2020*1000
Надходження товарів і послуг ІБ00-000784 від 23.02.2026 11:00:00
Пункт фасування та зберігання в бігбегах (Глобине)</t>
  </si>
  <si>
    <t>Червоноградський завод металоконструкцій
Договір поставки № 44 від 11.06.2020 р._Глобино-2
Рахунок на оплату постачальника ІБ00-000133 від 01.01.2026 11:01:57</t>
  </si>
  <si>
    <t>Обл. НДС
Решітковий настил KOZ 34*38/30*3/оц/2020*593
Надходження товарів і послуг ІБ00-000784 від 23.02.2026 11:00:00
Пункт фасування та зберігання в бігбегах (Глобине)</t>
  </si>
  <si>
    <t>Обл. НДС
Решітковий настил KOZ 34*38/30*3/оц/2000*1000
Надходження товарів і послуг ІБ00-000784 від 23.02.2026 11:00:00
Пункт фасування та зберігання в бігбегах (Глобине)</t>
  </si>
  <si>
    <t>Обл. НДС
Решітковий настил KOZ 34*38/30*3/оц/2000*593
Надходження товарів і послуг ІБ00-000784 від 23.02.2026 11:00:00
Пункт фасування та зберігання в бігбегах (Глобине)</t>
  </si>
  <si>
    <t>Обл. НДС
Решітковий настил KOZ 34*38/30*3/оц/ 2026*1000
Надходження товарів і послуг ІБ00-000784 від 23.02.2026 11:00:00
Пункт фасування та зберігання в бігбегах (Глобине)</t>
  </si>
  <si>
    <t>Обл. НДС
Решітковий настил KOZ 34*38/30*3/оц/2025*593
Надходження товарів і послуг ІБ00-000784 від 23.02.2026 11:00:00
Пункт фасування та зберігання в бігбегах (Глобине)</t>
  </si>
  <si>
    <t>Обл. НДС
Решітковий настил KOZ 34*38/30*3/оц/2374*1000
Надходження товарів і послуг ІБ00-000784 від 23.02.2026 11:00:00
Пункт фасування та зберігання в бігбегах (Глобине)</t>
  </si>
  <si>
    <t>Обл. НДС
Решітковий настил KOZ 34*38/30*3/оц/2374*593
Надходження товарів і послуг ІБ00-000784 від 23.02.2026 11:00:00
Пункт фасування та зберігання в бігбегах (Глобине)</t>
  </si>
  <si>
    <t>Обл. НДС
Решітковий настил KOZ 34*38/30*3/оц/2400*1000
Надходження товарів і послуг ІБ00-000784 від 23.02.2026 11:00:00
Пункт фасування та зберігання в бігбегах (Глобине)</t>
  </si>
  <si>
    <t>Обл. НДС
Решітковий настил KOZ 34*38/30*3/оц/2400*593
Надходження товарів і послуг ІБ00-000784 від 23.02.2026 11:00:00
Пункт фасування та зберігання в бігбегах (Глобине)</t>
  </si>
  <si>
    <t>Обл. НДС
Решітковий настил KOZ 34*38/30*3/оц/1226*1000
Надходження товарів і послуг ІБ00-000784 від 23.02.2026 11:00:00
Пункт фасування та зберігання в бігбегах (Глобине)</t>
  </si>
  <si>
    <t>Обл. НДС
Решітковий настил KOZ 34*38/30*3/оц/1226*593
Надходження товарів і послуг ІБ00-000784 від 23.02.2026 11:00:00
Пункт фасування та зберігання в бігбегах (Глобине)</t>
  </si>
  <si>
    <t>Обл. НДС
Решітковий настил KOZ 34*38/30*3/оц/2083*1246
Надходження товарів і послуг ІБ00-000784 від 23.02.2026 11:00:00
Пункт фасування та зберігання в бігбегах (Глобине)</t>
  </si>
  <si>
    <t>Обл. НДС
Решітковий настил KOZ 34*38/30*3/оц/2083*1000
Надходження товарів і послуг ІБ00-000784 від 23.02.2026 11:00:00
Пункт фасування та зберігання в бігбегах (Глобине)</t>
  </si>
  <si>
    <t>Обл. НДС
Решітковий настил KOZ 34*38/30*3/оц/2374*756
Надходження товарів і послуг ІБ00-000784 від 23.02.2026 11:00:00
Пункт фасування та зберігання в бігбегах (Глобине)</t>
  </si>
  <si>
    <t>Обл. НДС
Решітковий настил KOZ 34*38/30*3/оц/2400*756
Надходження товарів і послуг ІБ00-000784 від 23.02.2026 11:00:00
Пункт фасування та зберігання в бігбегах (Глобине)</t>
  </si>
  <si>
    <t>Надходження товарів і послуг ІБ00-000784 від 23.02.2026 11:00:00
Оприходованы ТМЦ</t>
  </si>
  <si>
    <t>Обл. НДС
Решітковий настил KOZ/34x38/30x3 оц. /  2426*756
Надходження товарів і послуг ІБ00-000784 від 23.02.2026 11:00:00
Пункт фасування та зберігання в бігбегах (Глобине)</t>
  </si>
  <si>
    <t>Обл. НДС
Решітковий настил KOZ/34x38/30x3 оц. /  2426X1000       
Надходження товарів і послуг ІБ00-000784 від 23.02.2026 11:00:00
Пункт фасування та зберігання в бігбегах (Глобине)</t>
  </si>
  <si>
    <t>Обл. НДС
Решітковий настил KOZ 34*38/30*3/оц/1200*756
Надходження товарів і послуг ІБ00-000784 від 23.02.2026 11:00:00
Пункт фасування та зберігання в бігбегах (Глобине)</t>
  </si>
  <si>
    <t>Обл. НДС
Решітковий настил KOZ 34*38/30*3/оц/1200*1000
Надходження товарів і послуг ІБ00-000784 від 23.02.2026 11:00:00
Пункт фасування та зберігання в бігбегах (Глобине)</t>
  </si>
  <si>
    <t>Обл. НДС
Решітковий настил KOZ 34*38/30*3/оц/2472*684
Надходження товарів і послуг ІБ00-000784 від 23.02.2026 11:00:00
Пункт фасування та зберігання в бігбегах (Глобине)</t>
  </si>
  <si>
    <t>Обл. НДС
Решітковий настил KOZ 34*38/30*3/оц/2472*1072
Надходження товарів і послуг ІБ00-000784 від 23.02.2026 11:00:00
Пункт фасування та зберігання в бігбегах (Глобине)</t>
  </si>
  <si>
    <t>Обл. НДС
Решітковий настил KOZ 34*38/30*3/оц/2495*1000
Надходження товарів і послуг ІБ00-000784 від 23.02.2026 11:00:00
Пункт фасування та зберігання в бігбегах (Глобине)</t>
  </si>
  <si>
    <t>Обл. НДС
Решітковий настил KOZ 34*38/30*3/оц/2495*556
Надходження товарів і послуг ІБ00-000784 від 23.02.2026 11:00:00
Пункт фасування та зберігання в бігбегах (Глобине)</t>
  </si>
  <si>
    <t>Обл. НДС
Решітковий настил KOZ 34*38/30*3/оц/ 2500*1000
Надходження товарів і послуг ІБ00-000784 від 23.02.2026 11:00:00
Пункт фасування та зберігання в бігбегах (Глобине)</t>
  </si>
  <si>
    <t>Обл. НДС
Решітковий настил KOZ 34*38/30*3/оц/ 2500*556
Надходження товарів і послуг ІБ00-000784 від 23.02.2026 11:00:00
Пункт фасування та зберігання в бігбегах (Глобине)</t>
  </si>
  <si>
    <t>Обл. НДС
Решітковий настил KOZ 34*38/30*3/оц/2032*1000
Надходження товарів і послуг ІБ00-000784 від 23.02.2026 11:00:00
Пункт фасування та зберігання в бігбегах (Глобине)</t>
  </si>
  <si>
    <t>Обл. НДС
Решітковий настил KOZ 34*38/30*3/оц/ 2200*1000
Надходження товарів і послуг ІБ00-000784 від 23.02.2026 11:00:00
Пункт фасування та зберігання в бігбегах (Глобине)</t>
  </si>
  <si>
    <t>Обл. НДС
Решітковий настил KOZ 34*38/30*3/оц/ 2368*1000
Надходження товарів і послуг ІБ00-000784 від 23.02.2026 11:00:00
Пункт фасування та зберігання в бігбегах (Глобине)</t>
  </si>
  <si>
    <t>Обл. НДС
Решітковий настил KOZ 34*38/30*3/оц/2032*556
Надходження товарів і послуг ІБ00-000784 від 23.02.2026 11:00:00
Пункт фасування та зберігання в бігбегах (Глобине)</t>
  </si>
  <si>
    <t>Обл. НДС
Решітковий настил KOZ 34*38/30*3/оц/2200*556
Надходження товарів і послуг ІБ00-000784 від 23.02.2026 11:00:00
Пункт фасування та зберігання в бігбегах (Глобине)</t>
  </si>
  <si>
    <t>Обл. НДС
Решітковий настил KOZ 34*38/30*3/оц/2400*556
Надходження товарів і послуг ІБ00-000784 від 23.02.2026 11:00:00
Пункт фасування та зберігання в бігбегах (Глобине)</t>
  </si>
  <si>
    <t>Обл. НДС
Решітковий настил KOZ 34*38/30*3/оц/ 2368*555
Надходження товарів і послуг ІБ00-000784 від 23.02.2026 11:00:00
Пункт фасування та зберігання в бігбегах (Глобине)</t>
  </si>
  <si>
    <t>Обл. НДС
Решітковий настил KOZ 34*38/30*3/оц/1046*1292
Надходження товарів і послуг ІБ00-000784 від 23.02.2026 11:00:00
Пункт фасування та зберігання в бігбегах (Глобине)</t>
  </si>
  <si>
    <t>Обл. НДС
Решітковий настил KOZ 34*38/30*3/оц/1046*1000
Надходження товарів і послуг ІБ00-000784 від 23.02.2026 11:00:00
Пункт фасування та зберігання в бігбегах (Глобине)</t>
  </si>
  <si>
    <t>Обл. НДС
Решітковий настил KOZ 34*38/30*3/оц/2000*1246
Надходження товарів і послуг ІБ00-000784 від 23.02.2026 11:00:00
Пункт фасування та зберігання в бігбегах (Глобине)</t>
  </si>
  <si>
    <t>Обл. НДС
Решітковий настил KOZ 34*38/30*3/оц/ 2368*756
Надходження товарів і послуг ІБ00-000784 від 23.02.2026 11:00:00
Пункт фасування та зберігання в бігбегах (Глобине)</t>
  </si>
  <si>
    <t>Обл. НДС
Решітковий настил KOZ 34*38/30*3/оц/ 2368*954
Надходження товарів і послуг ІБ00-000784 від 23.02.2026 11:00:00
Пункт фасування та зберігання в бігбегах (Глобине)</t>
  </si>
  <si>
    <t>Обл. НДС
Решітковий настил KOZ 34*38/30*3/оц/2400*954
Надходження товарів і послуг ІБ00-000784 від 23.02.2026 11:00:00
Пункт фасування та зберігання в бігбегах (Глобине)</t>
  </si>
  <si>
    <t>Обл. НДС
Решітковий настил KOZ 34*38/30*3/оц/2432*756
Надходження товарів і послуг ІБ00-000784 від 23.02.2026 11:00:00
Пункт фасування та зберігання в бігбегах (Глобине)</t>
  </si>
  <si>
    <t>Обл. НДС
Решітковий настил KOZ 34*38/30*3/оц/2432*1000
Надходження товарів і послуг ІБ00-000784 від 23.02.2026 11:00:00
Пункт фасування та зберігання в бігбегах (Глобине)</t>
  </si>
  <si>
    <t>Обл. НДС
Решітковий настил KOZ/34x38/30x3 оц. /  2457X756    
Надходження товарів і послуг ІБ00-000784 від 23.02.2026 11:00:00
Пункт фасування та зберігання в бігбегах (Глобине)</t>
  </si>
  <si>
    <t>Обл. НДС
Решітковий настил KOZ/34x38/30x3 оц. /  2457X1000
Надходження товарів і послуг ІБ00-000784 від 23.02.2026 11:00:00
Пункт фасування та зберігання в бігбегах (Глобине)</t>
  </si>
  <si>
    <t>Обл. НДС
Решітковий настил KOZ/34x38/30x3 оц. /2343*756
Надходження товарів і послуг ІБ00-000784 від 23.02.2026 11:00:00
Пункт фасування та зберігання в бігбегах (Глобине)</t>
  </si>
  <si>
    <t>Обл. НДС
Решітковий настил KOZ/34x38/30x3 оц. /2343*1000
Надходження товарів і послуг ІБ00-000784 від 23.02.2026 11:00:00
Пункт фасування та зберігання в бігбегах (Глобине)</t>
  </si>
  <si>
    <t>Обл. НДС
Решітковий настил S6 KOZ/34x38/30x3 оц. /478*1200
Надходження товарів і послуг ІБ00-000784 від 23.02.2026 11:00:00
Пункт фасування та зберігання в бігбегах (Глобине)</t>
  </si>
  <si>
    <t>Обл. НДС
Решітковий настил KOZ 34*38/30*3/оц/1200*639
Надходження товарів і послуг ІБ00-000784 від 23.02.2026 11:00:00
Пункт фасування та зберігання в бігбегах (Глобине)</t>
  </si>
  <si>
    <t>Обл. НДС
Решітковий настил KOZ/34x38/30x3 оц. /  1756X1278
Надходження товарів і послуг ІБ00-000784 від 23.02.2026 11:00:00
Пункт фасування та зберігання в бігбегах (Глобине)</t>
  </si>
  <si>
    <t>Обл. НДС
Решітковий настил KOZ 34*38/30*3/оц/1150*990
Надходження товарів і послуг ІБ00-000784 від 23.02.2026 11:00:00
Пункт фасування та зберігання в бігбегах (Глобине)</t>
  </si>
  <si>
    <t>Обл. НДС
Решітковий настил KOZ 34*38/30*3/оц/ 810*1000
Надходження товарів і послуг ІБ00-000784 від 23.02.2026 11:00:00
Пункт фасування та зберігання в бігбегах (Глобине)</t>
  </si>
  <si>
    <t>Обл. НДС
Решітковий настил KOZ 34*38/30*3/оц/ 810*1092
Надходження товарів і послуг ІБ00-000784 від 23.02.2026 11:00:00
Пункт фасування та зберігання в бігбегах (Глобине)</t>
  </si>
  <si>
    <t>Обл. НДС
Решітковий настил KOZ 34*38/30*3/оц/ 2146*772
Надходження товарів і послуг ІБ00-000784 від 23.02.2026 11:00:00
Пункт фасування та зберігання в бігбегах (Глобине)</t>
  </si>
  <si>
    <t>Обл. НДС
Решітковий настил KOZ 34*38/30*3/оц/ 937*772
Надходження товарів і послуг ІБ00-000784 від 23.02.2026 11:00:00
Пункт фасування та зберігання в бігбегах (Глобине)</t>
  </si>
  <si>
    <t>Обл. НДС
Решітковий настил KOZ 34*38/30*3/оц/ 1764*1000
Надходження товарів і послуг ІБ00-000784 від 23.02.2026 11:00:00
Пункт фасування та зберігання в бігбегах (Глобине)</t>
  </si>
  <si>
    <t>Обл. НДС
Решітковий настил KOZ 34*38/30*3/оц/2147*998
Надходження товарів і послуг ІБ00-000784 від 23.02.2026 11:00:00
Пункт фасування та зберігання в бігбегах (Глобине)</t>
  </si>
  <si>
    <t>Обл. НДС
Решітковий настил KOZ 34*38/30*3/оц/ 1320*1000 
Надходження товарів і послуг ІБ00-000784 від 23.02.2026 11:00:00
Пункт фасування та зберігання в бігбегах (Глобине)</t>
  </si>
  <si>
    <t>Обл. НДС
Сходинки S6 SOZ/34*38/25*3/оц/800*205
Надходження товарів і послуг ІБ00-000784 від 23.02.2026 11:00:00
Пункт фасування та зберігання в бігбегах (Глобине)</t>
  </si>
  <si>
    <t>Обл. НДС
Кріплення стандартні
Надходження товарів і послуг ІБ00-000784 від 23.02.2026 11:00:00
Пункт фасування та зберігання в бігбегах (Глобине)</t>
  </si>
  <si>
    <t>Обл. НДС
Кріплення гакове до швелера 20
Надходження товарів і послуг ІБ00-000784 від 23.02.2026 11:00:00
Пункт фасування та зберігання в бігбегах (Глобине)</t>
  </si>
  <si>
    <t>Обл. НДС
Кріплення гакове до швелера 16
Надходження товарів і послуг ІБ00-000784 від 23.02.2026 11:00:00
Пункт фасування та зберігання в бігбегах (Глобине)</t>
  </si>
  <si>
    <t>Обл. НДС
Кріплення гакове до швелера 12
Надходження товарів і послуг ІБ00-000784 від 23.02.2026 11:00:00
Пункт фасування та зберігання в бігбегах (Глобине)</t>
  </si>
  <si>
    <t>Обл. НДС
Кріплення для сходинок
Надходження товарів і послуг ІБ00-000784 від 23.02.2026 11:00:00
Пункт фасування та зберігання в бігбегах (Глобине)</t>
  </si>
  <si>
    <t>Надходження дод. витрат ІБ00-000076 від 23.02.2026 11:20:00
Доп. расходы при поступлении товаров</t>
  </si>
  <si>
    <t>Переміщення товарів ІБ00-000457 від 23.02.2026 17:43:56
Перемещение ТМЦ</t>
  </si>
  <si>
    <t>Обл. НДС
Лист 2 (г.к.) 1,25х2,5
Переміщення товарів ІБ00-000457 від 23.02.2026 17:43:56
Цех_Глобино Виробничий</t>
  </si>
  <si>
    <t>Обл. НДС
Лист 3 (г.к)  (1,5х3) 
Переміщення товарів ІБ00-000457 від 23.02.2026 17:43:56
Цех_Глобино Виробничий</t>
  </si>
  <si>
    <t>Обл. НДС
Лист 4 (г.к)  (1,5х6) ((1,5*6,0) 14637 3сп5)
Переміщення товарів ІБ00-000457 від 23.02.2026 17:43:56
Цех_Глобино Виробничий</t>
  </si>
  <si>
    <t>Обл. НДС
Лист 8 (г.к)  (1,5х6) ((1,5*6,0) 14637 3сп5)
Переміщення товарів ІБ00-000457 від 23.02.2026 17:43:56
Цех_Глобино Виробничий</t>
  </si>
  <si>
    <t>Обл. НДС
Лист 8 (г.к)  (1,5х6) ((1,5*6,0) 14637 3сп5)
Надходження товарів і послуг ІБ00-006955 від 01.11.2025 08:00:42
Цех_Глобино</t>
  </si>
  <si>
    <t>Обл. НДС
Лист г/к 10,0 мм 1500*6000, S235 JR
Переміщення товарів ІБ00-000457 від 23.02.2026 17:43:56
Цех_Глобино Виробничий</t>
  </si>
  <si>
    <t>Обл. НДС
Лист г/к 10,0 мм 1500*6000, S235 JR
Надходження товарів і послуг ІБ00-005284 від 18.09.2025 20:52:27
Цех_Глобино</t>
  </si>
  <si>
    <t>Обл. НДС
труба 80х80х3 мм; ст. 1-3 пс; 12 м
Переміщення товарів ІБ00-000457 від 23.02.2026 17:43:56
Цех_Глобино Виробничий</t>
  </si>
  <si>
    <t>Обл. НДС
Труба 80х80х4 
Переміщення товарів ІБ00-000457 від 23.02.2026 17:43:56
Цех_Глобино Виробничий</t>
  </si>
  <si>
    <t>Обл. НДС
Труба 40*40*3 мм ст.1-3пс, 6 м
Переміщення товарів ІБ00-000457 від 23.02.2026 17:43:56
Цех_Глобино Виробничий</t>
  </si>
  <si>
    <t>Обл. НДС
Труба 40х20х2
Переміщення товарів ІБ00-000457 від 23.02.2026 17:43:56
Цех_Глобино Виробничий</t>
  </si>
  <si>
    <t>Обл. НДС
Труба 40х20х2
Надходження товарів і послуг ІБ00-004270 від 05.08.2025 18:00:56
Цех_Глобино</t>
  </si>
  <si>
    <t>Обл. НДС
Труба 40х20х2
Надходження товарів і послуг ІБ00-004271 від 05.08.2025 18:00:59
Цех_Глобино</t>
  </si>
  <si>
    <t>Обл. НДС
Труба 40х20х2
Надходження товарів і послуг ІБ00-005471 від 24.09.2025 18:20:31
Цех_Глобино</t>
  </si>
  <si>
    <t>Обл. НДС
Швелер 12П  
Переміщення товарів ІБ00-000457 від 23.02.2026 17:43:56
Цех_Глобино Виробничий</t>
  </si>
  <si>
    <t>Обл. НДС
Швелер 12П ст.1-3сп/пс 5 кат L= 12000
Переміщення товарів ІБ00-000457 від 23.02.2026 17:43:56
Цех_Глобино Виробничий</t>
  </si>
  <si>
    <t>Обл. НДС
Швелер 12П ст.1-3сп/пс 5 кат L= 12000
Надходження товарів і послуг ІБ00-005290 від 18.09.2025 20:52:43
Цех_Глобино</t>
  </si>
  <si>
    <t>Обл. НДС
Швелер 16П  S275JR,12 м
Переміщення товарів ІБ00-000457 від 23.02.2026 17:43:56
Цех_Глобино Виробничий</t>
  </si>
  <si>
    <t>Обл. НДС
Швелер 18 П ст.3пс
Переміщення товарів ІБ00-000457 від 23.02.2026 17:43:56
Цех_Глобино Виробничий</t>
  </si>
  <si>
    <t>Переміщення товарів ІБ00-000458 від 23.02.2026 17:43:57
Перемещение ТМЦ</t>
  </si>
  <si>
    <t>Обл. НДС
Лист г/к 10,0 мм 1500*6000, S235 JR
Переміщення товарів ІБ00-000458 від 23.02.2026 17:43:57
Цех_Глобино Виробничий</t>
  </si>
  <si>
    <t>Обл. НДС
Лист 12  (г,к)(1,5х6)imp((1,5*6,0)S235JR)
Переміщення товарів ІБ00-000458 від 23.02.2026 17:43:57
Цех_Глобино Виробничий</t>
  </si>
  <si>
    <t>Обл. НДС
Лист 12  (г,к)(1,5х6)imp((1,5*6,0)S235JR)
Надходження товарів і послуг ІБ00-004241 від 05.08.2025 18:00:48
Цех_Глобино</t>
  </si>
  <si>
    <t>Обл. НДС
Труба 60х60х3 мм; проф 6 м
Переміщення товарів ІБ00-000458 від 23.02.2026 17:43:57
Цех_Глобино Виробничий</t>
  </si>
  <si>
    <t>Обл. НДС
Швелер 16П  S275JR,12 м
Переміщення товарів ІБ00-000458 від 23.02.2026 17:43:57
Цех_Глобино Виробничий</t>
  </si>
  <si>
    <t>Обл. НДС
Швелер 14 (UREAA 140) S275 JR, 12 м
Переміщення товарів ІБ00-000458 від 23.02.2026 17:43:57
Цех_Глобино Виробничий</t>
  </si>
  <si>
    <t>Обл. НДС
Швелер 14П  (140 12,05 8240 3пс)
Переміщення товарів ІБ00-000458 від 23.02.2026 17:43:57
Цех_Глобино Виробничий</t>
  </si>
  <si>
    <t>Списання товарів ІБ00-000069 від 23.02.2026 20:00:00
Списаны ТМЦ</t>
  </si>
  <si>
    <t>Обл. НДС
Дюбель розпірний нейлоновий, М10х50 мм 7307991090
Надходження товарів і послуг ІБ00-007151 від 24.11.2025 11:00:00
Котельна (Глобине)</t>
  </si>
  <si>
    <t>Обл. НДС
Льон технічний
Надходження товарів і послуг ІБ00-000366 від 13.01.2026 11:00:00
Котельна (Глобине)</t>
  </si>
  <si>
    <t>Обл. НДС
Паста ущільнююча Unipak 75 гр.
Надходження товарів і послуг ІБ00-000366 від 13.01.2026 11:00:00
Котельна (Глобине)</t>
  </si>
  <si>
    <t>Обл. НДС
Фумстрічка д/води STP-01 20м 19мм
Надходження товарів і послуг ІБ00-000366 від 13.01.2026 11:00:00
Котельна (Глобине)</t>
  </si>
  <si>
    <t>Вимога-накладна ІБ00-000158 від 23.02.2026 20:00:00
Списаны ТМЦ</t>
  </si>
  <si>
    <t>Обл. НДС
Лист н/ж 304 10,0 (1,5*6,0)
Надходження товарів і послуг ІБ00-005928 від 01.10.2025 19:00:38
Цех екстракції (Глобине)</t>
  </si>
  <si>
    <t>Вимога-накладна ІБ00-000160 від 23.02.2026 23:05:17
Списаны ТМЦ</t>
  </si>
  <si>
    <t>Обл. НДС
Труба PPR PIPE d 20mm PN 20 скловолкно
Надходження товарів і послуг ІБ00-000366 від 13.01.2026 11:00:00
Котельна (Глобине)</t>
  </si>
  <si>
    <t>Обл. НДС
Труба поліпропіленова PP-R/F  РN 20 бар 25 мм сіра
Надходження товарів і послуг ІБ00-006725 від 04.11.2025 11:00:00
Котельна (Глобине)</t>
  </si>
  <si>
    <t>Обл. НДС
Труба поліпропіленова PP-R/F  РN 20 бар 25 мм сіра
Надходження товарів і послуг ІБ00-007154 від 24.11.2025 11:00:00
Котельна (Глобине)</t>
  </si>
  <si>
    <t>Обл. НДС
Труба поліпропіленова PP-R/F  РN 20 бар 40 мм сіра
Надходження товарів і послуг ІБ00-006725 від 04.11.2025 11:00:00
Котельна (Глобине)</t>
  </si>
  <si>
    <t>Обл. НДС
Труба поліпропіленова PP-R/F  РN 20 бар 40 мм сіра
Надходження товарів і послуг ІБ00-007154 від 24.11.2025 11:00:00
Котельна (Глобине)</t>
  </si>
  <si>
    <t>Обл. НДС
Труба ППР VS PLAST 40*6,7мм зі скловолокном
Надходження товарів і послуг ІБ00-000367 від 13.01.2026 11:00:00
Котельна (Глобине)</t>
  </si>
  <si>
    <t>Обл. НДС
Кутник 90  PPR ф20*1/2 вн**1011
Надходження товарів і послуг ІБ00-000366 від 13.01.2026 11:00:00
Котельна (Глобине)</t>
  </si>
  <si>
    <t>Обл. НДС
PP-R кут 25мм 90
Надходження товарів і послуг ІБ00-006725 від 04.11.2025 11:00:00
Котельна (Глобине)</t>
  </si>
  <si>
    <t>Обл. НДС
Кутник 90  PPR ф20**1008
Надходження товарів і послуг ІБ00-000366 від 13.01.2026 11:00:00
Котельна (Глобине)</t>
  </si>
  <si>
    <t>Обл. НДС
Кутник 90  PPR ф40**1008
Надходження товарів і послуг ІБ00-000367 від 13.01.2026 11:00:00
Котельна (Глобине)</t>
  </si>
  <si>
    <t>Обл. НДС
Куточок 90 PP-R D=40 mm сірий
Надходження товарів і послуг ІБ00-007154 від 24.11.2025 11:00:00
Котельна (Глобине)</t>
  </si>
  <si>
    <t>Обл. НДС
Куточок, 90", PP-R, D=40 мм, сірий 
Надходження товарів і послуг ІБ00-006725 від 04.11.2025 11:00:00
Котельна (Глобине)</t>
  </si>
  <si>
    <t>Обл. НДС
Трійник, редукційний, PP-R, D=40*25*40 мм,сірий 
Надходження товарів і послуг ІБ00-006725 від 04.11.2025 11:00:00
Котельна (Глобине)</t>
  </si>
  <si>
    <t>Обл. НДС
PP-R трійник 25 мм
Надходження товарів і послуг ІБ00-006725 від 04.11.2025 11:00:00
Котельна (Глобине)</t>
  </si>
  <si>
    <t>Обл. НДС
PP-R трійник 40 мм
Надходження товарів і послуг ІБ00-006725 від 04.11.2025 11:00:00
Котельна (Глобине)</t>
  </si>
  <si>
    <t>Обл. НДС
Трійник, PP-R, D = 20 мм, сірий 3917400090
Надходження товарів і послуг ІБ00-007154 від 24.11.2025 11:00:00
Котельна (Глобине)</t>
  </si>
  <si>
    <t>Обл. НДС
Кран кульовий PP-R d=25мм сірий
Надходження товарів і послуг ІБ00-006725 від 04.11.2025 11:00:00
Котельна (Глобине)</t>
  </si>
  <si>
    <t>Обл. НДС
Електричний  бойлер Atlantic Steatite Central Domestic Floor Standing 200 ES-VS200MC-S (3000W)
Надходження товарів і послуг ІБ00-007156 від 24.11.2025 11:00:00
Котельна (Глобине)</t>
  </si>
  <si>
    <t>Обл. НДС
Бойлер електр SAtlantic 300 ES-VS300MC-S 3000W
Надходження товарів і послуг ІБ00-006725 від 04.11.2025 11:00:00
Котельна (Глобине)</t>
  </si>
  <si>
    <t>Обл. НДС
Хомут з прокладкою, M8, 1 1/4" (40-43 мм)
Надходження товарів і послуг ІБ00-007151 від 24.11.2025 11:00:00
Котельна (Глобине)</t>
  </si>
  <si>
    <t>Обл. НДС
Хомут з прокладкою KSB1 M8 25-28 mm
Надходження товарів і послуг ІБ00-007151 від 24.11.2025 11:00:00
Котельна (Глобине)</t>
  </si>
  <si>
    <t>Обл. НДС
Муфта з накидною гайкою, PP-R, D = 20 мм x 1/2", сіра
Надходження товарів і послуг ІБ00-007151 від 24.11.2025 11:00:00
Котельна (Глобине)</t>
  </si>
  <si>
    <t>Обл. НДС
Муфта, PP-R, D=25 мм, сіра 3917400090
Надходження товарів і послуг ІБ00-007151 від 24.11.2025 11:00:00
Котельна (Глобине)</t>
  </si>
  <si>
    <t>Обл. НДС
ПП Муфта з нак. гайк. углова FADO PPR 25*3/4", фітинг
Надходження товарів і послуг ІБ00-007151 від 24.11.2025 11:00:00
Котельна (Глобине)</t>
  </si>
  <si>
    <t>Обл. НДС
Муфта, PP-R, D=40 мм. сіра
Надходження товарів і послуг ІБ00-007151 від 24.11.2025 11:00:00
Котельна (Глобине)</t>
  </si>
  <si>
    <t>Обл. НДС
Перехідник, PP-R, D=25х20 мм, HB, сірий 3917400090
Надходження товарів і послуг ІБ00-007151 від 24.11.2025 11:00:00
Котельна (Глобине)</t>
  </si>
  <si>
    <t>Обл. НДС
Перехідник, PP-R, D=40х25 мм, HB, сірий 
Надходження товарів і послуг ІБ00-007151 від 24.11.2025 11:00:00
Котельна (Глобине)</t>
  </si>
  <si>
    <t>Обл. НДС
Заглушка, PP-R, D = 20x1/2", Н
Надходження товарів і послуг ІБ00-007151 від 24.11.2025 11:00:00
Котельна (Глобине)</t>
  </si>
  <si>
    <t>Обл. НДС
Трубка  K-FLEX 06x042-2 РЕ BLUE
Надходження товарів і послуг ІБ00-007151 від 24.11.2025 11:00:00
Котельна (Глобине)</t>
  </si>
  <si>
    <t>Обл. НДС
Трубка  K-FLEX 06x042-2 РЕ BLUE
Надходження товарів і послуг ІБ00-007152 від 25.11.2025 11:00:00
Котельна (Глобине)</t>
  </si>
  <si>
    <t>Обл. НДС
Трубка  K-FLEX 06x028-2 PE COMPACT BLUE
Надходження товарів і послуг ІБ00-007151 від 24.11.2025 11:00:00
Котельна (Глобине)</t>
  </si>
  <si>
    <t>Обл. НДС
Утеплювач для труб 22х6 
Надходження товарів і послуг ІБ00-000366 від 13.01.2026 11:00:00
Котельна (Глобине)</t>
  </si>
  <si>
    <t>Списання товарів ІБ00-000070 від 23.02.2026 23:05:18
Списаны ТМЦ</t>
  </si>
  <si>
    <t>Обл. НДС
Сантехнічні  матеріали 
Авансовий звіт ІБ00-000411 від 24.12.2025 12:23:14
Глобине-2</t>
  </si>
  <si>
    <t>Вимога-накладна ІБ00-000161 від 23.02.2026 23:05:23
Списаны ТМЦ</t>
  </si>
  <si>
    <t>Обл. НДС
Сендвіч-панель ТПК стінова 100 мм МВ 1000 мм відкр.замок С 0,5 PS/C 0,5 PS 6,170м трап9006/трап9003
Надходження товарів і послуг ІБ00-007532 від 10.12.2025 11:00:00
Пункт фасування та зберігання в бігбегах (Глобине)</t>
  </si>
  <si>
    <t>Обл. НДС
Сендвіч-панель ТПК стінова 100 мм МВ 1000 мм відкр.замок С 0,5 PS/C 0,5 PS 5,980м трап9006/трап9003
Надходження товарів і послуг ІБ00-007534 від 11.12.2025 11:00:00
Пункт фасування та зберігання в бігбегах (Глобине)</t>
  </si>
  <si>
    <t>Обл. НДС
Сендвіч-панель ТПК стінова 100 мм МВ 1000 мм відкр.замок С 0,5 PS/C 0,5 PS 3,490м трап9006/трап9003
Надходження товарів і послуг ІБ00-007532 від 10.12.2025 11:00:00
Пункт фасування та зберігання в бігбегах (Глобине)</t>
  </si>
  <si>
    <t>Обл. НДС
Сендвіч-панель ТПК стінова 100 мм МВ 1000 мм відкр.замок С 0,5 PS/C 0,5 PS 3,400м трап9006/трап9003
Надходження товарів і послуг ІБ00-007532 від 10.12.2025 11:00:00
Пункт фасування та зберігання в бігбегах (Глобине)</t>
  </si>
  <si>
    <t>Обл. НДС
Сендвіч-панель ТПК стінова 100 мм МВ 1000 мм відкр.замок С 0,5 PS/C 0,5 PS 3,500м трап9006/трап9003
Надходження товарів і послуг ІБ00-007534 від 11.12.2025 11:00:00
Пункт фасування та зберігання в бігбегах (Глобине)</t>
  </si>
  <si>
    <t>Обл. НДС
Сендвіч-панель ТПК стінова 100 мм МВ 1000 мм відкр.замок С 0,5 PS/C 0,5 PS 3,010м трап9006/трап9003
Надходження товарів і послуг ІБ00-007532 від 10.12.2025 11:00:00
Пункт фасування та зберігання в бігбегах (Глобине)</t>
  </si>
  <si>
    <t>Обл. НДС
Сендвіч-панель ТПК стінова 100 мм МВ 1180 мм відкр.замок С 0,5 PS/C 0,5 PS 7,000м трап9006/трап9003
Надходження товарів і послуг ІБ00-007535 від 12.12.2025 11:00:00
Пункт фасування та зберігання в бігбегах (Глобине)</t>
  </si>
  <si>
    <t>Обл. НДС
Сендвіч-панель ТПК стінова 100 мм МВ 1180 мм відкр.замок С 0,5 PS/C 0,5 PS 5,670м трап9006/трап9003
Надходження товарів і послуг ІБ00-007532 від 10.12.2025 11:00:00
Пункт фасування та зберігання в бігбегах (Глобине)</t>
  </si>
  <si>
    <t>Обл. НДС
Сендвіч-панель ТПК стінова 100 мм МВ 1180 мм відкр.замок С 0,5 PS/C 0,5 PS 3,400м трап9006/трап9003
Надходження товарів і послуг ІБ00-007532 від 10.12.2025 11:00:00
Пункт фасування та зберігання в бігбегах (Глобине)</t>
  </si>
  <si>
    <t>Обл. НДС
Сендвіч-панель ТПК стінова 100 мм МВ 1180 мм відкр.замок С 0,5 PS/C 0,5 PS 3,400м трап9006/трап9003
Надходження товарів і послуг ІБ00-007534 від 11.12.2025 11:00:00
Пункт фасування та зберігання в бігбегах (Глобине)</t>
  </si>
  <si>
    <t>Обл. НДС
Сендвіч-панель ТПК стінова 100 мм МВ 1180 мм відкр.замок С 0,5 PS/C 0,5 PS 2,430м трап9006/трап9003
Надходження товарів і послуг ІБ00-007532 від 10.12.2025 11:00:00
Пункт фасування та зберігання в бігбегах (Глобине)</t>
  </si>
  <si>
    <t>Обл. НДС
Сендвіч-панель ТПК стінова 100 мм МВ 1180 мм відкр.замок С 0,5 PS/C 0,5 PS 2,000м трап9006/трап9003
Надходження товарів і послуг ІБ00-007534 від 11.12.2025 11:00:00
Пункт фасування та зберігання в бігбегах (Глобине)</t>
  </si>
  <si>
    <t>Обл. НДС
Клей-герметик д/сендвіч- панелей Soudaflex 40 FC (12 шт/уп) (600мл(шт.) білий)
Надходження товарів і послуг ІБ00-007642 від 17.12.2025 11:00:00
Пункт фасування та зберігання в бігбегах (Глобине)</t>
  </si>
  <si>
    <t>Обл. НДС
Самонаріз в метал до сендвіч-панелей 5,5*6,3/200 5005 синій
Надходження товарів і послуг ІБ00-007642 від 17.12.2025 11:00:00
Пункт фасування та зберігання в бігбегах (Глобине)</t>
  </si>
  <si>
    <t>Обл. НДС
Сендвіч-панель ТПК покрівельна 100мм МВ 1000мм С0,5 PS/C0,5 PS 9,680м покрів5005/трап9003
Надходження товарів і послуг ІБ00-007642 від 17.12.2025 11:00:00
Пункт фасування та зберігання в бігбегах (Глобине)</t>
  </si>
  <si>
    <t>Обл. НДС
Ущільнювальна стрічка ТПК-УП-4 ППЕ (3х15мм 30м)
Надходження товарів і послуг ІБ00-007642 від 17.12.2025 11:00:00
Пункт фасування та зберігання в бігбегах (Глобине)</t>
  </si>
  <si>
    <t>Обл. НДС
Ущільнювач КН для с/п 1 м ППЕ НХ
Надходження товарів і послуг ІБ00-007642 від 17.12.2025 11:00:00
Пункт фасування та зберігання в бігбегах (Глобине)</t>
  </si>
  <si>
    <t>Обл. НДС
Саморіз  4,8*19 для скріплення листів 250шт 5005 синій
Надходження товарів і послуг ІБ00-007642 від 17.12.2025 11:00:00
Пункт фасування та зберігання в бігбегах (Глобине)</t>
  </si>
  <si>
    <t>Вимога-накладна ІБ00-000162 від 23.02.2026 23:05:28
Списаны ТМЦ</t>
  </si>
  <si>
    <t>Обл. НДС
Стрічка ППЕ НХ 5мм*30мм*20м
Надходження товарів і послуг ІБ00-005315 від 18.09.2025 11:00:00
АПК (Глобине)</t>
  </si>
  <si>
    <t>Обл. НДС
Стрічка ППЕ НХ 5мм*30мм*20м
Надходження товарів і послуг ІБ00-006190 від 02.10.2025 11:00:00
АПК (Глобине)</t>
  </si>
  <si>
    <t>Обл. НДС
Саморіз  г/к метал 3,5*35
Надходження товарів і послуг ІБ00-000224 від 21.01.2026 11:00:00
АПК (Глобине)</t>
  </si>
  <si>
    <t>Надходження товарів і послуг ІБ00-000787 від 24.02.2026 11:00:00
Оприходованы ТМЦ</t>
  </si>
  <si>
    <t>Обл. НДС
Підвіконня 
Надходження товарів і послуг ІБ00-000787 від 24.02.2026 11:00:00
АПК (Глобине)</t>
  </si>
  <si>
    <t>Екіпаж ПП
Дог№300525/3-П-Спец№1_від 29.05.2025_Глобино2
Рахунок на оплату постачальника ІБ00-000520 від 09.02.2026 20:00:33</t>
  </si>
  <si>
    <t>Надходження товарів і послуг ІБ00-000787 від 24.02.2026 11:00:00
Оприходованы ТМЦ (Зачет аванса поставщику)</t>
  </si>
  <si>
    <t>Надходження товарів і послуг ІБ00-000788 від 24.02.2026 11:00:00
Оприходованы ТМЦ (Зачет аванса поставщику)</t>
  </si>
  <si>
    <t>Обл. НДС
Протипожежна конструкція відкривна ЕІ30 1879В-1
Надходження товарів і послуг ІБ00-000788 від 24.02.2026 11:00:00
Котельна (Глобине)</t>
  </si>
  <si>
    <t>Екіпаж ПП
Дог№300525/3-П-Спец№1_від 29.05.2025_Глобино2
Рахунок на оплату постачальника ІБ00-006470 від 03.12.2025 18:16:30</t>
  </si>
  <si>
    <t>Надходження товарів і послуг ІБ00-000788 від 24.02.2026 11:00:00
Оприходованы ТМЦ</t>
  </si>
  <si>
    <t>Обл. НДС
Протипожежна конструкція відкривна ЕІ30 1879В-2
Надходження товарів і послуг ІБ00-000788 від 24.02.2026 11:00:00
Котельна (Глобине)</t>
  </si>
  <si>
    <t>Надходження товарів і послуг ІБ00-000789 від 24.02.2026 11:00:00
Оприходованы ТМЦ</t>
  </si>
  <si>
    <t>Обл. НДС
Підвіконня 
Надходження товарів і послуг ІБ00-000789 від 24.02.2026 11:00:00
Котельна (Глобине)</t>
  </si>
  <si>
    <t>Екіпаж ПП
Дог№300525/3-П-Спец№1_від 29.05.2025_Глобино2
Рахунок на оплату постачальника ІБ00-000681 від 16.02.2026 18:41:04</t>
  </si>
  <si>
    <t>25.02.2026</t>
  </si>
  <si>
    <t>Переміщення товарів ІБ00-000498 від 25.02.2026 21:40:09
Перемещение ТМЦ</t>
  </si>
  <si>
    <t>Обл. НДС
Лист г/к 20*1500*6000, S235 JR
Переміщення товарів ІБ00-000498 від 25.02.2026 21:40:09
Цех_Глобино Виробничий</t>
  </si>
  <si>
    <t>Обл. НДС
Лист г/к 20*1500*6000, S355J2
Переміщення товарів ІБ00-000498 від 25.02.2026 21:40:09
Цех_Глобино Виробничий</t>
  </si>
  <si>
    <t>Обл. НДС
Лист г/к 20*1500*6000, S355J2
Надходження товарів і послуг ІБ00-004241 від 05.08.2025 18:00:48
Цех_Глобино</t>
  </si>
  <si>
    <t>Обл. НДС
Лист 4 (г.к)  (1,5х6) ((1,5*6,0) 14637 3сп5)
Переміщення товарів ІБ00-000498 від 25.02.2026 21:40:09
Цех_Глобино Виробничий</t>
  </si>
  <si>
    <t>Обл. НДС
Лист 8 (г.к)  (1,5х6) ((1,5*6,0) 14637 3сп5)
Переміщення товарів ІБ00-000498 від 25.02.2026 21:40:09
Цех_Глобино Виробничий</t>
  </si>
  <si>
    <t>Обл. НДС
Лист г/к 10,0 мм 1500*6000, S235 JR
Переміщення товарів ІБ00-000498 від 25.02.2026 21:40:09
Цех_Глобино Виробничий</t>
  </si>
  <si>
    <t>Обл. НДС
Труба 60х60х4,0мм МІРА 6м
Переміщення товарів ІБ00-000498 від 25.02.2026 21:40:09
Цех_Глобино Виробничий</t>
  </si>
  <si>
    <t>Обл. НДС
Труба 120*120*5
Переміщення товарів ІБ00-000498 від 25.02.2026 21:40:09
Цех_Глобино Виробничий</t>
  </si>
  <si>
    <t>Обл. НДС
Труба 120*120*5
Надходження товарів і послуг ІБ00-005529 від 29.09.2025 19:03:01
Цех_Глобино</t>
  </si>
  <si>
    <t>Обл. НДС
Труба 40*40*3 мм ст.1-3пс, 6 м
Переміщення товарів ІБ00-000498 від 25.02.2026 21:40:09
Цех_Глобино Виробничий</t>
  </si>
  <si>
    <t>Обл. НДС
Швелер 16П  S275JR,12 м
Переміщення товарів ІБ00-000498 від 25.02.2026 21:40:09
Цех_Глобино Виробничий</t>
  </si>
  <si>
    <t>Обл. НДС
Швелер 10П 
Переміщення товарів ІБ00-000498 від 25.02.2026 21:40:09
Цех_Глобино Виробничий</t>
  </si>
  <si>
    <t>Переміщення товарів ІБ00-000499 від 25.02.2026 21:40:10
Перемещение ТМЦ</t>
  </si>
  <si>
    <t>Обл. НДС
Швелер 24П ст.3сп/пс 5, 12 м
Переміщення товарів ІБ00-000499 від 25.02.2026 21:40:10
Цех_Глобино Виробничий</t>
  </si>
  <si>
    <t>Обл. НДС
Швелер 24П ст.3сп/пс 5, 12 м
Надходження товарів і послуг ІБ00-004269 від 06.08.2025 18:31:15
Цех_Глобино</t>
  </si>
  <si>
    <t>Обл. НДС
Швелер 24П ст.3сп/пс 5, 12 м
Надходження товарів і послуг ІБ00-006954 від 27.11.2025 18:01:15
Цех_Глобино</t>
  </si>
  <si>
    <t>Обл. НДС
Швелер 16П  S275JR,12 м
Переміщення товарів ІБ00-000499 від 25.02.2026 21:40:10
Цех_Глобино Виробничий</t>
  </si>
  <si>
    <t>26.02.2026</t>
  </si>
  <si>
    <t>Надходження товарів і послуг ІБ00-000866 від 26.02.2026 11:00:00
Оприходованы ТМЦ</t>
  </si>
  <si>
    <t>Обл. НДС
Болт М20*70  DIN 6914
Надходження товарів і послуг ІБ00-000866 від 26.02.2026 11:00:00
Цех екстракції (Глобине)</t>
  </si>
  <si>
    <t>ЄВРОБОЛТ УКРАЇНА ТОВ
Рахунки_Глобине-2
Рахунок на оплату постачальника ІБ00-000738 від 18.02.2026 20:00:12</t>
  </si>
  <si>
    <t>Обл. НДС
Болт М20*95 EN 14399-4 10,9Гц
Надходження товарів і послуг ІБ00-000866 від 26.02.2026 11:00:00
Цех екстракції (Глобине)</t>
  </si>
  <si>
    <t>Списання товарів ІББП-000096 від 27.02.2026 00:00:00
Списаны ТМЦ</t>
  </si>
  <si>
    <t>Вимога-накладна ІБ00-000180 від 27.02.2026 00:00:00
Списаны ТМЦ</t>
  </si>
  <si>
    <t>Переміщення товарів ІББП-000522 від 27.02.2026 08:00:00
Перемещение ТМЦ</t>
  </si>
  <si>
    <t>Обл. НДС
Труба профільна 40*40*3,0  L=6000 мм ст1-3 сп/пс
Переміщення товарів ІББП-000522 від 27.02.2026 08:00:00
Резервуарний парк соєвої меляси (Глобине)</t>
  </si>
  <si>
    <t>Обл. НДС
Труба профільна 40*40*3,0  L=6000 мм ст1-3 сп/пс
Надходження товарів і послуг ІБ00-002356 від 20.05.2025 11:00:00
Генплан митний склад (Глобине)</t>
  </si>
  <si>
    <t>Переміщення товарів ІББП-000523 від 27.02.2026 08:00:00
Перемещение ТМЦ</t>
  </si>
  <si>
    <t>Обл. НДС
Труба 40х40х3 (6,05-S235/S275)
Переміщення товарів ІББП-000523 від 27.02.2026 08:00:00
Резервуарний парк соєвої меляси (Глобине)</t>
  </si>
  <si>
    <t>Обл. НДС
Труба 40х40х3 (6,05-S235/S275)
Надходження товарів і послуг ІБ00-001808 від 22.04.2025 11:00:00
Глобине-2</t>
  </si>
  <si>
    <t>Переміщення товарів ІББП-000524 від 27.02.2026 08:00:00
Перемещение ТМЦ</t>
  </si>
  <si>
    <t>Обл. НДС
Труба 40х20х2 6,05-S235/S275
Переміщення товарів ІББП-000524 від 27.02.2026 08:00:00
Резервуарний парк соєвої меляси (Глобине)</t>
  </si>
  <si>
    <t>Обл. НДС
Труба 40х20х2 6,05-S235/S275
Надходження товарів і послуг ІБ00-001808 від 22.04.2025 11:00:00
СПК (Глобине)</t>
  </si>
  <si>
    <t>Переміщення товарів ІББП-000533 від 27.02.2026 08:00:00
Перемещение ТМЦ</t>
  </si>
  <si>
    <t>Обл. НДС
Грунт-емаль ПФ-012 Р RAL7024
Переміщення товарів ІББП-000533 від 27.02.2026 08:00:00
СПК (Глобине)</t>
  </si>
  <si>
    <t>Переміщення товарів ІББП-000534 від 27.02.2026 08:00:00
Перемещение ТМЦ</t>
  </si>
  <si>
    <t>Обл. НДС
Електроди "Моноліт РЦ" 4 мм уп. 5,0 кг
Переміщення товарів ІББП-000534 від 27.02.2026 08:00:00
Цех екстракції (Глобине)</t>
  </si>
  <si>
    <t>Обл. НДС
(я-94)BOSCH витратні Круг відрізний 230*2,5*22 увігнутий
Переміщення товарів ІББП-000534 від 27.02.2026 08:00:00
Цех екстракції (Глобине)</t>
  </si>
  <si>
    <t>Обл. НДС
(я-94)BOSCH витратні Круг відрізний 230*2,5*22 увігнутий
Переміщення товарів ІБ00-000444 від 26.02.2026 11:09:30
Глобине-2</t>
  </si>
  <si>
    <t>Переміщення товарів ІБ00-000536 від 27.02.2026 08:00:00
Перемещение ТМЦ</t>
  </si>
  <si>
    <t>Обл. НДС
Шуруп для сендвіч-панелей шайба 19 посил.свердло 5,5/6,3*175
Переміщення товарів ІБ00-000536 від 27.02.2026 08:00:00
Глобине-2</t>
  </si>
  <si>
    <t>Обл. НДС
Шуруп для сендвіч-панелей шайба 19 посил.свердло 5,5/6,3*175
Авансовий звіт ІБ00-000199 від 04.08.2025 17:20:27
Глобине-2</t>
  </si>
  <si>
    <t>Переміщення товарів ІББП-000525 від 27.02.2026 09:00:00
Перемещение ТМЦ</t>
  </si>
  <si>
    <t>Обл. НДС
Швелер 16П (160 12,05 8240 3пс)
Переміщення товарів ІББП-000525 від 27.02.2026 09:00:00
Резервуарний парк соєвої меляси (Глобине)</t>
  </si>
  <si>
    <t>Обл. НДС
Швелер 16П (160 12,05 8240 3пс)
Надходження товарів і послуг ІБ00-001667 від 03.04.2025 11:00:00
Резервуарний парк соєвої меляси (Глобине)</t>
  </si>
  <si>
    <t>Обл. НДС
Труба профільна 40*40*3,0  L=6000 мм ст1-3 сп/пс
Переміщення товарів ІББП-000525 від 27.02.2026 09:00:00
Резервуарний парк соєвої меляси (Глобине)</t>
  </si>
  <si>
    <t>Обл. НДС
Труба профільна 40*40*3,0  L=6000 мм ст1-3 сп/пс
Надходження товарів і послуг ІБ00-002356 від 20.05.2025 11:00:00
Резервуарний парк соєвої меляси (Глобине)</t>
  </si>
  <si>
    <t>Обл. НДС
Труба 40х40х3 (6,05-S235/S275)
Переміщення товарів ІББП-000525 від 27.02.2026 09:00:00
Резервуарний парк соєвої меляси (Глобине)</t>
  </si>
  <si>
    <t>Списання товарів ІБ00-000072 від 27.02.2026 10:00:00
Списаны ТМЦ</t>
  </si>
  <si>
    <t>Обл. НДС
Саморізи
Авансовий звіт ІБ00-000411 від 24.12.2025 12:23:14
Глобине-2</t>
  </si>
  <si>
    <t>Списання товарів ІББП-000097 від 27.02.2026 10:00:00
Списаны ТМЦ</t>
  </si>
  <si>
    <t>Списання товарів ІББП-000098 від 27.02.2026 10:00:00
Списаны ТМЦ</t>
  </si>
  <si>
    <t>Обл. НДС
Саморізи
Авансовий звіт ІБ00-000025 від 21.01.2026 16:13:16
Глобине-2</t>
  </si>
  <si>
    <t>Вимога-накладна ІББП-000173 від 27.02.2026 10:00:00
Списаны ТМЦ</t>
  </si>
  <si>
    <t>Обл. НДС
Труба 100*100*4  ст1-3 пс L=12000
Надходження товарів і послуг ІБ00-006204 від 01.10.2025 11:00:00
СПК (Глобине)</t>
  </si>
  <si>
    <t>Вимога-накладна ІББП-000175 від 27.02.2026 10:00:00
Списаны ТМЦ</t>
  </si>
  <si>
    <t>Надходження товарів і послуг ІБ00-000777 від 27.02.2026 11:00:00
Оприходованы ТМЦ (Зачет аванса поставщику)</t>
  </si>
  <si>
    <t>Обл. НДС
Клей для плитки СМ-11, 25 кг
Надходження товарів і послуг ІБ00-000777 від 27.02.2026 11:00:00
АПК (Глобине)</t>
  </si>
  <si>
    <t>Мошинець Ю.П. ФОП
Рахунки_Глобине-2
Рахунок на оплату постачальника ІБ00-006463 від 04.12.2025 23:00:04</t>
  </si>
  <si>
    <t>Надходження товарів і послуг ІБ00-000975 від 27.02.2026 11:00:00
Оприходованы ТМЦ</t>
  </si>
  <si>
    <t>Обл. НДС
Перемичка залізобетонна 5ПБ 30-27-п
Надходження товарів і послуг ІБ00-000975 від 27.02.2026 11:00:00
СПК (Глобине)</t>
  </si>
  <si>
    <t>ОРІЄНТИР ГРУП" ТОВ
РАХУНОК_Глобино-2
Рахунок на оплату постачальника ІБ00-000591 від 16.02.2026 18:40:47</t>
  </si>
  <si>
    <t>Надходження товарів і послуг ІБ00-000975 від 27.02.2026 11:00:00
Оприходованы ТМЦ (Зачет аванса поставщику)</t>
  </si>
  <si>
    <t>Вимога-накладна ІББП-000176 від 27.02.2026 20:00:00
Списаны ТМЦ</t>
  </si>
  <si>
    <t>Обл. НДС
Сендвіч-панель ТПК покрів 160мм МВ1000ммС0,5PS/C0.5PS 9,680м трапец 5005синій/9003біл
Надходження товарів і послуг ІБ00-007766 від 24.12.2025 11:00:00
Пункт фасування та зберігання в бігбегах (Глобине)</t>
  </si>
  <si>
    <t>Вимога-накладна ІБ00-000170 від 27.02.2026 20:47:57
Списаны ТМЦ</t>
  </si>
  <si>
    <t>Обл. НДС
Водонагрівач електричний 100л Bilight GCV 1004415 B11 TSR
Надходження товарів і послуг ІБ00-006725 від 04.11.2025 11:00:00
Котельна (Глобине)</t>
  </si>
  <si>
    <t>Обл. НДС
Комплект для підключення змішувача PP-R D=20 мм х1\2 сірий
Надходження товарів і послуг ІБ00-007151 від 24.11.2025 11:00:00
Котельна (Глобине)</t>
  </si>
  <si>
    <t>Обл. НДС
Змішувач для душу Mixie хром
Надходження товарів і послуг ІБ00-007155 від 24.11.2025 11:00:00
Котельна (Глобине)</t>
  </si>
  <si>
    <t>Обл. НДС
Душовий набір DRIP, хром., 5 функцій, з душ. шлангом 150 смта тримачем
Надходження товарів і послуг ІБ00-007155 від 24.11.2025 11:00:00
Котельна (Глобине)</t>
  </si>
  <si>
    <t>Обл. НДС
Змішувач для умивальника Kroner Sync хром
Надходження товарів і послуг ІБ00-007155 від 24.11.2025 11:00:00
Котельна (Глобине)</t>
  </si>
  <si>
    <t>Обл. НДС
Сифон для умивальника, випуск 70мм, гофра d40/50
Надходження товарів і послуг ІБ00-007155 від 24.11.2025 11:00:00
Котельна (Глобине)</t>
  </si>
  <si>
    <t>Обл. НДС
Умивальник PRESIDENT 55 з отвором для арматури 
Надходження товарів і послуг ІБ00-007155 від 24.11.2025 11:00:00
Котельна (Глобине)</t>
  </si>
  <si>
    <t>Обл. НДС
Кріплення умивальника до стіни (з ексцентриками і болт.8х120мм )
Надходження товарів і послуг ІБ00-007155 від 24.11.2025 11:00:00
Котельна (Глобине)</t>
  </si>
  <si>
    <t>Обл. НДС
FREJA Унітаз-Компакт підлоговий, косий випуск, зливний бачок 3/6 л, нижній підвід, сидіння з кришкою
Надходження товарів і послуг ІБ00-007155 від 24.11.2025 11:00:00
Котельна (Глобине)</t>
  </si>
  <si>
    <t>Обл. НДС
Гнучка труба для унітаза 500мм
Надходження товарів і послуг ІБ00-007155 від 24.11.2025 11:00:00
Котельна (Глобине)</t>
  </si>
  <si>
    <t>Вимога-накладна ІБ00-000171 від 27.02.2026 20:47:58
Списаны ТМЦ</t>
  </si>
  <si>
    <t>Вимога-накладна ІББП-000170 від 27.02.2026 20:48:01
Списаны ТМЦ</t>
  </si>
  <si>
    <t>Вимога-накладна ІББП-000171 від 27.02.2026 20:48:05
Списаны ТМЦ</t>
  </si>
  <si>
    <t>Обл. НДС
Саморіз для г/к 3,5*25 по металу фосфатований
Надходження товарів і послуг ІБ00-008172 від 18.12.2025 11:00:00
АПК (Глобине)</t>
  </si>
  <si>
    <t>Обл. НДС
Шпатлівка Uniflot KNAUF  25кг 
Надходження товарів і послуг ІБ00-008142 від 19.12.2025 11:00:00
АПК (Глобине)</t>
  </si>
  <si>
    <t>Вимога-накладна ІББП-000174 від 27.02.2026 20:48:10
Списаны ТМЦ</t>
  </si>
  <si>
    <t>Обл. НДС
Шпилька  М24х1000 DIN 975
Надходження товарів і послуг ІБ00-000234 від 21.01.2026 11:00:00
Цех екстракції (Глобине)</t>
  </si>
  <si>
    <t>Вимога-накладна ІБ00-000075 від 02.02.2026 17:46:42
Списаны ТМЦ</t>
  </si>
  <si>
    <t>Обл. НДС
Виробничий (Глобине-2)
Цех Глобино
Прямі материальні виробничі витрати крім зворотніх відходів</t>
  </si>
  <si>
    <t>Вимога-накладна ІБ00-000076 від 02.02.2026 17:46:43
Списаны ТМЦ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</si>
</sst>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Arial"/>
      <family val="2"/>
    </font>
    <font>
      <sz val="10"/>
      <color indexed="21"/>
      <name val="Arial"/>
      <family val="2"/>
      <charset val="204"/>
    </font>
    <font>
      <sz val="8"/>
      <name val="Arial"/>
      <family val="2"/>
      <charset val="204"/>
    </font>
    <font>
      <b/>
      <sz val="10"/>
      <color indexed="21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4">
    <border>
      <left/>
      <right/>
      <top/>
      <bottom/>
      <diagonal/>
    </border>
    <border>
      <left style="thin">
        <color indexed="60"/>
      </left>
      <right/>
      <top style="thin">
        <color indexed="60"/>
      </top>
      <bottom/>
      <diagonal/>
    </border>
    <border>
      <left style="thin">
        <color indexed="60"/>
      </left>
      <right style="thin">
        <color indexed="60"/>
      </right>
      <top style="thin">
        <color indexed="60"/>
      </top>
      <bottom/>
      <diagonal/>
    </border>
    <border>
      <left/>
      <right/>
      <top style="thin">
        <color indexed="60"/>
      </top>
      <bottom/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  <border>
      <left style="thin">
        <color indexed="60"/>
      </left>
      <right/>
      <top/>
      <bottom style="thin">
        <color indexed="60"/>
      </bottom>
      <diagonal/>
    </border>
    <border>
      <left style="thin">
        <color indexed="60"/>
      </left>
      <right style="thin">
        <color indexed="60"/>
      </right>
      <top/>
      <bottom style="thin">
        <color indexed="60"/>
      </bottom>
      <diagonal/>
    </border>
    <border>
      <left/>
      <right/>
      <top/>
      <bottom style="thin">
        <color indexed="60"/>
      </bottom>
      <diagonal/>
    </border>
    <border>
      <left/>
      <right style="thin">
        <color indexed="60"/>
      </right>
      <top style="thin">
        <color indexed="60"/>
      </top>
      <bottom style="thin">
        <color indexed="60"/>
      </bottom>
      <diagonal/>
    </border>
    <border>
      <left/>
      <right/>
      <top style="thin">
        <color indexed="60"/>
      </top>
      <bottom style="thin">
        <color indexed="60"/>
      </bottom>
      <diagonal/>
    </border>
    <border>
      <left/>
      <right style="thin">
        <color indexed="60"/>
      </right>
      <top/>
      <bottom style="thin">
        <color indexed="6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115">
    <xf numFmtId="0" fontId="0" fillId="0" borderId="0" xfId="0"/>
    <xf numFmtId="0" fontId="2" fillId="2" borderId="1" xfId="1" applyNumberFormat="1" applyFont="1" applyFill="1" applyBorder="1" applyAlignment="1">
      <alignment vertical="top"/>
    </xf>
    <xf numFmtId="0" fontId="2" fillId="2" borderId="2" xfId="1" applyNumberFormat="1" applyFont="1" applyFill="1" applyBorder="1" applyAlignment="1">
      <alignment vertical="top"/>
    </xf>
    <xf numFmtId="0" fontId="2" fillId="2" borderId="3" xfId="1" applyNumberFormat="1" applyFont="1" applyFill="1" applyBorder="1" applyAlignment="1">
      <alignment vertical="top"/>
    </xf>
    <xf numFmtId="0" fontId="2" fillId="2" borderId="2" xfId="1" applyNumberFormat="1" applyFont="1" applyFill="1" applyBorder="1" applyAlignment="1">
      <alignment horizontal="center" vertical="top"/>
    </xf>
    <xf numFmtId="0" fontId="2" fillId="2" borderId="4" xfId="1" applyNumberFormat="1" applyFont="1" applyFill="1" applyBorder="1" applyAlignment="1">
      <alignment horizontal="center" vertical="top"/>
    </xf>
    <xf numFmtId="0" fontId="2" fillId="2" borderId="5" xfId="1" applyNumberFormat="1" applyFont="1" applyFill="1" applyBorder="1" applyAlignment="1">
      <alignment vertical="top"/>
    </xf>
    <xf numFmtId="0" fontId="2" fillId="2" borderId="6" xfId="1" applyNumberFormat="1" applyFont="1" applyFill="1" applyBorder="1" applyAlignment="1">
      <alignment vertical="top"/>
    </xf>
    <xf numFmtId="0" fontId="2" fillId="2" borderId="7" xfId="1" applyNumberFormat="1" applyFont="1" applyFill="1" applyBorder="1" applyAlignment="1">
      <alignment vertical="top"/>
    </xf>
    <xf numFmtId="0" fontId="2" fillId="2" borderId="4" xfId="1" applyNumberFormat="1" applyFont="1" applyFill="1" applyBorder="1" applyAlignment="1">
      <alignment vertical="top"/>
    </xf>
    <xf numFmtId="0" fontId="2" fillId="2" borderId="8" xfId="1" applyNumberFormat="1" applyFont="1" applyFill="1" applyBorder="1" applyAlignment="1">
      <alignment vertical="top"/>
    </xf>
    <xf numFmtId="0" fontId="2" fillId="2" borderId="8" xfId="1" applyNumberFormat="1" applyFont="1" applyFill="1" applyBorder="1" applyAlignment="1">
      <alignment vertical="top"/>
    </xf>
    <xf numFmtId="0" fontId="2" fillId="2" borderId="9" xfId="1" applyNumberFormat="1" applyFont="1" applyFill="1" applyBorder="1" applyAlignment="1">
      <alignment vertical="top"/>
    </xf>
    <xf numFmtId="0" fontId="2" fillId="2" borderId="10" xfId="1" applyNumberFormat="1" applyFont="1" applyFill="1" applyBorder="1" applyAlignment="1">
      <alignment vertical="top"/>
    </xf>
    <xf numFmtId="0" fontId="3" fillId="0" borderId="11" xfId="1" applyNumberFormat="1" applyFont="1" applyBorder="1" applyAlignment="1">
      <alignment vertical="top"/>
    </xf>
    <xf numFmtId="0" fontId="3" fillId="0" borderId="11" xfId="1" applyNumberFormat="1" applyFont="1" applyBorder="1" applyAlignment="1">
      <alignment vertical="top" wrapText="1"/>
    </xf>
    <xf numFmtId="0" fontId="3" fillId="0" borderId="11" xfId="1" applyNumberFormat="1" applyFont="1" applyBorder="1" applyAlignment="1">
      <alignment horizontal="left" vertical="top"/>
    </xf>
    <xf numFmtId="2" fontId="3" fillId="0" borderId="11" xfId="1" applyNumberFormat="1" applyFont="1" applyBorder="1" applyAlignment="1">
      <alignment horizontal="right" vertical="top" wrapText="1"/>
    </xf>
    <xf numFmtId="2" fontId="3" fillId="0" borderId="13" xfId="1" applyNumberFormat="1" applyFont="1" applyBorder="1" applyAlignment="1">
      <alignment horizontal="right" vertical="top" wrapText="1"/>
    </xf>
    <xf numFmtId="0" fontId="3" fillId="0" borderId="12" xfId="1" applyNumberFormat="1" applyFont="1" applyBorder="1" applyAlignment="1">
      <alignment horizontal="center" vertical="top"/>
    </xf>
    <xf numFmtId="4" fontId="3" fillId="0" borderId="13" xfId="1" applyNumberFormat="1" applyFont="1" applyBorder="1" applyAlignment="1">
      <alignment horizontal="right" vertical="top" wrapText="1"/>
    </xf>
    <xf numFmtId="4" fontId="3" fillId="0" borderId="11" xfId="1" applyNumberFormat="1" applyFont="1" applyBorder="1" applyAlignment="1">
      <alignment horizontal="right" vertical="top" wrapText="1"/>
    </xf>
    <xf numFmtId="4" fontId="3" fillId="0" borderId="13" xfId="1" applyNumberFormat="1" applyFont="1" applyBorder="1" applyAlignment="1">
      <alignment horizontal="right" vertical="top" wrapText="1"/>
    </xf>
    <xf numFmtId="0" fontId="3" fillId="0" borderId="11" xfId="1" applyNumberFormat="1" applyFont="1" applyBorder="1" applyAlignment="1">
      <alignment horizontal="right" vertical="top" wrapText="1"/>
    </xf>
    <xf numFmtId="0" fontId="4" fillId="2" borderId="11" xfId="1" applyNumberFormat="1" applyFont="1" applyFill="1" applyBorder="1" applyAlignment="1">
      <alignment vertical="top"/>
    </xf>
    <xf numFmtId="4" fontId="4" fillId="2" borderId="11" xfId="1" applyNumberFormat="1" applyFont="1" applyFill="1" applyBorder="1" applyAlignment="1">
      <alignment horizontal="right" vertical="top" wrapText="1"/>
    </xf>
    <xf numFmtId="0" fontId="4" fillId="2" borderId="12" xfId="1" applyNumberFormat="1" applyFont="1" applyFill="1" applyBorder="1" applyAlignment="1">
      <alignment horizontal="center" vertical="top"/>
    </xf>
    <xf numFmtId="4" fontId="4" fillId="2" borderId="13" xfId="1" applyNumberFormat="1" applyFont="1" applyFill="1" applyBorder="1" applyAlignment="1">
      <alignment horizontal="right" vertical="top" wrapText="1"/>
    </xf>
    <xf numFmtId="4" fontId="0" fillId="0" borderId="0" xfId="0" applyNumberFormat="1"/>
    <xf numFmtId="0" fontId="2" fillId="2" borderId="1" xfId="2" applyNumberFormat="1" applyFont="1" applyFill="1" applyBorder="1" applyAlignment="1">
      <alignment vertical="top"/>
    </xf>
    <xf numFmtId="0" fontId="2" fillId="2" borderId="2" xfId="2" applyNumberFormat="1" applyFont="1" applyFill="1" applyBorder="1" applyAlignment="1">
      <alignment vertical="top"/>
    </xf>
    <xf numFmtId="0" fontId="2" fillId="2" borderId="3" xfId="2" applyNumberFormat="1" applyFont="1" applyFill="1" applyBorder="1" applyAlignment="1">
      <alignment vertical="top"/>
    </xf>
    <xf numFmtId="0" fontId="2" fillId="2" borderId="2" xfId="2" applyNumberFormat="1" applyFont="1" applyFill="1" applyBorder="1" applyAlignment="1">
      <alignment horizontal="center" vertical="top"/>
    </xf>
    <xf numFmtId="0" fontId="2" fillId="2" borderId="4" xfId="2" applyNumberFormat="1" applyFont="1" applyFill="1" applyBorder="1" applyAlignment="1">
      <alignment horizontal="center" vertical="top"/>
    </xf>
    <xf numFmtId="0" fontId="2" fillId="2" borderId="5" xfId="2" applyNumberFormat="1" applyFont="1" applyFill="1" applyBorder="1" applyAlignment="1">
      <alignment vertical="top"/>
    </xf>
    <xf numFmtId="0" fontId="2" fillId="2" borderId="6" xfId="2" applyNumberFormat="1" applyFont="1" applyFill="1" applyBorder="1" applyAlignment="1">
      <alignment vertical="top"/>
    </xf>
    <xf numFmtId="0" fontId="2" fillId="2" borderId="7" xfId="2" applyNumberFormat="1" applyFont="1" applyFill="1" applyBorder="1" applyAlignment="1">
      <alignment vertical="top"/>
    </xf>
    <xf numFmtId="0" fontId="2" fillId="2" borderId="4" xfId="2" applyNumberFormat="1" applyFont="1" applyFill="1" applyBorder="1" applyAlignment="1">
      <alignment vertical="top"/>
    </xf>
    <xf numFmtId="0" fontId="2" fillId="2" borderId="8" xfId="2" applyNumberFormat="1" applyFont="1" applyFill="1" applyBorder="1" applyAlignment="1">
      <alignment vertical="top"/>
    </xf>
    <xf numFmtId="0" fontId="2" fillId="2" borderId="8" xfId="2" applyNumberFormat="1" applyFont="1" applyFill="1" applyBorder="1" applyAlignment="1">
      <alignment vertical="top"/>
    </xf>
    <xf numFmtId="0" fontId="2" fillId="2" borderId="9" xfId="2" applyNumberFormat="1" applyFont="1" applyFill="1" applyBorder="1" applyAlignment="1">
      <alignment vertical="top"/>
    </xf>
    <xf numFmtId="0" fontId="2" fillId="2" borderId="10" xfId="2" applyNumberFormat="1" applyFont="1" applyFill="1" applyBorder="1" applyAlignment="1">
      <alignment vertical="top"/>
    </xf>
    <xf numFmtId="0" fontId="3" fillId="0" borderId="11" xfId="2" applyNumberFormat="1" applyFont="1" applyBorder="1" applyAlignment="1">
      <alignment vertical="top"/>
    </xf>
    <xf numFmtId="0" fontId="3" fillId="0" borderId="11" xfId="2" applyNumberFormat="1" applyFont="1" applyBorder="1" applyAlignment="1">
      <alignment vertical="top" wrapText="1"/>
    </xf>
    <xf numFmtId="0" fontId="3" fillId="0" borderId="11" xfId="2" applyNumberFormat="1" applyFont="1" applyBorder="1" applyAlignment="1">
      <alignment horizontal="left" vertical="top"/>
    </xf>
    <xf numFmtId="0" fontId="3" fillId="0" borderId="11" xfId="2" applyNumberFormat="1" applyFont="1" applyBorder="1" applyAlignment="1">
      <alignment horizontal="right" vertical="top" wrapText="1"/>
    </xf>
    <xf numFmtId="4" fontId="3" fillId="0" borderId="13" xfId="2" applyNumberFormat="1" applyFont="1" applyBorder="1" applyAlignment="1">
      <alignment horizontal="right" vertical="top" wrapText="1"/>
    </xf>
    <xf numFmtId="0" fontId="3" fillId="0" borderId="12" xfId="2" applyNumberFormat="1" applyFont="1" applyBorder="1" applyAlignment="1">
      <alignment horizontal="center" vertical="top"/>
    </xf>
    <xf numFmtId="4" fontId="3" fillId="0" borderId="13" xfId="2" applyNumberFormat="1" applyFont="1" applyBorder="1" applyAlignment="1">
      <alignment horizontal="right" vertical="top" wrapText="1"/>
    </xf>
    <xf numFmtId="2" fontId="3" fillId="0" borderId="13" xfId="2" applyNumberFormat="1" applyFont="1" applyBorder="1" applyAlignment="1">
      <alignment horizontal="right" vertical="top" wrapText="1"/>
    </xf>
    <xf numFmtId="0" fontId="3" fillId="0" borderId="13" xfId="2" applyNumberFormat="1" applyFont="1" applyBorder="1" applyAlignment="1">
      <alignment horizontal="right" vertical="top" wrapText="1"/>
    </xf>
    <xf numFmtId="0" fontId="4" fillId="2" borderId="11" xfId="2" applyNumberFormat="1" applyFont="1" applyFill="1" applyBorder="1" applyAlignment="1">
      <alignment vertical="top"/>
    </xf>
    <xf numFmtId="2" fontId="4" fillId="2" borderId="11" xfId="2" applyNumberFormat="1" applyFont="1" applyFill="1" applyBorder="1" applyAlignment="1">
      <alignment horizontal="right" vertical="top" wrapText="1"/>
    </xf>
    <xf numFmtId="4" fontId="4" fillId="2" borderId="11" xfId="2" applyNumberFormat="1" applyFont="1" applyFill="1" applyBorder="1" applyAlignment="1">
      <alignment horizontal="right" vertical="top" wrapText="1"/>
    </xf>
    <xf numFmtId="0" fontId="4" fillId="2" borderId="12" xfId="2" applyNumberFormat="1" applyFont="1" applyFill="1" applyBorder="1" applyAlignment="1">
      <alignment horizontal="center" vertical="top"/>
    </xf>
    <xf numFmtId="4" fontId="4" fillId="2" borderId="13" xfId="2" applyNumberFormat="1" applyFont="1" applyFill="1" applyBorder="1" applyAlignment="1">
      <alignment horizontal="right" vertical="top" wrapText="1"/>
    </xf>
    <xf numFmtId="0" fontId="2" fillId="2" borderId="1" xfId="3" applyNumberFormat="1" applyFont="1" applyFill="1" applyBorder="1" applyAlignment="1">
      <alignment vertical="top"/>
    </xf>
    <xf numFmtId="0" fontId="2" fillId="2" borderId="2" xfId="3" applyNumberFormat="1" applyFont="1" applyFill="1" applyBorder="1" applyAlignment="1">
      <alignment vertical="top"/>
    </xf>
    <xf numFmtId="0" fontId="2" fillId="2" borderId="3" xfId="3" applyNumberFormat="1" applyFont="1" applyFill="1" applyBorder="1" applyAlignment="1">
      <alignment vertical="top"/>
    </xf>
    <xf numFmtId="0" fontId="2" fillId="2" borderId="2" xfId="3" applyNumberFormat="1" applyFont="1" applyFill="1" applyBorder="1" applyAlignment="1">
      <alignment horizontal="center" vertical="top"/>
    </xf>
    <xf numFmtId="0" fontId="2" fillId="2" borderId="4" xfId="3" applyNumberFormat="1" applyFont="1" applyFill="1" applyBorder="1" applyAlignment="1">
      <alignment horizontal="center" vertical="top"/>
    </xf>
    <xf numFmtId="0" fontId="2" fillId="2" borderId="5" xfId="3" applyNumberFormat="1" applyFont="1" applyFill="1" applyBorder="1" applyAlignment="1">
      <alignment vertical="top"/>
    </xf>
    <xf numFmtId="0" fontId="2" fillId="2" borderId="6" xfId="3" applyNumberFormat="1" applyFont="1" applyFill="1" applyBorder="1" applyAlignment="1">
      <alignment vertical="top"/>
    </xf>
    <xf numFmtId="0" fontId="2" fillId="2" borderId="7" xfId="3" applyNumberFormat="1" applyFont="1" applyFill="1" applyBorder="1" applyAlignment="1">
      <alignment vertical="top"/>
    </xf>
    <xf numFmtId="0" fontId="2" fillId="2" borderId="4" xfId="3" applyNumberFormat="1" applyFont="1" applyFill="1" applyBorder="1" applyAlignment="1">
      <alignment vertical="top"/>
    </xf>
    <xf numFmtId="0" fontId="2" fillId="2" borderId="8" xfId="3" applyNumberFormat="1" applyFont="1" applyFill="1" applyBorder="1" applyAlignment="1">
      <alignment vertical="top"/>
    </xf>
    <xf numFmtId="0" fontId="2" fillId="2" borderId="8" xfId="3" applyNumberFormat="1" applyFont="1" applyFill="1" applyBorder="1" applyAlignment="1">
      <alignment vertical="top"/>
    </xf>
    <xf numFmtId="0" fontId="2" fillId="2" borderId="9" xfId="3" applyNumberFormat="1" applyFont="1" applyFill="1" applyBorder="1" applyAlignment="1">
      <alignment vertical="top"/>
    </xf>
    <xf numFmtId="0" fontId="2" fillId="2" borderId="10" xfId="3" applyNumberFormat="1" applyFont="1" applyFill="1" applyBorder="1" applyAlignment="1">
      <alignment vertical="top"/>
    </xf>
    <xf numFmtId="0" fontId="3" fillId="0" borderId="11" xfId="3" applyNumberFormat="1" applyFont="1" applyBorder="1" applyAlignment="1">
      <alignment vertical="top"/>
    </xf>
    <xf numFmtId="0" fontId="3" fillId="0" borderId="11" xfId="3" applyNumberFormat="1" applyFont="1" applyBorder="1" applyAlignment="1">
      <alignment vertical="top" wrapText="1"/>
    </xf>
    <xf numFmtId="0" fontId="3" fillId="0" borderId="11" xfId="3" applyNumberFormat="1" applyFont="1" applyBorder="1" applyAlignment="1">
      <alignment horizontal="left" vertical="top"/>
    </xf>
    <xf numFmtId="0" fontId="3" fillId="0" borderId="11" xfId="3" applyNumberFormat="1" applyFont="1" applyBorder="1" applyAlignment="1">
      <alignment horizontal="right" vertical="top" wrapText="1"/>
    </xf>
    <xf numFmtId="4" fontId="3" fillId="0" borderId="13" xfId="3" applyNumberFormat="1" applyFont="1" applyBorder="1" applyAlignment="1">
      <alignment horizontal="right" vertical="top" wrapText="1"/>
    </xf>
    <xf numFmtId="0" fontId="3" fillId="0" borderId="12" xfId="3" applyNumberFormat="1" applyFont="1" applyBorder="1" applyAlignment="1">
      <alignment horizontal="center" vertical="top"/>
    </xf>
    <xf numFmtId="4" fontId="3" fillId="0" borderId="13" xfId="3" applyNumberFormat="1" applyFont="1" applyBorder="1" applyAlignment="1">
      <alignment horizontal="right" vertical="top" wrapText="1"/>
    </xf>
    <xf numFmtId="4" fontId="3" fillId="0" borderId="11" xfId="3" applyNumberFormat="1" applyFont="1" applyBorder="1" applyAlignment="1">
      <alignment horizontal="right" vertical="top" wrapText="1"/>
    </xf>
    <xf numFmtId="0" fontId="3" fillId="0" borderId="13" xfId="3" applyNumberFormat="1" applyFont="1" applyBorder="1" applyAlignment="1">
      <alignment horizontal="right" vertical="top" wrapText="1"/>
    </xf>
    <xf numFmtId="2" fontId="3" fillId="0" borderId="13" xfId="3" applyNumberFormat="1" applyFont="1" applyBorder="1" applyAlignment="1">
      <alignment horizontal="right" vertical="top" wrapText="1"/>
    </xf>
    <xf numFmtId="2" fontId="3" fillId="0" borderId="11" xfId="3" applyNumberFormat="1" applyFont="1" applyBorder="1" applyAlignment="1">
      <alignment horizontal="right" vertical="top" wrapText="1"/>
    </xf>
    <xf numFmtId="2" fontId="3" fillId="0" borderId="13" xfId="3" applyNumberFormat="1" applyFont="1" applyBorder="1" applyAlignment="1">
      <alignment horizontal="right" vertical="top" wrapText="1"/>
    </xf>
    <xf numFmtId="0" fontId="4" fillId="2" borderId="11" xfId="3" applyNumberFormat="1" applyFont="1" applyFill="1" applyBorder="1" applyAlignment="1">
      <alignment vertical="top"/>
    </xf>
    <xf numFmtId="4" fontId="4" fillId="2" borderId="11" xfId="3" applyNumberFormat="1" applyFont="1" applyFill="1" applyBorder="1" applyAlignment="1">
      <alignment horizontal="right" vertical="top" wrapText="1"/>
    </xf>
    <xf numFmtId="0" fontId="4" fillId="2" borderId="12" xfId="3" applyNumberFormat="1" applyFont="1" applyFill="1" applyBorder="1" applyAlignment="1">
      <alignment horizontal="center" vertical="top"/>
    </xf>
    <xf numFmtId="4" fontId="4" fillId="2" borderId="13" xfId="3" applyNumberFormat="1" applyFont="1" applyFill="1" applyBorder="1" applyAlignment="1">
      <alignment horizontal="right" vertical="top" wrapText="1"/>
    </xf>
    <xf numFmtId="0" fontId="2" fillId="2" borderId="1" xfId="4" applyNumberFormat="1" applyFont="1" applyFill="1" applyBorder="1" applyAlignment="1">
      <alignment vertical="top"/>
    </xf>
    <xf numFmtId="0" fontId="2" fillId="2" borderId="2" xfId="4" applyNumberFormat="1" applyFont="1" applyFill="1" applyBorder="1" applyAlignment="1">
      <alignment vertical="top"/>
    </xf>
    <xf numFmtId="0" fontId="2" fillId="2" borderId="3" xfId="4" applyNumberFormat="1" applyFont="1" applyFill="1" applyBorder="1" applyAlignment="1">
      <alignment vertical="top"/>
    </xf>
    <xf numFmtId="0" fontId="2" fillId="2" borderId="2" xfId="4" applyNumberFormat="1" applyFont="1" applyFill="1" applyBorder="1" applyAlignment="1">
      <alignment horizontal="center" vertical="top"/>
    </xf>
    <xf numFmtId="0" fontId="2" fillId="2" borderId="4" xfId="4" applyNumberFormat="1" applyFont="1" applyFill="1" applyBorder="1" applyAlignment="1">
      <alignment horizontal="center" vertical="top"/>
    </xf>
    <xf numFmtId="0" fontId="2" fillId="2" borderId="5" xfId="4" applyNumberFormat="1" applyFont="1" applyFill="1" applyBorder="1" applyAlignment="1">
      <alignment vertical="top"/>
    </xf>
    <xf numFmtId="0" fontId="2" fillId="2" borderId="6" xfId="4" applyNumberFormat="1" applyFont="1" applyFill="1" applyBorder="1" applyAlignment="1">
      <alignment vertical="top"/>
    </xf>
    <xf numFmtId="0" fontId="2" fillId="2" borderId="7" xfId="4" applyNumberFormat="1" applyFont="1" applyFill="1" applyBorder="1" applyAlignment="1">
      <alignment vertical="top"/>
    </xf>
    <xf numFmtId="0" fontId="2" fillId="2" borderId="4" xfId="4" applyNumberFormat="1" applyFont="1" applyFill="1" applyBorder="1" applyAlignment="1">
      <alignment vertical="top"/>
    </xf>
    <xf numFmtId="0" fontId="2" fillId="2" borderId="8" xfId="4" applyNumberFormat="1" applyFont="1" applyFill="1" applyBorder="1" applyAlignment="1">
      <alignment vertical="top"/>
    </xf>
    <xf numFmtId="0" fontId="2" fillId="2" borderId="8" xfId="4" applyNumberFormat="1" applyFont="1" applyFill="1" applyBorder="1" applyAlignment="1">
      <alignment vertical="top"/>
    </xf>
    <xf numFmtId="0" fontId="2" fillId="2" borderId="9" xfId="4" applyNumberFormat="1" applyFont="1" applyFill="1" applyBorder="1" applyAlignment="1">
      <alignment vertical="top"/>
    </xf>
    <xf numFmtId="0" fontId="2" fillId="2" borderId="10" xfId="4" applyNumberFormat="1" applyFont="1" applyFill="1" applyBorder="1" applyAlignment="1">
      <alignment vertical="top"/>
    </xf>
    <xf numFmtId="0" fontId="3" fillId="0" borderId="11" xfId="4" applyNumberFormat="1" applyFont="1" applyBorder="1" applyAlignment="1">
      <alignment vertical="top"/>
    </xf>
    <xf numFmtId="0" fontId="3" fillId="0" borderId="11" xfId="4" applyNumberFormat="1" applyFont="1" applyBorder="1" applyAlignment="1">
      <alignment vertical="top" wrapText="1"/>
    </xf>
    <xf numFmtId="0" fontId="3" fillId="0" borderId="11" xfId="4" applyNumberFormat="1" applyFont="1" applyBorder="1" applyAlignment="1">
      <alignment horizontal="left" vertical="top"/>
    </xf>
    <xf numFmtId="4" fontId="3" fillId="0" borderId="11" xfId="4" applyNumberFormat="1" applyFont="1" applyBorder="1" applyAlignment="1">
      <alignment horizontal="right" vertical="top" wrapText="1"/>
    </xf>
    <xf numFmtId="0" fontId="3" fillId="0" borderId="13" xfId="4" applyNumberFormat="1" applyFont="1" applyBorder="1" applyAlignment="1">
      <alignment horizontal="right" vertical="top" wrapText="1"/>
    </xf>
    <xf numFmtId="0" fontId="3" fillId="0" borderId="12" xfId="4" applyNumberFormat="1" applyFont="1" applyBorder="1" applyAlignment="1">
      <alignment horizontal="center" vertical="top"/>
    </xf>
    <xf numFmtId="4" fontId="3" fillId="0" borderId="13" xfId="4" applyNumberFormat="1" applyFont="1" applyBorder="1" applyAlignment="1">
      <alignment horizontal="right" vertical="top" wrapText="1"/>
    </xf>
    <xf numFmtId="2" fontId="3" fillId="0" borderId="11" xfId="4" applyNumberFormat="1" applyFont="1" applyBorder="1" applyAlignment="1">
      <alignment horizontal="right" vertical="top" wrapText="1"/>
    </xf>
    <xf numFmtId="0" fontId="3" fillId="0" borderId="11" xfId="4" applyNumberFormat="1" applyFont="1" applyBorder="1" applyAlignment="1">
      <alignment horizontal="right" vertical="top" wrapText="1"/>
    </xf>
    <xf numFmtId="4" fontId="3" fillId="0" borderId="13" xfId="4" applyNumberFormat="1" applyFont="1" applyBorder="1" applyAlignment="1">
      <alignment horizontal="right" vertical="top" wrapText="1"/>
    </xf>
    <xf numFmtId="2" fontId="3" fillId="0" borderId="13" xfId="4" applyNumberFormat="1" applyFont="1" applyBorder="1" applyAlignment="1">
      <alignment horizontal="right" vertical="top" wrapText="1"/>
    </xf>
    <xf numFmtId="2" fontId="3" fillId="0" borderId="13" xfId="4" applyNumberFormat="1" applyFont="1" applyBorder="1" applyAlignment="1">
      <alignment horizontal="right" vertical="top" wrapText="1"/>
    </xf>
    <xf numFmtId="0" fontId="3" fillId="0" borderId="13" xfId="4" applyNumberFormat="1" applyFont="1" applyBorder="1" applyAlignment="1">
      <alignment horizontal="right" vertical="top" wrapText="1"/>
    </xf>
    <xf numFmtId="0" fontId="4" fillId="2" borderId="11" xfId="4" applyNumberFormat="1" applyFont="1" applyFill="1" applyBorder="1" applyAlignment="1">
      <alignment vertical="top"/>
    </xf>
    <xf numFmtId="4" fontId="4" fillId="2" borderId="11" xfId="4" applyNumberFormat="1" applyFont="1" applyFill="1" applyBorder="1" applyAlignment="1">
      <alignment horizontal="right" vertical="top" wrapText="1"/>
    </xf>
    <xf numFmtId="0" fontId="4" fillId="2" borderId="12" xfId="4" applyNumberFormat="1" applyFont="1" applyFill="1" applyBorder="1" applyAlignment="1">
      <alignment horizontal="center" vertical="top"/>
    </xf>
    <xf numFmtId="4" fontId="4" fillId="2" borderId="13" xfId="4" applyNumberFormat="1" applyFont="1" applyFill="1" applyBorder="1" applyAlignment="1">
      <alignment horizontal="right" vertical="top" wrapText="1"/>
    </xf>
  </cellXfs>
  <cellStyles count="5">
    <cellStyle name="Обычный" xfId="0" builtinId="0"/>
    <cellStyle name="Обычный_Sheet1" xfId="1" xr:uid="{00D7D7BB-6D78-4E71-BCDD-B61090A9905D}"/>
    <cellStyle name="Обычный_Глобино-2" xfId="3" xr:uid="{852BE88E-A4C1-486F-9CDD-576E9871CD38}"/>
    <cellStyle name="Обычный_Глобино-2_2051" xfId="4" xr:uid="{540154C9-458B-4A47-8566-18A802460595}"/>
    <cellStyle name="Обычный_МХП" xfId="2" xr:uid="{B24EF4A9-37E0-4728-80FB-73FC9D21667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L207"/>
  <sheetViews>
    <sheetView topLeftCell="A200" workbookViewId="0">
      <selection activeCell="E210" sqref="E210"/>
    </sheetView>
  </sheetViews>
  <sheetFormatPr defaultRowHeight="14.4" x14ac:dyDescent="0.3"/>
  <cols>
    <col min="2" max="4" width="20.77734375" customWidth="1"/>
    <col min="10" max="10" width="11.33203125" bestFit="1" customWidth="1"/>
  </cols>
  <sheetData>
    <row r="1" spans="1:12" x14ac:dyDescent="0.3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4"/>
      <c r="G1" s="4"/>
      <c r="H1" s="5" t="s">
        <v>5</v>
      </c>
      <c r="I1" s="5"/>
      <c r="J1" s="5"/>
      <c r="K1" s="2" t="s">
        <v>6</v>
      </c>
      <c r="L1" s="2"/>
    </row>
    <row r="2" spans="1:12" x14ac:dyDescent="0.3">
      <c r="A2" s="6"/>
      <c r="B2" s="7"/>
      <c r="C2" s="7"/>
      <c r="D2" s="8"/>
      <c r="E2" s="9" t="s">
        <v>7</v>
      </c>
      <c r="F2" s="10"/>
      <c r="G2" s="10"/>
      <c r="H2" s="11" t="s">
        <v>7</v>
      </c>
      <c r="I2" s="12"/>
      <c r="J2" s="12"/>
      <c r="K2" s="6"/>
      <c r="L2" s="13"/>
    </row>
    <row r="3" spans="1:12" ht="61.2" hidden="1" x14ac:dyDescent="0.3">
      <c r="A3" s="14" t="s">
        <v>9</v>
      </c>
      <c r="B3" s="15" t="s">
        <v>10</v>
      </c>
      <c r="C3" s="15" t="s">
        <v>11</v>
      </c>
      <c r="D3" s="15" t="s">
        <v>12</v>
      </c>
      <c r="E3" s="16" t="s">
        <v>13</v>
      </c>
      <c r="F3" s="17">
        <v>448.67</v>
      </c>
      <c r="G3" s="17"/>
      <c r="H3" s="16" t="s">
        <v>13</v>
      </c>
      <c r="I3" s="18">
        <v>448.67</v>
      </c>
      <c r="J3" s="18"/>
      <c r="K3" s="19" t="s">
        <v>8</v>
      </c>
      <c r="L3" s="20">
        <v>7854635.3399999999</v>
      </c>
    </row>
    <row r="4" spans="1:12" ht="71.400000000000006" hidden="1" x14ac:dyDescent="0.3">
      <c r="A4" s="14" t="s">
        <v>9</v>
      </c>
      <c r="B4" s="15" t="s">
        <v>10</v>
      </c>
      <c r="C4" s="15" t="s">
        <v>11</v>
      </c>
      <c r="D4" s="15" t="s">
        <v>14</v>
      </c>
      <c r="E4" s="16" t="s">
        <v>13</v>
      </c>
      <c r="F4" s="21">
        <v>6363.62</v>
      </c>
      <c r="G4" s="21"/>
      <c r="H4" s="16" t="s">
        <v>13</v>
      </c>
      <c r="I4" s="22">
        <v>6363.62</v>
      </c>
      <c r="J4" s="22"/>
      <c r="K4" s="19" t="s">
        <v>8</v>
      </c>
      <c r="L4" s="20">
        <v>7854635.3399999999</v>
      </c>
    </row>
    <row r="5" spans="1:12" ht="71.400000000000006" hidden="1" x14ac:dyDescent="0.3">
      <c r="A5" s="14" t="s">
        <v>9</v>
      </c>
      <c r="B5" s="15" t="s">
        <v>10</v>
      </c>
      <c r="C5" s="15" t="s">
        <v>11</v>
      </c>
      <c r="D5" s="15" t="s">
        <v>15</v>
      </c>
      <c r="E5" s="16" t="s">
        <v>13</v>
      </c>
      <c r="F5" s="21">
        <v>11898.3</v>
      </c>
      <c r="G5" s="21"/>
      <c r="H5" s="16" t="s">
        <v>13</v>
      </c>
      <c r="I5" s="22">
        <v>11898.3</v>
      </c>
      <c r="J5" s="22"/>
      <c r="K5" s="19" t="s">
        <v>8</v>
      </c>
      <c r="L5" s="20">
        <v>7854635.3399999999</v>
      </c>
    </row>
    <row r="6" spans="1:12" ht="71.400000000000006" hidden="1" x14ac:dyDescent="0.3">
      <c r="A6" s="14" t="s">
        <v>9</v>
      </c>
      <c r="B6" s="15" t="s">
        <v>10</v>
      </c>
      <c r="C6" s="15" t="s">
        <v>11</v>
      </c>
      <c r="D6" s="15" t="s">
        <v>16</v>
      </c>
      <c r="E6" s="16" t="s">
        <v>13</v>
      </c>
      <c r="F6" s="21">
        <v>7441.53</v>
      </c>
      <c r="G6" s="21"/>
      <c r="H6" s="16" t="s">
        <v>13</v>
      </c>
      <c r="I6" s="22">
        <v>7441.53</v>
      </c>
      <c r="J6" s="22"/>
      <c r="K6" s="19" t="s">
        <v>8</v>
      </c>
      <c r="L6" s="20">
        <v>7854635.3399999999</v>
      </c>
    </row>
    <row r="7" spans="1:12" ht="61.2" hidden="1" x14ac:dyDescent="0.3">
      <c r="A7" s="14" t="s">
        <v>9</v>
      </c>
      <c r="B7" s="15" t="s">
        <v>10</v>
      </c>
      <c r="C7" s="15" t="s">
        <v>11</v>
      </c>
      <c r="D7" s="15" t="s">
        <v>17</v>
      </c>
      <c r="E7" s="16" t="s">
        <v>13</v>
      </c>
      <c r="F7" s="21">
        <v>2342.62</v>
      </c>
      <c r="G7" s="21"/>
      <c r="H7" s="16" t="s">
        <v>13</v>
      </c>
      <c r="I7" s="22">
        <v>2342.62</v>
      </c>
      <c r="J7" s="22"/>
      <c r="K7" s="19" t="s">
        <v>8</v>
      </c>
      <c r="L7" s="20">
        <v>7854635.3399999999</v>
      </c>
    </row>
    <row r="8" spans="1:12" ht="71.400000000000006" hidden="1" x14ac:dyDescent="0.3">
      <c r="A8" s="14" t="s">
        <v>18</v>
      </c>
      <c r="B8" s="15" t="s">
        <v>19</v>
      </c>
      <c r="C8" s="15" t="s">
        <v>20</v>
      </c>
      <c r="D8" s="15" t="s">
        <v>21</v>
      </c>
      <c r="E8" s="16" t="s">
        <v>13</v>
      </c>
      <c r="F8" s="21">
        <v>19149.900000000001</v>
      </c>
      <c r="G8" s="21"/>
      <c r="H8" s="16" t="s">
        <v>13</v>
      </c>
      <c r="I8" s="22">
        <v>19149.900000000001</v>
      </c>
      <c r="J8" s="22"/>
      <c r="K8" s="19" t="s">
        <v>8</v>
      </c>
      <c r="L8" s="20">
        <v>7854635.3399999999</v>
      </c>
    </row>
    <row r="9" spans="1:12" ht="71.400000000000006" hidden="1" x14ac:dyDescent="0.3">
      <c r="A9" s="14" t="s">
        <v>18</v>
      </c>
      <c r="B9" s="15" t="s">
        <v>22</v>
      </c>
      <c r="C9" s="15" t="s">
        <v>23</v>
      </c>
      <c r="D9" s="15" t="s">
        <v>24</v>
      </c>
      <c r="E9" s="16" t="s">
        <v>13</v>
      </c>
      <c r="F9" s="21">
        <v>22503.11</v>
      </c>
      <c r="G9" s="21"/>
      <c r="H9" s="16" t="s">
        <v>13</v>
      </c>
      <c r="I9" s="22">
        <v>22503.11</v>
      </c>
      <c r="J9" s="22"/>
      <c r="K9" s="19" t="s">
        <v>8</v>
      </c>
      <c r="L9" s="20">
        <v>7854635.3399999999</v>
      </c>
    </row>
    <row r="10" spans="1:12" ht="71.400000000000006" x14ac:dyDescent="0.3">
      <c r="A10" s="14" t="s">
        <v>25</v>
      </c>
      <c r="B10" s="15" t="s">
        <v>26</v>
      </c>
      <c r="C10" s="15" t="s">
        <v>27</v>
      </c>
      <c r="D10" s="15" t="s">
        <v>28</v>
      </c>
      <c r="E10" s="16" t="s">
        <v>29</v>
      </c>
      <c r="F10" s="23" t="s">
        <v>30</v>
      </c>
      <c r="G10" s="23"/>
      <c r="H10" s="16" t="s">
        <v>13</v>
      </c>
      <c r="I10" s="22">
        <v>197028.55</v>
      </c>
      <c r="J10" s="22"/>
      <c r="K10" s="19" t="s">
        <v>8</v>
      </c>
      <c r="L10" s="20">
        <v>7657606.79</v>
      </c>
    </row>
    <row r="11" spans="1:12" ht="71.400000000000006" x14ac:dyDescent="0.3">
      <c r="A11" s="14" t="s">
        <v>25</v>
      </c>
      <c r="B11" s="15" t="s">
        <v>26</v>
      </c>
      <c r="C11" s="15" t="s">
        <v>27</v>
      </c>
      <c r="D11" s="15" t="s">
        <v>31</v>
      </c>
      <c r="E11" s="16" t="s">
        <v>29</v>
      </c>
      <c r="F11" s="23" t="s">
        <v>30</v>
      </c>
      <c r="G11" s="23"/>
      <c r="H11" s="16" t="s">
        <v>13</v>
      </c>
      <c r="I11" s="22">
        <v>22208.07</v>
      </c>
      <c r="J11" s="22"/>
      <c r="K11" s="19" t="s">
        <v>8</v>
      </c>
      <c r="L11" s="20">
        <v>7635398.7199999997</v>
      </c>
    </row>
    <row r="12" spans="1:12" ht="71.400000000000006" x14ac:dyDescent="0.3">
      <c r="A12" s="14" t="s">
        <v>25</v>
      </c>
      <c r="B12" s="15" t="s">
        <v>26</v>
      </c>
      <c r="C12" s="15" t="s">
        <v>27</v>
      </c>
      <c r="D12" s="15" t="s">
        <v>31</v>
      </c>
      <c r="E12" s="16" t="s">
        <v>29</v>
      </c>
      <c r="F12" s="23" t="s">
        <v>30</v>
      </c>
      <c r="G12" s="23"/>
      <c r="H12" s="16" t="s">
        <v>13</v>
      </c>
      <c r="I12" s="22">
        <v>403145.23</v>
      </c>
      <c r="J12" s="22"/>
      <c r="K12" s="19" t="s">
        <v>8</v>
      </c>
      <c r="L12" s="20">
        <v>7232253.4900000002</v>
      </c>
    </row>
    <row r="13" spans="1:12" ht="71.400000000000006" x14ac:dyDescent="0.3">
      <c r="A13" s="14" t="s">
        <v>25</v>
      </c>
      <c r="B13" s="15" t="s">
        <v>26</v>
      </c>
      <c r="C13" s="15" t="s">
        <v>27</v>
      </c>
      <c r="D13" s="15" t="s">
        <v>32</v>
      </c>
      <c r="E13" s="16" t="s">
        <v>29</v>
      </c>
      <c r="F13" s="23" t="s">
        <v>30</v>
      </c>
      <c r="G13" s="23"/>
      <c r="H13" s="16" t="s">
        <v>13</v>
      </c>
      <c r="I13" s="22">
        <v>10599.92</v>
      </c>
      <c r="J13" s="22"/>
      <c r="K13" s="19" t="s">
        <v>8</v>
      </c>
      <c r="L13" s="20">
        <v>7221653.5700000003</v>
      </c>
    </row>
    <row r="14" spans="1:12" ht="61.2" x14ac:dyDescent="0.3">
      <c r="A14" s="14" t="s">
        <v>25</v>
      </c>
      <c r="B14" s="15" t="s">
        <v>26</v>
      </c>
      <c r="C14" s="15" t="s">
        <v>27</v>
      </c>
      <c r="D14" s="15" t="s">
        <v>33</v>
      </c>
      <c r="E14" s="16" t="s">
        <v>29</v>
      </c>
      <c r="F14" s="23" t="s">
        <v>30</v>
      </c>
      <c r="G14" s="23"/>
      <c r="H14" s="16" t="s">
        <v>13</v>
      </c>
      <c r="I14" s="22">
        <v>43725.37</v>
      </c>
      <c r="J14" s="22"/>
      <c r="K14" s="19" t="s">
        <v>8</v>
      </c>
      <c r="L14" s="20">
        <v>7177928.2000000002</v>
      </c>
    </row>
    <row r="15" spans="1:12" ht="71.400000000000006" x14ac:dyDescent="0.3">
      <c r="A15" s="14" t="s">
        <v>25</v>
      </c>
      <c r="B15" s="15" t="s">
        <v>26</v>
      </c>
      <c r="C15" s="15" t="s">
        <v>27</v>
      </c>
      <c r="D15" s="15" t="s">
        <v>34</v>
      </c>
      <c r="E15" s="16" t="s">
        <v>29</v>
      </c>
      <c r="F15" s="23" t="s">
        <v>30</v>
      </c>
      <c r="G15" s="23"/>
      <c r="H15" s="16" t="s">
        <v>13</v>
      </c>
      <c r="I15" s="22">
        <v>277283.33</v>
      </c>
      <c r="J15" s="22"/>
      <c r="K15" s="19" t="s">
        <v>8</v>
      </c>
      <c r="L15" s="20">
        <v>6900644.8700000001</v>
      </c>
    </row>
    <row r="16" spans="1:12" ht="71.400000000000006" x14ac:dyDescent="0.3">
      <c r="A16" s="14" t="s">
        <v>25</v>
      </c>
      <c r="B16" s="15" t="s">
        <v>26</v>
      </c>
      <c r="C16" s="15" t="s">
        <v>27</v>
      </c>
      <c r="D16" s="15" t="s">
        <v>35</v>
      </c>
      <c r="E16" s="16" t="s">
        <v>29</v>
      </c>
      <c r="F16" s="23" t="s">
        <v>30</v>
      </c>
      <c r="G16" s="23"/>
      <c r="H16" s="16" t="s">
        <v>13</v>
      </c>
      <c r="I16" s="22">
        <v>2186.25</v>
      </c>
      <c r="J16" s="22"/>
      <c r="K16" s="19" t="s">
        <v>8</v>
      </c>
      <c r="L16" s="20">
        <v>6898458.6200000001</v>
      </c>
    </row>
    <row r="17" spans="1:12" ht="71.400000000000006" x14ac:dyDescent="0.3">
      <c r="A17" s="14" t="s">
        <v>25</v>
      </c>
      <c r="B17" s="15" t="s">
        <v>26</v>
      </c>
      <c r="C17" s="15" t="s">
        <v>27</v>
      </c>
      <c r="D17" s="15" t="s">
        <v>36</v>
      </c>
      <c r="E17" s="16" t="s">
        <v>29</v>
      </c>
      <c r="F17" s="23" t="s">
        <v>30</v>
      </c>
      <c r="G17" s="23"/>
      <c r="H17" s="16" t="s">
        <v>13</v>
      </c>
      <c r="I17" s="22">
        <v>2893.7</v>
      </c>
      <c r="J17" s="22"/>
      <c r="K17" s="19" t="s">
        <v>8</v>
      </c>
      <c r="L17" s="20">
        <v>6895564.9199999999</v>
      </c>
    </row>
    <row r="18" spans="1:12" ht="71.400000000000006" x14ac:dyDescent="0.3">
      <c r="A18" s="14" t="s">
        <v>25</v>
      </c>
      <c r="B18" s="15" t="s">
        <v>26</v>
      </c>
      <c r="C18" s="15" t="s">
        <v>27</v>
      </c>
      <c r="D18" s="15" t="s">
        <v>37</v>
      </c>
      <c r="E18" s="16" t="s">
        <v>29</v>
      </c>
      <c r="F18" s="23" t="s">
        <v>30</v>
      </c>
      <c r="G18" s="23"/>
      <c r="H18" s="16" t="s">
        <v>13</v>
      </c>
      <c r="I18" s="22">
        <v>8146.8</v>
      </c>
      <c r="J18" s="22"/>
      <c r="K18" s="19" t="s">
        <v>8</v>
      </c>
      <c r="L18" s="20">
        <v>6887418.1200000001</v>
      </c>
    </row>
    <row r="19" spans="1:12" ht="61.2" x14ac:dyDescent="0.3">
      <c r="A19" s="14" t="s">
        <v>25</v>
      </c>
      <c r="B19" s="15" t="s">
        <v>26</v>
      </c>
      <c r="C19" s="15" t="s">
        <v>27</v>
      </c>
      <c r="D19" s="15" t="s">
        <v>38</v>
      </c>
      <c r="E19" s="16" t="s">
        <v>29</v>
      </c>
      <c r="F19" s="23" t="s">
        <v>30</v>
      </c>
      <c r="G19" s="23"/>
      <c r="H19" s="16" t="s">
        <v>13</v>
      </c>
      <c r="I19" s="22">
        <v>19785.939999999999</v>
      </c>
      <c r="J19" s="22"/>
      <c r="K19" s="19" t="s">
        <v>8</v>
      </c>
      <c r="L19" s="20">
        <v>6867632.1799999997</v>
      </c>
    </row>
    <row r="20" spans="1:12" ht="61.2" x14ac:dyDescent="0.3">
      <c r="A20" s="14" t="s">
        <v>25</v>
      </c>
      <c r="B20" s="15" t="s">
        <v>26</v>
      </c>
      <c r="C20" s="15" t="s">
        <v>27</v>
      </c>
      <c r="D20" s="15" t="s">
        <v>39</v>
      </c>
      <c r="E20" s="16" t="s">
        <v>29</v>
      </c>
      <c r="F20" s="23" t="s">
        <v>30</v>
      </c>
      <c r="G20" s="23"/>
      <c r="H20" s="16" t="s">
        <v>13</v>
      </c>
      <c r="I20" s="22">
        <v>1495</v>
      </c>
      <c r="J20" s="22"/>
      <c r="K20" s="19" t="s">
        <v>8</v>
      </c>
      <c r="L20" s="20">
        <v>6866137.1799999997</v>
      </c>
    </row>
    <row r="21" spans="1:12" ht="61.2" x14ac:dyDescent="0.3">
      <c r="A21" s="14" t="s">
        <v>25</v>
      </c>
      <c r="B21" s="15" t="s">
        <v>26</v>
      </c>
      <c r="C21" s="15" t="s">
        <v>27</v>
      </c>
      <c r="D21" s="15" t="s">
        <v>40</v>
      </c>
      <c r="E21" s="16" t="s">
        <v>29</v>
      </c>
      <c r="F21" s="23" t="s">
        <v>30</v>
      </c>
      <c r="G21" s="23"/>
      <c r="H21" s="16" t="s">
        <v>13</v>
      </c>
      <c r="I21" s="18">
        <v>55.5</v>
      </c>
      <c r="J21" s="18"/>
      <c r="K21" s="19" t="s">
        <v>8</v>
      </c>
      <c r="L21" s="20">
        <v>6866081.6799999997</v>
      </c>
    </row>
    <row r="22" spans="1:12" ht="61.2" x14ac:dyDescent="0.3">
      <c r="A22" s="14" t="s">
        <v>25</v>
      </c>
      <c r="B22" s="15" t="s">
        <v>26</v>
      </c>
      <c r="C22" s="15" t="s">
        <v>27</v>
      </c>
      <c r="D22" s="15" t="s">
        <v>41</v>
      </c>
      <c r="E22" s="16" t="s">
        <v>29</v>
      </c>
      <c r="F22" s="23" t="s">
        <v>30</v>
      </c>
      <c r="G22" s="23"/>
      <c r="H22" s="16" t="s">
        <v>13</v>
      </c>
      <c r="I22" s="22">
        <v>42069</v>
      </c>
      <c r="J22" s="22"/>
      <c r="K22" s="19" t="s">
        <v>8</v>
      </c>
      <c r="L22" s="20">
        <v>6824012.6799999997</v>
      </c>
    </row>
    <row r="23" spans="1:12" ht="61.2" x14ac:dyDescent="0.3">
      <c r="A23" s="14" t="s">
        <v>25</v>
      </c>
      <c r="B23" s="15" t="s">
        <v>26</v>
      </c>
      <c r="C23" s="15" t="s">
        <v>27</v>
      </c>
      <c r="D23" s="15" t="s">
        <v>42</v>
      </c>
      <c r="E23" s="16" t="s">
        <v>29</v>
      </c>
      <c r="F23" s="23" t="s">
        <v>30</v>
      </c>
      <c r="G23" s="23"/>
      <c r="H23" s="16" t="s">
        <v>13</v>
      </c>
      <c r="I23" s="22">
        <v>23680</v>
      </c>
      <c r="J23" s="22"/>
      <c r="K23" s="19" t="s">
        <v>8</v>
      </c>
      <c r="L23" s="20">
        <v>6800332.6799999997</v>
      </c>
    </row>
    <row r="24" spans="1:12" ht="61.2" x14ac:dyDescent="0.3">
      <c r="A24" s="14" t="s">
        <v>25</v>
      </c>
      <c r="B24" s="15" t="s">
        <v>26</v>
      </c>
      <c r="C24" s="15" t="s">
        <v>27</v>
      </c>
      <c r="D24" s="15" t="s">
        <v>42</v>
      </c>
      <c r="E24" s="16" t="s">
        <v>29</v>
      </c>
      <c r="F24" s="23" t="s">
        <v>30</v>
      </c>
      <c r="G24" s="23"/>
      <c r="H24" s="16" t="s">
        <v>13</v>
      </c>
      <c r="I24" s="22">
        <v>86613.92</v>
      </c>
      <c r="J24" s="22"/>
      <c r="K24" s="19" t="s">
        <v>8</v>
      </c>
      <c r="L24" s="20">
        <v>6713718.7599999998</v>
      </c>
    </row>
    <row r="25" spans="1:12" ht="61.2" x14ac:dyDescent="0.3">
      <c r="A25" s="14" t="s">
        <v>25</v>
      </c>
      <c r="B25" s="15" t="s">
        <v>26</v>
      </c>
      <c r="C25" s="15" t="s">
        <v>27</v>
      </c>
      <c r="D25" s="15" t="s">
        <v>43</v>
      </c>
      <c r="E25" s="16" t="s">
        <v>29</v>
      </c>
      <c r="F25" s="23" t="s">
        <v>30</v>
      </c>
      <c r="G25" s="23"/>
      <c r="H25" s="16" t="s">
        <v>13</v>
      </c>
      <c r="I25" s="22">
        <v>23680</v>
      </c>
      <c r="J25" s="22"/>
      <c r="K25" s="19" t="s">
        <v>8</v>
      </c>
      <c r="L25" s="20">
        <v>6690038.7599999998</v>
      </c>
    </row>
    <row r="26" spans="1:12" ht="61.2" x14ac:dyDescent="0.3">
      <c r="A26" s="14" t="s">
        <v>25</v>
      </c>
      <c r="B26" s="15" t="s">
        <v>26</v>
      </c>
      <c r="C26" s="15" t="s">
        <v>27</v>
      </c>
      <c r="D26" s="15" t="s">
        <v>44</v>
      </c>
      <c r="E26" s="16" t="s">
        <v>29</v>
      </c>
      <c r="F26" s="23" t="s">
        <v>30</v>
      </c>
      <c r="G26" s="23"/>
      <c r="H26" s="16" t="s">
        <v>13</v>
      </c>
      <c r="I26" s="22">
        <v>8106.08</v>
      </c>
      <c r="J26" s="22"/>
      <c r="K26" s="19" t="s">
        <v>8</v>
      </c>
      <c r="L26" s="20">
        <v>6681932.6799999997</v>
      </c>
    </row>
    <row r="27" spans="1:12" ht="61.2" x14ac:dyDescent="0.3">
      <c r="A27" s="14" t="s">
        <v>25</v>
      </c>
      <c r="B27" s="15" t="s">
        <v>26</v>
      </c>
      <c r="C27" s="15" t="s">
        <v>27</v>
      </c>
      <c r="D27" s="15" t="s">
        <v>44</v>
      </c>
      <c r="E27" s="16" t="s">
        <v>29</v>
      </c>
      <c r="F27" s="23" t="s">
        <v>30</v>
      </c>
      <c r="G27" s="23"/>
      <c r="H27" s="16" t="s">
        <v>13</v>
      </c>
      <c r="I27" s="22">
        <v>42565.42</v>
      </c>
      <c r="J27" s="22"/>
      <c r="K27" s="19" t="s">
        <v>8</v>
      </c>
      <c r="L27" s="20">
        <v>6639367.2599999998</v>
      </c>
    </row>
    <row r="28" spans="1:12" ht="61.2" x14ac:dyDescent="0.3">
      <c r="A28" s="14" t="s">
        <v>25</v>
      </c>
      <c r="B28" s="15" t="s">
        <v>26</v>
      </c>
      <c r="C28" s="15" t="s">
        <v>27</v>
      </c>
      <c r="D28" s="15" t="s">
        <v>44</v>
      </c>
      <c r="E28" s="16" t="s">
        <v>29</v>
      </c>
      <c r="F28" s="23" t="s">
        <v>30</v>
      </c>
      <c r="G28" s="23"/>
      <c r="H28" s="16" t="s">
        <v>13</v>
      </c>
      <c r="I28" s="18">
        <v>58.58</v>
      </c>
      <c r="J28" s="18"/>
      <c r="K28" s="19" t="s">
        <v>8</v>
      </c>
      <c r="L28" s="20">
        <v>6639308.6799999997</v>
      </c>
    </row>
    <row r="29" spans="1:12" ht="61.2" x14ac:dyDescent="0.3">
      <c r="A29" s="14" t="s">
        <v>25</v>
      </c>
      <c r="B29" s="15" t="s">
        <v>26</v>
      </c>
      <c r="C29" s="15" t="s">
        <v>27</v>
      </c>
      <c r="D29" s="15" t="s">
        <v>45</v>
      </c>
      <c r="E29" s="16" t="s">
        <v>29</v>
      </c>
      <c r="F29" s="23" t="s">
        <v>30</v>
      </c>
      <c r="G29" s="23"/>
      <c r="H29" s="16" t="s">
        <v>13</v>
      </c>
      <c r="I29" s="22">
        <v>11100</v>
      </c>
      <c r="J29" s="22"/>
      <c r="K29" s="19" t="s">
        <v>8</v>
      </c>
      <c r="L29" s="20">
        <v>6628208.6799999997</v>
      </c>
    </row>
    <row r="30" spans="1:12" ht="61.2" x14ac:dyDescent="0.3">
      <c r="A30" s="14" t="s">
        <v>25</v>
      </c>
      <c r="B30" s="15" t="s">
        <v>26</v>
      </c>
      <c r="C30" s="15" t="s">
        <v>27</v>
      </c>
      <c r="D30" s="15" t="s">
        <v>46</v>
      </c>
      <c r="E30" s="16" t="s">
        <v>29</v>
      </c>
      <c r="F30" s="23" t="s">
        <v>30</v>
      </c>
      <c r="G30" s="23"/>
      <c r="H30" s="16" t="s">
        <v>13</v>
      </c>
      <c r="I30" s="22">
        <v>17302.63</v>
      </c>
      <c r="J30" s="22"/>
      <c r="K30" s="19" t="s">
        <v>8</v>
      </c>
      <c r="L30" s="20">
        <v>6610906.0499999998</v>
      </c>
    </row>
    <row r="31" spans="1:12" ht="61.2" x14ac:dyDescent="0.3">
      <c r="A31" s="14" t="s">
        <v>25</v>
      </c>
      <c r="B31" s="15" t="s">
        <v>26</v>
      </c>
      <c r="C31" s="15" t="s">
        <v>27</v>
      </c>
      <c r="D31" s="15" t="s">
        <v>47</v>
      </c>
      <c r="E31" s="16" t="s">
        <v>29</v>
      </c>
      <c r="F31" s="23" t="s">
        <v>30</v>
      </c>
      <c r="G31" s="23"/>
      <c r="H31" s="16" t="s">
        <v>13</v>
      </c>
      <c r="I31" s="22">
        <v>30286.73</v>
      </c>
      <c r="J31" s="22"/>
      <c r="K31" s="19" t="s">
        <v>8</v>
      </c>
      <c r="L31" s="20">
        <v>6580619.3200000003</v>
      </c>
    </row>
    <row r="32" spans="1:12" ht="61.2" x14ac:dyDescent="0.3">
      <c r="A32" s="14" t="s">
        <v>25</v>
      </c>
      <c r="B32" s="15" t="s">
        <v>26</v>
      </c>
      <c r="C32" s="15" t="s">
        <v>27</v>
      </c>
      <c r="D32" s="15" t="s">
        <v>48</v>
      </c>
      <c r="E32" s="16" t="s">
        <v>29</v>
      </c>
      <c r="F32" s="23" t="s">
        <v>30</v>
      </c>
      <c r="G32" s="23"/>
      <c r="H32" s="16" t="s">
        <v>13</v>
      </c>
      <c r="I32" s="18">
        <v>26.5</v>
      </c>
      <c r="J32" s="18"/>
      <c r="K32" s="19" t="s">
        <v>8</v>
      </c>
      <c r="L32" s="20">
        <v>6580592.8200000003</v>
      </c>
    </row>
    <row r="33" spans="1:12" ht="61.2" x14ac:dyDescent="0.3">
      <c r="A33" s="14" t="s">
        <v>25</v>
      </c>
      <c r="B33" s="15" t="s">
        <v>26</v>
      </c>
      <c r="C33" s="15" t="s">
        <v>27</v>
      </c>
      <c r="D33" s="15" t="s">
        <v>49</v>
      </c>
      <c r="E33" s="16" t="s">
        <v>29</v>
      </c>
      <c r="F33" s="23" t="s">
        <v>30</v>
      </c>
      <c r="G33" s="23"/>
      <c r="H33" s="16" t="s">
        <v>13</v>
      </c>
      <c r="I33" s="18">
        <v>276</v>
      </c>
      <c r="J33" s="18"/>
      <c r="K33" s="19" t="s">
        <v>8</v>
      </c>
      <c r="L33" s="20">
        <v>6580316.8200000003</v>
      </c>
    </row>
    <row r="34" spans="1:12" ht="71.400000000000006" x14ac:dyDescent="0.3">
      <c r="A34" s="14" t="s">
        <v>25</v>
      </c>
      <c r="B34" s="15" t="s">
        <v>26</v>
      </c>
      <c r="C34" s="15" t="s">
        <v>27</v>
      </c>
      <c r="D34" s="15" t="s">
        <v>50</v>
      </c>
      <c r="E34" s="16" t="s">
        <v>29</v>
      </c>
      <c r="F34" s="23" t="s">
        <v>30</v>
      </c>
      <c r="G34" s="23"/>
      <c r="H34" s="16" t="s">
        <v>13</v>
      </c>
      <c r="I34" s="22">
        <v>35078.400000000001</v>
      </c>
      <c r="J34" s="22"/>
      <c r="K34" s="19" t="s">
        <v>8</v>
      </c>
      <c r="L34" s="20">
        <v>6545238.4199999999</v>
      </c>
    </row>
    <row r="35" spans="1:12" ht="71.400000000000006" x14ac:dyDescent="0.3">
      <c r="A35" s="14" t="s">
        <v>25</v>
      </c>
      <c r="B35" s="15" t="s">
        <v>26</v>
      </c>
      <c r="C35" s="15" t="s">
        <v>27</v>
      </c>
      <c r="D35" s="15" t="s">
        <v>51</v>
      </c>
      <c r="E35" s="16" t="s">
        <v>29</v>
      </c>
      <c r="F35" s="23" t="s">
        <v>30</v>
      </c>
      <c r="G35" s="23"/>
      <c r="H35" s="16" t="s">
        <v>13</v>
      </c>
      <c r="I35" s="22">
        <v>8236.6200000000008</v>
      </c>
      <c r="J35" s="22"/>
      <c r="K35" s="19" t="s">
        <v>8</v>
      </c>
      <c r="L35" s="20">
        <v>6537001.7999999998</v>
      </c>
    </row>
    <row r="36" spans="1:12" ht="61.2" x14ac:dyDescent="0.3">
      <c r="A36" s="14" t="s">
        <v>25</v>
      </c>
      <c r="B36" s="15" t="s">
        <v>26</v>
      </c>
      <c r="C36" s="15" t="s">
        <v>27</v>
      </c>
      <c r="D36" s="15" t="s">
        <v>52</v>
      </c>
      <c r="E36" s="16" t="s">
        <v>29</v>
      </c>
      <c r="F36" s="23" t="s">
        <v>30</v>
      </c>
      <c r="G36" s="23"/>
      <c r="H36" s="16" t="s">
        <v>13</v>
      </c>
      <c r="I36" s="22">
        <v>4919.09</v>
      </c>
      <c r="J36" s="22"/>
      <c r="K36" s="19" t="s">
        <v>8</v>
      </c>
      <c r="L36" s="20">
        <v>6532082.71</v>
      </c>
    </row>
    <row r="37" spans="1:12" ht="61.2" x14ac:dyDescent="0.3">
      <c r="A37" s="14" t="s">
        <v>25</v>
      </c>
      <c r="B37" s="15" t="s">
        <v>26</v>
      </c>
      <c r="C37" s="15" t="s">
        <v>27</v>
      </c>
      <c r="D37" s="15" t="s">
        <v>53</v>
      </c>
      <c r="E37" s="16" t="s">
        <v>29</v>
      </c>
      <c r="F37" s="23" t="s">
        <v>30</v>
      </c>
      <c r="G37" s="23"/>
      <c r="H37" s="16" t="s">
        <v>13</v>
      </c>
      <c r="I37" s="22">
        <v>22135.919999999998</v>
      </c>
      <c r="J37" s="22"/>
      <c r="K37" s="19" t="s">
        <v>8</v>
      </c>
      <c r="L37" s="20">
        <v>6509946.79</v>
      </c>
    </row>
    <row r="38" spans="1:12" ht="61.2" x14ac:dyDescent="0.3">
      <c r="A38" s="14" t="s">
        <v>25</v>
      </c>
      <c r="B38" s="15" t="s">
        <v>26</v>
      </c>
      <c r="C38" s="15" t="s">
        <v>27</v>
      </c>
      <c r="D38" s="15" t="s">
        <v>53</v>
      </c>
      <c r="E38" s="16" t="s">
        <v>29</v>
      </c>
      <c r="F38" s="23" t="s">
        <v>30</v>
      </c>
      <c r="G38" s="23"/>
      <c r="H38" s="16" t="s">
        <v>13</v>
      </c>
      <c r="I38" s="22">
        <v>4919.09</v>
      </c>
      <c r="J38" s="22"/>
      <c r="K38" s="19" t="s">
        <v>8</v>
      </c>
      <c r="L38" s="20">
        <v>6505027.7000000002</v>
      </c>
    </row>
    <row r="39" spans="1:12" ht="61.2" x14ac:dyDescent="0.3">
      <c r="A39" s="14" t="s">
        <v>25</v>
      </c>
      <c r="B39" s="15" t="s">
        <v>26</v>
      </c>
      <c r="C39" s="15" t="s">
        <v>27</v>
      </c>
      <c r="D39" s="15" t="s">
        <v>54</v>
      </c>
      <c r="E39" s="16" t="s">
        <v>29</v>
      </c>
      <c r="F39" s="23" t="s">
        <v>30</v>
      </c>
      <c r="G39" s="23"/>
      <c r="H39" s="16" t="s">
        <v>13</v>
      </c>
      <c r="I39" s="22">
        <v>13613.3</v>
      </c>
      <c r="J39" s="22"/>
      <c r="K39" s="19" t="s">
        <v>8</v>
      </c>
      <c r="L39" s="20">
        <v>6491414.4000000004</v>
      </c>
    </row>
    <row r="40" spans="1:12" ht="61.2" x14ac:dyDescent="0.3">
      <c r="A40" s="14" t="s">
        <v>25</v>
      </c>
      <c r="B40" s="15" t="s">
        <v>26</v>
      </c>
      <c r="C40" s="15" t="s">
        <v>27</v>
      </c>
      <c r="D40" s="15" t="s">
        <v>55</v>
      </c>
      <c r="E40" s="16" t="s">
        <v>29</v>
      </c>
      <c r="F40" s="23" t="s">
        <v>30</v>
      </c>
      <c r="G40" s="23"/>
      <c r="H40" s="16" t="s">
        <v>13</v>
      </c>
      <c r="I40" s="22">
        <v>34433.64</v>
      </c>
      <c r="J40" s="22"/>
      <c r="K40" s="19" t="s">
        <v>8</v>
      </c>
      <c r="L40" s="20">
        <v>6456980.7599999998</v>
      </c>
    </row>
    <row r="41" spans="1:12" ht="71.400000000000006" x14ac:dyDescent="0.3">
      <c r="A41" s="14" t="s">
        <v>25</v>
      </c>
      <c r="B41" s="15" t="s">
        <v>26</v>
      </c>
      <c r="C41" s="15" t="s">
        <v>27</v>
      </c>
      <c r="D41" s="15" t="s">
        <v>56</v>
      </c>
      <c r="E41" s="16" t="s">
        <v>29</v>
      </c>
      <c r="F41" s="23" t="s">
        <v>30</v>
      </c>
      <c r="G41" s="23"/>
      <c r="H41" s="16" t="s">
        <v>13</v>
      </c>
      <c r="I41" s="22">
        <v>4807.26</v>
      </c>
      <c r="J41" s="22"/>
      <c r="K41" s="19" t="s">
        <v>8</v>
      </c>
      <c r="L41" s="20">
        <v>6452173.5</v>
      </c>
    </row>
    <row r="42" spans="1:12" ht="71.400000000000006" x14ac:dyDescent="0.3">
      <c r="A42" s="14" t="s">
        <v>25</v>
      </c>
      <c r="B42" s="15" t="s">
        <v>26</v>
      </c>
      <c r="C42" s="15" t="s">
        <v>27</v>
      </c>
      <c r="D42" s="15" t="s">
        <v>57</v>
      </c>
      <c r="E42" s="16" t="s">
        <v>29</v>
      </c>
      <c r="F42" s="23" t="s">
        <v>30</v>
      </c>
      <c r="G42" s="23"/>
      <c r="H42" s="16" t="s">
        <v>13</v>
      </c>
      <c r="I42" s="18">
        <v>848.74</v>
      </c>
      <c r="J42" s="18"/>
      <c r="K42" s="19" t="s">
        <v>8</v>
      </c>
      <c r="L42" s="20">
        <v>6451324.7599999998</v>
      </c>
    </row>
    <row r="43" spans="1:12" ht="71.400000000000006" x14ac:dyDescent="0.3">
      <c r="A43" s="14" t="s">
        <v>25</v>
      </c>
      <c r="B43" s="15" t="s">
        <v>26</v>
      </c>
      <c r="C43" s="15" t="s">
        <v>27</v>
      </c>
      <c r="D43" s="15" t="s">
        <v>58</v>
      </c>
      <c r="E43" s="16" t="s">
        <v>29</v>
      </c>
      <c r="F43" s="23" t="s">
        <v>30</v>
      </c>
      <c r="G43" s="23"/>
      <c r="H43" s="16" t="s">
        <v>13</v>
      </c>
      <c r="I43" s="22">
        <v>20366.400000000001</v>
      </c>
      <c r="J43" s="22"/>
      <c r="K43" s="19" t="s">
        <v>8</v>
      </c>
      <c r="L43" s="20">
        <v>6430958.3600000003</v>
      </c>
    </row>
    <row r="44" spans="1:12" ht="71.400000000000006" x14ac:dyDescent="0.3">
      <c r="A44" s="14" t="s">
        <v>25</v>
      </c>
      <c r="B44" s="15" t="s">
        <v>26</v>
      </c>
      <c r="C44" s="15" t="s">
        <v>27</v>
      </c>
      <c r="D44" s="15" t="s">
        <v>59</v>
      </c>
      <c r="E44" s="16" t="s">
        <v>29</v>
      </c>
      <c r="F44" s="23" t="s">
        <v>30</v>
      </c>
      <c r="G44" s="23"/>
      <c r="H44" s="16" t="s">
        <v>13</v>
      </c>
      <c r="I44" s="18">
        <v>357.85</v>
      </c>
      <c r="J44" s="18"/>
      <c r="K44" s="19" t="s">
        <v>8</v>
      </c>
      <c r="L44" s="20">
        <v>6430600.5099999998</v>
      </c>
    </row>
    <row r="45" spans="1:12" ht="61.2" x14ac:dyDescent="0.3">
      <c r="A45" s="14" t="s">
        <v>25</v>
      </c>
      <c r="B45" s="15" t="s">
        <v>26</v>
      </c>
      <c r="C45" s="15" t="s">
        <v>27</v>
      </c>
      <c r="D45" s="15" t="s">
        <v>60</v>
      </c>
      <c r="E45" s="16" t="s">
        <v>29</v>
      </c>
      <c r="F45" s="23" t="s">
        <v>30</v>
      </c>
      <c r="G45" s="23"/>
      <c r="H45" s="16" t="s">
        <v>13</v>
      </c>
      <c r="I45" s="22">
        <v>7052.61</v>
      </c>
      <c r="J45" s="22"/>
      <c r="K45" s="19" t="s">
        <v>8</v>
      </c>
      <c r="L45" s="20">
        <v>6423547.9000000004</v>
      </c>
    </row>
    <row r="46" spans="1:12" ht="61.2" x14ac:dyDescent="0.3">
      <c r="A46" s="14" t="s">
        <v>25</v>
      </c>
      <c r="B46" s="15" t="s">
        <v>26</v>
      </c>
      <c r="C46" s="15" t="s">
        <v>27</v>
      </c>
      <c r="D46" s="15" t="s">
        <v>61</v>
      </c>
      <c r="E46" s="16" t="s">
        <v>29</v>
      </c>
      <c r="F46" s="23" t="s">
        <v>30</v>
      </c>
      <c r="G46" s="23"/>
      <c r="H46" s="16" t="s">
        <v>13</v>
      </c>
      <c r="I46" s="22">
        <v>5170.7700000000004</v>
      </c>
      <c r="J46" s="22"/>
      <c r="K46" s="19" t="s">
        <v>8</v>
      </c>
      <c r="L46" s="20">
        <v>6418377.1299999999</v>
      </c>
    </row>
    <row r="47" spans="1:12" ht="61.2" x14ac:dyDescent="0.3">
      <c r="A47" s="14" t="s">
        <v>25</v>
      </c>
      <c r="B47" s="15" t="s">
        <v>26</v>
      </c>
      <c r="C47" s="15" t="s">
        <v>27</v>
      </c>
      <c r="D47" s="15" t="s">
        <v>62</v>
      </c>
      <c r="E47" s="16" t="s">
        <v>29</v>
      </c>
      <c r="F47" s="23" t="s">
        <v>30</v>
      </c>
      <c r="G47" s="23"/>
      <c r="H47" s="16" t="s">
        <v>13</v>
      </c>
      <c r="I47" s="22">
        <v>27369.599999999999</v>
      </c>
      <c r="J47" s="22"/>
      <c r="K47" s="19" t="s">
        <v>8</v>
      </c>
      <c r="L47" s="20">
        <v>6391007.5300000003</v>
      </c>
    </row>
    <row r="48" spans="1:12" ht="61.2" x14ac:dyDescent="0.3">
      <c r="A48" s="14" t="s">
        <v>25</v>
      </c>
      <c r="B48" s="15" t="s">
        <v>26</v>
      </c>
      <c r="C48" s="15" t="s">
        <v>27</v>
      </c>
      <c r="D48" s="15" t="s">
        <v>63</v>
      </c>
      <c r="E48" s="16" t="s">
        <v>29</v>
      </c>
      <c r="F48" s="23" t="s">
        <v>30</v>
      </c>
      <c r="G48" s="23"/>
      <c r="H48" s="16" t="s">
        <v>13</v>
      </c>
      <c r="I48" s="22">
        <v>3870.21</v>
      </c>
      <c r="J48" s="22"/>
      <c r="K48" s="19" t="s">
        <v>8</v>
      </c>
      <c r="L48" s="20">
        <v>6387137.3200000003</v>
      </c>
    </row>
    <row r="49" spans="1:12" ht="61.2" x14ac:dyDescent="0.3">
      <c r="A49" s="14" t="s">
        <v>25</v>
      </c>
      <c r="B49" s="15" t="s">
        <v>26</v>
      </c>
      <c r="C49" s="15" t="s">
        <v>27</v>
      </c>
      <c r="D49" s="15" t="s">
        <v>64</v>
      </c>
      <c r="E49" s="16" t="s">
        <v>29</v>
      </c>
      <c r="F49" s="23" t="s">
        <v>30</v>
      </c>
      <c r="G49" s="23"/>
      <c r="H49" s="16" t="s">
        <v>13</v>
      </c>
      <c r="I49" s="22">
        <v>2928.33</v>
      </c>
      <c r="J49" s="22"/>
      <c r="K49" s="19" t="s">
        <v>8</v>
      </c>
      <c r="L49" s="20">
        <v>6384208.9900000002</v>
      </c>
    </row>
    <row r="50" spans="1:12" ht="71.400000000000006" x14ac:dyDescent="0.3">
      <c r="A50" s="14" t="s">
        <v>25</v>
      </c>
      <c r="B50" s="15" t="s">
        <v>26</v>
      </c>
      <c r="C50" s="15" t="s">
        <v>27</v>
      </c>
      <c r="D50" s="15" t="s">
        <v>15</v>
      </c>
      <c r="E50" s="16" t="s">
        <v>29</v>
      </c>
      <c r="F50" s="23" t="s">
        <v>30</v>
      </c>
      <c r="G50" s="23"/>
      <c r="H50" s="16" t="s">
        <v>13</v>
      </c>
      <c r="I50" s="22">
        <v>88828.97</v>
      </c>
      <c r="J50" s="22"/>
      <c r="K50" s="19" t="s">
        <v>8</v>
      </c>
      <c r="L50" s="20">
        <v>6295380.0199999996</v>
      </c>
    </row>
    <row r="51" spans="1:12" ht="71.400000000000006" x14ac:dyDescent="0.3">
      <c r="A51" s="14" t="s">
        <v>25</v>
      </c>
      <c r="B51" s="15" t="s">
        <v>26</v>
      </c>
      <c r="C51" s="15" t="s">
        <v>27</v>
      </c>
      <c r="D51" s="15" t="s">
        <v>65</v>
      </c>
      <c r="E51" s="16" t="s">
        <v>29</v>
      </c>
      <c r="F51" s="23" t="s">
        <v>30</v>
      </c>
      <c r="G51" s="23"/>
      <c r="H51" s="16" t="s">
        <v>13</v>
      </c>
      <c r="I51" s="22">
        <v>3509.5</v>
      </c>
      <c r="J51" s="22"/>
      <c r="K51" s="19" t="s">
        <v>8</v>
      </c>
      <c r="L51" s="20">
        <v>6291870.5199999996</v>
      </c>
    </row>
    <row r="52" spans="1:12" ht="61.2" x14ac:dyDescent="0.3">
      <c r="A52" s="14" t="s">
        <v>25</v>
      </c>
      <c r="B52" s="15" t="s">
        <v>26</v>
      </c>
      <c r="C52" s="15" t="s">
        <v>27</v>
      </c>
      <c r="D52" s="15" t="s">
        <v>66</v>
      </c>
      <c r="E52" s="16" t="s">
        <v>29</v>
      </c>
      <c r="F52" s="23" t="s">
        <v>30</v>
      </c>
      <c r="G52" s="23"/>
      <c r="H52" s="16" t="s">
        <v>13</v>
      </c>
      <c r="I52" s="22">
        <v>2662.25</v>
      </c>
      <c r="J52" s="22"/>
      <c r="K52" s="19" t="s">
        <v>8</v>
      </c>
      <c r="L52" s="20">
        <v>6289208.2699999996</v>
      </c>
    </row>
    <row r="53" spans="1:12" ht="71.400000000000006" x14ac:dyDescent="0.3">
      <c r="A53" s="14" t="s">
        <v>25</v>
      </c>
      <c r="B53" s="15" t="s">
        <v>26</v>
      </c>
      <c r="C53" s="15" t="s">
        <v>27</v>
      </c>
      <c r="D53" s="15" t="s">
        <v>67</v>
      </c>
      <c r="E53" s="16" t="s">
        <v>29</v>
      </c>
      <c r="F53" s="23" t="s">
        <v>30</v>
      </c>
      <c r="G53" s="23"/>
      <c r="H53" s="16" t="s">
        <v>13</v>
      </c>
      <c r="I53" s="22">
        <v>1637.56</v>
      </c>
      <c r="J53" s="22"/>
      <c r="K53" s="19" t="s">
        <v>8</v>
      </c>
      <c r="L53" s="20">
        <v>6287570.71</v>
      </c>
    </row>
    <row r="54" spans="1:12" ht="71.400000000000006" x14ac:dyDescent="0.3">
      <c r="A54" s="14" t="s">
        <v>25</v>
      </c>
      <c r="B54" s="15" t="s">
        <v>26</v>
      </c>
      <c r="C54" s="15" t="s">
        <v>27</v>
      </c>
      <c r="D54" s="15" t="s">
        <v>68</v>
      </c>
      <c r="E54" s="16" t="s">
        <v>29</v>
      </c>
      <c r="F54" s="23" t="s">
        <v>30</v>
      </c>
      <c r="G54" s="23"/>
      <c r="H54" s="16" t="s">
        <v>13</v>
      </c>
      <c r="I54" s="22">
        <v>34905.93</v>
      </c>
      <c r="J54" s="22"/>
      <c r="K54" s="19" t="s">
        <v>8</v>
      </c>
      <c r="L54" s="20">
        <v>6252664.7800000003</v>
      </c>
    </row>
    <row r="55" spans="1:12" ht="61.2" x14ac:dyDescent="0.3">
      <c r="A55" s="14" t="s">
        <v>25</v>
      </c>
      <c r="B55" s="15" t="s">
        <v>26</v>
      </c>
      <c r="C55" s="15" t="s">
        <v>27</v>
      </c>
      <c r="D55" s="15" t="s">
        <v>69</v>
      </c>
      <c r="E55" s="16" t="s">
        <v>29</v>
      </c>
      <c r="F55" s="23" t="s">
        <v>30</v>
      </c>
      <c r="G55" s="23"/>
      <c r="H55" s="16" t="s">
        <v>13</v>
      </c>
      <c r="I55" s="22">
        <v>1714.38</v>
      </c>
      <c r="J55" s="22"/>
      <c r="K55" s="19" t="s">
        <v>8</v>
      </c>
      <c r="L55" s="20">
        <v>6250950.4000000004</v>
      </c>
    </row>
    <row r="56" spans="1:12" ht="61.2" x14ac:dyDescent="0.3">
      <c r="A56" s="14" t="s">
        <v>25</v>
      </c>
      <c r="B56" s="15" t="s">
        <v>26</v>
      </c>
      <c r="C56" s="15" t="s">
        <v>27</v>
      </c>
      <c r="D56" s="15" t="s">
        <v>70</v>
      </c>
      <c r="E56" s="16" t="s">
        <v>29</v>
      </c>
      <c r="F56" s="23" t="s">
        <v>30</v>
      </c>
      <c r="G56" s="23"/>
      <c r="H56" s="16" t="s">
        <v>13</v>
      </c>
      <c r="I56" s="22">
        <v>3502.69</v>
      </c>
      <c r="J56" s="22"/>
      <c r="K56" s="19" t="s">
        <v>8</v>
      </c>
      <c r="L56" s="20">
        <v>6247447.71</v>
      </c>
    </row>
    <row r="57" spans="1:12" ht="61.2" x14ac:dyDescent="0.3">
      <c r="A57" s="14" t="s">
        <v>25</v>
      </c>
      <c r="B57" s="15" t="s">
        <v>26</v>
      </c>
      <c r="C57" s="15" t="s">
        <v>27</v>
      </c>
      <c r="D57" s="15" t="s">
        <v>71</v>
      </c>
      <c r="E57" s="16" t="s">
        <v>29</v>
      </c>
      <c r="F57" s="23" t="s">
        <v>30</v>
      </c>
      <c r="G57" s="23"/>
      <c r="H57" s="16" t="s">
        <v>13</v>
      </c>
      <c r="I57" s="22">
        <v>2194.4</v>
      </c>
      <c r="J57" s="22"/>
      <c r="K57" s="19" t="s">
        <v>8</v>
      </c>
      <c r="L57" s="20">
        <v>6245253.3099999996</v>
      </c>
    </row>
    <row r="58" spans="1:12" ht="71.400000000000006" x14ac:dyDescent="0.3">
      <c r="A58" s="14" t="s">
        <v>25</v>
      </c>
      <c r="B58" s="15" t="s">
        <v>26</v>
      </c>
      <c r="C58" s="15" t="s">
        <v>27</v>
      </c>
      <c r="D58" s="15" t="s">
        <v>72</v>
      </c>
      <c r="E58" s="16" t="s">
        <v>29</v>
      </c>
      <c r="F58" s="23" t="s">
        <v>30</v>
      </c>
      <c r="G58" s="23"/>
      <c r="H58" s="16" t="s">
        <v>13</v>
      </c>
      <c r="I58" s="22">
        <v>6007.28</v>
      </c>
      <c r="J58" s="22"/>
      <c r="K58" s="19" t="s">
        <v>8</v>
      </c>
      <c r="L58" s="20">
        <v>6239246.0300000003</v>
      </c>
    </row>
    <row r="59" spans="1:12" ht="71.400000000000006" x14ac:dyDescent="0.3">
      <c r="A59" s="14" t="s">
        <v>25</v>
      </c>
      <c r="B59" s="15" t="s">
        <v>26</v>
      </c>
      <c r="C59" s="15" t="s">
        <v>27</v>
      </c>
      <c r="D59" s="15" t="s">
        <v>73</v>
      </c>
      <c r="E59" s="16" t="s">
        <v>29</v>
      </c>
      <c r="F59" s="23" t="s">
        <v>30</v>
      </c>
      <c r="G59" s="23"/>
      <c r="H59" s="16" t="s">
        <v>13</v>
      </c>
      <c r="I59" s="22">
        <v>25956</v>
      </c>
      <c r="J59" s="22"/>
      <c r="K59" s="19" t="s">
        <v>8</v>
      </c>
      <c r="L59" s="20">
        <v>6213290.0300000003</v>
      </c>
    </row>
    <row r="60" spans="1:12" ht="71.400000000000006" x14ac:dyDescent="0.3">
      <c r="A60" s="14" t="s">
        <v>25</v>
      </c>
      <c r="B60" s="15" t="s">
        <v>26</v>
      </c>
      <c r="C60" s="15" t="s">
        <v>27</v>
      </c>
      <c r="D60" s="15" t="s">
        <v>74</v>
      </c>
      <c r="E60" s="16" t="s">
        <v>29</v>
      </c>
      <c r="F60" s="23" t="s">
        <v>30</v>
      </c>
      <c r="G60" s="23"/>
      <c r="H60" s="16" t="s">
        <v>13</v>
      </c>
      <c r="I60" s="22">
        <v>3326.4</v>
      </c>
      <c r="J60" s="22"/>
      <c r="K60" s="19" t="s">
        <v>8</v>
      </c>
      <c r="L60" s="20">
        <v>6209963.6299999999</v>
      </c>
    </row>
    <row r="61" spans="1:12" ht="81.599999999999994" x14ac:dyDescent="0.3">
      <c r="A61" s="14" t="s">
        <v>25</v>
      </c>
      <c r="B61" s="15" t="s">
        <v>26</v>
      </c>
      <c r="C61" s="15" t="s">
        <v>27</v>
      </c>
      <c r="D61" s="15" t="s">
        <v>75</v>
      </c>
      <c r="E61" s="16" t="s">
        <v>29</v>
      </c>
      <c r="F61" s="23" t="s">
        <v>30</v>
      </c>
      <c r="G61" s="23"/>
      <c r="H61" s="16" t="s">
        <v>13</v>
      </c>
      <c r="I61" s="18">
        <v>840.74</v>
      </c>
      <c r="J61" s="18"/>
      <c r="K61" s="19" t="s">
        <v>8</v>
      </c>
      <c r="L61" s="20">
        <v>6209122.8899999997</v>
      </c>
    </row>
    <row r="62" spans="1:12" ht="81.599999999999994" x14ac:dyDescent="0.3">
      <c r="A62" s="14" t="s">
        <v>25</v>
      </c>
      <c r="B62" s="15" t="s">
        <v>26</v>
      </c>
      <c r="C62" s="15" t="s">
        <v>27</v>
      </c>
      <c r="D62" s="15" t="s">
        <v>76</v>
      </c>
      <c r="E62" s="16" t="s">
        <v>29</v>
      </c>
      <c r="F62" s="23" t="s">
        <v>30</v>
      </c>
      <c r="G62" s="23"/>
      <c r="H62" s="16" t="s">
        <v>13</v>
      </c>
      <c r="I62" s="22">
        <v>1485.3</v>
      </c>
      <c r="J62" s="22"/>
      <c r="K62" s="19" t="s">
        <v>8</v>
      </c>
      <c r="L62" s="20">
        <v>6207637.5899999999</v>
      </c>
    </row>
    <row r="63" spans="1:12" ht="81.599999999999994" x14ac:dyDescent="0.3">
      <c r="A63" s="14" t="s">
        <v>25</v>
      </c>
      <c r="B63" s="15" t="s">
        <v>26</v>
      </c>
      <c r="C63" s="15" t="s">
        <v>27</v>
      </c>
      <c r="D63" s="15" t="s">
        <v>77</v>
      </c>
      <c r="E63" s="16" t="s">
        <v>29</v>
      </c>
      <c r="F63" s="23" t="s">
        <v>30</v>
      </c>
      <c r="G63" s="23"/>
      <c r="H63" s="16" t="s">
        <v>13</v>
      </c>
      <c r="I63" s="22">
        <v>1541.36</v>
      </c>
      <c r="J63" s="22"/>
      <c r="K63" s="19" t="s">
        <v>8</v>
      </c>
      <c r="L63" s="20">
        <v>6206096.2300000004</v>
      </c>
    </row>
    <row r="64" spans="1:12" ht="81.599999999999994" x14ac:dyDescent="0.3">
      <c r="A64" s="14" t="s">
        <v>25</v>
      </c>
      <c r="B64" s="15" t="s">
        <v>26</v>
      </c>
      <c r="C64" s="15" t="s">
        <v>27</v>
      </c>
      <c r="D64" s="15" t="s">
        <v>78</v>
      </c>
      <c r="E64" s="16" t="s">
        <v>29</v>
      </c>
      <c r="F64" s="23" t="s">
        <v>30</v>
      </c>
      <c r="G64" s="23"/>
      <c r="H64" s="16" t="s">
        <v>13</v>
      </c>
      <c r="I64" s="18">
        <v>798.7</v>
      </c>
      <c r="J64" s="18"/>
      <c r="K64" s="19" t="s">
        <v>8</v>
      </c>
      <c r="L64" s="20">
        <v>6205297.5300000003</v>
      </c>
    </row>
    <row r="65" spans="1:12" ht="81.599999999999994" x14ac:dyDescent="0.3">
      <c r="A65" s="14" t="s">
        <v>25</v>
      </c>
      <c r="B65" s="15" t="s">
        <v>26</v>
      </c>
      <c r="C65" s="15" t="s">
        <v>27</v>
      </c>
      <c r="D65" s="15" t="s">
        <v>79</v>
      </c>
      <c r="E65" s="16" t="s">
        <v>29</v>
      </c>
      <c r="F65" s="23" t="s">
        <v>30</v>
      </c>
      <c r="G65" s="23"/>
      <c r="H65" s="16" t="s">
        <v>13</v>
      </c>
      <c r="I65" s="22">
        <v>1653.45</v>
      </c>
      <c r="J65" s="22"/>
      <c r="K65" s="19" t="s">
        <v>8</v>
      </c>
      <c r="L65" s="20">
        <v>6203644.0800000001</v>
      </c>
    </row>
    <row r="66" spans="1:12" ht="81.599999999999994" x14ac:dyDescent="0.3">
      <c r="A66" s="14" t="s">
        <v>25</v>
      </c>
      <c r="B66" s="15" t="s">
        <v>26</v>
      </c>
      <c r="C66" s="15" t="s">
        <v>27</v>
      </c>
      <c r="D66" s="15" t="s">
        <v>80</v>
      </c>
      <c r="E66" s="16" t="s">
        <v>29</v>
      </c>
      <c r="F66" s="23" t="s">
        <v>30</v>
      </c>
      <c r="G66" s="23"/>
      <c r="H66" s="16" t="s">
        <v>13</v>
      </c>
      <c r="I66" s="22">
        <v>1765.55</v>
      </c>
      <c r="J66" s="22"/>
      <c r="K66" s="19" t="s">
        <v>8</v>
      </c>
      <c r="L66" s="20">
        <v>6201878.5300000003</v>
      </c>
    </row>
    <row r="67" spans="1:12" ht="81.599999999999994" x14ac:dyDescent="0.3">
      <c r="A67" s="14" t="s">
        <v>25</v>
      </c>
      <c r="B67" s="15" t="s">
        <v>26</v>
      </c>
      <c r="C67" s="15" t="s">
        <v>27</v>
      </c>
      <c r="D67" s="15" t="s">
        <v>81</v>
      </c>
      <c r="E67" s="16" t="s">
        <v>29</v>
      </c>
      <c r="F67" s="23" t="s">
        <v>30</v>
      </c>
      <c r="G67" s="23"/>
      <c r="H67" s="16" t="s">
        <v>13</v>
      </c>
      <c r="I67" s="22">
        <v>3564.54</v>
      </c>
      <c r="J67" s="22"/>
      <c r="K67" s="19" t="s">
        <v>8</v>
      </c>
      <c r="L67" s="20">
        <v>6198313.9900000002</v>
      </c>
    </row>
    <row r="68" spans="1:12" ht="81.599999999999994" x14ac:dyDescent="0.3">
      <c r="A68" s="14" t="s">
        <v>25</v>
      </c>
      <c r="B68" s="15" t="s">
        <v>26</v>
      </c>
      <c r="C68" s="15" t="s">
        <v>27</v>
      </c>
      <c r="D68" s="15" t="s">
        <v>82</v>
      </c>
      <c r="E68" s="16" t="s">
        <v>29</v>
      </c>
      <c r="F68" s="23" t="s">
        <v>30</v>
      </c>
      <c r="G68" s="23"/>
      <c r="H68" s="16" t="s">
        <v>13</v>
      </c>
      <c r="I68" s="22">
        <v>1916.98</v>
      </c>
      <c r="J68" s="22"/>
      <c r="K68" s="19" t="s">
        <v>8</v>
      </c>
      <c r="L68" s="20">
        <v>6196397.0099999998</v>
      </c>
    </row>
    <row r="69" spans="1:12" ht="81.599999999999994" x14ac:dyDescent="0.3">
      <c r="A69" s="14" t="s">
        <v>25</v>
      </c>
      <c r="B69" s="15" t="s">
        <v>26</v>
      </c>
      <c r="C69" s="15" t="s">
        <v>27</v>
      </c>
      <c r="D69" s="15" t="s">
        <v>83</v>
      </c>
      <c r="E69" s="16" t="s">
        <v>29</v>
      </c>
      <c r="F69" s="23" t="s">
        <v>30</v>
      </c>
      <c r="G69" s="23"/>
      <c r="H69" s="16" t="s">
        <v>13</v>
      </c>
      <c r="I69" s="22">
        <v>3867.4</v>
      </c>
      <c r="J69" s="22"/>
      <c r="K69" s="19" t="s">
        <v>8</v>
      </c>
      <c r="L69" s="20">
        <v>6192529.6100000003</v>
      </c>
    </row>
    <row r="70" spans="1:12" ht="81.599999999999994" x14ac:dyDescent="0.3">
      <c r="A70" s="14" t="s">
        <v>25</v>
      </c>
      <c r="B70" s="15" t="s">
        <v>26</v>
      </c>
      <c r="C70" s="15" t="s">
        <v>27</v>
      </c>
      <c r="D70" s="15" t="s">
        <v>84</v>
      </c>
      <c r="E70" s="16" t="s">
        <v>29</v>
      </c>
      <c r="F70" s="23" t="s">
        <v>30</v>
      </c>
      <c r="G70" s="23"/>
      <c r="H70" s="16" t="s">
        <v>13</v>
      </c>
      <c r="I70" s="22">
        <v>2085.13</v>
      </c>
      <c r="J70" s="22"/>
      <c r="K70" s="19" t="s">
        <v>8</v>
      </c>
      <c r="L70" s="20">
        <v>6190444.4800000004</v>
      </c>
    </row>
    <row r="71" spans="1:12" ht="81.599999999999994" x14ac:dyDescent="0.3">
      <c r="A71" s="14" t="s">
        <v>25</v>
      </c>
      <c r="B71" s="15" t="s">
        <v>26</v>
      </c>
      <c r="C71" s="15" t="s">
        <v>27</v>
      </c>
      <c r="D71" s="15" t="s">
        <v>85</v>
      </c>
      <c r="E71" s="16" t="s">
        <v>29</v>
      </c>
      <c r="F71" s="23" t="s">
        <v>30</v>
      </c>
      <c r="G71" s="23"/>
      <c r="H71" s="16" t="s">
        <v>13</v>
      </c>
      <c r="I71" s="22">
        <v>2398.81</v>
      </c>
      <c r="J71" s="22"/>
      <c r="K71" s="19" t="s">
        <v>8</v>
      </c>
      <c r="L71" s="20">
        <v>6188045.6699999999</v>
      </c>
    </row>
    <row r="72" spans="1:12" ht="81.599999999999994" x14ac:dyDescent="0.3">
      <c r="A72" s="14" t="s">
        <v>25</v>
      </c>
      <c r="B72" s="15" t="s">
        <v>26</v>
      </c>
      <c r="C72" s="15" t="s">
        <v>27</v>
      </c>
      <c r="D72" s="15" t="s">
        <v>86</v>
      </c>
      <c r="E72" s="16" t="s">
        <v>29</v>
      </c>
      <c r="F72" s="23" t="s">
        <v>30</v>
      </c>
      <c r="G72" s="23"/>
      <c r="H72" s="16" t="s">
        <v>13</v>
      </c>
      <c r="I72" s="22">
        <v>2566.96</v>
      </c>
      <c r="J72" s="22"/>
      <c r="K72" s="19" t="s">
        <v>8</v>
      </c>
      <c r="L72" s="20">
        <v>6185478.71</v>
      </c>
    </row>
    <row r="73" spans="1:12" ht="81.599999999999994" x14ac:dyDescent="0.3">
      <c r="A73" s="14" t="s">
        <v>25</v>
      </c>
      <c r="B73" s="15" t="s">
        <v>26</v>
      </c>
      <c r="C73" s="15" t="s">
        <v>27</v>
      </c>
      <c r="D73" s="15" t="s">
        <v>87</v>
      </c>
      <c r="E73" s="16" t="s">
        <v>29</v>
      </c>
      <c r="F73" s="23" t="s">
        <v>30</v>
      </c>
      <c r="G73" s="23"/>
      <c r="H73" s="16" t="s">
        <v>13</v>
      </c>
      <c r="I73" s="22">
        <v>2718.39</v>
      </c>
      <c r="J73" s="22"/>
      <c r="K73" s="19" t="s">
        <v>8</v>
      </c>
      <c r="L73" s="20">
        <v>6182760.3200000003</v>
      </c>
    </row>
    <row r="74" spans="1:12" ht="81.599999999999994" x14ac:dyDescent="0.3">
      <c r="A74" s="14" t="s">
        <v>25</v>
      </c>
      <c r="B74" s="15" t="s">
        <v>26</v>
      </c>
      <c r="C74" s="15" t="s">
        <v>27</v>
      </c>
      <c r="D74" s="15" t="s">
        <v>88</v>
      </c>
      <c r="E74" s="16" t="s">
        <v>29</v>
      </c>
      <c r="F74" s="23" t="s">
        <v>30</v>
      </c>
      <c r="G74" s="23"/>
      <c r="H74" s="16" t="s">
        <v>13</v>
      </c>
      <c r="I74" s="22">
        <v>3206.11</v>
      </c>
      <c r="J74" s="22"/>
      <c r="K74" s="19" t="s">
        <v>8</v>
      </c>
      <c r="L74" s="20">
        <v>6179554.21</v>
      </c>
    </row>
    <row r="75" spans="1:12" ht="81.599999999999994" x14ac:dyDescent="0.3">
      <c r="A75" s="14" t="s">
        <v>25</v>
      </c>
      <c r="B75" s="15" t="s">
        <v>26</v>
      </c>
      <c r="C75" s="15" t="s">
        <v>27</v>
      </c>
      <c r="D75" s="15" t="s">
        <v>89</v>
      </c>
      <c r="E75" s="16" t="s">
        <v>29</v>
      </c>
      <c r="F75" s="23" t="s">
        <v>30</v>
      </c>
      <c r="G75" s="23"/>
      <c r="H75" s="16" t="s">
        <v>13</v>
      </c>
      <c r="I75" s="22">
        <v>3362.95</v>
      </c>
      <c r="J75" s="22"/>
      <c r="K75" s="19" t="s">
        <v>8</v>
      </c>
      <c r="L75" s="20">
        <v>6176191.2599999998</v>
      </c>
    </row>
    <row r="76" spans="1:12" ht="71.400000000000006" x14ac:dyDescent="0.3">
      <c r="A76" s="14" t="s">
        <v>25</v>
      </c>
      <c r="B76" s="15" t="s">
        <v>26</v>
      </c>
      <c r="C76" s="15" t="s">
        <v>27</v>
      </c>
      <c r="D76" s="15" t="s">
        <v>90</v>
      </c>
      <c r="E76" s="16" t="s">
        <v>29</v>
      </c>
      <c r="F76" s="23" t="s">
        <v>30</v>
      </c>
      <c r="G76" s="23"/>
      <c r="H76" s="16" t="s">
        <v>13</v>
      </c>
      <c r="I76" s="22">
        <v>6523.66</v>
      </c>
      <c r="J76" s="22"/>
      <c r="K76" s="19" t="s">
        <v>8</v>
      </c>
      <c r="L76" s="20">
        <v>6169667.5999999996</v>
      </c>
    </row>
    <row r="77" spans="1:12" ht="71.400000000000006" x14ac:dyDescent="0.3">
      <c r="A77" s="14" t="s">
        <v>25</v>
      </c>
      <c r="B77" s="15" t="s">
        <v>26</v>
      </c>
      <c r="C77" s="15" t="s">
        <v>27</v>
      </c>
      <c r="D77" s="15" t="s">
        <v>91</v>
      </c>
      <c r="E77" s="16" t="s">
        <v>29</v>
      </c>
      <c r="F77" s="23" t="s">
        <v>30</v>
      </c>
      <c r="G77" s="23"/>
      <c r="H77" s="16" t="s">
        <v>13</v>
      </c>
      <c r="I77" s="22">
        <v>4758.4399999999996</v>
      </c>
      <c r="J77" s="22"/>
      <c r="K77" s="19" t="s">
        <v>8</v>
      </c>
      <c r="L77" s="20">
        <v>6164909.1600000001</v>
      </c>
    </row>
    <row r="78" spans="1:12" ht="71.400000000000006" x14ac:dyDescent="0.3">
      <c r="A78" s="14" t="s">
        <v>25</v>
      </c>
      <c r="B78" s="15" t="s">
        <v>26</v>
      </c>
      <c r="C78" s="15" t="s">
        <v>27</v>
      </c>
      <c r="D78" s="15" t="s">
        <v>92</v>
      </c>
      <c r="E78" s="16" t="s">
        <v>29</v>
      </c>
      <c r="F78" s="23" t="s">
        <v>30</v>
      </c>
      <c r="G78" s="23"/>
      <c r="H78" s="16" t="s">
        <v>13</v>
      </c>
      <c r="I78" s="22">
        <v>144820.25</v>
      </c>
      <c r="J78" s="22"/>
      <c r="K78" s="19" t="s">
        <v>8</v>
      </c>
      <c r="L78" s="20">
        <v>6020088.9100000001</v>
      </c>
    </row>
    <row r="79" spans="1:12" ht="71.400000000000006" x14ac:dyDescent="0.3">
      <c r="A79" s="14" t="s">
        <v>25</v>
      </c>
      <c r="B79" s="15" t="s">
        <v>26</v>
      </c>
      <c r="C79" s="15" t="s">
        <v>27</v>
      </c>
      <c r="D79" s="15" t="s">
        <v>93</v>
      </c>
      <c r="E79" s="16" t="s">
        <v>29</v>
      </c>
      <c r="F79" s="23" t="s">
        <v>30</v>
      </c>
      <c r="G79" s="23"/>
      <c r="H79" s="16" t="s">
        <v>13</v>
      </c>
      <c r="I79" s="22">
        <v>145631.23000000001</v>
      </c>
      <c r="J79" s="22"/>
      <c r="K79" s="19" t="s">
        <v>8</v>
      </c>
      <c r="L79" s="20">
        <v>5874457.6799999997</v>
      </c>
    </row>
    <row r="80" spans="1:12" ht="71.400000000000006" x14ac:dyDescent="0.3">
      <c r="A80" s="14" t="s">
        <v>25</v>
      </c>
      <c r="B80" s="15" t="s">
        <v>26</v>
      </c>
      <c r="C80" s="15" t="s">
        <v>27</v>
      </c>
      <c r="D80" s="15" t="s">
        <v>94</v>
      </c>
      <c r="E80" s="16" t="s">
        <v>29</v>
      </c>
      <c r="F80" s="23" t="s">
        <v>30</v>
      </c>
      <c r="G80" s="23"/>
      <c r="H80" s="16" t="s">
        <v>13</v>
      </c>
      <c r="I80" s="22">
        <v>2788.55</v>
      </c>
      <c r="J80" s="22"/>
      <c r="K80" s="19" t="s">
        <v>8</v>
      </c>
      <c r="L80" s="20">
        <v>5871669.1299999999</v>
      </c>
    </row>
    <row r="81" spans="1:12" ht="71.400000000000006" x14ac:dyDescent="0.3">
      <c r="A81" s="14" t="s">
        <v>25</v>
      </c>
      <c r="B81" s="15" t="s">
        <v>26</v>
      </c>
      <c r="C81" s="15" t="s">
        <v>27</v>
      </c>
      <c r="D81" s="15" t="s">
        <v>95</v>
      </c>
      <c r="E81" s="16" t="s">
        <v>29</v>
      </c>
      <c r="F81" s="23" t="s">
        <v>30</v>
      </c>
      <c r="G81" s="23"/>
      <c r="H81" s="16" t="s">
        <v>13</v>
      </c>
      <c r="I81" s="22">
        <v>6620.88</v>
      </c>
      <c r="J81" s="22"/>
      <c r="K81" s="19" t="s">
        <v>8</v>
      </c>
      <c r="L81" s="20">
        <v>5865048.25</v>
      </c>
    </row>
    <row r="82" spans="1:12" ht="71.400000000000006" x14ac:dyDescent="0.3">
      <c r="A82" s="14" t="s">
        <v>25</v>
      </c>
      <c r="B82" s="15" t="s">
        <v>26</v>
      </c>
      <c r="C82" s="15" t="s">
        <v>27</v>
      </c>
      <c r="D82" s="15" t="s">
        <v>96</v>
      </c>
      <c r="E82" s="16" t="s">
        <v>29</v>
      </c>
      <c r="F82" s="23" t="s">
        <v>30</v>
      </c>
      <c r="G82" s="23"/>
      <c r="H82" s="16" t="s">
        <v>13</v>
      </c>
      <c r="I82" s="22">
        <v>3837.45</v>
      </c>
      <c r="J82" s="22"/>
      <c r="K82" s="19" t="s">
        <v>8</v>
      </c>
      <c r="L82" s="20">
        <v>5861210.7999999998</v>
      </c>
    </row>
    <row r="83" spans="1:12" ht="71.400000000000006" x14ac:dyDescent="0.3">
      <c r="A83" s="14" t="s">
        <v>25</v>
      </c>
      <c r="B83" s="15" t="s">
        <v>26</v>
      </c>
      <c r="C83" s="15" t="s">
        <v>27</v>
      </c>
      <c r="D83" s="15" t="s">
        <v>97</v>
      </c>
      <c r="E83" s="16" t="s">
        <v>29</v>
      </c>
      <c r="F83" s="23" t="s">
        <v>30</v>
      </c>
      <c r="G83" s="23"/>
      <c r="H83" s="16" t="s">
        <v>13</v>
      </c>
      <c r="I83" s="22">
        <v>7707.6</v>
      </c>
      <c r="J83" s="22"/>
      <c r="K83" s="19" t="s">
        <v>8</v>
      </c>
      <c r="L83" s="20">
        <v>5853503.2000000002</v>
      </c>
    </row>
    <row r="84" spans="1:12" ht="61.2" x14ac:dyDescent="0.3">
      <c r="A84" s="14" t="s">
        <v>25</v>
      </c>
      <c r="B84" s="15" t="s">
        <v>26</v>
      </c>
      <c r="C84" s="15" t="s">
        <v>27</v>
      </c>
      <c r="D84" s="15" t="s">
        <v>98</v>
      </c>
      <c r="E84" s="16" t="s">
        <v>29</v>
      </c>
      <c r="F84" s="23" t="s">
        <v>30</v>
      </c>
      <c r="G84" s="23"/>
      <c r="H84" s="16" t="s">
        <v>13</v>
      </c>
      <c r="I84" s="22">
        <v>2928.87</v>
      </c>
      <c r="J84" s="22"/>
      <c r="K84" s="19" t="s">
        <v>8</v>
      </c>
      <c r="L84" s="20">
        <v>5850574.3300000001</v>
      </c>
    </row>
    <row r="85" spans="1:12" ht="61.2" x14ac:dyDescent="0.3">
      <c r="A85" s="14" t="s">
        <v>25</v>
      </c>
      <c r="B85" s="15" t="s">
        <v>26</v>
      </c>
      <c r="C85" s="15" t="s">
        <v>27</v>
      </c>
      <c r="D85" s="15" t="s">
        <v>99</v>
      </c>
      <c r="E85" s="16" t="s">
        <v>29</v>
      </c>
      <c r="F85" s="23" t="s">
        <v>30</v>
      </c>
      <c r="G85" s="23"/>
      <c r="H85" s="16" t="s">
        <v>13</v>
      </c>
      <c r="I85" s="18">
        <v>487.55</v>
      </c>
      <c r="J85" s="18"/>
      <c r="K85" s="19" t="s">
        <v>8</v>
      </c>
      <c r="L85" s="20">
        <v>5850086.7800000003</v>
      </c>
    </row>
    <row r="86" spans="1:12" ht="61.2" x14ac:dyDescent="0.3">
      <c r="A86" s="14" t="s">
        <v>25</v>
      </c>
      <c r="B86" s="15" t="s">
        <v>26</v>
      </c>
      <c r="C86" s="15" t="s">
        <v>27</v>
      </c>
      <c r="D86" s="15" t="s">
        <v>100</v>
      </c>
      <c r="E86" s="16" t="s">
        <v>29</v>
      </c>
      <c r="F86" s="23" t="s">
        <v>30</v>
      </c>
      <c r="G86" s="23"/>
      <c r="H86" s="16" t="s">
        <v>13</v>
      </c>
      <c r="I86" s="22">
        <v>3718.98</v>
      </c>
      <c r="J86" s="22"/>
      <c r="K86" s="19" t="s">
        <v>8</v>
      </c>
      <c r="L86" s="20">
        <v>5846367.7999999998</v>
      </c>
    </row>
    <row r="87" spans="1:12" ht="61.2" x14ac:dyDescent="0.3">
      <c r="A87" s="14" t="s">
        <v>25</v>
      </c>
      <c r="B87" s="15" t="s">
        <v>26</v>
      </c>
      <c r="C87" s="15" t="s">
        <v>27</v>
      </c>
      <c r="D87" s="15" t="s">
        <v>101</v>
      </c>
      <c r="E87" s="16" t="s">
        <v>29</v>
      </c>
      <c r="F87" s="23" t="s">
        <v>30</v>
      </c>
      <c r="G87" s="23"/>
      <c r="H87" s="16" t="s">
        <v>13</v>
      </c>
      <c r="I87" s="22">
        <v>5214.55</v>
      </c>
      <c r="J87" s="22"/>
      <c r="K87" s="19" t="s">
        <v>8</v>
      </c>
      <c r="L87" s="20">
        <v>5841153.25</v>
      </c>
    </row>
    <row r="88" spans="1:12" ht="61.2" x14ac:dyDescent="0.3">
      <c r="A88" s="14" t="s">
        <v>25</v>
      </c>
      <c r="B88" s="15" t="s">
        <v>26</v>
      </c>
      <c r="C88" s="15" t="s">
        <v>27</v>
      </c>
      <c r="D88" s="15" t="s">
        <v>102</v>
      </c>
      <c r="E88" s="16" t="s">
        <v>29</v>
      </c>
      <c r="F88" s="23" t="s">
        <v>30</v>
      </c>
      <c r="G88" s="23"/>
      <c r="H88" s="16" t="s">
        <v>13</v>
      </c>
      <c r="I88" s="22">
        <v>1817.62</v>
      </c>
      <c r="J88" s="22"/>
      <c r="K88" s="19" t="s">
        <v>8</v>
      </c>
      <c r="L88" s="20">
        <v>5839335.6299999999</v>
      </c>
    </row>
    <row r="89" spans="1:12" ht="71.400000000000006" x14ac:dyDescent="0.3">
      <c r="A89" s="14" t="s">
        <v>25</v>
      </c>
      <c r="B89" s="15" t="s">
        <v>26</v>
      </c>
      <c r="C89" s="15" t="s">
        <v>27</v>
      </c>
      <c r="D89" s="15" t="s">
        <v>103</v>
      </c>
      <c r="E89" s="16" t="s">
        <v>29</v>
      </c>
      <c r="F89" s="23" t="s">
        <v>30</v>
      </c>
      <c r="G89" s="23"/>
      <c r="H89" s="16" t="s">
        <v>13</v>
      </c>
      <c r="I89" s="18">
        <v>88.2</v>
      </c>
      <c r="J89" s="18"/>
      <c r="K89" s="19" t="s">
        <v>8</v>
      </c>
      <c r="L89" s="20">
        <v>5839247.4299999997</v>
      </c>
    </row>
    <row r="90" spans="1:12" ht="71.400000000000006" x14ac:dyDescent="0.3">
      <c r="A90" s="14" t="s">
        <v>25</v>
      </c>
      <c r="B90" s="15" t="s">
        <v>26</v>
      </c>
      <c r="C90" s="15" t="s">
        <v>27</v>
      </c>
      <c r="D90" s="15" t="s">
        <v>104</v>
      </c>
      <c r="E90" s="16" t="s">
        <v>29</v>
      </c>
      <c r="F90" s="23" t="s">
        <v>30</v>
      </c>
      <c r="G90" s="23"/>
      <c r="H90" s="16" t="s">
        <v>13</v>
      </c>
      <c r="I90" s="18">
        <v>441</v>
      </c>
      <c r="J90" s="18"/>
      <c r="K90" s="19" t="s">
        <v>8</v>
      </c>
      <c r="L90" s="20">
        <v>5838806.4299999997</v>
      </c>
    </row>
    <row r="91" spans="1:12" ht="61.2" x14ac:dyDescent="0.3">
      <c r="A91" s="14" t="s">
        <v>25</v>
      </c>
      <c r="B91" s="15" t="s">
        <v>26</v>
      </c>
      <c r="C91" s="15" t="s">
        <v>27</v>
      </c>
      <c r="D91" s="15" t="s">
        <v>105</v>
      </c>
      <c r="E91" s="16" t="s">
        <v>29</v>
      </c>
      <c r="F91" s="23" t="s">
        <v>30</v>
      </c>
      <c r="G91" s="23"/>
      <c r="H91" s="16" t="s">
        <v>13</v>
      </c>
      <c r="I91" s="22">
        <v>3776.65</v>
      </c>
      <c r="J91" s="22"/>
      <c r="K91" s="19" t="s">
        <v>8</v>
      </c>
      <c r="L91" s="20">
        <v>5835029.7800000003</v>
      </c>
    </row>
    <row r="92" spans="1:12" ht="61.2" x14ac:dyDescent="0.3">
      <c r="A92" s="14" t="s">
        <v>25</v>
      </c>
      <c r="B92" s="15" t="s">
        <v>26</v>
      </c>
      <c r="C92" s="15" t="s">
        <v>27</v>
      </c>
      <c r="D92" s="15" t="s">
        <v>106</v>
      </c>
      <c r="E92" s="16" t="s">
        <v>29</v>
      </c>
      <c r="F92" s="23" t="s">
        <v>30</v>
      </c>
      <c r="G92" s="23"/>
      <c r="H92" s="16" t="s">
        <v>13</v>
      </c>
      <c r="I92" s="22">
        <v>13808.8</v>
      </c>
      <c r="J92" s="22"/>
      <c r="K92" s="19" t="s">
        <v>8</v>
      </c>
      <c r="L92" s="20">
        <v>5821220.9800000004</v>
      </c>
    </row>
    <row r="93" spans="1:12" ht="61.2" x14ac:dyDescent="0.3">
      <c r="A93" s="14" t="s">
        <v>25</v>
      </c>
      <c r="B93" s="15" t="s">
        <v>26</v>
      </c>
      <c r="C93" s="15" t="s">
        <v>27</v>
      </c>
      <c r="D93" s="15" t="s">
        <v>107</v>
      </c>
      <c r="E93" s="16" t="s">
        <v>29</v>
      </c>
      <c r="F93" s="23" t="s">
        <v>30</v>
      </c>
      <c r="G93" s="23"/>
      <c r="H93" s="16" t="s">
        <v>13</v>
      </c>
      <c r="I93" s="22">
        <v>60438.29</v>
      </c>
      <c r="J93" s="22"/>
      <c r="K93" s="19" t="s">
        <v>8</v>
      </c>
      <c r="L93" s="20">
        <v>5760782.6900000004</v>
      </c>
    </row>
    <row r="94" spans="1:12" ht="61.2" x14ac:dyDescent="0.3">
      <c r="A94" s="14" t="s">
        <v>25</v>
      </c>
      <c r="B94" s="15" t="s">
        <v>26</v>
      </c>
      <c r="C94" s="15" t="s">
        <v>27</v>
      </c>
      <c r="D94" s="15" t="s">
        <v>107</v>
      </c>
      <c r="E94" s="16" t="s">
        <v>29</v>
      </c>
      <c r="F94" s="23" t="s">
        <v>30</v>
      </c>
      <c r="G94" s="23"/>
      <c r="H94" s="16" t="s">
        <v>13</v>
      </c>
      <c r="I94" s="22">
        <v>15109.58</v>
      </c>
      <c r="J94" s="22"/>
      <c r="K94" s="19" t="s">
        <v>8</v>
      </c>
      <c r="L94" s="20">
        <v>5745673.1100000003</v>
      </c>
    </row>
    <row r="95" spans="1:12" ht="61.2" x14ac:dyDescent="0.3">
      <c r="A95" s="14" t="s">
        <v>25</v>
      </c>
      <c r="B95" s="15" t="s">
        <v>26</v>
      </c>
      <c r="C95" s="15" t="s">
        <v>27</v>
      </c>
      <c r="D95" s="15" t="s">
        <v>107</v>
      </c>
      <c r="E95" s="16" t="s">
        <v>29</v>
      </c>
      <c r="F95" s="23" t="s">
        <v>30</v>
      </c>
      <c r="G95" s="23"/>
      <c r="H95" s="16" t="s">
        <v>13</v>
      </c>
      <c r="I95" s="22">
        <v>15109.57</v>
      </c>
      <c r="J95" s="22"/>
      <c r="K95" s="19" t="s">
        <v>8</v>
      </c>
      <c r="L95" s="20">
        <v>5730563.54</v>
      </c>
    </row>
    <row r="96" spans="1:12" ht="61.2" x14ac:dyDescent="0.3">
      <c r="A96" s="14" t="s">
        <v>25</v>
      </c>
      <c r="B96" s="15" t="s">
        <v>26</v>
      </c>
      <c r="C96" s="15" t="s">
        <v>27</v>
      </c>
      <c r="D96" s="15" t="s">
        <v>108</v>
      </c>
      <c r="E96" s="16" t="s">
        <v>29</v>
      </c>
      <c r="F96" s="23" t="s">
        <v>30</v>
      </c>
      <c r="G96" s="23"/>
      <c r="H96" s="16" t="s">
        <v>13</v>
      </c>
      <c r="I96" s="22">
        <v>59662.45</v>
      </c>
      <c r="J96" s="22"/>
      <c r="K96" s="19" t="s">
        <v>8</v>
      </c>
      <c r="L96" s="20">
        <v>5670901.0899999999</v>
      </c>
    </row>
    <row r="97" spans="1:12" ht="61.2" x14ac:dyDescent="0.3">
      <c r="A97" s="14" t="s">
        <v>25</v>
      </c>
      <c r="B97" s="15" t="s">
        <v>26</v>
      </c>
      <c r="C97" s="15" t="s">
        <v>27</v>
      </c>
      <c r="D97" s="15" t="s">
        <v>109</v>
      </c>
      <c r="E97" s="16" t="s">
        <v>29</v>
      </c>
      <c r="F97" s="23" t="s">
        <v>30</v>
      </c>
      <c r="G97" s="23"/>
      <c r="H97" s="16" t="s">
        <v>13</v>
      </c>
      <c r="I97" s="22">
        <v>15489.26</v>
      </c>
      <c r="J97" s="22"/>
      <c r="K97" s="19" t="s">
        <v>8</v>
      </c>
      <c r="L97" s="20">
        <v>5655411.8300000001</v>
      </c>
    </row>
    <row r="98" spans="1:12" ht="61.2" x14ac:dyDescent="0.3">
      <c r="A98" s="14" t="s">
        <v>25</v>
      </c>
      <c r="B98" s="15" t="s">
        <v>26</v>
      </c>
      <c r="C98" s="15" t="s">
        <v>27</v>
      </c>
      <c r="D98" s="15" t="s">
        <v>110</v>
      </c>
      <c r="E98" s="16" t="s">
        <v>29</v>
      </c>
      <c r="F98" s="23" t="s">
        <v>30</v>
      </c>
      <c r="G98" s="23"/>
      <c r="H98" s="16" t="s">
        <v>13</v>
      </c>
      <c r="I98" s="22">
        <v>7364.58</v>
      </c>
      <c r="J98" s="22"/>
      <c r="K98" s="19" t="s">
        <v>8</v>
      </c>
      <c r="L98" s="20">
        <v>5648047.25</v>
      </c>
    </row>
    <row r="99" spans="1:12" ht="61.2" x14ac:dyDescent="0.3">
      <c r="A99" s="14" t="s">
        <v>25</v>
      </c>
      <c r="B99" s="15" t="s">
        <v>26</v>
      </c>
      <c r="C99" s="15" t="s">
        <v>27</v>
      </c>
      <c r="D99" s="15" t="s">
        <v>111</v>
      </c>
      <c r="E99" s="16" t="s">
        <v>29</v>
      </c>
      <c r="F99" s="23" t="s">
        <v>30</v>
      </c>
      <c r="G99" s="23"/>
      <c r="H99" s="16" t="s">
        <v>13</v>
      </c>
      <c r="I99" s="22">
        <v>7366.95</v>
      </c>
      <c r="J99" s="22"/>
      <c r="K99" s="19" t="s">
        <v>8</v>
      </c>
      <c r="L99" s="20">
        <v>5640680.2999999998</v>
      </c>
    </row>
    <row r="100" spans="1:12" ht="61.2" x14ac:dyDescent="0.3">
      <c r="A100" s="14" t="s">
        <v>25</v>
      </c>
      <c r="B100" s="15" t="s">
        <v>26</v>
      </c>
      <c r="C100" s="15" t="s">
        <v>27</v>
      </c>
      <c r="D100" s="15" t="s">
        <v>112</v>
      </c>
      <c r="E100" s="16" t="s">
        <v>29</v>
      </c>
      <c r="F100" s="23" t="s">
        <v>30</v>
      </c>
      <c r="G100" s="23"/>
      <c r="H100" s="16" t="s">
        <v>13</v>
      </c>
      <c r="I100" s="22">
        <v>56005</v>
      </c>
      <c r="J100" s="22"/>
      <c r="K100" s="19" t="s">
        <v>8</v>
      </c>
      <c r="L100" s="20">
        <v>5584675.2999999998</v>
      </c>
    </row>
    <row r="101" spans="1:12" ht="61.2" x14ac:dyDescent="0.3">
      <c r="A101" s="14" t="s">
        <v>25</v>
      </c>
      <c r="B101" s="15" t="s">
        <v>26</v>
      </c>
      <c r="C101" s="15" t="s">
        <v>27</v>
      </c>
      <c r="D101" s="15" t="s">
        <v>112</v>
      </c>
      <c r="E101" s="16" t="s">
        <v>29</v>
      </c>
      <c r="F101" s="23" t="s">
        <v>30</v>
      </c>
      <c r="G101" s="23"/>
      <c r="H101" s="16" t="s">
        <v>13</v>
      </c>
      <c r="I101" s="22">
        <v>18668.330000000002</v>
      </c>
      <c r="J101" s="22"/>
      <c r="K101" s="19" t="s">
        <v>8</v>
      </c>
      <c r="L101" s="20">
        <v>5566006.9699999997</v>
      </c>
    </row>
    <row r="102" spans="1:12" ht="61.2" x14ac:dyDescent="0.3">
      <c r="A102" s="14" t="s">
        <v>25</v>
      </c>
      <c r="B102" s="15" t="s">
        <v>26</v>
      </c>
      <c r="C102" s="15" t="s">
        <v>27</v>
      </c>
      <c r="D102" s="15" t="s">
        <v>113</v>
      </c>
      <c r="E102" s="16" t="s">
        <v>29</v>
      </c>
      <c r="F102" s="23" t="s">
        <v>30</v>
      </c>
      <c r="G102" s="23"/>
      <c r="H102" s="16" t="s">
        <v>13</v>
      </c>
      <c r="I102" s="22">
        <v>37583.97</v>
      </c>
      <c r="J102" s="22"/>
      <c r="K102" s="19" t="s">
        <v>8</v>
      </c>
      <c r="L102" s="20">
        <v>5528423</v>
      </c>
    </row>
    <row r="103" spans="1:12" ht="61.2" x14ac:dyDescent="0.3">
      <c r="A103" s="14" t="s">
        <v>25</v>
      </c>
      <c r="B103" s="15" t="s">
        <v>26</v>
      </c>
      <c r="C103" s="15" t="s">
        <v>27</v>
      </c>
      <c r="D103" s="15" t="s">
        <v>114</v>
      </c>
      <c r="E103" s="16" t="s">
        <v>29</v>
      </c>
      <c r="F103" s="23" t="s">
        <v>30</v>
      </c>
      <c r="G103" s="23"/>
      <c r="H103" s="16" t="s">
        <v>13</v>
      </c>
      <c r="I103" s="22">
        <v>18772.5</v>
      </c>
      <c r="J103" s="22"/>
      <c r="K103" s="19" t="s">
        <v>8</v>
      </c>
      <c r="L103" s="20">
        <v>5509650.5</v>
      </c>
    </row>
    <row r="104" spans="1:12" ht="61.2" x14ac:dyDescent="0.3">
      <c r="A104" s="14" t="s">
        <v>25</v>
      </c>
      <c r="B104" s="15" t="s">
        <v>26</v>
      </c>
      <c r="C104" s="15" t="s">
        <v>27</v>
      </c>
      <c r="D104" s="15" t="s">
        <v>114</v>
      </c>
      <c r="E104" s="16" t="s">
        <v>29</v>
      </c>
      <c r="F104" s="23" t="s">
        <v>30</v>
      </c>
      <c r="G104" s="23"/>
      <c r="H104" s="16" t="s">
        <v>13</v>
      </c>
      <c r="I104" s="22">
        <v>56317.5</v>
      </c>
      <c r="J104" s="22"/>
      <c r="K104" s="19" t="s">
        <v>8</v>
      </c>
      <c r="L104" s="20">
        <v>5453333</v>
      </c>
    </row>
    <row r="105" spans="1:12" ht="61.2" x14ac:dyDescent="0.3">
      <c r="A105" s="14" t="s">
        <v>25</v>
      </c>
      <c r="B105" s="15" t="s">
        <v>26</v>
      </c>
      <c r="C105" s="15" t="s">
        <v>27</v>
      </c>
      <c r="D105" s="15" t="s">
        <v>115</v>
      </c>
      <c r="E105" s="16" t="s">
        <v>29</v>
      </c>
      <c r="F105" s="23" t="s">
        <v>30</v>
      </c>
      <c r="G105" s="23"/>
      <c r="H105" s="16" t="s">
        <v>13</v>
      </c>
      <c r="I105" s="22">
        <v>73908.88</v>
      </c>
      <c r="J105" s="22"/>
      <c r="K105" s="19" t="s">
        <v>8</v>
      </c>
      <c r="L105" s="20">
        <v>5379424.1200000001</v>
      </c>
    </row>
    <row r="106" spans="1:12" ht="61.2" x14ac:dyDescent="0.3">
      <c r="A106" s="14" t="s">
        <v>25</v>
      </c>
      <c r="B106" s="15" t="s">
        <v>26</v>
      </c>
      <c r="C106" s="15" t="s">
        <v>27</v>
      </c>
      <c r="D106" s="15" t="s">
        <v>116</v>
      </c>
      <c r="E106" s="16" t="s">
        <v>29</v>
      </c>
      <c r="F106" s="23" t="s">
        <v>30</v>
      </c>
      <c r="G106" s="23"/>
      <c r="H106" s="16" t="s">
        <v>13</v>
      </c>
      <c r="I106" s="22">
        <v>29293.51</v>
      </c>
      <c r="J106" s="22"/>
      <c r="K106" s="19" t="s">
        <v>8</v>
      </c>
      <c r="L106" s="20">
        <v>5350130.6100000003</v>
      </c>
    </row>
    <row r="107" spans="1:12" ht="61.2" x14ac:dyDescent="0.3">
      <c r="A107" s="14" t="s">
        <v>25</v>
      </c>
      <c r="B107" s="15" t="s">
        <v>26</v>
      </c>
      <c r="C107" s="15" t="s">
        <v>27</v>
      </c>
      <c r="D107" s="15" t="s">
        <v>117</v>
      </c>
      <c r="E107" s="16" t="s">
        <v>29</v>
      </c>
      <c r="F107" s="23" t="s">
        <v>30</v>
      </c>
      <c r="G107" s="23"/>
      <c r="H107" s="16" t="s">
        <v>13</v>
      </c>
      <c r="I107" s="22">
        <v>12206.49</v>
      </c>
      <c r="J107" s="22"/>
      <c r="K107" s="19" t="s">
        <v>8</v>
      </c>
      <c r="L107" s="20">
        <v>5337924.12</v>
      </c>
    </row>
    <row r="108" spans="1:12" ht="61.2" x14ac:dyDescent="0.3">
      <c r="A108" s="14" t="s">
        <v>25</v>
      </c>
      <c r="B108" s="15" t="s">
        <v>26</v>
      </c>
      <c r="C108" s="15" t="s">
        <v>27</v>
      </c>
      <c r="D108" s="15" t="s">
        <v>118</v>
      </c>
      <c r="E108" s="16" t="s">
        <v>29</v>
      </c>
      <c r="F108" s="23" t="s">
        <v>30</v>
      </c>
      <c r="G108" s="23"/>
      <c r="H108" s="16" t="s">
        <v>13</v>
      </c>
      <c r="I108" s="22">
        <v>42310.82</v>
      </c>
      <c r="J108" s="22"/>
      <c r="K108" s="19" t="s">
        <v>8</v>
      </c>
      <c r="L108" s="20">
        <v>5295613.3</v>
      </c>
    </row>
    <row r="109" spans="1:12" ht="71.400000000000006" x14ac:dyDescent="0.3">
      <c r="A109" s="14" t="s">
        <v>25</v>
      </c>
      <c r="B109" s="15" t="s">
        <v>26</v>
      </c>
      <c r="C109" s="15" t="s">
        <v>27</v>
      </c>
      <c r="D109" s="15" t="s">
        <v>119</v>
      </c>
      <c r="E109" s="16" t="s">
        <v>29</v>
      </c>
      <c r="F109" s="23" t="s">
        <v>30</v>
      </c>
      <c r="G109" s="23"/>
      <c r="H109" s="16" t="s">
        <v>13</v>
      </c>
      <c r="I109" s="22">
        <v>6692.72</v>
      </c>
      <c r="J109" s="22"/>
      <c r="K109" s="19" t="s">
        <v>8</v>
      </c>
      <c r="L109" s="20">
        <v>5288920.58</v>
      </c>
    </row>
    <row r="110" spans="1:12" ht="71.400000000000006" x14ac:dyDescent="0.3">
      <c r="A110" s="14" t="s">
        <v>25</v>
      </c>
      <c r="B110" s="15" t="s">
        <v>26</v>
      </c>
      <c r="C110" s="15" t="s">
        <v>27</v>
      </c>
      <c r="D110" s="15" t="s">
        <v>120</v>
      </c>
      <c r="E110" s="16" t="s">
        <v>29</v>
      </c>
      <c r="F110" s="23" t="s">
        <v>30</v>
      </c>
      <c r="G110" s="23"/>
      <c r="H110" s="16" t="s">
        <v>13</v>
      </c>
      <c r="I110" s="22">
        <v>6325.01</v>
      </c>
      <c r="J110" s="22"/>
      <c r="K110" s="19" t="s">
        <v>8</v>
      </c>
      <c r="L110" s="20">
        <v>5282595.57</v>
      </c>
    </row>
    <row r="111" spans="1:12" ht="71.400000000000006" x14ac:dyDescent="0.3">
      <c r="A111" s="14" t="s">
        <v>25</v>
      </c>
      <c r="B111" s="15" t="s">
        <v>26</v>
      </c>
      <c r="C111" s="15" t="s">
        <v>27</v>
      </c>
      <c r="D111" s="15" t="s">
        <v>21</v>
      </c>
      <c r="E111" s="16" t="s">
        <v>29</v>
      </c>
      <c r="F111" s="23" t="s">
        <v>30</v>
      </c>
      <c r="G111" s="23"/>
      <c r="H111" s="16" t="s">
        <v>13</v>
      </c>
      <c r="I111" s="22">
        <v>55460.1</v>
      </c>
      <c r="J111" s="22"/>
      <c r="K111" s="19" t="s">
        <v>8</v>
      </c>
      <c r="L111" s="20">
        <v>5227135.47</v>
      </c>
    </row>
    <row r="112" spans="1:12" ht="71.400000000000006" x14ac:dyDescent="0.3">
      <c r="A112" s="14" t="s">
        <v>25</v>
      </c>
      <c r="B112" s="15" t="s">
        <v>26</v>
      </c>
      <c r="C112" s="15" t="s">
        <v>27</v>
      </c>
      <c r="D112" s="15" t="s">
        <v>121</v>
      </c>
      <c r="E112" s="16" t="s">
        <v>29</v>
      </c>
      <c r="F112" s="23" t="s">
        <v>30</v>
      </c>
      <c r="G112" s="23"/>
      <c r="H112" s="16" t="s">
        <v>13</v>
      </c>
      <c r="I112" s="22">
        <v>16110.23</v>
      </c>
      <c r="J112" s="22"/>
      <c r="K112" s="19" t="s">
        <v>8</v>
      </c>
      <c r="L112" s="20">
        <v>5211025.24</v>
      </c>
    </row>
    <row r="113" spans="1:12" ht="81.599999999999994" x14ac:dyDescent="0.3">
      <c r="A113" s="14" t="s">
        <v>25</v>
      </c>
      <c r="B113" s="15" t="s">
        <v>26</v>
      </c>
      <c r="C113" s="15" t="s">
        <v>27</v>
      </c>
      <c r="D113" s="15" t="s">
        <v>122</v>
      </c>
      <c r="E113" s="16" t="s">
        <v>29</v>
      </c>
      <c r="F113" s="23" t="s">
        <v>30</v>
      </c>
      <c r="G113" s="23"/>
      <c r="H113" s="16" t="s">
        <v>13</v>
      </c>
      <c r="I113" s="22">
        <v>3745</v>
      </c>
      <c r="J113" s="22"/>
      <c r="K113" s="19" t="s">
        <v>8</v>
      </c>
      <c r="L113" s="20">
        <v>5207280.24</v>
      </c>
    </row>
    <row r="114" spans="1:12" ht="81.599999999999994" x14ac:dyDescent="0.3">
      <c r="A114" s="14" t="s">
        <v>25</v>
      </c>
      <c r="B114" s="15" t="s">
        <v>26</v>
      </c>
      <c r="C114" s="15" t="s">
        <v>27</v>
      </c>
      <c r="D114" s="15" t="s">
        <v>123</v>
      </c>
      <c r="E114" s="16" t="s">
        <v>29</v>
      </c>
      <c r="F114" s="23" t="s">
        <v>30</v>
      </c>
      <c r="G114" s="23"/>
      <c r="H114" s="16" t="s">
        <v>13</v>
      </c>
      <c r="I114" s="18">
        <v>295.95999999999998</v>
      </c>
      <c r="J114" s="18"/>
      <c r="K114" s="19" t="s">
        <v>8</v>
      </c>
      <c r="L114" s="20">
        <v>5206984.28</v>
      </c>
    </row>
    <row r="115" spans="1:12" ht="81.599999999999994" x14ac:dyDescent="0.3">
      <c r="A115" s="14" t="s">
        <v>25</v>
      </c>
      <c r="B115" s="15" t="s">
        <v>26</v>
      </c>
      <c r="C115" s="15" t="s">
        <v>27</v>
      </c>
      <c r="D115" s="15" t="s">
        <v>124</v>
      </c>
      <c r="E115" s="16" t="s">
        <v>29</v>
      </c>
      <c r="F115" s="23" t="s">
        <v>30</v>
      </c>
      <c r="G115" s="23"/>
      <c r="H115" s="16" t="s">
        <v>13</v>
      </c>
      <c r="I115" s="22">
        <v>4951.58</v>
      </c>
      <c r="J115" s="22"/>
      <c r="K115" s="19" t="s">
        <v>8</v>
      </c>
      <c r="L115" s="20">
        <v>5202032.7</v>
      </c>
    </row>
    <row r="116" spans="1:12" ht="81.599999999999994" x14ac:dyDescent="0.3">
      <c r="A116" s="14" t="s">
        <v>25</v>
      </c>
      <c r="B116" s="15" t="s">
        <v>26</v>
      </c>
      <c r="C116" s="15" t="s">
        <v>27</v>
      </c>
      <c r="D116" s="15" t="s">
        <v>124</v>
      </c>
      <c r="E116" s="16" t="s">
        <v>29</v>
      </c>
      <c r="F116" s="23" t="s">
        <v>30</v>
      </c>
      <c r="G116" s="23"/>
      <c r="H116" s="16" t="s">
        <v>13</v>
      </c>
      <c r="I116" s="22">
        <v>1482.67</v>
      </c>
      <c r="J116" s="22"/>
      <c r="K116" s="19" t="s">
        <v>8</v>
      </c>
      <c r="L116" s="20">
        <v>5200550.03</v>
      </c>
    </row>
    <row r="117" spans="1:12" ht="81.599999999999994" x14ac:dyDescent="0.3">
      <c r="A117" s="14" t="s">
        <v>25</v>
      </c>
      <c r="B117" s="15" t="s">
        <v>26</v>
      </c>
      <c r="C117" s="15" t="s">
        <v>27</v>
      </c>
      <c r="D117" s="15" t="s">
        <v>125</v>
      </c>
      <c r="E117" s="16" t="s">
        <v>29</v>
      </c>
      <c r="F117" s="23" t="s">
        <v>30</v>
      </c>
      <c r="G117" s="23"/>
      <c r="H117" s="16" t="s">
        <v>13</v>
      </c>
      <c r="I117" s="22">
        <v>4951.57</v>
      </c>
      <c r="J117" s="22"/>
      <c r="K117" s="19" t="s">
        <v>8</v>
      </c>
      <c r="L117" s="20">
        <v>5195598.46</v>
      </c>
    </row>
    <row r="118" spans="1:12" ht="81.599999999999994" x14ac:dyDescent="0.3">
      <c r="A118" s="14" t="s">
        <v>25</v>
      </c>
      <c r="B118" s="15" t="s">
        <v>26</v>
      </c>
      <c r="C118" s="15" t="s">
        <v>27</v>
      </c>
      <c r="D118" s="15" t="s">
        <v>126</v>
      </c>
      <c r="E118" s="16" t="s">
        <v>29</v>
      </c>
      <c r="F118" s="23" t="s">
        <v>30</v>
      </c>
      <c r="G118" s="23"/>
      <c r="H118" s="16" t="s">
        <v>13</v>
      </c>
      <c r="I118" s="22">
        <v>674778.58</v>
      </c>
      <c r="J118" s="22"/>
      <c r="K118" s="19" t="s">
        <v>8</v>
      </c>
      <c r="L118" s="20">
        <v>4520819.88</v>
      </c>
    </row>
    <row r="119" spans="1:12" ht="61.2" x14ac:dyDescent="0.3">
      <c r="A119" s="14" t="s">
        <v>25</v>
      </c>
      <c r="B119" s="15" t="s">
        <v>26</v>
      </c>
      <c r="C119" s="15" t="s">
        <v>27</v>
      </c>
      <c r="D119" s="15" t="s">
        <v>127</v>
      </c>
      <c r="E119" s="16" t="s">
        <v>29</v>
      </c>
      <c r="F119" s="23" t="s">
        <v>30</v>
      </c>
      <c r="G119" s="23"/>
      <c r="H119" s="16" t="s">
        <v>13</v>
      </c>
      <c r="I119" s="18">
        <v>466.8</v>
      </c>
      <c r="J119" s="18"/>
      <c r="K119" s="19" t="s">
        <v>8</v>
      </c>
      <c r="L119" s="20">
        <v>4520353.08</v>
      </c>
    </row>
    <row r="120" spans="1:12" ht="71.400000000000006" x14ac:dyDescent="0.3">
      <c r="A120" s="14" t="s">
        <v>25</v>
      </c>
      <c r="B120" s="15" t="s">
        <v>26</v>
      </c>
      <c r="C120" s="15" t="s">
        <v>27</v>
      </c>
      <c r="D120" s="15" t="s">
        <v>128</v>
      </c>
      <c r="E120" s="16" t="s">
        <v>29</v>
      </c>
      <c r="F120" s="23" t="s">
        <v>30</v>
      </c>
      <c r="G120" s="23"/>
      <c r="H120" s="16" t="s">
        <v>13</v>
      </c>
      <c r="I120" s="22">
        <v>1129.2</v>
      </c>
      <c r="J120" s="22"/>
      <c r="K120" s="19" t="s">
        <v>8</v>
      </c>
      <c r="L120" s="20">
        <v>4519223.88</v>
      </c>
    </row>
    <row r="121" spans="1:12" ht="71.400000000000006" x14ac:dyDescent="0.3">
      <c r="A121" s="14" t="s">
        <v>25</v>
      </c>
      <c r="B121" s="15" t="s">
        <v>26</v>
      </c>
      <c r="C121" s="15" t="s">
        <v>27</v>
      </c>
      <c r="D121" s="15" t="s">
        <v>129</v>
      </c>
      <c r="E121" s="16" t="s">
        <v>29</v>
      </c>
      <c r="F121" s="23" t="s">
        <v>30</v>
      </c>
      <c r="G121" s="23"/>
      <c r="H121" s="16" t="s">
        <v>13</v>
      </c>
      <c r="I121" s="22">
        <v>5558.4</v>
      </c>
      <c r="J121" s="22"/>
      <c r="K121" s="19" t="s">
        <v>8</v>
      </c>
      <c r="L121" s="20">
        <v>4513665.4800000004</v>
      </c>
    </row>
    <row r="122" spans="1:12" ht="71.400000000000006" x14ac:dyDescent="0.3">
      <c r="A122" s="14" t="s">
        <v>25</v>
      </c>
      <c r="B122" s="15" t="s">
        <v>26</v>
      </c>
      <c r="C122" s="15" t="s">
        <v>27</v>
      </c>
      <c r="D122" s="15" t="s">
        <v>130</v>
      </c>
      <c r="E122" s="16" t="s">
        <v>29</v>
      </c>
      <c r="F122" s="23" t="s">
        <v>30</v>
      </c>
      <c r="G122" s="23"/>
      <c r="H122" s="16" t="s">
        <v>13</v>
      </c>
      <c r="I122" s="22">
        <v>9466</v>
      </c>
      <c r="J122" s="22"/>
      <c r="K122" s="19" t="s">
        <v>8</v>
      </c>
      <c r="L122" s="20">
        <v>4504199.4800000004</v>
      </c>
    </row>
    <row r="123" spans="1:12" ht="61.2" x14ac:dyDescent="0.3">
      <c r="A123" s="14" t="s">
        <v>25</v>
      </c>
      <c r="B123" s="15" t="s">
        <v>26</v>
      </c>
      <c r="C123" s="15" t="s">
        <v>27</v>
      </c>
      <c r="D123" s="15" t="s">
        <v>131</v>
      </c>
      <c r="E123" s="16" t="s">
        <v>29</v>
      </c>
      <c r="F123" s="23" t="s">
        <v>30</v>
      </c>
      <c r="G123" s="23"/>
      <c r="H123" s="16" t="s">
        <v>13</v>
      </c>
      <c r="I123" s="22">
        <v>38272.46</v>
      </c>
      <c r="J123" s="22"/>
      <c r="K123" s="19" t="s">
        <v>8</v>
      </c>
      <c r="L123" s="20">
        <v>4465927.0199999996</v>
      </c>
    </row>
    <row r="124" spans="1:12" ht="71.400000000000006" x14ac:dyDescent="0.3">
      <c r="A124" s="14" t="s">
        <v>25</v>
      </c>
      <c r="B124" s="15" t="s">
        <v>26</v>
      </c>
      <c r="C124" s="15" t="s">
        <v>27</v>
      </c>
      <c r="D124" s="15" t="s">
        <v>132</v>
      </c>
      <c r="E124" s="16" t="s">
        <v>29</v>
      </c>
      <c r="F124" s="23" t="s">
        <v>30</v>
      </c>
      <c r="G124" s="23"/>
      <c r="H124" s="16" t="s">
        <v>13</v>
      </c>
      <c r="I124" s="22">
        <v>47795.96</v>
      </c>
      <c r="J124" s="22"/>
      <c r="K124" s="19" t="s">
        <v>8</v>
      </c>
      <c r="L124" s="20">
        <v>4418131.0599999996</v>
      </c>
    </row>
    <row r="125" spans="1:12" ht="61.2" x14ac:dyDescent="0.3">
      <c r="A125" s="14" t="s">
        <v>25</v>
      </c>
      <c r="B125" s="15" t="s">
        <v>26</v>
      </c>
      <c r="C125" s="15" t="s">
        <v>27</v>
      </c>
      <c r="D125" s="15" t="s">
        <v>133</v>
      </c>
      <c r="E125" s="16" t="s">
        <v>29</v>
      </c>
      <c r="F125" s="23" t="s">
        <v>30</v>
      </c>
      <c r="G125" s="23"/>
      <c r="H125" s="16" t="s">
        <v>13</v>
      </c>
      <c r="I125" s="22">
        <v>32173.78</v>
      </c>
      <c r="J125" s="22"/>
      <c r="K125" s="19" t="s">
        <v>8</v>
      </c>
      <c r="L125" s="20">
        <v>4385957.28</v>
      </c>
    </row>
    <row r="126" spans="1:12" ht="71.400000000000006" x14ac:dyDescent="0.3">
      <c r="A126" s="14" t="s">
        <v>25</v>
      </c>
      <c r="B126" s="15" t="s">
        <v>26</v>
      </c>
      <c r="C126" s="15" t="s">
        <v>27</v>
      </c>
      <c r="D126" s="15" t="s">
        <v>134</v>
      </c>
      <c r="E126" s="16" t="s">
        <v>29</v>
      </c>
      <c r="F126" s="23" t="s">
        <v>30</v>
      </c>
      <c r="G126" s="23"/>
      <c r="H126" s="16" t="s">
        <v>13</v>
      </c>
      <c r="I126" s="22">
        <v>55005.1</v>
      </c>
      <c r="J126" s="22"/>
      <c r="K126" s="19" t="s">
        <v>8</v>
      </c>
      <c r="L126" s="20">
        <v>4330952.18</v>
      </c>
    </row>
    <row r="127" spans="1:12" ht="71.400000000000006" x14ac:dyDescent="0.3">
      <c r="A127" s="14" t="s">
        <v>25</v>
      </c>
      <c r="B127" s="15" t="s">
        <v>26</v>
      </c>
      <c r="C127" s="15" t="s">
        <v>27</v>
      </c>
      <c r="D127" s="15" t="s">
        <v>135</v>
      </c>
      <c r="E127" s="16" t="s">
        <v>29</v>
      </c>
      <c r="F127" s="23" t="s">
        <v>30</v>
      </c>
      <c r="G127" s="23"/>
      <c r="H127" s="16" t="s">
        <v>13</v>
      </c>
      <c r="I127" s="22">
        <v>6329.4</v>
      </c>
      <c r="J127" s="22"/>
      <c r="K127" s="19" t="s">
        <v>8</v>
      </c>
      <c r="L127" s="20">
        <v>4324622.78</v>
      </c>
    </row>
    <row r="128" spans="1:12" ht="71.400000000000006" x14ac:dyDescent="0.3">
      <c r="A128" s="14" t="s">
        <v>25</v>
      </c>
      <c r="B128" s="15" t="s">
        <v>26</v>
      </c>
      <c r="C128" s="15" t="s">
        <v>27</v>
      </c>
      <c r="D128" s="15" t="s">
        <v>136</v>
      </c>
      <c r="E128" s="16" t="s">
        <v>29</v>
      </c>
      <c r="F128" s="23" t="s">
        <v>30</v>
      </c>
      <c r="G128" s="23"/>
      <c r="H128" s="16" t="s">
        <v>13</v>
      </c>
      <c r="I128" s="22">
        <v>16204.8</v>
      </c>
      <c r="J128" s="22"/>
      <c r="K128" s="19" t="s">
        <v>8</v>
      </c>
      <c r="L128" s="20">
        <v>4308417.9800000004</v>
      </c>
    </row>
    <row r="129" spans="1:12" ht="71.400000000000006" x14ac:dyDescent="0.3">
      <c r="A129" s="14" t="s">
        <v>25</v>
      </c>
      <c r="B129" s="15" t="s">
        <v>26</v>
      </c>
      <c r="C129" s="15" t="s">
        <v>27</v>
      </c>
      <c r="D129" s="15" t="s">
        <v>137</v>
      </c>
      <c r="E129" s="16" t="s">
        <v>29</v>
      </c>
      <c r="F129" s="23" t="s">
        <v>30</v>
      </c>
      <c r="G129" s="23"/>
      <c r="H129" s="16" t="s">
        <v>13</v>
      </c>
      <c r="I129" s="22">
        <v>5731.2</v>
      </c>
      <c r="J129" s="22"/>
      <c r="K129" s="19" t="s">
        <v>8</v>
      </c>
      <c r="L129" s="20">
        <v>4302686.78</v>
      </c>
    </row>
    <row r="130" spans="1:12" ht="81.599999999999994" x14ac:dyDescent="0.3">
      <c r="A130" s="14" t="s">
        <v>25</v>
      </c>
      <c r="B130" s="15" t="s">
        <v>26</v>
      </c>
      <c r="C130" s="15" t="s">
        <v>27</v>
      </c>
      <c r="D130" s="15" t="s">
        <v>138</v>
      </c>
      <c r="E130" s="16" t="s">
        <v>29</v>
      </c>
      <c r="F130" s="23" t="s">
        <v>30</v>
      </c>
      <c r="G130" s="23"/>
      <c r="H130" s="16" t="s">
        <v>13</v>
      </c>
      <c r="I130" s="22">
        <v>1158.5</v>
      </c>
      <c r="J130" s="22"/>
      <c r="K130" s="19" t="s">
        <v>8</v>
      </c>
      <c r="L130" s="20">
        <v>4301528.28</v>
      </c>
    </row>
    <row r="131" spans="1:12" ht="81.599999999999994" x14ac:dyDescent="0.3">
      <c r="A131" s="14" t="s">
        <v>25</v>
      </c>
      <c r="B131" s="15" t="s">
        <v>26</v>
      </c>
      <c r="C131" s="15" t="s">
        <v>27</v>
      </c>
      <c r="D131" s="15" t="s">
        <v>139</v>
      </c>
      <c r="E131" s="16" t="s">
        <v>29</v>
      </c>
      <c r="F131" s="23" t="s">
        <v>30</v>
      </c>
      <c r="G131" s="23"/>
      <c r="H131" s="16" t="s">
        <v>13</v>
      </c>
      <c r="I131" s="22">
        <v>2071.8000000000002</v>
      </c>
      <c r="J131" s="22"/>
      <c r="K131" s="19" t="s">
        <v>8</v>
      </c>
      <c r="L131" s="20">
        <v>4299456.4800000004</v>
      </c>
    </row>
    <row r="132" spans="1:12" ht="81.599999999999994" x14ac:dyDescent="0.3">
      <c r="A132" s="14" t="s">
        <v>25</v>
      </c>
      <c r="B132" s="15" t="s">
        <v>26</v>
      </c>
      <c r="C132" s="15" t="s">
        <v>27</v>
      </c>
      <c r="D132" s="15" t="s">
        <v>140</v>
      </c>
      <c r="E132" s="16" t="s">
        <v>29</v>
      </c>
      <c r="F132" s="23" t="s">
        <v>30</v>
      </c>
      <c r="G132" s="23"/>
      <c r="H132" s="16" t="s">
        <v>13</v>
      </c>
      <c r="I132" s="22">
        <v>1452.3</v>
      </c>
      <c r="J132" s="22"/>
      <c r="K132" s="19" t="s">
        <v>8</v>
      </c>
      <c r="L132" s="20">
        <v>4298004.18</v>
      </c>
    </row>
    <row r="133" spans="1:12" ht="81.599999999999994" x14ac:dyDescent="0.3">
      <c r="A133" s="14" t="s">
        <v>25</v>
      </c>
      <c r="B133" s="15" t="s">
        <v>26</v>
      </c>
      <c r="C133" s="15" t="s">
        <v>27</v>
      </c>
      <c r="D133" s="15" t="s">
        <v>141</v>
      </c>
      <c r="E133" s="16" t="s">
        <v>29</v>
      </c>
      <c r="F133" s="23" t="s">
        <v>30</v>
      </c>
      <c r="G133" s="23"/>
      <c r="H133" s="16" t="s">
        <v>13</v>
      </c>
      <c r="I133" s="18">
        <v>126.6</v>
      </c>
      <c r="J133" s="18"/>
      <c r="K133" s="19" t="s">
        <v>8</v>
      </c>
      <c r="L133" s="20">
        <v>4297877.58</v>
      </c>
    </row>
    <row r="134" spans="1:12" ht="81.599999999999994" x14ac:dyDescent="0.3">
      <c r="A134" s="14" t="s">
        <v>25</v>
      </c>
      <c r="B134" s="15" t="s">
        <v>26</v>
      </c>
      <c r="C134" s="15" t="s">
        <v>27</v>
      </c>
      <c r="D134" s="15" t="s">
        <v>142</v>
      </c>
      <c r="E134" s="16" t="s">
        <v>29</v>
      </c>
      <c r="F134" s="23" t="s">
        <v>30</v>
      </c>
      <c r="G134" s="23"/>
      <c r="H134" s="16" t="s">
        <v>13</v>
      </c>
      <c r="I134" s="18">
        <v>85</v>
      </c>
      <c r="J134" s="18"/>
      <c r="K134" s="19" t="s">
        <v>8</v>
      </c>
      <c r="L134" s="20">
        <v>4297792.58</v>
      </c>
    </row>
    <row r="135" spans="1:12" ht="71.400000000000006" x14ac:dyDescent="0.3">
      <c r="A135" s="14" t="s">
        <v>25</v>
      </c>
      <c r="B135" s="15" t="s">
        <v>26</v>
      </c>
      <c r="C135" s="15" t="s">
        <v>27</v>
      </c>
      <c r="D135" s="15" t="s">
        <v>143</v>
      </c>
      <c r="E135" s="16" t="s">
        <v>29</v>
      </c>
      <c r="F135" s="23" t="s">
        <v>30</v>
      </c>
      <c r="G135" s="23"/>
      <c r="H135" s="16" t="s">
        <v>13</v>
      </c>
      <c r="I135" s="22">
        <v>16947.32</v>
      </c>
      <c r="J135" s="22"/>
      <c r="K135" s="19" t="s">
        <v>8</v>
      </c>
      <c r="L135" s="20">
        <v>4280845.26</v>
      </c>
    </row>
    <row r="136" spans="1:12" ht="71.400000000000006" x14ac:dyDescent="0.3">
      <c r="A136" s="14" t="s">
        <v>25</v>
      </c>
      <c r="B136" s="15" t="s">
        <v>26</v>
      </c>
      <c r="C136" s="15" t="s">
        <v>27</v>
      </c>
      <c r="D136" s="15" t="s">
        <v>144</v>
      </c>
      <c r="E136" s="16" t="s">
        <v>29</v>
      </c>
      <c r="F136" s="23" t="s">
        <v>30</v>
      </c>
      <c r="G136" s="23"/>
      <c r="H136" s="16" t="s">
        <v>13</v>
      </c>
      <c r="I136" s="22">
        <v>40068.879999999997</v>
      </c>
      <c r="J136" s="22"/>
      <c r="K136" s="19" t="s">
        <v>8</v>
      </c>
      <c r="L136" s="20">
        <v>4240776.38</v>
      </c>
    </row>
    <row r="137" spans="1:12" ht="71.400000000000006" x14ac:dyDescent="0.3">
      <c r="A137" s="14" t="s">
        <v>25</v>
      </c>
      <c r="B137" s="15" t="s">
        <v>26</v>
      </c>
      <c r="C137" s="15" t="s">
        <v>27</v>
      </c>
      <c r="D137" s="15" t="s">
        <v>145</v>
      </c>
      <c r="E137" s="16" t="s">
        <v>29</v>
      </c>
      <c r="F137" s="23" t="s">
        <v>30</v>
      </c>
      <c r="G137" s="23"/>
      <c r="H137" s="16" t="s">
        <v>13</v>
      </c>
      <c r="I137" s="22">
        <v>108284.29</v>
      </c>
      <c r="J137" s="22"/>
      <c r="K137" s="19" t="s">
        <v>8</v>
      </c>
      <c r="L137" s="20">
        <v>4132492.09</v>
      </c>
    </row>
    <row r="138" spans="1:12" ht="71.400000000000006" x14ac:dyDescent="0.3">
      <c r="A138" s="14" t="s">
        <v>25</v>
      </c>
      <c r="B138" s="15" t="s">
        <v>26</v>
      </c>
      <c r="C138" s="15" t="s">
        <v>27</v>
      </c>
      <c r="D138" s="15" t="s">
        <v>24</v>
      </c>
      <c r="E138" s="16" t="s">
        <v>29</v>
      </c>
      <c r="F138" s="23" t="s">
        <v>30</v>
      </c>
      <c r="G138" s="23"/>
      <c r="H138" s="16" t="s">
        <v>13</v>
      </c>
      <c r="I138" s="22">
        <v>12828.3</v>
      </c>
      <c r="J138" s="22"/>
      <c r="K138" s="19" t="s">
        <v>8</v>
      </c>
      <c r="L138" s="20">
        <v>4119663.79</v>
      </c>
    </row>
    <row r="139" spans="1:12" ht="71.400000000000006" x14ac:dyDescent="0.3">
      <c r="A139" s="14" t="s">
        <v>25</v>
      </c>
      <c r="B139" s="15" t="s">
        <v>26</v>
      </c>
      <c r="C139" s="15" t="s">
        <v>27</v>
      </c>
      <c r="D139" s="15" t="s">
        <v>146</v>
      </c>
      <c r="E139" s="16" t="s">
        <v>29</v>
      </c>
      <c r="F139" s="23" t="s">
        <v>30</v>
      </c>
      <c r="G139" s="23"/>
      <c r="H139" s="16" t="s">
        <v>13</v>
      </c>
      <c r="I139" s="22">
        <v>1722.24</v>
      </c>
      <c r="J139" s="22"/>
      <c r="K139" s="19" t="s">
        <v>8</v>
      </c>
      <c r="L139" s="20">
        <v>4117941.55</v>
      </c>
    </row>
    <row r="140" spans="1:12" ht="71.400000000000006" x14ac:dyDescent="0.3">
      <c r="A140" s="14" t="s">
        <v>25</v>
      </c>
      <c r="B140" s="15" t="s">
        <v>26</v>
      </c>
      <c r="C140" s="15" t="s">
        <v>27</v>
      </c>
      <c r="D140" s="15" t="s">
        <v>147</v>
      </c>
      <c r="E140" s="16" t="s">
        <v>29</v>
      </c>
      <c r="F140" s="23" t="s">
        <v>30</v>
      </c>
      <c r="G140" s="23"/>
      <c r="H140" s="16" t="s">
        <v>13</v>
      </c>
      <c r="I140" s="22">
        <v>50396.639999999999</v>
      </c>
      <c r="J140" s="22"/>
      <c r="K140" s="19" t="s">
        <v>8</v>
      </c>
      <c r="L140" s="20">
        <v>4067544.91</v>
      </c>
    </row>
    <row r="141" spans="1:12" ht="71.400000000000006" x14ac:dyDescent="0.3">
      <c r="A141" s="14" t="s">
        <v>25</v>
      </c>
      <c r="B141" s="15" t="s">
        <v>26</v>
      </c>
      <c r="C141" s="15" t="s">
        <v>27</v>
      </c>
      <c r="D141" s="15" t="s">
        <v>148</v>
      </c>
      <c r="E141" s="16" t="s">
        <v>29</v>
      </c>
      <c r="F141" s="23" t="s">
        <v>30</v>
      </c>
      <c r="G141" s="23"/>
      <c r="H141" s="16" t="s">
        <v>13</v>
      </c>
      <c r="I141" s="22">
        <v>289433.56</v>
      </c>
      <c r="J141" s="22"/>
      <c r="K141" s="19" t="s">
        <v>8</v>
      </c>
      <c r="L141" s="20">
        <v>3778111.35</v>
      </c>
    </row>
    <row r="142" spans="1:12" ht="71.400000000000006" x14ac:dyDescent="0.3">
      <c r="A142" s="14" t="s">
        <v>25</v>
      </c>
      <c r="B142" s="15" t="s">
        <v>26</v>
      </c>
      <c r="C142" s="15" t="s">
        <v>27</v>
      </c>
      <c r="D142" s="15" t="s">
        <v>149</v>
      </c>
      <c r="E142" s="16" t="s">
        <v>29</v>
      </c>
      <c r="F142" s="23" t="s">
        <v>30</v>
      </c>
      <c r="G142" s="23"/>
      <c r="H142" s="16" t="s">
        <v>13</v>
      </c>
      <c r="I142" s="22">
        <v>13884</v>
      </c>
      <c r="J142" s="22"/>
      <c r="K142" s="19" t="s">
        <v>8</v>
      </c>
      <c r="L142" s="20">
        <v>3764227.35</v>
      </c>
    </row>
    <row r="143" spans="1:12" ht="71.400000000000006" x14ac:dyDescent="0.3">
      <c r="A143" s="14" t="s">
        <v>25</v>
      </c>
      <c r="B143" s="15" t="s">
        <v>26</v>
      </c>
      <c r="C143" s="15" t="s">
        <v>27</v>
      </c>
      <c r="D143" s="15" t="s">
        <v>150</v>
      </c>
      <c r="E143" s="16" t="s">
        <v>29</v>
      </c>
      <c r="F143" s="23" t="s">
        <v>30</v>
      </c>
      <c r="G143" s="23"/>
      <c r="H143" s="16" t="s">
        <v>13</v>
      </c>
      <c r="I143" s="22">
        <v>25454</v>
      </c>
      <c r="J143" s="22"/>
      <c r="K143" s="19" t="s">
        <v>8</v>
      </c>
      <c r="L143" s="20">
        <v>3738773.35</v>
      </c>
    </row>
    <row r="144" spans="1:12" ht="71.400000000000006" x14ac:dyDescent="0.3">
      <c r="A144" s="14" t="s">
        <v>25</v>
      </c>
      <c r="B144" s="15" t="s">
        <v>26</v>
      </c>
      <c r="C144" s="15" t="s">
        <v>27</v>
      </c>
      <c r="D144" s="15" t="s">
        <v>151</v>
      </c>
      <c r="E144" s="16" t="s">
        <v>29</v>
      </c>
      <c r="F144" s="23" t="s">
        <v>30</v>
      </c>
      <c r="G144" s="23"/>
      <c r="H144" s="16" t="s">
        <v>13</v>
      </c>
      <c r="I144" s="18">
        <v>570.57000000000005</v>
      </c>
      <c r="J144" s="18"/>
      <c r="K144" s="19" t="s">
        <v>8</v>
      </c>
      <c r="L144" s="20">
        <v>3738202.78</v>
      </c>
    </row>
    <row r="145" spans="1:12" ht="71.400000000000006" x14ac:dyDescent="0.3">
      <c r="A145" s="14" t="s">
        <v>25</v>
      </c>
      <c r="B145" s="15" t="s">
        <v>26</v>
      </c>
      <c r="C145" s="15" t="s">
        <v>27</v>
      </c>
      <c r="D145" s="15" t="s">
        <v>152</v>
      </c>
      <c r="E145" s="16" t="s">
        <v>29</v>
      </c>
      <c r="F145" s="23" t="s">
        <v>30</v>
      </c>
      <c r="G145" s="23"/>
      <c r="H145" s="16" t="s">
        <v>13</v>
      </c>
      <c r="I145" s="22">
        <v>87832.06</v>
      </c>
      <c r="J145" s="22"/>
      <c r="K145" s="19" t="s">
        <v>8</v>
      </c>
      <c r="L145" s="20">
        <v>3650370.72</v>
      </c>
    </row>
    <row r="146" spans="1:12" ht="71.400000000000006" x14ac:dyDescent="0.3">
      <c r="A146" s="14" t="s">
        <v>25</v>
      </c>
      <c r="B146" s="15" t="s">
        <v>26</v>
      </c>
      <c r="C146" s="15" t="s">
        <v>27</v>
      </c>
      <c r="D146" s="15" t="s">
        <v>153</v>
      </c>
      <c r="E146" s="16" t="s">
        <v>29</v>
      </c>
      <c r="F146" s="23" t="s">
        <v>30</v>
      </c>
      <c r="G146" s="23"/>
      <c r="H146" s="16" t="s">
        <v>13</v>
      </c>
      <c r="I146" s="22">
        <v>2827.11</v>
      </c>
      <c r="J146" s="22"/>
      <c r="K146" s="19" t="s">
        <v>8</v>
      </c>
      <c r="L146" s="20">
        <v>3647543.61</v>
      </c>
    </row>
    <row r="147" spans="1:12" ht="81.599999999999994" x14ac:dyDescent="0.3">
      <c r="A147" s="14" t="s">
        <v>25</v>
      </c>
      <c r="B147" s="15" t="s">
        <v>26</v>
      </c>
      <c r="C147" s="15" t="s">
        <v>27</v>
      </c>
      <c r="D147" s="15" t="s">
        <v>154</v>
      </c>
      <c r="E147" s="16" t="s">
        <v>29</v>
      </c>
      <c r="F147" s="23" t="s">
        <v>30</v>
      </c>
      <c r="G147" s="23"/>
      <c r="H147" s="16" t="s">
        <v>13</v>
      </c>
      <c r="I147" s="22">
        <v>72545.58</v>
      </c>
      <c r="J147" s="22"/>
      <c r="K147" s="19" t="s">
        <v>8</v>
      </c>
      <c r="L147" s="20">
        <v>3574998.03</v>
      </c>
    </row>
    <row r="148" spans="1:12" ht="71.400000000000006" x14ac:dyDescent="0.3">
      <c r="A148" s="14" t="s">
        <v>25</v>
      </c>
      <c r="B148" s="15" t="s">
        <v>26</v>
      </c>
      <c r="C148" s="15" t="s">
        <v>27</v>
      </c>
      <c r="D148" s="15" t="s">
        <v>155</v>
      </c>
      <c r="E148" s="16" t="s">
        <v>29</v>
      </c>
      <c r="F148" s="23" t="s">
        <v>30</v>
      </c>
      <c r="G148" s="23"/>
      <c r="H148" s="16" t="s">
        <v>13</v>
      </c>
      <c r="I148" s="22">
        <v>4167.5</v>
      </c>
      <c r="J148" s="22"/>
      <c r="K148" s="19" t="s">
        <v>8</v>
      </c>
      <c r="L148" s="20">
        <v>3570830.53</v>
      </c>
    </row>
    <row r="149" spans="1:12" ht="71.400000000000006" x14ac:dyDescent="0.3">
      <c r="A149" s="14" t="s">
        <v>25</v>
      </c>
      <c r="B149" s="15" t="s">
        <v>26</v>
      </c>
      <c r="C149" s="15" t="s">
        <v>27</v>
      </c>
      <c r="D149" s="15" t="s">
        <v>156</v>
      </c>
      <c r="E149" s="16" t="s">
        <v>29</v>
      </c>
      <c r="F149" s="23" t="s">
        <v>30</v>
      </c>
      <c r="G149" s="23"/>
      <c r="H149" s="16" t="s">
        <v>13</v>
      </c>
      <c r="I149" s="18">
        <v>764.71</v>
      </c>
      <c r="J149" s="18"/>
      <c r="K149" s="19" t="s">
        <v>8</v>
      </c>
      <c r="L149" s="20">
        <v>3570065.82</v>
      </c>
    </row>
    <row r="150" spans="1:12" ht="81.599999999999994" x14ac:dyDescent="0.3">
      <c r="A150" s="14" t="s">
        <v>25</v>
      </c>
      <c r="B150" s="15" t="s">
        <v>26</v>
      </c>
      <c r="C150" s="15" t="s">
        <v>27</v>
      </c>
      <c r="D150" s="15" t="s">
        <v>157</v>
      </c>
      <c r="E150" s="16" t="s">
        <v>29</v>
      </c>
      <c r="F150" s="23" t="s">
        <v>30</v>
      </c>
      <c r="G150" s="23"/>
      <c r="H150" s="16" t="s">
        <v>13</v>
      </c>
      <c r="I150" s="22">
        <v>1628.14</v>
      </c>
      <c r="J150" s="22"/>
      <c r="K150" s="19" t="s">
        <v>8</v>
      </c>
      <c r="L150" s="20">
        <v>3568437.68</v>
      </c>
    </row>
    <row r="151" spans="1:12" ht="71.400000000000006" x14ac:dyDescent="0.3">
      <c r="A151" s="14" t="s">
        <v>25</v>
      </c>
      <c r="B151" s="15" t="s">
        <v>26</v>
      </c>
      <c r="C151" s="15" t="s">
        <v>27</v>
      </c>
      <c r="D151" s="15" t="s">
        <v>158</v>
      </c>
      <c r="E151" s="16" t="s">
        <v>29</v>
      </c>
      <c r="F151" s="23" t="s">
        <v>30</v>
      </c>
      <c r="G151" s="23"/>
      <c r="H151" s="16" t="s">
        <v>13</v>
      </c>
      <c r="I151" s="22">
        <v>1022</v>
      </c>
      <c r="J151" s="22"/>
      <c r="K151" s="19" t="s">
        <v>8</v>
      </c>
      <c r="L151" s="20">
        <v>3567415.68</v>
      </c>
    </row>
    <row r="152" spans="1:12" ht="71.400000000000006" x14ac:dyDescent="0.3">
      <c r="A152" s="14" t="s">
        <v>25</v>
      </c>
      <c r="B152" s="15" t="s">
        <v>26</v>
      </c>
      <c r="C152" s="15" t="s">
        <v>27</v>
      </c>
      <c r="D152" s="15" t="s">
        <v>158</v>
      </c>
      <c r="E152" s="16" t="s">
        <v>29</v>
      </c>
      <c r="F152" s="23" t="s">
        <v>30</v>
      </c>
      <c r="G152" s="23"/>
      <c r="H152" s="16" t="s">
        <v>13</v>
      </c>
      <c r="I152" s="22">
        <v>22792</v>
      </c>
      <c r="J152" s="22"/>
      <c r="K152" s="19" t="s">
        <v>8</v>
      </c>
      <c r="L152" s="20">
        <v>3544623.68</v>
      </c>
    </row>
    <row r="153" spans="1:12" ht="71.400000000000006" x14ac:dyDescent="0.3">
      <c r="A153" s="14" t="s">
        <v>25</v>
      </c>
      <c r="B153" s="15" t="s">
        <v>26</v>
      </c>
      <c r="C153" s="15" t="s">
        <v>27</v>
      </c>
      <c r="D153" s="15" t="s">
        <v>159</v>
      </c>
      <c r="E153" s="16" t="s">
        <v>29</v>
      </c>
      <c r="F153" s="23" t="s">
        <v>30</v>
      </c>
      <c r="G153" s="23"/>
      <c r="H153" s="16" t="s">
        <v>13</v>
      </c>
      <c r="I153" s="22">
        <v>26208</v>
      </c>
      <c r="J153" s="22"/>
      <c r="K153" s="19" t="s">
        <v>8</v>
      </c>
      <c r="L153" s="20">
        <v>3518415.68</v>
      </c>
    </row>
    <row r="154" spans="1:12" ht="61.2" x14ac:dyDescent="0.3">
      <c r="A154" s="14" t="s">
        <v>25</v>
      </c>
      <c r="B154" s="15" t="s">
        <v>26</v>
      </c>
      <c r="C154" s="15" t="s">
        <v>27</v>
      </c>
      <c r="D154" s="15" t="s">
        <v>160</v>
      </c>
      <c r="E154" s="16" t="s">
        <v>29</v>
      </c>
      <c r="F154" s="23" t="s">
        <v>30</v>
      </c>
      <c r="G154" s="23"/>
      <c r="H154" s="16" t="s">
        <v>13</v>
      </c>
      <c r="I154" s="22">
        <v>2002.11</v>
      </c>
      <c r="J154" s="22"/>
      <c r="K154" s="19" t="s">
        <v>8</v>
      </c>
      <c r="L154" s="20">
        <v>3516413.57</v>
      </c>
    </row>
    <row r="155" spans="1:12" ht="61.2" x14ac:dyDescent="0.3">
      <c r="A155" s="14" t="s">
        <v>25</v>
      </c>
      <c r="B155" s="15" t="s">
        <v>26</v>
      </c>
      <c r="C155" s="15" t="s">
        <v>27</v>
      </c>
      <c r="D155" s="15" t="s">
        <v>161</v>
      </c>
      <c r="E155" s="16" t="s">
        <v>29</v>
      </c>
      <c r="F155" s="23" t="s">
        <v>30</v>
      </c>
      <c r="G155" s="23"/>
      <c r="H155" s="16" t="s">
        <v>13</v>
      </c>
      <c r="I155" s="22">
        <v>6837.93</v>
      </c>
      <c r="J155" s="22"/>
      <c r="K155" s="19" t="s">
        <v>8</v>
      </c>
      <c r="L155" s="20">
        <v>3509575.64</v>
      </c>
    </row>
    <row r="156" spans="1:12" ht="71.400000000000006" x14ac:dyDescent="0.3">
      <c r="A156" s="14" t="s">
        <v>162</v>
      </c>
      <c r="B156" s="15" t="s">
        <v>163</v>
      </c>
      <c r="C156" s="15" t="s">
        <v>164</v>
      </c>
      <c r="D156" s="15" t="s">
        <v>44</v>
      </c>
      <c r="E156" s="16" t="s">
        <v>165</v>
      </c>
      <c r="F156" s="23" t="s">
        <v>30</v>
      </c>
      <c r="G156" s="23"/>
      <c r="H156" s="16" t="s">
        <v>13</v>
      </c>
      <c r="I156" s="22">
        <v>67216.67</v>
      </c>
      <c r="J156" s="22"/>
      <c r="K156" s="19" t="s">
        <v>8</v>
      </c>
      <c r="L156" s="20">
        <v>3442358.97</v>
      </c>
    </row>
    <row r="157" spans="1:12" ht="71.400000000000006" x14ac:dyDescent="0.3">
      <c r="A157" s="14" t="s">
        <v>162</v>
      </c>
      <c r="B157" s="15" t="s">
        <v>163</v>
      </c>
      <c r="C157" s="15" t="s">
        <v>164</v>
      </c>
      <c r="D157" s="15" t="s">
        <v>166</v>
      </c>
      <c r="E157" s="16" t="s">
        <v>165</v>
      </c>
      <c r="F157" s="23" t="s">
        <v>30</v>
      </c>
      <c r="G157" s="23"/>
      <c r="H157" s="16" t="s">
        <v>13</v>
      </c>
      <c r="I157" s="22">
        <v>3218.67</v>
      </c>
      <c r="J157" s="22"/>
      <c r="K157" s="19" t="s">
        <v>8</v>
      </c>
      <c r="L157" s="20">
        <v>3439140.3</v>
      </c>
    </row>
    <row r="158" spans="1:12" ht="71.400000000000006" x14ac:dyDescent="0.3">
      <c r="A158" s="14" t="s">
        <v>162</v>
      </c>
      <c r="B158" s="15" t="s">
        <v>163</v>
      </c>
      <c r="C158" s="15" t="s">
        <v>164</v>
      </c>
      <c r="D158" s="15" t="s">
        <v>41</v>
      </c>
      <c r="E158" s="16" t="s">
        <v>165</v>
      </c>
      <c r="F158" s="23" t="s">
        <v>30</v>
      </c>
      <c r="G158" s="23"/>
      <c r="H158" s="16" t="s">
        <v>13</v>
      </c>
      <c r="I158" s="22">
        <v>4760.67</v>
      </c>
      <c r="J158" s="22"/>
      <c r="K158" s="19" t="s">
        <v>8</v>
      </c>
      <c r="L158" s="20">
        <v>3434379.63</v>
      </c>
    </row>
    <row r="159" spans="1:12" ht="71.400000000000006" x14ac:dyDescent="0.3">
      <c r="A159" s="14" t="s">
        <v>162</v>
      </c>
      <c r="B159" s="15" t="s">
        <v>163</v>
      </c>
      <c r="C159" s="15" t="s">
        <v>164</v>
      </c>
      <c r="D159" s="15" t="s">
        <v>166</v>
      </c>
      <c r="E159" s="16" t="s">
        <v>165</v>
      </c>
      <c r="F159" s="23" t="s">
        <v>30</v>
      </c>
      <c r="G159" s="23"/>
      <c r="H159" s="16" t="s">
        <v>13</v>
      </c>
      <c r="I159" s="18">
        <v>208</v>
      </c>
      <c r="J159" s="18"/>
      <c r="K159" s="19" t="s">
        <v>8</v>
      </c>
      <c r="L159" s="20">
        <v>3434171.63</v>
      </c>
    </row>
    <row r="160" spans="1:12" ht="71.400000000000006" x14ac:dyDescent="0.3">
      <c r="A160" s="14" t="s">
        <v>162</v>
      </c>
      <c r="B160" s="15" t="s">
        <v>167</v>
      </c>
      <c r="C160" s="15" t="s">
        <v>164</v>
      </c>
      <c r="D160" s="15" t="s">
        <v>168</v>
      </c>
      <c r="E160" s="16" t="s">
        <v>165</v>
      </c>
      <c r="F160" s="23" t="s">
        <v>30</v>
      </c>
      <c r="G160" s="23"/>
      <c r="H160" s="16" t="s">
        <v>13</v>
      </c>
      <c r="I160" s="22">
        <v>5695.42</v>
      </c>
      <c r="J160" s="22"/>
      <c r="K160" s="19" t="s">
        <v>8</v>
      </c>
      <c r="L160" s="20">
        <v>3428476.21</v>
      </c>
    </row>
    <row r="161" spans="1:12" ht="71.400000000000006" x14ac:dyDescent="0.3">
      <c r="A161" s="14" t="s">
        <v>162</v>
      </c>
      <c r="B161" s="15" t="s">
        <v>169</v>
      </c>
      <c r="C161" s="15" t="s">
        <v>164</v>
      </c>
      <c r="D161" s="15" t="s">
        <v>170</v>
      </c>
      <c r="E161" s="16" t="s">
        <v>165</v>
      </c>
      <c r="F161" s="23" t="s">
        <v>30</v>
      </c>
      <c r="G161" s="23"/>
      <c r="H161" s="16" t="s">
        <v>13</v>
      </c>
      <c r="I161" s="22">
        <v>6069.83</v>
      </c>
      <c r="J161" s="22"/>
      <c r="K161" s="19" t="s">
        <v>8</v>
      </c>
      <c r="L161" s="20">
        <v>3422406.38</v>
      </c>
    </row>
    <row r="162" spans="1:12" ht="71.400000000000006" x14ac:dyDescent="0.3">
      <c r="A162" s="14" t="s">
        <v>162</v>
      </c>
      <c r="B162" s="15" t="s">
        <v>169</v>
      </c>
      <c r="C162" s="15" t="s">
        <v>164</v>
      </c>
      <c r="D162" s="15" t="s">
        <v>171</v>
      </c>
      <c r="E162" s="16" t="s">
        <v>165</v>
      </c>
      <c r="F162" s="23" t="s">
        <v>30</v>
      </c>
      <c r="G162" s="23"/>
      <c r="H162" s="16" t="s">
        <v>13</v>
      </c>
      <c r="I162" s="22">
        <v>9920.11</v>
      </c>
      <c r="J162" s="22"/>
      <c r="K162" s="19" t="s">
        <v>8</v>
      </c>
      <c r="L162" s="20">
        <v>3412486.27</v>
      </c>
    </row>
    <row r="163" spans="1:12" ht="71.400000000000006" x14ac:dyDescent="0.3">
      <c r="A163" s="14" t="s">
        <v>162</v>
      </c>
      <c r="B163" s="15" t="s">
        <v>169</v>
      </c>
      <c r="C163" s="15" t="s">
        <v>164</v>
      </c>
      <c r="D163" s="15" t="s">
        <v>172</v>
      </c>
      <c r="E163" s="16" t="s">
        <v>165</v>
      </c>
      <c r="F163" s="23" t="s">
        <v>30</v>
      </c>
      <c r="G163" s="23"/>
      <c r="H163" s="16" t="s">
        <v>13</v>
      </c>
      <c r="I163" s="22">
        <v>6026.64</v>
      </c>
      <c r="J163" s="22"/>
      <c r="K163" s="19" t="s">
        <v>8</v>
      </c>
      <c r="L163" s="20">
        <v>3406459.63</v>
      </c>
    </row>
    <row r="164" spans="1:12" ht="71.400000000000006" x14ac:dyDescent="0.3">
      <c r="A164" s="14" t="s">
        <v>162</v>
      </c>
      <c r="B164" s="15" t="s">
        <v>173</v>
      </c>
      <c r="C164" s="15" t="s">
        <v>164</v>
      </c>
      <c r="D164" s="15" t="s">
        <v>174</v>
      </c>
      <c r="E164" s="16" t="s">
        <v>165</v>
      </c>
      <c r="F164" s="23" t="s">
        <v>30</v>
      </c>
      <c r="G164" s="23"/>
      <c r="H164" s="16" t="s">
        <v>13</v>
      </c>
      <c r="I164" s="22">
        <v>1425</v>
      </c>
      <c r="J164" s="22"/>
      <c r="K164" s="19" t="s">
        <v>8</v>
      </c>
      <c r="L164" s="20">
        <v>3405034.63</v>
      </c>
    </row>
    <row r="165" spans="1:12" ht="71.400000000000006" x14ac:dyDescent="0.3">
      <c r="A165" s="14" t="s">
        <v>162</v>
      </c>
      <c r="B165" s="15" t="s">
        <v>173</v>
      </c>
      <c r="C165" s="15" t="s">
        <v>164</v>
      </c>
      <c r="D165" s="15" t="s">
        <v>175</v>
      </c>
      <c r="E165" s="16" t="s">
        <v>165</v>
      </c>
      <c r="F165" s="23" t="s">
        <v>30</v>
      </c>
      <c r="G165" s="23"/>
      <c r="H165" s="16" t="s">
        <v>13</v>
      </c>
      <c r="I165" s="18">
        <v>20</v>
      </c>
      <c r="J165" s="18"/>
      <c r="K165" s="19" t="s">
        <v>8</v>
      </c>
      <c r="L165" s="20">
        <v>3405014.63</v>
      </c>
    </row>
    <row r="166" spans="1:12" ht="71.400000000000006" x14ac:dyDescent="0.3">
      <c r="A166" s="14" t="s">
        <v>162</v>
      </c>
      <c r="B166" s="15" t="s">
        <v>173</v>
      </c>
      <c r="C166" s="15" t="s">
        <v>164</v>
      </c>
      <c r="D166" s="15" t="s">
        <v>176</v>
      </c>
      <c r="E166" s="16" t="s">
        <v>165</v>
      </c>
      <c r="F166" s="23" t="s">
        <v>30</v>
      </c>
      <c r="G166" s="23"/>
      <c r="H166" s="16" t="s">
        <v>13</v>
      </c>
      <c r="I166" s="18">
        <v>21</v>
      </c>
      <c r="J166" s="18"/>
      <c r="K166" s="19" t="s">
        <v>8</v>
      </c>
      <c r="L166" s="20">
        <v>3404993.63</v>
      </c>
    </row>
    <row r="167" spans="1:12" ht="71.400000000000006" x14ac:dyDescent="0.3">
      <c r="A167" s="14" t="s">
        <v>162</v>
      </c>
      <c r="B167" s="15" t="s">
        <v>173</v>
      </c>
      <c r="C167" s="15" t="s">
        <v>164</v>
      </c>
      <c r="D167" s="15" t="s">
        <v>177</v>
      </c>
      <c r="E167" s="16" t="s">
        <v>165</v>
      </c>
      <c r="F167" s="23" t="s">
        <v>30</v>
      </c>
      <c r="G167" s="23"/>
      <c r="H167" s="16" t="s">
        <v>13</v>
      </c>
      <c r="I167" s="18">
        <v>35</v>
      </c>
      <c r="J167" s="18"/>
      <c r="K167" s="19" t="s">
        <v>8</v>
      </c>
      <c r="L167" s="20">
        <v>3404958.63</v>
      </c>
    </row>
    <row r="168" spans="1:12" ht="71.400000000000006" x14ac:dyDescent="0.3">
      <c r="A168" s="14" t="s">
        <v>162</v>
      </c>
      <c r="B168" s="15" t="s">
        <v>178</v>
      </c>
      <c r="C168" s="15" t="s">
        <v>164</v>
      </c>
      <c r="D168" s="15" t="s">
        <v>171</v>
      </c>
      <c r="E168" s="16" t="s">
        <v>165</v>
      </c>
      <c r="F168" s="23" t="s">
        <v>30</v>
      </c>
      <c r="G168" s="23"/>
      <c r="H168" s="16" t="s">
        <v>13</v>
      </c>
      <c r="I168" s="18">
        <v>825.82</v>
      </c>
      <c r="J168" s="18"/>
      <c r="K168" s="19" t="s">
        <v>8</v>
      </c>
      <c r="L168" s="20">
        <v>3404132.81</v>
      </c>
    </row>
    <row r="169" spans="1:12" ht="71.400000000000006" x14ac:dyDescent="0.3">
      <c r="A169" s="14" t="s">
        <v>162</v>
      </c>
      <c r="B169" s="15" t="s">
        <v>178</v>
      </c>
      <c r="C169" s="15" t="s">
        <v>164</v>
      </c>
      <c r="D169" s="15" t="s">
        <v>172</v>
      </c>
      <c r="E169" s="16" t="s">
        <v>165</v>
      </c>
      <c r="F169" s="23" t="s">
        <v>30</v>
      </c>
      <c r="G169" s="23"/>
      <c r="H169" s="16" t="s">
        <v>13</v>
      </c>
      <c r="I169" s="18">
        <v>292.95999999999998</v>
      </c>
      <c r="J169" s="18"/>
      <c r="K169" s="19" t="s">
        <v>8</v>
      </c>
      <c r="L169" s="20">
        <v>3403839.85</v>
      </c>
    </row>
    <row r="170" spans="1:12" ht="81.599999999999994" x14ac:dyDescent="0.3">
      <c r="A170" s="14" t="s">
        <v>162</v>
      </c>
      <c r="B170" s="15" t="s">
        <v>178</v>
      </c>
      <c r="C170" s="15" t="s">
        <v>164</v>
      </c>
      <c r="D170" s="15" t="s">
        <v>179</v>
      </c>
      <c r="E170" s="16" t="s">
        <v>165</v>
      </c>
      <c r="F170" s="23" t="s">
        <v>30</v>
      </c>
      <c r="G170" s="23"/>
      <c r="H170" s="16" t="s">
        <v>13</v>
      </c>
      <c r="I170" s="22">
        <v>1064.94</v>
      </c>
      <c r="J170" s="22"/>
      <c r="K170" s="19" t="s">
        <v>8</v>
      </c>
      <c r="L170" s="20">
        <v>3402774.91</v>
      </c>
    </row>
    <row r="171" spans="1:12" ht="81.599999999999994" x14ac:dyDescent="0.3">
      <c r="A171" s="14" t="s">
        <v>162</v>
      </c>
      <c r="B171" s="15" t="s">
        <v>178</v>
      </c>
      <c r="C171" s="15" t="s">
        <v>164</v>
      </c>
      <c r="D171" s="15" t="s">
        <v>180</v>
      </c>
      <c r="E171" s="16" t="s">
        <v>165</v>
      </c>
      <c r="F171" s="23" t="s">
        <v>30</v>
      </c>
      <c r="G171" s="23"/>
      <c r="H171" s="16" t="s">
        <v>13</v>
      </c>
      <c r="I171" s="22">
        <v>1401.23</v>
      </c>
      <c r="J171" s="22"/>
      <c r="K171" s="19" t="s">
        <v>8</v>
      </c>
      <c r="L171" s="20">
        <v>3401373.68</v>
      </c>
    </row>
    <row r="172" spans="1:12" ht="81.599999999999994" x14ac:dyDescent="0.3">
      <c r="A172" s="14" t="s">
        <v>162</v>
      </c>
      <c r="B172" s="15" t="s">
        <v>178</v>
      </c>
      <c r="C172" s="15" t="s">
        <v>164</v>
      </c>
      <c r="D172" s="15" t="s">
        <v>181</v>
      </c>
      <c r="E172" s="16" t="s">
        <v>165</v>
      </c>
      <c r="F172" s="23" t="s">
        <v>30</v>
      </c>
      <c r="G172" s="23"/>
      <c r="H172" s="16" t="s">
        <v>13</v>
      </c>
      <c r="I172" s="22">
        <v>3278.88</v>
      </c>
      <c r="J172" s="22"/>
      <c r="K172" s="19" t="s">
        <v>8</v>
      </c>
      <c r="L172" s="20">
        <v>3398094.8</v>
      </c>
    </row>
    <row r="173" spans="1:12" ht="81.599999999999994" x14ac:dyDescent="0.3">
      <c r="A173" s="14" t="s">
        <v>162</v>
      </c>
      <c r="B173" s="15" t="s">
        <v>178</v>
      </c>
      <c r="C173" s="15" t="s">
        <v>164</v>
      </c>
      <c r="D173" s="15" t="s">
        <v>77</v>
      </c>
      <c r="E173" s="16" t="s">
        <v>165</v>
      </c>
      <c r="F173" s="23" t="s">
        <v>30</v>
      </c>
      <c r="G173" s="23"/>
      <c r="H173" s="16" t="s">
        <v>13</v>
      </c>
      <c r="I173" s="22">
        <v>4624.0600000000004</v>
      </c>
      <c r="J173" s="22"/>
      <c r="K173" s="19" t="s">
        <v>8</v>
      </c>
      <c r="L173" s="20">
        <v>3393470.74</v>
      </c>
    </row>
    <row r="174" spans="1:12" ht="81.599999999999994" x14ac:dyDescent="0.3">
      <c r="A174" s="14" t="s">
        <v>162</v>
      </c>
      <c r="B174" s="15" t="s">
        <v>178</v>
      </c>
      <c r="C174" s="15" t="s">
        <v>164</v>
      </c>
      <c r="D174" s="15" t="s">
        <v>182</v>
      </c>
      <c r="E174" s="16" t="s">
        <v>165</v>
      </c>
      <c r="F174" s="23" t="s">
        <v>30</v>
      </c>
      <c r="G174" s="23"/>
      <c r="H174" s="16" t="s">
        <v>13</v>
      </c>
      <c r="I174" s="22">
        <v>1541.35</v>
      </c>
      <c r="J174" s="22"/>
      <c r="K174" s="19" t="s">
        <v>8</v>
      </c>
      <c r="L174" s="20">
        <v>3391929.39</v>
      </c>
    </row>
    <row r="175" spans="1:12" ht="81.599999999999994" x14ac:dyDescent="0.3">
      <c r="A175" s="14" t="s">
        <v>162</v>
      </c>
      <c r="B175" s="15" t="s">
        <v>178</v>
      </c>
      <c r="C175" s="15" t="s">
        <v>164</v>
      </c>
      <c r="D175" s="15" t="s">
        <v>183</v>
      </c>
      <c r="E175" s="16" t="s">
        <v>165</v>
      </c>
      <c r="F175" s="23" t="s">
        <v>30</v>
      </c>
      <c r="G175" s="23"/>
      <c r="H175" s="16" t="s">
        <v>13</v>
      </c>
      <c r="I175" s="22">
        <v>4125.03</v>
      </c>
      <c r="J175" s="22"/>
      <c r="K175" s="19" t="s">
        <v>8</v>
      </c>
      <c r="L175" s="20">
        <v>3387804.36</v>
      </c>
    </row>
    <row r="176" spans="1:12" ht="81.599999999999994" x14ac:dyDescent="0.3">
      <c r="A176" s="14" t="s">
        <v>162</v>
      </c>
      <c r="B176" s="15" t="s">
        <v>178</v>
      </c>
      <c r="C176" s="15" t="s">
        <v>164</v>
      </c>
      <c r="D176" s="15" t="s">
        <v>184</v>
      </c>
      <c r="E176" s="16" t="s">
        <v>165</v>
      </c>
      <c r="F176" s="23" t="s">
        <v>30</v>
      </c>
      <c r="G176" s="23"/>
      <c r="H176" s="16" t="s">
        <v>13</v>
      </c>
      <c r="I176" s="22">
        <v>5021.82</v>
      </c>
      <c r="J176" s="22"/>
      <c r="K176" s="19" t="s">
        <v>8</v>
      </c>
      <c r="L176" s="20">
        <v>3382782.54</v>
      </c>
    </row>
    <row r="177" spans="1:12" ht="81.599999999999994" x14ac:dyDescent="0.3">
      <c r="A177" s="14" t="s">
        <v>162</v>
      </c>
      <c r="B177" s="15" t="s">
        <v>178</v>
      </c>
      <c r="C177" s="15" t="s">
        <v>164</v>
      </c>
      <c r="D177" s="15" t="s">
        <v>185</v>
      </c>
      <c r="E177" s="16" t="s">
        <v>165</v>
      </c>
      <c r="F177" s="23" t="s">
        <v>30</v>
      </c>
      <c r="G177" s="23"/>
      <c r="H177" s="16" t="s">
        <v>13</v>
      </c>
      <c r="I177" s="22">
        <v>5324.68</v>
      </c>
      <c r="J177" s="22"/>
      <c r="K177" s="19" t="s">
        <v>8</v>
      </c>
      <c r="L177" s="20">
        <v>3377457.86</v>
      </c>
    </row>
    <row r="178" spans="1:12" ht="81.599999999999994" x14ac:dyDescent="0.3">
      <c r="A178" s="14" t="s">
        <v>162</v>
      </c>
      <c r="B178" s="15" t="s">
        <v>178</v>
      </c>
      <c r="C178" s="15" t="s">
        <v>164</v>
      </c>
      <c r="D178" s="15" t="s">
        <v>186</v>
      </c>
      <c r="E178" s="16" t="s">
        <v>165</v>
      </c>
      <c r="F178" s="23" t="s">
        <v>30</v>
      </c>
      <c r="G178" s="23"/>
      <c r="H178" s="16" t="s">
        <v>13</v>
      </c>
      <c r="I178" s="22">
        <v>5604.92</v>
      </c>
      <c r="J178" s="22"/>
      <c r="K178" s="19" t="s">
        <v>8</v>
      </c>
      <c r="L178" s="20">
        <v>3371852.94</v>
      </c>
    </row>
    <row r="179" spans="1:12" ht="81.599999999999994" x14ac:dyDescent="0.3">
      <c r="A179" s="14" t="s">
        <v>162</v>
      </c>
      <c r="B179" s="15" t="s">
        <v>178</v>
      </c>
      <c r="C179" s="15" t="s">
        <v>164</v>
      </c>
      <c r="D179" s="15" t="s">
        <v>187</v>
      </c>
      <c r="E179" s="16" t="s">
        <v>165</v>
      </c>
      <c r="F179" s="23" t="s">
        <v>30</v>
      </c>
      <c r="G179" s="23"/>
      <c r="H179" s="16" t="s">
        <v>13</v>
      </c>
      <c r="I179" s="22">
        <v>5885.17</v>
      </c>
      <c r="J179" s="22"/>
      <c r="K179" s="19" t="s">
        <v>8</v>
      </c>
      <c r="L179" s="20">
        <v>3365967.77</v>
      </c>
    </row>
    <row r="180" spans="1:12" ht="81.599999999999994" x14ac:dyDescent="0.3">
      <c r="A180" s="14" t="s">
        <v>162</v>
      </c>
      <c r="B180" s="15" t="s">
        <v>178</v>
      </c>
      <c r="C180" s="15" t="s">
        <v>164</v>
      </c>
      <c r="D180" s="15" t="s">
        <v>188</v>
      </c>
      <c r="E180" s="16" t="s">
        <v>165</v>
      </c>
      <c r="F180" s="23" t="s">
        <v>30</v>
      </c>
      <c r="G180" s="23"/>
      <c r="H180" s="16" t="s">
        <v>13</v>
      </c>
      <c r="I180" s="22">
        <v>12509.8</v>
      </c>
      <c r="J180" s="22"/>
      <c r="K180" s="19" t="s">
        <v>8</v>
      </c>
      <c r="L180" s="20">
        <v>3353457.97</v>
      </c>
    </row>
    <row r="181" spans="1:12" ht="81.599999999999994" x14ac:dyDescent="0.3">
      <c r="A181" s="14" t="s">
        <v>162</v>
      </c>
      <c r="B181" s="15" t="s">
        <v>178</v>
      </c>
      <c r="C181" s="15" t="s">
        <v>164</v>
      </c>
      <c r="D181" s="15" t="s">
        <v>189</v>
      </c>
      <c r="E181" s="16" t="s">
        <v>165</v>
      </c>
      <c r="F181" s="23" t="s">
        <v>30</v>
      </c>
      <c r="G181" s="23"/>
      <c r="H181" s="16" t="s">
        <v>13</v>
      </c>
      <c r="I181" s="22">
        <v>6557.76</v>
      </c>
      <c r="J181" s="22"/>
      <c r="K181" s="19" t="s">
        <v>8</v>
      </c>
      <c r="L181" s="20">
        <v>3346900.21</v>
      </c>
    </row>
    <row r="182" spans="1:12" ht="71.400000000000006" x14ac:dyDescent="0.3">
      <c r="A182" s="14" t="s">
        <v>162</v>
      </c>
      <c r="B182" s="15" t="s">
        <v>178</v>
      </c>
      <c r="C182" s="15" t="s">
        <v>164</v>
      </c>
      <c r="D182" s="15" t="s">
        <v>190</v>
      </c>
      <c r="E182" s="16" t="s">
        <v>165</v>
      </c>
      <c r="F182" s="23" t="s">
        <v>30</v>
      </c>
      <c r="G182" s="23"/>
      <c r="H182" s="16" t="s">
        <v>13</v>
      </c>
      <c r="I182" s="22">
        <v>7776.72</v>
      </c>
      <c r="J182" s="22"/>
      <c r="K182" s="19" t="s">
        <v>8</v>
      </c>
      <c r="L182" s="20">
        <v>3339123.49</v>
      </c>
    </row>
    <row r="183" spans="1:12" ht="71.400000000000006" x14ac:dyDescent="0.3">
      <c r="A183" s="14" t="s">
        <v>191</v>
      </c>
      <c r="B183" s="15" t="s">
        <v>192</v>
      </c>
      <c r="C183" s="15" t="s">
        <v>164</v>
      </c>
      <c r="D183" s="15" t="s">
        <v>170</v>
      </c>
      <c r="E183" s="16" t="s">
        <v>165</v>
      </c>
      <c r="F183" s="23" t="s">
        <v>30</v>
      </c>
      <c r="G183" s="23"/>
      <c r="H183" s="16" t="s">
        <v>13</v>
      </c>
      <c r="I183" s="22">
        <v>3751.8</v>
      </c>
      <c r="J183" s="22"/>
      <c r="K183" s="19" t="s">
        <v>8</v>
      </c>
      <c r="L183" s="20">
        <v>3335371.69</v>
      </c>
    </row>
    <row r="184" spans="1:12" ht="71.400000000000006" x14ac:dyDescent="0.3">
      <c r="A184" s="14" t="s">
        <v>191</v>
      </c>
      <c r="B184" s="15" t="s">
        <v>192</v>
      </c>
      <c r="C184" s="15" t="s">
        <v>164</v>
      </c>
      <c r="D184" s="15" t="s">
        <v>171</v>
      </c>
      <c r="E184" s="16" t="s">
        <v>165</v>
      </c>
      <c r="F184" s="23" t="s">
        <v>30</v>
      </c>
      <c r="G184" s="23"/>
      <c r="H184" s="16" t="s">
        <v>13</v>
      </c>
      <c r="I184" s="22">
        <v>10859.48</v>
      </c>
      <c r="J184" s="22"/>
      <c r="K184" s="19" t="s">
        <v>8</v>
      </c>
      <c r="L184" s="20">
        <v>3324512.21</v>
      </c>
    </row>
    <row r="185" spans="1:12" ht="71.400000000000006" x14ac:dyDescent="0.3">
      <c r="A185" s="14" t="s">
        <v>191</v>
      </c>
      <c r="B185" s="15" t="s">
        <v>192</v>
      </c>
      <c r="C185" s="15" t="s">
        <v>164</v>
      </c>
      <c r="D185" s="15" t="s">
        <v>172</v>
      </c>
      <c r="E185" s="16" t="s">
        <v>165</v>
      </c>
      <c r="F185" s="23" t="s">
        <v>30</v>
      </c>
      <c r="G185" s="23"/>
      <c r="H185" s="16" t="s">
        <v>13</v>
      </c>
      <c r="I185" s="22">
        <v>5402.28</v>
      </c>
      <c r="J185" s="22"/>
      <c r="K185" s="19" t="s">
        <v>8</v>
      </c>
      <c r="L185" s="20">
        <v>3319109.93</v>
      </c>
    </row>
    <row r="186" spans="1:12" ht="71.400000000000006" x14ac:dyDescent="0.3">
      <c r="A186" s="14" t="s">
        <v>191</v>
      </c>
      <c r="B186" s="15" t="s">
        <v>192</v>
      </c>
      <c r="C186" s="15" t="s">
        <v>164</v>
      </c>
      <c r="D186" s="15" t="s">
        <v>190</v>
      </c>
      <c r="E186" s="16" t="s">
        <v>165</v>
      </c>
      <c r="F186" s="23" t="s">
        <v>30</v>
      </c>
      <c r="G186" s="23"/>
      <c r="H186" s="16" t="s">
        <v>13</v>
      </c>
      <c r="I186" s="22">
        <v>14940.98</v>
      </c>
      <c r="J186" s="22"/>
      <c r="K186" s="19" t="s">
        <v>8</v>
      </c>
      <c r="L186" s="20">
        <v>3304168.95</v>
      </c>
    </row>
    <row r="187" spans="1:12" ht="71.400000000000006" x14ac:dyDescent="0.3">
      <c r="A187" s="14" t="s">
        <v>191</v>
      </c>
      <c r="B187" s="15" t="s">
        <v>192</v>
      </c>
      <c r="C187" s="15" t="s">
        <v>164</v>
      </c>
      <c r="D187" s="15" t="s">
        <v>90</v>
      </c>
      <c r="E187" s="16" t="s">
        <v>165</v>
      </c>
      <c r="F187" s="23" t="s">
        <v>30</v>
      </c>
      <c r="G187" s="23"/>
      <c r="H187" s="16" t="s">
        <v>13</v>
      </c>
      <c r="I187" s="22">
        <v>15712.57</v>
      </c>
      <c r="J187" s="22"/>
      <c r="K187" s="19" t="s">
        <v>8</v>
      </c>
      <c r="L187" s="20">
        <v>3288456.38</v>
      </c>
    </row>
    <row r="188" spans="1:12" ht="71.400000000000006" x14ac:dyDescent="0.3">
      <c r="A188" s="14" t="s">
        <v>191</v>
      </c>
      <c r="B188" s="15" t="s">
        <v>192</v>
      </c>
      <c r="C188" s="15" t="s">
        <v>164</v>
      </c>
      <c r="D188" s="15" t="s">
        <v>91</v>
      </c>
      <c r="E188" s="16" t="s">
        <v>165</v>
      </c>
      <c r="F188" s="23" t="s">
        <v>30</v>
      </c>
      <c r="G188" s="23"/>
      <c r="H188" s="16" t="s">
        <v>13</v>
      </c>
      <c r="I188" s="22">
        <v>133236.26</v>
      </c>
      <c r="J188" s="22"/>
      <c r="K188" s="19" t="s">
        <v>8</v>
      </c>
      <c r="L188" s="20">
        <v>3155220.12</v>
      </c>
    </row>
    <row r="189" spans="1:12" ht="71.400000000000006" x14ac:dyDescent="0.3">
      <c r="A189" s="14" t="s">
        <v>191</v>
      </c>
      <c r="B189" s="15" t="s">
        <v>192</v>
      </c>
      <c r="C189" s="15" t="s">
        <v>164</v>
      </c>
      <c r="D189" s="15" t="s">
        <v>93</v>
      </c>
      <c r="E189" s="16" t="s">
        <v>165</v>
      </c>
      <c r="F189" s="23" t="s">
        <v>30</v>
      </c>
      <c r="G189" s="23"/>
      <c r="H189" s="16" t="s">
        <v>13</v>
      </c>
      <c r="I189" s="22">
        <v>39257.11</v>
      </c>
      <c r="J189" s="22"/>
      <c r="K189" s="19" t="s">
        <v>8</v>
      </c>
      <c r="L189" s="20">
        <v>3115963.01</v>
      </c>
    </row>
    <row r="190" spans="1:12" ht="71.400000000000006" x14ac:dyDescent="0.3">
      <c r="A190" s="14" t="s">
        <v>191</v>
      </c>
      <c r="B190" s="15" t="s">
        <v>192</v>
      </c>
      <c r="C190" s="15" t="s">
        <v>164</v>
      </c>
      <c r="D190" s="15" t="s">
        <v>193</v>
      </c>
      <c r="E190" s="16" t="s">
        <v>165</v>
      </c>
      <c r="F190" s="23" t="s">
        <v>30</v>
      </c>
      <c r="G190" s="23"/>
      <c r="H190" s="16" t="s">
        <v>13</v>
      </c>
      <c r="I190" s="22">
        <v>5321.26</v>
      </c>
      <c r="J190" s="22"/>
      <c r="K190" s="19" t="s">
        <v>8</v>
      </c>
      <c r="L190" s="20">
        <v>3110641.75</v>
      </c>
    </row>
    <row r="191" spans="1:12" ht="71.400000000000006" x14ac:dyDescent="0.3">
      <c r="A191" s="14" t="s">
        <v>191</v>
      </c>
      <c r="B191" s="15" t="s">
        <v>192</v>
      </c>
      <c r="C191" s="15" t="s">
        <v>164</v>
      </c>
      <c r="D191" s="15" t="s">
        <v>94</v>
      </c>
      <c r="E191" s="16" t="s">
        <v>165</v>
      </c>
      <c r="F191" s="23" t="s">
        <v>30</v>
      </c>
      <c r="G191" s="23"/>
      <c r="H191" s="16" t="s">
        <v>13</v>
      </c>
      <c r="I191" s="22">
        <v>5577.09</v>
      </c>
      <c r="J191" s="22"/>
      <c r="K191" s="19" t="s">
        <v>8</v>
      </c>
      <c r="L191" s="20">
        <v>3105064.66</v>
      </c>
    </row>
    <row r="192" spans="1:12" ht="71.400000000000006" x14ac:dyDescent="0.3">
      <c r="A192" s="14" t="s">
        <v>191</v>
      </c>
      <c r="B192" s="15" t="s">
        <v>192</v>
      </c>
      <c r="C192" s="15" t="s">
        <v>164</v>
      </c>
      <c r="D192" s="15" t="s">
        <v>194</v>
      </c>
      <c r="E192" s="16" t="s">
        <v>165</v>
      </c>
      <c r="F192" s="23" t="s">
        <v>30</v>
      </c>
      <c r="G192" s="23"/>
      <c r="H192" s="16" t="s">
        <v>13</v>
      </c>
      <c r="I192" s="22">
        <v>14454.4</v>
      </c>
      <c r="J192" s="22"/>
      <c r="K192" s="19" t="s">
        <v>8</v>
      </c>
      <c r="L192" s="20">
        <v>3090610.26</v>
      </c>
    </row>
    <row r="193" spans="1:12" ht="71.400000000000006" x14ac:dyDescent="0.3">
      <c r="A193" s="14" t="s">
        <v>191</v>
      </c>
      <c r="B193" s="15" t="s">
        <v>192</v>
      </c>
      <c r="C193" s="15" t="s">
        <v>164</v>
      </c>
      <c r="D193" s="15" t="s">
        <v>195</v>
      </c>
      <c r="E193" s="16" t="s">
        <v>165</v>
      </c>
      <c r="F193" s="23" t="s">
        <v>30</v>
      </c>
      <c r="G193" s="23"/>
      <c r="H193" s="16" t="s">
        <v>13</v>
      </c>
      <c r="I193" s="22">
        <v>6139.92</v>
      </c>
      <c r="J193" s="22"/>
      <c r="K193" s="19" t="s">
        <v>8</v>
      </c>
      <c r="L193" s="20">
        <v>3084470.34</v>
      </c>
    </row>
    <row r="194" spans="1:12" ht="71.400000000000006" x14ac:dyDescent="0.3">
      <c r="A194" s="14" t="s">
        <v>191</v>
      </c>
      <c r="B194" s="15" t="s">
        <v>192</v>
      </c>
      <c r="C194" s="15" t="s">
        <v>164</v>
      </c>
      <c r="D194" s="15" t="s">
        <v>95</v>
      </c>
      <c r="E194" s="16" t="s">
        <v>165</v>
      </c>
      <c r="F194" s="23" t="s">
        <v>30</v>
      </c>
      <c r="G194" s="23"/>
      <c r="H194" s="16" t="s">
        <v>13</v>
      </c>
      <c r="I194" s="22">
        <v>3310.44</v>
      </c>
      <c r="J194" s="22"/>
      <c r="K194" s="19" t="s">
        <v>8</v>
      </c>
      <c r="L194" s="20">
        <v>3081159.9</v>
      </c>
    </row>
    <row r="195" spans="1:12" ht="71.400000000000006" x14ac:dyDescent="0.3">
      <c r="A195" s="14" t="s">
        <v>191</v>
      </c>
      <c r="B195" s="15" t="s">
        <v>192</v>
      </c>
      <c r="C195" s="15" t="s">
        <v>164</v>
      </c>
      <c r="D195" s="15" t="s">
        <v>196</v>
      </c>
      <c r="E195" s="16" t="s">
        <v>165</v>
      </c>
      <c r="F195" s="23" t="s">
        <v>30</v>
      </c>
      <c r="G195" s="23"/>
      <c r="H195" s="16" t="s">
        <v>13</v>
      </c>
      <c r="I195" s="22">
        <v>6958.58</v>
      </c>
      <c r="J195" s="22"/>
      <c r="K195" s="19" t="s">
        <v>8</v>
      </c>
      <c r="L195" s="20">
        <v>3074201.32</v>
      </c>
    </row>
    <row r="196" spans="1:12" ht="71.400000000000006" x14ac:dyDescent="0.3">
      <c r="A196" s="14" t="s">
        <v>191</v>
      </c>
      <c r="B196" s="15" t="s">
        <v>192</v>
      </c>
      <c r="C196" s="15" t="s">
        <v>164</v>
      </c>
      <c r="D196" s="15" t="s">
        <v>197</v>
      </c>
      <c r="E196" s="16" t="s">
        <v>165</v>
      </c>
      <c r="F196" s="23" t="s">
        <v>30</v>
      </c>
      <c r="G196" s="23"/>
      <c r="H196" s="16" t="s">
        <v>13</v>
      </c>
      <c r="I196" s="22">
        <v>3504.87</v>
      </c>
      <c r="J196" s="22"/>
      <c r="K196" s="19" t="s">
        <v>8</v>
      </c>
      <c r="L196" s="20">
        <v>3070696.45</v>
      </c>
    </row>
    <row r="197" spans="1:12" ht="71.400000000000006" x14ac:dyDescent="0.3">
      <c r="A197" s="14" t="s">
        <v>191</v>
      </c>
      <c r="B197" s="15" t="s">
        <v>198</v>
      </c>
      <c r="C197" s="15" t="s">
        <v>164</v>
      </c>
      <c r="D197" s="15" t="s">
        <v>199</v>
      </c>
      <c r="E197" s="16" t="s">
        <v>165</v>
      </c>
      <c r="F197" s="23" t="s">
        <v>30</v>
      </c>
      <c r="G197" s="23"/>
      <c r="H197" s="16" t="s">
        <v>13</v>
      </c>
      <c r="I197" s="18">
        <v>6</v>
      </c>
      <c r="J197" s="18"/>
      <c r="K197" s="19" t="s">
        <v>8</v>
      </c>
      <c r="L197" s="20">
        <v>3070690.45</v>
      </c>
    </row>
    <row r="198" spans="1:12" ht="71.400000000000006" x14ac:dyDescent="0.3">
      <c r="A198" s="14" t="s">
        <v>191</v>
      </c>
      <c r="B198" s="15" t="s">
        <v>198</v>
      </c>
      <c r="C198" s="15" t="s">
        <v>164</v>
      </c>
      <c r="D198" s="15" t="s">
        <v>200</v>
      </c>
      <c r="E198" s="16" t="s">
        <v>165</v>
      </c>
      <c r="F198" s="23" t="s">
        <v>30</v>
      </c>
      <c r="G198" s="23"/>
      <c r="H198" s="16" t="s">
        <v>13</v>
      </c>
      <c r="I198" s="18">
        <v>554.79999999999995</v>
      </c>
      <c r="J198" s="18"/>
      <c r="K198" s="19" t="s">
        <v>8</v>
      </c>
      <c r="L198" s="20">
        <v>3070135.65</v>
      </c>
    </row>
    <row r="199" spans="1:12" ht="71.400000000000006" x14ac:dyDescent="0.3">
      <c r="A199" s="14" t="s">
        <v>191</v>
      </c>
      <c r="B199" s="15" t="s">
        <v>198</v>
      </c>
      <c r="C199" s="15" t="s">
        <v>164</v>
      </c>
      <c r="D199" s="15" t="s">
        <v>201</v>
      </c>
      <c r="E199" s="16" t="s">
        <v>165</v>
      </c>
      <c r="F199" s="23" t="s">
        <v>30</v>
      </c>
      <c r="G199" s="23"/>
      <c r="H199" s="16" t="s">
        <v>13</v>
      </c>
      <c r="I199" s="18">
        <v>40.28</v>
      </c>
      <c r="J199" s="18"/>
      <c r="K199" s="19" t="s">
        <v>8</v>
      </c>
      <c r="L199" s="20">
        <v>3070095.37</v>
      </c>
    </row>
    <row r="200" spans="1:12" ht="71.400000000000006" x14ac:dyDescent="0.3">
      <c r="A200" s="14" t="s">
        <v>191</v>
      </c>
      <c r="B200" s="15" t="s">
        <v>198</v>
      </c>
      <c r="C200" s="15" t="s">
        <v>164</v>
      </c>
      <c r="D200" s="15" t="s">
        <v>201</v>
      </c>
      <c r="E200" s="16" t="s">
        <v>165</v>
      </c>
      <c r="F200" s="23" t="s">
        <v>30</v>
      </c>
      <c r="G200" s="23"/>
      <c r="H200" s="16" t="s">
        <v>13</v>
      </c>
      <c r="I200" s="18">
        <v>133.56</v>
      </c>
      <c r="J200" s="18"/>
      <c r="K200" s="19" t="s">
        <v>8</v>
      </c>
      <c r="L200" s="20">
        <v>3069961.81</v>
      </c>
    </row>
    <row r="201" spans="1:12" ht="71.400000000000006" x14ac:dyDescent="0.3">
      <c r="A201" s="14" t="s">
        <v>191</v>
      </c>
      <c r="B201" s="15" t="s">
        <v>198</v>
      </c>
      <c r="C201" s="15" t="s">
        <v>164</v>
      </c>
      <c r="D201" s="15" t="s">
        <v>202</v>
      </c>
      <c r="E201" s="16" t="s">
        <v>165</v>
      </c>
      <c r="F201" s="23" t="s">
        <v>30</v>
      </c>
      <c r="G201" s="23"/>
      <c r="H201" s="16" t="s">
        <v>13</v>
      </c>
      <c r="I201" s="18">
        <v>69.959999999999994</v>
      </c>
      <c r="J201" s="18"/>
      <c r="K201" s="19" t="s">
        <v>8</v>
      </c>
      <c r="L201" s="20">
        <v>3069891.85</v>
      </c>
    </row>
    <row r="202" spans="1:12" ht="71.400000000000006" x14ac:dyDescent="0.3">
      <c r="A202" s="14" t="s">
        <v>191</v>
      </c>
      <c r="B202" s="15" t="s">
        <v>198</v>
      </c>
      <c r="C202" s="15" t="s">
        <v>164</v>
      </c>
      <c r="D202" s="15" t="s">
        <v>203</v>
      </c>
      <c r="E202" s="16" t="s">
        <v>165</v>
      </c>
      <c r="F202" s="23" t="s">
        <v>30</v>
      </c>
      <c r="G202" s="23"/>
      <c r="H202" s="16" t="s">
        <v>13</v>
      </c>
      <c r="I202" s="18">
        <v>913.5</v>
      </c>
      <c r="J202" s="18"/>
      <c r="K202" s="19" t="s">
        <v>8</v>
      </c>
      <c r="L202" s="20">
        <v>3068978.35</v>
      </c>
    </row>
    <row r="203" spans="1:12" ht="71.400000000000006" x14ac:dyDescent="0.3">
      <c r="A203" s="14" t="s">
        <v>191</v>
      </c>
      <c r="B203" s="15" t="s">
        <v>204</v>
      </c>
      <c r="C203" s="15" t="s">
        <v>164</v>
      </c>
      <c r="D203" s="15" t="s">
        <v>205</v>
      </c>
      <c r="E203" s="16" t="s">
        <v>165</v>
      </c>
      <c r="F203" s="23" t="s">
        <v>30</v>
      </c>
      <c r="G203" s="23"/>
      <c r="H203" s="16" t="s">
        <v>13</v>
      </c>
      <c r="I203" s="18">
        <v>35.69</v>
      </c>
      <c r="J203" s="18"/>
      <c r="K203" s="19" t="s">
        <v>8</v>
      </c>
      <c r="L203" s="20">
        <v>3068942.66</v>
      </c>
    </row>
    <row r="204" spans="1:12" x14ac:dyDescent="0.3">
      <c r="A204" s="24" t="s">
        <v>206</v>
      </c>
      <c r="B204" s="24"/>
      <c r="C204" s="24"/>
      <c r="D204" s="24"/>
      <c r="E204" s="25">
        <v>70147.75</v>
      </c>
      <c r="F204" s="25"/>
      <c r="G204" s="25"/>
      <c r="H204" s="25">
        <v>4855840.43</v>
      </c>
      <c r="I204" s="25"/>
      <c r="J204" s="25"/>
      <c r="K204" s="26" t="s">
        <v>8</v>
      </c>
      <c r="L204" s="27">
        <v>3068942.66</v>
      </c>
    </row>
    <row r="206" spans="1:12" x14ac:dyDescent="0.3">
      <c r="J206" s="28">
        <f>SUBTOTAL(9,I10:J203)</f>
        <v>4785692.68</v>
      </c>
    </row>
    <row r="207" spans="1:12" x14ac:dyDescent="0.3">
      <c r="J207" s="28">
        <f>J206*1.2</f>
        <v>5742831.2159999991</v>
      </c>
    </row>
  </sheetData>
  <autoFilter ref="B1:D204" xr:uid="{2DC24F4E-9AF8-400E-BDBC-CFD555758DFC}">
    <filterColumn colId="0">
      <filters blank="1">
        <filter val="Вимога-накладна ІБ00-000147 від 24.02.2026 17:29:53_x000a_Списаны ТМЦ"/>
        <filter val="Вимога-накладна ІБ00-000149 від 24.02.2026 17:30:00_x000a_Списаны ТМЦ"/>
        <filter val="Вимога-накладна ІБ00-000150 від 24.02.2026 17:30:01_x000a_Списаны ТМЦ"/>
        <filter val="Вимога-накладна ІБ00-000151 від 24.02.2026 17:30:05_x000a_Списаны ТМЦ"/>
        <filter val="Вимога-накладна ІБ00-000178 від 27.02.2026 20:00:00_x000a_Списаны ТМЦ"/>
        <filter val="Вимога-накладна ІБ00-000179 від 27.02.2026 20:48:25_x000a_Списаны ТМЦ"/>
        <filter val="Реалізація товарів і послуг ІБ00-000036 від 16.02.2026 00:00:00_x000a_Списаны ТМЦ"/>
        <filter val="Списання товарів ІБ00-000065 від 24.02.2026 17:30:02_x000a_Списаны ТМЦ"/>
        <filter val="Списання товарів ІБ00-000099 від 27.02.2026 20:48:19_x000a_Списаны ТМЦ"/>
      </filters>
    </filterColumn>
  </autoFilter>
  <mergeCells count="414">
    <mergeCell ref="F202:G202"/>
    <mergeCell ref="I202:J202"/>
    <mergeCell ref="F203:G203"/>
    <mergeCell ref="I203:J203"/>
    <mergeCell ref="A204:D204"/>
    <mergeCell ref="E204:G204"/>
    <mergeCell ref="H204:J204"/>
    <mergeCell ref="F199:G199"/>
    <mergeCell ref="I199:J199"/>
    <mergeCell ref="F200:G200"/>
    <mergeCell ref="I200:J200"/>
    <mergeCell ref="F201:G201"/>
    <mergeCell ref="I201:J201"/>
    <mergeCell ref="F196:G196"/>
    <mergeCell ref="I196:J196"/>
    <mergeCell ref="F197:G197"/>
    <mergeCell ref="I197:J197"/>
    <mergeCell ref="F198:G198"/>
    <mergeCell ref="I198:J198"/>
    <mergeCell ref="F193:G193"/>
    <mergeCell ref="I193:J193"/>
    <mergeCell ref="F194:G194"/>
    <mergeCell ref="I194:J194"/>
    <mergeCell ref="F195:G195"/>
    <mergeCell ref="I195:J195"/>
    <mergeCell ref="F190:G190"/>
    <mergeCell ref="I190:J190"/>
    <mergeCell ref="F191:G191"/>
    <mergeCell ref="I191:J191"/>
    <mergeCell ref="F192:G192"/>
    <mergeCell ref="I192:J192"/>
    <mergeCell ref="F187:G187"/>
    <mergeCell ref="I187:J187"/>
    <mergeCell ref="F188:G188"/>
    <mergeCell ref="I188:J188"/>
    <mergeCell ref="F189:G189"/>
    <mergeCell ref="I189:J189"/>
    <mergeCell ref="F184:G184"/>
    <mergeCell ref="I184:J184"/>
    <mergeCell ref="F185:G185"/>
    <mergeCell ref="I185:J185"/>
    <mergeCell ref="F186:G186"/>
    <mergeCell ref="I186:J186"/>
    <mergeCell ref="F181:G181"/>
    <mergeCell ref="I181:J181"/>
    <mergeCell ref="F182:G182"/>
    <mergeCell ref="I182:J182"/>
    <mergeCell ref="F183:G183"/>
    <mergeCell ref="I183:J183"/>
    <mergeCell ref="F178:G178"/>
    <mergeCell ref="I178:J178"/>
    <mergeCell ref="F179:G179"/>
    <mergeCell ref="I179:J179"/>
    <mergeCell ref="F180:G180"/>
    <mergeCell ref="I180:J180"/>
    <mergeCell ref="F175:G175"/>
    <mergeCell ref="I175:J175"/>
    <mergeCell ref="F176:G176"/>
    <mergeCell ref="I176:J176"/>
    <mergeCell ref="F177:G177"/>
    <mergeCell ref="I177:J177"/>
    <mergeCell ref="F172:G172"/>
    <mergeCell ref="I172:J172"/>
    <mergeCell ref="F173:G173"/>
    <mergeCell ref="I173:J173"/>
    <mergeCell ref="F174:G174"/>
    <mergeCell ref="I174:J174"/>
    <mergeCell ref="F169:G169"/>
    <mergeCell ref="I169:J169"/>
    <mergeCell ref="F170:G170"/>
    <mergeCell ref="I170:J170"/>
    <mergeCell ref="F171:G171"/>
    <mergeCell ref="I171:J171"/>
    <mergeCell ref="F166:G166"/>
    <mergeCell ref="I166:J166"/>
    <mergeCell ref="F167:G167"/>
    <mergeCell ref="I167:J167"/>
    <mergeCell ref="F168:G168"/>
    <mergeCell ref="I168:J168"/>
    <mergeCell ref="F163:G163"/>
    <mergeCell ref="I163:J163"/>
    <mergeCell ref="F164:G164"/>
    <mergeCell ref="I164:J164"/>
    <mergeCell ref="F165:G165"/>
    <mergeCell ref="I165:J165"/>
    <mergeCell ref="F160:G160"/>
    <mergeCell ref="I160:J160"/>
    <mergeCell ref="F161:G161"/>
    <mergeCell ref="I161:J161"/>
    <mergeCell ref="F162:G162"/>
    <mergeCell ref="I162:J162"/>
    <mergeCell ref="F157:G157"/>
    <mergeCell ref="I157:J157"/>
    <mergeCell ref="F158:G158"/>
    <mergeCell ref="I158:J158"/>
    <mergeCell ref="F159:G159"/>
    <mergeCell ref="I159:J159"/>
    <mergeCell ref="F154:G154"/>
    <mergeCell ref="I154:J154"/>
    <mergeCell ref="F155:G155"/>
    <mergeCell ref="I155:J155"/>
    <mergeCell ref="F156:G156"/>
    <mergeCell ref="I156:J156"/>
    <mergeCell ref="F151:G151"/>
    <mergeCell ref="I151:J151"/>
    <mergeCell ref="F152:G152"/>
    <mergeCell ref="I152:J152"/>
    <mergeCell ref="F153:G153"/>
    <mergeCell ref="I153:J153"/>
    <mergeCell ref="F148:G148"/>
    <mergeCell ref="I148:J148"/>
    <mergeCell ref="F149:G149"/>
    <mergeCell ref="I149:J149"/>
    <mergeCell ref="F150:G150"/>
    <mergeCell ref="I150:J150"/>
    <mergeCell ref="F145:G145"/>
    <mergeCell ref="I145:J145"/>
    <mergeCell ref="F146:G146"/>
    <mergeCell ref="I146:J146"/>
    <mergeCell ref="F147:G147"/>
    <mergeCell ref="I147:J147"/>
    <mergeCell ref="F142:G142"/>
    <mergeCell ref="I142:J142"/>
    <mergeCell ref="F143:G143"/>
    <mergeCell ref="I143:J143"/>
    <mergeCell ref="F144:G144"/>
    <mergeCell ref="I144:J144"/>
    <mergeCell ref="F139:G139"/>
    <mergeCell ref="I139:J139"/>
    <mergeCell ref="F140:G140"/>
    <mergeCell ref="I140:J140"/>
    <mergeCell ref="F141:G141"/>
    <mergeCell ref="I141:J141"/>
    <mergeCell ref="F136:G136"/>
    <mergeCell ref="I136:J136"/>
    <mergeCell ref="F137:G137"/>
    <mergeCell ref="I137:J137"/>
    <mergeCell ref="F138:G138"/>
    <mergeCell ref="I138:J138"/>
    <mergeCell ref="F133:G133"/>
    <mergeCell ref="I133:J133"/>
    <mergeCell ref="F134:G134"/>
    <mergeCell ref="I134:J134"/>
    <mergeCell ref="F135:G135"/>
    <mergeCell ref="I135:J135"/>
    <mergeCell ref="F130:G130"/>
    <mergeCell ref="I130:J130"/>
    <mergeCell ref="F131:G131"/>
    <mergeCell ref="I131:J131"/>
    <mergeCell ref="F132:G132"/>
    <mergeCell ref="I132:J132"/>
    <mergeCell ref="F127:G127"/>
    <mergeCell ref="I127:J127"/>
    <mergeCell ref="F128:G128"/>
    <mergeCell ref="I128:J128"/>
    <mergeCell ref="F129:G129"/>
    <mergeCell ref="I129:J129"/>
    <mergeCell ref="F124:G124"/>
    <mergeCell ref="I124:J124"/>
    <mergeCell ref="F125:G125"/>
    <mergeCell ref="I125:J125"/>
    <mergeCell ref="F126:G126"/>
    <mergeCell ref="I126:J126"/>
    <mergeCell ref="F121:G121"/>
    <mergeCell ref="I121:J121"/>
    <mergeCell ref="F122:G122"/>
    <mergeCell ref="I122:J122"/>
    <mergeCell ref="F123:G123"/>
    <mergeCell ref="I123:J123"/>
    <mergeCell ref="F118:G118"/>
    <mergeCell ref="I118:J118"/>
    <mergeCell ref="F119:G119"/>
    <mergeCell ref="I119:J119"/>
    <mergeCell ref="F120:G120"/>
    <mergeCell ref="I120:J120"/>
    <mergeCell ref="F115:G115"/>
    <mergeCell ref="I115:J115"/>
    <mergeCell ref="F116:G116"/>
    <mergeCell ref="I116:J116"/>
    <mergeCell ref="F117:G117"/>
    <mergeCell ref="I117:J117"/>
    <mergeCell ref="F112:G112"/>
    <mergeCell ref="I112:J112"/>
    <mergeCell ref="F113:G113"/>
    <mergeCell ref="I113:J113"/>
    <mergeCell ref="F114:G114"/>
    <mergeCell ref="I114:J114"/>
    <mergeCell ref="F109:G109"/>
    <mergeCell ref="I109:J109"/>
    <mergeCell ref="F110:G110"/>
    <mergeCell ref="I110:J110"/>
    <mergeCell ref="F111:G111"/>
    <mergeCell ref="I111:J111"/>
    <mergeCell ref="F106:G106"/>
    <mergeCell ref="I106:J106"/>
    <mergeCell ref="F107:G107"/>
    <mergeCell ref="I107:J107"/>
    <mergeCell ref="F108:G108"/>
    <mergeCell ref="I108:J108"/>
    <mergeCell ref="F103:G103"/>
    <mergeCell ref="I103:J103"/>
    <mergeCell ref="F104:G104"/>
    <mergeCell ref="I104:J104"/>
    <mergeCell ref="F105:G105"/>
    <mergeCell ref="I105:J105"/>
    <mergeCell ref="F100:G100"/>
    <mergeCell ref="I100:J100"/>
    <mergeCell ref="F101:G101"/>
    <mergeCell ref="I101:J101"/>
    <mergeCell ref="F102:G102"/>
    <mergeCell ref="I102:J102"/>
    <mergeCell ref="F97:G97"/>
    <mergeCell ref="I97:J97"/>
    <mergeCell ref="F98:G98"/>
    <mergeCell ref="I98:J98"/>
    <mergeCell ref="F99:G99"/>
    <mergeCell ref="I99:J99"/>
    <mergeCell ref="F94:G94"/>
    <mergeCell ref="I94:J94"/>
    <mergeCell ref="F95:G95"/>
    <mergeCell ref="I95:J95"/>
    <mergeCell ref="F96:G96"/>
    <mergeCell ref="I96:J96"/>
    <mergeCell ref="F91:G91"/>
    <mergeCell ref="I91:J91"/>
    <mergeCell ref="F92:G92"/>
    <mergeCell ref="I92:J92"/>
    <mergeCell ref="F93:G93"/>
    <mergeCell ref="I93:J93"/>
    <mergeCell ref="F88:G88"/>
    <mergeCell ref="I88:J88"/>
    <mergeCell ref="F89:G89"/>
    <mergeCell ref="I89:J89"/>
    <mergeCell ref="F90:G90"/>
    <mergeCell ref="I90:J90"/>
    <mergeCell ref="F85:G85"/>
    <mergeCell ref="I85:J85"/>
    <mergeCell ref="F86:G86"/>
    <mergeCell ref="I86:J86"/>
    <mergeCell ref="F87:G87"/>
    <mergeCell ref="I87:J87"/>
    <mergeCell ref="F82:G82"/>
    <mergeCell ref="I82:J82"/>
    <mergeCell ref="F83:G83"/>
    <mergeCell ref="I83:J83"/>
    <mergeCell ref="F84:G84"/>
    <mergeCell ref="I84:J84"/>
    <mergeCell ref="F79:G79"/>
    <mergeCell ref="I79:J79"/>
    <mergeCell ref="F80:G80"/>
    <mergeCell ref="I80:J80"/>
    <mergeCell ref="F81:G81"/>
    <mergeCell ref="I81:J81"/>
    <mergeCell ref="F76:G76"/>
    <mergeCell ref="I76:J76"/>
    <mergeCell ref="F77:G77"/>
    <mergeCell ref="I77:J77"/>
    <mergeCell ref="F78:G78"/>
    <mergeCell ref="I78:J78"/>
    <mergeCell ref="F73:G73"/>
    <mergeCell ref="I73:J73"/>
    <mergeCell ref="F74:G74"/>
    <mergeCell ref="I74:J74"/>
    <mergeCell ref="F75:G75"/>
    <mergeCell ref="I75:J75"/>
    <mergeCell ref="F70:G70"/>
    <mergeCell ref="I70:J70"/>
    <mergeCell ref="F71:G71"/>
    <mergeCell ref="I71:J71"/>
    <mergeCell ref="F72:G72"/>
    <mergeCell ref="I72:J72"/>
    <mergeCell ref="F67:G67"/>
    <mergeCell ref="I67:J67"/>
    <mergeCell ref="F68:G68"/>
    <mergeCell ref="I68:J68"/>
    <mergeCell ref="F69:G69"/>
    <mergeCell ref="I69:J69"/>
    <mergeCell ref="F64:G64"/>
    <mergeCell ref="I64:J64"/>
    <mergeCell ref="F65:G65"/>
    <mergeCell ref="I65:J65"/>
    <mergeCell ref="F66:G66"/>
    <mergeCell ref="I66:J66"/>
    <mergeCell ref="F61:G61"/>
    <mergeCell ref="I61:J61"/>
    <mergeCell ref="F62:G62"/>
    <mergeCell ref="I62:J62"/>
    <mergeCell ref="F63:G63"/>
    <mergeCell ref="I63:J63"/>
    <mergeCell ref="F58:G58"/>
    <mergeCell ref="I58:J58"/>
    <mergeCell ref="F59:G59"/>
    <mergeCell ref="I59:J59"/>
    <mergeCell ref="F60:G60"/>
    <mergeCell ref="I60:J60"/>
    <mergeCell ref="F55:G55"/>
    <mergeCell ref="I55:J55"/>
    <mergeCell ref="F56:G56"/>
    <mergeCell ref="I56:J56"/>
    <mergeCell ref="F57:G57"/>
    <mergeCell ref="I57:J57"/>
    <mergeCell ref="F52:G52"/>
    <mergeCell ref="I52:J52"/>
    <mergeCell ref="F53:G53"/>
    <mergeCell ref="I53:J53"/>
    <mergeCell ref="F54:G54"/>
    <mergeCell ref="I54:J54"/>
    <mergeCell ref="F49:G49"/>
    <mergeCell ref="I49:J49"/>
    <mergeCell ref="F50:G50"/>
    <mergeCell ref="I50:J50"/>
    <mergeCell ref="F51:G51"/>
    <mergeCell ref="I51:J51"/>
    <mergeCell ref="F46:G46"/>
    <mergeCell ref="I46:J46"/>
    <mergeCell ref="F47:G47"/>
    <mergeCell ref="I47:J47"/>
    <mergeCell ref="F48:G48"/>
    <mergeCell ref="I48:J48"/>
    <mergeCell ref="F43:G43"/>
    <mergeCell ref="I43:J43"/>
    <mergeCell ref="F44:G44"/>
    <mergeCell ref="I44:J44"/>
    <mergeCell ref="F45:G45"/>
    <mergeCell ref="I45:J45"/>
    <mergeCell ref="F40:G40"/>
    <mergeCell ref="I40:J40"/>
    <mergeCell ref="F41:G41"/>
    <mergeCell ref="I41:J41"/>
    <mergeCell ref="F42:G42"/>
    <mergeCell ref="I42:J42"/>
    <mergeCell ref="F37:G37"/>
    <mergeCell ref="I37:J37"/>
    <mergeCell ref="F38:G38"/>
    <mergeCell ref="I38:J38"/>
    <mergeCell ref="F39:G39"/>
    <mergeCell ref="I39:J39"/>
    <mergeCell ref="F34:G34"/>
    <mergeCell ref="I34:J34"/>
    <mergeCell ref="F35:G35"/>
    <mergeCell ref="I35:J35"/>
    <mergeCell ref="F36:G36"/>
    <mergeCell ref="I36:J36"/>
    <mergeCell ref="F31:G31"/>
    <mergeCell ref="I31:J31"/>
    <mergeCell ref="F32:G32"/>
    <mergeCell ref="I32:J32"/>
    <mergeCell ref="F33:G33"/>
    <mergeCell ref="I33:J33"/>
    <mergeCell ref="F28:G28"/>
    <mergeCell ref="I28:J28"/>
    <mergeCell ref="F29:G29"/>
    <mergeCell ref="I29:J29"/>
    <mergeCell ref="F30:G30"/>
    <mergeCell ref="I30:J30"/>
    <mergeCell ref="F25:G25"/>
    <mergeCell ref="I25:J25"/>
    <mergeCell ref="F26:G26"/>
    <mergeCell ref="I26:J26"/>
    <mergeCell ref="F27:G27"/>
    <mergeCell ref="I27:J27"/>
    <mergeCell ref="F22:G22"/>
    <mergeCell ref="I22:J22"/>
    <mergeCell ref="F23:G23"/>
    <mergeCell ref="I23:J23"/>
    <mergeCell ref="F24:G24"/>
    <mergeCell ref="I24:J24"/>
    <mergeCell ref="F19:G19"/>
    <mergeCell ref="I19:J19"/>
    <mergeCell ref="F20:G20"/>
    <mergeCell ref="I20:J20"/>
    <mergeCell ref="F21:G21"/>
    <mergeCell ref="I21:J21"/>
    <mergeCell ref="F16:G16"/>
    <mergeCell ref="I16:J16"/>
    <mergeCell ref="F17:G17"/>
    <mergeCell ref="I17:J17"/>
    <mergeCell ref="F18:G18"/>
    <mergeCell ref="I18:J18"/>
    <mergeCell ref="F13:G13"/>
    <mergeCell ref="I13:J13"/>
    <mergeCell ref="F14:G14"/>
    <mergeCell ref="I14:J14"/>
    <mergeCell ref="F15:G15"/>
    <mergeCell ref="I15:J15"/>
    <mergeCell ref="F10:G10"/>
    <mergeCell ref="I10:J10"/>
    <mergeCell ref="F11:G11"/>
    <mergeCell ref="I11:J11"/>
    <mergeCell ref="F12:G12"/>
    <mergeCell ref="I12:J12"/>
    <mergeCell ref="F7:G7"/>
    <mergeCell ref="I7:J7"/>
    <mergeCell ref="F8:G8"/>
    <mergeCell ref="I8:J8"/>
    <mergeCell ref="F9:G9"/>
    <mergeCell ref="I9:J9"/>
    <mergeCell ref="F4:G4"/>
    <mergeCell ref="I4:J4"/>
    <mergeCell ref="F5:G5"/>
    <mergeCell ref="I5:J5"/>
    <mergeCell ref="F6:G6"/>
    <mergeCell ref="I6:J6"/>
    <mergeCell ref="K1:L2"/>
    <mergeCell ref="F2:G2"/>
    <mergeCell ref="I2:J2"/>
    <mergeCell ref="F3:G3"/>
    <mergeCell ref="I3:J3"/>
    <mergeCell ref="A1:A2"/>
    <mergeCell ref="B1:B2"/>
    <mergeCell ref="C1:C2"/>
    <mergeCell ref="D1:D2"/>
    <mergeCell ref="E1:G1"/>
    <mergeCell ref="H1: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16D2D-264E-4A96-958C-8C1377EF1B39}">
  <sheetPr filterMode="1"/>
  <dimension ref="A1:L73"/>
  <sheetViews>
    <sheetView topLeftCell="A70" workbookViewId="0">
      <selection activeCell="J75" sqref="J75"/>
    </sheetView>
  </sheetViews>
  <sheetFormatPr defaultRowHeight="14.4" x14ac:dyDescent="0.3"/>
  <cols>
    <col min="2" max="4" width="23.6640625" customWidth="1"/>
    <col min="10" max="10" width="9.88671875" bestFit="1" customWidth="1"/>
  </cols>
  <sheetData>
    <row r="1" spans="1:12" x14ac:dyDescent="0.3">
      <c r="A1" s="29" t="s">
        <v>0</v>
      </c>
      <c r="B1" s="30" t="s">
        <v>1</v>
      </c>
      <c r="C1" s="30" t="s">
        <v>2</v>
      </c>
      <c r="D1" s="31" t="s">
        <v>3</v>
      </c>
      <c r="E1" s="32" t="s">
        <v>4</v>
      </c>
      <c r="F1" s="32"/>
      <c r="G1" s="32"/>
      <c r="H1" s="33" t="s">
        <v>5</v>
      </c>
      <c r="I1" s="33"/>
      <c r="J1" s="33"/>
      <c r="K1" s="30" t="s">
        <v>6</v>
      </c>
      <c r="L1" s="30"/>
    </row>
    <row r="2" spans="1:12" hidden="1" x14ac:dyDescent="0.3">
      <c r="A2" s="34"/>
      <c r="B2" s="35"/>
      <c r="C2" s="35"/>
      <c r="D2" s="36"/>
      <c r="E2" s="37" t="s">
        <v>7</v>
      </c>
      <c r="F2" s="38"/>
      <c r="G2" s="38"/>
      <c r="H2" s="39" t="s">
        <v>7</v>
      </c>
      <c r="I2" s="40"/>
      <c r="J2" s="40"/>
      <c r="K2" s="34"/>
      <c r="L2" s="41"/>
    </row>
    <row r="3" spans="1:12" ht="71.400000000000006" x14ac:dyDescent="0.3">
      <c r="A3" s="42" t="s">
        <v>207</v>
      </c>
      <c r="B3" s="43" t="s">
        <v>208</v>
      </c>
      <c r="C3" s="43" t="s">
        <v>209</v>
      </c>
      <c r="D3" s="43" t="s">
        <v>210</v>
      </c>
      <c r="E3" s="44" t="s">
        <v>13</v>
      </c>
      <c r="F3" s="45" t="s">
        <v>30</v>
      </c>
      <c r="G3" s="45"/>
      <c r="H3" s="44" t="s">
        <v>13</v>
      </c>
      <c r="I3" s="46">
        <v>3227.77</v>
      </c>
      <c r="J3" s="46"/>
      <c r="K3" s="47" t="s">
        <v>8</v>
      </c>
      <c r="L3" s="48">
        <v>342206.46</v>
      </c>
    </row>
    <row r="4" spans="1:12" ht="71.400000000000006" x14ac:dyDescent="0.3">
      <c r="A4" s="42" t="s">
        <v>207</v>
      </c>
      <c r="B4" s="43" t="s">
        <v>208</v>
      </c>
      <c r="C4" s="43" t="s">
        <v>209</v>
      </c>
      <c r="D4" s="43" t="s">
        <v>211</v>
      </c>
      <c r="E4" s="44" t="s">
        <v>13</v>
      </c>
      <c r="F4" s="45" t="s">
        <v>30</v>
      </c>
      <c r="G4" s="45"/>
      <c r="H4" s="44" t="s">
        <v>13</v>
      </c>
      <c r="I4" s="46">
        <v>3748.91</v>
      </c>
      <c r="J4" s="46"/>
      <c r="K4" s="47" t="s">
        <v>8</v>
      </c>
      <c r="L4" s="48">
        <v>338457.55</v>
      </c>
    </row>
    <row r="5" spans="1:12" ht="61.2" x14ac:dyDescent="0.3">
      <c r="A5" s="42" t="s">
        <v>207</v>
      </c>
      <c r="B5" s="43" t="s">
        <v>208</v>
      </c>
      <c r="C5" s="43" t="s">
        <v>212</v>
      </c>
      <c r="D5" s="43" t="s">
        <v>213</v>
      </c>
      <c r="E5" s="44" t="s">
        <v>13</v>
      </c>
      <c r="F5" s="45" t="s">
        <v>30</v>
      </c>
      <c r="G5" s="45"/>
      <c r="H5" s="44" t="s">
        <v>13</v>
      </c>
      <c r="I5" s="46">
        <v>18756.060000000001</v>
      </c>
      <c r="J5" s="46"/>
      <c r="K5" s="47" t="s">
        <v>8</v>
      </c>
      <c r="L5" s="48">
        <v>319701.49</v>
      </c>
    </row>
    <row r="6" spans="1:12" ht="61.2" x14ac:dyDescent="0.3">
      <c r="A6" s="42" t="s">
        <v>207</v>
      </c>
      <c r="B6" s="43" t="s">
        <v>208</v>
      </c>
      <c r="C6" s="43" t="s">
        <v>214</v>
      </c>
      <c r="D6" s="43" t="s">
        <v>215</v>
      </c>
      <c r="E6" s="44" t="s">
        <v>13</v>
      </c>
      <c r="F6" s="45" t="s">
        <v>30</v>
      </c>
      <c r="G6" s="45"/>
      <c r="H6" s="44" t="s">
        <v>13</v>
      </c>
      <c r="I6" s="46">
        <v>10432.49</v>
      </c>
      <c r="J6" s="46"/>
      <c r="K6" s="47" t="s">
        <v>8</v>
      </c>
      <c r="L6" s="48">
        <v>309269</v>
      </c>
    </row>
    <row r="7" spans="1:12" ht="61.2" x14ac:dyDescent="0.3">
      <c r="A7" s="42" t="s">
        <v>207</v>
      </c>
      <c r="B7" s="43" t="s">
        <v>208</v>
      </c>
      <c r="C7" s="43" t="s">
        <v>216</v>
      </c>
      <c r="D7" s="43" t="s">
        <v>217</v>
      </c>
      <c r="E7" s="44" t="s">
        <v>13</v>
      </c>
      <c r="F7" s="45" t="s">
        <v>30</v>
      </c>
      <c r="G7" s="45"/>
      <c r="H7" s="44" t="s">
        <v>13</v>
      </c>
      <c r="I7" s="46">
        <v>1236.22</v>
      </c>
      <c r="J7" s="46"/>
      <c r="K7" s="47" t="s">
        <v>8</v>
      </c>
      <c r="L7" s="48">
        <v>308032.78000000003</v>
      </c>
    </row>
    <row r="8" spans="1:12" ht="61.2" x14ac:dyDescent="0.3">
      <c r="A8" s="42" t="s">
        <v>207</v>
      </c>
      <c r="B8" s="43" t="s">
        <v>208</v>
      </c>
      <c r="C8" s="43" t="s">
        <v>216</v>
      </c>
      <c r="D8" s="43" t="s">
        <v>218</v>
      </c>
      <c r="E8" s="44" t="s">
        <v>13</v>
      </c>
      <c r="F8" s="45" t="s">
        <v>30</v>
      </c>
      <c r="G8" s="45"/>
      <c r="H8" s="44" t="s">
        <v>13</v>
      </c>
      <c r="I8" s="46">
        <v>4619.63</v>
      </c>
      <c r="J8" s="46"/>
      <c r="K8" s="47" t="s">
        <v>8</v>
      </c>
      <c r="L8" s="48">
        <v>303413.15000000002</v>
      </c>
    </row>
    <row r="9" spans="1:12" ht="61.2" x14ac:dyDescent="0.3">
      <c r="A9" s="42" t="s">
        <v>207</v>
      </c>
      <c r="B9" s="43" t="s">
        <v>208</v>
      </c>
      <c r="C9" s="43" t="s">
        <v>219</v>
      </c>
      <c r="D9" s="43" t="s">
        <v>220</v>
      </c>
      <c r="E9" s="44" t="s">
        <v>13</v>
      </c>
      <c r="F9" s="45" t="s">
        <v>30</v>
      </c>
      <c r="G9" s="45"/>
      <c r="H9" s="44" t="s">
        <v>13</v>
      </c>
      <c r="I9" s="46">
        <v>18087.05</v>
      </c>
      <c r="J9" s="46"/>
      <c r="K9" s="47" t="s">
        <v>8</v>
      </c>
      <c r="L9" s="48">
        <v>285326.09999999998</v>
      </c>
    </row>
    <row r="10" spans="1:12" ht="71.400000000000006" x14ac:dyDescent="0.3">
      <c r="A10" s="42" t="s">
        <v>207</v>
      </c>
      <c r="B10" s="43" t="s">
        <v>208</v>
      </c>
      <c r="C10" s="43" t="s">
        <v>221</v>
      </c>
      <c r="D10" s="43" t="s">
        <v>222</v>
      </c>
      <c r="E10" s="44" t="s">
        <v>13</v>
      </c>
      <c r="F10" s="45" t="s">
        <v>30</v>
      </c>
      <c r="G10" s="45"/>
      <c r="H10" s="44" t="s">
        <v>13</v>
      </c>
      <c r="I10" s="46">
        <v>7988.63</v>
      </c>
      <c r="J10" s="46"/>
      <c r="K10" s="47" t="s">
        <v>8</v>
      </c>
      <c r="L10" s="48">
        <v>277337.46999999997</v>
      </c>
    </row>
    <row r="11" spans="1:12" ht="71.400000000000006" x14ac:dyDescent="0.3">
      <c r="A11" s="42" t="s">
        <v>207</v>
      </c>
      <c r="B11" s="43" t="s">
        <v>208</v>
      </c>
      <c r="C11" s="43" t="s">
        <v>221</v>
      </c>
      <c r="D11" s="43" t="s">
        <v>223</v>
      </c>
      <c r="E11" s="44" t="s">
        <v>13</v>
      </c>
      <c r="F11" s="45" t="s">
        <v>30</v>
      </c>
      <c r="G11" s="45"/>
      <c r="H11" s="44" t="s">
        <v>13</v>
      </c>
      <c r="I11" s="49">
        <v>63.55</v>
      </c>
      <c r="J11" s="49"/>
      <c r="K11" s="47" t="s">
        <v>8</v>
      </c>
      <c r="L11" s="48">
        <v>277273.92</v>
      </c>
    </row>
    <row r="12" spans="1:12" ht="71.400000000000006" x14ac:dyDescent="0.3">
      <c r="A12" s="42" t="s">
        <v>207</v>
      </c>
      <c r="B12" s="43" t="s">
        <v>208</v>
      </c>
      <c r="C12" s="43" t="s">
        <v>224</v>
      </c>
      <c r="D12" s="43" t="s">
        <v>225</v>
      </c>
      <c r="E12" s="44" t="s">
        <v>13</v>
      </c>
      <c r="F12" s="45" t="s">
        <v>30</v>
      </c>
      <c r="G12" s="45"/>
      <c r="H12" s="44" t="s">
        <v>13</v>
      </c>
      <c r="I12" s="46">
        <v>10555.83</v>
      </c>
      <c r="J12" s="46"/>
      <c r="K12" s="47" t="s">
        <v>8</v>
      </c>
      <c r="L12" s="48">
        <v>266718.09000000003</v>
      </c>
    </row>
    <row r="13" spans="1:12" ht="61.2" x14ac:dyDescent="0.3">
      <c r="A13" s="42" t="s">
        <v>207</v>
      </c>
      <c r="B13" s="43" t="s">
        <v>208</v>
      </c>
      <c r="C13" s="43" t="s">
        <v>226</v>
      </c>
      <c r="D13" s="43" t="s">
        <v>227</v>
      </c>
      <c r="E13" s="44" t="s">
        <v>13</v>
      </c>
      <c r="F13" s="45" t="s">
        <v>30</v>
      </c>
      <c r="G13" s="45"/>
      <c r="H13" s="44" t="s">
        <v>13</v>
      </c>
      <c r="I13" s="49">
        <v>605.41</v>
      </c>
      <c r="J13" s="49"/>
      <c r="K13" s="47" t="s">
        <v>8</v>
      </c>
      <c r="L13" s="48">
        <v>266112.68</v>
      </c>
    </row>
    <row r="14" spans="1:12" ht="61.2" x14ac:dyDescent="0.3">
      <c r="A14" s="42" t="s">
        <v>207</v>
      </c>
      <c r="B14" s="43" t="s">
        <v>208</v>
      </c>
      <c r="C14" s="43" t="s">
        <v>226</v>
      </c>
      <c r="D14" s="43" t="s">
        <v>228</v>
      </c>
      <c r="E14" s="44" t="s">
        <v>13</v>
      </c>
      <c r="F14" s="45" t="s">
        <v>30</v>
      </c>
      <c r="G14" s="45"/>
      <c r="H14" s="44" t="s">
        <v>13</v>
      </c>
      <c r="I14" s="46">
        <v>14638.15</v>
      </c>
      <c r="J14" s="46"/>
      <c r="K14" s="47" t="s">
        <v>8</v>
      </c>
      <c r="L14" s="48">
        <v>251474.53</v>
      </c>
    </row>
    <row r="15" spans="1:12" ht="61.2" x14ac:dyDescent="0.3">
      <c r="A15" s="42" t="s">
        <v>207</v>
      </c>
      <c r="B15" s="43" t="s">
        <v>208</v>
      </c>
      <c r="C15" s="43" t="s">
        <v>226</v>
      </c>
      <c r="D15" s="43" t="s">
        <v>229</v>
      </c>
      <c r="E15" s="44" t="s">
        <v>13</v>
      </c>
      <c r="F15" s="45" t="s">
        <v>30</v>
      </c>
      <c r="G15" s="45"/>
      <c r="H15" s="44" t="s">
        <v>13</v>
      </c>
      <c r="I15" s="49">
        <v>201.8</v>
      </c>
      <c r="J15" s="49"/>
      <c r="K15" s="47" t="s">
        <v>8</v>
      </c>
      <c r="L15" s="48">
        <v>251272.73</v>
      </c>
    </row>
    <row r="16" spans="1:12" ht="61.2" x14ac:dyDescent="0.3">
      <c r="A16" s="42" t="s">
        <v>207</v>
      </c>
      <c r="B16" s="43" t="s">
        <v>208</v>
      </c>
      <c r="C16" s="43" t="s">
        <v>230</v>
      </c>
      <c r="D16" s="43" t="s">
        <v>231</v>
      </c>
      <c r="E16" s="44" t="s">
        <v>13</v>
      </c>
      <c r="F16" s="45" t="s">
        <v>30</v>
      </c>
      <c r="G16" s="45"/>
      <c r="H16" s="44" t="s">
        <v>13</v>
      </c>
      <c r="I16" s="46">
        <v>5713.74</v>
      </c>
      <c r="J16" s="46"/>
      <c r="K16" s="47" t="s">
        <v>8</v>
      </c>
      <c r="L16" s="48">
        <v>245558.99</v>
      </c>
    </row>
    <row r="17" spans="1:12" ht="61.2" x14ac:dyDescent="0.3">
      <c r="A17" s="42" t="s">
        <v>207</v>
      </c>
      <c r="B17" s="43" t="s">
        <v>208</v>
      </c>
      <c r="C17" s="43" t="s">
        <v>232</v>
      </c>
      <c r="D17" s="43" t="s">
        <v>233</v>
      </c>
      <c r="E17" s="44" t="s">
        <v>13</v>
      </c>
      <c r="F17" s="45" t="s">
        <v>30</v>
      </c>
      <c r="G17" s="45"/>
      <c r="H17" s="44" t="s">
        <v>13</v>
      </c>
      <c r="I17" s="49">
        <v>100.9</v>
      </c>
      <c r="J17" s="49"/>
      <c r="K17" s="47" t="s">
        <v>8</v>
      </c>
      <c r="L17" s="48">
        <v>245458.09</v>
      </c>
    </row>
    <row r="18" spans="1:12" ht="61.2" x14ac:dyDescent="0.3">
      <c r="A18" s="42" t="s">
        <v>207</v>
      </c>
      <c r="B18" s="43" t="s">
        <v>208</v>
      </c>
      <c r="C18" s="43" t="s">
        <v>232</v>
      </c>
      <c r="D18" s="43" t="s">
        <v>234</v>
      </c>
      <c r="E18" s="44" t="s">
        <v>13</v>
      </c>
      <c r="F18" s="45" t="s">
        <v>30</v>
      </c>
      <c r="G18" s="45"/>
      <c r="H18" s="44" t="s">
        <v>13</v>
      </c>
      <c r="I18" s="49">
        <v>557.95000000000005</v>
      </c>
      <c r="J18" s="49"/>
      <c r="K18" s="47" t="s">
        <v>8</v>
      </c>
      <c r="L18" s="48">
        <v>244900.14</v>
      </c>
    </row>
    <row r="19" spans="1:12" ht="61.2" x14ac:dyDescent="0.3">
      <c r="A19" s="42" t="s">
        <v>207</v>
      </c>
      <c r="B19" s="43" t="s">
        <v>208</v>
      </c>
      <c r="C19" s="43" t="s">
        <v>235</v>
      </c>
      <c r="D19" s="43" t="s">
        <v>236</v>
      </c>
      <c r="E19" s="44" t="s">
        <v>13</v>
      </c>
      <c r="F19" s="45" t="s">
        <v>30</v>
      </c>
      <c r="G19" s="45"/>
      <c r="H19" s="44" t="s">
        <v>13</v>
      </c>
      <c r="I19" s="46">
        <v>2544</v>
      </c>
      <c r="J19" s="46"/>
      <c r="K19" s="47" t="s">
        <v>8</v>
      </c>
      <c r="L19" s="48">
        <v>242356.14</v>
      </c>
    </row>
    <row r="20" spans="1:12" ht="61.2" x14ac:dyDescent="0.3">
      <c r="A20" s="42" t="s">
        <v>207</v>
      </c>
      <c r="B20" s="43" t="s">
        <v>208</v>
      </c>
      <c r="C20" s="43" t="s">
        <v>237</v>
      </c>
      <c r="D20" s="43" t="s">
        <v>238</v>
      </c>
      <c r="E20" s="44" t="s">
        <v>13</v>
      </c>
      <c r="F20" s="45" t="s">
        <v>30</v>
      </c>
      <c r="G20" s="45"/>
      <c r="H20" s="44" t="s">
        <v>13</v>
      </c>
      <c r="I20" s="46">
        <v>3729.87</v>
      </c>
      <c r="J20" s="46"/>
      <c r="K20" s="47" t="s">
        <v>8</v>
      </c>
      <c r="L20" s="48">
        <v>238626.27</v>
      </c>
    </row>
    <row r="21" spans="1:12" ht="61.2" x14ac:dyDescent="0.3">
      <c r="A21" s="42" t="s">
        <v>207</v>
      </c>
      <c r="B21" s="43" t="s">
        <v>208</v>
      </c>
      <c r="C21" s="43" t="s">
        <v>237</v>
      </c>
      <c r="D21" s="43" t="s">
        <v>239</v>
      </c>
      <c r="E21" s="44" t="s">
        <v>13</v>
      </c>
      <c r="F21" s="45" t="s">
        <v>30</v>
      </c>
      <c r="G21" s="45"/>
      <c r="H21" s="44" t="s">
        <v>13</v>
      </c>
      <c r="I21" s="46">
        <v>1025.72</v>
      </c>
      <c r="J21" s="46"/>
      <c r="K21" s="47" t="s">
        <v>8</v>
      </c>
      <c r="L21" s="48">
        <v>237600.55</v>
      </c>
    </row>
    <row r="22" spans="1:12" ht="71.400000000000006" x14ac:dyDescent="0.3">
      <c r="A22" s="42" t="s">
        <v>240</v>
      </c>
      <c r="B22" s="43" t="s">
        <v>241</v>
      </c>
      <c r="C22" s="43" t="s">
        <v>242</v>
      </c>
      <c r="D22" s="43" t="s">
        <v>243</v>
      </c>
      <c r="E22" s="44" t="s">
        <v>13</v>
      </c>
      <c r="F22" s="45" t="s">
        <v>30</v>
      </c>
      <c r="G22" s="45"/>
      <c r="H22" s="44" t="s">
        <v>13</v>
      </c>
      <c r="I22" s="46">
        <v>22116.959999999999</v>
      </c>
      <c r="J22" s="46"/>
      <c r="K22" s="47" t="s">
        <v>8</v>
      </c>
      <c r="L22" s="48">
        <v>215483.59</v>
      </c>
    </row>
    <row r="23" spans="1:12" ht="61.2" x14ac:dyDescent="0.3">
      <c r="A23" s="42" t="s">
        <v>240</v>
      </c>
      <c r="B23" s="43" t="s">
        <v>241</v>
      </c>
      <c r="C23" s="43" t="s">
        <v>242</v>
      </c>
      <c r="D23" s="43" t="s">
        <v>244</v>
      </c>
      <c r="E23" s="44" t="s">
        <v>13</v>
      </c>
      <c r="F23" s="45" t="s">
        <v>30</v>
      </c>
      <c r="G23" s="45"/>
      <c r="H23" s="44" t="s">
        <v>13</v>
      </c>
      <c r="I23" s="49">
        <v>158.29</v>
      </c>
      <c r="J23" s="49"/>
      <c r="K23" s="47" t="s">
        <v>8</v>
      </c>
      <c r="L23" s="48">
        <v>215325.3</v>
      </c>
    </row>
    <row r="24" spans="1:12" ht="61.2" x14ac:dyDescent="0.3">
      <c r="A24" s="42" t="s">
        <v>240</v>
      </c>
      <c r="B24" s="43" t="s">
        <v>241</v>
      </c>
      <c r="C24" s="43" t="s">
        <v>245</v>
      </c>
      <c r="D24" s="43" t="s">
        <v>246</v>
      </c>
      <c r="E24" s="44" t="s">
        <v>13</v>
      </c>
      <c r="F24" s="45" t="s">
        <v>30</v>
      </c>
      <c r="G24" s="45"/>
      <c r="H24" s="44" t="s">
        <v>13</v>
      </c>
      <c r="I24" s="46">
        <v>10251.19</v>
      </c>
      <c r="J24" s="46"/>
      <c r="K24" s="47" t="s">
        <v>8</v>
      </c>
      <c r="L24" s="48">
        <v>205074.11</v>
      </c>
    </row>
    <row r="25" spans="1:12" ht="51" x14ac:dyDescent="0.3">
      <c r="A25" s="42" t="s">
        <v>240</v>
      </c>
      <c r="B25" s="43" t="s">
        <v>241</v>
      </c>
      <c r="C25" s="43" t="s">
        <v>245</v>
      </c>
      <c r="D25" s="43" t="s">
        <v>247</v>
      </c>
      <c r="E25" s="44" t="s">
        <v>13</v>
      </c>
      <c r="F25" s="45" t="s">
        <v>30</v>
      </c>
      <c r="G25" s="45"/>
      <c r="H25" s="44" t="s">
        <v>13</v>
      </c>
      <c r="I25" s="46">
        <v>10366.44</v>
      </c>
      <c r="J25" s="46"/>
      <c r="K25" s="47" t="s">
        <v>8</v>
      </c>
      <c r="L25" s="48">
        <v>194707.67</v>
      </c>
    </row>
    <row r="26" spans="1:12" ht="51" x14ac:dyDescent="0.3">
      <c r="A26" s="42" t="s">
        <v>240</v>
      </c>
      <c r="B26" s="43" t="s">
        <v>241</v>
      </c>
      <c r="C26" s="43" t="s">
        <v>245</v>
      </c>
      <c r="D26" s="43" t="s">
        <v>248</v>
      </c>
      <c r="E26" s="44" t="s">
        <v>13</v>
      </c>
      <c r="F26" s="45" t="s">
        <v>30</v>
      </c>
      <c r="G26" s="45"/>
      <c r="H26" s="44" t="s">
        <v>13</v>
      </c>
      <c r="I26" s="49">
        <v>31.14</v>
      </c>
      <c r="J26" s="49"/>
      <c r="K26" s="47" t="s">
        <v>8</v>
      </c>
      <c r="L26" s="48">
        <v>194676.53</v>
      </c>
    </row>
    <row r="27" spans="1:12" ht="51" x14ac:dyDescent="0.3">
      <c r="A27" s="42" t="s">
        <v>240</v>
      </c>
      <c r="B27" s="43" t="s">
        <v>241</v>
      </c>
      <c r="C27" s="43" t="s">
        <v>245</v>
      </c>
      <c r="D27" s="43" t="s">
        <v>249</v>
      </c>
      <c r="E27" s="44" t="s">
        <v>13</v>
      </c>
      <c r="F27" s="45" t="s">
        <v>30</v>
      </c>
      <c r="G27" s="45"/>
      <c r="H27" s="44" t="s">
        <v>13</v>
      </c>
      <c r="I27" s="46">
        <v>5449.84</v>
      </c>
      <c r="J27" s="46"/>
      <c r="K27" s="47" t="s">
        <v>8</v>
      </c>
      <c r="L27" s="48">
        <v>189226.69</v>
      </c>
    </row>
    <row r="28" spans="1:12" ht="71.400000000000006" x14ac:dyDescent="0.3">
      <c r="A28" s="42" t="s">
        <v>240</v>
      </c>
      <c r="B28" s="43" t="s">
        <v>241</v>
      </c>
      <c r="C28" s="43" t="s">
        <v>250</v>
      </c>
      <c r="D28" s="43" t="s">
        <v>251</v>
      </c>
      <c r="E28" s="44" t="s">
        <v>13</v>
      </c>
      <c r="F28" s="45" t="s">
        <v>30</v>
      </c>
      <c r="G28" s="45"/>
      <c r="H28" s="44" t="s">
        <v>13</v>
      </c>
      <c r="I28" s="46">
        <v>9130.86</v>
      </c>
      <c r="J28" s="46"/>
      <c r="K28" s="47" t="s">
        <v>8</v>
      </c>
      <c r="L28" s="48">
        <v>180095.83</v>
      </c>
    </row>
    <row r="29" spans="1:12" ht="61.2" x14ac:dyDescent="0.3">
      <c r="A29" s="42" t="s">
        <v>240</v>
      </c>
      <c r="B29" s="43" t="s">
        <v>241</v>
      </c>
      <c r="C29" s="43" t="s">
        <v>252</v>
      </c>
      <c r="D29" s="43" t="s">
        <v>253</v>
      </c>
      <c r="E29" s="44" t="s">
        <v>13</v>
      </c>
      <c r="F29" s="45" t="s">
        <v>30</v>
      </c>
      <c r="G29" s="45"/>
      <c r="H29" s="44" t="s">
        <v>13</v>
      </c>
      <c r="I29" s="49">
        <v>289.31</v>
      </c>
      <c r="J29" s="49"/>
      <c r="K29" s="47" t="s">
        <v>8</v>
      </c>
      <c r="L29" s="48">
        <v>179806.52</v>
      </c>
    </row>
    <row r="30" spans="1:12" ht="51" x14ac:dyDescent="0.3">
      <c r="A30" s="42" t="s">
        <v>240</v>
      </c>
      <c r="B30" s="43" t="s">
        <v>241</v>
      </c>
      <c r="C30" s="43" t="s">
        <v>252</v>
      </c>
      <c r="D30" s="43" t="s">
        <v>254</v>
      </c>
      <c r="E30" s="44" t="s">
        <v>13</v>
      </c>
      <c r="F30" s="45" t="s">
        <v>30</v>
      </c>
      <c r="G30" s="45"/>
      <c r="H30" s="44" t="s">
        <v>13</v>
      </c>
      <c r="I30" s="49">
        <v>144.66</v>
      </c>
      <c r="J30" s="49"/>
      <c r="K30" s="47" t="s">
        <v>8</v>
      </c>
      <c r="L30" s="48">
        <v>179661.86</v>
      </c>
    </row>
    <row r="31" spans="1:12" ht="61.2" x14ac:dyDescent="0.3">
      <c r="A31" s="42" t="s">
        <v>240</v>
      </c>
      <c r="B31" s="43" t="s">
        <v>241</v>
      </c>
      <c r="C31" s="43" t="s">
        <v>255</v>
      </c>
      <c r="D31" s="43" t="s">
        <v>256</v>
      </c>
      <c r="E31" s="44" t="s">
        <v>13</v>
      </c>
      <c r="F31" s="45" t="s">
        <v>30</v>
      </c>
      <c r="G31" s="45"/>
      <c r="H31" s="44" t="s">
        <v>13</v>
      </c>
      <c r="I31" s="46">
        <v>2321.6799999999998</v>
      </c>
      <c r="J31" s="46"/>
      <c r="K31" s="47" t="s">
        <v>8</v>
      </c>
      <c r="L31" s="48">
        <v>177340.18</v>
      </c>
    </row>
    <row r="32" spans="1:12" ht="71.400000000000006" x14ac:dyDescent="0.3">
      <c r="A32" s="42" t="s">
        <v>240</v>
      </c>
      <c r="B32" s="43" t="s">
        <v>241</v>
      </c>
      <c r="C32" s="43" t="s">
        <v>257</v>
      </c>
      <c r="D32" s="43" t="s">
        <v>258</v>
      </c>
      <c r="E32" s="44" t="s">
        <v>13</v>
      </c>
      <c r="F32" s="45" t="s">
        <v>30</v>
      </c>
      <c r="G32" s="45"/>
      <c r="H32" s="44" t="s">
        <v>13</v>
      </c>
      <c r="I32" s="46">
        <v>20557.939999999999</v>
      </c>
      <c r="J32" s="46"/>
      <c r="K32" s="47" t="s">
        <v>8</v>
      </c>
      <c r="L32" s="48">
        <v>156782.24</v>
      </c>
    </row>
    <row r="33" spans="1:12" ht="61.2" x14ac:dyDescent="0.3">
      <c r="A33" s="42" t="s">
        <v>240</v>
      </c>
      <c r="B33" s="43" t="s">
        <v>241</v>
      </c>
      <c r="C33" s="43" t="s">
        <v>259</v>
      </c>
      <c r="D33" s="43" t="s">
        <v>260</v>
      </c>
      <c r="E33" s="44" t="s">
        <v>13</v>
      </c>
      <c r="F33" s="45" t="s">
        <v>30</v>
      </c>
      <c r="G33" s="45"/>
      <c r="H33" s="44" t="s">
        <v>13</v>
      </c>
      <c r="I33" s="46">
        <v>13965</v>
      </c>
      <c r="J33" s="46"/>
      <c r="K33" s="47" t="s">
        <v>8</v>
      </c>
      <c r="L33" s="48">
        <v>142817.24</v>
      </c>
    </row>
    <row r="34" spans="1:12" ht="61.2" x14ac:dyDescent="0.3">
      <c r="A34" s="42" t="s">
        <v>240</v>
      </c>
      <c r="B34" s="43" t="s">
        <v>241</v>
      </c>
      <c r="C34" s="43" t="s">
        <v>259</v>
      </c>
      <c r="D34" s="43" t="s">
        <v>261</v>
      </c>
      <c r="E34" s="44" t="s">
        <v>13</v>
      </c>
      <c r="F34" s="45" t="s">
        <v>30</v>
      </c>
      <c r="G34" s="45"/>
      <c r="H34" s="44" t="s">
        <v>13</v>
      </c>
      <c r="I34" s="46">
        <v>30729.27</v>
      </c>
      <c r="J34" s="46"/>
      <c r="K34" s="47" t="s">
        <v>8</v>
      </c>
      <c r="L34" s="48">
        <v>112087.97</v>
      </c>
    </row>
    <row r="35" spans="1:12" ht="51" x14ac:dyDescent="0.3">
      <c r="A35" s="42" t="s">
        <v>240</v>
      </c>
      <c r="B35" s="43" t="s">
        <v>241</v>
      </c>
      <c r="C35" s="43" t="s">
        <v>262</v>
      </c>
      <c r="D35" s="43" t="s">
        <v>263</v>
      </c>
      <c r="E35" s="44" t="s">
        <v>13</v>
      </c>
      <c r="F35" s="45" t="s">
        <v>30</v>
      </c>
      <c r="G35" s="45"/>
      <c r="H35" s="44" t="s">
        <v>13</v>
      </c>
      <c r="I35" s="46">
        <v>4456.88</v>
      </c>
      <c r="J35" s="46"/>
      <c r="K35" s="47" t="s">
        <v>8</v>
      </c>
      <c r="L35" s="48">
        <v>107631.09</v>
      </c>
    </row>
    <row r="36" spans="1:12" ht="61.2" x14ac:dyDescent="0.3">
      <c r="A36" s="42" t="s">
        <v>240</v>
      </c>
      <c r="B36" s="43" t="s">
        <v>241</v>
      </c>
      <c r="C36" s="43" t="s">
        <v>264</v>
      </c>
      <c r="D36" s="43" t="s">
        <v>265</v>
      </c>
      <c r="E36" s="44" t="s">
        <v>13</v>
      </c>
      <c r="F36" s="45" t="s">
        <v>30</v>
      </c>
      <c r="G36" s="45"/>
      <c r="H36" s="44" t="s">
        <v>13</v>
      </c>
      <c r="I36" s="46">
        <v>2612.5300000000002</v>
      </c>
      <c r="J36" s="46"/>
      <c r="K36" s="47" t="s">
        <v>8</v>
      </c>
      <c r="L36" s="48">
        <v>105018.56</v>
      </c>
    </row>
    <row r="37" spans="1:12" ht="51" x14ac:dyDescent="0.3">
      <c r="A37" s="42" t="s">
        <v>240</v>
      </c>
      <c r="B37" s="43" t="s">
        <v>241</v>
      </c>
      <c r="C37" s="43" t="s">
        <v>264</v>
      </c>
      <c r="D37" s="43" t="s">
        <v>266</v>
      </c>
      <c r="E37" s="44" t="s">
        <v>13</v>
      </c>
      <c r="F37" s="45" t="s">
        <v>30</v>
      </c>
      <c r="G37" s="45"/>
      <c r="H37" s="44" t="s">
        <v>13</v>
      </c>
      <c r="I37" s="46">
        <v>8961.57</v>
      </c>
      <c r="J37" s="46"/>
      <c r="K37" s="47" t="s">
        <v>8</v>
      </c>
      <c r="L37" s="48">
        <v>96056.99</v>
      </c>
    </row>
    <row r="38" spans="1:12" ht="61.2" x14ac:dyDescent="0.3">
      <c r="A38" s="42" t="s">
        <v>240</v>
      </c>
      <c r="B38" s="43" t="s">
        <v>241</v>
      </c>
      <c r="C38" s="43" t="s">
        <v>267</v>
      </c>
      <c r="D38" s="43" t="s">
        <v>268</v>
      </c>
      <c r="E38" s="44" t="s">
        <v>13</v>
      </c>
      <c r="F38" s="45" t="s">
        <v>30</v>
      </c>
      <c r="G38" s="45"/>
      <c r="H38" s="44" t="s">
        <v>13</v>
      </c>
      <c r="I38" s="46">
        <v>1248.8699999999999</v>
      </c>
      <c r="J38" s="46"/>
      <c r="K38" s="47" t="s">
        <v>8</v>
      </c>
      <c r="L38" s="48">
        <v>94808.12</v>
      </c>
    </row>
    <row r="39" spans="1:12" ht="51" x14ac:dyDescent="0.3">
      <c r="A39" s="42" t="s">
        <v>240</v>
      </c>
      <c r="B39" s="43" t="s">
        <v>241</v>
      </c>
      <c r="C39" s="43" t="s">
        <v>267</v>
      </c>
      <c r="D39" s="43" t="s">
        <v>269</v>
      </c>
      <c r="E39" s="44" t="s">
        <v>13</v>
      </c>
      <c r="F39" s="45" t="s">
        <v>30</v>
      </c>
      <c r="G39" s="45"/>
      <c r="H39" s="44" t="s">
        <v>13</v>
      </c>
      <c r="I39" s="46">
        <v>1055.45</v>
      </c>
      <c r="J39" s="46"/>
      <c r="K39" s="47" t="s">
        <v>8</v>
      </c>
      <c r="L39" s="48">
        <v>93752.67</v>
      </c>
    </row>
    <row r="40" spans="1:12" ht="51" x14ac:dyDescent="0.3">
      <c r="A40" s="42" t="s">
        <v>240</v>
      </c>
      <c r="B40" s="43" t="s">
        <v>241</v>
      </c>
      <c r="C40" s="43" t="s">
        <v>267</v>
      </c>
      <c r="D40" s="43" t="s">
        <v>270</v>
      </c>
      <c r="E40" s="44" t="s">
        <v>13</v>
      </c>
      <c r="F40" s="45" t="s">
        <v>30</v>
      </c>
      <c r="G40" s="45"/>
      <c r="H40" s="44" t="s">
        <v>13</v>
      </c>
      <c r="I40" s="46">
        <v>1030.32</v>
      </c>
      <c r="J40" s="46"/>
      <c r="K40" s="47" t="s">
        <v>8</v>
      </c>
      <c r="L40" s="48">
        <v>92722.35</v>
      </c>
    </row>
    <row r="41" spans="1:12" ht="51" x14ac:dyDescent="0.3">
      <c r="A41" s="42" t="s">
        <v>240</v>
      </c>
      <c r="B41" s="43" t="s">
        <v>241</v>
      </c>
      <c r="C41" s="43" t="s">
        <v>271</v>
      </c>
      <c r="D41" s="43" t="s">
        <v>231</v>
      </c>
      <c r="E41" s="44" t="s">
        <v>13</v>
      </c>
      <c r="F41" s="45" t="s">
        <v>30</v>
      </c>
      <c r="G41" s="45"/>
      <c r="H41" s="44" t="s">
        <v>13</v>
      </c>
      <c r="I41" s="46">
        <v>3428.25</v>
      </c>
      <c r="J41" s="46"/>
      <c r="K41" s="47" t="s">
        <v>8</v>
      </c>
      <c r="L41" s="48">
        <v>89294.1</v>
      </c>
    </row>
    <row r="42" spans="1:12" ht="51" x14ac:dyDescent="0.3">
      <c r="A42" s="42" t="s">
        <v>240</v>
      </c>
      <c r="B42" s="43" t="s">
        <v>241</v>
      </c>
      <c r="C42" s="43" t="s">
        <v>271</v>
      </c>
      <c r="D42" s="43" t="s">
        <v>272</v>
      </c>
      <c r="E42" s="44" t="s">
        <v>13</v>
      </c>
      <c r="F42" s="45" t="s">
        <v>30</v>
      </c>
      <c r="G42" s="45"/>
      <c r="H42" s="44" t="s">
        <v>13</v>
      </c>
      <c r="I42" s="49">
        <v>714.22</v>
      </c>
      <c r="J42" s="49"/>
      <c r="K42" s="47" t="s">
        <v>8</v>
      </c>
      <c r="L42" s="48">
        <v>88579.88</v>
      </c>
    </row>
    <row r="43" spans="1:12" ht="71.400000000000006" x14ac:dyDescent="0.3">
      <c r="A43" s="42" t="s">
        <v>240</v>
      </c>
      <c r="B43" s="43" t="s">
        <v>241</v>
      </c>
      <c r="C43" s="43" t="s">
        <v>273</v>
      </c>
      <c r="D43" s="43" t="s">
        <v>274</v>
      </c>
      <c r="E43" s="44" t="s">
        <v>13</v>
      </c>
      <c r="F43" s="45" t="s">
        <v>30</v>
      </c>
      <c r="G43" s="45"/>
      <c r="H43" s="44" t="s">
        <v>13</v>
      </c>
      <c r="I43" s="46">
        <v>20542.63</v>
      </c>
      <c r="J43" s="46"/>
      <c r="K43" s="47" t="s">
        <v>8</v>
      </c>
      <c r="L43" s="48">
        <v>68037.25</v>
      </c>
    </row>
    <row r="44" spans="1:12" ht="61.2" x14ac:dyDescent="0.3">
      <c r="A44" s="42" t="s">
        <v>240</v>
      </c>
      <c r="B44" s="43" t="s">
        <v>241</v>
      </c>
      <c r="C44" s="43" t="s">
        <v>275</v>
      </c>
      <c r="D44" s="43" t="s">
        <v>276</v>
      </c>
      <c r="E44" s="44" t="s">
        <v>13</v>
      </c>
      <c r="F44" s="45" t="s">
        <v>30</v>
      </c>
      <c r="G44" s="45"/>
      <c r="H44" s="44" t="s">
        <v>13</v>
      </c>
      <c r="I44" s="46">
        <v>12532.25</v>
      </c>
      <c r="J44" s="46"/>
      <c r="K44" s="47" t="s">
        <v>8</v>
      </c>
      <c r="L44" s="48">
        <v>55505</v>
      </c>
    </row>
    <row r="45" spans="1:12" ht="51" x14ac:dyDescent="0.3">
      <c r="A45" s="42" t="s">
        <v>240</v>
      </c>
      <c r="B45" s="43" t="s">
        <v>241</v>
      </c>
      <c r="C45" s="43" t="s">
        <v>275</v>
      </c>
      <c r="D45" s="43" t="s">
        <v>277</v>
      </c>
      <c r="E45" s="44" t="s">
        <v>13</v>
      </c>
      <c r="F45" s="45" t="s">
        <v>30</v>
      </c>
      <c r="G45" s="45"/>
      <c r="H45" s="44" t="s">
        <v>13</v>
      </c>
      <c r="I45" s="49">
        <v>281.27</v>
      </c>
      <c r="J45" s="49"/>
      <c r="K45" s="47" t="s">
        <v>8</v>
      </c>
      <c r="L45" s="48">
        <v>55223.73</v>
      </c>
    </row>
    <row r="46" spans="1:12" ht="51" x14ac:dyDescent="0.3">
      <c r="A46" s="42" t="s">
        <v>240</v>
      </c>
      <c r="B46" s="43" t="s">
        <v>241</v>
      </c>
      <c r="C46" s="43" t="s">
        <v>278</v>
      </c>
      <c r="D46" s="43" t="s">
        <v>215</v>
      </c>
      <c r="E46" s="44" t="s">
        <v>13</v>
      </c>
      <c r="F46" s="45" t="s">
        <v>30</v>
      </c>
      <c r="G46" s="45"/>
      <c r="H46" s="44" t="s">
        <v>13</v>
      </c>
      <c r="I46" s="46">
        <v>9746.93</v>
      </c>
      <c r="J46" s="46"/>
      <c r="K46" s="47" t="s">
        <v>8</v>
      </c>
      <c r="L46" s="48">
        <v>45476.800000000003</v>
      </c>
    </row>
    <row r="47" spans="1:12" ht="51" x14ac:dyDescent="0.3">
      <c r="A47" s="42" t="s">
        <v>240</v>
      </c>
      <c r="B47" s="43" t="s">
        <v>241</v>
      </c>
      <c r="C47" s="43" t="s">
        <v>279</v>
      </c>
      <c r="D47" s="43" t="s">
        <v>280</v>
      </c>
      <c r="E47" s="44" t="s">
        <v>13</v>
      </c>
      <c r="F47" s="45" t="s">
        <v>30</v>
      </c>
      <c r="G47" s="45"/>
      <c r="H47" s="44" t="s">
        <v>13</v>
      </c>
      <c r="I47" s="49">
        <v>937.38</v>
      </c>
      <c r="J47" s="49"/>
      <c r="K47" s="47" t="s">
        <v>8</v>
      </c>
      <c r="L47" s="48">
        <v>44539.42</v>
      </c>
    </row>
    <row r="48" spans="1:12" ht="51" x14ac:dyDescent="0.3">
      <c r="A48" s="42" t="s">
        <v>240</v>
      </c>
      <c r="B48" s="43" t="s">
        <v>241</v>
      </c>
      <c r="C48" s="43" t="s">
        <v>281</v>
      </c>
      <c r="D48" s="43" t="s">
        <v>282</v>
      </c>
      <c r="E48" s="44" t="s">
        <v>13</v>
      </c>
      <c r="F48" s="45" t="s">
        <v>30</v>
      </c>
      <c r="G48" s="45"/>
      <c r="H48" s="44" t="s">
        <v>13</v>
      </c>
      <c r="I48" s="46">
        <v>5784.38</v>
      </c>
      <c r="J48" s="46"/>
      <c r="K48" s="47" t="s">
        <v>8</v>
      </c>
      <c r="L48" s="48">
        <v>38755.040000000001</v>
      </c>
    </row>
    <row r="49" spans="1:12" ht="51" x14ac:dyDescent="0.3">
      <c r="A49" s="42" t="s">
        <v>240</v>
      </c>
      <c r="B49" s="43" t="s">
        <v>241</v>
      </c>
      <c r="C49" s="43" t="s">
        <v>281</v>
      </c>
      <c r="D49" s="43" t="s">
        <v>283</v>
      </c>
      <c r="E49" s="44" t="s">
        <v>13</v>
      </c>
      <c r="F49" s="45" t="s">
        <v>30</v>
      </c>
      <c r="G49" s="45"/>
      <c r="H49" s="44" t="s">
        <v>13</v>
      </c>
      <c r="I49" s="46">
        <v>7077.34</v>
      </c>
      <c r="J49" s="46"/>
      <c r="K49" s="47" t="s">
        <v>8</v>
      </c>
      <c r="L49" s="48">
        <v>31677.7</v>
      </c>
    </row>
    <row r="50" spans="1:12" ht="51" x14ac:dyDescent="0.3">
      <c r="A50" s="42" t="s">
        <v>240</v>
      </c>
      <c r="B50" s="43" t="s">
        <v>241</v>
      </c>
      <c r="C50" s="43" t="s">
        <v>284</v>
      </c>
      <c r="D50" s="43" t="s">
        <v>285</v>
      </c>
      <c r="E50" s="44" t="s">
        <v>13</v>
      </c>
      <c r="F50" s="45" t="s">
        <v>30</v>
      </c>
      <c r="G50" s="45"/>
      <c r="H50" s="44" t="s">
        <v>13</v>
      </c>
      <c r="I50" s="46">
        <v>14049.88</v>
      </c>
      <c r="J50" s="46"/>
      <c r="K50" s="47" t="s">
        <v>8</v>
      </c>
      <c r="L50" s="48">
        <v>17627.82</v>
      </c>
    </row>
    <row r="51" spans="1:12" ht="51" x14ac:dyDescent="0.3">
      <c r="A51" s="42" t="s">
        <v>240</v>
      </c>
      <c r="B51" s="43" t="s">
        <v>241</v>
      </c>
      <c r="C51" s="43" t="s">
        <v>286</v>
      </c>
      <c r="D51" s="43" t="s">
        <v>287</v>
      </c>
      <c r="E51" s="44" t="s">
        <v>13</v>
      </c>
      <c r="F51" s="45" t="s">
        <v>30</v>
      </c>
      <c r="G51" s="45"/>
      <c r="H51" s="44" t="s">
        <v>13</v>
      </c>
      <c r="I51" s="46">
        <v>5103.87</v>
      </c>
      <c r="J51" s="46"/>
      <c r="K51" s="47" t="s">
        <v>8</v>
      </c>
      <c r="L51" s="48">
        <v>12523.95</v>
      </c>
    </row>
    <row r="52" spans="1:12" ht="61.2" x14ac:dyDescent="0.3">
      <c r="A52" s="42" t="s">
        <v>240</v>
      </c>
      <c r="B52" s="43" t="s">
        <v>241</v>
      </c>
      <c r="C52" s="43" t="s">
        <v>288</v>
      </c>
      <c r="D52" s="43" t="s">
        <v>218</v>
      </c>
      <c r="E52" s="44" t="s">
        <v>13</v>
      </c>
      <c r="F52" s="45" t="s">
        <v>30</v>
      </c>
      <c r="G52" s="45"/>
      <c r="H52" s="44" t="s">
        <v>13</v>
      </c>
      <c r="I52" s="46">
        <v>5649.9</v>
      </c>
      <c r="J52" s="46"/>
      <c r="K52" s="47" t="s">
        <v>8</v>
      </c>
      <c r="L52" s="48">
        <v>6874.05</v>
      </c>
    </row>
    <row r="53" spans="1:12" ht="51" x14ac:dyDescent="0.3">
      <c r="A53" s="42" t="s">
        <v>240</v>
      </c>
      <c r="B53" s="43" t="s">
        <v>241</v>
      </c>
      <c r="C53" s="43" t="s">
        <v>288</v>
      </c>
      <c r="D53" s="43" t="s">
        <v>289</v>
      </c>
      <c r="E53" s="44" t="s">
        <v>13</v>
      </c>
      <c r="F53" s="45" t="s">
        <v>30</v>
      </c>
      <c r="G53" s="45"/>
      <c r="H53" s="44" t="s">
        <v>13</v>
      </c>
      <c r="I53" s="46">
        <v>1338.94</v>
      </c>
      <c r="J53" s="46"/>
      <c r="K53" s="47" t="s">
        <v>8</v>
      </c>
      <c r="L53" s="48">
        <v>5535.11</v>
      </c>
    </row>
    <row r="54" spans="1:12" ht="61.2" x14ac:dyDescent="0.3">
      <c r="A54" s="42" t="s">
        <v>240</v>
      </c>
      <c r="B54" s="43" t="s">
        <v>241</v>
      </c>
      <c r="C54" s="43" t="s">
        <v>290</v>
      </c>
      <c r="D54" s="43" t="s">
        <v>291</v>
      </c>
      <c r="E54" s="44" t="s">
        <v>13</v>
      </c>
      <c r="F54" s="45" t="s">
        <v>30</v>
      </c>
      <c r="G54" s="45"/>
      <c r="H54" s="44" t="s">
        <v>13</v>
      </c>
      <c r="I54" s="49">
        <v>757.1</v>
      </c>
      <c r="J54" s="49"/>
      <c r="K54" s="47" t="s">
        <v>8</v>
      </c>
      <c r="L54" s="48">
        <v>4778.01</v>
      </c>
    </row>
    <row r="55" spans="1:12" ht="61.2" x14ac:dyDescent="0.3">
      <c r="A55" s="42" t="s">
        <v>240</v>
      </c>
      <c r="B55" s="43" t="s">
        <v>241</v>
      </c>
      <c r="C55" s="43" t="s">
        <v>290</v>
      </c>
      <c r="D55" s="43" t="s">
        <v>292</v>
      </c>
      <c r="E55" s="44" t="s">
        <v>13</v>
      </c>
      <c r="F55" s="45" t="s">
        <v>30</v>
      </c>
      <c r="G55" s="45"/>
      <c r="H55" s="44" t="s">
        <v>13</v>
      </c>
      <c r="I55" s="49">
        <v>61.61</v>
      </c>
      <c r="J55" s="49"/>
      <c r="K55" s="47" t="s">
        <v>8</v>
      </c>
      <c r="L55" s="48">
        <v>4716.3999999999996</v>
      </c>
    </row>
    <row r="56" spans="1:12" ht="61.2" x14ac:dyDescent="0.3">
      <c r="A56" s="42" t="s">
        <v>240</v>
      </c>
      <c r="B56" s="43" t="s">
        <v>241</v>
      </c>
      <c r="C56" s="43" t="s">
        <v>290</v>
      </c>
      <c r="D56" s="43" t="s">
        <v>293</v>
      </c>
      <c r="E56" s="44" t="s">
        <v>13</v>
      </c>
      <c r="F56" s="45" t="s">
        <v>30</v>
      </c>
      <c r="G56" s="45"/>
      <c r="H56" s="44" t="s">
        <v>13</v>
      </c>
      <c r="I56" s="49">
        <v>215.65</v>
      </c>
      <c r="J56" s="49"/>
      <c r="K56" s="47" t="s">
        <v>8</v>
      </c>
      <c r="L56" s="48">
        <v>4500.75</v>
      </c>
    </row>
    <row r="57" spans="1:12" ht="61.2" x14ac:dyDescent="0.3">
      <c r="A57" s="42" t="s">
        <v>240</v>
      </c>
      <c r="B57" s="43" t="s">
        <v>241</v>
      </c>
      <c r="C57" s="43" t="s">
        <v>290</v>
      </c>
      <c r="D57" s="43" t="s">
        <v>294</v>
      </c>
      <c r="E57" s="44" t="s">
        <v>13</v>
      </c>
      <c r="F57" s="45" t="s">
        <v>30</v>
      </c>
      <c r="G57" s="45"/>
      <c r="H57" s="44" t="s">
        <v>13</v>
      </c>
      <c r="I57" s="49">
        <v>61.61</v>
      </c>
      <c r="J57" s="49"/>
      <c r="K57" s="47" t="s">
        <v>8</v>
      </c>
      <c r="L57" s="48">
        <v>4439.1400000000003</v>
      </c>
    </row>
    <row r="58" spans="1:12" ht="61.2" x14ac:dyDescent="0.3">
      <c r="A58" s="42" t="s">
        <v>240</v>
      </c>
      <c r="B58" s="43" t="s">
        <v>241</v>
      </c>
      <c r="C58" s="43" t="s">
        <v>290</v>
      </c>
      <c r="D58" s="43" t="s">
        <v>295</v>
      </c>
      <c r="E58" s="44" t="s">
        <v>13</v>
      </c>
      <c r="F58" s="45" t="s">
        <v>30</v>
      </c>
      <c r="G58" s="45"/>
      <c r="H58" s="44" t="s">
        <v>13</v>
      </c>
      <c r="I58" s="46">
        <v>1097.8800000000001</v>
      </c>
      <c r="J58" s="46"/>
      <c r="K58" s="47" t="s">
        <v>8</v>
      </c>
      <c r="L58" s="48">
        <v>3341.26</v>
      </c>
    </row>
    <row r="59" spans="1:12" ht="51" x14ac:dyDescent="0.3">
      <c r="A59" s="42" t="s">
        <v>240</v>
      </c>
      <c r="B59" s="43" t="s">
        <v>241</v>
      </c>
      <c r="C59" s="43" t="s">
        <v>296</v>
      </c>
      <c r="D59" s="43" t="s">
        <v>297</v>
      </c>
      <c r="E59" s="44" t="s">
        <v>13</v>
      </c>
      <c r="F59" s="45" t="s">
        <v>30</v>
      </c>
      <c r="G59" s="45"/>
      <c r="H59" s="44" t="s">
        <v>13</v>
      </c>
      <c r="I59" s="49">
        <v>145.41</v>
      </c>
      <c r="J59" s="49"/>
      <c r="K59" s="47" t="s">
        <v>8</v>
      </c>
      <c r="L59" s="48">
        <v>3195.85</v>
      </c>
    </row>
    <row r="60" spans="1:12" ht="51" x14ac:dyDescent="0.3">
      <c r="A60" s="42" t="s">
        <v>240</v>
      </c>
      <c r="B60" s="43" t="s">
        <v>241</v>
      </c>
      <c r="C60" s="43" t="s">
        <v>296</v>
      </c>
      <c r="D60" s="43" t="s">
        <v>298</v>
      </c>
      <c r="E60" s="44" t="s">
        <v>13</v>
      </c>
      <c r="F60" s="45" t="s">
        <v>30</v>
      </c>
      <c r="G60" s="45"/>
      <c r="H60" s="44" t="s">
        <v>13</v>
      </c>
      <c r="I60" s="49">
        <v>289.31</v>
      </c>
      <c r="J60" s="49"/>
      <c r="K60" s="47" t="s">
        <v>8</v>
      </c>
      <c r="L60" s="48">
        <v>2906.54</v>
      </c>
    </row>
    <row r="61" spans="1:12" ht="51" x14ac:dyDescent="0.3">
      <c r="A61" s="42" t="s">
        <v>240</v>
      </c>
      <c r="B61" s="43" t="s">
        <v>241</v>
      </c>
      <c r="C61" s="43" t="s">
        <v>296</v>
      </c>
      <c r="D61" s="43" t="s">
        <v>299</v>
      </c>
      <c r="E61" s="44" t="s">
        <v>13</v>
      </c>
      <c r="F61" s="45" t="s">
        <v>30</v>
      </c>
      <c r="G61" s="45"/>
      <c r="H61" s="44" t="s">
        <v>13</v>
      </c>
      <c r="I61" s="46">
        <v>1099.3800000000001</v>
      </c>
      <c r="J61" s="46"/>
      <c r="K61" s="47" t="s">
        <v>8</v>
      </c>
      <c r="L61" s="48">
        <v>1807.16</v>
      </c>
    </row>
    <row r="62" spans="1:12" ht="51" x14ac:dyDescent="0.3">
      <c r="A62" s="42" t="s">
        <v>240</v>
      </c>
      <c r="B62" s="43" t="s">
        <v>241</v>
      </c>
      <c r="C62" s="43" t="s">
        <v>296</v>
      </c>
      <c r="D62" s="43" t="s">
        <v>300</v>
      </c>
      <c r="E62" s="44" t="s">
        <v>13</v>
      </c>
      <c r="F62" s="45" t="s">
        <v>30</v>
      </c>
      <c r="G62" s="45"/>
      <c r="H62" s="44" t="s">
        <v>13</v>
      </c>
      <c r="I62" s="46">
        <v>1807.16</v>
      </c>
      <c r="J62" s="46"/>
      <c r="K62" s="47"/>
      <c r="L62" s="50"/>
    </row>
    <row r="63" spans="1:12" ht="61.2" x14ac:dyDescent="0.3">
      <c r="A63" s="42" t="s">
        <v>301</v>
      </c>
      <c r="B63" s="43" t="s">
        <v>302</v>
      </c>
      <c r="C63" s="43" t="s">
        <v>303</v>
      </c>
      <c r="D63" s="43" t="s">
        <v>304</v>
      </c>
      <c r="E63" s="44" t="s">
        <v>165</v>
      </c>
      <c r="F63" s="45" t="s">
        <v>30</v>
      </c>
      <c r="G63" s="45"/>
      <c r="H63" s="44" t="s">
        <v>13</v>
      </c>
      <c r="I63" s="46">
        <v>53395</v>
      </c>
      <c r="J63" s="46"/>
      <c r="K63" s="47" t="s">
        <v>8</v>
      </c>
      <c r="L63" s="48">
        <v>588794.39</v>
      </c>
    </row>
    <row r="64" spans="1:12" ht="81.599999999999994" x14ac:dyDescent="0.3">
      <c r="A64" s="42" t="s">
        <v>301</v>
      </c>
      <c r="B64" s="43" t="s">
        <v>302</v>
      </c>
      <c r="C64" s="43" t="s">
        <v>303</v>
      </c>
      <c r="D64" s="43" t="s">
        <v>305</v>
      </c>
      <c r="E64" s="44" t="s">
        <v>165</v>
      </c>
      <c r="F64" s="45" t="s">
        <v>30</v>
      </c>
      <c r="G64" s="45"/>
      <c r="H64" s="44" t="s">
        <v>13</v>
      </c>
      <c r="I64" s="46">
        <v>7160</v>
      </c>
      <c r="J64" s="46"/>
      <c r="K64" s="47" t="s">
        <v>8</v>
      </c>
      <c r="L64" s="48">
        <v>581634.39</v>
      </c>
    </row>
    <row r="65" spans="1:12" ht="71.400000000000006" x14ac:dyDescent="0.3">
      <c r="A65" s="42" t="s">
        <v>301</v>
      </c>
      <c r="B65" s="43" t="s">
        <v>302</v>
      </c>
      <c r="C65" s="43" t="s">
        <v>303</v>
      </c>
      <c r="D65" s="43" t="s">
        <v>306</v>
      </c>
      <c r="E65" s="44" t="s">
        <v>165</v>
      </c>
      <c r="F65" s="45" t="s">
        <v>30</v>
      </c>
      <c r="G65" s="45"/>
      <c r="H65" s="44" t="s">
        <v>13</v>
      </c>
      <c r="I65" s="46">
        <v>12035</v>
      </c>
      <c r="J65" s="46"/>
      <c r="K65" s="47" t="s">
        <v>8</v>
      </c>
      <c r="L65" s="48">
        <v>569599.39</v>
      </c>
    </row>
    <row r="66" spans="1:12" ht="61.2" x14ac:dyDescent="0.3">
      <c r="A66" s="42" t="s">
        <v>301</v>
      </c>
      <c r="B66" s="43" t="s">
        <v>307</v>
      </c>
      <c r="C66" s="43" t="s">
        <v>303</v>
      </c>
      <c r="D66" s="43" t="s">
        <v>308</v>
      </c>
      <c r="E66" s="44" t="s">
        <v>165</v>
      </c>
      <c r="F66" s="45" t="s">
        <v>30</v>
      </c>
      <c r="G66" s="45"/>
      <c r="H66" s="44" t="s">
        <v>13</v>
      </c>
      <c r="I66" s="46">
        <v>1125.5999999999999</v>
      </c>
      <c r="J66" s="46"/>
      <c r="K66" s="47" t="s">
        <v>8</v>
      </c>
      <c r="L66" s="48">
        <v>568473.79</v>
      </c>
    </row>
    <row r="67" spans="1:12" ht="61.2" x14ac:dyDescent="0.3">
      <c r="A67" s="42" t="s">
        <v>301</v>
      </c>
      <c r="B67" s="43" t="s">
        <v>307</v>
      </c>
      <c r="C67" s="43" t="s">
        <v>303</v>
      </c>
      <c r="D67" s="43" t="s">
        <v>309</v>
      </c>
      <c r="E67" s="44" t="s">
        <v>165</v>
      </c>
      <c r="F67" s="45" t="s">
        <v>30</v>
      </c>
      <c r="G67" s="45"/>
      <c r="H67" s="44" t="s">
        <v>13</v>
      </c>
      <c r="I67" s="49">
        <v>500.85</v>
      </c>
      <c r="J67" s="49"/>
      <c r="K67" s="47" t="s">
        <v>8</v>
      </c>
      <c r="L67" s="48">
        <v>567972.93999999994</v>
      </c>
    </row>
    <row r="68" spans="1:12" ht="71.400000000000006" x14ac:dyDescent="0.3">
      <c r="A68" s="42" t="s">
        <v>301</v>
      </c>
      <c r="B68" s="43" t="s">
        <v>307</v>
      </c>
      <c r="C68" s="43" t="s">
        <v>303</v>
      </c>
      <c r="D68" s="43" t="s">
        <v>310</v>
      </c>
      <c r="E68" s="44" t="s">
        <v>165</v>
      </c>
      <c r="F68" s="45" t="s">
        <v>30</v>
      </c>
      <c r="G68" s="45"/>
      <c r="H68" s="44" t="s">
        <v>13</v>
      </c>
      <c r="I68" s="49">
        <v>138</v>
      </c>
      <c r="J68" s="49"/>
      <c r="K68" s="47" t="s">
        <v>8</v>
      </c>
      <c r="L68" s="48">
        <v>567834.93999999994</v>
      </c>
    </row>
    <row r="69" spans="1:12" hidden="1" x14ac:dyDescent="0.3">
      <c r="A69" s="51" t="s">
        <v>206</v>
      </c>
      <c r="B69" s="51"/>
      <c r="C69" s="51"/>
      <c r="D69" s="51"/>
      <c r="E69" s="52">
        <v>0</v>
      </c>
      <c r="F69" s="52"/>
      <c r="G69" s="52"/>
      <c r="H69" s="53">
        <v>419788.68</v>
      </c>
      <c r="I69" s="53"/>
      <c r="J69" s="53"/>
      <c r="K69" s="54" t="s">
        <v>8</v>
      </c>
      <c r="L69" s="55">
        <v>567834.93999999994</v>
      </c>
    </row>
    <row r="71" spans="1:12" x14ac:dyDescent="0.3">
      <c r="J71">
        <f>SUBTOTAL(9,I3:J68)</f>
        <v>419788.68</v>
      </c>
    </row>
    <row r="73" spans="1:12" x14ac:dyDescent="0.3">
      <c r="J73" s="28">
        <f>J71*1.2</f>
        <v>503746.41599999997</v>
      </c>
    </row>
  </sheetData>
  <autoFilter ref="B1:D69" xr:uid="{2179580B-EFEC-4E2A-8449-B273FD7EC335}">
    <filterColumn colId="0">
      <customFilters>
        <customFilter operator="notEqual" val=" "/>
      </customFilters>
    </filterColumn>
  </autoFilter>
  <mergeCells count="144">
    <mergeCell ref="F67:G67"/>
    <mergeCell ref="I67:J67"/>
    <mergeCell ref="F68:G68"/>
    <mergeCell ref="I68:J68"/>
    <mergeCell ref="A69:D69"/>
    <mergeCell ref="E69:G69"/>
    <mergeCell ref="H69:J69"/>
    <mergeCell ref="F64:G64"/>
    <mergeCell ref="I64:J64"/>
    <mergeCell ref="F65:G65"/>
    <mergeCell ref="I65:J65"/>
    <mergeCell ref="F66:G66"/>
    <mergeCell ref="I66:J66"/>
    <mergeCell ref="F61:G61"/>
    <mergeCell ref="I61:J61"/>
    <mergeCell ref="F62:G62"/>
    <mergeCell ref="I62:J62"/>
    <mergeCell ref="F63:G63"/>
    <mergeCell ref="I63:J63"/>
    <mergeCell ref="F58:G58"/>
    <mergeCell ref="I58:J58"/>
    <mergeCell ref="F59:G59"/>
    <mergeCell ref="I59:J59"/>
    <mergeCell ref="F60:G60"/>
    <mergeCell ref="I60:J60"/>
    <mergeCell ref="F55:G55"/>
    <mergeCell ref="I55:J55"/>
    <mergeCell ref="F56:G56"/>
    <mergeCell ref="I56:J56"/>
    <mergeCell ref="F57:G57"/>
    <mergeCell ref="I57:J57"/>
    <mergeCell ref="F52:G52"/>
    <mergeCell ref="I52:J52"/>
    <mergeCell ref="F53:G53"/>
    <mergeCell ref="I53:J53"/>
    <mergeCell ref="F54:G54"/>
    <mergeCell ref="I54:J54"/>
    <mergeCell ref="F49:G49"/>
    <mergeCell ref="I49:J49"/>
    <mergeCell ref="F50:G50"/>
    <mergeCell ref="I50:J50"/>
    <mergeCell ref="F51:G51"/>
    <mergeCell ref="I51:J51"/>
    <mergeCell ref="F46:G46"/>
    <mergeCell ref="I46:J46"/>
    <mergeCell ref="F47:G47"/>
    <mergeCell ref="I47:J47"/>
    <mergeCell ref="F48:G48"/>
    <mergeCell ref="I48:J48"/>
    <mergeCell ref="F43:G43"/>
    <mergeCell ref="I43:J43"/>
    <mergeCell ref="F44:G44"/>
    <mergeCell ref="I44:J44"/>
    <mergeCell ref="F45:G45"/>
    <mergeCell ref="I45:J45"/>
    <mergeCell ref="F40:G40"/>
    <mergeCell ref="I40:J40"/>
    <mergeCell ref="F41:G41"/>
    <mergeCell ref="I41:J41"/>
    <mergeCell ref="F42:G42"/>
    <mergeCell ref="I42:J42"/>
    <mergeCell ref="F37:G37"/>
    <mergeCell ref="I37:J37"/>
    <mergeCell ref="F38:G38"/>
    <mergeCell ref="I38:J38"/>
    <mergeCell ref="F39:G39"/>
    <mergeCell ref="I39:J39"/>
    <mergeCell ref="F34:G34"/>
    <mergeCell ref="I34:J34"/>
    <mergeCell ref="F35:G35"/>
    <mergeCell ref="I35:J35"/>
    <mergeCell ref="F36:G36"/>
    <mergeCell ref="I36:J36"/>
    <mergeCell ref="F31:G31"/>
    <mergeCell ref="I31:J31"/>
    <mergeCell ref="F32:G32"/>
    <mergeCell ref="I32:J32"/>
    <mergeCell ref="F33:G33"/>
    <mergeCell ref="I33:J33"/>
    <mergeCell ref="F28:G28"/>
    <mergeCell ref="I28:J28"/>
    <mergeCell ref="F29:G29"/>
    <mergeCell ref="I29:J29"/>
    <mergeCell ref="F30:G30"/>
    <mergeCell ref="I30:J30"/>
    <mergeCell ref="F25:G25"/>
    <mergeCell ref="I25:J25"/>
    <mergeCell ref="F26:G26"/>
    <mergeCell ref="I26:J26"/>
    <mergeCell ref="F27:G27"/>
    <mergeCell ref="I27:J27"/>
    <mergeCell ref="F22:G22"/>
    <mergeCell ref="I22:J22"/>
    <mergeCell ref="F23:G23"/>
    <mergeCell ref="I23:J23"/>
    <mergeCell ref="F24:G24"/>
    <mergeCell ref="I24:J24"/>
    <mergeCell ref="F19:G19"/>
    <mergeCell ref="I19:J19"/>
    <mergeCell ref="F20:G20"/>
    <mergeCell ref="I20:J20"/>
    <mergeCell ref="F21:G21"/>
    <mergeCell ref="I21:J21"/>
    <mergeCell ref="F16:G16"/>
    <mergeCell ref="I16:J16"/>
    <mergeCell ref="F17:G17"/>
    <mergeCell ref="I17:J17"/>
    <mergeCell ref="F18:G18"/>
    <mergeCell ref="I18:J18"/>
    <mergeCell ref="F13:G13"/>
    <mergeCell ref="I13:J13"/>
    <mergeCell ref="F14:G14"/>
    <mergeCell ref="I14:J14"/>
    <mergeCell ref="F15:G15"/>
    <mergeCell ref="I15:J15"/>
    <mergeCell ref="F10:G10"/>
    <mergeCell ref="I10:J10"/>
    <mergeCell ref="F11:G11"/>
    <mergeCell ref="I11:J11"/>
    <mergeCell ref="F12:G12"/>
    <mergeCell ref="I12:J12"/>
    <mergeCell ref="F7:G7"/>
    <mergeCell ref="I7:J7"/>
    <mergeCell ref="F8:G8"/>
    <mergeCell ref="I8:J8"/>
    <mergeCell ref="F9:G9"/>
    <mergeCell ref="I9:J9"/>
    <mergeCell ref="F4:G4"/>
    <mergeCell ref="I4:J4"/>
    <mergeCell ref="F5:G5"/>
    <mergeCell ref="I5:J5"/>
    <mergeCell ref="F6:G6"/>
    <mergeCell ref="I6:J6"/>
    <mergeCell ref="K1:L2"/>
    <mergeCell ref="F2:G2"/>
    <mergeCell ref="I2:J2"/>
    <mergeCell ref="F3:G3"/>
    <mergeCell ref="I3:J3"/>
    <mergeCell ref="A1:A2"/>
    <mergeCell ref="B1:B2"/>
    <mergeCell ref="C1:C2"/>
    <mergeCell ref="D1:D2"/>
    <mergeCell ref="E1:G1"/>
    <mergeCell ref="H1:J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C3C99-4C42-4B13-ADB2-EC5C601573C2}">
  <sheetPr filterMode="1"/>
  <dimension ref="A1:L1559"/>
  <sheetViews>
    <sheetView topLeftCell="A1552" workbookViewId="0">
      <selection activeCell="J1559" sqref="J1559"/>
    </sheetView>
  </sheetViews>
  <sheetFormatPr defaultRowHeight="14.4" x14ac:dyDescent="0.3"/>
  <cols>
    <col min="2" max="4" width="21.5546875" customWidth="1"/>
    <col min="10" max="10" width="12.33203125" bestFit="1" customWidth="1"/>
  </cols>
  <sheetData>
    <row r="1" spans="1:12" x14ac:dyDescent="0.3">
      <c r="A1" s="56" t="s">
        <v>0</v>
      </c>
      <c r="B1" s="57" t="s">
        <v>1</v>
      </c>
      <c r="C1" s="57" t="s">
        <v>2</v>
      </c>
      <c r="D1" s="58" t="s">
        <v>3</v>
      </c>
      <c r="E1" s="59" t="s">
        <v>4</v>
      </c>
      <c r="F1" s="59"/>
      <c r="G1" s="59"/>
      <c r="H1" s="60" t="s">
        <v>5</v>
      </c>
      <c r="I1" s="60"/>
      <c r="J1" s="60"/>
      <c r="K1" s="57" t="s">
        <v>6</v>
      </c>
      <c r="L1" s="57"/>
    </row>
    <row r="2" spans="1:12" x14ac:dyDescent="0.3">
      <c r="A2" s="61"/>
      <c r="B2" s="62"/>
      <c r="C2" s="62"/>
      <c r="D2" s="63"/>
      <c r="E2" s="64" t="s">
        <v>7</v>
      </c>
      <c r="F2" s="65"/>
      <c r="G2" s="65"/>
      <c r="H2" s="66" t="s">
        <v>7</v>
      </c>
      <c r="I2" s="67"/>
      <c r="J2" s="67"/>
      <c r="K2" s="61"/>
      <c r="L2" s="68"/>
    </row>
    <row r="3" spans="1:12" ht="71.400000000000006" hidden="1" x14ac:dyDescent="0.3">
      <c r="A3" s="69" t="s">
        <v>9</v>
      </c>
      <c r="B3" s="70" t="s">
        <v>311</v>
      </c>
      <c r="C3" s="70" t="s">
        <v>312</v>
      </c>
      <c r="D3" s="70" t="s">
        <v>313</v>
      </c>
      <c r="E3" s="71" t="s">
        <v>13</v>
      </c>
      <c r="F3" s="72" t="s">
        <v>30</v>
      </c>
      <c r="G3" s="72"/>
      <c r="H3" s="71" t="s">
        <v>13</v>
      </c>
      <c r="I3" s="73">
        <v>20737.5</v>
      </c>
      <c r="J3" s="73"/>
      <c r="K3" s="74" t="s">
        <v>8</v>
      </c>
      <c r="L3" s="75">
        <v>4261514.76</v>
      </c>
    </row>
    <row r="4" spans="1:12" ht="71.400000000000006" hidden="1" x14ac:dyDescent="0.3">
      <c r="A4" s="69" t="s">
        <v>9</v>
      </c>
      <c r="B4" s="70" t="s">
        <v>311</v>
      </c>
      <c r="C4" s="70" t="s">
        <v>312</v>
      </c>
      <c r="D4" s="70" t="s">
        <v>313</v>
      </c>
      <c r="E4" s="71" t="s">
        <v>13</v>
      </c>
      <c r="F4" s="76">
        <v>20737.5</v>
      </c>
      <c r="G4" s="76"/>
      <c r="H4" s="71" t="s">
        <v>13</v>
      </c>
      <c r="I4" s="77" t="s">
        <v>30</v>
      </c>
      <c r="J4" s="77"/>
      <c r="K4" s="74" t="s">
        <v>8</v>
      </c>
      <c r="L4" s="75">
        <v>7881665.6299999999</v>
      </c>
    </row>
    <row r="5" spans="1:12" ht="61.2" hidden="1" x14ac:dyDescent="0.3">
      <c r="A5" s="69" t="s">
        <v>9</v>
      </c>
      <c r="B5" s="70" t="s">
        <v>311</v>
      </c>
      <c r="C5" s="70" t="s">
        <v>314</v>
      </c>
      <c r="D5" s="70" t="s">
        <v>315</v>
      </c>
      <c r="E5" s="71" t="s">
        <v>13</v>
      </c>
      <c r="F5" s="76">
        <v>1643.61</v>
      </c>
      <c r="G5" s="76"/>
      <c r="H5" s="71" t="s">
        <v>13</v>
      </c>
      <c r="I5" s="77" t="s">
        <v>30</v>
      </c>
      <c r="J5" s="77"/>
      <c r="K5" s="74" t="s">
        <v>8</v>
      </c>
      <c r="L5" s="75">
        <v>7883309.2400000002</v>
      </c>
    </row>
    <row r="6" spans="1:12" ht="61.2" hidden="1" x14ac:dyDescent="0.3">
      <c r="A6" s="69" t="s">
        <v>9</v>
      </c>
      <c r="B6" s="70" t="s">
        <v>311</v>
      </c>
      <c r="C6" s="70" t="s">
        <v>314</v>
      </c>
      <c r="D6" s="70" t="s">
        <v>315</v>
      </c>
      <c r="E6" s="71" t="s">
        <v>13</v>
      </c>
      <c r="F6" s="72" t="s">
        <v>30</v>
      </c>
      <c r="G6" s="72"/>
      <c r="H6" s="71" t="s">
        <v>13</v>
      </c>
      <c r="I6" s="73">
        <v>1643.61</v>
      </c>
      <c r="J6" s="73"/>
      <c r="K6" s="74" t="s">
        <v>8</v>
      </c>
      <c r="L6" s="75">
        <v>4259871.1500000004</v>
      </c>
    </row>
    <row r="7" spans="1:12" ht="61.2" hidden="1" x14ac:dyDescent="0.3">
      <c r="A7" s="69" t="s">
        <v>9</v>
      </c>
      <c r="B7" s="70" t="s">
        <v>316</v>
      </c>
      <c r="C7" s="70" t="s">
        <v>317</v>
      </c>
      <c r="D7" s="70" t="s">
        <v>318</v>
      </c>
      <c r="E7" s="71" t="s">
        <v>319</v>
      </c>
      <c r="F7" s="72" t="s">
        <v>30</v>
      </c>
      <c r="G7" s="72"/>
      <c r="H7" s="71" t="s">
        <v>13</v>
      </c>
      <c r="I7" s="73">
        <v>187239.29</v>
      </c>
      <c r="J7" s="73"/>
      <c r="K7" s="74" t="s">
        <v>8</v>
      </c>
      <c r="L7" s="75">
        <v>1462246.47</v>
      </c>
    </row>
    <row r="8" spans="1:12" ht="71.400000000000006" hidden="1" x14ac:dyDescent="0.3">
      <c r="A8" s="69" t="s">
        <v>9</v>
      </c>
      <c r="B8" s="70" t="s">
        <v>316</v>
      </c>
      <c r="C8" s="70" t="s">
        <v>320</v>
      </c>
      <c r="D8" s="70" t="s">
        <v>321</v>
      </c>
      <c r="E8" s="71" t="s">
        <v>319</v>
      </c>
      <c r="F8" s="72" t="s">
        <v>30</v>
      </c>
      <c r="G8" s="72"/>
      <c r="H8" s="71" t="s">
        <v>13</v>
      </c>
      <c r="I8" s="73">
        <v>22817.34</v>
      </c>
      <c r="J8" s="73"/>
      <c r="K8" s="74" t="s">
        <v>8</v>
      </c>
      <c r="L8" s="75">
        <v>1439429.13</v>
      </c>
    </row>
    <row r="9" spans="1:12" ht="61.2" hidden="1" x14ac:dyDescent="0.3">
      <c r="A9" s="69" t="s">
        <v>9</v>
      </c>
      <c r="B9" s="70" t="s">
        <v>316</v>
      </c>
      <c r="C9" s="70" t="s">
        <v>322</v>
      </c>
      <c r="D9" s="70" t="s">
        <v>323</v>
      </c>
      <c r="E9" s="71" t="s">
        <v>319</v>
      </c>
      <c r="F9" s="72" t="s">
        <v>30</v>
      </c>
      <c r="G9" s="72"/>
      <c r="H9" s="71" t="s">
        <v>13</v>
      </c>
      <c r="I9" s="73">
        <v>3315</v>
      </c>
      <c r="J9" s="73"/>
      <c r="K9" s="74" t="s">
        <v>8</v>
      </c>
      <c r="L9" s="75">
        <v>1436114.13</v>
      </c>
    </row>
    <row r="10" spans="1:12" ht="61.2" hidden="1" x14ac:dyDescent="0.3">
      <c r="A10" s="69" t="s">
        <v>9</v>
      </c>
      <c r="B10" s="70" t="s">
        <v>316</v>
      </c>
      <c r="C10" s="70" t="s">
        <v>322</v>
      </c>
      <c r="D10" s="70" t="s">
        <v>324</v>
      </c>
      <c r="E10" s="71" t="s">
        <v>319</v>
      </c>
      <c r="F10" s="72" t="s">
        <v>30</v>
      </c>
      <c r="G10" s="72"/>
      <c r="H10" s="71" t="s">
        <v>13</v>
      </c>
      <c r="I10" s="73">
        <v>15606.51</v>
      </c>
      <c r="J10" s="73"/>
      <c r="K10" s="74" t="s">
        <v>8</v>
      </c>
      <c r="L10" s="75">
        <v>1420507.62</v>
      </c>
    </row>
    <row r="11" spans="1:12" ht="71.400000000000006" hidden="1" x14ac:dyDescent="0.3">
      <c r="A11" s="69" t="s">
        <v>9</v>
      </c>
      <c r="B11" s="70" t="s">
        <v>316</v>
      </c>
      <c r="C11" s="70" t="s">
        <v>325</v>
      </c>
      <c r="D11" s="70" t="s">
        <v>326</v>
      </c>
      <c r="E11" s="71" t="s">
        <v>319</v>
      </c>
      <c r="F11" s="72" t="s">
        <v>30</v>
      </c>
      <c r="G11" s="72"/>
      <c r="H11" s="71" t="s">
        <v>13</v>
      </c>
      <c r="I11" s="78">
        <v>266</v>
      </c>
      <c r="J11" s="78"/>
      <c r="K11" s="74" t="s">
        <v>8</v>
      </c>
      <c r="L11" s="75">
        <v>1420241.62</v>
      </c>
    </row>
    <row r="12" spans="1:12" ht="71.400000000000006" hidden="1" x14ac:dyDescent="0.3">
      <c r="A12" s="69" t="s">
        <v>9</v>
      </c>
      <c r="B12" s="70" t="s">
        <v>327</v>
      </c>
      <c r="C12" s="70" t="s">
        <v>328</v>
      </c>
      <c r="D12" s="70" t="s">
        <v>329</v>
      </c>
      <c r="E12" s="71" t="s">
        <v>319</v>
      </c>
      <c r="F12" s="72" t="s">
        <v>30</v>
      </c>
      <c r="G12" s="72"/>
      <c r="H12" s="71" t="s">
        <v>13</v>
      </c>
      <c r="I12" s="73">
        <v>11637.56</v>
      </c>
      <c r="J12" s="73"/>
      <c r="K12" s="74" t="s">
        <v>8</v>
      </c>
      <c r="L12" s="75">
        <v>1408604.06</v>
      </c>
    </row>
    <row r="13" spans="1:12" ht="71.400000000000006" hidden="1" x14ac:dyDescent="0.3">
      <c r="A13" s="69" t="s">
        <v>9</v>
      </c>
      <c r="B13" s="70" t="s">
        <v>327</v>
      </c>
      <c r="C13" s="70" t="s">
        <v>328</v>
      </c>
      <c r="D13" s="70" t="s">
        <v>330</v>
      </c>
      <c r="E13" s="71" t="s">
        <v>319</v>
      </c>
      <c r="F13" s="72" t="s">
        <v>30</v>
      </c>
      <c r="G13" s="72"/>
      <c r="H13" s="71" t="s">
        <v>13</v>
      </c>
      <c r="I13" s="73">
        <v>5670</v>
      </c>
      <c r="J13" s="73"/>
      <c r="K13" s="74" t="s">
        <v>8</v>
      </c>
      <c r="L13" s="75">
        <v>1402934.06</v>
      </c>
    </row>
    <row r="14" spans="1:12" ht="71.400000000000006" hidden="1" x14ac:dyDescent="0.3">
      <c r="A14" s="69" t="s">
        <v>9</v>
      </c>
      <c r="B14" s="70" t="s">
        <v>327</v>
      </c>
      <c r="C14" s="70" t="s">
        <v>328</v>
      </c>
      <c r="D14" s="70" t="s">
        <v>331</v>
      </c>
      <c r="E14" s="71" t="s">
        <v>319</v>
      </c>
      <c r="F14" s="72" t="s">
        <v>30</v>
      </c>
      <c r="G14" s="72"/>
      <c r="H14" s="71" t="s">
        <v>13</v>
      </c>
      <c r="I14" s="73">
        <v>55935.6</v>
      </c>
      <c r="J14" s="73"/>
      <c r="K14" s="74" t="s">
        <v>8</v>
      </c>
      <c r="L14" s="75">
        <v>1346998.46</v>
      </c>
    </row>
    <row r="15" spans="1:12" ht="71.400000000000006" hidden="1" x14ac:dyDescent="0.3">
      <c r="A15" s="69" t="s">
        <v>9</v>
      </c>
      <c r="B15" s="70" t="s">
        <v>327</v>
      </c>
      <c r="C15" s="70" t="s">
        <v>328</v>
      </c>
      <c r="D15" s="70" t="s">
        <v>332</v>
      </c>
      <c r="E15" s="71" t="s">
        <v>319</v>
      </c>
      <c r="F15" s="72" t="s">
        <v>30</v>
      </c>
      <c r="G15" s="72"/>
      <c r="H15" s="71" t="s">
        <v>13</v>
      </c>
      <c r="I15" s="73">
        <v>11676.4</v>
      </c>
      <c r="J15" s="73"/>
      <c r="K15" s="74" t="s">
        <v>8</v>
      </c>
      <c r="L15" s="75">
        <v>1335322.06</v>
      </c>
    </row>
    <row r="16" spans="1:12" ht="71.400000000000006" hidden="1" x14ac:dyDescent="0.3">
      <c r="A16" s="69" t="s">
        <v>9</v>
      </c>
      <c r="B16" s="70" t="s">
        <v>327</v>
      </c>
      <c r="C16" s="70" t="s">
        <v>328</v>
      </c>
      <c r="D16" s="70" t="s">
        <v>332</v>
      </c>
      <c r="E16" s="71" t="s">
        <v>319</v>
      </c>
      <c r="F16" s="72" t="s">
        <v>30</v>
      </c>
      <c r="G16" s="72"/>
      <c r="H16" s="71" t="s">
        <v>13</v>
      </c>
      <c r="I16" s="73">
        <v>16892.080000000002</v>
      </c>
      <c r="J16" s="73"/>
      <c r="K16" s="74" t="s">
        <v>8</v>
      </c>
      <c r="L16" s="75">
        <v>1318429.98</v>
      </c>
    </row>
    <row r="17" spans="1:12" ht="71.400000000000006" hidden="1" x14ac:dyDescent="0.3">
      <c r="A17" s="69" t="s">
        <v>9</v>
      </c>
      <c r="B17" s="70" t="s">
        <v>327</v>
      </c>
      <c r="C17" s="70" t="s">
        <v>333</v>
      </c>
      <c r="D17" s="70" t="s">
        <v>334</v>
      </c>
      <c r="E17" s="71" t="s">
        <v>319</v>
      </c>
      <c r="F17" s="72" t="s">
        <v>30</v>
      </c>
      <c r="G17" s="72"/>
      <c r="H17" s="71" t="s">
        <v>13</v>
      </c>
      <c r="I17" s="73">
        <v>1010.8</v>
      </c>
      <c r="J17" s="73"/>
      <c r="K17" s="74" t="s">
        <v>8</v>
      </c>
      <c r="L17" s="75">
        <v>1317419.18</v>
      </c>
    </row>
    <row r="18" spans="1:12" ht="71.400000000000006" hidden="1" x14ac:dyDescent="0.3">
      <c r="A18" s="69" t="s">
        <v>9</v>
      </c>
      <c r="B18" s="70" t="s">
        <v>327</v>
      </c>
      <c r="C18" s="70" t="s">
        <v>335</v>
      </c>
      <c r="D18" s="70" t="s">
        <v>336</v>
      </c>
      <c r="E18" s="71" t="s">
        <v>319</v>
      </c>
      <c r="F18" s="72" t="s">
        <v>30</v>
      </c>
      <c r="G18" s="72"/>
      <c r="H18" s="71" t="s">
        <v>13</v>
      </c>
      <c r="I18" s="73">
        <v>6842.02</v>
      </c>
      <c r="J18" s="73"/>
      <c r="K18" s="74" t="s">
        <v>8</v>
      </c>
      <c r="L18" s="75">
        <v>1310577.1599999999</v>
      </c>
    </row>
    <row r="19" spans="1:12" ht="71.400000000000006" hidden="1" x14ac:dyDescent="0.3">
      <c r="A19" s="69" t="s">
        <v>9</v>
      </c>
      <c r="B19" s="70" t="s">
        <v>327</v>
      </c>
      <c r="C19" s="70" t="s">
        <v>335</v>
      </c>
      <c r="D19" s="70" t="s">
        <v>337</v>
      </c>
      <c r="E19" s="71" t="s">
        <v>319</v>
      </c>
      <c r="F19" s="72" t="s">
        <v>30</v>
      </c>
      <c r="G19" s="72"/>
      <c r="H19" s="71" t="s">
        <v>13</v>
      </c>
      <c r="I19" s="73">
        <v>28336.93</v>
      </c>
      <c r="J19" s="73"/>
      <c r="K19" s="74" t="s">
        <v>8</v>
      </c>
      <c r="L19" s="75">
        <v>1282240.23</v>
      </c>
    </row>
    <row r="20" spans="1:12" ht="71.400000000000006" hidden="1" x14ac:dyDescent="0.3">
      <c r="A20" s="69" t="s">
        <v>9</v>
      </c>
      <c r="B20" s="70" t="s">
        <v>327</v>
      </c>
      <c r="C20" s="70" t="s">
        <v>338</v>
      </c>
      <c r="D20" s="70" t="s">
        <v>326</v>
      </c>
      <c r="E20" s="71" t="s">
        <v>319</v>
      </c>
      <c r="F20" s="72" t="s">
        <v>30</v>
      </c>
      <c r="G20" s="72"/>
      <c r="H20" s="71" t="s">
        <v>13</v>
      </c>
      <c r="I20" s="73">
        <v>4655</v>
      </c>
      <c r="J20" s="73"/>
      <c r="K20" s="74" t="s">
        <v>8</v>
      </c>
      <c r="L20" s="75">
        <v>1277585.23</v>
      </c>
    </row>
    <row r="21" spans="1:12" ht="71.400000000000006" hidden="1" x14ac:dyDescent="0.3">
      <c r="A21" s="69" t="s">
        <v>9</v>
      </c>
      <c r="B21" s="70" t="s">
        <v>339</v>
      </c>
      <c r="C21" s="70" t="s">
        <v>340</v>
      </c>
      <c r="D21" s="70" t="s">
        <v>341</v>
      </c>
      <c r="E21" s="71" t="s">
        <v>13</v>
      </c>
      <c r="F21" s="76">
        <v>1391.25</v>
      </c>
      <c r="G21" s="76"/>
      <c r="H21" s="71" t="s">
        <v>342</v>
      </c>
      <c r="I21" s="77" t="s">
        <v>30</v>
      </c>
      <c r="J21" s="77"/>
      <c r="K21" s="74" t="s">
        <v>8</v>
      </c>
      <c r="L21" s="75">
        <v>7884700.4900000002</v>
      </c>
    </row>
    <row r="22" spans="1:12" ht="61.2" hidden="1" x14ac:dyDescent="0.3">
      <c r="A22" s="69" t="s">
        <v>9</v>
      </c>
      <c r="B22" s="70" t="s">
        <v>339</v>
      </c>
      <c r="C22" s="70" t="s">
        <v>343</v>
      </c>
      <c r="D22" s="70" t="s">
        <v>344</v>
      </c>
      <c r="E22" s="71" t="s">
        <v>13</v>
      </c>
      <c r="F22" s="79">
        <v>276.10000000000002</v>
      </c>
      <c r="G22" s="79"/>
      <c r="H22" s="71" t="s">
        <v>342</v>
      </c>
      <c r="I22" s="77" t="s">
        <v>30</v>
      </c>
      <c r="J22" s="77"/>
      <c r="K22" s="74" t="s">
        <v>8</v>
      </c>
      <c r="L22" s="75">
        <v>7884976.5899999999</v>
      </c>
    </row>
    <row r="23" spans="1:12" ht="71.400000000000006" hidden="1" x14ac:dyDescent="0.3">
      <c r="A23" s="69" t="s">
        <v>9</v>
      </c>
      <c r="B23" s="70" t="s">
        <v>345</v>
      </c>
      <c r="C23" s="70" t="s">
        <v>346</v>
      </c>
      <c r="D23" s="70" t="s">
        <v>347</v>
      </c>
      <c r="E23" s="71" t="s">
        <v>13</v>
      </c>
      <c r="F23" s="72" t="s">
        <v>30</v>
      </c>
      <c r="G23" s="72"/>
      <c r="H23" s="71" t="s">
        <v>13</v>
      </c>
      <c r="I23" s="78">
        <v>277.60000000000002</v>
      </c>
      <c r="J23" s="78"/>
      <c r="K23" s="74" t="s">
        <v>8</v>
      </c>
      <c r="L23" s="75">
        <v>292030.45</v>
      </c>
    </row>
    <row r="24" spans="1:12" ht="71.400000000000006" hidden="1" x14ac:dyDescent="0.3">
      <c r="A24" s="69" t="s">
        <v>9</v>
      </c>
      <c r="B24" s="70" t="s">
        <v>345</v>
      </c>
      <c r="C24" s="70" t="s">
        <v>346</v>
      </c>
      <c r="D24" s="70" t="s">
        <v>347</v>
      </c>
      <c r="E24" s="71" t="s">
        <v>13</v>
      </c>
      <c r="F24" s="79">
        <v>277.60000000000002</v>
      </c>
      <c r="G24" s="79"/>
      <c r="H24" s="71" t="s">
        <v>13</v>
      </c>
      <c r="I24" s="77" t="s">
        <v>30</v>
      </c>
      <c r="J24" s="77"/>
      <c r="K24" s="74" t="s">
        <v>8</v>
      </c>
      <c r="L24" s="75">
        <v>7885254.1900000004</v>
      </c>
    </row>
    <row r="25" spans="1:12" ht="91.8" hidden="1" x14ac:dyDescent="0.3">
      <c r="A25" s="69" t="s">
        <v>9</v>
      </c>
      <c r="B25" s="70" t="s">
        <v>348</v>
      </c>
      <c r="C25" s="70" t="s">
        <v>349</v>
      </c>
      <c r="D25" s="70" t="s">
        <v>350</v>
      </c>
      <c r="E25" s="71" t="s">
        <v>13</v>
      </c>
      <c r="F25" s="76">
        <v>1617.22</v>
      </c>
      <c r="G25" s="76"/>
      <c r="H25" s="71" t="s">
        <v>13</v>
      </c>
      <c r="I25" s="77" t="s">
        <v>30</v>
      </c>
      <c r="J25" s="77"/>
      <c r="K25" s="74" t="s">
        <v>8</v>
      </c>
      <c r="L25" s="75">
        <v>2274221.15</v>
      </c>
    </row>
    <row r="26" spans="1:12" ht="91.8" hidden="1" x14ac:dyDescent="0.3">
      <c r="A26" s="69" t="s">
        <v>9</v>
      </c>
      <c r="B26" s="70" t="s">
        <v>348</v>
      </c>
      <c r="C26" s="70" t="s">
        <v>349</v>
      </c>
      <c r="D26" s="70" t="s">
        <v>350</v>
      </c>
      <c r="E26" s="71" t="s">
        <v>13</v>
      </c>
      <c r="F26" s="72" t="s">
        <v>30</v>
      </c>
      <c r="G26" s="72"/>
      <c r="H26" s="71" t="s">
        <v>13</v>
      </c>
      <c r="I26" s="73">
        <v>1617.22</v>
      </c>
      <c r="J26" s="73"/>
      <c r="K26" s="74" t="s">
        <v>8</v>
      </c>
      <c r="L26" s="75">
        <v>4258253.93</v>
      </c>
    </row>
    <row r="27" spans="1:12" ht="91.8" hidden="1" x14ac:dyDescent="0.3">
      <c r="A27" s="69" t="s">
        <v>9</v>
      </c>
      <c r="B27" s="70" t="s">
        <v>348</v>
      </c>
      <c r="C27" s="70" t="s">
        <v>349</v>
      </c>
      <c r="D27" s="70" t="s">
        <v>351</v>
      </c>
      <c r="E27" s="71" t="s">
        <v>13</v>
      </c>
      <c r="F27" s="76">
        <v>4105.95</v>
      </c>
      <c r="G27" s="76"/>
      <c r="H27" s="71" t="s">
        <v>13</v>
      </c>
      <c r="I27" s="77" t="s">
        <v>30</v>
      </c>
      <c r="J27" s="77"/>
      <c r="K27" s="74" t="s">
        <v>8</v>
      </c>
      <c r="L27" s="75">
        <v>2278327.1</v>
      </c>
    </row>
    <row r="28" spans="1:12" ht="91.8" hidden="1" x14ac:dyDescent="0.3">
      <c r="A28" s="69" t="s">
        <v>9</v>
      </c>
      <c r="B28" s="70" t="s">
        <v>348</v>
      </c>
      <c r="C28" s="70" t="s">
        <v>349</v>
      </c>
      <c r="D28" s="70" t="s">
        <v>351</v>
      </c>
      <c r="E28" s="71" t="s">
        <v>13</v>
      </c>
      <c r="F28" s="72" t="s">
        <v>30</v>
      </c>
      <c r="G28" s="72"/>
      <c r="H28" s="71" t="s">
        <v>13</v>
      </c>
      <c r="I28" s="73">
        <v>4105.95</v>
      </c>
      <c r="J28" s="73"/>
      <c r="K28" s="74" t="s">
        <v>8</v>
      </c>
      <c r="L28" s="75">
        <v>4254147.9800000004</v>
      </c>
    </row>
    <row r="29" spans="1:12" ht="81.599999999999994" hidden="1" x14ac:dyDescent="0.3">
      <c r="A29" s="69" t="s">
        <v>9</v>
      </c>
      <c r="B29" s="70" t="s">
        <v>348</v>
      </c>
      <c r="C29" s="70" t="s">
        <v>352</v>
      </c>
      <c r="D29" s="70" t="s">
        <v>353</v>
      </c>
      <c r="E29" s="71" t="s">
        <v>13</v>
      </c>
      <c r="F29" s="79">
        <v>829.16</v>
      </c>
      <c r="G29" s="79"/>
      <c r="H29" s="71" t="s">
        <v>13</v>
      </c>
      <c r="I29" s="77" t="s">
        <v>30</v>
      </c>
      <c r="J29" s="77"/>
      <c r="K29" s="74" t="s">
        <v>8</v>
      </c>
      <c r="L29" s="75">
        <v>2279156.2599999998</v>
      </c>
    </row>
    <row r="30" spans="1:12" ht="81.599999999999994" hidden="1" x14ac:dyDescent="0.3">
      <c r="A30" s="69" t="s">
        <v>9</v>
      </c>
      <c r="B30" s="70" t="s">
        <v>348</v>
      </c>
      <c r="C30" s="70" t="s">
        <v>352</v>
      </c>
      <c r="D30" s="70" t="s">
        <v>353</v>
      </c>
      <c r="E30" s="71" t="s">
        <v>13</v>
      </c>
      <c r="F30" s="72" t="s">
        <v>30</v>
      </c>
      <c r="G30" s="72"/>
      <c r="H30" s="71" t="s">
        <v>13</v>
      </c>
      <c r="I30" s="78">
        <v>829.16</v>
      </c>
      <c r="J30" s="78"/>
      <c r="K30" s="74" t="s">
        <v>8</v>
      </c>
      <c r="L30" s="75">
        <v>4253318.82</v>
      </c>
    </row>
    <row r="31" spans="1:12" ht="81.599999999999994" hidden="1" x14ac:dyDescent="0.3">
      <c r="A31" s="69" t="s">
        <v>9</v>
      </c>
      <c r="B31" s="70" t="s">
        <v>354</v>
      </c>
      <c r="C31" s="70" t="s">
        <v>355</v>
      </c>
      <c r="D31" s="70" t="s">
        <v>356</v>
      </c>
      <c r="E31" s="71" t="s">
        <v>13</v>
      </c>
      <c r="F31" s="72" t="s">
        <v>30</v>
      </c>
      <c r="G31" s="72"/>
      <c r="H31" s="71" t="s">
        <v>13</v>
      </c>
      <c r="I31" s="78">
        <v>376.26</v>
      </c>
      <c r="J31" s="78"/>
      <c r="K31" s="74" t="s">
        <v>8</v>
      </c>
      <c r="L31" s="75">
        <v>1418689.46</v>
      </c>
    </row>
    <row r="32" spans="1:12" ht="81.599999999999994" hidden="1" x14ac:dyDescent="0.3">
      <c r="A32" s="69" t="s">
        <v>9</v>
      </c>
      <c r="B32" s="70" t="s">
        <v>354</v>
      </c>
      <c r="C32" s="70" t="s">
        <v>355</v>
      </c>
      <c r="D32" s="70" t="s">
        <v>356</v>
      </c>
      <c r="E32" s="71" t="s">
        <v>13</v>
      </c>
      <c r="F32" s="79">
        <v>376.26</v>
      </c>
      <c r="G32" s="79"/>
      <c r="H32" s="71" t="s">
        <v>13</v>
      </c>
      <c r="I32" s="77" t="s">
        <v>30</v>
      </c>
      <c r="J32" s="77"/>
      <c r="K32" s="74" t="s">
        <v>8</v>
      </c>
      <c r="L32" s="75">
        <v>4253695.08</v>
      </c>
    </row>
    <row r="33" spans="1:12" ht="71.400000000000006" hidden="1" x14ac:dyDescent="0.3">
      <c r="A33" s="69" t="s">
        <v>9</v>
      </c>
      <c r="B33" s="70" t="s">
        <v>357</v>
      </c>
      <c r="C33" s="70" t="s">
        <v>358</v>
      </c>
      <c r="D33" s="70" t="s">
        <v>359</v>
      </c>
      <c r="E33" s="71" t="s">
        <v>13</v>
      </c>
      <c r="F33" s="76">
        <v>1830.4</v>
      </c>
      <c r="G33" s="76"/>
      <c r="H33" s="71" t="s">
        <v>342</v>
      </c>
      <c r="I33" s="77" t="s">
        <v>30</v>
      </c>
      <c r="J33" s="77"/>
      <c r="K33" s="74" t="s">
        <v>8</v>
      </c>
      <c r="L33" s="75">
        <v>7887084.5899999999</v>
      </c>
    </row>
    <row r="34" spans="1:12" ht="81.599999999999994" hidden="1" x14ac:dyDescent="0.3">
      <c r="A34" s="69" t="s">
        <v>9</v>
      </c>
      <c r="B34" s="70" t="s">
        <v>360</v>
      </c>
      <c r="C34" s="70" t="s">
        <v>361</v>
      </c>
      <c r="D34" s="70" t="s">
        <v>351</v>
      </c>
      <c r="E34" s="71" t="s">
        <v>13</v>
      </c>
      <c r="F34" s="72" t="s">
        <v>30</v>
      </c>
      <c r="G34" s="72"/>
      <c r="H34" s="71" t="s">
        <v>13</v>
      </c>
      <c r="I34" s="73">
        <v>1936.58</v>
      </c>
      <c r="J34" s="73"/>
      <c r="K34" s="74" t="s">
        <v>8</v>
      </c>
      <c r="L34" s="75">
        <v>4251758.5</v>
      </c>
    </row>
    <row r="35" spans="1:12" ht="81.599999999999994" hidden="1" x14ac:dyDescent="0.3">
      <c r="A35" s="69" t="s">
        <v>9</v>
      </c>
      <c r="B35" s="70" t="s">
        <v>360</v>
      </c>
      <c r="C35" s="70" t="s">
        <v>361</v>
      </c>
      <c r="D35" s="70" t="s">
        <v>351</v>
      </c>
      <c r="E35" s="71" t="s">
        <v>13</v>
      </c>
      <c r="F35" s="76">
        <v>1936.58</v>
      </c>
      <c r="G35" s="76"/>
      <c r="H35" s="71" t="s">
        <v>13</v>
      </c>
      <c r="I35" s="77" t="s">
        <v>30</v>
      </c>
      <c r="J35" s="77"/>
      <c r="K35" s="74" t="s">
        <v>8</v>
      </c>
      <c r="L35" s="75">
        <v>575716.68999999994</v>
      </c>
    </row>
    <row r="36" spans="1:12" ht="71.400000000000006" hidden="1" x14ac:dyDescent="0.3">
      <c r="A36" s="69" t="s">
        <v>9</v>
      </c>
      <c r="B36" s="70" t="s">
        <v>360</v>
      </c>
      <c r="C36" s="70" t="s">
        <v>362</v>
      </c>
      <c r="D36" s="70" t="s">
        <v>353</v>
      </c>
      <c r="E36" s="71" t="s">
        <v>13</v>
      </c>
      <c r="F36" s="79">
        <v>280.45999999999998</v>
      </c>
      <c r="G36" s="79"/>
      <c r="H36" s="71" t="s">
        <v>13</v>
      </c>
      <c r="I36" s="77" t="s">
        <v>30</v>
      </c>
      <c r="J36" s="77"/>
      <c r="K36" s="74" t="s">
        <v>8</v>
      </c>
      <c r="L36" s="75">
        <v>575997.15</v>
      </c>
    </row>
    <row r="37" spans="1:12" ht="71.400000000000006" hidden="1" x14ac:dyDescent="0.3">
      <c r="A37" s="69" t="s">
        <v>9</v>
      </c>
      <c r="B37" s="70" t="s">
        <v>360</v>
      </c>
      <c r="C37" s="70" t="s">
        <v>362</v>
      </c>
      <c r="D37" s="70" t="s">
        <v>353</v>
      </c>
      <c r="E37" s="71" t="s">
        <v>13</v>
      </c>
      <c r="F37" s="72" t="s">
        <v>30</v>
      </c>
      <c r="G37" s="72"/>
      <c r="H37" s="71" t="s">
        <v>13</v>
      </c>
      <c r="I37" s="78">
        <v>280.45999999999998</v>
      </c>
      <c r="J37" s="78"/>
      <c r="K37" s="74" t="s">
        <v>8</v>
      </c>
      <c r="L37" s="75">
        <v>4251478.04</v>
      </c>
    </row>
    <row r="38" spans="1:12" ht="71.400000000000006" hidden="1" x14ac:dyDescent="0.3">
      <c r="A38" s="69" t="s">
        <v>9</v>
      </c>
      <c r="B38" s="70" t="s">
        <v>363</v>
      </c>
      <c r="C38" s="70" t="s">
        <v>364</v>
      </c>
      <c r="D38" s="70" t="s">
        <v>365</v>
      </c>
      <c r="E38" s="71" t="s">
        <v>13</v>
      </c>
      <c r="F38" s="76">
        <v>3637.22</v>
      </c>
      <c r="G38" s="76"/>
      <c r="H38" s="71" t="s">
        <v>13</v>
      </c>
      <c r="I38" s="77" t="s">
        <v>30</v>
      </c>
      <c r="J38" s="77"/>
      <c r="K38" s="74" t="s">
        <v>8</v>
      </c>
      <c r="L38" s="75">
        <v>1907939.23</v>
      </c>
    </row>
    <row r="39" spans="1:12" ht="71.400000000000006" hidden="1" x14ac:dyDescent="0.3">
      <c r="A39" s="69" t="s">
        <v>9</v>
      </c>
      <c r="B39" s="70" t="s">
        <v>363</v>
      </c>
      <c r="C39" s="70" t="s">
        <v>364</v>
      </c>
      <c r="D39" s="70" t="s">
        <v>365</v>
      </c>
      <c r="E39" s="71" t="s">
        <v>13</v>
      </c>
      <c r="F39" s="72" t="s">
        <v>30</v>
      </c>
      <c r="G39" s="72"/>
      <c r="H39" s="71" t="s">
        <v>13</v>
      </c>
      <c r="I39" s="73">
        <v>3637.22</v>
      </c>
      <c r="J39" s="73"/>
      <c r="K39" s="74" t="s">
        <v>8</v>
      </c>
      <c r="L39" s="75">
        <v>826449.56</v>
      </c>
    </row>
    <row r="40" spans="1:12" ht="71.400000000000006" hidden="1" x14ac:dyDescent="0.3">
      <c r="A40" s="69" t="s">
        <v>9</v>
      </c>
      <c r="B40" s="70" t="s">
        <v>366</v>
      </c>
      <c r="C40" s="70" t="s">
        <v>367</v>
      </c>
      <c r="D40" s="70" t="s">
        <v>368</v>
      </c>
      <c r="E40" s="71" t="s">
        <v>13</v>
      </c>
      <c r="F40" s="79">
        <v>423.28</v>
      </c>
      <c r="G40" s="79"/>
      <c r="H40" s="71" t="s">
        <v>13</v>
      </c>
      <c r="I40" s="78">
        <v>423.28</v>
      </c>
      <c r="J40" s="78"/>
      <c r="K40" s="74" t="s">
        <v>8</v>
      </c>
      <c r="L40" s="75">
        <v>154139.04999999999</v>
      </c>
    </row>
    <row r="41" spans="1:12" ht="71.400000000000006" hidden="1" x14ac:dyDescent="0.3">
      <c r="A41" s="69" t="s">
        <v>9</v>
      </c>
      <c r="B41" s="70" t="s">
        <v>366</v>
      </c>
      <c r="C41" s="70" t="s">
        <v>369</v>
      </c>
      <c r="D41" s="70" t="s">
        <v>370</v>
      </c>
      <c r="E41" s="71" t="s">
        <v>13</v>
      </c>
      <c r="F41" s="76">
        <v>7953.66</v>
      </c>
      <c r="G41" s="76"/>
      <c r="H41" s="71" t="s">
        <v>13</v>
      </c>
      <c r="I41" s="73">
        <v>7953.66</v>
      </c>
      <c r="J41" s="73"/>
      <c r="K41" s="74" t="s">
        <v>8</v>
      </c>
      <c r="L41" s="75">
        <v>154139.04999999999</v>
      </c>
    </row>
    <row r="42" spans="1:12" ht="71.400000000000006" hidden="1" x14ac:dyDescent="0.3">
      <c r="A42" s="69" t="s">
        <v>9</v>
      </c>
      <c r="B42" s="70" t="s">
        <v>366</v>
      </c>
      <c r="C42" s="70" t="s">
        <v>371</v>
      </c>
      <c r="D42" s="70" t="s">
        <v>372</v>
      </c>
      <c r="E42" s="71" t="s">
        <v>13</v>
      </c>
      <c r="F42" s="76">
        <v>1296</v>
      </c>
      <c r="G42" s="76"/>
      <c r="H42" s="71" t="s">
        <v>13</v>
      </c>
      <c r="I42" s="73">
        <v>1296</v>
      </c>
      <c r="J42" s="73"/>
      <c r="K42" s="74" t="s">
        <v>8</v>
      </c>
      <c r="L42" s="75">
        <v>154139.04999999999</v>
      </c>
    </row>
    <row r="43" spans="1:12" ht="71.400000000000006" hidden="1" x14ac:dyDescent="0.3">
      <c r="A43" s="69" t="s">
        <v>9</v>
      </c>
      <c r="B43" s="70" t="s">
        <v>366</v>
      </c>
      <c r="C43" s="70" t="s">
        <v>373</v>
      </c>
      <c r="D43" s="70" t="s">
        <v>374</v>
      </c>
      <c r="E43" s="71" t="s">
        <v>13</v>
      </c>
      <c r="F43" s="76">
        <v>5779.2</v>
      </c>
      <c r="G43" s="76"/>
      <c r="H43" s="71" t="s">
        <v>13</v>
      </c>
      <c r="I43" s="73">
        <v>5779.2</v>
      </c>
      <c r="J43" s="73"/>
      <c r="K43" s="74" t="s">
        <v>8</v>
      </c>
      <c r="L43" s="75">
        <v>154139.04999999999</v>
      </c>
    </row>
    <row r="44" spans="1:12" ht="71.400000000000006" hidden="1" x14ac:dyDescent="0.3">
      <c r="A44" s="69" t="s">
        <v>9</v>
      </c>
      <c r="B44" s="70" t="s">
        <v>366</v>
      </c>
      <c r="C44" s="70" t="s">
        <v>373</v>
      </c>
      <c r="D44" s="70" t="s">
        <v>375</v>
      </c>
      <c r="E44" s="71" t="s">
        <v>13</v>
      </c>
      <c r="F44" s="76">
        <v>2932.8</v>
      </c>
      <c r="G44" s="76"/>
      <c r="H44" s="71" t="s">
        <v>13</v>
      </c>
      <c r="I44" s="73">
        <v>2932.8</v>
      </c>
      <c r="J44" s="73"/>
      <c r="K44" s="74" t="s">
        <v>8</v>
      </c>
      <c r="L44" s="75">
        <v>154139.04999999999</v>
      </c>
    </row>
    <row r="45" spans="1:12" ht="71.400000000000006" hidden="1" x14ac:dyDescent="0.3">
      <c r="A45" s="69" t="s">
        <v>9</v>
      </c>
      <c r="B45" s="70" t="s">
        <v>366</v>
      </c>
      <c r="C45" s="70" t="s">
        <v>376</v>
      </c>
      <c r="D45" s="70" t="s">
        <v>377</v>
      </c>
      <c r="E45" s="71" t="s">
        <v>13</v>
      </c>
      <c r="F45" s="79">
        <v>249.92</v>
      </c>
      <c r="G45" s="79"/>
      <c r="H45" s="71" t="s">
        <v>13</v>
      </c>
      <c r="I45" s="78">
        <v>249.92</v>
      </c>
      <c r="J45" s="78"/>
      <c r="K45" s="74" t="s">
        <v>8</v>
      </c>
      <c r="L45" s="75">
        <v>154139.04999999999</v>
      </c>
    </row>
    <row r="46" spans="1:12" ht="71.400000000000006" hidden="1" x14ac:dyDescent="0.3">
      <c r="A46" s="69" t="s">
        <v>9</v>
      </c>
      <c r="B46" s="70" t="s">
        <v>366</v>
      </c>
      <c r="C46" s="70" t="s">
        <v>378</v>
      </c>
      <c r="D46" s="70" t="s">
        <v>379</v>
      </c>
      <c r="E46" s="71" t="s">
        <v>13</v>
      </c>
      <c r="F46" s="76">
        <v>4732.1400000000003</v>
      </c>
      <c r="G46" s="76"/>
      <c r="H46" s="71" t="s">
        <v>13</v>
      </c>
      <c r="I46" s="73">
        <v>4732.1400000000003</v>
      </c>
      <c r="J46" s="73"/>
      <c r="K46" s="74" t="s">
        <v>8</v>
      </c>
      <c r="L46" s="75">
        <v>154139.04999999999</v>
      </c>
    </row>
    <row r="47" spans="1:12" ht="71.400000000000006" hidden="1" x14ac:dyDescent="0.3">
      <c r="A47" s="69" t="s">
        <v>9</v>
      </c>
      <c r="B47" s="70" t="s">
        <v>366</v>
      </c>
      <c r="C47" s="70" t="s">
        <v>380</v>
      </c>
      <c r="D47" s="70" t="s">
        <v>381</v>
      </c>
      <c r="E47" s="71" t="s">
        <v>13</v>
      </c>
      <c r="F47" s="76">
        <v>5347.52</v>
      </c>
      <c r="G47" s="76"/>
      <c r="H47" s="71" t="s">
        <v>13</v>
      </c>
      <c r="I47" s="73">
        <v>5347.52</v>
      </c>
      <c r="J47" s="73"/>
      <c r="K47" s="74" t="s">
        <v>8</v>
      </c>
      <c r="L47" s="75">
        <v>154139.04999999999</v>
      </c>
    </row>
    <row r="48" spans="1:12" ht="81.599999999999994" hidden="1" x14ac:dyDescent="0.3">
      <c r="A48" s="69" t="s">
        <v>9</v>
      </c>
      <c r="B48" s="70" t="s">
        <v>366</v>
      </c>
      <c r="C48" s="70" t="s">
        <v>382</v>
      </c>
      <c r="D48" s="70" t="s">
        <v>383</v>
      </c>
      <c r="E48" s="71" t="s">
        <v>13</v>
      </c>
      <c r="F48" s="79">
        <v>58.5</v>
      </c>
      <c r="G48" s="79"/>
      <c r="H48" s="71" t="s">
        <v>13</v>
      </c>
      <c r="I48" s="78">
        <v>58.5</v>
      </c>
      <c r="J48" s="78"/>
      <c r="K48" s="74" t="s">
        <v>8</v>
      </c>
      <c r="L48" s="75">
        <v>154139.04999999999</v>
      </c>
    </row>
    <row r="49" spans="1:12" ht="81.599999999999994" hidden="1" x14ac:dyDescent="0.3">
      <c r="A49" s="69" t="s">
        <v>9</v>
      </c>
      <c r="B49" s="70" t="s">
        <v>366</v>
      </c>
      <c r="C49" s="70" t="s">
        <v>384</v>
      </c>
      <c r="D49" s="70" t="s">
        <v>385</v>
      </c>
      <c r="E49" s="71" t="s">
        <v>13</v>
      </c>
      <c r="F49" s="76">
        <v>1048.57</v>
      </c>
      <c r="G49" s="76"/>
      <c r="H49" s="71" t="s">
        <v>13</v>
      </c>
      <c r="I49" s="73">
        <v>1048.57</v>
      </c>
      <c r="J49" s="73"/>
      <c r="K49" s="74" t="s">
        <v>8</v>
      </c>
      <c r="L49" s="75">
        <v>154139.04999999999</v>
      </c>
    </row>
    <row r="50" spans="1:12" ht="81.599999999999994" hidden="1" x14ac:dyDescent="0.3">
      <c r="A50" s="69" t="s">
        <v>9</v>
      </c>
      <c r="B50" s="70" t="s">
        <v>366</v>
      </c>
      <c r="C50" s="70" t="s">
        <v>386</v>
      </c>
      <c r="D50" s="70" t="s">
        <v>387</v>
      </c>
      <c r="E50" s="71" t="s">
        <v>13</v>
      </c>
      <c r="F50" s="79">
        <v>554.88</v>
      </c>
      <c r="G50" s="79"/>
      <c r="H50" s="71" t="s">
        <v>13</v>
      </c>
      <c r="I50" s="78">
        <v>554.88</v>
      </c>
      <c r="J50" s="78"/>
      <c r="K50" s="74" t="s">
        <v>8</v>
      </c>
      <c r="L50" s="75">
        <v>154139.04999999999</v>
      </c>
    </row>
    <row r="51" spans="1:12" ht="81.599999999999994" x14ac:dyDescent="0.3">
      <c r="A51" s="69" t="s">
        <v>18</v>
      </c>
      <c r="B51" s="70" t="s">
        <v>388</v>
      </c>
      <c r="C51" s="70" t="s">
        <v>27</v>
      </c>
      <c r="D51" s="70" t="s">
        <v>389</v>
      </c>
      <c r="E51" s="71" t="s">
        <v>29</v>
      </c>
      <c r="F51" s="72" t="s">
        <v>30</v>
      </c>
      <c r="G51" s="72"/>
      <c r="H51" s="71" t="s">
        <v>13</v>
      </c>
      <c r="I51" s="73">
        <v>1699.5</v>
      </c>
      <c r="J51" s="73"/>
      <c r="K51" s="74" t="s">
        <v>8</v>
      </c>
      <c r="L51" s="75">
        <v>7885385.0899999999</v>
      </c>
    </row>
    <row r="52" spans="1:12" ht="81.599999999999994" x14ac:dyDescent="0.3">
      <c r="A52" s="69" t="s">
        <v>18</v>
      </c>
      <c r="B52" s="70" t="s">
        <v>388</v>
      </c>
      <c r="C52" s="70" t="s">
        <v>27</v>
      </c>
      <c r="D52" s="70" t="s">
        <v>390</v>
      </c>
      <c r="E52" s="71" t="s">
        <v>29</v>
      </c>
      <c r="F52" s="72" t="s">
        <v>30</v>
      </c>
      <c r="G52" s="72"/>
      <c r="H52" s="71" t="s">
        <v>13</v>
      </c>
      <c r="I52" s="73">
        <v>23137.95</v>
      </c>
      <c r="J52" s="73"/>
      <c r="K52" s="74" t="s">
        <v>8</v>
      </c>
      <c r="L52" s="75">
        <v>7862247.1399999997</v>
      </c>
    </row>
    <row r="53" spans="1:12" ht="91.8" x14ac:dyDescent="0.3">
      <c r="A53" s="69" t="s">
        <v>18</v>
      </c>
      <c r="B53" s="70" t="s">
        <v>388</v>
      </c>
      <c r="C53" s="70" t="s">
        <v>27</v>
      </c>
      <c r="D53" s="70" t="s">
        <v>391</v>
      </c>
      <c r="E53" s="71" t="s">
        <v>29</v>
      </c>
      <c r="F53" s="72" t="s">
        <v>30</v>
      </c>
      <c r="G53" s="72"/>
      <c r="H53" s="71" t="s">
        <v>13</v>
      </c>
      <c r="I53" s="73">
        <v>426096</v>
      </c>
      <c r="J53" s="73"/>
      <c r="K53" s="74" t="s">
        <v>8</v>
      </c>
      <c r="L53" s="75">
        <v>7436151.1399999997</v>
      </c>
    </row>
    <row r="54" spans="1:12" ht="91.8" x14ac:dyDescent="0.3">
      <c r="A54" s="69" t="s">
        <v>18</v>
      </c>
      <c r="B54" s="70" t="s">
        <v>392</v>
      </c>
      <c r="C54" s="70" t="s">
        <v>27</v>
      </c>
      <c r="D54" s="70" t="s">
        <v>393</v>
      </c>
      <c r="E54" s="71" t="s">
        <v>29</v>
      </c>
      <c r="F54" s="72" t="s">
        <v>30</v>
      </c>
      <c r="G54" s="72"/>
      <c r="H54" s="71" t="s">
        <v>13</v>
      </c>
      <c r="I54" s="73">
        <v>60043.65</v>
      </c>
      <c r="J54" s="73"/>
      <c r="K54" s="74" t="s">
        <v>8</v>
      </c>
      <c r="L54" s="75">
        <v>7376107.4900000002</v>
      </c>
    </row>
    <row r="55" spans="1:12" ht="81.599999999999994" x14ac:dyDescent="0.3">
      <c r="A55" s="69" t="s">
        <v>18</v>
      </c>
      <c r="B55" s="70" t="s">
        <v>394</v>
      </c>
      <c r="C55" s="70" t="s">
        <v>27</v>
      </c>
      <c r="D55" s="70" t="s">
        <v>395</v>
      </c>
      <c r="E55" s="71" t="s">
        <v>29</v>
      </c>
      <c r="F55" s="72" t="s">
        <v>30</v>
      </c>
      <c r="G55" s="72"/>
      <c r="H55" s="71" t="s">
        <v>13</v>
      </c>
      <c r="I55" s="73">
        <v>18314.66</v>
      </c>
      <c r="J55" s="73"/>
      <c r="K55" s="74" t="s">
        <v>8</v>
      </c>
      <c r="L55" s="75">
        <v>7357792.8300000001</v>
      </c>
    </row>
    <row r="56" spans="1:12" ht="81.599999999999994" x14ac:dyDescent="0.3">
      <c r="A56" s="69" t="s">
        <v>18</v>
      </c>
      <c r="B56" s="70" t="s">
        <v>394</v>
      </c>
      <c r="C56" s="70" t="s">
        <v>27</v>
      </c>
      <c r="D56" s="70" t="s">
        <v>396</v>
      </c>
      <c r="E56" s="71" t="s">
        <v>29</v>
      </c>
      <c r="F56" s="72" t="s">
        <v>30</v>
      </c>
      <c r="G56" s="72"/>
      <c r="H56" s="71" t="s">
        <v>13</v>
      </c>
      <c r="I56" s="73">
        <v>88748.3</v>
      </c>
      <c r="J56" s="73"/>
      <c r="K56" s="74" t="s">
        <v>8</v>
      </c>
      <c r="L56" s="75">
        <v>7269044.5300000003</v>
      </c>
    </row>
    <row r="57" spans="1:12" ht="81.599999999999994" x14ac:dyDescent="0.3">
      <c r="A57" s="69" t="s">
        <v>18</v>
      </c>
      <c r="B57" s="70" t="s">
        <v>397</v>
      </c>
      <c r="C57" s="70" t="s">
        <v>27</v>
      </c>
      <c r="D57" s="70" t="s">
        <v>398</v>
      </c>
      <c r="E57" s="71" t="s">
        <v>29</v>
      </c>
      <c r="F57" s="72" t="s">
        <v>30</v>
      </c>
      <c r="G57" s="72"/>
      <c r="H57" s="71" t="s">
        <v>13</v>
      </c>
      <c r="I57" s="78">
        <v>625</v>
      </c>
      <c r="J57" s="78"/>
      <c r="K57" s="74" t="s">
        <v>8</v>
      </c>
      <c r="L57" s="75">
        <v>7268419.5300000003</v>
      </c>
    </row>
    <row r="58" spans="1:12" ht="91.8" x14ac:dyDescent="0.3">
      <c r="A58" s="69" t="s">
        <v>18</v>
      </c>
      <c r="B58" s="70" t="s">
        <v>397</v>
      </c>
      <c r="C58" s="70" t="s">
        <v>27</v>
      </c>
      <c r="D58" s="70" t="s">
        <v>399</v>
      </c>
      <c r="E58" s="71" t="s">
        <v>29</v>
      </c>
      <c r="F58" s="72" t="s">
        <v>30</v>
      </c>
      <c r="G58" s="72"/>
      <c r="H58" s="71" t="s">
        <v>13</v>
      </c>
      <c r="I58" s="73">
        <v>42610</v>
      </c>
      <c r="J58" s="73"/>
      <c r="K58" s="74" t="s">
        <v>8</v>
      </c>
      <c r="L58" s="75">
        <v>7225809.5300000003</v>
      </c>
    </row>
    <row r="59" spans="1:12" ht="81.599999999999994" x14ac:dyDescent="0.3">
      <c r="A59" s="69" t="s">
        <v>18</v>
      </c>
      <c r="B59" s="70" t="s">
        <v>397</v>
      </c>
      <c r="C59" s="70" t="s">
        <v>27</v>
      </c>
      <c r="D59" s="70" t="s">
        <v>400</v>
      </c>
      <c r="E59" s="71" t="s">
        <v>29</v>
      </c>
      <c r="F59" s="72" t="s">
        <v>30</v>
      </c>
      <c r="G59" s="72"/>
      <c r="H59" s="71" t="s">
        <v>13</v>
      </c>
      <c r="I59" s="78">
        <v>738</v>
      </c>
      <c r="J59" s="78"/>
      <c r="K59" s="74" t="s">
        <v>8</v>
      </c>
      <c r="L59" s="75">
        <v>7225071.5300000003</v>
      </c>
    </row>
    <row r="60" spans="1:12" ht="81.599999999999994" x14ac:dyDescent="0.3">
      <c r="A60" s="69" t="s">
        <v>18</v>
      </c>
      <c r="B60" s="70" t="s">
        <v>397</v>
      </c>
      <c r="C60" s="70" t="s">
        <v>27</v>
      </c>
      <c r="D60" s="70" t="s">
        <v>401</v>
      </c>
      <c r="E60" s="71" t="s">
        <v>29</v>
      </c>
      <c r="F60" s="72" t="s">
        <v>30</v>
      </c>
      <c r="G60" s="72"/>
      <c r="H60" s="71" t="s">
        <v>13</v>
      </c>
      <c r="I60" s="73">
        <v>2294</v>
      </c>
      <c r="J60" s="73"/>
      <c r="K60" s="74" t="s">
        <v>8</v>
      </c>
      <c r="L60" s="75">
        <v>7222777.5300000003</v>
      </c>
    </row>
    <row r="61" spans="1:12" ht="91.8" x14ac:dyDescent="0.3">
      <c r="A61" s="69" t="s">
        <v>18</v>
      </c>
      <c r="B61" s="70" t="s">
        <v>397</v>
      </c>
      <c r="C61" s="70" t="s">
        <v>27</v>
      </c>
      <c r="D61" s="70" t="s">
        <v>402</v>
      </c>
      <c r="E61" s="71" t="s">
        <v>29</v>
      </c>
      <c r="F61" s="72" t="s">
        <v>30</v>
      </c>
      <c r="G61" s="72"/>
      <c r="H61" s="71" t="s">
        <v>13</v>
      </c>
      <c r="I61" s="73">
        <v>74803</v>
      </c>
      <c r="J61" s="73"/>
      <c r="K61" s="74" t="s">
        <v>8</v>
      </c>
      <c r="L61" s="75">
        <v>7147974.5300000003</v>
      </c>
    </row>
    <row r="62" spans="1:12" ht="91.8" x14ac:dyDescent="0.3">
      <c r="A62" s="69" t="s">
        <v>18</v>
      </c>
      <c r="B62" s="70" t="s">
        <v>397</v>
      </c>
      <c r="C62" s="70" t="s">
        <v>27</v>
      </c>
      <c r="D62" s="70" t="s">
        <v>403</v>
      </c>
      <c r="E62" s="71" t="s">
        <v>29</v>
      </c>
      <c r="F62" s="72" t="s">
        <v>30</v>
      </c>
      <c r="G62" s="72"/>
      <c r="H62" s="71" t="s">
        <v>13</v>
      </c>
      <c r="I62" s="73">
        <v>4604</v>
      </c>
      <c r="J62" s="73"/>
      <c r="K62" s="74" t="s">
        <v>8</v>
      </c>
      <c r="L62" s="75">
        <v>7143370.5300000003</v>
      </c>
    </row>
    <row r="63" spans="1:12" ht="81.599999999999994" x14ac:dyDescent="0.3">
      <c r="A63" s="69" t="s">
        <v>18</v>
      </c>
      <c r="B63" s="70" t="s">
        <v>397</v>
      </c>
      <c r="C63" s="70" t="s">
        <v>27</v>
      </c>
      <c r="D63" s="70" t="s">
        <v>404</v>
      </c>
      <c r="E63" s="71" t="s">
        <v>29</v>
      </c>
      <c r="F63" s="72" t="s">
        <v>30</v>
      </c>
      <c r="G63" s="72"/>
      <c r="H63" s="71" t="s">
        <v>13</v>
      </c>
      <c r="I63" s="73">
        <v>33579</v>
      </c>
      <c r="J63" s="73"/>
      <c r="K63" s="74" t="s">
        <v>8</v>
      </c>
      <c r="L63" s="75">
        <v>7109791.5300000003</v>
      </c>
    </row>
    <row r="64" spans="1:12" ht="81.599999999999994" x14ac:dyDescent="0.3">
      <c r="A64" s="69" t="s">
        <v>18</v>
      </c>
      <c r="B64" s="70" t="s">
        <v>397</v>
      </c>
      <c r="C64" s="70" t="s">
        <v>27</v>
      </c>
      <c r="D64" s="70" t="s">
        <v>405</v>
      </c>
      <c r="E64" s="71" t="s">
        <v>29</v>
      </c>
      <c r="F64" s="72" t="s">
        <v>30</v>
      </c>
      <c r="G64" s="72"/>
      <c r="H64" s="71" t="s">
        <v>13</v>
      </c>
      <c r="I64" s="73">
        <v>12452</v>
      </c>
      <c r="J64" s="73"/>
      <c r="K64" s="74" t="s">
        <v>8</v>
      </c>
      <c r="L64" s="75">
        <v>7097339.5300000003</v>
      </c>
    </row>
    <row r="65" spans="1:12" ht="91.8" x14ac:dyDescent="0.3">
      <c r="A65" s="69" t="s">
        <v>18</v>
      </c>
      <c r="B65" s="70" t="s">
        <v>397</v>
      </c>
      <c r="C65" s="70" t="s">
        <v>27</v>
      </c>
      <c r="D65" s="70" t="s">
        <v>406</v>
      </c>
      <c r="E65" s="71" t="s">
        <v>29</v>
      </c>
      <c r="F65" s="72" t="s">
        <v>30</v>
      </c>
      <c r="G65" s="72"/>
      <c r="H65" s="71" t="s">
        <v>13</v>
      </c>
      <c r="I65" s="73">
        <v>28079</v>
      </c>
      <c r="J65" s="73"/>
      <c r="K65" s="74" t="s">
        <v>8</v>
      </c>
      <c r="L65" s="75">
        <v>7069260.5300000003</v>
      </c>
    </row>
    <row r="66" spans="1:12" ht="91.8" x14ac:dyDescent="0.3">
      <c r="A66" s="69" t="s">
        <v>18</v>
      </c>
      <c r="B66" s="70" t="s">
        <v>397</v>
      </c>
      <c r="C66" s="70" t="s">
        <v>27</v>
      </c>
      <c r="D66" s="70" t="s">
        <v>407</v>
      </c>
      <c r="E66" s="71" t="s">
        <v>29</v>
      </c>
      <c r="F66" s="72" t="s">
        <v>30</v>
      </c>
      <c r="G66" s="72"/>
      <c r="H66" s="71" t="s">
        <v>13</v>
      </c>
      <c r="I66" s="73">
        <v>2954</v>
      </c>
      <c r="J66" s="73"/>
      <c r="K66" s="74" t="s">
        <v>8</v>
      </c>
      <c r="L66" s="75">
        <v>7066306.5300000003</v>
      </c>
    </row>
    <row r="67" spans="1:12" ht="91.8" x14ac:dyDescent="0.3">
      <c r="A67" s="69" t="s">
        <v>18</v>
      </c>
      <c r="B67" s="70" t="s">
        <v>397</v>
      </c>
      <c r="C67" s="70" t="s">
        <v>27</v>
      </c>
      <c r="D67" s="70" t="s">
        <v>408</v>
      </c>
      <c r="E67" s="71" t="s">
        <v>29</v>
      </c>
      <c r="F67" s="72" t="s">
        <v>30</v>
      </c>
      <c r="G67" s="72"/>
      <c r="H67" s="71" t="s">
        <v>13</v>
      </c>
      <c r="I67" s="73">
        <v>1838</v>
      </c>
      <c r="J67" s="73"/>
      <c r="K67" s="74" t="s">
        <v>8</v>
      </c>
      <c r="L67" s="75">
        <v>7064468.5300000003</v>
      </c>
    </row>
    <row r="68" spans="1:12" ht="91.8" x14ac:dyDescent="0.3">
      <c r="A68" s="69" t="s">
        <v>18</v>
      </c>
      <c r="B68" s="70" t="s">
        <v>397</v>
      </c>
      <c r="C68" s="70" t="s">
        <v>27</v>
      </c>
      <c r="D68" s="70" t="s">
        <v>409</v>
      </c>
      <c r="E68" s="71" t="s">
        <v>29</v>
      </c>
      <c r="F68" s="72" t="s">
        <v>30</v>
      </c>
      <c r="G68" s="72"/>
      <c r="H68" s="71" t="s">
        <v>13</v>
      </c>
      <c r="I68" s="73">
        <v>5040</v>
      </c>
      <c r="J68" s="73"/>
      <c r="K68" s="74" t="s">
        <v>8</v>
      </c>
      <c r="L68" s="75">
        <v>7059428.5300000003</v>
      </c>
    </row>
    <row r="69" spans="1:12" ht="91.8" x14ac:dyDescent="0.3">
      <c r="A69" s="69" t="s">
        <v>18</v>
      </c>
      <c r="B69" s="70" t="s">
        <v>397</v>
      </c>
      <c r="C69" s="70" t="s">
        <v>27</v>
      </c>
      <c r="D69" s="70" t="s">
        <v>410</v>
      </c>
      <c r="E69" s="71" t="s">
        <v>29</v>
      </c>
      <c r="F69" s="72" t="s">
        <v>30</v>
      </c>
      <c r="G69" s="72"/>
      <c r="H69" s="71" t="s">
        <v>13</v>
      </c>
      <c r="I69" s="73">
        <v>35856</v>
      </c>
      <c r="J69" s="73"/>
      <c r="K69" s="74" t="s">
        <v>8</v>
      </c>
      <c r="L69" s="75">
        <v>7023572.5300000003</v>
      </c>
    </row>
    <row r="70" spans="1:12" ht="102" x14ac:dyDescent="0.3">
      <c r="A70" s="69" t="s">
        <v>18</v>
      </c>
      <c r="B70" s="70" t="s">
        <v>397</v>
      </c>
      <c r="C70" s="70" t="s">
        <v>27</v>
      </c>
      <c r="D70" s="70" t="s">
        <v>411</v>
      </c>
      <c r="E70" s="71" t="s">
        <v>29</v>
      </c>
      <c r="F70" s="72" t="s">
        <v>30</v>
      </c>
      <c r="G70" s="72"/>
      <c r="H70" s="71" t="s">
        <v>13</v>
      </c>
      <c r="I70" s="73">
        <v>108498</v>
      </c>
      <c r="J70" s="73"/>
      <c r="K70" s="74" t="s">
        <v>8</v>
      </c>
      <c r="L70" s="75">
        <v>6915074.5300000003</v>
      </c>
    </row>
    <row r="71" spans="1:12" ht="102" x14ac:dyDescent="0.3">
      <c r="A71" s="69" t="s">
        <v>18</v>
      </c>
      <c r="B71" s="70" t="s">
        <v>397</v>
      </c>
      <c r="C71" s="70" t="s">
        <v>27</v>
      </c>
      <c r="D71" s="70" t="s">
        <v>412</v>
      </c>
      <c r="E71" s="71" t="s">
        <v>29</v>
      </c>
      <c r="F71" s="72" t="s">
        <v>30</v>
      </c>
      <c r="G71" s="72"/>
      <c r="H71" s="71" t="s">
        <v>13</v>
      </c>
      <c r="I71" s="73">
        <v>1116732</v>
      </c>
      <c r="J71" s="73"/>
      <c r="K71" s="74" t="s">
        <v>8</v>
      </c>
      <c r="L71" s="75">
        <v>5798342.5300000003</v>
      </c>
    </row>
    <row r="72" spans="1:12" ht="91.8" x14ac:dyDescent="0.3">
      <c r="A72" s="69" t="s">
        <v>18</v>
      </c>
      <c r="B72" s="70" t="s">
        <v>397</v>
      </c>
      <c r="C72" s="70" t="s">
        <v>27</v>
      </c>
      <c r="D72" s="70" t="s">
        <v>413</v>
      </c>
      <c r="E72" s="71" t="s">
        <v>29</v>
      </c>
      <c r="F72" s="72" t="s">
        <v>30</v>
      </c>
      <c r="G72" s="72"/>
      <c r="H72" s="71" t="s">
        <v>13</v>
      </c>
      <c r="I72" s="73">
        <v>80011</v>
      </c>
      <c r="J72" s="73"/>
      <c r="K72" s="74" t="s">
        <v>8</v>
      </c>
      <c r="L72" s="75">
        <v>5718331.5300000003</v>
      </c>
    </row>
    <row r="73" spans="1:12" ht="91.8" x14ac:dyDescent="0.3">
      <c r="A73" s="69" t="s">
        <v>18</v>
      </c>
      <c r="B73" s="70" t="s">
        <v>397</v>
      </c>
      <c r="C73" s="70" t="s">
        <v>27</v>
      </c>
      <c r="D73" s="70" t="s">
        <v>414</v>
      </c>
      <c r="E73" s="71" t="s">
        <v>29</v>
      </c>
      <c r="F73" s="72" t="s">
        <v>30</v>
      </c>
      <c r="G73" s="72"/>
      <c r="H73" s="71" t="s">
        <v>13</v>
      </c>
      <c r="I73" s="73">
        <v>111079</v>
      </c>
      <c r="J73" s="73"/>
      <c r="K73" s="74" t="s">
        <v>8</v>
      </c>
      <c r="L73" s="75">
        <v>5607252.5300000003</v>
      </c>
    </row>
    <row r="74" spans="1:12" ht="91.8" x14ac:dyDescent="0.3">
      <c r="A74" s="69" t="s">
        <v>18</v>
      </c>
      <c r="B74" s="70" t="s">
        <v>397</v>
      </c>
      <c r="C74" s="70" t="s">
        <v>27</v>
      </c>
      <c r="D74" s="70" t="s">
        <v>415</v>
      </c>
      <c r="E74" s="71" t="s">
        <v>29</v>
      </c>
      <c r="F74" s="72" t="s">
        <v>30</v>
      </c>
      <c r="G74" s="72"/>
      <c r="H74" s="71" t="s">
        <v>13</v>
      </c>
      <c r="I74" s="73">
        <v>2938</v>
      </c>
      <c r="J74" s="73"/>
      <c r="K74" s="74" t="s">
        <v>8</v>
      </c>
      <c r="L74" s="75">
        <v>5604314.5300000003</v>
      </c>
    </row>
    <row r="75" spans="1:12" ht="91.8" x14ac:dyDescent="0.3">
      <c r="A75" s="69" t="s">
        <v>18</v>
      </c>
      <c r="B75" s="70" t="s">
        <v>397</v>
      </c>
      <c r="C75" s="70" t="s">
        <v>27</v>
      </c>
      <c r="D75" s="70" t="s">
        <v>416</v>
      </c>
      <c r="E75" s="71" t="s">
        <v>29</v>
      </c>
      <c r="F75" s="72" t="s">
        <v>30</v>
      </c>
      <c r="G75" s="72"/>
      <c r="H75" s="71" t="s">
        <v>13</v>
      </c>
      <c r="I75" s="73">
        <v>33792</v>
      </c>
      <c r="J75" s="73"/>
      <c r="K75" s="74" t="s">
        <v>8</v>
      </c>
      <c r="L75" s="75">
        <v>5570522.5300000003</v>
      </c>
    </row>
    <row r="76" spans="1:12" ht="91.8" x14ac:dyDescent="0.3">
      <c r="A76" s="69" t="s">
        <v>18</v>
      </c>
      <c r="B76" s="70" t="s">
        <v>397</v>
      </c>
      <c r="C76" s="70" t="s">
        <v>27</v>
      </c>
      <c r="D76" s="70" t="s">
        <v>417</v>
      </c>
      <c r="E76" s="71" t="s">
        <v>29</v>
      </c>
      <c r="F76" s="72" t="s">
        <v>30</v>
      </c>
      <c r="G76" s="72"/>
      <c r="H76" s="71" t="s">
        <v>13</v>
      </c>
      <c r="I76" s="73">
        <v>214038</v>
      </c>
      <c r="J76" s="73"/>
      <c r="K76" s="74" t="s">
        <v>8</v>
      </c>
      <c r="L76" s="75">
        <v>5356484.53</v>
      </c>
    </row>
    <row r="77" spans="1:12" ht="91.8" x14ac:dyDescent="0.3">
      <c r="A77" s="69" t="s">
        <v>18</v>
      </c>
      <c r="B77" s="70" t="s">
        <v>397</v>
      </c>
      <c r="C77" s="70" t="s">
        <v>27</v>
      </c>
      <c r="D77" s="70" t="s">
        <v>418</v>
      </c>
      <c r="E77" s="71" t="s">
        <v>29</v>
      </c>
      <c r="F77" s="72" t="s">
        <v>30</v>
      </c>
      <c r="G77" s="72"/>
      <c r="H77" s="71" t="s">
        <v>13</v>
      </c>
      <c r="I77" s="73">
        <v>25092</v>
      </c>
      <c r="J77" s="73"/>
      <c r="K77" s="74" t="s">
        <v>8</v>
      </c>
      <c r="L77" s="75">
        <v>5331392.53</v>
      </c>
    </row>
    <row r="78" spans="1:12" ht="91.8" x14ac:dyDescent="0.3">
      <c r="A78" s="69" t="s">
        <v>18</v>
      </c>
      <c r="B78" s="70" t="s">
        <v>397</v>
      </c>
      <c r="C78" s="70" t="s">
        <v>27</v>
      </c>
      <c r="D78" s="70" t="s">
        <v>419</v>
      </c>
      <c r="E78" s="71" t="s">
        <v>29</v>
      </c>
      <c r="F78" s="72" t="s">
        <v>30</v>
      </c>
      <c r="G78" s="72"/>
      <c r="H78" s="71" t="s">
        <v>13</v>
      </c>
      <c r="I78" s="73">
        <v>37818</v>
      </c>
      <c r="J78" s="73"/>
      <c r="K78" s="74" t="s">
        <v>8</v>
      </c>
      <c r="L78" s="75">
        <v>5293574.53</v>
      </c>
    </row>
    <row r="79" spans="1:12" ht="91.8" x14ac:dyDescent="0.3">
      <c r="A79" s="69" t="s">
        <v>18</v>
      </c>
      <c r="B79" s="70" t="s">
        <v>397</v>
      </c>
      <c r="C79" s="70" t="s">
        <v>27</v>
      </c>
      <c r="D79" s="70" t="s">
        <v>420</v>
      </c>
      <c r="E79" s="71" t="s">
        <v>29</v>
      </c>
      <c r="F79" s="72" t="s">
        <v>30</v>
      </c>
      <c r="G79" s="72"/>
      <c r="H79" s="71" t="s">
        <v>13</v>
      </c>
      <c r="I79" s="73">
        <v>20712</v>
      </c>
      <c r="J79" s="73"/>
      <c r="K79" s="74" t="s">
        <v>8</v>
      </c>
      <c r="L79" s="75">
        <v>5272862.53</v>
      </c>
    </row>
    <row r="80" spans="1:12" ht="91.8" x14ac:dyDescent="0.3">
      <c r="A80" s="69" t="s">
        <v>18</v>
      </c>
      <c r="B80" s="70" t="s">
        <v>397</v>
      </c>
      <c r="C80" s="70" t="s">
        <v>27</v>
      </c>
      <c r="D80" s="70" t="s">
        <v>421</v>
      </c>
      <c r="E80" s="71" t="s">
        <v>29</v>
      </c>
      <c r="F80" s="72" t="s">
        <v>30</v>
      </c>
      <c r="G80" s="72"/>
      <c r="H80" s="71" t="s">
        <v>13</v>
      </c>
      <c r="I80" s="73">
        <v>256960</v>
      </c>
      <c r="J80" s="73"/>
      <c r="K80" s="74" t="s">
        <v>8</v>
      </c>
      <c r="L80" s="75">
        <v>5015902.53</v>
      </c>
    </row>
    <row r="81" spans="1:12" ht="91.8" x14ac:dyDescent="0.3">
      <c r="A81" s="69" t="s">
        <v>18</v>
      </c>
      <c r="B81" s="70" t="s">
        <v>397</v>
      </c>
      <c r="C81" s="70" t="s">
        <v>27</v>
      </c>
      <c r="D81" s="70" t="s">
        <v>422</v>
      </c>
      <c r="E81" s="71" t="s">
        <v>29</v>
      </c>
      <c r="F81" s="72" t="s">
        <v>30</v>
      </c>
      <c r="G81" s="72"/>
      <c r="H81" s="71" t="s">
        <v>13</v>
      </c>
      <c r="I81" s="73">
        <v>4902</v>
      </c>
      <c r="J81" s="73"/>
      <c r="K81" s="74" t="s">
        <v>8</v>
      </c>
      <c r="L81" s="75">
        <v>5011000.53</v>
      </c>
    </row>
    <row r="82" spans="1:12" ht="81.599999999999994" x14ac:dyDescent="0.3">
      <c r="A82" s="69" t="s">
        <v>18</v>
      </c>
      <c r="B82" s="70" t="s">
        <v>397</v>
      </c>
      <c r="C82" s="70" t="s">
        <v>27</v>
      </c>
      <c r="D82" s="70" t="s">
        <v>423</v>
      </c>
      <c r="E82" s="71" t="s">
        <v>29</v>
      </c>
      <c r="F82" s="72" t="s">
        <v>30</v>
      </c>
      <c r="G82" s="72"/>
      <c r="H82" s="71" t="s">
        <v>13</v>
      </c>
      <c r="I82" s="73">
        <v>76527</v>
      </c>
      <c r="J82" s="73"/>
      <c r="K82" s="74" t="s">
        <v>8</v>
      </c>
      <c r="L82" s="75">
        <v>4934473.53</v>
      </c>
    </row>
    <row r="83" spans="1:12" ht="91.8" x14ac:dyDescent="0.3">
      <c r="A83" s="69" t="s">
        <v>18</v>
      </c>
      <c r="B83" s="70" t="s">
        <v>397</v>
      </c>
      <c r="C83" s="70" t="s">
        <v>27</v>
      </c>
      <c r="D83" s="70" t="s">
        <v>424</v>
      </c>
      <c r="E83" s="71" t="s">
        <v>29</v>
      </c>
      <c r="F83" s="72" t="s">
        <v>30</v>
      </c>
      <c r="G83" s="72"/>
      <c r="H83" s="71" t="s">
        <v>13</v>
      </c>
      <c r="I83" s="73">
        <v>39838</v>
      </c>
      <c r="J83" s="73"/>
      <c r="K83" s="74" t="s">
        <v>8</v>
      </c>
      <c r="L83" s="75">
        <v>4894635.53</v>
      </c>
    </row>
    <row r="84" spans="1:12" ht="91.8" x14ac:dyDescent="0.3">
      <c r="A84" s="69" t="s">
        <v>18</v>
      </c>
      <c r="B84" s="70" t="s">
        <v>397</v>
      </c>
      <c r="C84" s="70" t="s">
        <v>27</v>
      </c>
      <c r="D84" s="70" t="s">
        <v>425</v>
      </c>
      <c r="E84" s="71" t="s">
        <v>29</v>
      </c>
      <c r="F84" s="72" t="s">
        <v>30</v>
      </c>
      <c r="G84" s="72"/>
      <c r="H84" s="71" t="s">
        <v>13</v>
      </c>
      <c r="I84" s="73">
        <v>418293</v>
      </c>
      <c r="J84" s="73"/>
      <c r="K84" s="74" t="s">
        <v>8</v>
      </c>
      <c r="L84" s="75">
        <v>4476342.53</v>
      </c>
    </row>
    <row r="85" spans="1:12" ht="91.8" x14ac:dyDescent="0.3">
      <c r="A85" s="69" t="s">
        <v>18</v>
      </c>
      <c r="B85" s="70" t="s">
        <v>397</v>
      </c>
      <c r="C85" s="70" t="s">
        <v>27</v>
      </c>
      <c r="D85" s="70" t="s">
        <v>426</v>
      </c>
      <c r="E85" s="71" t="s">
        <v>29</v>
      </c>
      <c r="F85" s="72" t="s">
        <v>30</v>
      </c>
      <c r="G85" s="72"/>
      <c r="H85" s="71" t="s">
        <v>13</v>
      </c>
      <c r="I85" s="73">
        <v>5216</v>
      </c>
      <c r="J85" s="73"/>
      <c r="K85" s="74" t="s">
        <v>8</v>
      </c>
      <c r="L85" s="75">
        <v>4471126.53</v>
      </c>
    </row>
    <row r="86" spans="1:12" ht="91.8" x14ac:dyDescent="0.3">
      <c r="A86" s="69" t="s">
        <v>18</v>
      </c>
      <c r="B86" s="70" t="s">
        <v>397</v>
      </c>
      <c r="C86" s="70" t="s">
        <v>27</v>
      </c>
      <c r="D86" s="70" t="s">
        <v>427</v>
      </c>
      <c r="E86" s="71" t="s">
        <v>29</v>
      </c>
      <c r="F86" s="72" t="s">
        <v>30</v>
      </c>
      <c r="G86" s="72"/>
      <c r="H86" s="71" t="s">
        <v>13</v>
      </c>
      <c r="I86" s="73">
        <v>2608</v>
      </c>
      <c r="J86" s="73"/>
      <c r="K86" s="74" t="s">
        <v>8</v>
      </c>
      <c r="L86" s="75">
        <v>4468518.53</v>
      </c>
    </row>
    <row r="87" spans="1:12" ht="91.8" x14ac:dyDescent="0.3">
      <c r="A87" s="69" t="s">
        <v>18</v>
      </c>
      <c r="B87" s="70" t="s">
        <v>397</v>
      </c>
      <c r="C87" s="70" t="s">
        <v>27</v>
      </c>
      <c r="D87" s="70" t="s">
        <v>428</v>
      </c>
      <c r="E87" s="71" t="s">
        <v>29</v>
      </c>
      <c r="F87" s="72" t="s">
        <v>30</v>
      </c>
      <c r="G87" s="72"/>
      <c r="H87" s="71" t="s">
        <v>13</v>
      </c>
      <c r="I87" s="73">
        <v>16261</v>
      </c>
      <c r="J87" s="73"/>
      <c r="K87" s="74" t="s">
        <v>8</v>
      </c>
      <c r="L87" s="75">
        <v>4452257.53</v>
      </c>
    </row>
    <row r="88" spans="1:12" ht="91.8" x14ac:dyDescent="0.3">
      <c r="A88" s="69" t="s">
        <v>18</v>
      </c>
      <c r="B88" s="70" t="s">
        <v>397</v>
      </c>
      <c r="C88" s="70" t="s">
        <v>27</v>
      </c>
      <c r="D88" s="70" t="s">
        <v>429</v>
      </c>
      <c r="E88" s="71" t="s">
        <v>29</v>
      </c>
      <c r="F88" s="72" t="s">
        <v>30</v>
      </c>
      <c r="G88" s="72"/>
      <c r="H88" s="71" t="s">
        <v>13</v>
      </c>
      <c r="I88" s="73">
        <v>18584</v>
      </c>
      <c r="J88" s="73"/>
      <c r="K88" s="74" t="s">
        <v>8</v>
      </c>
      <c r="L88" s="75">
        <v>4433673.53</v>
      </c>
    </row>
    <row r="89" spans="1:12" ht="91.8" x14ac:dyDescent="0.3">
      <c r="A89" s="69" t="s">
        <v>18</v>
      </c>
      <c r="B89" s="70" t="s">
        <v>397</v>
      </c>
      <c r="C89" s="70" t="s">
        <v>27</v>
      </c>
      <c r="D89" s="70" t="s">
        <v>430</v>
      </c>
      <c r="E89" s="71" t="s">
        <v>29</v>
      </c>
      <c r="F89" s="72" t="s">
        <v>30</v>
      </c>
      <c r="G89" s="72"/>
      <c r="H89" s="71" t="s">
        <v>13</v>
      </c>
      <c r="I89" s="73">
        <v>5676</v>
      </c>
      <c r="J89" s="73"/>
      <c r="K89" s="74" t="s">
        <v>8</v>
      </c>
      <c r="L89" s="75">
        <v>4427997.53</v>
      </c>
    </row>
    <row r="90" spans="1:12" ht="91.8" x14ac:dyDescent="0.3">
      <c r="A90" s="69" t="s">
        <v>18</v>
      </c>
      <c r="B90" s="70" t="s">
        <v>397</v>
      </c>
      <c r="C90" s="70" t="s">
        <v>27</v>
      </c>
      <c r="D90" s="70" t="s">
        <v>431</v>
      </c>
      <c r="E90" s="71" t="s">
        <v>29</v>
      </c>
      <c r="F90" s="72" t="s">
        <v>30</v>
      </c>
      <c r="G90" s="72"/>
      <c r="H90" s="71" t="s">
        <v>13</v>
      </c>
      <c r="I90" s="73">
        <v>18584</v>
      </c>
      <c r="J90" s="73"/>
      <c r="K90" s="74" t="s">
        <v>8</v>
      </c>
      <c r="L90" s="75">
        <v>4409413.53</v>
      </c>
    </row>
    <row r="91" spans="1:12" ht="91.8" x14ac:dyDescent="0.3">
      <c r="A91" s="69" t="s">
        <v>18</v>
      </c>
      <c r="B91" s="70" t="s">
        <v>397</v>
      </c>
      <c r="C91" s="70" t="s">
        <v>27</v>
      </c>
      <c r="D91" s="70" t="s">
        <v>432</v>
      </c>
      <c r="E91" s="71" t="s">
        <v>29</v>
      </c>
      <c r="F91" s="72" t="s">
        <v>30</v>
      </c>
      <c r="G91" s="72"/>
      <c r="H91" s="71" t="s">
        <v>13</v>
      </c>
      <c r="I91" s="73">
        <v>13938</v>
      </c>
      <c r="J91" s="73"/>
      <c r="K91" s="74" t="s">
        <v>8</v>
      </c>
      <c r="L91" s="75">
        <v>4395475.53</v>
      </c>
    </row>
    <row r="92" spans="1:12" ht="91.8" x14ac:dyDescent="0.3">
      <c r="A92" s="69" t="s">
        <v>18</v>
      </c>
      <c r="B92" s="70" t="s">
        <v>397</v>
      </c>
      <c r="C92" s="70" t="s">
        <v>27</v>
      </c>
      <c r="D92" s="70" t="s">
        <v>433</v>
      </c>
      <c r="E92" s="71" t="s">
        <v>29</v>
      </c>
      <c r="F92" s="72" t="s">
        <v>30</v>
      </c>
      <c r="G92" s="72"/>
      <c r="H92" s="71" t="s">
        <v>13</v>
      </c>
      <c r="I92" s="73">
        <v>6969</v>
      </c>
      <c r="J92" s="73"/>
      <c r="K92" s="74" t="s">
        <v>8</v>
      </c>
      <c r="L92" s="75">
        <v>4388506.53</v>
      </c>
    </row>
    <row r="93" spans="1:12" ht="91.8" x14ac:dyDescent="0.3">
      <c r="A93" s="69" t="s">
        <v>18</v>
      </c>
      <c r="B93" s="70" t="s">
        <v>397</v>
      </c>
      <c r="C93" s="70" t="s">
        <v>27</v>
      </c>
      <c r="D93" s="70" t="s">
        <v>434</v>
      </c>
      <c r="E93" s="71" t="s">
        <v>29</v>
      </c>
      <c r="F93" s="72" t="s">
        <v>30</v>
      </c>
      <c r="G93" s="72"/>
      <c r="H93" s="71" t="s">
        <v>13</v>
      </c>
      <c r="I93" s="73">
        <v>2323</v>
      </c>
      <c r="J93" s="73"/>
      <c r="K93" s="74" t="s">
        <v>8</v>
      </c>
      <c r="L93" s="75">
        <v>4386183.53</v>
      </c>
    </row>
    <row r="94" spans="1:12" ht="91.8" x14ac:dyDescent="0.3">
      <c r="A94" s="69" t="s">
        <v>18</v>
      </c>
      <c r="B94" s="70" t="s">
        <v>397</v>
      </c>
      <c r="C94" s="70" t="s">
        <v>27</v>
      </c>
      <c r="D94" s="70" t="s">
        <v>435</v>
      </c>
      <c r="E94" s="71" t="s">
        <v>29</v>
      </c>
      <c r="F94" s="72" t="s">
        <v>30</v>
      </c>
      <c r="G94" s="72"/>
      <c r="H94" s="71" t="s">
        <v>13</v>
      </c>
      <c r="I94" s="73">
        <v>234228</v>
      </c>
      <c r="J94" s="73"/>
      <c r="K94" s="74" t="s">
        <v>8</v>
      </c>
      <c r="L94" s="75">
        <v>4151955.53</v>
      </c>
    </row>
    <row r="95" spans="1:12" ht="91.8" x14ac:dyDescent="0.3">
      <c r="A95" s="69" t="s">
        <v>18</v>
      </c>
      <c r="B95" s="70" t="s">
        <v>397</v>
      </c>
      <c r="C95" s="70" t="s">
        <v>27</v>
      </c>
      <c r="D95" s="70" t="s">
        <v>436</v>
      </c>
      <c r="E95" s="71" t="s">
        <v>29</v>
      </c>
      <c r="F95" s="72" t="s">
        <v>30</v>
      </c>
      <c r="G95" s="72"/>
      <c r="H95" s="71" t="s">
        <v>13</v>
      </c>
      <c r="I95" s="73">
        <v>1881</v>
      </c>
      <c r="J95" s="73"/>
      <c r="K95" s="74" t="s">
        <v>8</v>
      </c>
      <c r="L95" s="75">
        <v>4150074.53</v>
      </c>
    </row>
    <row r="96" spans="1:12" ht="91.8" x14ac:dyDescent="0.3">
      <c r="A96" s="69" t="s">
        <v>18</v>
      </c>
      <c r="B96" s="70" t="s">
        <v>397</v>
      </c>
      <c r="C96" s="70" t="s">
        <v>27</v>
      </c>
      <c r="D96" s="70" t="s">
        <v>437</v>
      </c>
      <c r="E96" s="71" t="s">
        <v>29</v>
      </c>
      <c r="F96" s="72" t="s">
        <v>30</v>
      </c>
      <c r="G96" s="72"/>
      <c r="H96" s="71" t="s">
        <v>13</v>
      </c>
      <c r="I96" s="73">
        <v>3762</v>
      </c>
      <c r="J96" s="73"/>
      <c r="K96" s="74" t="s">
        <v>8</v>
      </c>
      <c r="L96" s="75">
        <v>4146312.53</v>
      </c>
    </row>
    <row r="97" spans="1:12" ht="91.8" x14ac:dyDescent="0.3">
      <c r="A97" s="69" t="s">
        <v>18</v>
      </c>
      <c r="B97" s="70" t="s">
        <v>397</v>
      </c>
      <c r="C97" s="70" t="s">
        <v>27</v>
      </c>
      <c r="D97" s="70" t="s">
        <v>438</v>
      </c>
      <c r="E97" s="71" t="s">
        <v>29</v>
      </c>
      <c r="F97" s="72" t="s">
        <v>30</v>
      </c>
      <c r="G97" s="72"/>
      <c r="H97" s="71" t="s">
        <v>13</v>
      </c>
      <c r="I97" s="73">
        <v>18810</v>
      </c>
      <c r="J97" s="73"/>
      <c r="K97" s="74" t="s">
        <v>8</v>
      </c>
      <c r="L97" s="75">
        <v>4127502.53</v>
      </c>
    </row>
    <row r="98" spans="1:12" ht="91.8" x14ac:dyDescent="0.3">
      <c r="A98" s="69" t="s">
        <v>18</v>
      </c>
      <c r="B98" s="70" t="s">
        <v>397</v>
      </c>
      <c r="C98" s="70" t="s">
        <v>27</v>
      </c>
      <c r="D98" s="70" t="s">
        <v>439</v>
      </c>
      <c r="E98" s="71" t="s">
        <v>29</v>
      </c>
      <c r="F98" s="72" t="s">
        <v>30</v>
      </c>
      <c r="G98" s="72"/>
      <c r="H98" s="71" t="s">
        <v>13</v>
      </c>
      <c r="I98" s="73">
        <v>1881</v>
      </c>
      <c r="J98" s="73"/>
      <c r="K98" s="74" t="s">
        <v>8</v>
      </c>
      <c r="L98" s="75">
        <v>4125621.53</v>
      </c>
    </row>
    <row r="99" spans="1:12" ht="91.8" x14ac:dyDescent="0.3">
      <c r="A99" s="69" t="s">
        <v>18</v>
      </c>
      <c r="B99" s="70" t="s">
        <v>397</v>
      </c>
      <c r="C99" s="70" t="s">
        <v>27</v>
      </c>
      <c r="D99" s="70" t="s">
        <v>440</v>
      </c>
      <c r="E99" s="71" t="s">
        <v>29</v>
      </c>
      <c r="F99" s="72" t="s">
        <v>30</v>
      </c>
      <c r="G99" s="72"/>
      <c r="H99" s="71" t="s">
        <v>13</v>
      </c>
      <c r="I99" s="73">
        <v>15048</v>
      </c>
      <c r="J99" s="73"/>
      <c r="K99" s="74" t="s">
        <v>8</v>
      </c>
      <c r="L99" s="75">
        <v>4110573.53</v>
      </c>
    </row>
    <row r="100" spans="1:12" ht="91.8" x14ac:dyDescent="0.3">
      <c r="A100" s="69" t="s">
        <v>18</v>
      </c>
      <c r="B100" s="70" t="s">
        <v>397</v>
      </c>
      <c r="C100" s="70" t="s">
        <v>27</v>
      </c>
      <c r="D100" s="70" t="s">
        <v>441</v>
      </c>
      <c r="E100" s="71" t="s">
        <v>29</v>
      </c>
      <c r="F100" s="72" t="s">
        <v>30</v>
      </c>
      <c r="G100" s="72"/>
      <c r="H100" s="71" t="s">
        <v>13</v>
      </c>
      <c r="I100" s="73">
        <v>3762</v>
      </c>
      <c r="J100" s="73"/>
      <c r="K100" s="74" t="s">
        <v>8</v>
      </c>
      <c r="L100" s="75">
        <v>4106811.53</v>
      </c>
    </row>
    <row r="101" spans="1:12" ht="91.8" x14ac:dyDescent="0.3">
      <c r="A101" s="69" t="s">
        <v>18</v>
      </c>
      <c r="B101" s="70" t="s">
        <v>397</v>
      </c>
      <c r="C101" s="70" t="s">
        <v>27</v>
      </c>
      <c r="D101" s="70" t="s">
        <v>442</v>
      </c>
      <c r="E101" s="71" t="s">
        <v>29</v>
      </c>
      <c r="F101" s="72" t="s">
        <v>30</v>
      </c>
      <c r="G101" s="72"/>
      <c r="H101" s="71" t="s">
        <v>13</v>
      </c>
      <c r="I101" s="73">
        <v>1881</v>
      </c>
      <c r="J101" s="73"/>
      <c r="K101" s="74" t="s">
        <v>8</v>
      </c>
      <c r="L101" s="75">
        <v>4104930.53</v>
      </c>
    </row>
    <row r="102" spans="1:12" ht="91.8" x14ac:dyDescent="0.3">
      <c r="A102" s="69" t="s">
        <v>18</v>
      </c>
      <c r="B102" s="70" t="s">
        <v>397</v>
      </c>
      <c r="C102" s="70" t="s">
        <v>27</v>
      </c>
      <c r="D102" s="70" t="s">
        <v>443</v>
      </c>
      <c r="E102" s="71" t="s">
        <v>29</v>
      </c>
      <c r="F102" s="72" t="s">
        <v>30</v>
      </c>
      <c r="G102" s="72"/>
      <c r="H102" s="71" t="s">
        <v>13</v>
      </c>
      <c r="I102" s="73">
        <v>276640</v>
      </c>
      <c r="J102" s="73"/>
      <c r="K102" s="74" t="s">
        <v>8</v>
      </c>
      <c r="L102" s="75">
        <v>3828290.53</v>
      </c>
    </row>
    <row r="103" spans="1:12" ht="91.8" x14ac:dyDescent="0.3">
      <c r="A103" s="69" t="s">
        <v>18</v>
      </c>
      <c r="B103" s="70" t="s">
        <v>397</v>
      </c>
      <c r="C103" s="70" t="s">
        <v>27</v>
      </c>
      <c r="D103" s="70" t="s">
        <v>444</v>
      </c>
      <c r="E103" s="71" t="s">
        <v>29</v>
      </c>
      <c r="F103" s="72" t="s">
        <v>30</v>
      </c>
      <c r="G103" s="72"/>
      <c r="H103" s="71" t="s">
        <v>13</v>
      </c>
      <c r="I103" s="73">
        <v>135459</v>
      </c>
      <c r="J103" s="73"/>
      <c r="K103" s="74" t="s">
        <v>8</v>
      </c>
      <c r="L103" s="75">
        <v>3692831.53</v>
      </c>
    </row>
    <row r="104" spans="1:12" ht="91.8" x14ac:dyDescent="0.3">
      <c r="A104" s="69" t="s">
        <v>18</v>
      </c>
      <c r="B104" s="70" t="s">
        <v>397</v>
      </c>
      <c r="C104" s="70" t="s">
        <v>27</v>
      </c>
      <c r="D104" s="70" t="s">
        <v>445</v>
      </c>
      <c r="E104" s="71" t="s">
        <v>29</v>
      </c>
      <c r="F104" s="72" t="s">
        <v>30</v>
      </c>
      <c r="G104" s="72"/>
      <c r="H104" s="71" t="s">
        <v>13</v>
      </c>
      <c r="I104" s="73">
        <v>13510</v>
      </c>
      <c r="J104" s="73"/>
      <c r="K104" s="74" t="s">
        <v>8</v>
      </c>
      <c r="L104" s="75">
        <v>3679321.53</v>
      </c>
    </row>
    <row r="105" spans="1:12" ht="91.8" x14ac:dyDescent="0.3">
      <c r="A105" s="69" t="s">
        <v>18</v>
      </c>
      <c r="B105" s="70" t="s">
        <v>397</v>
      </c>
      <c r="C105" s="70" t="s">
        <v>27</v>
      </c>
      <c r="D105" s="70" t="s">
        <v>446</v>
      </c>
      <c r="E105" s="71" t="s">
        <v>29</v>
      </c>
      <c r="F105" s="72" t="s">
        <v>30</v>
      </c>
      <c r="G105" s="72"/>
      <c r="H105" s="71" t="s">
        <v>13</v>
      </c>
      <c r="I105" s="73">
        <v>3845</v>
      </c>
      <c r="J105" s="73"/>
      <c r="K105" s="74" t="s">
        <v>8</v>
      </c>
      <c r="L105" s="75">
        <v>3675476.53</v>
      </c>
    </row>
    <row r="106" spans="1:12" ht="81.599999999999994" x14ac:dyDescent="0.3">
      <c r="A106" s="69" t="s">
        <v>18</v>
      </c>
      <c r="B106" s="70" t="s">
        <v>447</v>
      </c>
      <c r="C106" s="70" t="s">
        <v>27</v>
      </c>
      <c r="D106" s="70" t="s">
        <v>448</v>
      </c>
      <c r="E106" s="71" t="s">
        <v>29</v>
      </c>
      <c r="F106" s="72" t="s">
        <v>30</v>
      </c>
      <c r="G106" s="72"/>
      <c r="H106" s="71" t="s">
        <v>13</v>
      </c>
      <c r="I106" s="73">
        <v>119922</v>
      </c>
      <c r="J106" s="73"/>
      <c r="K106" s="74" t="s">
        <v>8</v>
      </c>
      <c r="L106" s="75">
        <v>3555554.53</v>
      </c>
    </row>
    <row r="107" spans="1:12" ht="91.8" x14ac:dyDescent="0.3">
      <c r="A107" s="69" t="s">
        <v>18</v>
      </c>
      <c r="B107" s="70" t="s">
        <v>447</v>
      </c>
      <c r="C107" s="70" t="s">
        <v>27</v>
      </c>
      <c r="D107" s="70" t="s">
        <v>449</v>
      </c>
      <c r="E107" s="71" t="s">
        <v>29</v>
      </c>
      <c r="F107" s="72" t="s">
        <v>30</v>
      </c>
      <c r="G107" s="72"/>
      <c r="H107" s="71" t="s">
        <v>13</v>
      </c>
      <c r="I107" s="73">
        <v>226470</v>
      </c>
      <c r="J107" s="73"/>
      <c r="K107" s="74" t="s">
        <v>8</v>
      </c>
      <c r="L107" s="75">
        <v>3329084.53</v>
      </c>
    </row>
    <row r="108" spans="1:12" ht="91.8" x14ac:dyDescent="0.3">
      <c r="A108" s="69" t="s">
        <v>18</v>
      </c>
      <c r="B108" s="70" t="s">
        <v>447</v>
      </c>
      <c r="C108" s="70" t="s">
        <v>27</v>
      </c>
      <c r="D108" s="70" t="s">
        <v>450</v>
      </c>
      <c r="E108" s="71" t="s">
        <v>29</v>
      </c>
      <c r="F108" s="72" t="s">
        <v>30</v>
      </c>
      <c r="G108" s="72"/>
      <c r="H108" s="71" t="s">
        <v>13</v>
      </c>
      <c r="I108" s="73">
        <v>252879</v>
      </c>
      <c r="J108" s="73"/>
      <c r="K108" s="74" t="s">
        <v>8</v>
      </c>
      <c r="L108" s="75">
        <v>3076205.53</v>
      </c>
    </row>
    <row r="109" spans="1:12" ht="91.8" x14ac:dyDescent="0.3">
      <c r="A109" s="69" t="s">
        <v>18</v>
      </c>
      <c r="B109" s="70" t="s">
        <v>447</v>
      </c>
      <c r="C109" s="70" t="s">
        <v>27</v>
      </c>
      <c r="D109" s="70" t="s">
        <v>451</v>
      </c>
      <c r="E109" s="71" t="s">
        <v>29</v>
      </c>
      <c r="F109" s="72" t="s">
        <v>30</v>
      </c>
      <c r="G109" s="72"/>
      <c r="H109" s="71" t="s">
        <v>13</v>
      </c>
      <c r="I109" s="73">
        <v>182975</v>
      </c>
      <c r="J109" s="73"/>
      <c r="K109" s="74" t="s">
        <v>8</v>
      </c>
      <c r="L109" s="75">
        <v>2893230.53</v>
      </c>
    </row>
    <row r="110" spans="1:12" ht="102" x14ac:dyDescent="0.3">
      <c r="A110" s="69" t="s">
        <v>18</v>
      </c>
      <c r="B110" s="70" t="s">
        <v>447</v>
      </c>
      <c r="C110" s="70" t="s">
        <v>27</v>
      </c>
      <c r="D110" s="70" t="s">
        <v>452</v>
      </c>
      <c r="E110" s="71" t="s">
        <v>29</v>
      </c>
      <c r="F110" s="72" t="s">
        <v>30</v>
      </c>
      <c r="G110" s="72"/>
      <c r="H110" s="71" t="s">
        <v>13</v>
      </c>
      <c r="I110" s="73">
        <v>27911</v>
      </c>
      <c r="J110" s="73"/>
      <c r="K110" s="74" t="s">
        <v>8</v>
      </c>
      <c r="L110" s="75">
        <v>2865319.53</v>
      </c>
    </row>
    <row r="111" spans="1:12" ht="102" x14ac:dyDescent="0.3">
      <c r="A111" s="69" t="s">
        <v>18</v>
      </c>
      <c r="B111" s="70" t="s">
        <v>447</v>
      </c>
      <c r="C111" s="70" t="s">
        <v>27</v>
      </c>
      <c r="D111" s="70" t="s">
        <v>453</v>
      </c>
      <c r="E111" s="71" t="s">
        <v>29</v>
      </c>
      <c r="F111" s="72" t="s">
        <v>30</v>
      </c>
      <c r="G111" s="72"/>
      <c r="H111" s="71" t="s">
        <v>13</v>
      </c>
      <c r="I111" s="73">
        <v>444576</v>
      </c>
      <c r="J111" s="73"/>
      <c r="K111" s="74" t="s">
        <v>8</v>
      </c>
      <c r="L111" s="75">
        <v>2420743.5299999998</v>
      </c>
    </row>
    <row r="112" spans="1:12" ht="71.400000000000006" hidden="1" x14ac:dyDescent="0.3">
      <c r="A112" s="69" t="s">
        <v>207</v>
      </c>
      <c r="B112" s="70" t="s">
        <v>454</v>
      </c>
      <c r="C112" s="70" t="s">
        <v>455</v>
      </c>
      <c r="D112" s="70" t="s">
        <v>456</v>
      </c>
      <c r="E112" s="71" t="s">
        <v>13</v>
      </c>
      <c r="F112" s="76">
        <v>2658.48</v>
      </c>
      <c r="G112" s="76"/>
      <c r="H112" s="71" t="s">
        <v>457</v>
      </c>
      <c r="I112" s="77" t="s">
        <v>30</v>
      </c>
      <c r="J112" s="77"/>
      <c r="K112" s="74" t="s">
        <v>8</v>
      </c>
      <c r="L112" s="75">
        <v>95870.6</v>
      </c>
    </row>
    <row r="113" spans="1:12" ht="61.2" hidden="1" x14ac:dyDescent="0.3">
      <c r="A113" s="69" t="s">
        <v>207</v>
      </c>
      <c r="B113" s="70" t="s">
        <v>454</v>
      </c>
      <c r="C113" s="70" t="s">
        <v>458</v>
      </c>
      <c r="D113" s="70" t="s">
        <v>456</v>
      </c>
      <c r="E113" s="71" t="s">
        <v>13</v>
      </c>
      <c r="F113" s="76">
        <v>4170.8599999999997</v>
      </c>
      <c r="G113" s="76"/>
      <c r="H113" s="71" t="s">
        <v>457</v>
      </c>
      <c r="I113" s="77" t="s">
        <v>30</v>
      </c>
      <c r="J113" s="77"/>
      <c r="K113" s="74" t="s">
        <v>8</v>
      </c>
      <c r="L113" s="75">
        <v>100041.46</v>
      </c>
    </row>
    <row r="114" spans="1:12" ht="61.2" hidden="1" x14ac:dyDescent="0.3">
      <c r="A114" s="69" t="s">
        <v>207</v>
      </c>
      <c r="B114" s="70" t="s">
        <v>454</v>
      </c>
      <c r="C114" s="70" t="s">
        <v>458</v>
      </c>
      <c r="D114" s="70" t="s">
        <v>456</v>
      </c>
      <c r="E114" s="71" t="s">
        <v>13</v>
      </c>
      <c r="F114" s="76">
        <v>1091.44</v>
      </c>
      <c r="G114" s="76"/>
      <c r="H114" s="71" t="s">
        <v>457</v>
      </c>
      <c r="I114" s="77" t="s">
        <v>30</v>
      </c>
      <c r="J114" s="77"/>
      <c r="K114" s="74" t="s">
        <v>8</v>
      </c>
      <c r="L114" s="75">
        <v>101132.9</v>
      </c>
    </row>
    <row r="115" spans="1:12" ht="61.2" hidden="1" x14ac:dyDescent="0.3">
      <c r="A115" s="69" t="s">
        <v>207</v>
      </c>
      <c r="B115" s="70" t="s">
        <v>454</v>
      </c>
      <c r="C115" s="70" t="s">
        <v>459</v>
      </c>
      <c r="D115" s="70" t="s">
        <v>456</v>
      </c>
      <c r="E115" s="71" t="s">
        <v>13</v>
      </c>
      <c r="F115" s="76">
        <v>2079</v>
      </c>
      <c r="G115" s="76"/>
      <c r="H115" s="71" t="s">
        <v>457</v>
      </c>
      <c r="I115" s="77" t="s">
        <v>30</v>
      </c>
      <c r="J115" s="77"/>
      <c r="K115" s="74" t="s">
        <v>8</v>
      </c>
      <c r="L115" s="75">
        <v>103211.9</v>
      </c>
    </row>
    <row r="116" spans="1:12" ht="71.400000000000006" hidden="1" x14ac:dyDescent="0.3">
      <c r="A116" s="69" t="s">
        <v>207</v>
      </c>
      <c r="B116" s="70" t="s">
        <v>454</v>
      </c>
      <c r="C116" s="70" t="s">
        <v>460</v>
      </c>
      <c r="D116" s="70" t="s">
        <v>456</v>
      </c>
      <c r="E116" s="71" t="s">
        <v>13</v>
      </c>
      <c r="F116" s="79">
        <v>286.2</v>
      </c>
      <c r="G116" s="79"/>
      <c r="H116" s="71" t="s">
        <v>457</v>
      </c>
      <c r="I116" s="77" t="s">
        <v>30</v>
      </c>
      <c r="J116" s="77"/>
      <c r="K116" s="74" t="s">
        <v>8</v>
      </c>
      <c r="L116" s="75">
        <v>103498.1</v>
      </c>
    </row>
    <row r="117" spans="1:12" ht="71.400000000000006" hidden="1" x14ac:dyDescent="0.3">
      <c r="A117" s="69" t="s">
        <v>207</v>
      </c>
      <c r="B117" s="70" t="s">
        <v>454</v>
      </c>
      <c r="C117" s="70" t="s">
        <v>461</v>
      </c>
      <c r="D117" s="70" t="s">
        <v>456</v>
      </c>
      <c r="E117" s="71" t="s">
        <v>13</v>
      </c>
      <c r="F117" s="79">
        <v>242.4</v>
      </c>
      <c r="G117" s="79"/>
      <c r="H117" s="71" t="s">
        <v>457</v>
      </c>
      <c r="I117" s="77" t="s">
        <v>30</v>
      </c>
      <c r="J117" s="77"/>
      <c r="K117" s="74" t="s">
        <v>8</v>
      </c>
      <c r="L117" s="75">
        <v>103740.5</v>
      </c>
    </row>
    <row r="118" spans="1:12" ht="61.2" hidden="1" x14ac:dyDescent="0.3">
      <c r="A118" s="69" t="s">
        <v>207</v>
      </c>
      <c r="B118" s="70" t="s">
        <v>454</v>
      </c>
      <c r="C118" s="70" t="s">
        <v>462</v>
      </c>
      <c r="D118" s="70" t="s">
        <v>456</v>
      </c>
      <c r="E118" s="71" t="s">
        <v>13</v>
      </c>
      <c r="F118" s="79">
        <v>465</v>
      </c>
      <c r="G118" s="79"/>
      <c r="H118" s="71" t="s">
        <v>457</v>
      </c>
      <c r="I118" s="77" t="s">
        <v>30</v>
      </c>
      <c r="J118" s="77"/>
      <c r="K118" s="74" t="s">
        <v>8</v>
      </c>
      <c r="L118" s="75">
        <v>104205.5</v>
      </c>
    </row>
    <row r="119" spans="1:12" ht="71.400000000000006" hidden="1" x14ac:dyDescent="0.3">
      <c r="A119" s="69" t="s">
        <v>207</v>
      </c>
      <c r="B119" s="70" t="s">
        <v>463</v>
      </c>
      <c r="C119" s="70" t="s">
        <v>464</v>
      </c>
      <c r="D119" s="70" t="s">
        <v>465</v>
      </c>
      <c r="E119" s="71" t="s">
        <v>13</v>
      </c>
      <c r="F119" s="76">
        <v>1578.84</v>
      </c>
      <c r="G119" s="76"/>
      <c r="H119" s="71" t="s">
        <v>457</v>
      </c>
      <c r="I119" s="77" t="s">
        <v>30</v>
      </c>
      <c r="J119" s="77"/>
      <c r="K119" s="74" t="s">
        <v>8</v>
      </c>
      <c r="L119" s="75">
        <v>155717.89000000001</v>
      </c>
    </row>
    <row r="120" spans="1:12" ht="71.400000000000006" hidden="1" x14ac:dyDescent="0.3">
      <c r="A120" s="69" t="s">
        <v>207</v>
      </c>
      <c r="B120" s="70" t="s">
        <v>463</v>
      </c>
      <c r="C120" s="70" t="s">
        <v>466</v>
      </c>
      <c r="D120" s="70" t="s">
        <v>465</v>
      </c>
      <c r="E120" s="71" t="s">
        <v>13</v>
      </c>
      <c r="F120" s="79">
        <v>660</v>
      </c>
      <c r="G120" s="79"/>
      <c r="H120" s="71" t="s">
        <v>457</v>
      </c>
      <c r="I120" s="77" t="s">
        <v>30</v>
      </c>
      <c r="J120" s="77"/>
      <c r="K120" s="74" t="s">
        <v>8</v>
      </c>
      <c r="L120" s="75">
        <v>156377.89000000001</v>
      </c>
    </row>
    <row r="121" spans="1:12" ht="81.599999999999994" hidden="1" x14ac:dyDescent="0.3">
      <c r="A121" s="69" t="s">
        <v>207</v>
      </c>
      <c r="B121" s="70" t="s">
        <v>463</v>
      </c>
      <c r="C121" s="70" t="s">
        <v>467</v>
      </c>
      <c r="D121" s="70" t="s">
        <v>465</v>
      </c>
      <c r="E121" s="71" t="s">
        <v>13</v>
      </c>
      <c r="F121" s="76">
        <v>4452</v>
      </c>
      <c r="G121" s="76"/>
      <c r="H121" s="71" t="s">
        <v>457</v>
      </c>
      <c r="I121" s="77" t="s">
        <v>30</v>
      </c>
      <c r="J121" s="77"/>
      <c r="K121" s="74" t="s">
        <v>8</v>
      </c>
      <c r="L121" s="75">
        <v>160829.89000000001</v>
      </c>
    </row>
    <row r="122" spans="1:12" ht="81.599999999999994" hidden="1" x14ac:dyDescent="0.3">
      <c r="A122" s="69" t="s">
        <v>207</v>
      </c>
      <c r="B122" s="70" t="s">
        <v>463</v>
      </c>
      <c r="C122" s="70" t="s">
        <v>468</v>
      </c>
      <c r="D122" s="70" t="s">
        <v>465</v>
      </c>
      <c r="E122" s="71" t="s">
        <v>13</v>
      </c>
      <c r="F122" s="76">
        <v>14154.6</v>
      </c>
      <c r="G122" s="76"/>
      <c r="H122" s="71" t="s">
        <v>457</v>
      </c>
      <c r="I122" s="77" t="s">
        <v>30</v>
      </c>
      <c r="J122" s="77"/>
      <c r="K122" s="74" t="s">
        <v>8</v>
      </c>
      <c r="L122" s="75">
        <v>174984.49</v>
      </c>
    </row>
    <row r="123" spans="1:12" ht="81.599999999999994" hidden="1" x14ac:dyDescent="0.3">
      <c r="A123" s="69" t="s">
        <v>207</v>
      </c>
      <c r="B123" s="70" t="s">
        <v>463</v>
      </c>
      <c r="C123" s="70" t="s">
        <v>469</v>
      </c>
      <c r="D123" s="70" t="s">
        <v>465</v>
      </c>
      <c r="E123" s="71" t="s">
        <v>13</v>
      </c>
      <c r="F123" s="79">
        <v>974.4</v>
      </c>
      <c r="G123" s="79"/>
      <c r="H123" s="71" t="s">
        <v>457</v>
      </c>
      <c r="I123" s="77" t="s">
        <v>30</v>
      </c>
      <c r="J123" s="77"/>
      <c r="K123" s="74" t="s">
        <v>8</v>
      </c>
      <c r="L123" s="75">
        <v>175958.89</v>
      </c>
    </row>
    <row r="124" spans="1:12" ht="71.400000000000006" hidden="1" x14ac:dyDescent="0.3">
      <c r="A124" s="69" t="s">
        <v>207</v>
      </c>
      <c r="B124" s="70" t="s">
        <v>463</v>
      </c>
      <c r="C124" s="70" t="s">
        <v>470</v>
      </c>
      <c r="D124" s="70" t="s">
        <v>465</v>
      </c>
      <c r="E124" s="71" t="s">
        <v>13</v>
      </c>
      <c r="F124" s="79">
        <v>292</v>
      </c>
      <c r="G124" s="79"/>
      <c r="H124" s="71" t="s">
        <v>457</v>
      </c>
      <c r="I124" s="77" t="s">
        <v>30</v>
      </c>
      <c r="J124" s="77"/>
      <c r="K124" s="74" t="s">
        <v>8</v>
      </c>
      <c r="L124" s="75">
        <v>176250.89</v>
      </c>
    </row>
    <row r="125" spans="1:12" ht="71.400000000000006" hidden="1" x14ac:dyDescent="0.3">
      <c r="A125" s="69" t="s">
        <v>207</v>
      </c>
      <c r="B125" s="70" t="s">
        <v>463</v>
      </c>
      <c r="C125" s="70" t="s">
        <v>471</v>
      </c>
      <c r="D125" s="70" t="s">
        <v>465</v>
      </c>
      <c r="E125" s="71" t="s">
        <v>13</v>
      </c>
      <c r="F125" s="76">
        <v>12473.6</v>
      </c>
      <c r="G125" s="76"/>
      <c r="H125" s="71" t="s">
        <v>457</v>
      </c>
      <c r="I125" s="77" t="s">
        <v>30</v>
      </c>
      <c r="J125" s="77"/>
      <c r="K125" s="74" t="s">
        <v>8</v>
      </c>
      <c r="L125" s="75">
        <v>188724.49</v>
      </c>
    </row>
    <row r="126" spans="1:12" ht="71.400000000000006" hidden="1" x14ac:dyDescent="0.3">
      <c r="A126" s="69" t="s">
        <v>207</v>
      </c>
      <c r="B126" s="70" t="s">
        <v>463</v>
      </c>
      <c r="C126" s="70" t="s">
        <v>472</v>
      </c>
      <c r="D126" s="70" t="s">
        <v>465</v>
      </c>
      <c r="E126" s="71" t="s">
        <v>13</v>
      </c>
      <c r="F126" s="76">
        <v>1668.48</v>
      </c>
      <c r="G126" s="76"/>
      <c r="H126" s="71" t="s">
        <v>457</v>
      </c>
      <c r="I126" s="77" t="s">
        <v>30</v>
      </c>
      <c r="J126" s="77"/>
      <c r="K126" s="74" t="s">
        <v>8</v>
      </c>
      <c r="L126" s="75">
        <v>190392.97</v>
      </c>
    </row>
    <row r="127" spans="1:12" ht="71.400000000000006" hidden="1" x14ac:dyDescent="0.3">
      <c r="A127" s="69" t="s">
        <v>207</v>
      </c>
      <c r="B127" s="70" t="s">
        <v>463</v>
      </c>
      <c r="C127" s="70" t="s">
        <v>473</v>
      </c>
      <c r="D127" s="70" t="s">
        <v>465</v>
      </c>
      <c r="E127" s="71" t="s">
        <v>13</v>
      </c>
      <c r="F127" s="76">
        <v>8460.7999999999993</v>
      </c>
      <c r="G127" s="76"/>
      <c r="H127" s="71" t="s">
        <v>457</v>
      </c>
      <c r="I127" s="77" t="s">
        <v>30</v>
      </c>
      <c r="J127" s="77"/>
      <c r="K127" s="74" t="s">
        <v>8</v>
      </c>
      <c r="L127" s="75">
        <v>198853.77</v>
      </c>
    </row>
    <row r="128" spans="1:12" ht="71.400000000000006" hidden="1" x14ac:dyDescent="0.3">
      <c r="A128" s="69" t="s">
        <v>207</v>
      </c>
      <c r="B128" s="70" t="s">
        <v>463</v>
      </c>
      <c r="C128" s="70" t="s">
        <v>474</v>
      </c>
      <c r="D128" s="70" t="s">
        <v>465</v>
      </c>
      <c r="E128" s="71" t="s">
        <v>13</v>
      </c>
      <c r="F128" s="76">
        <v>4928</v>
      </c>
      <c r="G128" s="76"/>
      <c r="H128" s="71" t="s">
        <v>457</v>
      </c>
      <c r="I128" s="77" t="s">
        <v>30</v>
      </c>
      <c r="J128" s="77"/>
      <c r="K128" s="74" t="s">
        <v>8</v>
      </c>
      <c r="L128" s="75">
        <v>203781.77</v>
      </c>
    </row>
    <row r="129" spans="1:12" ht="81.599999999999994" hidden="1" x14ac:dyDescent="0.3">
      <c r="A129" s="69" t="s">
        <v>207</v>
      </c>
      <c r="B129" s="70" t="s">
        <v>463</v>
      </c>
      <c r="C129" s="70" t="s">
        <v>475</v>
      </c>
      <c r="D129" s="70" t="s">
        <v>465</v>
      </c>
      <c r="E129" s="71" t="s">
        <v>13</v>
      </c>
      <c r="F129" s="79">
        <v>677.82</v>
      </c>
      <c r="G129" s="79"/>
      <c r="H129" s="71" t="s">
        <v>457</v>
      </c>
      <c r="I129" s="77" t="s">
        <v>30</v>
      </c>
      <c r="J129" s="77"/>
      <c r="K129" s="74" t="s">
        <v>8</v>
      </c>
      <c r="L129" s="75">
        <v>204459.59</v>
      </c>
    </row>
    <row r="130" spans="1:12" ht="81.599999999999994" hidden="1" x14ac:dyDescent="0.3">
      <c r="A130" s="69" t="s">
        <v>207</v>
      </c>
      <c r="B130" s="70" t="s">
        <v>463</v>
      </c>
      <c r="C130" s="70" t="s">
        <v>476</v>
      </c>
      <c r="D130" s="70" t="s">
        <v>465</v>
      </c>
      <c r="E130" s="71" t="s">
        <v>13</v>
      </c>
      <c r="F130" s="76">
        <v>2009.44</v>
      </c>
      <c r="G130" s="76"/>
      <c r="H130" s="71" t="s">
        <v>457</v>
      </c>
      <c r="I130" s="77" t="s">
        <v>30</v>
      </c>
      <c r="J130" s="77"/>
      <c r="K130" s="74" t="s">
        <v>8</v>
      </c>
      <c r="L130" s="75">
        <v>206469.03</v>
      </c>
    </row>
    <row r="131" spans="1:12" ht="81.599999999999994" hidden="1" x14ac:dyDescent="0.3">
      <c r="A131" s="69" t="s">
        <v>207</v>
      </c>
      <c r="B131" s="70" t="s">
        <v>463</v>
      </c>
      <c r="C131" s="70" t="s">
        <v>477</v>
      </c>
      <c r="D131" s="70" t="s">
        <v>465</v>
      </c>
      <c r="E131" s="71" t="s">
        <v>13</v>
      </c>
      <c r="F131" s="79">
        <v>678.4</v>
      </c>
      <c r="G131" s="79"/>
      <c r="H131" s="71" t="s">
        <v>457</v>
      </c>
      <c r="I131" s="77" t="s">
        <v>30</v>
      </c>
      <c r="J131" s="77"/>
      <c r="K131" s="74" t="s">
        <v>8</v>
      </c>
      <c r="L131" s="75">
        <v>207147.43</v>
      </c>
    </row>
    <row r="132" spans="1:12" ht="71.400000000000006" hidden="1" x14ac:dyDescent="0.3">
      <c r="A132" s="69" t="s">
        <v>207</v>
      </c>
      <c r="B132" s="70" t="s">
        <v>478</v>
      </c>
      <c r="C132" s="70" t="s">
        <v>479</v>
      </c>
      <c r="D132" s="70" t="s">
        <v>480</v>
      </c>
      <c r="E132" s="71" t="s">
        <v>13</v>
      </c>
      <c r="F132" s="76">
        <v>581636.11</v>
      </c>
      <c r="G132" s="76"/>
      <c r="H132" s="71" t="s">
        <v>457</v>
      </c>
      <c r="I132" s="77" t="s">
        <v>30</v>
      </c>
      <c r="J132" s="77"/>
      <c r="K132" s="74" t="s">
        <v>8</v>
      </c>
      <c r="L132" s="75">
        <v>4833114.1500000004</v>
      </c>
    </row>
    <row r="133" spans="1:12" ht="81.599999999999994" hidden="1" x14ac:dyDescent="0.3">
      <c r="A133" s="69" t="s">
        <v>207</v>
      </c>
      <c r="B133" s="70" t="s">
        <v>481</v>
      </c>
      <c r="C133" s="70" t="s">
        <v>482</v>
      </c>
      <c r="D133" s="70" t="s">
        <v>483</v>
      </c>
      <c r="E133" s="71" t="s">
        <v>13</v>
      </c>
      <c r="F133" s="76">
        <v>14625</v>
      </c>
      <c r="G133" s="76"/>
      <c r="H133" s="71" t="s">
        <v>457</v>
      </c>
      <c r="I133" s="77" t="s">
        <v>30</v>
      </c>
      <c r="J133" s="77"/>
      <c r="K133" s="74" t="s">
        <v>8</v>
      </c>
      <c r="L133" s="75">
        <v>1922564.23</v>
      </c>
    </row>
    <row r="134" spans="1:12" ht="71.400000000000006" hidden="1" x14ac:dyDescent="0.3">
      <c r="A134" s="69" t="s">
        <v>207</v>
      </c>
      <c r="B134" s="70" t="s">
        <v>481</v>
      </c>
      <c r="C134" s="70" t="s">
        <v>484</v>
      </c>
      <c r="D134" s="70" t="s">
        <v>483</v>
      </c>
      <c r="E134" s="71" t="s">
        <v>13</v>
      </c>
      <c r="F134" s="76">
        <v>145866</v>
      </c>
      <c r="G134" s="76"/>
      <c r="H134" s="71" t="s">
        <v>457</v>
      </c>
      <c r="I134" s="77" t="s">
        <v>30</v>
      </c>
      <c r="J134" s="77"/>
      <c r="K134" s="74" t="s">
        <v>8</v>
      </c>
      <c r="L134" s="75">
        <v>2068430.23</v>
      </c>
    </row>
    <row r="135" spans="1:12" ht="71.400000000000006" hidden="1" x14ac:dyDescent="0.3">
      <c r="A135" s="69" t="s">
        <v>207</v>
      </c>
      <c r="B135" s="70" t="s">
        <v>485</v>
      </c>
      <c r="C135" s="70" t="s">
        <v>486</v>
      </c>
      <c r="D135" s="70" t="s">
        <v>483</v>
      </c>
      <c r="E135" s="71" t="s">
        <v>13</v>
      </c>
      <c r="F135" s="76">
        <v>6138.3</v>
      </c>
      <c r="G135" s="76"/>
      <c r="H135" s="71" t="s">
        <v>457</v>
      </c>
      <c r="I135" s="77" t="s">
        <v>30</v>
      </c>
      <c r="J135" s="77"/>
      <c r="K135" s="74" t="s">
        <v>8</v>
      </c>
      <c r="L135" s="75">
        <v>2074568.53</v>
      </c>
    </row>
    <row r="136" spans="1:12" ht="71.400000000000006" hidden="1" x14ac:dyDescent="0.3">
      <c r="A136" s="69" t="s">
        <v>207</v>
      </c>
      <c r="B136" s="70" t="s">
        <v>485</v>
      </c>
      <c r="C136" s="70" t="s">
        <v>487</v>
      </c>
      <c r="D136" s="70" t="s">
        <v>483</v>
      </c>
      <c r="E136" s="71" t="s">
        <v>13</v>
      </c>
      <c r="F136" s="76">
        <v>1653</v>
      </c>
      <c r="G136" s="76"/>
      <c r="H136" s="71" t="s">
        <v>457</v>
      </c>
      <c r="I136" s="77" t="s">
        <v>30</v>
      </c>
      <c r="J136" s="77"/>
      <c r="K136" s="74" t="s">
        <v>8</v>
      </c>
      <c r="L136" s="75">
        <v>2076221.53</v>
      </c>
    </row>
    <row r="137" spans="1:12" ht="71.400000000000006" hidden="1" x14ac:dyDescent="0.3">
      <c r="A137" s="69" t="s">
        <v>207</v>
      </c>
      <c r="B137" s="70" t="s">
        <v>485</v>
      </c>
      <c r="C137" s="70" t="s">
        <v>488</v>
      </c>
      <c r="D137" s="70" t="s">
        <v>483</v>
      </c>
      <c r="E137" s="71" t="s">
        <v>13</v>
      </c>
      <c r="F137" s="76">
        <v>6160</v>
      </c>
      <c r="G137" s="76"/>
      <c r="H137" s="71" t="s">
        <v>457</v>
      </c>
      <c r="I137" s="77" t="s">
        <v>30</v>
      </c>
      <c r="J137" s="77"/>
      <c r="K137" s="74" t="s">
        <v>8</v>
      </c>
      <c r="L137" s="75">
        <v>2082381.53</v>
      </c>
    </row>
    <row r="138" spans="1:12" ht="71.400000000000006" hidden="1" x14ac:dyDescent="0.3">
      <c r="A138" s="69" t="s">
        <v>207</v>
      </c>
      <c r="B138" s="70" t="s">
        <v>489</v>
      </c>
      <c r="C138" s="70" t="s">
        <v>490</v>
      </c>
      <c r="D138" s="70" t="s">
        <v>491</v>
      </c>
      <c r="E138" s="71" t="s">
        <v>13</v>
      </c>
      <c r="F138" s="76">
        <v>15000</v>
      </c>
      <c r="G138" s="76"/>
      <c r="H138" s="71" t="s">
        <v>457</v>
      </c>
      <c r="I138" s="77" t="s">
        <v>30</v>
      </c>
      <c r="J138" s="77"/>
      <c r="K138" s="74" t="s">
        <v>8</v>
      </c>
      <c r="L138" s="75">
        <v>2097381.5299999998</v>
      </c>
    </row>
    <row r="139" spans="1:12" ht="71.400000000000006" hidden="1" x14ac:dyDescent="0.3">
      <c r="A139" s="69" t="s">
        <v>207</v>
      </c>
      <c r="B139" s="70" t="s">
        <v>489</v>
      </c>
      <c r="C139" s="70" t="s">
        <v>492</v>
      </c>
      <c r="D139" s="70" t="s">
        <v>491</v>
      </c>
      <c r="E139" s="71" t="s">
        <v>13</v>
      </c>
      <c r="F139" s="76">
        <v>2568</v>
      </c>
      <c r="G139" s="76"/>
      <c r="H139" s="71" t="s">
        <v>457</v>
      </c>
      <c r="I139" s="77" t="s">
        <v>30</v>
      </c>
      <c r="J139" s="77"/>
      <c r="K139" s="74" t="s">
        <v>8</v>
      </c>
      <c r="L139" s="75">
        <v>2099949.5299999998</v>
      </c>
    </row>
    <row r="140" spans="1:12" ht="61.2" hidden="1" x14ac:dyDescent="0.3">
      <c r="A140" s="69" t="s">
        <v>207</v>
      </c>
      <c r="B140" s="70" t="s">
        <v>493</v>
      </c>
      <c r="C140" s="70" t="s">
        <v>494</v>
      </c>
      <c r="D140" s="70" t="s">
        <v>495</v>
      </c>
      <c r="E140" s="71" t="s">
        <v>13</v>
      </c>
      <c r="F140" s="76">
        <v>7159.95</v>
      </c>
      <c r="G140" s="76"/>
      <c r="H140" s="71" t="s">
        <v>457</v>
      </c>
      <c r="I140" s="77" t="s">
        <v>30</v>
      </c>
      <c r="J140" s="77"/>
      <c r="K140" s="74" t="s">
        <v>8</v>
      </c>
      <c r="L140" s="75">
        <v>642320.16</v>
      </c>
    </row>
    <row r="141" spans="1:12" ht="61.2" hidden="1" x14ac:dyDescent="0.3">
      <c r="A141" s="69" t="s">
        <v>207</v>
      </c>
      <c r="B141" s="70" t="s">
        <v>493</v>
      </c>
      <c r="C141" s="70" t="s">
        <v>496</v>
      </c>
      <c r="D141" s="70" t="s">
        <v>495</v>
      </c>
      <c r="E141" s="71" t="s">
        <v>13</v>
      </c>
      <c r="F141" s="76">
        <v>12401.2</v>
      </c>
      <c r="G141" s="76"/>
      <c r="H141" s="71" t="s">
        <v>457</v>
      </c>
      <c r="I141" s="77" t="s">
        <v>30</v>
      </c>
      <c r="J141" s="77"/>
      <c r="K141" s="74" t="s">
        <v>8</v>
      </c>
      <c r="L141" s="75">
        <v>654721.36</v>
      </c>
    </row>
    <row r="142" spans="1:12" ht="61.2" hidden="1" x14ac:dyDescent="0.3">
      <c r="A142" s="69" t="s">
        <v>207</v>
      </c>
      <c r="B142" s="70" t="s">
        <v>493</v>
      </c>
      <c r="C142" s="70" t="s">
        <v>497</v>
      </c>
      <c r="D142" s="70" t="s">
        <v>495</v>
      </c>
      <c r="E142" s="71" t="s">
        <v>13</v>
      </c>
      <c r="F142" s="76">
        <v>13476.6</v>
      </c>
      <c r="G142" s="76"/>
      <c r="H142" s="71" t="s">
        <v>457</v>
      </c>
      <c r="I142" s="77" t="s">
        <v>30</v>
      </c>
      <c r="J142" s="77"/>
      <c r="K142" s="74" t="s">
        <v>8</v>
      </c>
      <c r="L142" s="75">
        <v>668197.96</v>
      </c>
    </row>
    <row r="143" spans="1:12" ht="61.2" hidden="1" x14ac:dyDescent="0.3">
      <c r="A143" s="69" t="s">
        <v>207</v>
      </c>
      <c r="B143" s="70" t="s">
        <v>493</v>
      </c>
      <c r="C143" s="70" t="s">
        <v>498</v>
      </c>
      <c r="D143" s="70" t="s">
        <v>495</v>
      </c>
      <c r="E143" s="71" t="s">
        <v>13</v>
      </c>
      <c r="F143" s="76">
        <v>6966.1</v>
      </c>
      <c r="G143" s="76"/>
      <c r="H143" s="71" t="s">
        <v>457</v>
      </c>
      <c r="I143" s="77" t="s">
        <v>30</v>
      </c>
      <c r="J143" s="77"/>
      <c r="K143" s="74" t="s">
        <v>8</v>
      </c>
      <c r="L143" s="75">
        <v>675164.06</v>
      </c>
    </row>
    <row r="144" spans="1:12" ht="61.2" hidden="1" x14ac:dyDescent="0.3">
      <c r="A144" s="69" t="s">
        <v>207</v>
      </c>
      <c r="B144" s="70" t="s">
        <v>493</v>
      </c>
      <c r="C144" s="70" t="s">
        <v>499</v>
      </c>
      <c r="D144" s="70" t="s">
        <v>495</v>
      </c>
      <c r="E144" s="71" t="s">
        <v>13</v>
      </c>
      <c r="F144" s="76">
        <v>8703</v>
      </c>
      <c r="G144" s="76"/>
      <c r="H144" s="71" t="s">
        <v>457</v>
      </c>
      <c r="I144" s="77" t="s">
        <v>30</v>
      </c>
      <c r="J144" s="77"/>
      <c r="K144" s="74" t="s">
        <v>8</v>
      </c>
      <c r="L144" s="75">
        <v>683867.06</v>
      </c>
    </row>
    <row r="145" spans="1:12" ht="61.2" hidden="1" x14ac:dyDescent="0.3">
      <c r="A145" s="69" t="s">
        <v>207</v>
      </c>
      <c r="B145" s="70" t="s">
        <v>493</v>
      </c>
      <c r="C145" s="70" t="s">
        <v>500</v>
      </c>
      <c r="D145" s="70" t="s">
        <v>495</v>
      </c>
      <c r="E145" s="71" t="s">
        <v>13</v>
      </c>
      <c r="F145" s="76">
        <v>13649.12</v>
      </c>
      <c r="G145" s="76"/>
      <c r="H145" s="71" t="s">
        <v>457</v>
      </c>
      <c r="I145" s="77" t="s">
        <v>30</v>
      </c>
      <c r="J145" s="77"/>
      <c r="K145" s="74" t="s">
        <v>8</v>
      </c>
      <c r="L145" s="75">
        <v>697516.18</v>
      </c>
    </row>
    <row r="146" spans="1:12" ht="61.2" hidden="1" x14ac:dyDescent="0.3">
      <c r="A146" s="69" t="s">
        <v>207</v>
      </c>
      <c r="B146" s="70" t="s">
        <v>493</v>
      </c>
      <c r="C146" s="70" t="s">
        <v>501</v>
      </c>
      <c r="D146" s="70" t="s">
        <v>495</v>
      </c>
      <c r="E146" s="71" t="s">
        <v>13</v>
      </c>
      <c r="F146" s="76">
        <v>3858.15</v>
      </c>
      <c r="G146" s="76"/>
      <c r="H146" s="71" t="s">
        <v>457</v>
      </c>
      <c r="I146" s="77" t="s">
        <v>30</v>
      </c>
      <c r="J146" s="77"/>
      <c r="K146" s="74" t="s">
        <v>8</v>
      </c>
      <c r="L146" s="75">
        <v>701374.33</v>
      </c>
    </row>
    <row r="147" spans="1:12" ht="61.2" hidden="1" x14ac:dyDescent="0.3">
      <c r="A147" s="69" t="s">
        <v>207</v>
      </c>
      <c r="B147" s="70" t="s">
        <v>493</v>
      </c>
      <c r="C147" s="70" t="s">
        <v>502</v>
      </c>
      <c r="D147" s="70" t="s">
        <v>495</v>
      </c>
      <c r="E147" s="71" t="s">
        <v>13</v>
      </c>
      <c r="F147" s="76">
        <v>3848.25</v>
      </c>
      <c r="G147" s="76"/>
      <c r="H147" s="71" t="s">
        <v>457</v>
      </c>
      <c r="I147" s="77" t="s">
        <v>30</v>
      </c>
      <c r="J147" s="77"/>
      <c r="K147" s="74" t="s">
        <v>8</v>
      </c>
      <c r="L147" s="75">
        <v>705222.58</v>
      </c>
    </row>
    <row r="148" spans="1:12" ht="91.8" hidden="1" x14ac:dyDescent="0.3">
      <c r="A148" s="69" t="s">
        <v>207</v>
      </c>
      <c r="B148" s="70" t="s">
        <v>503</v>
      </c>
      <c r="C148" s="70" t="s">
        <v>504</v>
      </c>
      <c r="D148" s="70" t="s">
        <v>505</v>
      </c>
      <c r="E148" s="71" t="s">
        <v>13</v>
      </c>
      <c r="F148" s="76">
        <v>2205</v>
      </c>
      <c r="G148" s="76"/>
      <c r="H148" s="71" t="s">
        <v>457</v>
      </c>
      <c r="I148" s="77" t="s">
        <v>30</v>
      </c>
      <c r="J148" s="77"/>
      <c r="K148" s="74" t="s">
        <v>8</v>
      </c>
      <c r="L148" s="75">
        <v>1420894.46</v>
      </c>
    </row>
    <row r="149" spans="1:12" ht="71.400000000000006" hidden="1" x14ac:dyDescent="0.3">
      <c r="A149" s="69" t="s">
        <v>207</v>
      </c>
      <c r="B149" s="70" t="s">
        <v>503</v>
      </c>
      <c r="C149" s="70" t="s">
        <v>506</v>
      </c>
      <c r="D149" s="70" t="s">
        <v>505</v>
      </c>
      <c r="E149" s="71" t="s">
        <v>13</v>
      </c>
      <c r="F149" s="76">
        <v>41701</v>
      </c>
      <c r="G149" s="76"/>
      <c r="H149" s="71" t="s">
        <v>457</v>
      </c>
      <c r="I149" s="77" t="s">
        <v>30</v>
      </c>
      <c r="J149" s="77"/>
      <c r="K149" s="74" t="s">
        <v>8</v>
      </c>
      <c r="L149" s="75">
        <v>1462595.46</v>
      </c>
    </row>
    <row r="150" spans="1:12" ht="71.400000000000006" hidden="1" x14ac:dyDescent="0.3">
      <c r="A150" s="69" t="s">
        <v>207</v>
      </c>
      <c r="B150" s="70" t="s">
        <v>507</v>
      </c>
      <c r="C150" s="70" t="s">
        <v>508</v>
      </c>
      <c r="D150" s="70" t="s">
        <v>455</v>
      </c>
      <c r="E150" s="71" t="s">
        <v>13</v>
      </c>
      <c r="F150" s="72" t="s">
        <v>30</v>
      </c>
      <c r="G150" s="72"/>
      <c r="H150" s="71" t="s">
        <v>13</v>
      </c>
      <c r="I150" s="73">
        <v>2658.48</v>
      </c>
      <c r="J150" s="73"/>
      <c r="K150" s="74" t="s">
        <v>8</v>
      </c>
      <c r="L150" s="75">
        <v>101547.02</v>
      </c>
    </row>
    <row r="151" spans="1:12" ht="71.400000000000006" hidden="1" x14ac:dyDescent="0.3">
      <c r="A151" s="69" t="s">
        <v>207</v>
      </c>
      <c r="B151" s="70" t="s">
        <v>507</v>
      </c>
      <c r="C151" s="70" t="s">
        <v>508</v>
      </c>
      <c r="D151" s="70" t="s">
        <v>455</v>
      </c>
      <c r="E151" s="71" t="s">
        <v>13</v>
      </c>
      <c r="F151" s="76">
        <v>2658.48</v>
      </c>
      <c r="G151" s="76"/>
      <c r="H151" s="71" t="s">
        <v>13</v>
      </c>
      <c r="I151" s="77" t="s">
        <v>30</v>
      </c>
      <c r="J151" s="77"/>
      <c r="K151" s="74" t="s">
        <v>8</v>
      </c>
      <c r="L151" s="75">
        <v>2423402.0099999998</v>
      </c>
    </row>
    <row r="152" spans="1:12" ht="61.2" hidden="1" x14ac:dyDescent="0.3">
      <c r="A152" s="69" t="s">
        <v>207</v>
      </c>
      <c r="B152" s="70" t="s">
        <v>509</v>
      </c>
      <c r="C152" s="70" t="s">
        <v>510</v>
      </c>
      <c r="D152" s="70" t="s">
        <v>458</v>
      </c>
      <c r="E152" s="71" t="s">
        <v>13</v>
      </c>
      <c r="F152" s="72" t="s">
        <v>30</v>
      </c>
      <c r="G152" s="72"/>
      <c r="H152" s="71" t="s">
        <v>13</v>
      </c>
      <c r="I152" s="73">
        <v>4170.8599999999997</v>
      </c>
      <c r="J152" s="73"/>
      <c r="K152" s="74" t="s">
        <v>8</v>
      </c>
      <c r="L152" s="75">
        <v>97376.16</v>
      </c>
    </row>
    <row r="153" spans="1:12" ht="61.2" hidden="1" x14ac:dyDescent="0.3">
      <c r="A153" s="69" t="s">
        <v>207</v>
      </c>
      <c r="B153" s="70" t="s">
        <v>509</v>
      </c>
      <c r="C153" s="70" t="s">
        <v>510</v>
      </c>
      <c r="D153" s="70" t="s">
        <v>458</v>
      </c>
      <c r="E153" s="71" t="s">
        <v>13</v>
      </c>
      <c r="F153" s="76">
        <v>4170.8599999999997</v>
      </c>
      <c r="G153" s="76"/>
      <c r="H153" s="71" t="s">
        <v>13</v>
      </c>
      <c r="I153" s="77" t="s">
        <v>30</v>
      </c>
      <c r="J153" s="77"/>
      <c r="K153" s="74" t="s">
        <v>8</v>
      </c>
      <c r="L153" s="75">
        <v>4837285.01</v>
      </c>
    </row>
    <row r="154" spans="1:12" ht="61.2" hidden="1" x14ac:dyDescent="0.3">
      <c r="A154" s="69" t="s">
        <v>207</v>
      </c>
      <c r="B154" s="70" t="s">
        <v>509</v>
      </c>
      <c r="C154" s="70" t="s">
        <v>510</v>
      </c>
      <c r="D154" s="70" t="s">
        <v>458</v>
      </c>
      <c r="E154" s="71" t="s">
        <v>13</v>
      </c>
      <c r="F154" s="72" t="s">
        <v>30</v>
      </c>
      <c r="G154" s="72"/>
      <c r="H154" s="71" t="s">
        <v>13</v>
      </c>
      <c r="I154" s="73">
        <v>1091.44</v>
      </c>
      <c r="J154" s="73"/>
      <c r="K154" s="74" t="s">
        <v>8</v>
      </c>
      <c r="L154" s="75">
        <v>96284.72</v>
      </c>
    </row>
    <row r="155" spans="1:12" ht="61.2" hidden="1" x14ac:dyDescent="0.3">
      <c r="A155" s="69" t="s">
        <v>207</v>
      </c>
      <c r="B155" s="70" t="s">
        <v>509</v>
      </c>
      <c r="C155" s="70" t="s">
        <v>510</v>
      </c>
      <c r="D155" s="70" t="s">
        <v>458</v>
      </c>
      <c r="E155" s="71" t="s">
        <v>13</v>
      </c>
      <c r="F155" s="76">
        <v>1091.44</v>
      </c>
      <c r="G155" s="76"/>
      <c r="H155" s="71" t="s">
        <v>13</v>
      </c>
      <c r="I155" s="77" t="s">
        <v>30</v>
      </c>
      <c r="J155" s="77"/>
      <c r="K155" s="74" t="s">
        <v>8</v>
      </c>
      <c r="L155" s="75">
        <v>4838376.45</v>
      </c>
    </row>
    <row r="156" spans="1:12" ht="61.2" hidden="1" x14ac:dyDescent="0.3">
      <c r="A156" s="69" t="s">
        <v>207</v>
      </c>
      <c r="B156" s="70" t="s">
        <v>509</v>
      </c>
      <c r="C156" s="70" t="s">
        <v>511</v>
      </c>
      <c r="D156" s="70" t="s">
        <v>459</v>
      </c>
      <c r="E156" s="71" t="s">
        <v>13</v>
      </c>
      <c r="F156" s="72" t="s">
        <v>30</v>
      </c>
      <c r="G156" s="72"/>
      <c r="H156" s="71" t="s">
        <v>13</v>
      </c>
      <c r="I156" s="73">
        <v>2079</v>
      </c>
      <c r="J156" s="73"/>
      <c r="K156" s="74" t="s">
        <v>8</v>
      </c>
      <c r="L156" s="75">
        <v>94205.72</v>
      </c>
    </row>
    <row r="157" spans="1:12" ht="61.2" hidden="1" x14ac:dyDescent="0.3">
      <c r="A157" s="69" t="s">
        <v>207</v>
      </c>
      <c r="B157" s="70" t="s">
        <v>509</v>
      </c>
      <c r="C157" s="70" t="s">
        <v>511</v>
      </c>
      <c r="D157" s="70" t="s">
        <v>459</v>
      </c>
      <c r="E157" s="71" t="s">
        <v>13</v>
      </c>
      <c r="F157" s="76">
        <v>2079</v>
      </c>
      <c r="G157" s="76"/>
      <c r="H157" s="71" t="s">
        <v>13</v>
      </c>
      <c r="I157" s="77" t="s">
        <v>30</v>
      </c>
      <c r="J157" s="77"/>
      <c r="K157" s="74" t="s">
        <v>8</v>
      </c>
      <c r="L157" s="75">
        <v>4840455.45</v>
      </c>
    </row>
    <row r="158" spans="1:12" ht="71.400000000000006" hidden="1" x14ac:dyDescent="0.3">
      <c r="A158" s="69" t="s">
        <v>207</v>
      </c>
      <c r="B158" s="70" t="s">
        <v>509</v>
      </c>
      <c r="C158" s="70" t="s">
        <v>512</v>
      </c>
      <c r="D158" s="70" t="s">
        <v>460</v>
      </c>
      <c r="E158" s="71" t="s">
        <v>13</v>
      </c>
      <c r="F158" s="72" t="s">
        <v>30</v>
      </c>
      <c r="G158" s="72"/>
      <c r="H158" s="71" t="s">
        <v>13</v>
      </c>
      <c r="I158" s="78">
        <v>286.2</v>
      </c>
      <c r="J158" s="78"/>
      <c r="K158" s="74" t="s">
        <v>8</v>
      </c>
      <c r="L158" s="75">
        <v>93919.52</v>
      </c>
    </row>
    <row r="159" spans="1:12" ht="71.400000000000006" hidden="1" x14ac:dyDescent="0.3">
      <c r="A159" s="69" t="s">
        <v>207</v>
      </c>
      <c r="B159" s="70" t="s">
        <v>509</v>
      </c>
      <c r="C159" s="70" t="s">
        <v>512</v>
      </c>
      <c r="D159" s="70" t="s">
        <v>460</v>
      </c>
      <c r="E159" s="71" t="s">
        <v>13</v>
      </c>
      <c r="F159" s="79">
        <v>286.2</v>
      </c>
      <c r="G159" s="79"/>
      <c r="H159" s="71" t="s">
        <v>13</v>
      </c>
      <c r="I159" s="77" t="s">
        <v>30</v>
      </c>
      <c r="J159" s="77"/>
      <c r="K159" s="74" t="s">
        <v>8</v>
      </c>
      <c r="L159" s="75">
        <v>4840741.6500000004</v>
      </c>
    </row>
    <row r="160" spans="1:12" ht="71.400000000000006" hidden="1" x14ac:dyDescent="0.3">
      <c r="A160" s="69" t="s">
        <v>207</v>
      </c>
      <c r="B160" s="70" t="s">
        <v>509</v>
      </c>
      <c r="C160" s="70" t="s">
        <v>513</v>
      </c>
      <c r="D160" s="70" t="s">
        <v>461</v>
      </c>
      <c r="E160" s="71" t="s">
        <v>13</v>
      </c>
      <c r="F160" s="72" t="s">
        <v>30</v>
      </c>
      <c r="G160" s="72"/>
      <c r="H160" s="71" t="s">
        <v>13</v>
      </c>
      <c r="I160" s="78">
        <v>242.4</v>
      </c>
      <c r="J160" s="78"/>
      <c r="K160" s="74" t="s">
        <v>8</v>
      </c>
      <c r="L160" s="75">
        <v>93677.119999999995</v>
      </c>
    </row>
    <row r="161" spans="1:12" ht="71.400000000000006" hidden="1" x14ac:dyDescent="0.3">
      <c r="A161" s="69" t="s">
        <v>207</v>
      </c>
      <c r="B161" s="70" t="s">
        <v>509</v>
      </c>
      <c r="C161" s="70" t="s">
        <v>513</v>
      </c>
      <c r="D161" s="70" t="s">
        <v>461</v>
      </c>
      <c r="E161" s="71" t="s">
        <v>13</v>
      </c>
      <c r="F161" s="79">
        <v>242.4</v>
      </c>
      <c r="G161" s="79"/>
      <c r="H161" s="71" t="s">
        <v>13</v>
      </c>
      <c r="I161" s="77" t="s">
        <v>30</v>
      </c>
      <c r="J161" s="77"/>
      <c r="K161" s="74" t="s">
        <v>8</v>
      </c>
      <c r="L161" s="75">
        <v>4840984.05</v>
      </c>
    </row>
    <row r="162" spans="1:12" ht="61.2" hidden="1" x14ac:dyDescent="0.3">
      <c r="A162" s="69" t="s">
        <v>207</v>
      </c>
      <c r="B162" s="70" t="s">
        <v>509</v>
      </c>
      <c r="C162" s="70" t="s">
        <v>514</v>
      </c>
      <c r="D162" s="70" t="s">
        <v>462</v>
      </c>
      <c r="E162" s="71" t="s">
        <v>13</v>
      </c>
      <c r="F162" s="79">
        <v>465</v>
      </c>
      <c r="G162" s="79"/>
      <c r="H162" s="71" t="s">
        <v>13</v>
      </c>
      <c r="I162" s="77" t="s">
        <v>30</v>
      </c>
      <c r="J162" s="77"/>
      <c r="K162" s="74" t="s">
        <v>8</v>
      </c>
      <c r="L162" s="75">
        <v>4841449.05</v>
      </c>
    </row>
    <row r="163" spans="1:12" ht="61.2" hidden="1" x14ac:dyDescent="0.3">
      <c r="A163" s="69" t="s">
        <v>207</v>
      </c>
      <c r="B163" s="70" t="s">
        <v>509</v>
      </c>
      <c r="C163" s="70" t="s">
        <v>514</v>
      </c>
      <c r="D163" s="70" t="s">
        <v>462</v>
      </c>
      <c r="E163" s="71" t="s">
        <v>13</v>
      </c>
      <c r="F163" s="72" t="s">
        <v>30</v>
      </c>
      <c r="G163" s="72"/>
      <c r="H163" s="71" t="s">
        <v>13</v>
      </c>
      <c r="I163" s="78">
        <v>465</v>
      </c>
      <c r="J163" s="78"/>
      <c r="K163" s="74" t="s">
        <v>8</v>
      </c>
      <c r="L163" s="75">
        <v>93212.12</v>
      </c>
    </row>
    <row r="164" spans="1:12" ht="71.400000000000006" hidden="1" x14ac:dyDescent="0.3">
      <c r="A164" s="69" t="s">
        <v>207</v>
      </c>
      <c r="B164" s="70" t="s">
        <v>515</v>
      </c>
      <c r="C164" s="70" t="s">
        <v>479</v>
      </c>
      <c r="D164" s="70" t="s">
        <v>480</v>
      </c>
      <c r="E164" s="71" t="s">
        <v>13</v>
      </c>
      <c r="F164" s="76">
        <v>20000</v>
      </c>
      <c r="G164" s="76"/>
      <c r="H164" s="71" t="s">
        <v>457</v>
      </c>
      <c r="I164" s="77" t="s">
        <v>30</v>
      </c>
      <c r="J164" s="77"/>
      <c r="K164" s="74" t="s">
        <v>8</v>
      </c>
      <c r="L164" s="75">
        <v>4861449.05</v>
      </c>
    </row>
    <row r="165" spans="1:12" ht="81.599999999999994" hidden="1" x14ac:dyDescent="0.3">
      <c r="A165" s="69" t="s">
        <v>207</v>
      </c>
      <c r="B165" s="70" t="s">
        <v>516</v>
      </c>
      <c r="C165" s="70" t="s">
        <v>482</v>
      </c>
      <c r="D165" s="70" t="s">
        <v>483</v>
      </c>
      <c r="E165" s="71" t="s">
        <v>13</v>
      </c>
      <c r="F165" s="76">
        <v>1397.31</v>
      </c>
      <c r="G165" s="76"/>
      <c r="H165" s="71" t="s">
        <v>457</v>
      </c>
      <c r="I165" s="77" t="s">
        <v>30</v>
      </c>
      <c r="J165" s="77"/>
      <c r="K165" s="74" t="s">
        <v>8</v>
      </c>
      <c r="L165" s="75">
        <v>2101346.84</v>
      </c>
    </row>
    <row r="166" spans="1:12" ht="71.400000000000006" hidden="1" x14ac:dyDescent="0.3">
      <c r="A166" s="69" t="s">
        <v>207</v>
      </c>
      <c r="B166" s="70" t="s">
        <v>516</v>
      </c>
      <c r="C166" s="70" t="s">
        <v>484</v>
      </c>
      <c r="D166" s="70" t="s">
        <v>483</v>
      </c>
      <c r="E166" s="71" t="s">
        <v>13</v>
      </c>
      <c r="F166" s="76">
        <v>13936.45</v>
      </c>
      <c r="G166" s="76"/>
      <c r="H166" s="71" t="s">
        <v>457</v>
      </c>
      <c r="I166" s="77" t="s">
        <v>30</v>
      </c>
      <c r="J166" s="77"/>
      <c r="K166" s="74" t="s">
        <v>8</v>
      </c>
      <c r="L166" s="75">
        <v>2115283.29</v>
      </c>
    </row>
    <row r="167" spans="1:12" ht="71.400000000000006" hidden="1" x14ac:dyDescent="0.3">
      <c r="A167" s="69" t="s">
        <v>207</v>
      </c>
      <c r="B167" s="70" t="s">
        <v>516</v>
      </c>
      <c r="C167" s="70" t="s">
        <v>486</v>
      </c>
      <c r="D167" s="70" t="s">
        <v>483</v>
      </c>
      <c r="E167" s="71" t="s">
        <v>13</v>
      </c>
      <c r="F167" s="79">
        <v>586.47</v>
      </c>
      <c r="G167" s="79"/>
      <c r="H167" s="71" t="s">
        <v>457</v>
      </c>
      <c r="I167" s="77" t="s">
        <v>30</v>
      </c>
      <c r="J167" s="77"/>
      <c r="K167" s="74" t="s">
        <v>8</v>
      </c>
      <c r="L167" s="75">
        <v>2115869.7599999998</v>
      </c>
    </row>
    <row r="168" spans="1:12" ht="71.400000000000006" hidden="1" x14ac:dyDescent="0.3">
      <c r="A168" s="69" t="s">
        <v>207</v>
      </c>
      <c r="B168" s="70" t="s">
        <v>516</v>
      </c>
      <c r="C168" s="70" t="s">
        <v>487</v>
      </c>
      <c r="D168" s="70" t="s">
        <v>483</v>
      </c>
      <c r="E168" s="71" t="s">
        <v>13</v>
      </c>
      <c r="F168" s="79">
        <v>157.93</v>
      </c>
      <c r="G168" s="79"/>
      <c r="H168" s="71" t="s">
        <v>457</v>
      </c>
      <c r="I168" s="77" t="s">
        <v>30</v>
      </c>
      <c r="J168" s="77"/>
      <c r="K168" s="74" t="s">
        <v>8</v>
      </c>
      <c r="L168" s="75">
        <v>2116027.69</v>
      </c>
    </row>
    <row r="169" spans="1:12" ht="71.400000000000006" hidden="1" x14ac:dyDescent="0.3">
      <c r="A169" s="69" t="s">
        <v>207</v>
      </c>
      <c r="B169" s="70" t="s">
        <v>516</v>
      </c>
      <c r="C169" s="70" t="s">
        <v>488</v>
      </c>
      <c r="D169" s="70" t="s">
        <v>483</v>
      </c>
      <c r="E169" s="71" t="s">
        <v>13</v>
      </c>
      <c r="F169" s="79">
        <v>588.54</v>
      </c>
      <c r="G169" s="79"/>
      <c r="H169" s="71" t="s">
        <v>457</v>
      </c>
      <c r="I169" s="77" t="s">
        <v>30</v>
      </c>
      <c r="J169" s="77"/>
      <c r="K169" s="74" t="s">
        <v>8</v>
      </c>
      <c r="L169" s="75">
        <v>2116616.23</v>
      </c>
    </row>
    <row r="170" spans="1:12" ht="71.400000000000006" x14ac:dyDescent="0.3">
      <c r="A170" s="69" t="s">
        <v>240</v>
      </c>
      <c r="B170" s="70" t="s">
        <v>517</v>
      </c>
      <c r="C170" s="70" t="s">
        <v>518</v>
      </c>
      <c r="D170" s="70" t="s">
        <v>519</v>
      </c>
      <c r="E170" s="71" t="s">
        <v>165</v>
      </c>
      <c r="F170" s="72" t="s">
        <v>30</v>
      </c>
      <c r="G170" s="72"/>
      <c r="H170" s="71" t="s">
        <v>13</v>
      </c>
      <c r="I170" s="73">
        <v>2000</v>
      </c>
      <c r="J170" s="73"/>
      <c r="K170" s="74" t="s">
        <v>8</v>
      </c>
      <c r="L170" s="75">
        <v>91212.12</v>
      </c>
    </row>
    <row r="171" spans="1:12" ht="61.2" x14ac:dyDescent="0.3">
      <c r="A171" s="69" t="s">
        <v>240</v>
      </c>
      <c r="B171" s="70" t="s">
        <v>520</v>
      </c>
      <c r="C171" s="70" t="s">
        <v>518</v>
      </c>
      <c r="D171" s="70" t="s">
        <v>521</v>
      </c>
      <c r="E171" s="71" t="s">
        <v>165</v>
      </c>
      <c r="F171" s="72" t="s">
        <v>30</v>
      </c>
      <c r="G171" s="72"/>
      <c r="H171" s="71" t="s">
        <v>13</v>
      </c>
      <c r="I171" s="78">
        <v>40</v>
      </c>
      <c r="J171" s="78"/>
      <c r="K171" s="74" t="s">
        <v>8</v>
      </c>
      <c r="L171" s="75">
        <v>91172.12</v>
      </c>
    </row>
    <row r="172" spans="1:12" ht="61.2" x14ac:dyDescent="0.3">
      <c r="A172" s="69" t="s">
        <v>240</v>
      </c>
      <c r="B172" s="70" t="s">
        <v>522</v>
      </c>
      <c r="C172" s="70" t="s">
        <v>518</v>
      </c>
      <c r="D172" s="70" t="s">
        <v>523</v>
      </c>
      <c r="E172" s="71" t="s">
        <v>165</v>
      </c>
      <c r="F172" s="72" t="s">
        <v>30</v>
      </c>
      <c r="G172" s="72"/>
      <c r="H172" s="71" t="s">
        <v>13</v>
      </c>
      <c r="I172" s="78">
        <v>300</v>
      </c>
      <c r="J172" s="78"/>
      <c r="K172" s="74" t="s">
        <v>8</v>
      </c>
      <c r="L172" s="75">
        <v>90872.12</v>
      </c>
    </row>
    <row r="173" spans="1:12" ht="71.400000000000006" x14ac:dyDescent="0.3">
      <c r="A173" s="69" t="s">
        <v>240</v>
      </c>
      <c r="B173" s="70" t="s">
        <v>524</v>
      </c>
      <c r="C173" s="70" t="s">
        <v>518</v>
      </c>
      <c r="D173" s="70" t="s">
        <v>525</v>
      </c>
      <c r="E173" s="71" t="s">
        <v>165</v>
      </c>
      <c r="F173" s="72" t="s">
        <v>30</v>
      </c>
      <c r="G173" s="72"/>
      <c r="H173" s="71" t="s">
        <v>13</v>
      </c>
      <c r="I173" s="73">
        <v>11208.96</v>
      </c>
      <c r="J173" s="73"/>
      <c r="K173" s="74" t="s">
        <v>8</v>
      </c>
      <c r="L173" s="75">
        <v>2412193.0499999998</v>
      </c>
    </row>
    <row r="174" spans="1:12" ht="81.599999999999994" hidden="1" x14ac:dyDescent="0.3">
      <c r="A174" s="69" t="s">
        <v>240</v>
      </c>
      <c r="B174" s="70" t="s">
        <v>526</v>
      </c>
      <c r="C174" s="70" t="s">
        <v>527</v>
      </c>
      <c r="D174" s="70" t="s">
        <v>528</v>
      </c>
      <c r="E174" s="71" t="s">
        <v>13</v>
      </c>
      <c r="F174" s="76">
        <v>9327.06</v>
      </c>
      <c r="G174" s="76"/>
      <c r="H174" s="71" t="s">
        <v>457</v>
      </c>
      <c r="I174" s="77" t="s">
        <v>30</v>
      </c>
      <c r="J174" s="77"/>
      <c r="K174" s="74" t="s">
        <v>8</v>
      </c>
      <c r="L174" s="75">
        <v>100199.18</v>
      </c>
    </row>
    <row r="175" spans="1:12" ht="71.400000000000006" hidden="1" x14ac:dyDescent="0.3">
      <c r="A175" s="69" t="s">
        <v>240</v>
      </c>
      <c r="B175" s="70" t="s">
        <v>529</v>
      </c>
      <c r="C175" s="70" t="s">
        <v>530</v>
      </c>
      <c r="D175" s="70" t="s">
        <v>456</v>
      </c>
      <c r="E175" s="71" t="s">
        <v>13</v>
      </c>
      <c r="F175" s="76">
        <v>10100</v>
      </c>
      <c r="G175" s="76"/>
      <c r="H175" s="71" t="s">
        <v>457</v>
      </c>
      <c r="I175" s="77" t="s">
        <v>30</v>
      </c>
      <c r="J175" s="77"/>
      <c r="K175" s="74" t="s">
        <v>8</v>
      </c>
      <c r="L175" s="75">
        <v>110299.18</v>
      </c>
    </row>
    <row r="176" spans="1:12" ht="61.2" hidden="1" x14ac:dyDescent="0.3">
      <c r="A176" s="69" t="s">
        <v>240</v>
      </c>
      <c r="B176" s="70" t="s">
        <v>531</v>
      </c>
      <c r="C176" s="70" t="s">
        <v>532</v>
      </c>
      <c r="D176" s="70" t="s">
        <v>533</v>
      </c>
      <c r="E176" s="71" t="s">
        <v>13</v>
      </c>
      <c r="F176" s="76">
        <v>49320</v>
      </c>
      <c r="G176" s="76"/>
      <c r="H176" s="71" t="s">
        <v>457</v>
      </c>
      <c r="I176" s="77" t="s">
        <v>30</v>
      </c>
      <c r="J176" s="77"/>
      <c r="K176" s="74" t="s">
        <v>8</v>
      </c>
      <c r="L176" s="75">
        <v>2165936.23</v>
      </c>
    </row>
    <row r="177" spans="1:12" ht="61.2" hidden="1" x14ac:dyDescent="0.3">
      <c r="A177" s="69" t="s">
        <v>240</v>
      </c>
      <c r="B177" s="70" t="s">
        <v>534</v>
      </c>
      <c r="C177" s="70" t="s">
        <v>532</v>
      </c>
      <c r="D177" s="70" t="s">
        <v>533</v>
      </c>
      <c r="E177" s="71" t="s">
        <v>13</v>
      </c>
      <c r="F177" s="76">
        <v>87480</v>
      </c>
      <c r="G177" s="76"/>
      <c r="H177" s="71" t="s">
        <v>457</v>
      </c>
      <c r="I177" s="77" t="s">
        <v>30</v>
      </c>
      <c r="J177" s="77"/>
      <c r="K177" s="74" t="s">
        <v>8</v>
      </c>
      <c r="L177" s="75">
        <v>2253416.23</v>
      </c>
    </row>
    <row r="178" spans="1:12" ht="81.599999999999994" hidden="1" x14ac:dyDescent="0.3">
      <c r="A178" s="69" t="s">
        <v>240</v>
      </c>
      <c r="B178" s="70" t="s">
        <v>531</v>
      </c>
      <c r="C178" s="70" t="s">
        <v>535</v>
      </c>
      <c r="D178" s="70" t="s">
        <v>533</v>
      </c>
      <c r="E178" s="71" t="s">
        <v>13</v>
      </c>
      <c r="F178" s="76">
        <v>9000</v>
      </c>
      <c r="G178" s="76"/>
      <c r="H178" s="71" t="s">
        <v>457</v>
      </c>
      <c r="I178" s="77" t="s">
        <v>30</v>
      </c>
      <c r="J178" s="77"/>
      <c r="K178" s="74" t="s">
        <v>8</v>
      </c>
      <c r="L178" s="75">
        <v>2262416.23</v>
      </c>
    </row>
    <row r="179" spans="1:12" ht="71.400000000000006" hidden="1" x14ac:dyDescent="0.3">
      <c r="A179" s="69" t="s">
        <v>240</v>
      </c>
      <c r="B179" s="70" t="s">
        <v>536</v>
      </c>
      <c r="C179" s="70" t="s">
        <v>537</v>
      </c>
      <c r="D179" s="70" t="s">
        <v>538</v>
      </c>
      <c r="E179" s="71" t="s">
        <v>13</v>
      </c>
      <c r="F179" s="76">
        <v>14593.2</v>
      </c>
      <c r="G179" s="76"/>
      <c r="H179" s="71" t="s">
        <v>457</v>
      </c>
      <c r="I179" s="77" t="s">
        <v>30</v>
      </c>
      <c r="J179" s="77"/>
      <c r="K179" s="74" t="s">
        <v>8</v>
      </c>
      <c r="L179" s="75">
        <v>2277009.4300000002</v>
      </c>
    </row>
    <row r="180" spans="1:12" ht="71.400000000000006" hidden="1" x14ac:dyDescent="0.3">
      <c r="A180" s="69" t="s">
        <v>240</v>
      </c>
      <c r="B180" s="70" t="s">
        <v>536</v>
      </c>
      <c r="C180" s="70" t="s">
        <v>539</v>
      </c>
      <c r="D180" s="70" t="s">
        <v>538</v>
      </c>
      <c r="E180" s="71" t="s">
        <v>13</v>
      </c>
      <c r="F180" s="76">
        <v>96152</v>
      </c>
      <c r="G180" s="76"/>
      <c r="H180" s="71" t="s">
        <v>457</v>
      </c>
      <c r="I180" s="77" t="s">
        <v>30</v>
      </c>
      <c r="J180" s="77"/>
      <c r="K180" s="74" t="s">
        <v>8</v>
      </c>
      <c r="L180" s="75">
        <v>2373161.4300000002</v>
      </c>
    </row>
    <row r="181" spans="1:12" ht="71.400000000000006" hidden="1" x14ac:dyDescent="0.3">
      <c r="A181" s="69" t="s">
        <v>240</v>
      </c>
      <c r="B181" s="70" t="s">
        <v>536</v>
      </c>
      <c r="C181" s="70" t="s">
        <v>540</v>
      </c>
      <c r="D181" s="70" t="s">
        <v>538</v>
      </c>
      <c r="E181" s="71" t="s">
        <v>13</v>
      </c>
      <c r="F181" s="79">
        <v>559.20000000000005</v>
      </c>
      <c r="G181" s="79"/>
      <c r="H181" s="71" t="s">
        <v>457</v>
      </c>
      <c r="I181" s="77" t="s">
        <v>30</v>
      </c>
      <c r="J181" s="77"/>
      <c r="K181" s="74" t="s">
        <v>8</v>
      </c>
      <c r="L181" s="75">
        <v>2373720.63</v>
      </c>
    </row>
    <row r="182" spans="1:12" ht="71.400000000000006" hidden="1" x14ac:dyDescent="0.3">
      <c r="A182" s="69" t="s">
        <v>240</v>
      </c>
      <c r="B182" s="70" t="s">
        <v>536</v>
      </c>
      <c r="C182" s="70" t="s">
        <v>541</v>
      </c>
      <c r="D182" s="70" t="s">
        <v>538</v>
      </c>
      <c r="E182" s="71" t="s">
        <v>13</v>
      </c>
      <c r="F182" s="76">
        <v>1105.2</v>
      </c>
      <c r="G182" s="76"/>
      <c r="H182" s="71" t="s">
        <v>457</v>
      </c>
      <c r="I182" s="77" t="s">
        <v>30</v>
      </c>
      <c r="J182" s="77"/>
      <c r="K182" s="74" t="s">
        <v>8</v>
      </c>
      <c r="L182" s="75">
        <v>2374825.83</v>
      </c>
    </row>
    <row r="183" spans="1:12" ht="71.400000000000006" hidden="1" x14ac:dyDescent="0.3">
      <c r="A183" s="69" t="s">
        <v>240</v>
      </c>
      <c r="B183" s="70" t="s">
        <v>536</v>
      </c>
      <c r="C183" s="70" t="s">
        <v>542</v>
      </c>
      <c r="D183" s="70" t="s">
        <v>538</v>
      </c>
      <c r="E183" s="71" t="s">
        <v>13</v>
      </c>
      <c r="F183" s="76">
        <v>12860.4</v>
      </c>
      <c r="G183" s="76"/>
      <c r="H183" s="71" t="s">
        <v>457</v>
      </c>
      <c r="I183" s="77" t="s">
        <v>30</v>
      </c>
      <c r="J183" s="77"/>
      <c r="K183" s="74" t="s">
        <v>8</v>
      </c>
      <c r="L183" s="75">
        <v>2387686.23</v>
      </c>
    </row>
    <row r="184" spans="1:12" ht="61.2" hidden="1" x14ac:dyDescent="0.3">
      <c r="A184" s="69" t="s">
        <v>240</v>
      </c>
      <c r="B184" s="70" t="s">
        <v>536</v>
      </c>
      <c r="C184" s="70" t="s">
        <v>543</v>
      </c>
      <c r="D184" s="70" t="s">
        <v>538</v>
      </c>
      <c r="E184" s="71" t="s">
        <v>13</v>
      </c>
      <c r="F184" s="76">
        <v>12951.6</v>
      </c>
      <c r="G184" s="76"/>
      <c r="H184" s="71" t="s">
        <v>457</v>
      </c>
      <c r="I184" s="77" t="s">
        <v>30</v>
      </c>
      <c r="J184" s="77"/>
      <c r="K184" s="74" t="s">
        <v>8</v>
      </c>
      <c r="L184" s="75">
        <v>2400637.83</v>
      </c>
    </row>
    <row r="185" spans="1:12" ht="61.2" hidden="1" x14ac:dyDescent="0.3">
      <c r="A185" s="69" t="s">
        <v>240</v>
      </c>
      <c r="B185" s="70" t="s">
        <v>536</v>
      </c>
      <c r="C185" s="70" t="s">
        <v>544</v>
      </c>
      <c r="D185" s="70" t="s">
        <v>538</v>
      </c>
      <c r="E185" s="71" t="s">
        <v>13</v>
      </c>
      <c r="F185" s="76">
        <v>3089.3</v>
      </c>
      <c r="G185" s="76"/>
      <c r="H185" s="71" t="s">
        <v>457</v>
      </c>
      <c r="I185" s="77" t="s">
        <v>30</v>
      </c>
      <c r="J185" s="77"/>
      <c r="K185" s="74" t="s">
        <v>8</v>
      </c>
      <c r="L185" s="75">
        <v>2403727.13</v>
      </c>
    </row>
    <row r="186" spans="1:12" ht="71.400000000000006" hidden="1" x14ac:dyDescent="0.3">
      <c r="A186" s="69" t="s">
        <v>240</v>
      </c>
      <c r="B186" s="70" t="s">
        <v>536</v>
      </c>
      <c r="C186" s="70" t="s">
        <v>545</v>
      </c>
      <c r="D186" s="70" t="s">
        <v>538</v>
      </c>
      <c r="E186" s="71" t="s">
        <v>13</v>
      </c>
      <c r="F186" s="76">
        <v>1006.4</v>
      </c>
      <c r="G186" s="76"/>
      <c r="H186" s="71" t="s">
        <v>457</v>
      </c>
      <c r="I186" s="77" t="s">
        <v>30</v>
      </c>
      <c r="J186" s="77"/>
      <c r="K186" s="74" t="s">
        <v>8</v>
      </c>
      <c r="L186" s="75">
        <v>2404733.5299999998</v>
      </c>
    </row>
    <row r="187" spans="1:12" ht="71.400000000000006" hidden="1" x14ac:dyDescent="0.3">
      <c r="A187" s="69" t="s">
        <v>240</v>
      </c>
      <c r="B187" s="70" t="s">
        <v>536</v>
      </c>
      <c r="C187" s="70" t="s">
        <v>546</v>
      </c>
      <c r="D187" s="70" t="s">
        <v>538</v>
      </c>
      <c r="E187" s="71" t="s">
        <v>13</v>
      </c>
      <c r="F187" s="76">
        <v>41408.5</v>
      </c>
      <c r="G187" s="76"/>
      <c r="H187" s="71" t="s">
        <v>457</v>
      </c>
      <c r="I187" s="77" t="s">
        <v>30</v>
      </c>
      <c r="J187" s="77"/>
      <c r="K187" s="74" t="s">
        <v>8</v>
      </c>
      <c r="L187" s="75">
        <v>2446142.0299999998</v>
      </c>
    </row>
    <row r="188" spans="1:12" ht="61.2" hidden="1" x14ac:dyDescent="0.3">
      <c r="A188" s="69" t="s">
        <v>240</v>
      </c>
      <c r="B188" s="70" t="s">
        <v>547</v>
      </c>
      <c r="C188" s="70" t="s">
        <v>548</v>
      </c>
      <c r="D188" s="70" t="s">
        <v>549</v>
      </c>
      <c r="E188" s="71" t="s">
        <v>13</v>
      </c>
      <c r="F188" s="76">
        <v>6115.8</v>
      </c>
      <c r="G188" s="76"/>
      <c r="H188" s="71" t="s">
        <v>457</v>
      </c>
      <c r="I188" s="77" t="s">
        <v>30</v>
      </c>
      <c r="J188" s="77"/>
      <c r="K188" s="74" t="s">
        <v>8</v>
      </c>
      <c r="L188" s="75">
        <v>2452257.83</v>
      </c>
    </row>
    <row r="189" spans="1:12" ht="81.599999999999994" hidden="1" x14ac:dyDescent="0.3">
      <c r="A189" s="69" t="s">
        <v>240</v>
      </c>
      <c r="B189" s="70" t="s">
        <v>550</v>
      </c>
      <c r="C189" s="70" t="s">
        <v>551</v>
      </c>
      <c r="D189" s="70" t="s">
        <v>552</v>
      </c>
      <c r="E189" s="71" t="s">
        <v>13</v>
      </c>
      <c r="F189" s="76">
        <v>8285.14</v>
      </c>
      <c r="G189" s="76"/>
      <c r="H189" s="71" t="s">
        <v>457</v>
      </c>
      <c r="I189" s="77" t="s">
        <v>30</v>
      </c>
      <c r="J189" s="77"/>
      <c r="K189" s="74" t="s">
        <v>8</v>
      </c>
      <c r="L189" s="75">
        <v>2460542.9700000002</v>
      </c>
    </row>
    <row r="190" spans="1:12" ht="81.599999999999994" hidden="1" x14ac:dyDescent="0.3">
      <c r="A190" s="69" t="s">
        <v>240</v>
      </c>
      <c r="B190" s="70" t="s">
        <v>550</v>
      </c>
      <c r="C190" s="70" t="s">
        <v>553</v>
      </c>
      <c r="D190" s="70" t="s">
        <v>552</v>
      </c>
      <c r="E190" s="71" t="s">
        <v>13</v>
      </c>
      <c r="F190" s="76">
        <v>8075.28</v>
      </c>
      <c r="G190" s="76"/>
      <c r="H190" s="71" t="s">
        <v>457</v>
      </c>
      <c r="I190" s="77" t="s">
        <v>30</v>
      </c>
      <c r="J190" s="77"/>
      <c r="K190" s="74" t="s">
        <v>8</v>
      </c>
      <c r="L190" s="75">
        <v>2468618.25</v>
      </c>
    </row>
    <row r="191" spans="1:12" ht="81.599999999999994" hidden="1" x14ac:dyDescent="0.3">
      <c r="A191" s="69" t="s">
        <v>240</v>
      </c>
      <c r="B191" s="70" t="s">
        <v>554</v>
      </c>
      <c r="C191" s="70" t="s">
        <v>555</v>
      </c>
      <c r="D191" s="70" t="s">
        <v>552</v>
      </c>
      <c r="E191" s="71" t="s">
        <v>13</v>
      </c>
      <c r="F191" s="76">
        <v>157812.16</v>
      </c>
      <c r="G191" s="76"/>
      <c r="H191" s="71" t="s">
        <v>457</v>
      </c>
      <c r="I191" s="77" t="s">
        <v>30</v>
      </c>
      <c r="J191" s="77"/>
      <c r="K191" s="74" t="s">
        <v>8</v>
      </c>
      <c r="L191" s="75">
        <v>2626430.41</v>
      </c>
    </row>
    <row r="192" spans="1:12" ht="81.599999999999994" hidden="1" x14ac:dyDescent="0.3">
      <c r="A192" s="69" t="s">
        <v>240</v>
      </c>
      <c r="B192" s="70" t="s">
        <v>556</v>
      </c>
      <c r="C192" s="70" t="s">
        <v>557</v>
      </c>
      <c r="D192" s="70" t="s">
        <v>552</v>
      </c>
      <c r="E192" s="71" t="s">
        <v>13</v>
      </c>
      <c r="F192" s="76">
        <v>32301.119999999999</v>
      </c>
      <c r="G192" s="76"/>
      <c r="H192" s="71" t="s">
        <v>457</v>
      </c>
      <c r="I192" s="77" t="s">
        <v>30</v>
      </c>
      <c r="J192" s="77"/>
      <c r="K192" s="74" t="s">
        <v>8</v>
      </c>
      <c r="L192" s="75">
        <v>2658731.5299999998</v>
      </c>
    </row>
    <row r="193" spans="1:12" ht="81.599999999999994" hidden="1" x14ac:dyDescent="0.3">
      <c r="A193" s="69" t="s">
        <v>240</v>
      </c>
      <c r="B193" s="70" t="s">
        <v>558</v>
      </c>
      <c r="C193" s="70" t="s">
        <v>559</v>
      </c>
      <c r="D193" s="70" t="s">
        <v>527</v>
      </c>
      <c r="E193" s="71" t="s">
        <v>13</v>
      </c>
      <c r="F193" s="76">
        <v>9327.06</v>
      </c>
      <c r="G193" s="76"/>
      <c r="H193" s="71" t="s">
        <v>13</v>
      </c>
      <c r="I193" s="77" t="s">
        <v>30</v>
      </c>
      <c r="J193" s="77"/>
      <c r="K193" s="74" t="s">
        <v>8</v>
      </c>
      <c r="L193" s="75">
        <v>2668058.59</v>
      </c>
    </row>
    <row r="194" spans="1:12" ht="81.599999999999994" hidden="1" x14ac:dyDescent="0.3">
      <c r="A194" s="69" t="s">
        <v>240</v>
      </c>
      <c r="B194" s="70" t="s">
        <v>558</v>
      </c>
      <c r="C194" s="70" t="s">
        <v>559</v>
      </c>
      <c r="D194" s="70" t="s">
        <v>527</v>
      </c>
      <c r="E194" s="71" t="s">
        <v>13</v>
      </c>
      <c r="F194" s="72" t="s">
        <v>30</v>
      </c>
      <c r="G194" s="72"/>
      <c r="H194" s="71" t="s">
        <v>13</v>
      </c>
      <c r="I194" s="73">
        <v>9327.06</v>
      </c>
      <c r="J194" s="73"/>
      <c r="K194" s="74" t="s">
        <v>8</v>
      </c>
      <c r="L194" s="75">
        <v>100972.12</v>
      </c>
    </row>
    <row r="195" spans="1:12" ht="91.8" hidden="1" x14ac:dyDescent="0.3">
      <c r="A195" s="69" t="s">
        <v>240</v>
      </c>
      <c r="B195" s="70" t="s">
        <v>560</v>
      </c>
      <c r="C195" s="70" t="s">
        <v>561</v>
      </c>
      <c r="D195" s="70" t="s">
        <v>530</v>
      </c>
      <c r="E195" s="71" t="s">
        <v>13</v>
      </c>
      <c r="F195" s="76">
        <v>4040</v>
      </c>
      <c r="G195" s="76"/>
      <c r="H195" s="71" t="s">
        <v>13</v>
      </c>
      <c r="I195" s="77" t="s">
        <v>30</v>
      </c>
      <c r="J195" s="77"/>
      <c r="K195" s="74" t="s">
        <v>8</v>
      </c>
      <c r="L195" s="75">
        <v>2283196.2599999998</v>
      </c>
    </row>
    <row r="196" spans="1:12" ht="91.8" hidden="1" x14ac:dyDescent="0.3">
      <c r="A196" s="69" t="s">
        <v>240</v>
      </c>
      <c r="B196" s="70" t="s">
        <v>560</v>
      </c>
      <c r="C196" s="70" t="s">
        <v>561</v>
      </c>
      <c r="D196" s="70" t="s">
        <v>530</v>
      </c>
      <c r="E196" s="71" t="s">
        <v>13</v>
      </c>
      <c r="F196" s="72" t="s">
        <v>30</v>
      </c>
      <c r="G196" s="72"/>
      <c r="H196" s="71" t="s">
        <v>13</v>
      </c>
      <c r="I196" s="73">
        <v>4040</v>
      </c>
      <c r="J196" s="73"/>
      <c r="K196" s="74" t="s">
        <v>8</v>
      </c>
      <c r="L196" s="75">
        <v>96932.12</v>
      </c>
    </row>
    <row r="197" spans="1:12" ht="71.400000000000006" hidden="1" x14ac:dyDescent="0.3">
      <c r="A197" s="69" t="s">
        <v>240</v>
      </c>
      <c r="B197" s="70" t="s">
        <v>562</v>
      </c>
      <c r="C197" s="70" t="s">
        <v>563</v>
      </c>
      <c r="D197" s="70" t="s">
        <v>530</v>
      </c>
      <c r="E197" s="71" t="s">
        <v>13</v>
      </c>
      <c r="F197" s="76">
        <v>6060</v>
      </c>
      <c r="G197" s="76"/>
      <c r="H197" s="71" t="s">
        <v>13</v>
      </c>
      <c r="I197" s="77" t="s">
        <v>30</v>
      </c>
      <c r="J197" s="77"/>
      <c r="K197" s="74" t="s">
        <v>8</v>
      </c>
      <c r="L197" s="75">
        <v>2418253.0499999998</v>
      </c>
    </row>
    <row r="198" spans="1:12" ht="71.400000000000006" hidden="1" x14ac:dyDescent="0.3">
      <c r="A198" s="69" t="s">
        <v>240</v>
      </c>
      <c r="B198" s="70" t="s">
        <v>562</v>
      </c>
      <c r="C198" s="70" t="s">
        <v>563</v>
      </c>
      <c r="D198" s="70" t="s">
        <v>530</v>
      </c>
      <c r="E198" s="71" t="s">
        <v>13</v>
      </c>
      <c r="F198" s="72" t="s">
        <v>30</v>
      </c>
      <c r="G198" s="72"/>
      <c r="H198" s="71" t="s">
        <v>13</v>
      </c>
      <c r="I198" s="73">
        <v>6060</v>
      </c>
      <c r="J198" s="73"/>
      <c r="K198" s="74" t="s">
        <v>8</v>
      </c>
      <c r="L198" s="75">
        <v>90872.12</v>
      </c>
    </row>
    <row r="199" spans="1:12" ht="81.599999999999994" hidden="1" x14ac:dyDescent="0.3">
      <c r="A199" s="69" t="s">
        <v>240</v>
      </c>
      <c r="B199" s="70" t="s">
        <v>564</v>
      </c>
      <c r="C199" s="70" t="s">
        <v>565</v>
      </c>
      <c r="D199" s="70" t="s">
        <v>566</v>
      </c>
      <c r="E199" s="71" t="s">
        <v>13</v>
      </c>
      <c r="F199" s="76">
        <v>42900</v>
      </c>
      <c r="G199" s="76"/>
      <c r="H199" s="71" t="s">
        <v>457</v>
      </c>
      <c r="I199" s="77" t="s">
        <v>30</v>
      </c>
      <c r="J199" s="77"/>
      <c r="K199" s="74" t="s">
        <v>8</v>
      </c>
      <c r="L199" s="75">
        <v>2461153.0499999998</v>
      </c>
    </row>
    <row r="200" spans="1:12" ht="81.599999999999994" hidden="1" x14ac:dyDescent="0.3">
      <c r="A200" s="69" t="s">
        <v>240</v>
      </c>
      <c r="B200" s="70" t="s">
        <v>567</v>
      </c>
      <c r="C200" s="70" t="s">
        <v>568</v>
      </c>
      <c r="D200" s="70" t="s">
        <v>566</v>
      </c>
      <c r="E200" s="71" t="s">
        <v>13</v>
      </c>
      <c r="F200" s="76">
        <v>32000.400000000001</v>
      </c>
      <c r="G200" s="76"/>
      <c r="H200" s="71" t="s">
        <v>457</v>
      </c>
      <c r="I200" s="77" t="s">
        <v>30</v>
      </c>
      <c r="J200" s="77"/>
      <c r="K200" s="74" t="s">
        <v>8</v>
      </c>
      <c r="L200" s="75">
        <v>2493153.4500000002</v>
      </c>
    </row>
    <row r="201" spans="1:12" ht="81.599999999999994" hidden="1" x14ac:dyDescent="0.3">
      <c r="A201" s="69" t="s">
        <v>240</v>
      </c>
      <c r="B201" s="70" t="s">
        <v>564</v>
      </c>
      <c r="C201" s="70" t="s">
        <v>568</v>
      </c>
      <c r="D201" s="70" t="s">
        <v>566</v>
      </c>
      <c r="E201" s="71" t="s">
        <v>13</v>
      </c>
      <c r="F201" s="76">
        <v>4239.6000000000004</v>
      </c>
      <c r="G201" s="76"/>
      <c r="H201" s="71" t="s">
        <v>457</v>
      </c>
      <c r="I201" s="77" t="s">
        <v>30</v>
      </c>
      <c r="J201" s="77"/>
      <c r="K201" s="74" t="s">
        <v>8</v>
      </c>
      <c r="L201" s="75">
        <v>2497393.0499999998</v>
      </c>
    </row>
    <row r="202" spans="1:12" ht="81.599999999999994" hidden="1" x14ac:dyDescent="0.3">
      <c r="A202" s="69" t="s">
        <v>240</v>
      </c>
      <c r="B202" s="70" t="s">
        <v>567</v>
      </c>
      <c r="C202" s="70" t="s">
        <v>569</v>
      </c>
      <c r="D202" s="70" t="s">
        <v>566</v>
      </c>
      <c r="E202" s="71" t="s">
        <v>13</v>
      </c>
      <c r="F202" s="76">
        <v>2416</v>
      </c>
      <c r="G202" s="76"/>
      <c r="H202" s="71" t="s">
        <v>457</v>
      </c>
      <c r="I202" s="77" t="s">
        <v>30</v>
      </c>
      <c r="J202" s="77"/>
      <c r="K202" s="74" t="s">
        <v>8</v>
      </c>
      <c r="L202" s="75">
        <v>2499809.0499999998</v>
      </c>
    </row>
    <row r="203" spans="1:12" ht="71.400000000000006" hidden="1" x14ac:dyDescent="0.3">
      <c r="A203" s="69" t="s">
        <v>240</v>
      </c>
      <c r="B203" s="70" t="s">
        <v>567</v>
      </c>
      <c r="C203" s="70" t="s">
        <v>570</v>
      </c>
      <c r="D203" s="70" t="s">
        <v>566</v>
      </c>
      <c r="E203" s="71" t="s">
        <v>13</v>
      </c>
      <c r="F203" s="76">
        <v>11310</v>
      </c>
      <c r="G203" s="76"/>
      <c r="H203" s="71" t="s">
        <v>457</v>
      </c>
      <c r="I203" s="77" t="s">
        <v>30</v>
      </c>
      <c r="J203" s="77"/>
      <c r="K203" s="74" t="s">
        <v>8</v>
      </c>
      <c r="L203" s="75">
        <v>2511119.0499999998</v>
      </c>
    </row>
    <row r="204" spans="1:12" ht="102" hidden="1" x14ac:dyDescent="0.3">
      <c r="A204" s="69" t="s">
        <v>240</v>
      </c>
      <c r="B204" s="70" t="s">
        <v>571</v>
      </c>
      <c r="C204" s="70" t="s">
        <v>572</v>
      </c>
      <c r="D204" s="70" t="s">
        <v>573</v>
      </c>
      <c r="E204" s="71" t="s">
        <v>13</v>
      </c>
      <c r="F204" s="76">
        <v>4700</v>
      </c>
      <c r="G204" s="76"/>
      <c r="H204" s="71" t="s">
        <v>457</v>
      </c>
      <c r="I204" s="77" t="s">
        <v>30</v>
      </c>
      <c r="J204" s="77"/>
      <c r="K204" s="74" t="s">
        <v>8</v>
      </c>
      <c r="L204" s="75">
        <v>2515819.0499999998</v>
      </c>
    </row>
    <row r="205" spans="1:12" ht="81.599999999999994" hidden="1" x14ac:dyDescent="0.3">
      <c r="A205" s="69" t="s">
        <v>240</v>
      </c>
      <c r="B205" s="70" t="s">
        <v>571</v>
      </c>
      <c r="C205" s="70" t="s">
        <v>574</v>
      </c>
      <c r="D205" s="70" t="s">
        <v>573</v>
      </c>
      <c r="E205" s="71" t="s">
        <v>13</v>
      </c>
      <c r="F205" s="76">
        <v>84224</v>
      </c>
      <c r="G205" s="76"/>
      <c r="H205" s="71" t="s">
        <v>457</v>
      </c>
      <c r="I205" s="77" t="s">
        <v>30</v>
      </c>
      <c r="J205" s="77"/>
      <c r="K205" s="74" t="s">
        <v>8</v>
      </c>
      <c r="L205" s="75">
        <v>2600043.0499999998</v>
      </c>
    </row>
    <row r="206" spans="1:12" ht="71.400000000000006" hidden="1" x14ac:dyDescent="0.3">
      <c r="A206" s="69" t="s">
        <v>240</v>
      </c>
      <c r="B206" s="70" t="s">
        <v>571</v>
      </c>
      <c r="C206" s="70" t="s">
        <v>575</v>
      </c>
      <c r="D206" s="70" t="s">
        <v>573</v>
      </c>
      <c r="E206" s="71" t="s">
        <v>13</v>
      </c>
      <c r="F206" s="76">
        <v>2980.74</v>
      </c>
      <c r="G206" s="76"/>
      <c r="H206" s="71" t="s">
        <v>457</v>
      </c>
      <c r="I206" s="77" t="s">
        <v>30</v>
      </c>
      <c r="J206" s="77"/>
      <c r="K206" s="74" t="s">
        <v>8</v>
      </c>
      <c r="L206" s="75">
        <v>2603023.79</v>
      </c>
    </row>
    <row r="207" spans="1:12" ht="81.599999999999994" hidden="1" x14ac:dyDescent="0.3">
      <c r="A207" s="69" t="s">
        <v>240</v>
      </c>
      <c r="B207" s="70" t="s">
        <v>571</v>
      </c>
      <c r="C207" s="70" t="s">
        <v>576</v>
      </c>
      <c r="D207" s="70" t="s">
        <v>573</v>
      </c>
      <c r="E207" s="71" t="s">
        <v>13</v>
      </c>
      <c r="F207" s="76">
        <v>10725</v>
      </c>
      <c r="G207" s="76"/>
      <c r="H207" s="71" t="s">
        <v>457</v>
      </c>
      <c r="I207" s="77" t="s">
        <v>30</v>
      </c>
      <c r="J207" s="77"/>
      <c r="K207" s="74" t="s">
        <v>8</v>
      </c>
      <c r="L207" s="75">
        <v>2613748.79</v>
      </c>
    </row>
    <row r="208" spans="1:12" ht="71.400000000000006" hidden="1" x14ac:dyDescent="0.3">
      <c r="A208" s="69" t="s">
        <v>240</v>
      </c>
      <c r="B208" s="70" t="s">
        <v>571</v>
      </c>
      <c r="C208" s="70" t="s">
        <v>577</v>
      </c>
      <c r="D208" s="70" t="s">
        <v>573</v>
      </c>
      <c r="E208" s="71" t="s">
        <v>13</v>
      </c>
      <c r="F208" s="76">
        <v>7353.6</v>
      </c>
      <c r="G208" s="76"/>
      <c r="H208" s="71" t="s">
        <v>457</v>
      </c>
      <c r="I208" s="77" t="s">
        <v>30</v>
      </c>
      <c r="J208" s="77"/>
      <c r="K208" s="74" t="s">
        <v>8</v>
      </c>
      <c r="L208" s="75">
        <v>2621102.39</v>
      </c>
    </row>
    <row r="209" spans="1:12" ht="71.400000000000006" hidden="1" x14ac:dyDescent="0.3">
      <c r="A209" s="69" t="s">
        <v>240</v>
      </c>
      <c r="B209" s="70" t="s">
        <v>571</v>
      </c>
      <c r="C209" s="70" t="s">
        <v>578</v>
      </c>
      <c r="D209" s="70" t="s">
        <v>573</v>
      </c>
      <c r="E209" s="71" t="s">
        <v>13</v>
      </c>
      <c r="F209" s="76">
        <v>13650</v>
      </c>
      <c r="G209" s="76"/>
      <c r="H209" s="71" t="s">
        <v>457</v>
      </c>
      <c r="I209" s="77" t="s">
        <v>30</v>
      </c>
      <c r="J209" s="77"/>
      <c r="K209" s="74" t="s">
        <v>8</v>
      </c>
      <c r="L209" s="75">
        <v>2634752.39</v>
      </c>
    </row>
    <row r="210" spans="1:12" ht="91.8" hidden="1" x14ac:dyDescent="0.3">
      <c r="A210" s="69" t="s">
        <v>240</v>
      </c>
      <c r="B210" s="70" t="s">
        <v>579</v>
      </c>
      <c r="C210" s="70" t="s">
        <v>580</v>
      </c>
      <c r="D210" s="70" t="s">
        <v>581</v>
      </c>
      <c r="E210" s="71" t="s">
        <v>13</v>
      </c>
      <c r="F210" s="76">
        <v>29678.05</v>
      </c>
      <c r="G210" s="76"/>
      <c r="H210" s="71" t="s">
        <v>457</v>
      </c>
      <c r="I210" s="77" t="s">
        <v>30</v>
      </c>
      <c r="J210" s="77"/>
      <c r="K210" s="74" t="s">
        <v>8</v>
      </c>
      <c r="L210" s="75">
        <v>2664430.44</v>
      </c>
    </row>
    <row r="211" spans="1:12" ht="91.8" hidden="1" x14ac:dyDescent="0.3">
      <c r="A211" s="69" t="s">
        <v>240</v>
      </c>
      <c r="B211" s="70" t="s">
        <v>579</v>
      </c>
      <c r="C211" s="70" t="s">
        <v>582</v>
      </c>
      <c r="D211" s="70" t="s">
        <v>581</v>
      </c>
      <c r="E211" s="71" t="s">
        <v>13</v>
      </c>
      <c r="F211" s="76">
        <v>302040.59999999998</v>
      </c>
      <c r="G211" s="76"/>
      <c r="H211" s="71" t="s">
        <v>457</v>
      </c>
      <c r="I211" s="77" t="s">
        <v>30</v>
      </c>
      <c r="J211" s="77"/>
      <c r="K211" s="74" t="s">
        <v>8</v>
      </c>
      <c r="L211" s="75">
        <v>2966471.04</v>
      </c>
    </row>
    <row r="212" spans="1:12" ht="91.8" hidden="1" x14ac:dyDescent="0.3">
      <c r="A212" s="69" t="s">
        <v>240</v>
      </c>
      <c r="B212" s="70" t="s">
        <v>579</v>
      </c>
      <c r="C212" s="70" t="s">
        <v>583</v>
      </c>
      <c r="D212" s="70" t="s">
        <v>581</v>
      </c>
      <c r="E212" s="71" t="s">
        <v>13</v>
      </c>
      <c r="F212" s="76">
        <v>94718.6</v>
      </c>
      <c r="G212" s="76"/>
      <c r="H212" s="71" t="s">
        <v>457</v>
      </c>
      <c r="I212" s="77" t="s">
        <v>30</v>
      </c>
      <c r="J212" s="77"/>
      <c r="K212" s="74" t="s">
        <v>8</v>
      </c>
      <c r="L212" s="75">
        <v>3061189.64</v>
      </c>
    </row>
    <row r="213" spans="1:12" ht="91.8" hidden="1" x14ac:dyDescent="0.3">
      <c r="A213" s="69" t="s">
        <v>240</v>
      </c>
      <c r="B213" s="70" t="s">
        <v>579</v>
      </c>
      <c r="C213" s="70" t="s">
        <v>584</v>
      </c>
      <c r="D213" s="70" t="s">
        <v>581</v>
      </c>
      <c r="E213" s="71" t="s">
        <v>13</v>
      </c>
      <c r="F213" s="76">
        <v>13570</v>
      </c>
      <c r="G213" s="76"/>
      <c r="H213" s="71" t="s">
        <v>457</v>
      </c>
      <c r="I213" s="77" t="s">
        <v>30</v>
      </c>
      <c r="J213" s="77"/>
      <c r="K213" s="74" t="s">
        <v>8</v>
      </c>
      <c r="L213" s="75">
        <v>3074759.64</v>
      </c>
    </row>
    <row r="214" spans="1:12" ht="91.8" hidden="1" x14ac:dyDescent="0.3">
      <c r="A214" s="69" t="s">
        <v>240</v>
      </c>
      <c r="B214" s="70" t="s">
        <v>579</v>
      </c>
      <c r="C214" s="70" t="s">
        <v>585</v>
      </c>
      <c r="D214" s="70" t="s">
        <v>581</v>
      </c>
      <c r="E214" s="71" t="s">
        <v>13</v>
      </c>
      <c r="F214" s="76">
        <v>19907.650000000001</v>
      </c>
      <c r="G214" s="76"/>
      <c r="H214" s="71" t="s">
        <v>457</v>
      </c>
      <c r="I214" s="77" t="s">
        <v>30</v>
      </c>
      <c r="J214" s="77"/>
      <c r="K214" s="74" t="s">
        <v>8</v>
      </c>
      <c r="L214" s="75">
        <v>3094667.29</v>
      </c>
    </row>
    <row r="215" spans="1:12" ht="91.8" hidden="1" x14ac:dyDescent="0.3">
      <c r="A215" s="69" t="s">
        <v>240</v>
      </c>
      <c r="B215" s="70" t="s">
        <v>579</v>
      </c>
      <c r="C215" s="70" t="s">
        <v>586</v>
      </c>
      <c r="D215" s="70" t="s">
        <v>581</v>
      </c>
      <c r="E215" s="71" t="s">
        <v>13</v>
      </c>
      <c r="F215" s="76">
        <v>6377.9</v>
      </c>
      <c r="G215" s="76"/>
      <c r="H215" s="71" t="s">
        <v>457</v>
      </c>
      <c r="I215" s="77" t="s">
        <v>30</v>
      </c>
      <c r="J215" s="77"/>
      <c r="K215" s="74" t="s">
        <v>8</v>
      </c>
      <c r="L215" s="75">
        <v>3101045.19</v>
      </c>
    </row>
    <row r="216" spans="1:12" ht="91.8" hidden="1" x14ac:dyDescent="0.3">
      <c r="A216" s="69" t="s">
        <v>240</v>
      </c>
      <c r="B216" s="70" t="s">
        <v>579</v>
      </c>
      <c r="C216" s="70" t="s">
        <v>587</v>
      </c>
      <c r="D216" s="70" t="s">
        <v>581</v>
      </c>
      <c r="E216" s="71" t="s">
        <v>13</v>
      </c>
      <c r="F216" s="76">
        <v>131086.20000000001</v>
      </c>
      <c r="G216" s="76"/>
      <c r="H216" s="71" t="s">
        <v>457</v>
      </c>
      <c r="I216" s="77" t="s">
        <v>30</v>
      </c>
      <c r="J216" s="77"/>
      <c r="K216" s="74" t="s">
        <v>8</v>
      </c>
      <c r="L216" s="75">
        <v>3232131.39</v>
      </c>
    </row>
    <row r="217" spans="1:12" ht="91.8" hidden="1" x14ac:dyDescent="0.3">
      <c r="A217" s="69" t="s">
        <v>240</v>
      </c>
      <c r="B217" s="70" t="s">
        <v>579</v>
      </c>
      <c r="C217" s="70" t="s">
        <v>588</v>
      </c>
      <c r="D217" s="70" t="s">
        <v>581</v>
      </c>
      <c r="E217" s="71" t="s">
        <v>13</v>
      </c>
      <c r="F217" s="76">
        <v>12172.75</v>
      </c>
      <c r="G217" s="76"/>
      <c r="H217" s="71" t="s">
        <v>457</v>
      </c>
      <c r="I217" s="77" t="s">
        <v>30</v>
      </c>
      <c r="J217" s="77"/>
      <c r="K217" s="74" t="s">
        <v>8</v>
      </c>
      <c r="L217" s="75">
        <v>3244304.14</v>
      </c>
    </row>
    <row r="218" spans="1:12" ht="91.8" hidden="1" x14ac:dyDescent="0.3">
      <c r="A218" s="69" t="s">
        <v>240</v>
      </c>
      <c r="B218" s="70" t="s">
        <v>579</v>
      </c>
      <c r="C218" s="70" t="s">
        <v>589</v>
      </c>
      <c r="D218" s="70" t="s">
        <v>581</v>
      </c>
      <c r="E218" s="71" t="s">
        <v>13</v>
      </c>
      <c r="F218" s="76">
        <v>4044.55</v>
      </c>
      <c r="G218" s="76"/>
      <c r="H218" s="71" t="s">
        <v>457</v>
      </c>
      <c r="I218" s="77" t="s">
        <v>30</v>
      </c>
      <c r="J218" s="77"/>
      <c r="K218" s="74" t="s">
        <v>8</v>
      </c>
      <c r="L218" s="75">
        <v>3248348.69</v>
      </c>
    </row>
    <row r="219" spans="1:12" ht="91.8" hidden="1" x14ac:dyDescent="0.3">
      <c r="A219" s="69" t="s">
        <v>240</v>
      </c>
      <c r="B219" s="70" t="s">
        <v>579</v>
      </c>
      <c r="C219" s="70" t="s">
        <v>590</v>
      </c>
      <c r="D219" s="70" t="s">
        <v>581</v>
      </c>
      <c r="E219" s="71" t="s">
        <v>13</v>
      </c>
      <c r="F219" s="76">
        <v>7545.15</v>
      </c>
      <c r="G219" s="76"/>
      <c r="H219" s="71" t="s">
        <v>457</v>
      </c>
      <c r="I219" s="77" t="s">
        <v>30</v>
      </c>
      <c r="J219" s="77"/>
      <c r="K219" s="74" t="s">
        <v>8</v>
      </c>
      <c r="L219" s="75">
        <v>3255893.84</v>
      </c>
    </row>
    <row r="220" spans="1:12" ht="91.8" hidden="1" x14ac:dyDescent="0.3">
      <c r="A220" s="69" t="s">
        <v>240</v>
      </c>
      <c r="B220" s="70" t="s">
        <v>579</v>
      </c>
      <c r="C220" s="70" t="s">
        <v>591</v>
      </c>
      <c r="D220" s="70" t="s">
        <v>581</v>
      </c>
      <c r="E220" s="71" t="s">
        <v>13</v>
      </c>
      <c r="F220" s="76">
        <v>3500.6</v>
      </c>
      <c r="G220" s="76"/>
      <c r="H220" s="71" t="s">
        <v>457</v>
      </c>
      <c r="I220" s="77" t="s">
        <v>30</v>
      </c>
      <c r="J220" s="77"/>
      <c r="K220" s="74" t="s">
        <v>8</v>
      </c>
      <c r="L220" s="75">
        <v>3259394.44</v>
      </c>
    </row>
    <row r="221" spans="1:12" ht="91.8" hidden="1" x14ac:dyDescent="0.3">
      <c r="A221" s="69" t="s">
        <v>240</v>
      </c>
      <c r="B221" s="70" t="s">
        <v>579</v>
      </c>
      <c r="C221" s="70" t="s">
        <v>592</v>
      </c>
      <c r="D221" s="70" t="s">
        <v>581</v>
      </c>
      <c r="E221" s="71" t="s">
        <v>13</v>
      </c>
      <c r="F221" s="76">
        <v>9688.75</v>
      </c>
      <c r="G221" s="76"/>
      <c r="H221" s="71" t="s">
        <v>457</v>
      </c>
      <c r="I221" s="77" t="s">
        <v>30</v>
      </c>
      <c r="J221" s="77"/>
      <c r="K221" s="74" t="s">
        <v>8</v>
      </c>
      <c r="L221" s="75">
        <v>3269083.19</v>
      </c>
    </row>
    <row r="222" spans="1:12" ht="91.8" hidden="1" x14ac:dyDescent="0.3">
      <c r="A222" s="69" t="s">
        <v>240</v>
      </c>
      <c r="B222" s="70" t="s">
        <v>579</v>
      </c>
      <c r="C222" s="70" t="s">
        <v>593</v>
      </c>
      <c r="D222" s="70" t="s">
        <v>581</v>
      </c>
      <c r="E222" s="71" t="s">
        <v>13</v>
      </c>
      <c r="F222" s="76">
        <v>46612.95</v>
      </c>
      <c r="G222" s="76"/>
      <c r="H222" s="71" t="s">
        <v>457</v>
      </c>
      <c r="I222" s="77" t="s">
        <v>30</v>
      </c>
      <c r="J222" s="77"/>
      <c r="K222" s="74" t="s">
        <v>8</v>
      </c>
      <c r="L222" s="75">
        <v>3315696.14</v>
      </c>
    </row>
    <row r="223" spans="1:12" ht="91.8" hidden="1" x14ac:dyDescent="0.3">
      <c r="A223" s="69" t="s">
        <v>240</v>
      </c>
      <c r="B223" s="70" t="s">
        <v>579</v>
      </c>
      <c r="C223" s="70" t="s">
        <v>594</v>
      </c>
      <c r="D223" s="70" t="s">
        <v>581</v>
      </c>
      <c r="E223" s="71" t="s">
        <v>13</v>
      </c>
      <c r="F223" s="76">
        <v>3039.45</v>
      </c>
      <c r="G223" s="76"/>
      <c r="H223" s="71" t="s">
        <v>457</v>
      </c>
      <c r="I223" s="77" t="s">
        <v>30</v>
      </c>
      <c r="J223" s="77"/>
      <c r="K223" s="74" t="s">
        <v>8</v>
      </c>
      <c r="L223" s="75">
        <v>3318735.59</v>
      </c>
    </row>
    <row r="224" spans="1:12" ht="61.2" x14ac:dyDescent="0.3">
      <c r="A224" s="69" t="s">
        <v>240</v>
      </c>
      <c r="B224" s="70" t="s">
        <v>595</v>
      </c>
      <c r="C224" s="70" t="s">
        <v>518</v>
      </c>
      <c r="D224" s="70" t="s">
        <v>596</v>
      </c>
      <c r="E224" s="71" t="s">
        <v>165</v>
      </c>
      <c r="F224" s="72" t="s">
        <v>30</v>
      </c>
      <c r="G224" s="72"/>
      <c r="H224" s="71" t="s">
        <v>13</v>
      </c>
      <c r="I224" s="78">
        <v>300</v>
      </c>
      <c r="J224" s="78"/>
      <c r="K224" s="74" t="s">
        <v>8</v>
      </c>
      <c r="L224" s="75">
        <v>90572.12</v>
      </c>
    </row>
    <row r="225" spans="1:12" ht="91.8" x14ac:dyDescent="0.3">
      <c r="A225" s="69" t="s">
        <v>240</v>
      </c>
      <c r="B225" s="70" t="s">
        <v>597</v>
      </c>
      <c r="C225" s="70" t="s">
        <v>518</v>
      </c>
      <c r="D225" s="70" t="s">
        <v>598</v>
      </c>
      <c r="E225" s="71" t="s">
        <v>165</v>
      </c>
      <c r="F225" s="72" t="s">
        <v>30</v>
      </c>
      <c r="G225" s="72"/>
      <c r="H225" s="71" t="s">
        <v>13</v>
      </c>
      <c r="I225" s="73">
        <v>79710.75</v>
      </c>
      <c r="J225" s="73"/>
      <c r="K225" s="74" t="s">
        <v>8</v>
      </c>
      <c r="L225" s="75">
        <v>23984.57</v>
      </c>
    </row>
    <row r="226" spans="1:12" ht="71.400000000000006" x14ac:dyDescent="0.3">
      <c r="A226" s="69" t="s">
        <v>240</v>
      </c>
      <c r="B226" s="70" t="s">
        <v>597</v>
      </c>
      <c r="C226" s="70" t="s">
        <v>518</v>
      </c>
      <c r="D226" s="70" t="s">
        <v>599</v>
      </c>
      <c r="E226" s="71" t="s">
        <v>165</v>
      </c>
      <c r="F226" s="72" t="s">
        <v>30</v>
      </c>
      <c r="G226" s="72"/>
      <c r="H226" s="71" t="s">
        <v>13</v>
      </c>
      <c r="I226" s="78">
        <v>525</v>
      </c>
      <c r="J226" s="78"/>
      <c r="K226" s="74" t="s">
        <v>8</v>
      </c>
      <c r="L226" s="75">
        <v>23459.57</v>
      </c>
    </row>
    <row r="227" spans="1:12" ht="71.400000000000006" x14ac:dyDescent="0.3">
      <c r="A227" s="69" t="s">
        <v>240</v>
      </c>
      <c r="B227" s="70" t="s">
        <v>597</v>
      </c>
      <c r="C227" s="70" t="s">
        <v>518</v>
      </c>
      <c r="D227" s="70" t="s">
        <v>600</v>
      </c>
      <c r="E227" s="71" t="s">
        <v>165</v>
      </c>
      <c r="F227" s="72" t="s">
        <v>30</v>
      </c>
      <c r="G227" s="72"/>
      <c r="H227" s="71" t="s">
        <v>13</v>
      </c>
      <c r="I227" s="78">
        <v>225</v>
      </c>
      <c r="J227" s="78"/>
      <c r="K227" s="74" t="s">
        <v>8</v>
      </c>
      <c r="L227" s="75">
        <v>23234.57</v>
      </c>
    </row>
    <row r="228" spans="1:12" ht="81.599999999999994" x14ac:dyDescent="0.3">
      <c r="A228" s="69" t="s">
        <v>240</v>
      </c>
      <c r="B228" s="70" t="s">
        <v>597</v>
      </c>
      <c r="C228" s="70" t="s">
        <v>518</v>
      </c>
      <c r="D228" s="70" t="s">
        <v>601</v>
      </c>
      <c r="E228" s="71" t="s">
        <v>165</v>
      </c>
      <c r="F228" s="72" t="s">
        <v>30</v>
      </c>
      <c r="G228" s="72"/>
      <c r="H228" s="71" t="s">
        <v>13</v>
      </c>
      <c r="I228" s="78">
        <v>650</v>
      </c>
      <c r="J228" s="78"/>
      <c r="K228" s="74" t="s">
        <v>8</v>
      </c>
      <c r="L228" s="75">
        <v>22584.57</v>
      </c>
    </row>
    <row r="229" spans="1:12" ht="71.400000000000006" x14ac:dyDescent="0.3">
      <c r="A229" s="69" t="s">
        <v>240</v>
      </c>
      <c r="B229" s="70" t="s">
        <v>597</v>
      </c>
      <c r="C229" s="70" t="s">
        <v>518</v>
      </c>
      <c r="D229" s="70" t="s">
        <v>602</v>
      </c>
      <c r="E229" s="71" t="s">
        <v>165</v>
      </c>
      <c r="F229" s="72" t="s">
        <v>30</v>
      </c>
      <c r="G229" s="72"/>
      <c r="H229" s="71" t="s">
        <v>13</v>
      </c>
      <c r="I229" s="78">
        <v>210</v>
      </c>
      <c r="J229" s="78"/>
      <c r="K229" s="74" t="s">
        <v>8</v>
      </c>
      <c r="L229" s="75">
        <v>22374.57</v>
      </c>
    </row>
    <row r="230" spans="1:12" ht="81.599999999999994" x14ac:dyDescent="0.3">
      <c r="A230" s="69" t="s">
        <v>240</v>
      </c>
      <c r="B230" s="70" t="s">
        <v>597</v>
      </c>
      <c r="C230" s="70" t="s">
        <v>518</v>
      </c>
      <c r="D230" s="70" t="s">
        <v>603</v>
      </c>
      <c r="E230" s="71" t="s">
        <v>165</v>
      </c>
      <c r="F230" s="72" t="s">
        <v>30</v>
      </c>
      <c r="G230" s="72"/>
      <c r="H230" s="71" t="s">
        <v>13</v>
      </c>
      <c r="I230" s="73">
        <v>3584</v>
      </c>
      <c r="J230" s="73"/>
      <c r="K230" s="74" t="s">
        <v>8</v>
      </c>
      <c r="L230" s="75">
        <v>18790.57</v>
      </c>
    </row>
    <row r="231" spans="1:12" ht="81.599999999999994" x14ac:dyDescent="0.3">
      <c r="A231" s="69" t="s">
        <v>240</v>
      </c>
      <c r="B231" s="70" t="s">
        <v>597</v>
      </c>
      <c r="C231" s="70" t="s">
        <v>518</v>
      </c>
      <c r="D231" s="70" t="s">
        <v>604</v>
      </c>
      <c r="E231" s="71" t="s">
        <v>165</v>
      </c>
      <c r="F231" s="72" t="s">
        <v>30</v>
      </c>
      <c r="G231" s="72"/>
      <c r="H231" s="71" t="s">
        <v>13</v>
      </c>
      <c r="I231" s="78">
        <v>437.5</v>
      </c>
      <c r="J231" s="78"/>
      <c r="K231" s="74" t="s">
        <v>8</v>
      </c>
      <c r="L231" s="75">
        <v>18353.07</v>
      </c>
    </row>
    <row r="232" spans="1:12" ht="112.2" x14ac:dyDescent="0.3">
      <c r="A232" s="69" t="s">
        <v>240</v>
      </c>
      <c r="B232" s="70" t="s">
        <v>605</v>
      </c>
      <c r="C232" s="70" t="s">
        <v>518</v>
      </c>
      <c r="D232" s="70" t="s">
        <v>606</v>
      </c>
      <c r="E232" s="71" t="s">
        <v>165</v>
      </c>
      <c r="F232" s="72" t="s">
        <v>30</v>
      </c>
      <c r="G232" s="72"/>
      <c r="H232" s="71" t="s">
        <v>13</v>
      </c>
      <c r="I232" s="73">
        <v>13204.8</v>
      </c>
      <c r="J232" s="73"/>
      <c r="K232" s="74" t="s">
        <v>8</v>
      </c>
      <c r="L232" s="75">
        <v>2269991.46</v>
      </c>
    </row>
    <row r="233" spans="1:12" ht="112.2" x14ac:dyDescent="0.3">
      <c r="A233" s="69" t="s">
        <v>240</v>
      </c>
      <c r="B233" s="70" t="s">
        <v>605</v>
      </c>
      <c r="C233" s="70" t="s">
        <v>518</v>
      </c>
      <c r="D233" s="70" t="s">
        <v>607</v>
      </c>
      <c r="E233" s="71" t="s">
        <v>165</v>
      </c>
      <c r="F233" s="72" t="s">
        <v>30</v>
      </c>
      <c r="G233" s="72"/>
      <c r="H233" s="71" t="s">
        <v>13</v>
      </c>
      <c r="I233" s="73">
        <v>24746.400000000001</v>
      </c>
      <c r="J233" s="73"/>
      <c r="K233" s="74" t="s">
        <v>8</v>
      </c>
      <c r="L233" s="75">
        <v>2245245.06</v>
      </c>
    </row>
    <row r="234" spans="1:12" ht="112.2" x14ac:dyDescent="0.3">
      <c r="A234" s="69" t="s">
        <v>240</v>
      </c>
      <c r="B234" s="70" t="s">
        <v>605</v>
      </c>
      <c r="C234" s="70" t="s">
        <v>518</v>
      </c>
      <c r="D234" s="70" t="s">
        <v>608</v>
      </c>
      <c r="E234" s="71" t="s">
        <v>165</v>
      </c>
      <c r="F234" s="72" t="s">
        <v>30</v>
      </c>
      <c r="G234" s="72"/>
      <c r="H234" s="71" t="s">
        <v>13</v>
      </c>
      <c r="I234" s="73">
        <v>11289.6</v>
      </c>
      <c r="J234" s="73"/>
      <c r="K234" s="74" t="s">
        <v>8</v>
      </c>
      <c r="L234" s="75">
        <v>2233955.46</v>
      </c>
    </row>
    <row r="235" spans="1:12" ht="112.2" x14ac:dyDescent="0.3">
      <c r="A235" s="69" t="s">
        <v>240</v>
      </c>
      <c r="B235" s="70" t="s">
        <v>605</v>
      </c>
      <c r="C235" s="70" t="s">
        <v>518</v>
      </c>
      <c r="D235" s="70" t="s">
        <v>609</v>
      </c>
      <c r="E235" s="71" t="s">
        <v>165</v>
      </c>
      <c r="F235" s="72" t="s">
        <v>30</v>
      </c>
      <c r="G235" s="72"/>
      <c r="H235" s="71" t="s">
        <v>13</v>
      </c>
      <c r="I235" s="73">
        <v>6174</v>
      </c>
      <c r="J235" s="73"/>
      <c r="K235" s="74" t="s">
        <v>8</v>
      </c>
      <c r="L235" s="75">
        <v>2227781.46</v>
      </c>
    </row>
    <row r="236" spans="1:12" ht="112.2" x14ac:dyDescent="0.3">
      <c r="A236" s="69" t="s">
        <v>240</v>
      </c>
      <c r="B236" s="70" t="s">
        <v>605</v>
      </c>
      <c r="C236" s="70" t="s">
        <v>518</v>
      </c>
      <c r="D236" s="70" t="s">
        <v>610</v>
      </c>
      <c r="E236" s="71" t="s">
        <v>165</v>
      </c>
      <c r="F236" s="72" t="s">
        <v>30</v>
      </c>
      <c r="G236" s="72"/>
      <c r="H236" s="71" t="s">
        <v>13</v>
      </c>
      <c r="I236" s="73">
        <v>5115.6000000000004</v>
      </c>
      <c r="J236" s="73"/>
      <c r="K236" s="74" t="s">
        <v>8</v>
      </c>
      <c r="L236" s="75">
        <v>2222665.86</v>
      </c>
    </row>
    <row r="237" spans="1:12" ht="112.2" x14ac:dyDescent="0.3">
      <c r="A237" s="69" t="s">
        <v>240</v>
      </c>
      <c r="B237" s="70" t="s">
        <v>605</v>
      </c>
      <c r="C237" s="70" t="s">
        <v>518</v>
      </c>
      <c r="D237" s="70" t="s">
        <v>611</v>
      </c>
      <c r="E237" s="71" t="s">
        <v>165</v>
      </c>
      <c r="F237" s="72" t="s">
        <v>30</v>
      </c>
      <c r="G237" s="72"/>
      <c r="H237" s="71" t="s">
        <v>13</v>
      </c>
      <c r="I237" s="73">
        <v>26554.61</v>
      </c>
      <c r="J237" s="73"/>
      <c r="K237" s="74" t="s">
        <v>8</v>
      </c>
      <c r="L237" s="75">
        <v>2196111.25</v>
      </c>
    </row>
    <row r="238" spans="1:12" ht="112.2" x14ac:dyDescent="0.3">
      <c r="A238" s="69" t="s">
        <v>240</v>
      </c>
      <c r="B238" s="70" t="s">
        <v>605</v>
      </c>
      <c r="C238" s="70" t="s">
        <v>518</v>
      </c>
      <c r="D238" s="70" t="s">
        <v>612</v>
      </c>
      <c r="E238" s="71" t="s">
        <v>165</v>
      </c>
      <c r="F238" s="72" t="s">
        <v>30</v>
      </c>
      <c r="G238" s="72"/>
      <c r="H238" s="71" t="s">
        <v>13</v>
      </c>
      <c r="I238" s="78">
        <v>5.73</v>
      </c>
      <c r="J238" s="78"/>
      <c r="K238" s="74" t="s">
        <v>8</v>
      </c>
      <c r="L238" s="75">
        <v>2196105.52</v>
      </c>
    </row>
    <row r="239" spans="1:12" ht="112.2" x14ac:dyDescent="0.3">
      <c r="A239" s="69" t="s">
        <v>240</v>
      </c>
      <c r="B239" s="70" t="s">
        <v>605</v>
      </c>
      <c r="C239" s="70" t="s">
        <v>518</v>
      </c>
      <c r="D239" s="70" t="s">
        <v>613</v>
      </c>
      <c r="E239" s="71" t="s">
        <v>165</v>
      </c>
      <c r="F239" s="72" t="s">
        <v>30</v>
      </c>
      <c r="G239" s="72"/>
      <c r="H239" s="71" t="s">
        <v>13</v>
      </c>
      <c r="I239" s="73">
        <v>36345.730000000003</v>
      </c>
      <c r="J239" s="73"/>
      <c r="K239" s="74" t="s">
        <v>8</v>
      </c>
      <c r="L239" s="75">
        <v>2159759.79</v>
      </c>
    </row>
    <row r="240" spans="1:12" ht="112.2" x14ac:dyDescent="0.3">
      <c r="A240" s="69" t="s">
        <v>240</v>
      </c>
      <c r="B240" s="70" t="s">
        <v>605</v>
      </c>
      <c r="C240" s="70" t="s">
        <v>518</v>
      </c>
      <c r="D240" s="70" t="s">
        <v>614</v>
      </c>
      <c r="E240" s="71" t="s">
        <v>165</v>
      </c>
      <c r="F240" s="72" t="s">
        <v>30</v>
      </c>
      <c r="G240" s="72"/>
      <c r="H240" s="71" t="s">
        <v>13</v>
      </c>
      <c r="I240" s="73">
        <v>9945.81</v>
      </c>
      <c r="J240" s="73"/>
      <c r="K240" s="74" t="s">
        <v>8</v>
      </c>
      <c r="L240" s="75">
        <v>2149813.98</v>
      </c>
    </row>
    <row r="241" spans="1:12" ht="112.2" x14ac:dyDescent="0.3">
      <c r="A241" s="69" t="s">
        <v>240</v>
      </c>
      <c r="B241" s="70" t="s">
        <v>605</v>
      </c>
      <c r="C241" s="70" t="s">
        <v>518</v>
      </c>
      <c r="D241" s="70" t="s">
        <v>615</v>
      </c>
      <c r="E241" s="71" t="s">
        <v>165</v>
      </c>
      <c r="F241" s="72" t="s">
        <v>30</v>
      </c>
      <c r="G241" s="72"/>
      <c r="H241" s="71" t="s">
        <v>13</v>
      </c>
      <c r="I241" s="73">
        <v>25538.5</v>
      </c>
      <c r="J241" s="73"/>
      <c r="K241" s="74" t="s">
        <v>8</v>
      </c>
      <c r="L241" s="75">
        <v>2124275.48</v>
      </c>
    </row>
    <row r="242" spans="1:12" ht="112.2" x14ac:dyDescent="0.3">
      <c r="A242" s="69" t="s">
        <v>240</v>
      </c>
      <c r="B242" s="70" t="s">
        <v>605</v>
      </c>
      <c r="C242" s="70" t="s">
        <v>518</v>
      </c>
      <c r="D242" s="70" t="s">
        <v>616</v>
      </c>
      <c r="E242" s="71" t="s">
        <v>165</v>
      </c>
      <c r="F242" s="72" t="s">
        <v>30</v>
      </c>
      <c r="G242" s="72"/>
      <c r="H242" s="71" t="s">
        <v>13</v>
      </c>
      <c r="I242" s="73">
        <v>23296</v>
      </c>
      <c r="J242" s="73"/>
      <c r="K242" s="74" t="s">
        <v>8</v>
      </c>
      <c r="L242" s="75">
        <v>2100979.48</v>
      </c>
    </row>
    <row r="243" spans="1:12" ht="91.8" x14ac:dyDescent="0.3">
      <c r="A243" s="69" t="s">
        <v>240</v>
      </c>
      <c r="B243" s="70" t="s">
        <v>605</v>
      </c>
      <c r="C243" s="70" t="s">
        <v>518</v>
      </c>
      <c r="D243" s="70" t="s">
        <v>617</v>
      </c>
      <c r="E243" s="71" t="s">
        <v>165</v>
      </c>
      <c r="F243" s="72" t="s">
        <v>30</v>
      </c>
      <c r="G243" s="72"/>
      <c r="H243" s="71" t="s">
        <v>13</v>
      </c>
      <c r="I243" s="78">
        <v>731.5</v>
      </c>
      <c r="J243" s="78"/>
      <c r="K243" s="74" t="s">
        <v>8</v>
      </c>
      <c r="L243" s="75">
        <v>2100247.98</v>
      </c>
    </row>
    <row r="244" spans="1:12" ht="102" x14ac:dyDescent="0.3">
      <c r="A244" s="69" t="s">
        <v>240</v>
      </c>
      <c r="B244" s="70" t="s">
        <v>605</v>
      </c>
      <c r="C244" s="70" t="s">
        <v>518</v>
      </c>
      <c r="D244" s="70" t="s">
        <v>618</v>
      </c>
      <c r="E244" s="71" t="s">
        <v>165</v>
      </c>
      <c r="F244" s="72" t="s">
        <v>30</v>
      </c>
      <c r="G244" s="72"/>
      <c r="H244" s="71" t="s">
        <v>13</v>
      </c>
      <c r="I244" s="73">
        <v>3250</v>
      </c>
      <c r="J244" s="73"/>
      <c r="K244" s="74" t="s">
        <v>8</v>
      </c>
      <c r="L244" s="75">
        <v>2096997.98</v>
      </c>
    </row>
    <row r="245" spans="1:12" ht="102" x14ac:dyDescent="0.3">
      <c r="A245" s="69" t="s">
        <v>240</v>
      </c>
      <c r="B245" s="70" t="s">
        <v>605</v>
      </c>
      <c r="C245" s="70" t="s">
        <v>518</v>
      </c>
      <c r="D245" s="70" t="s">
        <v>619</v>
      </c>
      <c r="E245" s="71" t="s">
        <v>165</v>
      </c>
      <c r="F245" s="72" t="s">
        <v>30</v>
      </c>
      <c r="G245" s="72"/>
      <c r="H245" s="71" t="s">
        <v>13</v>
      </c>
      <c r="I245" s="73">
        <v>2356.4499999999998</v>
      </c>
      <c r="J245" s="73"/>
      <c r="K245" s="74" t="s">
        <v>8</v>
      </c>
      <c r="L245" s="75">
        <v>2094641.53</v>
      </c>
    </row>
    <row r="246" spans="1:12" ht="102" x14ac:dyDescent="0.3">
      <c r="A246" s="69" t="s">
        <v>240</v>
      </c>
      <c r="B246" s="70" t="s">
        <v>605</v>
      </c>
      <c r="C246" s="70" t="s">
        <v>518</v>
      </c>
      <c r="D246" s="70" t="s">
        <v>620</v>
      </c>
      <c r="E246" s="71" t="s">
        <v>165</v>
      </c>
      <c r="F246" s="72" t="s">
        <v>30</v>
      </c>
      <c r="G246" s="72"/>
      <c r="H246" s="71" t="s">
        <v>13</v>
      </c>
      <c r="I246" s="78">
        <v>504.94</v>
      </c>
      <c r="J246" s="78"/>
      <c r="K246" s="74" t="s">
        <v>8</v>
      </c>
      <c r="L246" s="75">
        <v>2094136.59</v>
      </c>
    </row>
    <row r="247" spans="1:12" ht="102" x14ac:dyDescent="0.3">
      <c r="A247" s="69" t="s">
        <v>240</v>
      </c>
      <c r="B247" s="70" t="s">
        <v>605</v>
      </c>
      <c r="C247" s="70" t="s">
        <v>518</v>
      </c>
      <c r="D247" s="70" t="s">
        <v>621</v>
      </c>
      <c r="E247" s="71" t="s">
        <v>165</v>
      </c>
      <c r="F247" s="72" t="s">
        <v>30</v>
      </c>
      <c r="G247" s="72"/>
      <c r="H247" s="71" t="s">
        <v>13</v>
      </c>
      <c r="I247" s="78">
        <v>168.31</v>
      </c>
      <c r="J247" s="78"/>
      <c r="K247" s="74" t="s">
        <v>8</v>
      </c>
      <c r="L247" s="75">
        <v>2093968.28</v>
      </c>
    </row>
    <row r="248" spans="1:12" ht="91.8" x14ac:dyDescent="0.3">
      <c r="A248" s="69" t="s">
        <v>240</v>
      </c>
      <c r="B248" s="70" t="s">
        <v>622</v>
      </c>
      <c r="C248" s="70" t="s">
        <v>518</v>
      </c>
      <c r="D248" s="70" t="s">
        <v>349</v>
      </c>
      <c r="E248" s="71" t="s">
        <v>165</v>
      </c>
      <c r="F248" s="72" t="s">
        <v>30</v>
      </c>
      <c r="G248" s="72"/>
      <c r="H248" s="71" t="s">
        <v>13</v>
      </c>
      <c r="I248" s="73">
        <v>5723.17</v>
      </c>
      <c r="J248" s="73"/>
      <c r="K248" s="74" t="s">
        <v>8</v>
      </c>
      <c r="L248" s="75">
        <v>2088245.11</v>
      </c>
    </row>
    <row r="249" spans="1:12" ht="81.599999999999994" x14ac:dyDescent="0.3">
      <c r="A249" s="69" t="s">
        <v>240</v>
      </c>
      <c r="B249" s="70" t="s">
        <v>622</v>
      </c>
      <c r="C249" s="70" t="s">
        <v>518</v>
      </c>
      <c r="D249" s="70" t="s">
        <v>352</v>
      </c>
      <c r="E249" s="71" t="s">
        <v>165</v>
      </c>
      <c r="F249" s="72" t="s">
        <v>30</v>
      </c>
      <c r="G249" s="72"/>
      <c r="H249" s="71" t="s">
        <v>13</v>
      </c>
      <c r="I249" s="78">
        <v>829.16</v>
      </c>
      <c r="J249" s="78"/>
      <c r="K249" s="74" t="s">
        <v>8</v>
      </c>
      <c r="L249" s="75">
        <v>2087415.95</v>
      </c>
    </row>
    <row r="250" spans="1:12" ht="71.400000000000006" x14ac:dyDescent="0.3">
      <c r="A250" s="69" t="s">
        <v>240</v>
      </c>
      <c r="B250" s="70" t="s">
        <v>623</v>
      </c>
      <c r="C250" s="70" t="s">
        <v>518</v>
      </c>
      <c r="D250" s="70" t="s">
        <v>624</v>
      </c>
      <c r="E250" s="71" t="s">
        <v>165</v>
      </c>
      <c r="F250" s="72" t="s">
        <v>30</v>
      </c>
      <c r="G250" s="72"/>
      <c r="H250" s="71" t="s">
        <v>13</v>
      </c>
      <c r="I250" s="78">
        <v>990</v>
      </c>
      <c r="J250" s="78"/>
      <c r="K250" s="74" t="s">
        <v>8</v>
      </c>
      <c r="L250" s="75">
        <v>3317745.59</v>
      </c>
    </row>
    <row r="251" spans="1:12" ht="61.2" x14ac:dyDescent="0.3">
      <c r="A251" s="69" t="s">
        <v>240</v>
      </c>
      <c r="B251" s="70" t="s">
        <v>623</v>
      </c>
      <c r="C251" s="70" t="s">
        <v>518</v>
      </c>
      <c r="D251" s="70" t="s">
        <v>625</v>
      </c>
      <c r="E251" s="71" t="s">
        <v>165</v>
      </c>
      <c r="F251" s="72" t="s">
        <v>30</v>
      </c>
      <c r="G251" s="72"/>
      <c r="H251" s="71" t="s">
        <v>13</v>
      </c>
      <c r="I251" s="73">
        <v>1440</v>
      </c>
      <c r="J251" s="73"/>
      <c r="K251" s="74" t="s">
        <v>8</v>
      </c>
      <c r="L251" s="75">
        <v>3316305.59</v>
      </c>
    </row>
    <row r="252" spans="1:12" ht="61.2" x14ac:dyDescent="0.3">
      <c r="A252" s="69" t="s">
        <v>240</v>
      </c>
      <c r="B252" s="70" t="s">
        <v>623</v>
      </c>
      <c r="C252" s="70" t="s">
        <v>518</v>
      </c>
      <c r="D252" s="70" t="s">
        <v>626</v>
      </c>
      <c r="E252" s="71" t="s">
        <v>165</v>
      </c>
      <c r="F252" s="72" t="s">
        <v>30</v>
      </c>
      <c r="G252" s="72"/>
      <c r="H252" s="71" t="s">
        <v>13</v>
      </c>
      <c r="I252" s="73">
        <v>10982</v>
      </c>
      <c r="J252" s="73"/>
      <c r="K252" s="74" t="s">
        <v>8</v>
      </c>
      <c r="L252" s="75">
        <v>3305323.59</v>
      </c>
    </row>
    <row r="253" spans="1:12" ht="61.2" x14ac:dyDescent="0.3">
      <c r="A253" s="69" t="s">
        <v>240</v>
      </c>
      <c r="B253" s="70" t="s">
        <v>627</v>
      </c>
      <c r="C253" s="70" t="s">
        <v>518</v>
      </c>
      <c r="D253" s="70" t="s">
        <v>628</v>
      </c>
      <c r="E253" s="71" t="s">
        <v>165</v>
      </c>
      <c r="F253" s="72" t="s">
        <v>30</v>
      </c>
      <c r="G253" s="72"/>
      <c r="H253" s="71" t="s">
        <v>13</v>
      </c>
      <c r="I253" s="78">
        <v>177</v>
      </c>
      <c r="J253" s="78"/>
      <c r="K253" s="74" t="s">
        <v>8</v>
      </c>
      <c r="L253" s="75">
        <v>90395.12</v>
      </c>
    </row>
    <row r="254" spans="1:12" ht="61.2" x14ac:dyDescent="0.3">
      <c r="A254" s="69" t="s">
        <v>240</v>
      </c>
      <c r="B254" s="70" t="s">
        <v>627</v>
      </c>
      <c r="C254" s="70" t="s">
        <v>518</v>
      </c>
      <c r="D254" s="70" t="s">
        <v>629</v>
      </c>
      <c r="E254" s="71" t="s">
        <v>165</v>
      </c>
      <c r="F254" s="72" t="s">
        <v>30</v>
      </c>
      <c r="G254" s="72"/>
      <c r="H254" s="71" t="s">
        <v>13</v>
      </c>
      <c r="I254" s="78">
        <v>170</v>
      </c>
      <c r="J254" s="78"/>
      <c r="K254" s="74" t="s">
        <v>8</v>
      </c>
      <c r="L254" s="75">
        <v>90225.12</v>
      </c>
    </row>
    <row r="255" spans="1:12" ht="61.2" x14ac:dyDescent="0.3">
      <c r="A255" s="69" t="s">
        <v>240</v>
      </c>
      <c r="B255" s="70" t="s">
        <v>630</v>
      </c>
      <c r="C255" s="70" t="s">
        <v>518</v>
      </c>
      <c r="D255" s="70" t="s">
        <v>631</v>
      </c>
      <c r="E255" s="71" t="s">
        <v>165</v>
      </c>
      <c r="F255" s="72" t="s">
        <v>30</v>
      </c>
      <c r="G255" s="72"/>
      <c r="H255" s="71" t="s">
        <v>13</v>
      </c>
      <c r="I255" s="78">
        <v>740</v>
      </c>
      <c r="J255" s="78"/>
      <c r="K255" s="74" t="s">
        <v>8</v>
      </c>
      <c r="L255" s="75">
        <v>3304583.59</v>
      </c>
    </row>
    <row r="256" spans="1:12" ht="71.400000000000006" x14ac:dyDescent="0.3">
      <c r="A256" s="69" t="s">
        <v>240</v>
      </c>
      <c r="B256" s="70" t="s">
        <v>632</v>
      </c>
      <c r="C256" s="70" t="s">
        <v>518</v>
      </c>
      <c r="D256" s="70" t="s">
        <v>633</v>
      </c>
      <c r="E256" s="71" t="s">
        <v>165</v>
      </c>
      <c r="F256" s="72" t="s">
        <v>30</v>
      </c>
      <c r="G256" s="72"/>
      <c r="H256" s="71" t="s">
        <v>13</v>
      </c>
      <c r="I256" s="73">
        <v>1261.4000000000001</v>
      </c>
      <c r="J256" s="73"/>
      <c r="K256" s="74" t="s">
        <v>8</v>
      </c>
      <c r="L256" s="75">
        <v>574735.75</v>
      </c>
    </row>
    <row r="257" spans="1:12" ht="71.400000000000006" x14ac:dyDescent="0.3">
      <c r="A257" s="69" t="s">
        <v>240</v>
      </c>
      <c r="B257" s="70" t="s">
        <v>632</v>
      </c>
      <c r="C257" s="70" t="s">
        <v>518</v>
      </c>
      <c r="D257" s="70" t="s">
        <v>634</v>
      </c>
      <c r="E257" s="71" t="s">
        <v>165</v>
      </c>
      <c r="F257" s="72" t="s">
        <v>30</v>
      </c>
      <c r="G257" s="72"/>
      <c r="H257" s="71" t="s">
        <v>13</v>
      </c>
      <c r="I257" s="78">
        <v>178.4</v>
      </c>
      <c r="J257" s="78"/>
      <c r="K257" s="74" t="s">
        <v>8</v>
      </c>
      <c r="L257" s="75">
        <v>574557.35</v>
      </c>
    </row>
    <row r="258" spans="1:12" ht="81.599999999999994" x14ac:dyDescent="0.3">
      <c r="A258" s="69" t="s">
        <v>240</v>
      </c>
      <c r="B258" s="70" t="s">
        <v>632</v>
      </c>
      <c r="C258" s="70" t="s">
        <v>518</v>
      </c>
      <c r="D258" s="70" t="s">
        <v>635</v>
      </c>
      <c r="E258" s="71" t="s">
        <v>165</v>
      </c>
      <c r="F258" s="72" t="s">
        <v>30</v>
      </c>
      <c r="G258" s="72"/>
      <c r="H258" s="71" t="s">
        <v>13</v>
      </c>
      <c r="I258" s="73">
        <v>3678.48</v>
      </c>
      <c r="J258" s="73"/>
      <c r="K258" s="74" t="s">
        <v>8</v>
      </c>
      <c r="L258" s="75">
        <v>570878.87</v>
      </c>
    </row>
    <row r="259" spans="1:12" ht="81.599999999999994" x14ac:dyDescent="0.3">
      <c r="A259" s="69" t="s">
        <v>240</v>
      </c>
      <c r="B259" s="70" t="s">
        <v>632</v>
      </c>
      <c r="C259" s="70" t="s">
        <v>518</v>
      </c>
      <c r="D259" s="70" t="s">
        <v>636</v>
      </c>
      <c r="E259" s="71" t="s">
        <v>165</v>
      </c>
      <c r="F259" s="72" t="s">
        <v>30</v>
      </c>
      <c r="G259" s="72"/>
      <c r="H259" s="71" t="s">
        <v>13</v>
      </c>
      <c r="I259" s="73">
        <v>6453.28</v>
      </c>
      <c r="J259" s="73"/>
      <c r="K259" s="74" t="s">
        <v>8</v>
      </c>
      <c r="L259" s="75">
        <v>564425.59</v>
      </c>
    </row>
    <row r="260" spans="1:12" ht="81.599999999999994" x14ac:dyDescent="0.3">
      <c r="A260" s="69" t="s">
        <v>240</v>
      </c>
      <c r="B260" s="70" t="s">
        <v>632</v>
      </c>
      <c r="C260" s="70" t="s">
        <v>518</v>
      </c>
      <c r="D260" s="70" t="s">
        <v>637</v>
      </c>
      <c r="E260" s="71" t="s">
        <v>165</v>
      </c>
      <c r="F260" s="72" t="s">
        <v>30</v>
      </c>
      <c r="G260" s="72"/>
      <c r="H260" s="71" t="s">
        <v>13</v>
      </c>
      <c r="I260" s="78">
        <v>437.12</v>
      </c>
      <c r="J260" s="78"/>
      <c r="K260" s="74" t="s">
        <v>8</v>
      </c>
      <c r="L260" s="75">
        <v>563988.47</v>
      </c>
    </row>
    <row r="261" spans="1:12" ht="71.400000000000006" x14ac:dyDescent="0.3">
      <c r="A261" s="69" t="s">
        <v>240</v>
      </c>
      <c r="B261" s="70" t="s">
        <v>632</v>
      </c>
      <c r="C261" s="70" t="s">
        <v>518</v>
      </c>
      <c r="D261" s="70" t="s">
        <v>638</v>
      </c>
      <c r="E261" s="71" t="s">
        <v>165</v>
      </c>
      <c r="F261" s="72" t="s">
        <v>30</v>
      </c>
      <c r="G261" s="72"/>
      <c r="H261" s="71" t="s">
        <v>13</v>
      </c>
      <c r="I261" s="78">
        <v>422.4</v>
      </c>
      <c r="J261" s="78"/>
      <c r="K261" s="74" t="s">
        <v>8</v>
      </c>
      <c r="L261" s="75">
        <v>563566.06999999995</v>
      </c>
    </row>
    <row r="262" spans="1:12" ht="71.400000000000006" x14ac:dyDescent="0.3">
      <c r="A262" s="69" t="s">
        <v>240</v>
      </c>
      <c r="B262" s="70" t="s">
        <v>632</v>
      </c>
      <c r="C262" s="70" t="s">
        <v>518</v>
      </c>
      <c r="D262" s="70" t="s">
        <v>639</v>
      </c>
      <c r="E262" s="71" t="s">
        <v>165</v>
      </c>
      <c r="F262" s="72" t="s">
        <v>30</v>
      </c>
      <c r="G262" s="72"/>
      <c r="H262" s="71" t="s">
        <v>13</v>
      </c>
      <c r="I262" s="73">
        <v>2764.8</v>
      </c>
      <c r="J262" s="73"/>
      <c r="K262" s="74" t="s">
        <v>8</v>
      </c>
      <c r="L262" s="75">
        <v>560801.27</v>
      </c>
    </row>
    <row r="263" spans="1:12" ht="71.400000000000006" x14ac:dyDescent="0.3">
      <c r="A263" s="69" t="s">
        <v>240</v>
      </c>
      <c r="B263" s="70" t="s">
        <v>632</v>
      </c>
      <c r="C263" s="70" t="s">
        <v>518</v>
      </c>
      <c r="D263" s="70" t="s">
        <v>640</v>
      </c>
      <c r="E263" s="71" t="s">
        <v>165</v>
      </c>
      <c r="F263" s="72" t="s">
        <v>30</v>
      </c>
      <c r="G263" s="72"/>
      <c r="H263" s="71" t="s">
        <v>13</v>
      </c>
      <c r="I263" s="78">
        <v>837.76</v>
      </c>
      <c r="J263" s="78"/>
      <c r="K263" s="74" t="s">
        <v>8</v>
      </c>
      <c r="L263" s="75">
        <v>559963.51</v>
      </c>
    </row>
    <row r="264" spans="1:12" ht="71.400000000000006" x14ac:dyDescent="0.3">
      <c r="A264" s="69" t="s">
        <v>240</v>
      </c>
      <c r="B264" s="70" t="s">
        <v>632</v>
      </c>
      <c r="C264" s="70" t="s">
        <v>518</v>
      </c>
      <c r="D264" s="70" t="s">
        <v>641</v>
      </c>
      <c r="E264" s="71" t="s">
        <v>165</v>
      </c>
      <c r="F264" s="72" t="s">
        <v>30</v>
      </c>
      <c r="G264" s="72"/>
      <c r="H264" s="71" t="s">
        <v>13</v>
      </c>
      <c r="I264" s="78">
        <v>70.400000000000006</v>
      </c>
      <c r="J264" s="78"/>
      <c r="K264" s="74" t="s">
        <v>8</v>
      </c>
      <c r="L264" s="75">
        <v>559893.11</v>
      </c>
    </row>
    <row r="265" spans="1:12" ht="71.400000000000006" x14ac:dyDescent="0.3">
      <c r="A265" s="69" t="s">
        <v>240</v>
      </c>
      <c r="B265" s="70" t="s">
        <v>632</v>
      </c>
      <c r="C265" s="70" t="s">
        <v>518</v>
      </c>
      <c r="D265" s="70" t="s">
        <v>642</v>
      </c>
      <c r="E265" s="71" t="s">
        <v>165</v>
      </c>
      <c r="F265" s="72" t="s">
        <v>30</v>
      </c>
      <c r="G265" s="72"/>
      <c r="H265" s="71" t="s">
        <v>13</v>
      </c>
      <c r="I265" s="73">
        <v>4279.28</v>
      </c>
      <c r="J265" s="73"/>
      <c r="K265" s="74" t="s">
        <v>8</v>
      </c>
      <c r="L265" s="75">
        <v>555613.82999999996</v>
      </c>
    </row>
    <row r="266" spans="1:12" ht="71.400000000000006" x14ac:dyDescent="0.3">
      <c r="A266" s="69" t="s">
        <v>240</v>
      </c>
      <c r="B266" s="70" t="s">
        <v>632</v>
      </c>
      <c r="C266" s="70" t="s">
        <v>518</v>
      </c>
      <c r="D266" s="70" t="s">
        <v>643</v>
      </c>
      <c r="E266" s="71" t="s">
        <v>165</v>
      </c>
      <c r="F266" s="72" t="s">
        <v>30</v>
      </c>
      <c r="G266" s="72"/>
      <c r="H266" s="71" t="s">
        <v>13</v>
      </c>
      <c r="I266" s="73">
        <v>1645.28</v>
      </c>
      <c r="J266" s="73"/>
      <c r="K266" s="74" t="s">
        <v>8</v>
      </c>
      <c r="L266" s="75">
        <v>553968.55000000005</v>
      </c>
    </row>
    <row r="267" spans="1:12" ht="81.599999999999994" x14ac:dyDescent="0.3">
      <c r="A267" s="69" t="s">
        <v>240</v>
      </c>
      <c r="B267" s="70" t="s">
        <v>632</v>
      </c>
      <c r="C267" s="70" t="s">
        <v>518</v>
      </c>
      <c r="D267" s="70" t="s">
        <v>644</v>
      </c>
      <c r="E267" s="71" t="s">
        <v>165</v>
      </c>
      <c r="F267" s="72" t="s">
        <v>30</v>
      </c>
      <c r="G267" s="72"/>
      <c r="H267" s="71" t="s">
        <v>13</v>
      </c>
      <c r="I267" s="78">
        <v>340.34</v>
      </c>
      <c r="J267" s="78"/>
      <c r="K267" s="74" t="s">
        <v>8</v>
      </c>
      <c r="L267" s="75">
        <v>553628.21</v>
      </c>
    </row>
    <row r="268" spans="1:12" ht="81.599999999999994" x14ac:dyDescent="0.3">
      <c r="A268" s="69" t="s">
        <v>240</v>
      </c>
      <c r="B268" s="70" t="s">
        <v>632</v>
      </c>
      <c r="C268" s="70" t="s">
        <v>518</v>
      </c>
      <c r="D268" s="70" t="s">
        <v>645</v>
      </c>
      <c r="E268" s="71" t="s">
        <v>165</v>
      </c>
      <c r="F268" s="72" t="s">
        <v>30</v>
      </c>
      <c r="G268" s="72"/>
      <c r="H268" s="71" t="s">
        <v>13</v>
      </c>
      <c r="I268" s="78">
        <v>22.4</v>
      </c>
      <c r="J268" s="78"/>
      <c r="K268" s="74" t="s">
        <v>8</v>
      </c>
      <c r="L268" s="75">
        <v>553605.81000000006</v>
      </c>
    </row>
    <row r="269" spans="1:12" ht="81.599999999999994" x14ac:dyDescent="0.3">
      <c r="A269" s="69" t="s">
        <v>240</v>
      </c>
      <c r="B269" s="70" t="s">
        <v>632</v>
      </c>
      <c r="C269" s="70" t="s">
        <v>518</v>
      </c>
      <c r="D269" s="70" t="s">
        <v>646</v>
      </c>
      <c r="E269" s="71" t="s">
        <v>165</v>
      </c>
      <c r="F269" s="72" t="s">
        <v>30</v>
      </c>
      <c r="G269" s="72"/>
      <c r="H269" s="71" t="s">
        <v>13</v>
      </c>
      <c r="I269" s="73">
        <v>1091.3599999999999</v>
      </c>
      <c r="J269" s="73"/>
      <c r="K269" s="74" t="s">
        <v>8</v>
      </c>
      <c r="L269" s="75">
        <v>552514.44999999995</v>
      </c>
    </row>
    <row r="270" spans="1:12" ht="81.599999999999994" x14ac:dyDescent="0.3">
      <c r="A270" s="69" t="s">
        <v>240</v>
      </c>
      <c r="B270" s="70" t="s">
        <v>632</v>
      </c>
      <c r="C270" s="70" t="s">
        <v>518</v>
      </c>
      <c r="D270" s="70" t="s">
        <v>647</v>
      </c>
      <c r="E270" s="71" t="s">
        <v>165</v>
      </c>
      <c r="F270" s="72" t="s">
        <v>30</v>
      </c>
      <c r="G270" s="72"/>
      <c r="H270" s="71" t="s">
        <v>13</v>
      </c>
      <c r="I270" s="78">
        <v>220.48</v>
      </c>
      <c r="J270" s="78"/>
      <c r="K270" s="74" t="s">
        <v>8</v>
      </c>
      <c r="L270" s="75">
        <v>552293.97</v>
      </c>
    </row>
    <row r="271" spans="1:12" ht="61.2" x14ac:dyDescent="0.3">
      <c r="A271" s="69" t="s">
        <v>240</v>
      </c>
      <c r="B271" s="70" t="s">
        <v>648</v>
      </c>
      <c r="C271" s="70" t="s">
        <v>518</v>
      </c>
      <c r="D271" s="70" t="s">
        <v>649</v>
      </c>
      <c r="E271" s="71" t="s">
        <v>165</v>
      </c>
      <c r="F271" s="72" t="s">
        <v>30</v>
      </c>
      <c r="G271" s="72"/>
      <c r="H271" s="71" t="s">
        <v>13</v>
      </c>
      <c r="I271" s="73">
        <v>54101.8</v>
      </c>
      <c r="J271" s="73"/>
      <c r="K271" s="74" t="s">
        <v>8</v>
      </c>
      <c r="L271" s="75">
        <v>4807347.25</v>
      </c>
    </row>
    <row r="272" spans="1:12" ht="71.400000000000006" x14ac:dyDescent="0.3">
      <c r="A272" s="69" t="s">
        <v>240</v>
      </c>
      <c r="B272" s="70" t="s">
        <v>648</v>
      </c>
      <c r="C272" s="70" t="s">
        <v>518</v>
      </c>
      <c r="D272" s="70" t="s">
        <v>650</v>
      </c>
      <c r="E272" s="71" t="s">
        <v>165</v>
      </c>
      <c r="F272" s="72" t="s">
        <v>30</v>
      </c>
      <c r="G272" s="72"/>
      <c r="H272" s="71" t="s">
        <v>13</v>
      </c>
      <c r="I272" s="73">
        <v>21695.47</v>
      </c>
      <c r="J272" s="73"/>
      <c r="K272" s="74" t="s">
        <v>8</v>
      </c>
      <c r="L272" s="75">
        <v>4785651.78</v>
      </c>
    </row>
    <row r="273" spans="1:12" ht="71.400000000000006" x14ac:dyDescent="0.3">
      <c r="A273" s="69" t="s">
        <v>240</v>
      </c>
      <c r="B273" s="70" t="s">
        <v>648</v>
      </c>
      <c r="C273" s="70" t="s">
        <v>518</v>
      </c>
      <c r="D273" s="70" t="s">
        <v>651</v>
      </c>
      <c r="E273" s="71" t="s">
        <v>165</v>
      </c>
      <c r="F273" s="72" t="s">
        <v>30</v>
      </c>
      <c r="G273" s="72"/>
      <c r="H273" s="71" t="s">
        <v>13</v>
      </c>
      <c r="I273" s="73">
        <v>8997.16</v>
      </c>
      <c r="J273" s="73"/>
      <c r="K273" s="74" t="s">
        <v>8</v>
      </c>
      <c r="L273" s="75">
        <v>4776654.62</v>
      </c>
    </row>
    <row r="274" spans="1:12" ht="71.400000000000006" x14ac:dyDescent="0.3">
      <c r="A274" s="69" t="s">
        <v>240</v>
      </c>
      <c r="B274" s="70" t="s">
        <v>648</v>
      </c>
      <c r="C274" s="70" t="s">
        <v>518</v>
      </c>
      <c r="D274" s="70" t="s">
        <v>652</v>
      </c>
      <c r="E274" s="71" t="s">
        <v>165</v>
      </c>
      <c r="F274" s="72" t="s">
        <v>30</v>
      </c>
      <c r="G274" s="72"/>
      <c r="H274" s="71" t="s">
        <v>13</v>
      </c>
      <c r="I274" s="73">
        <v>2992.5</v>
      </c>
      <c r="J274" s="73"/>
      <c r="K274" s="74" t="s">
        <v>8</v>
      </c>
      <c r="L274" s="75">
        <v>4773662.12</v>
      </c>
    </row>
    <row r="275" spans="1:12" ht="61.2" x14ac:dyDescent="0.3">
      <c r="A275" s="69" t="s">
        <v>240</v>
      </c>
      <c r="B275" s="70" t="s">
        <v>648</v>
      </c>
      <c r="C275" s="70" t="s">
        <v>518</v>
      </c>
      <c r="D275" s="70" t="s">
        <v>653</v>
      </c>
      <c r="E275" s="71" t="s">
        <v>165</v>
      </c>
      <c r="F275" s="72" t="s">
        <v>30</v>
      </c>
      <c r="G275" s="72"/>
      <c r="H275" s="71" t="s">
        <v>13</v>
      </c>
      <c r="I275" s="73">
        <v>81357.25</v>
      </c>
      <c r="J275" s="73"/>
      <c r="K275" s="74" t="s">
        <v>8</v>
      </c>
      <c r="L275" s="75">
        <v>4692304.87</v>
      </c>
    </row>
    <row r="276" spans="1:12" ht="61.2" x14ac:dyDescent="0.3">
      <c r="A276" s="69" t="s">
        <v>240</v>
      </c>
      <c r="B276" s="70" t="s">
        <v>648</v>
      </c>
      <c r="C276" s="70" t="s">
        <v>518</v>
      </c>
      <c r="D276" s="70" t="s">
        <v>654</v>
      </c>
      <c r="E276" s="71" t="s">
        <v>165</v>
      </c>
      <c r="F276" s="72" t="s">
        <v>30</v>
      </c>
      <c r="G276" s="72"/>
      <c r="H276" s="71" t="s">
        <v>13</v>
      </c>
      <c r="I276" s="73">
        <v>3462.84</v>
      </c>
      <c r="J276" s="73"/>
      <c r="K276" s="74" t="s">
        <v>8</v>
      </c>
      <c r="L276" s="75">
        <v>4688842.03</v>
      </c>
    </row>
    <row r="277" spans="1:12" ht="61.2" x14ac:dyDescent="0.3">
      <c r="A277" s="69" t="s">
        <v>240</v>
      </c>
      <c r="B277" s="70" t="s">
        <v>648</v>
      </c>
      <c r="C277" s="70" t="s">
        <v>518</v>
      </c>
      <c r="D277" s="70" t="s">
        <v>353</v>
      </c>
      <c r="E277" s="71" t="s">
        <v>165</v>
      </c>
      <c r="F277" s="72" t="s">
        <v>30</v>
      </c>
      <c r="G277" s="72"/>
      <c r="H277" s="71" t="s">
        <v>13</v>
      </c>
      <c r="I277" s="73">
        <v>1894.66</v>
      </c>
      <c r="J277" s="73"/>
      <c r="K277" s="74" t="s">
        <v>8</v>
      </c>
      <c r="L277" s="75">
        <v>4686947.37</v>
      </c>
    </row>
    <row r="278" spans="1:12" ht="71.400000000000006" x14ac:dyDescent="0.3">
      <c r="A278" s="69" t="s">
        <v>240</v>
      </c>
      <c r="B278" s="70" t="s">
        <v>648</v>
      </c>
      <c r="C278" s="70" t="s">
        <v>518</v>
      </c>
      <c r="D278" s="70" t="s">
        <v>351</v>
      </c>
      <c r="E278" s="71" t="s">
        <v>165</v>
      </c>
      <c r="F278" s="72" t="s">
        <v>30</v>
      </c>
      <c r="G278" s="72"/>
      <c r="H278" s="71" t="s">
        <v>13</v>
      </c>
      <c r="I278" s="73">
        <v>13081.68</v>
      </c>
      <c r="J278" s="73"/>
      <c r="K278" s="74" t="s">
        <v>8</v>
      </c>
      <c r="L278" s="75">
        <v>4673865.6900000004</v>
      </c>
    </row>
    <row r="279" spans="1:12" ht="81.599999999999994" x14ac:dyDescent="0.3">
      <c r="A279" s="69" t="s">
        <v>240</v>
      </c>
      <c r="B279" s="70" t="s">
        <v>655</v>
      </c>
      <c r="C279" s="70" t="s">
        <v>518</v>
      </c>
      <c r="D279" s="70" t="s">
        <v>656</v>
      </c>
      <c r="E279" s="71" t="s">
        <v>165</v>
      </c>
      <c r="F279" s="72" t="s">
        <v>30</v>
      </c>
      <c r="G279" s="72"/>
      <c r="H279" s="71" t="s">
        <v>13</v>
      </c>
      <c r="I279" s="78">
        <v>587.80999999999995</v>
      </c>
      <c r="J279" s="78"/>
      <c r="K279" s="74" t="s">
        <v>8</v>
      </c>
      <c r="L279" s="75">
        <v>3303995.78</v>
      </c>
    </row>
    <row r="280" spans="1:12" ht="81.599999999999994" x14ac:dyDescent="0.3">
      <c r="A280" s="69" t="s">
        <v>240</v>
      </c>
      <c r="B280" s="70" t="s">
        <v>655</v>
      </c>
      <c r="C280" s="70" t="s">
        <v>518</v>
      </c>
      <c r="D280" s="70" t="s">
        <v>657</v>
      </c>
      <c r="E280" s="71" t="s">
        <v>165</v>
      </c>
      <c r="F280" s="72" t="s">
        <v>30</v>
      </c>
      <c r="G280" s="72"/>
      <c r="H280" s="71" t="s">
        <v>13</v>
      </c>
      <c r="I280" s="78">
        <v>84.32</v>
      </c>
      <c r="J280" s="78"/>
      <c r="K280" s="74" t="s">
        <v>8</v>
      </c>
      <c r="L280" s="75">
        <v>3303911.46</v>
      </c>
    </row>
    <row r="281" spans="1:12" ht="61.2" hidden="1" x14ac:dyDescent="0.3">
      <c r="A281" s="69" t="s">
        <v>658</v>
      </c>
      <c r="B281" s="70" t="s">
        <v>659</v>
      </c>
      <c r="C281" s="70" t="s">
        <v>660</v>
      </c>
      <c r="D281" s="70" t="s">
        <v>661</v>
      </c>
      <c r="E281" s="71" t="s">
        <v>13</v>
      </c>
      <c r="F281" s="76">
        <v>21625.1</v>
      </c>
      <c r="G281" s="76"/>
      <c r="H281" s="71" t="s">
        <v>457</v>
      </c>
      <c r="I281" s="77" t="s">
        <v>30</v>
      </c>
      <c r="J281" s="77"/>
      <c r="K281" s="74" t="s">
        <v>8</v>
      </c>
      <c r="L281" s="75">
        <v>2689683.69</v>
      </c>
    </row>
    <row r="282" spans="1:12" ht="81.599999999999994" hidden="1" x14ac:dyDescent="0.3">
      <c r="A282" s="69" t="s">
        <v>658</v>
      </c>
      <c r="B282" s="70" t="s">
        <v>662</v>
      </c>
      <c r="C282" s="70" t="s">
        <v>663</v>
      </c>
      <c r="D282" s="70" t="s">
        <v>664</v>
      </c>
      <c r="E282" s="71" t="s">
        <v>13</v>
      </c>
      <c r="F282" s="79">
        <v>742.2</v>
      </c>
      <c r="G282" s="79"/>
      <c r="H282" s="71" t="s">
        <v>457</v>
      </c>
      <c r="I282" s="77" t="s">
        <v>30</v>
      </c>
      <c r="J282" s="77"/>
      <c r="K282" s="74" t="s">
        <v>8</v>
      </c>
      <c r="L282" s="75">
        <v>1463337.66</v>
      </c>
    </row>
    <row r="283" spans="1:12" ht="102" hidden="1" x14ac:dyDescent="0.3">
      <c r="A283" s="69" t="s">
        <v>658</v>
      </c>
      <c r="B283" s="70" t="s">
        <v>662</v>
      </c>
      <c r="C283" s="70" t="s">
        <v>665</v>
      </c>
      <c r="D283" s="70" t="s">
        <v>664</v>
      </c>
      <c r="E283" s="71" t="s">
        <v>13</v>
      </c>
      <c r="F283" s="76">
        <v>159781.44</v>
      </c>
      <c r="G283" s="76"/>
      <c r="H283" s="71" t="s">
        <v>457</v>
      </c>
      <c r="I283" s="77" t="s">
        <v>30</v>
      </c>
      <c r="J283" s="77"/>
      <c r="K283" s="74" t="s">
        <v>8</v>
      </c>
      <c r="L283" s="75">
        <v>1623119.1</v>
      </c>
    </row>
    <row r="284" spans="1:12" ht="71.400000000000006" x14ac:dyDescent="0.3">
      <c r="A284" s="69" t="s">
        <v>301</v>
      </c>
      <c r="B284" s="70" t="s">
        <v>666</v>
      </c>
      <c r="C284" s="70" t="s">
        <v>518</v>
      </c>
      <c r="D284" s="70" t="s">
        <v>312</v>
      </c>
      <c r="E284" s="71" t="s">
        <v>165</v>
      </c>
      <c r="F284" s="72" t="s">
        <v>30</v>
      </c>
      <c r="G284" s="72"/>
      <c r="H284" s="71" t="s">
        <v>13</v>
      </c>
      <c r="I284" s="73">
        <v>20737.5</v>
      </c>
      <c r="J284" s="73"/>
      <c r="K284" s="74" t="s">
        <v>8</v>
      </c>
      <c r="L284" s="75">
        <v>3283173.96</v>
      </c>
    </row>
    <row r="285" spans="1:12" ht="61.2" x14ac:dyDescent="0.3">
      <c r="A285" s="69" t="s">
        <v>301</v>
      </c>
      <c r="B285" s="70" t="s">
        <v>666</v>
      </c>
      <c r="C285" s="70" t="s">
        <v>518</v>
      </c>
      <c r="D285" s="70" t="s">
        <v>314</v>
      </c>
      <c r="E285" s="71" t="s">
        <v>165</v>
      </c>
      <c r="F285" s="72" t="s">
        <v>30</v>
      </c>
      <c r="G285" s="72"/>
      <c r="H285" s="71" t="s">
        <v>13</v>
      </c>
      <c r="I285" s="73">
        <v>1643.61</v>
      </c>
      <c r="J285" s="73"/>
      <c r="K285" s="74" t="s">
        <v>8</v>
      </c>
      <c r="L285" s="75">
        <v>3281530.35</v>
      </c>
    </row>
    <row r="286" spans="1:12" ht="61.2" x14ac:dyDescent="0.3">
      <c r="A286" s="69" t="s">
        <v>301</v>
      </c>
      <c r="B286" s="70" t="s">
        <v>666</v>
      </c>
      <c r="C286" s="70" t="s">
        <v>518</v>
      </c>
      <c r="D286" s="70" t="s">
        <v>346</v>
      </c>
      <c r="E286" s="71" t="s">
        <v>165</v>
      </c>
      <c r="F286" s="72" t="s">
        <v>30</v>
      </c>
      <c r="G286" s="72"/>
      <c r="H286" s="71" t="s">
        <v>13</v>
      </c>
      <c r="I286" s="78">
        <v>277.60000000000002</v>
      </c>
      <c r="J286" s="78"/>
      <c r="K286" s="74" t="s">
        <v>8</v>
      </c>
      <c r="L286" s="75">
        <v>3281252.75</v>
      </c>
    </row>
    <row r="287" spans="1:12" ht="61.2" x14ac:dyDescent="0.3">
      <c r="A287" s="69" t="s">
        <v>301</v>
      </c>
      <c r="B287" s="70" t="s">
        <v>666</v>
      </c>
      <c r="C287" s="70" t="s">
        <v>518</v>
      </c>
      <c r="D287" s="70" t="s">
        <v>667</v>
      </c>
      <c r="E287" s="71" t="s">
        <v>165</v>
      </c>
      <c r="F287" s="72" t="s">
        <v>30</v>
      </c>
      <c r="G287" s="72"/>
      <c r="H287" s="71" t="s">
        <v>13</v>
      </c>
      <c r="I287" s="73">
        <v>2082.16</v>
      </c>
      <c r="J287" s="73"/>
      <c r="K287" s="74" t="s">
        <v>8</v>
      </c>
      <c r="L287" s="75">
        <v>3279170.59</v>
      </c>
    </row>
    <row r="288" spans="1:12" ht="71.400000000000006" x14ac:dyDescent="0.3">
      <c r="A288" s="69" t="s">
        <v>301</v>
      </c>
      <c r="B288" s="70" t="s">
        <v>666</v>
      </c>
      <c r="C288" s="70" t="s">
        <v>518</v>
      </c>
      <c r="D288" s="70" t="s">
        <v>668</v>
      </c>
      <c r="E288" s="71" t="s">
        <v>165</v>
      </c>
      <c r="F288" s="72" t="s">
        <v>30</v>
      </c>
      <c r="G288" s="72"/>
      <c r="H288" s="71" t="s">
        <v>13</v>
      </c>
      <c r="I288" s="73">
        <v>38477.43</v>
      </c>
      <c r="J288" s="73"/>
      <c r="K288" s="74" t="s">
        <v>8</v>
      </c>
      <c r="L288" s="75">
        <v>3240693.16</v>
      </c>
    </row>
    <row r="289" spans="1:12" ht="61.2" x14ac:dyDescent="0.3">
      <c r="A289" s="69" t="s">
        <v>301</v>
      </c>
      <c r="B289" s="70" t="s">
        <v>666</v>
      </c>
      <c r="C289" s="70" t="s">
        <v>518</v>
      </c>
      <c r="D289" s="70" t="s">
        <v>667</v>
      </c>
      <c r="E289" s="71" t="s">
        <v>165</v>
      </c>
      <c r="F289" s="72" t="s">
        <v>30</v>
      </c>
      <c r="G289" s="72"/>
      <c r="H289" s="71" t="s">
        <v>13</v>
      </c>
      <c r="I289" s="73">
        <v>5103.34</v>
      </c>
      <c r="J289" s="73"/>
      <c r="K289" s="74" t="s">
        <v>8</v>
      </c>
      <c r="L289" s="75">
        <v>3235589.82</v>
      </c>
    </row>
    <row r="290" spans="1:12" ht="71.400000000000006" hidden="1" x14ac:dyDescent="0.3">
      <c r="A290" s="69" t="s">
        <v>301</v>
      </c>
      <c r="B290" s="70" t="s">
        <v>669</v>
      </c>
      <c r="C290" s="70" t="s">
        <v>670</v>
      </c>
      <c r="D290" s="70" t="s">
        <v>671</v>
      </c>
      <c r="E290" s="71" t="s">
        <v>13</v>
      </c>
      <c r="F290" s="76">
        <v>111300</v>
      </c>
      <c r="G290" s="76"/>
      <c r="H290" s="71" t="s">
        <v>457</v>
      </c>
      <c r="I290" s="77" t="s">
        <v>30</v>
      </c>
      <c r="J290" s="77"/>
      <c r="K290" s="74" t="s">
        <v>8</v>
      </c>
      <c r="L290" s="75">
        <v>4785165.6900000004</v>
      </c>
    </row>
    <row r="291" spans="1:12" ht="71.400000000000006" hidden="1" x14ac:dyDescent="0.3">
      <c r="A291" s="69" t="s">
        <v>301</v>
      </c>
      <c r="B291" s="70" t="s">
        <v>669</v>
      </c>
      <c r="C291" s="70" t="s">
        <v>672</v>
      </c>
      <c r="D291" s="70" t="s">
        <v>671</v>
      </c>
      <c r="E291" s="71" t="s">
        <v>13</v>
      </c>
      <c r="F291" s="76">
        <v>5560</v>
      </c>
      <c r="G291" s="76"/>
      <c r="H291" s="71" t="s">
        <v>457</v>
      </c>
      <c r="I291" s="77" t="s">
        <v>30</v>
      </c>
      <c r="J291" s="77"/>
      <c r="K291" s="74" t="s">
        <v>8</v>
      </c>
      <c r="L291" s="75">
        <v>4790725.6900000004</v>
      </c>
    </row>
    <row r="292" spans="1:12" ht="71.400000000000006" x14ac:dyDescent="0.3">
      <c r="A292" s="69" t="s">
        <v>301</v>
      </c>
      <c r="B292" s="70" t="s">
        <v>673</v>
      </c>
      <c r="C292" s="70" t="s">
        <v>518</v>
      </c>
      <c r="D292" s="70" t="s">
        <v>674</v>
      </c>
      <c r="E292" s="71" t="s">
        <v>165</v>
      </c>
      <c r="F292" s="72" t="s">
        <v>30</v>
      </c>
      <c r="G292" s="72"/>
      <c r="H292" s="71" t="s">
        <v>13</v>
      </c>
      <c r="I292" s="73">
        <v>7757.37</v>
      </c>
      <c r="J292" s="73"/>
      <c r="K292" s="74" t="s">
        <v>8</v>
      </c>
      <c r="L292" s="75">
        <v>4782968.32</v>
      </c>
    </row>
    <row r="293" spans="1:12" ht="71.400000000000006" x14ac:dyDescent="0.3">
      <c r="A293" s="69" t="s">
        <v>301</v>
      </c>
      <c r="B293" s="70" t="s">
        <v>673</v>
      </c>
      <c r="C293" s="70" t="s">
        <v>518</v>
      </c>
      <c r="D293" s="70" t="s">
        <v>651</v>
      </c>
      <c r="E293" s="71" t="s">
        <v>165</v>
      </c>
      <c r="F293" s="72" t="s">
        <v>30</v>
      </c>
      <c r="G293" s="72"/>
      <c r="H293" s="71" t="s">
        <v>13</v>
      </c>
      <c r="I293" s="73">
        <v>55541.29</v>
      </c>
      <c r="J293" s="73"/>
      <c r="K293" s="74" t="s">
        <v>8</v>
      </c>
      <c r="L293" s="75">
        <v>4727427.03</v>
      </c>
    </row>
    <row r="294" spans="1:12" ht="71.400000000000006" x14ac:dyDescent="0.3">
      <c r="A294" s="69" t="s">
        <v>301</v>
      </c>
      <c r="B294" s="70" t="s">
        <v>673</v>
      </c>
      <c r="C294" s="70" t="s">
        <v>518</v>
      </c>
      <c r="D294" s="70" t="s">
        <v>652</v>
      </c>
      <c r="E294" s="71" t="s">
        <v>165</v>
      </c>
      <c r="F294" s="72" t="s">
        <v>30</v>
      </c>
      <c r="G294" s="72"/>
      <c r="H294" s="71" t="s">
        <v>13</v>
      </c>
      <c r="I294" s="73">
        <v>4474.5</v>
      </c>
      <c r="J294" s="73"/>
      <c r="K294" s="74" t="s">
        <v>8</v>
      </c>
      <c r="L294" s="75">
        <v>4722952.53</v>
      </c>
    </row>
    <row r="295" spans="1:12" ht="61.2" x14ac:dyDescent="0.3">
      <c r="A295" s="69" t="s">
        <v>301</v>
      </c>
      <c r="B295" s="70" t="s">
        <v>673</v>
      </c>
      <c r="C295" s="70" t="s">
        <v>518</v>
      </c>
      <c r="D295" s="70" t="s">
        <v>654</v>
      </c>
      <c r="E295" s="71" t="s">
        <v>165</v>
      </c>
      <c r="F295" s="72" t="s">
        <v>30</v>
      </c>
      <c r="G295" s="72"/>
      <c r="H295" s="71" t="s">
        <v>13</v>
      </c>
      <c r="I295" s="73">
        <v>1128.9000000000001</v>
      </c>
      <c r="J295" s="73"/>
      <c r="K295" s="74" t="s">
        <v>8</v>
      </c>
      <c r="L295" s="75">
        <v>4721823.63</v>
      </c>
    </row>
    <row r="296" spans="1:12" ht="61.2" x14ac:dyDescent="0.3">
      <c r="A296" s="69" t="s">
        <v>301</v>
      </c>
      <c r="B296" s="70" t="s">
        <v>673</v>
      </c>
      <c r="C296" s="70" t="s">
        <v>518</v>
      </c>
      <c r="D296" s="70" t="s">
        <v>675</v>
      </c>
      <c r="E296" s="71" t="s">
        <v>165</v>
      </c>
      <c r="F296" s="72" t="s">
        <v>30</v>
      </c>
      <c r="G296" s="72"/>
      <c r="H296" s="71" t="s">
        <v>13</v>
      </c>
      <c r="I296" s="78">
        <v>420.9</v>
      </c>
      <c r="J296" s="78"/>
      <c r="K296" s="74" t="s">
        <v>8</v>
      </c>
      <c r="L296" s="75">
        <v>4721402.7300000004</v>
      </c>
    </row>
    <row r="297" spans="1:12" ht="61.2" x14ac:dyDescent="0.3">
      <c r="A297" s="69" t="s">
        <v>301</v>
      </c>
      <c r="B297" s="70" t="s">
        <v>673</v>
      </c>
      <c r="C297" s="70" t="s">
        <v>518</v>
      </c>
      <c r="D297" s="70" t="s">
        <v>353</v>
      </c>
      <c r="E297" s="71" t="s">
        <v>165</v>
      </c>
      <c r="F297" s="72" t="s">
        <v>30</v>
      </c>
      <c r="G297" s="72"/>
      <c r="H297" s="71" t="s">
        <v>13</v>
      </c>
      <c r="I297" s="78">
        <v>847.87</v>
      </c>
      <c r="J297" s="78"/>
      <c r="K297" s="74" t="s">
        <v>8</v>
      </c>
      <c r="L297" s="75">
        <v>4720554.8600000003</v>
      </c>
    </row>
    <row r="298" spans="1:12" ht="71.400000000000006" x14ac:dyDescent="0.3">
      <c r="A298" s="69" t="s">
        <v>301</v>
      </c>
      <c r="B298" s="70" t="s">
        <v>673</v>
      </c>
      <c r="C298" s="70" t="s">
        <v>518</v>
      </c>
      <c r="D298" s="70" t="s">
        <v>351</v>
      </c>
      <c r="E298" s="71" t="s">
        <v>165</v>
      </c>
      <c r="F298" s="72" t="s">
        <v>30</v>
      </c>
      <c r="G298" s="72"/>
      <c r="H298" s="71" t="s">
        <v>13</v>
      </c>
      <c r="I298" s="73">
        <v>3541.79</v>
      </c>
      <c r="J298" s="73"/>
      <c r="K298" s="74" t="s">
        <v>8</v>
      </c>
      <c r="L298" s="75">
        <v>4717013.07</v>
      </c>
    </row>
    <row r="299" spans="1:12" ht="71.400000000000006" x14ac:dyDescent="0.3">
      <c r="A299" s="69" t="s">
        <v>301</v>
      </c>
      <c r="B299" s="70" t="s">
        <v>673</v>
      </c>
      <c r="C299" s="70" t="s">
        <v>518</v>
      </c>
      <c r="D299" s="70" t="s">
        <v>676</v>
      </c>
      <c r="E299" s="71" t="s">
        <v>165</v>
      </c>
      <c r="F299" s="72" t="s">
        <v>30</v>
      </c>
      <c r="G299" s="72"/>
      <c r="H299" s="71" t="s">
        <v>13</v>
      </c>
      <c r="I299" s="73">
        <v>1936.59</v>
      </c>
      <c r="J299" s="73"/>
      <c r="K299" s="74" t="s">
        <v>8</v>
      </c>
      <c r="L299" s="75">
        <v>4715076.4800000004</v>
      </c>
    </row>
    <row r="300" spans="1:12" ht="71.400000000000006" x14ac:dyDescent="0.3">
      <c r="A300" s="69" t="s">
        <v>301</v>
      </c>
      <c r="B300" s="70" t="s">
        <v>673</v>
      </c>
      <c r="C300" s="70" t="s">
        <v>518</v>
      </c>
      <c r="D300" s="70" t="s">
        <v>355</v>
      </c>
      <c r="E300" s="71" t="s">
        <v>165</v>
      </c>
      <c r="F300" s="72" t="s">
        <v>30</v>
      </c>
      <c r="G300" s="72"/>
      <c r="H300" s="71" t="s">
        <v>13</v>
      </c>
      <c r="I300" s="78">
        <v>376.26</v>
      </c>
      <c r="J300" s="78"/>
      <c r="K300" s="74" t="s">
        <v>8</v>
      </c>
      <c r="L300" s="75">
        <v>4714700.22</v>
      </c>
    </row>
    <row r="301" spans="1:12" ht="71.400000000000006" x14ac:dyDescent="0.3">
      <c r="A301" s="69" t="s">
        <v>301</v>
      </c>
      <c r="B301" s="70" t="s">
        <v>677</v>
      </c>
      <c r="C301" s="70" t="s">
        <v>518</v>
      </c>
      <c r="D301" s="70" t="s">
        <v>358</v>
      </c>
      <c r="E301" s="71" t="s">
        <v>165</v>
      </c>
      <c r="F301" s="72" t="s">
        <v>30</v>
      </c>
      <c r="G301" s="72"/>
      <c r="H301" s="71" t="s">
        <v>13</v>
      </c>
      <c r="I301" s="73">
        <v>1830.4</v>
      </c>
      <c r="J301" s="73"/>
      <c r="K301" s="74" t="s">
        <v>8</v>
      </c>
      <c r="L301" s="75">
        <v>3233759.42</v>
      </c>
    </row>
    <row r="302" spans="1:12" ht="71.400000000000006" x14ac:dyDescent="0.3">
      <c r="A302" s="69" t="s">
        <v>301</v>
      </c>
      <c r="B302" s="70" t="s">
        <v>677</v>
      </c>
      <c r="C302" s="70" t="s">
        <v>518</v>
      </c>
      <c r="D302" s="70" t="s">
        <v>340</v>
      </c>
      <c r="E302" s="71" t="s">
        <v>165</v>
      </c>
      <c r="F302" s="72" t="s">
        <v>30</v>
      </c>
      <c r="G302" s="72"/>
      <c r="H302" s="71" t="s">
        <v>13</v>
      </c>
      <c r="I302" s="73">
        <v>1391.25</v>
      </c>
      <c r="J302" s="73"/>
      <c r="K302" s="74" t="s">
        <v>8</v>
      </c>
      <c r="L302" s="75">
        <v>3232368.17</v>
      </c>
    </row>
    <row r="303" spans="1:12" ht="61.2" x14ac:dyDescent="0.3">
      <c r="A303" s="69" t="s">
        <v>301</v>
      </c>
      <c r="B303" s="70" t="s">
        <v>677</v>
      </c>
      <c r="C303" s="70" t="s">
        <v>518</v>
      </c>
      <c r="D303" s="70" t="s">
        <v>343</v>
      </c>
      <c r="E303" s="71" t="s">
        <v>165</v>
      </c>
      <c r="F303" s="72" t="s">
        <v>30</v>
      </c>
      <c r="G303" s="72"/>
      <c r="H303" s="71" t="s">
        <v>13</v>
      </c>
      <c r="I303" s="78">
        <v>276.10000000000002</v>
      </c>
      <c r="J303" s="78"/>
      <c r="K303" s="74" t="s">
        <v>8</v>
      </c>
      <c r="L303" s="75">
        <v>3232092.07</v>
      </c>
    </row>
    <row r="304" spans="1:12" ht="81.599999999999994" x14ac:dyDescent="0.3">
      <c r="A304" s="69" t="s">
        <v>301</v>
      </c>
      <c r="B304" s="70" t="s">
        <v>678</v>
      </c>
      <c r="C304" s="70" t="s">
        <v>518</v>
      </c>
      <c r="D304" s="70" t="s">
        <v>361</v>
      </c>
      <c r="E304" s="71" t="s">
        <v>165</v>
      </c>
      <c r="F304" s="72" t="s">
        <v>30</v>
      </c>
      <c r="G304" s="72"/>
      <c r="H304" s="71" t="s">
        <v>13</v>
      </c>
      <c r="I304" s="73">
        <v>1936.58</v>
      </c>
      <c r="J304" s="73"/>
      <c r="K304" s="74" t="s">
        <v>8</v>
      </c>
      <c r="L304" s="75">
        <v>550357.39</v>
      </c>
    </row>
    <row r="305" spans="1:12" ht="71.400000000000006" x14ac:dyDescent="0.3">
      <c r="A305" s="69" t="s">
        <v>301</v>
      </c>
      <c r="B305" s="70" t="s">
        <v>678</v>
      </c>
      <c r="C305" s="70" t="s">
        <v>518</v>
      </c>
      <c r="D305" s="70" t="s">
        <v>362</v>
      </c>
      <c r="E305" s="71" t="s">
        <v>165</v>
      </c>
      <c r="F305" s="72" t="s">
        <v>30</v>
      </c>
      <c r="G305" s="72"/>
      <c r="H305" s="71" t="s">
        <v>13</v>
      </c>
      <c r="I305" s="78">
        <v>280.45999999999998</v>
      </c>
      <c r="J305" s="78"/>
      <c r="K305" s="74" t="s">
        <v>8</v>
      </c>
      <c r="L305" s="75">
        <v>550076.93000000005</v>
      </c>
    </row>
    <row r="306" spans="1:12" ht="81.599999999999994" x14ac:dyDescent="0.3">
      <c r="A306" s="69" t="s">
        <v>301</v>
      </c>
      <c r="B306" s="70" t="s">
        <v>679</v>
      </c>
      <c r="C306" s="70" t="s">
        <v>518</v>
      </c>
      <c r="D306" s="70" t="s">
        <v>680</v>
      </c>
      <c r="E306" s="71" t="s">
        <v>165</v>
      </c>
      <c r="F306" s="72" t="s">
        <v>30</v>
      </c>
      <c r="G306" s="72"/>
      <c r="H306" s="71" t="s">
        <v>13</v>
      </c>
      <c r="I306" s="73">
        <v>9641.1</v>
      </c>
      <c r="J306" s="73"/>
      <c r="K306" s="74" t="s">
        <v>8</v>
      </c>
      <c r="L306" s="75">
        <v>1613478</v>
      </c>
    </row>
    <row r="307" spans="1:12" ht="81.599999999999994" x14ac:dyDescent="0.3">
      <c r="A307" s="69" t="s">
        <v>301</v>
      </c>
      <c r="B307" s="70" t="s">
        <v>679</v>
      </c>
      <c r="C307" s="70" t="s">
        <v>518</v>
      </c>
      <c r="D307" s="70" t="s">
        <v>681</v>
      </c>
      <c r="E307" s="71" t="s">
        <v>165</v>
      </c>
      <c r="F307" s="72" t="s">
        <v>30</v>
      </c>
      <c r="G307" s="72"/>
      <c r="H307" s="71" t="s">
        <v>13</v>
      </c>
      <c r="I307" s="73">
        <v>5020.2</v>
      </c>
      <c r="J307" s="73"/>
      <c r="K307" s="74" t="s">
        <v>8</v>
      </c>
      <c r="L307" s="75">
        <v>1608457.8</v>
      </c>
    </row>
    <row r="308" spans="1:12" ht="81.599999999999994" x14ac:dyDescent="0.3">
      <c r="A308" s="69" t="s">
        <v>301</v>
      </c>
      <c r="B308" s="70" t="s">
        <v>679</v>
      </c>
      <c r="C308" s="70" t="s">
        <v>518</v>
      </c>
      <c r="D308" s="70" t="s">
        <v>682</v>
      </c>
      <c r="E308" s="71" t="s">
        <v>165</v>
      </c>
      <c r="F308" s="72" t="s">
        <v>30</v>
      </c>
      <c r="G308" s="72"/>
      <c r="H308" s="71" t="s">
        <v>13</v>
      </c>
      <c r="I308" s="73">
        <v>3544.2</v>
      </c>
      <c r="J308" s="73"/>
      <c r="K308" s="74" t="s">
        <v>8</v>
      </c>
      <c r="L308" s="75">
        <v>1604913.6</v>
      </c>
    </row>
    <row r="309" spans="1:12" ht="81.599999999999994" x14ac:dyDescent="0.3">
      <c r="A309" s="69" t="s">
        <v>301</v>
      </c>
      <c r="B309" s="70" t="s">
        <v>679</v>
      </c>
      <c r="C309" s="70" t="s">
        <v>518</v>
      </c>
      <c r="D309" s="70" t="s">
        <v>683</v>
      </c>
      <c r="E309" s="71" t="s">
        <v>165</v>
      </c>
      <c r="F309" s="72" t="s">
        <v>30</v>
      </c>
      <c r="G309" s="72"/>
      <c r="H309" s="71" t="s">
        <v>13</v>
      </c>
      <c r="I309" s="73">
        <v>2149.4</v>
      </c>
      <c r="J309" s="73"/>
      <c r="K309" s="74" t="s">
        <v>8</v>
      </c>
      <c r="L309" s="75">
        <v>1602764.2</v>
      </c>
    </row>
    <row r="310" spans="1:12" ht="81.599999999999994" x14ac:dyDescent="0.3">
      <c r="A310" s="69" t="s">
        <v>301</v>
      </c>
      <c r="B310" s="70" t="s">
        <v>679</v>
      </c>
      <c r="C310" s="70" t="s">
        <v>518</v>
      </c>
      <c r="D310" s="70" t="s">
        <v>684</v>
      </c>
      <c r="E310" s="71" t="s">
        <v>165</v>
      </c>
      <c r="F310" s="72" t="s">
        <v>30</v>
      </c>
      <c r="G310" s="72"/>
      <c r="H310" s="71" t="s">
        <v>13</v>
      </c>
      <c r="I310" s="73">
        <v>3214.9</v>
      </c>
      <c r="J310" s="73"/>
      <c r="K310" s="74" t="s">
        <v>8</v>
      </c>
      <c r="L310" s="75">
        <v>1599549.3</v>
      </c>
    </row>
    <row r="311" spans="1:12" ht="81.599999999999994" x14ac:dyDescent="0.3">
      <c r="A311" s="69" t="s">
        <v>301</v>
      </c>
      <c r="B311" s="70" t="s">
        <v>679</v>
      </c>
      <c r="C311" s="70" t="s">
        <v>518</v>
      </c>
      <c r="D311" s="70" t="s">
        <v>685</v>
      </c>
      <c r="E311" s="71" t="s">
        <v>165</v>
      </c>
      <c r="F311" s="72" t="s">
        <v>30</v>
      </c>
      <c r="G311" s="72"/>
      <c r="H311" s="71" t="s">
        <v>13</v>
      </c>
      <c r="I311" s="73">
        <v>3315.5</v>
      </c>
      <c r="J311" s="73"/>
      <c r="K311" s="74" t="s">
        <v>8</v>
      </c>
      <c r="L311" s="75">
        <v>1596233.8</v>
      </c>
    </row>
    <row r="312" spans="1:12" ht="81.599999999999994" x14ac:dyDescent="0.3">
      <c r="A312" s="69" t="s">
        <v>301</v>
      </c>
      <c r="B312" s="70" t="s">
        <v>679</v>
      </c>
      <c r="C312" s="70" t="s">
        <v>518</v>
      </c>
      <c r="D312" s="70" t="s">
        <v>686</v>
      </c>
      <c r="E312" s="71" t="s">
        <v>165</v>
      </c>
      <c r="F312" s="72" t="s">
        <v>30</v>
      </c>
      <c r="G312" s="72"/>
      <c r="H312" s="71" t="s">
        <v>13</v>
      </c>
      <c r="I312" s="73">
        <v>13396.6</v>
      </c>
      <c r="J312" s="73"/>
      <c r="K312" s="74" t="s">
        <v>8</v>
      </c>
      <c r="L312" s="75">
        <v>1582837.2</v>
      </c>
    </row>
    <row r="313" spans="1:12" ht="81.599999999999994" x14ac:dyDescent="0.3">
      <c r="A313" s="69" t="s">
        <v>301</v>
      </c>
      <c r="B313" s="70" t="s">
        <v>679</v>
      </c>
      <c r="C313" s="70" t="s">
        <v>518</v>
      </c>
      <c r="D313" s="70" t="s">
        <v>687</v>
      </c>
      <c r="E313" s="71" t="s">
        <v>165</v>
      </c>
      <c r="F313" s="72" t="s">
        <v>30</v>
      </c>
      <c r="G313" s="72"/>
      <c r="H313" s="71" t="s">
        <v>13</v>
      </c>
      <c r="I313" s="73">
        <v>19682.400000000001</v>
      </c>
      <c r="J313" s="73"/>
      <c r="K313" s="74" t="s">
        <v>8</v>
      </c>
      <c r="L313" s="75">
        <v>1563154.8</v>
      </c>
    </row>
    <row r="314" spans="1:12" ht="81.599999999999994" x14ac:dyDescent="0.3">
      <c r="A314" s="69" t="s">
        <v>301</v>
      </c>
      <c r="B314" s="70" t="s">
        <v>679</v>
      </c>
      <c r="C314" s="70" t="s">
        <v>518</v>
      </c>
      <c r="D314" s="70" t="s">
        <v>688</v>
      </c>
      <c r="E314" s="71" t="s">
        <v>165</v>
      </c>
      <c r="F314" s="72" t="s">
        <v>30</v>
      </c>
      <c r="G314" s="72"/>
      <c r="H314" s="71" t="s">
        <v>13</v>
      </c>
      <c r="I314" s="78">
        <v>538.79999999999995</v>
      </c>
      <c r="J314" s="78"/>
      <c r="K314" s="74" t="s">
        <v>8</v>
      </c>
      <c r="L314" s="75">
        <v>1562616</v>
      </c>
    </row>
    <row r="315" spans="1:12" ht="81.599999999999994" x14ac:dyDescent="0.3">
      <c r="A315" s="69" t="s">
        <v>301</v>
      </c>
      <c r="B315" s="70" t="s">
        <v>679</v>
      </c>
      <c r="C315" s="70" t="s">
        <v>518</v>
      </c>
      <c r="D315" s="70" t="s">
        <v>689</v>
      </c>
      <c r="E315" s="71" t="s">
        <v>165</v>
      </c>
      <c r="F315" s="72" t="s">
        <v>30</v>
      </c>
      <c r="G315" s="72"/>
      <c r="H315" s="71" t="s">
        <v>13</v>
      </c>
      <c r="I315" s="78">
        <v>968.6</v>
      </c>
      <c r="J315" s="78"/>
      <c r="K315" s="74" t="s">
        <v>8</v>
      </c>
      <c r="L315" s="75">
        <v>1561647.4</v>
      </c>
    </row>
    <row r="316" spans="1:12" ht="81.599999999999994" x14ac:dyDescent="0.3">
      <c r="A316" s="69" t="s">
        <v>301</v>
      </c>
      <c r="B316" s="70" t="s">
        <v>679</v>
      </c>
      <c r="C316" s="70" t="s">
        <v>518</v>
      </c>
      <c r="D316" s="70" t="s">
        <v>690</v>
      </c>
      <c r="E316" s="71" t="s">
        <v>165</v>
      </c>
      <c r="F316" s="72" t="s">
        <v>30</v>
      </c>
      <c r="G316" s="72"/>
      <c r="H316" s="71" t="s">
        <v>13</v>
      </c>
      <c r="I316" s="78">
        <v>426.2</v>
      </c>
      <c r="J316" s="78"/>
      <c r="K316" s="74" t="s">
        <v>8</v>
      </c>
      <c r="L316" s="75">
        <v>1561221.2</v>
      </c>
    </row>
    <row r="317" spans="1:12" ht="81.599999999999994" x14ac:dyDescent="0.3">
      <c r="A317" s="69" t="s">
        <v>301</v>
      </c>
      <c r="B317" s="70" t="s">
        <v>679</v>
      </c>
      <c r="C317" s="70" t="s">
        <v>518</v>
      </c>
      <c r="D317" s="70" t="s">
        <v>691</v>
      </c>
      <c r="E317" s="71" t="s">
        <v>165</v>
      </c>
      <c r="F317" s="72" t="s">
        <v>30</v>
      </c>
      <c r="G317" s="72"/>
      <c r="H317" s="71" t="s">
        <v>13</v>
      </c>
      <c r="I317" s="73">
        <v>7513.8</v>
      </c>
      <c r="J317" s="73"/>
      <c r="K317" s="74" t="s">
        <v>8</v>
      </c>
      <c r="L317" s="75">
        <v>1553707.4</v>
      </c>
    </row>
    <row r="318" spans="1:12" ht="81.599999999999994" x14ac:dyDescent="0.3">
      <c r="A318" s="69" t="s">
        <v>301</v>
      </c>
      <c r="B318" s="70" t="s">
        <v>679</v>
      </c>
      <c r="C318" s="70" t="s">
        <v>518</v>
      </c>
      <c r="D318" s="70" t="s">
        <v>692</v>
      </c>
      <c r="E318" s="71" t="s">
        <v>165</v>
      </c>
      <c r="F318" s="72" t="s">
        <v>30</v>
      </c>
      <c r="G318" s="72"/>
      <c r="H318" s="71" t="s">
        <v>13</v>
      </c>
      <c r="I318" s="73">
        <v>1509.2</v>
      </c>
      <c r="J318" s="73"/>
      <c r="K318" s="74" t="s">
        <v>8</v>
      </c>
      <c r="L318" s="75">
        <v>1552198.2</v>
      </c>
    </row>
    <row r="319" spans="1:12" ht="81.599999999999994" x14ac:dyDescent="0.3">
      <c r="A319" s="69" t="s">
        <v>301</v>
      </c>
      <c r="B319" s="70" t="s">
        <v>679</v>
      </c>
      <c r="C319" s="70" t="s">
        <v>518</v>
      </c>
      <c r="D319" s="70" t="s">
        <v>693</v>
      </c>
      <c r="E319" s="71" t="s">
        <v>165</v>
      </c>
      <c r="F319" s="72" t="s">
        <v>30</v>
      </c>
      <c r="G319" s="72"/>
      <c r="H319" s="71" t="s">
        <v>13</v>
      </c>
      <c r="I319" s="73">
        <v>1412.3</v>
      </c>
      <c r="J319" s="73"/>
      <c r="K319" s="74" t="s">
        <v>8</v>
      </c>
      <c r="L319" s="75">
        <v>1550785.9</v>
      </c>
    </row>
    <row r="320" spans="1:12" ht="81.599999999999994" x14ac:dyDescent="0.3">
      <c r="A320" s="69" t="s">
        <v>301</v>
      </c>
      <c r="B320" s="70" t="s">
        <v>679</v>
      </c>
      <c r="C320" s="70" t="s">
        <v>518</v>
      </c>
      <c r="D320" s="70" t="s">
        <v>694</v>
      </c>
      <c r="E320" s="71" t="s">
        <v>165</v>
      </c>
      <c r="F320" s="72" t="s">
        <v>30</v>
      </c>
      <c r="G320" s="72"/>
      <c r="H320" s="71" t="s">
        <v>13</v>
      </c>
      <c r="I320" s="73">
        <v>5922.4</v>
      </c>
      <c r="J320" s="73"/>
      <c r="K320" s="74" t="s">
        <v>8</v>
      </c>
      <c r="L320" s="75">
        <v>1544863.5</v>
      </c>
    </row>
    <row r="321" spans="1:12" ht="81.599999999999994" x14ac:dyDescent="0.3">
      <c r="A321" s="69" t="s">
        <v>301</v>
      </c>
      <c r="B321" s="70" t="s">
        <v>679</v>
      </c>
      <c r="C321" s="70" t="s">
        <v>518</v>
      </c>
      <c r="D321" s="70" t="s">
        <v>695</v>
      </c>
      <c r="E321" s="71" t="s">
        <v>165</v>
      </c>
      <c r="F321" s="72" t="s">
        <v>30</v>
      </c>
      <c r="G321" s="72"/>
      <c r="H321" s="71" t="s">
        <v>13</v>
      </c>
      <c r="I321" s="73">
        <v>8879</v>
      </c>
      <c r="J321" s="73"/>
      <c r="K321" s="74" t="s">
        <v>8</v>
      </c>
      <c r="L321" s="75">
        <v>1535984.5</v>
      </c>
    </row>
    <row r="322" spans="1:12" ht="81.599999999999994" x14ac:dyDescent="0.3">
      <c r="A322" s="69" t="s">
        <v>301</v>
      </c>
      <c r="B322" s="70" t="s">
        <v>679</v>
      </c>
      <c r="C322" s="70" t="s">
        <v>518</v>
      </c>
      <c r="D322" s="70" t="s">
        <v>696</v>
      </c>
      <c r="E322" s="71" t="s">
        <v>165</v>
      </c>
      <c r="F322" s="72" t="s">
        <v>30</v>
      </c>
      <c r="G322" s="72"/>
      <c r="H322" s="71" t="s">
        <v>13</v>
      </c>
      <c r="I322" s="73">
        <v>3381</v>
      </c>
      <c r="J322" s="73"/>
      <c r="K322" s="74" t="s">
        <v>8</v>
      </c>
      <c r="L322" s="75">
        <v>1532603.5</v>
      </c>
    </row>
    <row r="323" spans="1:12" ht="81.599999999999994" x14ac:dyDescent="0.3">
      <c r="A323" s="69" t="s">
        <v>301</v>
      </c>
      <c r="B323" s="70" t="s">
        <v>679</v>
      </c>
      <c r="C323" s="70" t="s">
        <v>518</v>
      </c>
      <c r="D323" s="70" t="s">
        <v>697</v>
      </c>
      <c r="E323" s="71" t="s">
        <v>165</v>
      </c>
      <c r="F323" s="72" t="s">
        <v>30</v>
      </c>
      <c r="G323" s="72"/>
      <c r="H323" s="71" t="s">
        <v>13</v>
      </c>
      <c r="I323" s="73">
        <v>6840.5</v>
      </c>
      <c r="J323" s="73"/>
      <c r="K323" s="74" t="s">
        <v>8</v>
      </c>
      <c r="L323" s="75">
        <v>1525763</v>
      </c>
    </row>
    <row r="324" spans="1:12" ht="81.599999999999994" x14ac:dyDescent="0.3">
      <c r="A324" s="69" t="s">
        <v>301</v>
      </c>
      <c r="B324" s="70" t="s">
        <v>679</v>
      </c>
      <c r="C324" s="70" t="s">
        <v>518</v>
      </c>
      <c r="D324" s="70" t="s">
        <v>698</v>
      </c>
      <c r="E324" s="71" t="s">
        <v>165</v>
      </c>
      <c r="F324" s="72" t="s">
        <v>30</v>
      </c>
      <c r="G324" s="72"/>
      <c r="H324" s="71" t="s">
        <v>13</v>
      </c>
      <c r="I324" s="73">
        <v>2384.5</v>
      </c>
      <c r="J324" s="73"/>
      <c r="K324" s="74" t="s">
        <v>8</v>
      </c>
      <c r="L324" s="75">
        <v>1523378.5</v>
      </c>
    </row>
    <row r="325" spans="1:12" ht="81.599999999999994" x14ac:dyDescent="0.3">
      <c r="A325" s="69" t="s">
        <v>301</v>
      </c>
      <c r="B325" s="70" t="s">
        <v>679</v>
      </c>
      <c r="C325" s="70" t="s">
        <v>518</v>
      </c>
      <c r="D325" s="70" t="s">
        <v>699</v>
      </c>
      <c r="E325" s="71" t="s">
        <v>165</v>
      </c>
      <c r="F325" s="72" t="s">
        <v>30</v>
      </c>
      <c r="G325" s="72"/>
      <c r="H325" s="71" t="s">
        <v>13</v>
      </c>
      <c r="I325" s="73">
        <v>7458.5</v>
      </c>
      <c r="J325" s="73"/>
      <c r="K325" s="74" t="s">
        <v>8</v>
      </c>
      <c r="L325" s="75">
        <v>1515920</v>
      </c>
    </row>
    <row r="326" spans="1:12" ht="81.599999999999994" x14ac:dyDescent="0.3">
      <c r="A326" s="69" t="s">
        <v>301</v>
      </c>
      <c r="B326" s="70" t="s">
        <v>679</v>
      </c>
      <c r="C326" s="70" t="s">
        <v>518</v>
      </c>
      <c r="D326" s="70" t="s">
        <v>700</v>
      </c>
      <c r="E326" s="71" t="s">
        <v>165</v>
      </c>
      <c r="F326" s="72" t="s">
        <v>30</v>
      </c>
      <c r="G326" s="72"/>
      <c r="H326" s="71" t="s">
        <v>13</v>
      </c>
      <c r="I326" s="73">
        <v>9137.5</v>
      </c>
      <c r="J326" s="73"/>
      <c r="K326" s="74" t="s">
        <v>8</v>
      </c>
      <c r="L326" s="75">
        <v>1506782.5</v>
      </c>
    </row>
    <row r="327" spans="1:12" ht="71.400000000000006" x14ac:dyDescent="0.3">
      <c r="A327" s="69" t="s">
        <v>301</v>
      </c>
      <c r="B327" s="70" t="s">
        <v>679</v>
      </c>
      <c r="C327" s="70" t="s">
        <v>518</v>
      </c>
      <c r="D327" s="70" t="s">
        <v>701</v>
      </c>
      <c r="E327" s="71" t="s">
        <v>165</v>
      </c>
      <c r="F327" s="72" t="s">
        <v>30</v>
      </c>
      <c r="G327" s="72"/>
      <c r="H327" s="71" t="s">
        <v>13</v>
      </c>
      <c r="I327" s="73">
        <v>5446.4</v>
      </c>
      <c r="J327" s="73"/>
      <c r="K327" s="74" t="s">
        <v>8</v>
      </c>
      <c r="L327" s="75">
        <v>1501336.1</v>
      </c>
    </row>
    <row r="328" spans="1:12" ht="81.599999999999994" x14ac:dyDescent="0.3">
      <c r="A328" s="69" t="s">
        <v>301</v>
      </c>
      <c r="B328" s="70" t="s">
        <v>679</v>
      </c>
      <c r="C328" s="70" t="s">
        <v>518</v>
      </c>
      <c r="D328" s="70" t="s">
        <v>702</v>
      </c>
      <c r="E328" s="71" t="s">
        <v>165</v>
      </c>
      <c r="F328" s="72" t="s">
        <v>30</v>
      </c>
      <c r="G328" s="72"/>
      <c r="H328" s="71" t="s">
        <v>13</v>
      </c>
      <c r="I328" s="73">
        <v>7888.1</v>
      </c>
      <c r="J328" s="73"/>
      <c r="K328" s="74" t="s">
        <v>8</v>
      </c>
      <c r="L328" s="75">
        <v>1493448</v>
      </c>
    </row>
    <row r="329" spans="1:12" ht="81.599999999999994" x14ac:dyDescent="0.3">
      <c r="A329" s="69" t="s">
        <v>301</v>
      </c>
      <c r="B329" s="70" t="s">
        <v>679</v>
      </c>
      <c r="C329" s="70" t="s">
        <v>518</v>
      </c>
      <c r="D329" s="70" t="s">
        <v>703</v>
      </c>
      <c r="E329" s="71" t="s">
        <v>165</v>
      </c>
      <c r="F329" s="72" t="s">
        <v>30</v>
      </c>
      <c r="G329" s="72"/>
      <c r="H329" s="71" t="s">
        <v>13</v>
      </c>
      <c r="I329" s="78">
        <v>238.8</v>
      </c>
      <c r="J329" s="78"/>
      <c r="K329" s="74" t="s">
        <v>8</v>
      </c>
      <c r="L329" s="75">
        <v>1493209.2</v>
      </c>
    </row>
    <row r="330" spans="1:12" ht="81.599999999999994" x14ac:dyDescent="0.3">
      <c r="A330" s="69" t="s">
        <v>301</v>
      </c>
      <c r="B330" s="70" t="s">
        <v>679</v>
      </c>
      <c r="C330" s="70" t="s">
        <v>518</v>
      </c>
      <c r="D330" s="70" t="s">
        <v>704</v>
      </c>
      <c r="E330" s="71" t="s">
        <v>165</v>
      </c>
      <c r="F330" s="72" t="s">
        <v>30</v>
      </c>
      <c r="G330" s="72"/>
      <c r="H330" s="71" t="s">
        <v>13</v>
      </c>
      <c r="I330" s="73">
        <v>65116.800000000003</v>
      </c>
      <c r="J330" s="73"/>
      <c r="K330" s="74" t="s">
        <v>8</v>
      </c>
      <c r="L330" s="75">
        <v>1428092.4</v>
      </c>
    </row>
    <row r="331" spans="1:12" ht="81.599999999999994" x14ac:dyDescent="0.3">
      <c r="A331" s="69" t="s">
        <v>301</v>
      </c>
      <c r="B331" s="70" t="s">
        <v>679</v>
      </c>
      <c r="C331" s="70" t="s">
        <v>518</v>
      </c>
      <c r="D331" s="70" t="s">
        <v>705</v>
      </c>
      <c r="E331" s="71" t="s">
        <v>165</v>
      </c>
      <c r="F331" s="72" t="s">
        <v>30</v>
      </c>
      <c r="G331" s="72"/>
      <c r="H331" s="71" t="s">
        <v>13</v>
      </c>
      <c r="I331" s="78">
        <v>682.5</v>
      </c>
      <c r="J331" s="78"/>
      <c r="K331" s="74" t="s">
        <v>8</v>
      </c>
      <c r="L331" s="75">
        <v>1427409.9</v>
      </c>
    </row>
    <row r="332" spans="1:12" ht="71.400000000000006" x14ac:dyDescent="0.3">
      <c r="A332" s="69" t="s">
        <v>301</v>
      </c>
      <c r="B332" s="70" t="s">
        <v>679</v>
      </c>
      <c r="C332" s="70" t="s">
        <v>518</v>
      </c>
      <c r="D332" s="70" t="s">
        <v>706</v>
      </c>
      <c r="E332" s="71" t="s">
        <v>165</v>
      </c>
      <c r="F332" s="72" t="s">
        <v>30</v>
      </c>
      <c r="G332" s="72"/>
      <c r="H332" s="71" t="s">
        <v>13</v>
      </c>
      <c r="I332" s="78">
        <v>144</v>
      </c>
      <c r="J332" s="78"/>
      <c r="K332" s="74" t="s">
        <v>8</v>
      </c>
      <c r="L332" s="75">
        <v>1427265.9</v>
      </c>
    </row>
    <row r="333" spans="1:12" ht="71.400000000000006" x14ac:dyDescent="0.3">
      <c r="A333" s="69" t="s">
        <v>301</v>
      </c>
      <c r="B333" s="70" t="s">
        <v>679</v>
      </c>
      <c r="C333" s="70" t="s">
        <v>518</v>
      </c>
      <c r="D333" s="70" t="s">
        <v>707</v>
      </c>
      <c r="E333" s="71" t="s">
        <v>165</v>
      </c>
      <c r="F333" s="72" t="s">
        <v>30</v>
      </c>
      <c r="G333" s="72"/>
      <c r="H333" s="71" t="s">
        <v>13</v>
      </c>
      <c r="I333" s="78">
        <v>141.6</v>
      </c>
      <c r="J333" s="78"/>
      <c r="K333" s="74" t="s">
        <v>8</v>
      </c>
      <c r="L333" s="75">
        <v>1427124.3</v>
      </c>
    </row>
    <row r="334" spans="1:12" ht="71.400000000000006" x14ac:dyDescent="0.3">
      <c r="A334" s="69" t="s">
        <v>301</v>
      </c>
      <c r="B334" s="70" t="s">
        <v>679</v>
      </c>
      <c r="C334" s="70" t="s">
        <v>518</v>
      </c>
      <c r="D334" s="70" t="s">
        <v>708</v>
      </c>
      <c r="E334" s="71" t="s">
        <v>165</v>
      </c>
      <c r="F334" s="72" t="s">
        <v>30</v>
      </c>
      <c r="G334" s="72"/>
      <c r="H334" s="71" t="s">
        <v>13</v>
      </c>
      <c r="I334" s="73">
        <v>10054.799999999999</v>
      </c>
      <c r="J334" s="73"/>
      <c r="K334" s="74" t="s">
        <v>8</v>
      </c>
      <c r="L334" s="75">
        <v>1417069.5</v>
      </c>
    </row>
    <row r="335" spans="1:12" ht="112.2" x14ac:dyDescent="0.3">
      <c r="A335" s="69" t="s">
        <v>301</v>
      </c>
      <c r="B335" s="70" t="s">
        <v>709</v>
      </c>
      <c r="C335" s="70" t="s">
        <v>518</v>
      </c>
      <c r="D335" s="70" t="s">
        <v>710</v>
      </c>
      <c r="E335" s="71" t="s">
        <v>165</v>
      </c>
      <c r="F335" s="72" t="s">
        <v>30</v>
      </c>
      <c r="G335" s="72"/>
      <c r="H335" s="71" t="s">
        <v>13</v>
      </c>
      <c r="I335" s="73">
        <v>7030.8</v>
      </c>
      <c r="J335" s="73"/>
      <c r="K335" s="74" t="s">
        <v>8</v>
      </c>
      <c r="L335" s="75">
        <v>2080385.15</v>
      </c>
    </row>
    <row r="336" spans="1:12" ht="112.2" x14ac:dyDescent="0.3">
      <c r="A336" s="69" t="s">
        <v>301</v>
      </c>
      <c r="B336" s="70" t="s">
        <v>709</v>
      </c>
      <c r="C336" s="70" t="s">
        <v>518</v>
      </c>
      <c r="D336" s="70" t="s">
        <v>711</v>
      </c>
      <c r="E336" s="71" t="s">
        <v>165</v>
      </c>
      <c r="F336" s="72" t="s">
        <v>30</v>
      </c>
      <c r="G336" s="72"/>
      <c r="H336" s="71" t="s">
        <v>13</v>
      </c>
      <c r="I336" s="73">
        <v>8177.4</v>
      </c>
      <c r="J336" s="73"/>
      <c r="K336" s="74" t="s">
        <v>8</v>
      </c>
      <c r="L336" s="75">
        <v>2072207.75</v>
      </c>
    </row>
    <row r="337" spans="1:12" ht="112.2" x14ac:dyDescent="0.3">
      <c r="A337" s="69" t="s">
        <v>301</v>
      </c>
      <c r="B337" s="70" t="s">
        <v>709</v>
      </c>
      <c r="C337" s="70" t="s">
        <v>518</v>
      </c>
      <c r="D337" s="70" t="s">
        <v>712</v>
      </c>
      <c r="E337" s="71" t="s">
        <v>165</v>
      </c>
      <c r="F337" s="72" t="s">
        <v>30</v>
      </c>
      <c r="G337" s="72"/>
      <c r="H337" s="71" t="s">
        <v>13</v>
      </c>
      <c r="I337" s="73">
        <v>31752</v>
      </c>
      <c r="J337" s="73"/>
      <c r="K337" s="74" t="s">
        <v>8</v>
      </c>
      <c r="L337" s="75">
        <v>2040455.75</v>
      </c>
    </row>
    <row r="338" spans="1:12" ht="112.2" x14ac:dyDescent="0.3">
      <c r="A338" s="69" t="s">
        <v>301</v>
      </c>
      <c r="B338" s="70" t="s">
        <v>709</v>
      </c>
      <c r="C338" s="70" t="s">
        <v>518</v>
      </c>
      <c r="D338" s="70" t="s">
        <v>713</v>
      </c>
      <c r="E338" s="71" t="s">
        <v>165</v>
      </c>
      <c r="F338" s="72" t="s">
        <v>30</v>
      </c>
      <c r="G338" s="72"/>
      <c r="H338" s="71" t="s">
        <v>13</v>
      </c>
      <c r="I338" s="73">
        <v>45208.800000000003</v>
      </c>
      <c r="J338" s="73"/>
      <c r="K338" s="74" t="s">
        <v>8</v>
      </c>
      <c r="L338" s="75">
        <v>1995246.95</v>
      </c>
    </row>
    <row r="339" spans="1:12" ht="112.2" x14ac:dyDescent="0.3">
      <c r="A339" s="69" t="s">
        <v>301</v>
      </c>
      <c r="B339" s="70" t="s">
        <v>709</v>
      </c>
      <c r="C339" s="70" t="s">
        <v>518</v>
      </c>
      <c r="D339" s="70" t="s">
        <v>714</v>
      </c>
      <c r="E339" s="71" t="s">
        <v>165</v>
      </c>
      <c r="F339" s="72" t="s">
        <v>30</v>
      </c>
      <c r="G339" s="72"/>
      <c r="H339" s="71" t="s">
        <v>13</v>
      </c>
      <c r="I339" s="73">
        <v>6274.8</v>
      </c>
      <c r="J339" s="73"/>
      <c r="K339" s="74" t="s">
        <v>8</v>
      </c>
      <c r="L339" s="75">
        <v>1988972.15</v>
      </c>
    </row>
    <row r="340" spans="1:12" ht="112.2" x14ac:dyDescent="0.3">
      <c r="A340" s="69" t="s">
        <v>301</v>
      </c>
      <c r="B340" s="70" t="s">
        <v>709</v>
      </c>
      <c r="C340" s="70" t="s">
        <v>518</v>
      </c>
      <c r="D340" s="70" t="s">
        <v>607</v>
      </c>
      <c r="E340" s="71" t="s">
        <v>165</v>
      </c>
      <c r="F340" s="72" t="s">
        <v>30</v>
      </c>
      <c r="G340" s="72"/>
      <c r="H340" s="71" t="s">
        <v>13</v>
      </c>
      <c r="I340" s="73">
        <v>12373.2</v>
      </c>
      <c r="J340" s="73"/>
      <c r="K340" s="74" t="s">
        <v>8</v>
      </c>
      <c r="L340" s="75">
        <v>1976598.95</v>
      </c>
    </row>
    <row r="341" spans="1:12" ht="112.2" x14ac:dyDescent="0.3">
      <c r="A341" s="69" t="s">
        <v>301</v>
      </c>
      <c r="B341" s="70" t="s">
        <v>709</v>
      </c>
      <c r="C341" s="70" t="s">
        <v>518</v>
      </c>
      <c r="D341" s="70" t="s">
        <v>715</v>
      </c>
      <c r="E341" s="71" t="s">
        <v>165</v>
      </c>
      <c r="F341" s="72" t="s">
        <v>30</v>
      </c>
      <c r="G341" s="72"/>
      <c r="H341" s="71" t="s">
        <v>13</v>
      </c>
      <c r="I341" s="73">
        <v>5783.4</v>
      </c>
      <c r="J341" s="73"/>
      <c r="K341" s="74" t="s">
        <v>8</v>
      </c>
      <c r="L341" s="75">
        <v>1970815.55</v>
      </c>
    </row>
    <row r="342" spans="1:12" ht="112.2" x14ac:dyDescent="0.3">
      <c r="A342" s="69" t="s">
        <v>301</v>
      </c>
      <c r="B342" s="70" t="s">
        <v>709</v>
      </c>
      <c r="C342" s="70" t="s">
        <v>518</v>
      </c>
      <c r="D342" s="70" t="s">
        <v>716</v>
      </c>
      <c r="E342" s="71" t="s">
        <v>165</v>
      </c>
      <c r="F342" s="72" t="s">
        <v>30</v>
      </c>
      <c r="G342" s="72"/>
      <c r="H342" s="71" t="s">
        <v>13</v>
      </c>
      <c r="I342" s="73">
        <v>5644.8</v>
      </c>
      <c r="J342" s="73"/>
      <c r="K342" s="74" t="s">
        <v>8</v>
      </c>
      <c r="L342" s="75">
        <v>1965170.75</v>
      </c>
    </row>
    <row r="343" spans="1:12" ht="112.2" x14ac:dyDescent="0.3">
      <c r="A343" s="69" t="s">
        <v>301</v>
      </c>
      <c r="B343" s="70" t="s">
        <v>709</v>
      </c>
      <c r="C343" s="70" t="s">
        <v>518</v>
      </c>
      <c r="D343" s="70" t="s">
        <v>717</v>
      </c>
      <c r="E343" s="71" t="s">
        <v>165</v>
      </c>
      <c r="F343" s="72" t="s">
        <v>30</v>
      </c>
      <c r="G343" s="72"/>
      <c r="H343" s="71" t="s">
        <v>13</v>
      </c>
      <c r="I343" s="73">
        <v>6300</v>
      </c>
      <c r="J343" s="73"/>
      <c r="K343" s="74" t="s">
        <v>8</v>
      </c>
      <c r="L343" s="75">
        <v>1958870.75</v>
      </c>
    </row>
    <row r="344" spans="1:12" ht="112.2" x14ac:dyDescent="0.3">
      <c r="A344" s="69" t="s">
        <v>301</v>
      </c>
      <c r="B344" s="70" t="s">
        <v>709</v>
      </c>
      <c r="C344" s="70" t="s">
        <v>518</v>
      </c>
      <c r="D344" s="70" t="s">
        <v>718</v>
      </c>
      <c r="E344" s="71" t="s">
        <v>165</v>
      </c>
      <c r="F344" s="72" t="s">
        <v>30</v>
      </c>
      <c r="G344" s="72"/>
      <c r="H344" s="71" t="s">
        <v>13</v>
      </c>
      <c r="I344" s="73">
        <v>11340</v>
      </c>
      <c r="J344" s="73"/>
      <c r="K344" s="74" t="s">
        <v>8</v>
      </c>
      <c r="L344" s="75">
        <v>1947530.75</v>
      </c>
    </row>
    <row r="345" spans="1:12" ht="112.2" x14ac:dyDescent="0.3">
      <c r="A345" s="69" t="s">
        <v>301</v>
      </c>
      <c r="B345" s="70" t="s">
        <v>709</v>
      </c>
      <c r="C345" s="70" t="s">
        <v>518</v>
      </c>
      <c r="D345" s="70" t="s">
        <v>719</v>
      </c>
      <c r="E345" s="71" t="s">
        <v>165</v>
      </c>
      <c r="F345" s="72" t="s">
        <v>30</v>
      </c>
      <c r="G345" s="72"/>
      <c r="H345" s="71" t="s">
        <v>13</v>
      </c>
      <c r="I345" s="73">
        <v>27625.96</v>
      </c>
      <c r="J345" s="73"/>
      <c r="K345" s="74" t="s">
        <v>8</v>
      </c>
      <c r="L345" s="75">
        <v>1919904.79</v>
      </c>
    </row>
    <row r="346" spans="1:12" ht="112.2" x14ac:dyDescent="0.3">
      <c r="A346" s="69" t="s">
        <v>301</v>
      </c>
      <c r="B346" s="70" t="s">
        <v>709</v>
      </c>
      <c r="C346" s="70" t="s">
        <v>518</v>
      </c>
      <c r="D346" s="70" t="s">
        <v>720</v>
      </c>
      <c r="E346" s="71" t="s">
        <v>165</v>
      </c>
      <c r="F346" s="72" t="s">
        <v>30</v>
      </c>
      <c r="G346" s="72"/>
      <c r="H346" s="71" t="s">
        <v>13</v>
      </c>
      <c r="I346" s="73">
        <v>17038.490000000002</v>
      </c>
      <c r="J346" s="73"/>
      <c r="K346" s="74" t="s">
        <v>8</v>
      </c>
      <c r="L346" s="75">
        <v>1902866.3</v>
      </c>
    </row>
    <row r="347" spans="1:12" ht="112.2" x14ac:dyDescent="0.3">
      <c r="A347" s="69" t="s">
        <v>301</v>
      </c>
      <c r="B347" s="70" t="s">
        <v>709</v>
      </c>
      <c r="C347" s="70" t="s">
        <v>518</v>
      </c>
      <c r="D347" s="70" t="s">
        <v>721</v>
      </c>
      <c r="E347" s="71" t="s">
        <v>165</v>
      </c>
      <c r="F347" s="72" t="s">
        <v>30</v>
      </c>
      <c r="G347" s="72"/>
      <c r="H347" s="71" t="s">
        <v>13</v>
      </c>
      <c r="I347" s="73">
        <v>24257.22</v>
      </c>
      <c r="J347" s="73"/>
      <c r="K347" s="74" t="s">
        <v>8</v>
      </c>
      <c r="L347" s="75">
        <v>1878609.08</v>
      </c>
    </row>
    <row r="348" spans="1:12" ht="112.2" x14ac:dyDescent="0.3">
      <c r="A348" s="69" t="s">
        <v>301</v>
      </c>
      <c r="B348" s="70" t="s">
        <v>709</v>
      </c>
      <c r="C348" s="70" t="s">
        <v>518</v>
      </c>
      <c r="D348" s="70" t="s">
        <v>722</v>
      </c>
      <c r="E348" s="71" t="s">
        <v>165</v>
      </c>
      <c r="F348" s="72" t="s">
        <v>30</v>
      </c>
      <c r="G348" s="72"/>
      <c r="H348" s="71" t="s">
        <v>13</v>
      </c>
      <c r="I348" s="73">
        <v>20199.84</v>
      </c>
      <c r="J348" s="73"/>
      <c r="K348" s="74" t="s">
        <v>8</v>
      </c>
      <c r="L348" s="75">
        <v>1858409.24</v>
      </c>
    </row>
    <row r="349" spans="1:12" ht="112.2" x14ac:dyDescent="0.3">
      <c r="A349" s="69" t="s">
        <v>301</v>
      </c>
      <c r="B349" s="70" t="s">
        <v>709</v>
      </c>
      <c r="C349" s="70" t="s">
        <v>518</v>
      </c>
      <c r="D349" s="70" t="s">
        <v>612</v>
      </c>
      <c r="E349" s="71" t="s">
        <v>165</v>
      </c>
      <c r="F349" s="72" t="s">
        <v>30</v>
      </c>
      <c r="G349" s="72"/>
      <c r="H349" s="71" t="s">
        <v>13</v>
      </c>
      <c r="I349" s="73">
        <v>26548.880000000001</v>
      </c>
      <c r="J349" s="73"/>
      <c r="K349" s="74" t="s">
        <v>8</v>
      </c>
      <c r="L349" s="75">
        <v>1831860.36</v>
      </c>
    </row>
    <row r="350" spans="1:12" ht="112.2" x14ac:dyDescent="0.3">
      <c r="A350" s="69" t="s">
        <v>301</v>
      </c>
      <c r="B350" s="70" t="s">
        <v>709</v>
      </c>
      <c r="C350" s="70" t="s">
        <v>518</v>
      </c>
      <c r="D350" s="70" t="s">
        <v>613</v>
      </c>
      <c r="E350" s="71" t="s">
        <v>165</v>
      </c>
      <c r="F350" s="72" t="s">
        <v>30</v>
      </c>
      <c r="G350" s="72"/>
      <c r="H350" s="71" t="s">
        <v>13</v>
      </c>
      <c r="I350" s="73">
        <v>24222.85</v>
      </c>
      <c r="J350" s="73"/>
      <c r="K350" s="74" t="s">
        <v>8</v>
      </c>
      <c r="L350" s="75">
        <v>1807637.51</v>
      </c>
    </row>
    <row r="351" spans="1:12" ht="112.2" x14ac:dyDescent="0.3">
      <c r="A351" s="69" t="s">
        <v>301</v>
      </c>
      <c r="B351" s="70" t="s">
        <v>709</v>
      </c>
      <c r="C351" s="70" t="s">
        <v>518</v>
      </c>
      <c r="D351" s="70" t="s">
        <v>723</v>
      </c>
      <c r="E351" s="71" t="s">
        <v>165</v>
      </c>
      <c r="F351" s="72" t="s">
        <v>30</v>
      </c>
      <c r="G351" s="72"/>
      <c r="H351" s="71" t="s">
        <v>13</v>
      </c>
      <c r="I351" s="73">
        <v>3002.07</v>
      </c>
      <c r="J351" s="73"/>
      <c r="K351" s="74" t="s">
        <v>8</v>
      </c>
      <c r="L351" s="75">
        <v>1804635.44</v>
      </c>
    </row>
    <row r="352" spans="1:12" ht="112.2" x14ac:dyDescent="0.3">
      <c r="A352" s="69" t="s">
        <v>301</v>
      </c>
      <c r="B352" s="70" t="s">
        <v>709</v>
      </c>
      <c r="C352" s="70" t="s">
        <v>518</v>
      </c>
      <c r="D352" s="70" t="s">
        <v>724</v>
      </c>
      <c r="E352" s="71" t="s">
        <v>165</v>
      </c>
      <c r="F352" s="72" t="s">
        <v>30</v>
      </c>
      <c r="G352" s="72"/>
      <c r="H352" s="71" t="s">
        <v>13</v>
      </c>
      <c r="I352" s="73">
        <v>32760</v>
      </c>
      <c r="J352" s="73"/>
      <c r="K352" s="74" t="s">
        <v>8</v>
      </c>
      <c r="L352" s="75">
        <v>1771875.44</v>
      </c>
    </row>
    <row r="353" spans="1:12" ht="112.2" x14ac:dyDescent="0.3">
      <c r="A353" s="69" t="s">
        <v>301</v>
      </c>
      <c r="B353" s="70" t="s">
        <v>709</v>
      </c>
      <c r="C353" s="70" t="s">
        <v>518</v>
      </c>
      <c r="D353" s="70" t="s">
        <v>725</v>
      </c>
      <c r="E353" s="71" t="s">
        <v>165</v>
      </c>
      <c r="F353" s="72" t="s">
        <v>30</v>
      </c>
      <c r="G353" s="72"/>
      <c r="H353" s="71" t="s">
        <v>13</v>
      </c>
      <c r="I353" s="73">
        <v>46098</v>
      </c>
      <c r="J353" s="73"/>
      <c r="K353" s="74" t="s">
        <v>8</v>
      </c>
      <c r="L353" s="75">
        <v>1725777.44</v>
      </c>
    </row>
    <row r="354" spans="1:12" ht="112.2" x14ac:dyDescent="0.3">
      <c r="A354" s="69" t="s">
        <v>301</v>
      </c>
      <c r="B354" s="70" t="s">
        <v>709</v>
      </c>
      <c r="C354" s="70" t="s">
        <v>518</v>
      </c>
      <c r="D354" s="70" t="s">
        <v>615</v>
      </c>
      <c r="E354" s="71" t="s">
        <v>165</v>
      </c>
      <c r="F354" s="72" t="s">
        <v>30</v>
      </c>
      <c r="G354" s="72"/>
      <c r="H354" s="71" t="s">
        <v>13</v>
      </c>
      <c r="I354" s="73">
        <v>12766</v>
      </c>
      <c r="J354" s="73"/>
      <c r="K354" s="74" t="s">
        <v>8</v>
      </c>
      <c r="L354" s="75">
        <v>1713011.44</v>
      </c>
    </row>
    <row r="355" spans="1:12" ht="112.2" x14ac:dyDescent="0.3">
      <c r="A355" s="69" t="s">
        <v>301</v>
      </c>
      <c r="B355" s="70" t="s">
        <v>709</v>
      </c>
      <c r="C355" s="70" t="s">
        <v>518</v>
      </c>
      <c r="D355" s="70" t="s">
        <v>616</v>
      </c>
      <c r="E355" s="71" t="s">
        <v>165</v>
      </c>
      <c r="F355" s="72" t="s">
        <v>30</v>
      </c>
      <c r="G355" s="72"/>
      <c r="H355" s="71" t="s">
        <v>13</v>
      </c>
      <c r="I355" s="73">
        <v>17472</v>
      </c>
      <c r="J355" s="73"/>
      <c r="K355" s="74" t="s">
        <v>8</v>
      </c>
      <c r="L355" s="75">
        <v>1695539.44</v>
      </c>
    </row>
    <row r="356" spans="1:12" ht="91.8" x14ac:dyDescent="0.3">
      <c r="A356" s="69" t="s">
        <v>301</v>
      </c>
      <c r="B356" s="70" t="s">
        <v>709</v>
      </c>
      <c r="C356" s="70" t="s">
        <v>518</v>
      </c>
      <c r="D356" s="70" t="s">
        <v>617</v>
      </c>
      <c r="E356" s="71" t="s">
        <v>165</v>
      </c>
      <c r="F356" s="72" t="s">
        <v>30</v>
      </c>
      <c r="G356" s="72"/>
      <c r="H356" s="71" t="s">
        <v>13</v>
      </c>
      <c r="I356" s="73">
        <v>1710.19</v>
      </c>
      <c r="J356" s="73"/>
      <c r="K356" s="74" t="s">
        <v>8</v>
      </c>
      <c r="L356" s="75">
        <v>1693829.25</v>
      </c>
    </row>
    <row r="357" spans="1:12" ht="102" x14ac:dyDescent="0.3">
      <c r="A357" s="69" t="s">
        <v>301</v>
      </c>
      <c r="B357" s="70" t="s">
        <v>709</v>
      </c>
      <c r="C357" s="70" t="s">
        <v>518</v>
      </c>
      <c r="D357" s="70" t="s">
        <v>618</v>
      </c>
      <c r="E357" s="71" t="s">
        <v>165</v>
      </c>
      <c r="F357" s="72" t="s">
        <v>30</v>
      </c>
      <c r="G357" s="72"/>
      <c r="H357" s="71" t="s">
        <v>13</v>
      </c>
      <c r="I357" s="73">
        <v>7267</v>
      </c>
      <c r="J357" s="73"/>
      <c r="K357" s="74" t="s">
        <v>8</v>
      </c>
      <c r="L357" s="75">
        <v>1686562.25</v>
      </c>
    </row>
    <row r="358" spans="1:12" ht="102" x14ac:dyDescent="0.3">
      <c r="A358" s="69" t="s">
        <v>301</v>
      </c>
      <c r="B358" s="70" t="s">
        <v>709</v>
      </c>
      <c r="C358" s="70" t="s">
        <v>518</v>
      </c>
      <c r="D358" s="70" t="s">
        <v>619</v>
      </c>
      <c r="E358" s="71" t="s">
        <v>165</v>
      </c>
      <c r="F358" s="72" t="s">
        <v>30</v>
      </c>
      <c r="G358" s="72"/>
      <c r="H358" s="71" t="s">
        <v>13</v>
      </c>
      <c r="I358" s="73">
        <v>5479.73</v>
      </c>
      <c r="J358" s="73"/>
      <c r="K358" s="74" t="s">
        <v>8</v>
      </c>
      <c r="L358" s="75">
        <v>1681082.52</v>
      </c>
    </row>
    <row r="359" spans="1:12" ht="102" x14ac:dyDescent="0.3">
      <c r="A359" s="69" t="s">
        <v>301</v>
      </c>
      <c r="B359" s="70" t="s">
        <v>709</v>
      </c>
      <c r="C359" s="70" t="s">
        <v>518</v>
      </c>
      <c r="D359" s="70" t="s">
        <v>620</v>
      </c>
      <c r="E359" s="71" t="s">
        <v>165</v>
      </c>
      <c r="F359" s="72" t="s">
        <v>30</v>
      </c>
      <c r="G359" s="72"/>
      <c r="H359" s="71" t="s">
        <v>13</v>
      </c>
      <c r="I359" s="73">
        <v>1174.3</v>
      </c>
      <c r="J359" s="73"/>
      <c r="K359" s="74" t="s">
        <v>8</v>
      </c>
      <c r="L359" s="75">
        <v>1679908.22</v>
      </c>
    </row>
    <row r="360" spans="1:12" ht="102" x14ac:dyDescent="0.3">
      <c r="A360" s="69" t="s">
        <v>301</v>
      </c>
      <c r="B360" s="70" t="s">
        <v>709</v>
      </c>
      <c r="C360" s="70" t="s">
        <v>518</v>
      </c>
      <c r="D360" s="70" t="s">
        <v>621</v>
      </c>
      <c r="E360" s="71" t="s">
        <v>165</v>
      </c>
      <c r="F360" s="72" t="s">
        <v>30</v>
      </c>
      <c r="G360" s="72"/>
      <c r="H360" s="71" t="s">
        <v>13</v>
      </c>
      <c r="I360" s="78">
        <v>391.42</v>
      </c>
      <c r="J360" s="78"/>
      <c r="K360" s="74" t="s">
        <v>8</v>
      </c>
      <c r="L360" s="75">
        <v>1679516.8</v>
      </c>
    </row>
    <row r="361" spans="1:12" ht="61.2" x14ac:dyDescent="0.3">
      <c r="A361" s="69" t="s">
        <v>301</v>
      </c>
      <c r="B361" s="70" t="s">
        <v>726</v>
      </c>
      <c r="C361" s="70" t="s">
        <v>518</v>
      </c>
      <c r="D361" s="70" t="s">
        <v>727</v>
      </c>
      <c r="E361" s="71" t="s">
        <v>165</v>
      </c>
      <c r="F361" s="72" t="s">
        <v>30</v>
      </c>
      <c r="G361" s="72"/>
      <c r="H361" s="71" t="s">
        <v>13</v>
      </c>
      <c r="I361" s="73">
        <v>3669.11</v>
      </c>
      <c r="J361" s="73"/>
      <c r="K361" s="74" t="s">
        <v>8</v>
      </c>
      <c r="L361" s="75">
        <v>2686014.58</v>
      </c>
    </row>
    <row r="362" spans="1:12" ht="81.599999999999994" x14ac:dyDescent="0.3">
      <c r="A362" s="69" t="s">
        <v>301</v>
      </c>
      <c r="B362" s="70" t="s">
        <v>726</v>
      </c>
      <c r="C362" s="70" t="s">
        <v>518</v>
      </c>
      <c r="D362" s="70" t="s">
        <v>728</v>
      </c>
      <c r="E362" s="71" t="s">
        <v>165</v>
      </c>
      <c r="F362" s="72" t="s">
        <v>30</v>
      </c>
      <c r="G362" s="72"/>
      <c r="H362" s="71" t="s">
        <v>13</v>
      </c>
      <c r="I362" s="78">
        <v>990</v>
      </c>
      <c r="J362" s="78"/>
      <c r="K362" s="74" t="s">
        <v>8</v>
      </c>
      <c r="L362" s="75">
        <v>2685024.58</v>
      </c>
    </row>
    <row r="363" spans="1:12" ht="61.2" x14ac:dyDescent="0.3">
      <c r="A363" s="69" t="s">
        <v>301</v>
      </c>
      <c r="B363" s="70" t="s">
        <v>726</v>
      </c>
      <c r="C363" s="70" t="s">
        <v>518</v>
      </c>
      <c r="D363" s="70" t="s">
        <v>729</v>
      </c>
      <c r="E363" s="71" t="s">
        <v>165</v>
      </c>
      <c r="F363" s="72" t="s">
        <v>30</v>
      </c>
      <c r="G363" s="72"/>
      <c r="H363" s="71" t="s">
        <v>13</v>
      </c>
      <c r="I363" s="73">
        <v>1265.6199999999999</v>
      </c>
      <c r="J363" s="73"/>
      <c r="K363" s="74" t="s">
        <v>8</v>
      </c>
      <c r="L363" s="75">
        <v>2683758.96</v>
      </c>
    </row>
    <row r="364" spans="1:12" ht="71.400000000000006" x14ac:dyDescent="0.3">
      <c r="A364" s="69" t="s">
        <v>301</v>
      </c>
      <c r="B364" s="70" t="s">
        <v>726</v>
      </c>
      <c r="C364" s="70" t="s">
        <v>518</v>
      </c>
      <c r="D364" s="70" t="s">
        <v>730</v>
      </c>
      <c r="E364" s="71" t="s">
        <v>165</v>
      </c>
      <c r="F364" s="72" t="s">
        <v>30</v>
      </c>
      <c r="G364" s="72"/>
      <c r="H364" s="71" t="s">
        <v>13</v>
      </c>
      <c r="I364" s="78">
        <v>420</v>
      </c>
      <c r="J364" s="78"/>
      <c r="K364" s="74" t="s">
        <v>8</v>
      </c>
      <c r="L364" s="75">
        <v>2683338.96</v>
      </c>
    </row>
    <row r="365" spans="1:12" ht="71.400000000000006" hidden="1" x14ac:dyDescent="0.3">
      <c r="A365" s="69" t="s">
        <v>301</v>
      </c>
      <c r="B365" s="70" t="s">
        <v>731</v>
      </c>
      <c r="C365" s="70" t="s">
        <v>732</v>
      </c>
      <c r="D365" s="70" t="s">
        <v>733</v>
      </c>
      <c r="E365" s="71" t="s">
        <v>13</v>
      </c>
      <c r="F365" s="76">
        <v>15281</v>
      </c>
      <c r="G365" s="76"/>
      <c r="H365" s="71" t="s">
        <v>457</v>
      </c>
      <c r="I365" s="77" t="s">
        <v>30</v>
      </c>
      <c r="J365" s="77"/>
      <c r="K365" s="74" t="s">
        <v>8</v>
      </c>
      <c r="L365" s="75">
        <v>1292866.23</v>
      </c>
    </row>
    <row r="366" spans="1:12" ht="61.2" hidden="1" x14ac:dyDescent="0.3">
      <c r="A366" s="69" t="s">
        <v>301</v>
      </c>
      <c r="B366" s="70" t="s">
        <v>731</v>
      </c>
      <c r="C366" s="70" t="s">
        <v>734</v>
      </c>
      <c r="D366" s="70" t="s">
        <v>733</v>
      </c>
      <c r="E366" s="71" t="s">
        <v>13</v>
      </c>
      <c r="F366" s="76">
        <v>11193.19</v>
      </c>
      <c r="G366" s="76"/>
      <c r="H366" s="71" t="s">
        <v>457</v>
      </c>
      <c r="I366" s="77" t="s">
        <v>30</v>
      </c>
      <c r="J366" s="77"/>
      <c r="K366" s="74" t="s">
        <v>8</v>
      </c>
      <c r="L366" s="75">
        <v>1304059.42</v>
      </c>
    </row>
    <row r="367" spans="1:12" ht="61.2" hidden="1" x14ac:dyDescent="0.3">
      <c r="A367" s="69" t="s">
        <v>301</v>
      </c>
      <c r="B367" s="70" t="s">
        <v>731</v>
      </c>
      <c r="C367" s="70" t="s">
        <v>735</v>
      </c>
      <c r="D367" s="70" t="s">
        <v>733</v>
      </c>
      <c r="E367" s="71" t="s">
        <v>13</v>
      </c>
      <c r="F367" s="76">
        <v>3728.29</v>
      </c>
      <c r="G367" s="76"/>
      <c r="H367" s="71" t="s">
        <v>457</v>
      </c>
      <c r="I367" s="77" t="s">
        <v>30</v>
      </c>
      <c r="J367" s="77"/>
      <c r="K367" s="74" t="s">
        <v>8</v>
      </c>
      <c r="L367" s="75">
        <v>1307787.71</v>
      </c>
    </row>
    <row r="368" spans="1:12" ht="61.2" hidden="1" x14ac:dyDescent="0.3">
      <c r="A368" s="69" t="s">
        <v>301</v>
      </c>
      <c r="B368" s="70" t="s">
        <v>731</v>
      </c>
      <c r="C368" s="70" t="s">
        <v>736</v>
      </c>
      <c r="D368" s="70" t="s">
        <v>733</v>
      </c>
      <c r="E368" s="71" t="s">
        <v>13</v>
      </c>
      <c r="F368" s="76">
        <v>1755</v>
      </c>
      <c r="G368" s="76"/>
      <c r="H368" s="71" t="s">
        <v>457</v>
      </c>
      <c r="I368" s="77" t="s">
        <v>30</v>
      </c>
      <c r="J368" s="77"/>
      <c r="K368" s="74" t="s">
        <v>8</v>
      </c>
      <c r="L368" s="75">
        <v>1309542.71</v>
      </c>
    </row>
    <row r="369" spans="1:12" ht="61.2" hidden="1" x14ac:dyDescent="0.3">
      <c r="A369" s="69" t="s">
        <v>301</v>
      </c>
      <c r="B369" s="70" t="s">
        <v>731</v>
      </c>
      <c r="C369" s="70" t="s">
        <v>737</v>
      </c>
      <c r="D369" s="70" t="s">
        <v>733</v>
      </c>
      <c r="E369" s="71" t="s">
        <v>13</v>
      </c>
      <c r="F369" s="76">
        <v>3656.25</v>
      </c>
      <c r="G369" s="76"/>
      <c r="H369" s="71" t="s">
        <v>457</v>
      </c>
      <c r="I369" s="77" t="s">
        <v>30</v>
      </c>
      <c r="J369" s="77"/>
      <c r="K369" s="74" t="s">
        <v>8</v>
      </c>
      <c r="L369" s="75">
        <v>1313198.96</v>
      </c>
    </row>
    <row r="370" spans="1:12" ht="61.2" hidden="1" x14ac:dyDescent="0.3">
      <c r="A370" s="69" t="s">
        <v>301</v>
      </c>
      <c r="B370" s="70" t="s">
        <v>731</v>
      </c>
      <c r="C370" s="70" t="s">
        <v>738</v>
      </c>
      <c r="D370" s="70" t="s">
        <v>733</v>
      </c>
      <c r="E370" s="71" t="s">
        <v>13</v>
      </c>
      <c r="F370" s="76">
        <v>36270</v>
      </c>
      <c r="G370" s="76"/>
      <c r="H370" s="71" t="s">
        <v>457</v>
      </c>
      <c r="I370" s="77" t="s">
        <v>30</v>
      </c>
      <c r="J370" s="77"/>
      <c r="K370" s="74" t="s">
        <v>8</v>
      </c>
      <c r="L370" s="75">
        <v>1349468.96</v>
      </c>
    </row>
    <row r="371" spans="1:12" ht="61.2" hidden="1" x14ac:dyDescent="0.3">
      <c r="A371" s="69" t="s">
        <v>301</v>
      </c>
      <c r="B371" s="70" t="s">
        <v>731</v>
      </c>
      <c r="C371" s="70" t="s">
        <v>739</v>
      </c>
      <c r="D371" s="70" t="s">
        <v>733</v>
      </c>
      <c r="E371" s="71" t="s">
        <v>13</v>
      </c>
      <c r="F371" s="76">
        <v>91406.25</v>
      </c>
      <c r="G371" s="76"/>
      <c r="H371" s="71" t="s">
        <v>457</v>
      </c>
      <c r="I371" s="77" t="s">
        <v>30</v>
      </c>
      <c r="J371" s="77"/>
      <c r="K371" s="74" t="s">
        <v>8</v>
      </c>
      <c r="L371" s="75">
        <v>1440875.21</v>
      </c>
    </row>
    <row r="372" spans="1:12" ht="61.2" hidden="1" x14ac:dyDescent="0.3">
      <c r="A372" s="69" t="s">
        <v>301</v>
      </c>
      <c r="B372" s="70" t="s">
        <v>731</v>
      </c>
      <c r="C372" s="70" t="s">
        <v>740</v>
      </c>
      <c r="D372" s="70" t="s">
        <v>733</v>
      </c>
      <c r="E372" s="71" t="s">
        <v>13</v>
      </c>
      <c r="F372" s="76">
        <v>36711.879999999997</v>
      </c>
      <c r="G372" s="76"/>
      <c r="H372" s="71" t="s">
        <v>457</v>
      </c>
      <c r="I372" s="77" t="s">
        <v>30</v>
      </c>
      <c r="J372" s="77"/>
      <c r="K372" s="74" t="s">
        <v>8</v>
      </c>
      <c r="L372" s="75">
        <v>1477587.09</v>
      </c>
    </row>
    <row r="373" spans="1:12" ht="61.2" hidden="1" x14ac:dyDescent="0.3">
      <c r="A373" s="69" t="s">
        <v>301</v>
      </c>
      <c r="B373" s="70" t="s">
        <v>741</v>
      </c>
      <c r="C373" s="70" t="s">
        <v>742</v>
      </c>
      <c r="D373" s="70" t="s">
        <v>743</v>
      </c>
      <c r="E373" s="71" t="s">
        <v>319</v>
      </c>
      <c r="F373" s="72" t="s">
        <v>30</v>
      </c>
      <c r="G373" s="72"/>
      <c r="H373" s="71" t="s">
        <v>13</v>
      </c>
      <c r="I373" s="73">
        <v>1700.86</v>
      </c>
      <c r="J373" s="73"/>
      <c r="K373" s="74" t="s">
        <v>8</v>
      </c>
      <c r="L373" s="75">
        <v>1475886.23</v>
      </c>
    </row>
    <row r="374" spans="1:12" ht="71.400000000000006" hidden="1" x14ac:dyDescent="0.3">
      <c r="A374" s="69" t="s">
        <v>301</v>
      </c>
      <c r="B374" s="70" t="s">
        <v>741</v>
      </c>
      <c r="C374" s="70" t="s">
        <v>744</v>
      </c>
      <c r="D374" s="70" t="s">
        <v>332</v>
      </c>
      <c r="E374" s="71" t="s">
        <v>319</v>
      </c>
      <c r="F374" s="72" t="s">
        <v>30</v>
      </c>
      <c r="G374" s="72"/>
      <c r="H374" s="71" t="s">
        <v>13</v>
      </c>
      <c r="I374" s="73">
        <v>24564.19</v>
      </c>
      <c r="J374" s="73"/>
      <c r="K374" s="74" t="s">
        <v>8</v>
      </c>
      <c r="L374" s="75">
        <v>1451322.04</v>
      </c>
    </row>
    <row r="375" spans="1:12" ht="71.400000000000006" hidden="1" x14ac:dyDescent="0.3">
      <c r="A375" s="69" t="s">
        <v>301</v>
      </c>
      <c r="B375" s="70" t="s">
        <v>741</v>
      </c>
      <c r="C375" s="70" t="s">
        <v>744</v>
      </c>
      <c r="D375" s="70" t="s">
        <v>745</v>
      </c>
      <c r="E375" s="71" t="s">
        <v>319</v>
      </c>
      <c r="F375" s="72" t="s">
        <v>30</v>
      </c>
      <c r="G375" s="72"/>
      <c r="H375" s="71" t="s">
        <v>13</v>
      </c>
      <c r="I375" s="73">
        <v>4618.78</v>
      </c>
      <c r="J375" s="73"/>
      <c r="K375" s="74" t="s">
        <v>8</v>
      </c>
      <c r="L375" s="75">
        <v>1446703.26</v>
      </c>
    </row>
    <row r="376" spans="1:12" ht="71.400000000000006" hidden="1" x14ac:dyDescent="0.3">
      <c r="A376" s="69" t="s">
        <v>301</v>
      </c>
      <c r="B376" s="70" t="s">
        <v>741</v>
      </c>
      <c r="C376" s="70" t="s">
        <v>744</v>
      </c>
      <c r="D376" s="70" t="s">
        <v>746</v>
      </c>
      <c r="E376" s="71" t="s">
        <v>319</v>
      </c>
      <c r="F376" s="72" t="s">
        <v>30</v>
      </c>
      <c r="G376" s="72"/>
      <c r="H376" s="71" t="s">
        <v>13</v>
      </c>
      <c r="I376" s="73">
        <v>10895.61</v>
      </c>
      <c r="J376" s="73"/>
      <c r="K376" s="74" t="s">
        <v>8</v>
      </c>
      <c r="L376" s="75">
        <v>1435807.65</v>
      </c>
    </row>
    <row r="377" spans="1:12" ht="61.2" hidden="1" x14ac:dyDescent="0.3">
      <c r="A377" s="69" t="s">
        <v>301</v>
      </c>
      <c r="B377" s="70" t="s">
        <v>741</v>
      </c>
      <c r="C377" s="70" t="s">
        <v>747</v>
      </c>
      <c r="D377" s="70" t="s">
        <v>748</v>
      </c>
      <c r="E377" s="71" t="s">
        <v>319</v>
      </c>
      <c r="F377" s="72" t="s">
        <v>30</v>
      </c>
      <c r="G377" s="72"/>
      <c r="H377" s="71" t="s">
        <v>13</v>
      </c>
      <c r="I377" s="73">
        <v>10768.92</v>
      </c>
      <c r="J377" s="73"/>
      <c r="K377" s="74" t="s">
        <v>8</v>
      </c>
      <c r="L377" s="75">
        <v>1425038.73</v>
      </c>
    </row>
    <row r="378" spans="1:12" ht="61.2" hidden="1" x14ac:dyDescent="0.3">
      <c r="A378" s="69" t="s">
        <v>301</v>
      </c>
      <c r="B378" s="70" t="s">
        <v>741</v>
      </c>
      <c r="C378" s="70" t="s">
        <v>749</v>
      </c>
      <c r="D378" s="70" t="s">
        <v>750</v>
      </c>
      <c r="E378" s="71" t="s">
        <v>319</v>
      </c>
      <c r="F378" s="72" t="s">
        <v>30</v>
      </c>
      <c r="G378" s="72"/>
      <c r="H378" s="71" t="s">
        <v>13</v>
      </c>
      <c r="I378" s="73">
        <v>4443.33</v>
      </c>
      <c r="J378" s="73"/>
      <c r="K378" s="74" t="s">
        <v>8</v>
      </c>
      <c r="L378" s="75">
        <v>1420595.4</v>
      </c>
    </row>
    <row r="379" spans="1:12" ht="61.2" hidden="1" x14ac:dyDescent="0.3">
      <c r="A379" s="69" t="s">
        <v>301</v>
      </c>
      <c r="B379" s="70" t="s">
        <v>741</v>
      </c>
      <c r="C379" s="70" t="s">
        <v>749</v>
      </c>
      <c r="D379" s="70" t="s">
        <v>739</v>
      </c>
      <c r="E379" s="71" t="s">
        <v>319</v>
      </c>
      <c r="F379" s="72" t="s">
        <v>30</v>
      </c>
      <c r="G379" s="72"/>
      <c r="H379" s="71" t="s">
        <v>13</v>
      </c>
      <c r="I379" s="73">
        <v>1901.25</v>
      </c>
      <c r="J379" s="73"/>
      <c r="K379" s="74" t="s">
        <v>8</v>
      </c>
      <c r="L379" s="75">
        <v>1418694.15</v>
      </c>
    </row>
    <row r="380" spans="1:12" ht="61.2" hidden="1" x14ac:dyDescent="0.3">
      <c r="A380" s="69" t="s">
        <v>301</v>
      </c>
      <c r="B380" s="70" t="s">
        <v>741</v>
      </c>
      <c r="C380" s="70" t="s">
        <v>751</v>
      </c>
      <c r="D380" s="70" t="s">
        <v>324</v>
      </c>
      <c r="E380" s="71" t="s">
        <v>319</v>
      </c>
      <c r="F380" s="72" t="s">
        <v>30</v>
      </c>
      <c r="G380" s="72"/>
      <c r="H380" s="71" t="s">
        <v>13</v>
      </c>
      <c r="I380" s="73">
        <v>5878.31</v>
      </c>
      <c r="J380" s="73"/>
      <c r="K380" s="74" t="s">
        <v>8</v>
      </c>
      <c r="L380" s="75">
        <v>1412815.84</v>
      </c>
    </row>
    <row r="381" spans="1:12" ht="61.2" hidden="1" x14ac:dyDescent="0.3">
      <c r="A381" s="69" t="s">
        <v>301</v>
      </c>
      <c r="B381" s="70" t="s">
        <v>741</v>
      </c>
      <c r="C381" s="70" t="s">
        <v>752</v>
      </c>
      <c r="D381" s="70" t="s">
        <v>740</v>
      </c>
      <c r="E381" s="71" t="s">
        <v>319</v>
      </c>
      <c r="F381" s="72" t="s">
        <v>30</v>
      </c>
      <c r="G381" s="72"/>
      <c r="H381" s="71" t="s">
        <v>13</v>
      </c>
      <c r="I381" s="73">
        <v>7147.88</v>
      </c>
      <c r="J381" s="73"/>
      <c r="K381" s="74" t="s">
        <v>8</v>
      </c>
      <c r="L381" s="75">
        <v>1405667.96</v>
      </c>
    </row>
    <row r="382" spans="1:12" ht="61.2" hidden="1" x14ac:dyDescent="0.3">
      <c r="A382" s="69" t="s">
        <v>301</v>
      </c>
      <c r="B382" s="70" t="s">
        <v>741</v>
      </c>
      <c r="C382" s="70" t="s">
        <v>753</v>
      </c>
      <c r="D382" s="70" t="s">
        <v>754</v>
      </c>
      <c r="E382" s="71" t="s">
        <v>319</v>
      </c>
      <c r="F382" s="72" t="s">
        <v>30</v>
      </c>
      <c r="G382" s="72"/>
      <c r="H382" s="71" t="s">
        <v>13</v>
      </c>
      <c r="I382" s="73">
        <v>10787.62</v>
      </c>
      <c r="J382" s="73"/>
      <c r="K382" s="74" t="s">
        <v>8</v>
      </c>
      <c r="L382" s="75">
        <v>1394880.34</v>
      </c>
    </row>
    <row r="383" spans="1:12" ht="61.2" x14ac:dyDescent="0.3">
      <c r="A383" s="69" t="s">
        <v>301</v>
      </c>
      <c r="B383" s="70" t="s">
        <v>755</v>
      </c>
      <c r="C383" s="70" t="s">
        <v>518</v>
      </c>
      <c r="D383" s="70" t="s">
        <v>756</v>
      </c>
      <c r="E383" s="71" t="s">
        <v>165</v>
      </c>
      <c r="F383" s="72" t="s">
        <v>30</v>
      </c>
      <c r="G383" s="72"/>
      <c r="H383" s="71" t="s">
        <v>13</v>
      </c>
      <c r="I383" s="73">
        <v>2415</v>
      </c>
      <c r="J383" s="73"/>
      <c r="K383" s="74" t="s">
        <v>8</v>
      </c>
      <c r="L383" s="75">
        <v>87810.12</v>
      </c>
    </row>
    <row r="384" spans="1:12" ht="81.599999999999994" x14ac:dyDescent="0.3">
      <c r="A384" s="69" t="s">
        <v>301</v>
      </c>
      <c r="B384" s="70" t="s">
        <v>757</v>
      </c>
      <c r="C384" s="70" t="s">
        <v>518</v>
      </c>
      <c r="D384" s="70" t="s">
        <v>656</v>
      </c>
      <c r="E384" s="71" t="s">
        <v>165</v>
      </c>
      <c r="F384" s="72" t="s">
        <v>30</v>
      </c>
      <c r="G384" s="72"/>
      <c r="H384" s="71" t="s">
        <v>13</v>
      </c>
      <c r="I384" s="78">
        <v>567.76</v>
      </c>
      <c r="J384" s="78"/>
      <c r="K384" s="74" t="s">
        <v>8</v>
      </c>
      <c r="L384" s="75">
        <v>3231524.31</v>
      </c>
    </row>
    <row r="385" spans="1:12" ht="81.599999999999994" x14ac:dyDescent="0.3">
      <c r="A385" s="69" t="s">
        <v>301</v>
      </c>
      <c r="B385" s="70" t="s">
        <v>757</v>
      </c>
      <c r="C385" s="70" t="s">
        <v>518</v>
      </c>
      <c r="D385" s="70" t="s">
        <v>657</v>
      </c>
      <c r="E385" s="71" t="s">
        <v>165</v>
      </c>
      <c r="F385" s="72" t="s">
        <v>30</v>
      </c>
      <c r="G385" s="72"/>
      <c r="H385" s="71" t="s">
        <v>13</v>
      </c>
      <c r="I385" s="78">
        <v>81.42</v>
      </c>
      <c r="J385" s="78"/>
      <c r="K385" s="74" t="s">
        <v>8</v>
      </c>
      <c r="L385" s="75">
        <v>3231442.89</v>
      </c>
    </row>
    <row r="386" spans="1:12" ht="61.2" x14ac:dyDescent="0.3">
      <c r="A386" s="69" t="s">
        <v>301</v>
      </c>
      <c r="B386" s="70" t="s">
        <v>758</v>
      </c>
      <c r="C386" s="70" t="s">
        <v>518</v>
      </c>
      <c r="D386" s="70" t="s">
        <v>759</v>
      </c>
      <c r="E386" s="71" t="s">
        <v>165</v>
      </c>
      <c r="F386" s="72" t="s">
        <v>30</v>
      </c>
      <c r="G386" s="72"/>
      <c r="H386" s="71" t="s">
        <v>13</v>
      </c>
      <c r="I386" s="73">
        <v>10659.14</v>
      </c>
      <c r="J386" s="73"/>
      <c r="K386" s="74" t="s">
        <v>8</v>
      </c>
      <c r="L386" s="75">
        <v>2672679.8199999998</v>
      </c>
    </row>
    <row r="387" spans="1:12" ht="71.400000000000006" x14ac:dyDescent="0.3">
      <c r="A387" s="69" t="s">
        <v>301</v>
      </c>
      <c r="B387" s="70" t="s">
        <v>758</v>
      </c>
      <c r="C387" s="70" t="s">
        <v>518</v>
      </c>
      <c r="D387" s="70" t="s">
        <v>364</v>
      </c>
      <c r="E387" s="71" t="s">
        <v>165</v>
      </c>
      <c r="F387" s="72" t="s">
        <v>30</v>
      </c>
      <c r="G387" s="72"/>
      <c r="H387" s="71" t="s">
        <v>13</v>
      </c>
      <c r="I387" s="73">
        <v>3637.22</v>
      </c>
      <c r="J387" s="73"/>
      <c r="K387" s="74" t="s">
        <v>8</v>
      </c>
      <c r="L387" s="75">
        <v>2669042.6</v>
      </c>
    </row>
    <row r="388" spans="1:12" ht="71.400000000000006" x14ac:dyDescent="0.3">
      <c r="A388" s="69" t="s">
        <v>301</v>
      </c>
      <c r="B388" s="70" t="s">
        <v>758</v>
      </c>
      <c r="C388" s="70" t="s">
        <v>518</v>
      </c>
      <c r="D388" s="70" t="s">
        <v>760</v>
      </c>
      <c r="E388" s="71" t="s">
        <v>165</v>
      </c>
      <c r="F388" s="72" t="s">
        <v>30</v>
      </c>
      <c r="G388" s="72"/>
      <c r="H388" s="71" t="s">
        <v>13</v>
      </c>
      <c r="I388" s="78">
        <v>288.36</v>
      </c>
      <c r="J388" s="78"/>
      <c r="K388" s="74" t="s">
        <v>8</v>
      </c>
      <c r="L388" s="75">
        <v>2668754.2400000002</v>
      </c>
    </row>
    <row r="389" spans="1:12" ht="61.2" x14ac:dyDescent="0.3">
      <c r="A389" s="69" t="s">
        <v>301</v>
      </c>
      <c r="B389" s="70" t="s">
        <v>758</v>
      </c>
      <c r="C389" s="70" t="s">
        <v>518</v>
      </c>
      <c r="D389" s="70" t="s">
        <v>761</v>
      </c>
      <c r="E389" s="71" t="s">
        <v>165</v>
      </c>
      <c r="F389" s="72" t="s">
        <v>30</v>
      </c>
      <c r="G389" s="72"/>
      <c r="H389" s="71" t="s">
        <v>13</v>
      </c>
      <c r="I389" s="78">
        <v>83.62</v>
      </c>
      <c r="J389" s="78"/>
      <c r="K389" s="74" t="s">
        <v>8</v>
      </c>
      <c r="L389" s="75">
        <v>2668670.62</v>
      </c>
    </row>
    <row r="390" spans="1:12" ht="61.2" x14ac:dyDescent="0.3">
      <c r="A390" s="69" t="s">
        <v>301</v>
      </c>
      <c r="B390" s="70" t="s">
        <v>758</v>
      </c>
      <c r="C390" s="70" t="s">
        <v>518</v>
      </c>
      <c r="D390" s="70" t="s">
        <v>762</v>
      </c>
      <c r="E390" s="71" t="s">
        <v>165</v>
      </c>
      <c r="F390" s="72" t="s">
        <v>30</v>
      </c>
      <c r="G390" s="72"/>
      <c r="H390" s="71" t="s">
        <v>13</v>
      </c>
      <c r="I390" s="73">
        <v>9427.06</v>
      </c>
      <c r="J390" s="73"/>
      <c r="K390" s="74" t="s">
        <v>8</v>
      </c>
      <c r="L390" s="75">
        <v>2659243.56</v>
      </c>
    </row>
    <row r="391" spans="1:12" ht="71.400000000000006" x14ac:dyDescent="0.3">
      <c r="A391" s="69" t="s">
        <v>301</v>
      </c>
      <c r="B391" s="70" t="s">
        <v>758</v>
      </c>
      <c r="C391" s="70" t="s">
        <v>518</v>
      </c>
      <c r="D391" s="70" t="s">
        <v>763</v>
      </c>
      <c r="E391" s="71" t="s">
        <v>165</v>
      </c>
      <c r="F391" s="72" t="s">
        <v>30</v>
      </c>
      <c r="G391" s="72"/>
      <c r="H391" s="71" t="s">
        <v>13</v>
      </c>
      <c r="I391" s="78">
        <v>211.65</v>
      </c>
      <c r="J391" s="78"/>
      <c r="K391" s="74" t="s">
        <v>8</v>
      </c>
      <c r="L391" s="75">
        <v>2659031.91</v>
      </c>
    </row>
    <row r="392" spans="1:12" ht="71.400000000000006" x14ac:dyDescent="0.3">
      <c r="A392" s="69" t="s">
        <v>301</v>
      </c>
      <c r="B392" s="70" t="s">
        <v>758</v>
      </c>
      <c r="C392" s="70" t="s">
        <v>518</v>
      </c>
      <c r="D392" s="70" t="s">
        <v>764</v>
      </c>
      <c r="E392" s="71" t="s">
        <v>165</v>
      </c>
      <c r="F392" s="72" t="s">
        <v>30</v>
      </c>
      <c r="G392" s="72"/>
      <c r="H392" s="71" t="s">
        <v>13</v>
      </c>
      <c r="I392" s="73">
        <v>13420.81</v>
      </c>
      <c r="J392" s="73"/>
      <c r="K392" s="74" t="s">
        <v>8</v>
      </c>
      <c r="L392" s="75">
        <v>2645611.1</v>
      </c>
    </row>
    <row r="393" spans="1:12" ht="71.400000000000006" x14ac:dyDescent="0.3">
      <c r="A393" s="69" t="s">
        <v>301</v>
      </c>
      <c r="B393" s="70" t="s">
        <v>758</v>
      </c>
      <c r="C393" s="70" t="s">
        <v>518</v>
      </c>
      <c r="D393" s="70" t="s">
        <v>765</v>
      </c>
      <c r="E393" s="71" t="s">
        <v>165</v>
      </c>
      <c r="F393" s="72" t="s">
        <v>30</v>
      </c>
      <c r="G393" s="72"/>
      <c r="H393" s="71" t="s">
        <v>13</v>
      </c>
      <c r="I393" s="73">
        <v>3261.25</v>
      </c>
      <c r="J393" s="73"/>
      <c r="K393" s="74" t="s">
        <v>8</v>
      </c>
      <c r="L393" s="75">
        <v>2642349.85</v>
      </c>
    </row>
    <row r="394" spans="1:12" ht="71.400000000000006" x14ac:dyDescent="0.3">
      <c r="A394" s="69" t="s">
        <v>301</v>
      </c>
      <c r="B394" s="70" t="s">
        <v>758</v>
      </c>
      <c r="C394" s="70" t="s">
        <v>518</v>
      </c>
      <c r="D394" s="70" t="s">
        <v>766</v>
      </c>
      <c r="E394" s="71" t="s">
        <v>165</v>
      </c>
      <c r="F394" s="72" t="s">
        <v>30</v>
      </c>
      <c r="G394" s="72"/>
      <c r="H394" s="71" t="s">
        <v>13</v>
      </c>
      <c r="I394" s="73">
        <v>3827.5</v>
      </c>
      <c r="J394" s="73"/>
      <c r="K394" s="74" t="s">
        <v>8</v>
      </c>
      <c r="L394" s="75">
        <v>2638522.35</v>
      </c>
    </row>
    <row r="395" spans="1:12" ht="71.400000000000006" x14ac:dyDescent="0.3">
      <c r="A395" s="69" t="s">
        <v>301</v>
      </c>
      <c r="B395" s="70" t="s">
        <v>758</v>
      </c>
      <c r="C395" s="70" t="s">
        <v>518</v>
      </c>
      <c r="D395" s="70" t="s">
        <v>766</v>
      </c>
      <c r="E395" s="71" t="s">
        <v>165</v>
      </c>
      <c r="F395" s="72" t="s">
        <v>30</v>
      </c>
      <c r="G395" s="72"/>
      <c r="H395" s="71" t="s">
        <v>13</v>
      </c>
      <c r="I395" s="73">
        <v>3207.44</v>
      </c>
      <c r="J395" s="73"/>
      <c r="K395" s="74" t="s">
        <v>8</v>
      </c>
      <c r="L395" s="75">
        <v>2635314.91</v>
      </c>
    </row>
    <row r="396" spans="1:12" ht="71.400000000000006" x14ac:dyDescent="0.3">
      <c r="A396" s="69" t="s">
        <v>301</v>
      </c>
      <c r="B396" s="70" t="s">
        <v>758</v>
      </c>
      <c r="C396" s="70" t="s">
        <v>518</v>
      </c>
      <c r="D396" s="70" t="s">
        <v>767</v>
      </c>
      <c r="E396" s="71" t="s">
        <v>165</v>
      </c>
      <c r="F396" s="72" t="s">
        <v>30</v>
      </c>
      <c r="G396" s="72"/>
      <c r="H396" s="71" t="s">
        <v>13</v>
      </c>
      <c r="I396" s="73">
        <v>3827.5</v>
      </c>
      <c r="J396" s="73"/>
      <c r="K396" s="74" t="s">
        <v>8</v>
      </c>
      <c r="L396" s="75">
        <v>2631487.41</v>
      </c>
    </row>
    <row r="397" spans="1:12" ht="71.400000000000006" x14ac:dyDescent="0.3">
      <c r="A397" s="69" t="s">
        <v>301</v>
      </c>
      <c r="B397" s="70" t="s">
        <v>758</v>
      </c>
      <c r="C397" s="70" t="s">
        <v>518</v>
      </c>
      <c r="D397" s="70" t="s">
        <v>768</v>
      </c>
      <c r="E397" s="71" t="s">
        <v>165</v>
      </c>
      <c r="F397" s="72" t="s">
        <v>30</v>
      </c>
      <c r="G397" s="72"/>
      <c r="H397" s="71" t="s">
        <v>13</v>
      </c>
      <c r="I397" s="73">
        <v>1165.8</v>
      </c>
      <c r="J397" s="73"/>
      <c r="K397" s="74" t="s">
        <v>8</v>
      </c>
      <c r="L397" s="75">
        <v>2630321.61</v>
      </c>
    </row>
    <row r="398" spans="1:12" ht="71.400000000000006" x14ac:dyDescent="0.3">
      <c r="A398" s="69" t="s">
        <v>301</v>
      </c>
      <c r="B398" s="70" t="s">
        <v>758</v>
      </c>
      <c r="C398" s="70" t="s">
        <v>518</v>
      </c>
      <c r="D398" s="70" t="s">
        <v>769</v>
      </c>
      <c r="E398" s="71" t="s">
        <v>165</v>
      </c>
      <c r="F398" s="72" t="s">
        <v>30</v>
      </c>
      <c r="G398" s="72"/>
      <c r="H398" s="71" t="s">
        <v>13</v>
      </c>
      <c r="I398" s="78">
        <v>682</v>
      </c>
      <c r="J398" s="78"/>
      <c r="K398" s="74" t="s">
        <v>8</v>
      </c>
      <c r="L398" s="75">
        <v>2629639.61</v>
      </c>
    </row>
    <row r="399" spans="1:12" ht="71.400000000000006" x14ac:dyDescent="0.3">
      <c r="A399" s="69" t="s">
        <v>301</v>
      </c>
      <c r="B399" s="70" t="s">
        <v>758</v>
      </c>
      <c r="C399" s="70" t="s">
        <v>518</v>
      </c>
      <c r="D399" s="70" t="s">
        <v>770</v>
      </c>
      <c r="E399" s="71" t="s">
        <v>165</v>
      </c>
      <c r="F399" s="72" t="s">
        <v>30</v>
      </c>
      <c r="G399" s="72"/>
      <c r="H399" s="71" t="s">
        <v>13</v>
      </c>
      <c r="I399" s="73">
        <v>1540</v>
      </c>
      <c r="J399" s="73"/>
      <c r="K399" s="74" t="s">
        <v>8</v>
      </c>
      <c r="L399" s="75">
        <v>2628099.61</v>
      </c>
    </row>
    <row r="400" spans="1:12" ht="61.2" x14ac:dyDescent="0.3">
      <c r="A400" s="69" t="s">
        <v>301</v>
      </c>
      <c r="B400" s="70" t="s">
        <v>758</v>
      </c>
      <c r="C400" s="70" t="s">
        <v>518</v>
      </c>
      <c r="D400" s="70" t="s">
        <v>771</v>
      </c>
      <c r="E400" s="71" t="s">
        <v>165</v>
      </c>
      <c r="F400" s="72" t="s">
        <v>30</v>
      </c>
      <c r="G400" s="72"/>
      <c r="H400" s="71" t="s">
        <v>13</v>
      </c>
      <c r="I400" s="78">
        <v>290.45999999999998</v>
      </c>
      <c r="J400" s="78"/>
      <c r="K400" s="74" t="s">
        <v>8</v>
      </c>
      <c r="L400" s="75">
        <v>2627809.15</v>
      </c>
    </row>
    <row r="401" spans="1:12" ht="61.2" x14ac:dyDescent="0.3">
      <c r="A401" s="69" t="s">
        <v>301</v>
      </c>
      <c r="B401" s="70" t="s">
        <v>758</v>
      </c>
      <c r="C401" s="70" t="s">
        <v>518</v>
      </c>
      <c r="D401" s="70" t="s">
        <v>772</v>
      </c>
      <c r="E401" s="71" t="s">
        <v>165</v>
      </c>
      <c r="F401" s="72" t="s">
        <v>30</v>
      </c>
      <c r="G401" s="72"/>
      <c r="H401" s="71" t="s">
        <v>13</v>
      </c>
      <c r="I401" s="73">
        <v>5093.1400000000003</v>
      </c>
      <c r="J401" s="73"/>
      <c r="K401" s="74" t="s">
        <v>8</v>
      </c>
      <c r="L401" s="75">
        <v>2622716.0099999998</v>
      </c>
    </row>
    <row r="402" spans="1:12" ht="81.599999999999994" x14ac:dyDescent="0.3">
      <c r="A402" s="69" t="s">
        <v>301</v>
      </c>
      <c r="B402" s="70" t="s">
        <v>758</v>
      </c>
      <c r="C402" s="70" t="s">
        <v>518</v>
      </c>
      <c r="D402" s="70" t="s">
        <v>773</v>
      </c>
      <c r="E402" s="71" t="s">
        <v>165</v>
      </c>
      <c r="F402" s="72" t="s">
        <v>30</v>
      </c>
      <c r="G402" s="72"/>
      <c r="H402" s="71" t="s">
        <v>13</v>
      </c>
      <c r="I402" s="73">
        <v>101602.48</v>
      </c>
      <c r="J402" s="73"/>
      <c r="K402" s="74" t="s">
        <v>8</v>
      </c>
      <c r="L402" s="75">
        <v>2521113.5299999998</v>
      </c>
    </row>
    <row r="403" spans="1:12" ht="81.599999999999994" x14ac:dyDescent="0.3">
      <c r="A403" s="69" t="s">
        <v>301</v>
      </c>
      <c r="B403" s="70" t="s">
        <v>758</v>
      </c>
      <c r="C403" s="70" t="s">
        <v>518</v>
      </c>
      <c r="D403" s="70" t="s">
        <v>774</v>
      </c>
      <c r="E403" s="71" t="s">
        <v>165</v>
      </c>
      <c r="F403" s="72" t="s">
        <v>30</v>
      </c>
      <c r="G403" s="72"/>
      <c r="H403" s="71" t="s">
        <v>13</v>
      </c>
      <c r="I403" s="73">
        <v>7476.39</v>
      </c>
      <c r="J403" s="73"/>
      <c r="K403" s="74" t="s">
        <v>8</v>
      </c>
      <c r="L403" s="75">
        <v>2513637.14</v>
      </c>
    </row>
    <row r="404" spans="1:12" ht="71.400000000000006" x14ac:dyDescent="0.3">
      <c r="A404" s="69" t="s">
        <v>301</v>
      </c>
      <c r="B404" s="70" t="s">
        <v>758</v>
      </c>
      <c r="C404" s="70" t="s">
        <v>518</v>
      </c>
      <c r="D404" s="70" t="s">
        <v>768</v>
      </c>
      <c r="E404" s="71" t="s">
        <v>165</v>
      </c>
      <c r="F404" s="72" t="s">
        <v>30</v>
      </c>
      <c r="G404" s="72"/>
      <c r="H404" s="71" t="s">
        <v>13</v>
      </c>
      <c r="I404" s="73">
        <v>1653</v>
      </c>
      <c r="J404" s="73"/>
      <c r="K404" s="74" t="s">
        <v>8</v>
      </c>
      <c r="L404" s="75">
        <v>2511984.14</v>
      </c>
    </row>
    <row r="405" spans="1:12" ht="61.2" x14ac:dyDescent="0.3">
      <c r="A405" s="69" t="s">
        <v>301</v>
      </c>
      <c r="B405" s="70" t="s">
        <v>758</v>
      </c>
      <c r="C405" s="70" t="s">
        <v>518</v>
      </c>
      <c r="D405" s="70" t="s">
        <v>775</v>
      </c>
      <c r="E405" s="71" t="s">
        <v>165</v>
      </c>
      <c r="F405" s="72" t="s">
        <v>30</v>
      </c>
      <c r="G405" s="72"/>
      <c r="H405" s="71" t="s">
        <v>13</v>
      </c>
      <c r="I405" s="78">
        <v>514.79999999999995</v>
      </c>
      <c r="J405" s="78"/>
      <c r="K405" s="74" t="s">
        <v>8</v>
      </c>
      <c r="L405" s="75">
        <v>2511469.34</v>
      </c>
    </row>
    <row r="406" spans="1:12" ht="91.8" hidden="1" x14ac:dyDescent="0.3">
      <c r="A406" s="69" t="s">
        <v>776</v>
      </c>
      <c r="B406" s="70" t="s">
        <v>777</v>
      </c>
      <c r="C406" s="70" t="s">
        <v>778</v>
      </c>
      <c r="D406" s="70" t="s">
        <v>581</v>
      </c>
      <c r="E406" s="71" t="s">
        <v>13</v>
      </c>
      <c r="F406" s="76">
        <v>75774.649999999994</v>
      </c>
      <c r="G406" s="76"/>
      <c r="H406" s="71" t="s">
        <v>457</v>
      </c>
      <c r="I406" s="77" t="s">
        <v>30</v>
      </c>
      <c r="J406" s="77"/>
      <c r="K406" s="74" t="s">
        <v>8</v>
      </c>
      <c r="L406" s="75">
        <v>3307217.54</v>
      </c>
    </row>
    <row r="407" spans="1:12" ht="91.8" hidden="1" x14ac:dyDescent="0.3">
      <c r="A407" s="69" t="s">
        <v>776</v>
      </c>
      <c r="B407" s="70" t="s">
        <v>777</v>
      </c>
      <c r="C407" s="70" t="s">
        <v>779</v>
      </c>
      <c r="D407" s="70" t="s">
        <v>581</v>
      </c>
      <c r="E407" s="71" t="s">
        <v>13</v>
      </c>
      <c r="F407" s="76">
        <v>38973.5</v>
      </c>
      <c r="G407" s="76"/>
      <c r="H407" s="71" t="s">
        <v>457</v>
      </c>
      <c r="I407" s="77" t="s">
        <v>30</v>
      </c>
      <c r="J407" s="77"/>
      <c r="K407" s="74" t="s">
        <v>8</v>
      </c>
      <c r="L407" s="75">
        <v>3346191.04</v>
      </c>
    </row>
    <row r="408" spans="1:12" ht="91.8" hidden="1" x14ac:dyDescent="0.3">
      <c r="A408" s="69" t="s">
        <v>776</v>
      </c>
      <c r="B408" s="70" t="s">
        <v>777</v>
      </c>
      <c r="C408" s="70" t="s">
        <v>780</v>
      </c>
      <c r="D408" s="70" t="s">
        <v>581</v>
      </c>
      <c r="E408" s="71" t="s">
        <v>13</v>
      </c>
      <c r="F408" s="76">
        <v>265213</v>
      </c>
      <c r="G408" s="76"/>
      <c r="H408" s="71" t="s">
        <v>457</v>
      </c>
      <c r="I408" s="77" t="s">
        <v>30</v>
      </c>
      <c r="J408" s="77"/>
      <c r="K408" s="74" t="s">
        <v>8</v>
      </c>
      <c r="L408" s="75">
        <v>3611404.04</v>
      </c>
    </row>
    <row r="409" spans="1:12" ht="91.8" hidden="1" x14ac:dyDescent="0.3">
      <c r="A409" s="69" t="s">
        <v>776</v>
      </c>
      <c r="B409" s="70" t="s">
        <v>777</v>
      </c>
      <c r="C409" s="70" t="s">
        <v>781</v>
      </c>
      <c r="D409" s="70" t="s">
        <v>581</v>
      </c>
      <c r="E409" s="71" t="s">
        <v>13</v>
      </c>
      <c r="F409" s="76">
        <v>5671.8</v>
      </c>
      <c r="G409" s="76"/>
      <c r="H409" s="71" t="s">
        <v>457</v>
      </c>
      <c r="I409" s="77" t="s">
        <v>30</v>
      </c>
      <c r="J409" s="77"/>
      <c r="K409" s="74" t="s">
        <v>8</v>
      </c>
      <c r="L409" s="75">
        <v>3617075.84</v>
      </c>
    </row>
    <row r="410" spans="1:12" ht="91.8" hidden="1" x14ac:dyDescent="0.3">
      <c r="A410" s="69" t="s">
        <v>776</v>
      </c>
      <c r="B410" s="70" t="s">
        <v>782</v>
      </c>
      <c r="C410" s="70" t="s">
        <v>783</v>
      </c>
      <c r="D410" s="70" t="s">
        <v>784</v>
      </c>
      <c r="E410" s="71" t="s">
        <v>13</v>
      </c>
      <c r="F410" s="76">
        <v>7840</v>
      </c>
      <c r="G410" s="76"/>
      <c r="H410" s="71" t="s">
        <v>457</v>
      </c>
      <c r="I410" s="77" t="s">
        <v>30</v>
      </c>
      <c r="J410" s="77"/>
      <c r="K410" s="74" t="s">
        <v>8</v>
      </c>
      <c r="L410" s="75">
        <v>3624915.84</v>
      </c>
    </row>
    <row r="411" spans="1:12" ht="81.599999999999994" hidden="1" x14ac:dyDescent="0.3">
      <c r="A411" s="69" t="s">
        <v>776</v>
      </c>
      <c r="B411" s="70" t="s">
        <v>782</v>
      </c>
      <c r="C411" s="70" t="s">
        <v>785</v>
      </c>
      <c r="D411" s="70" t="s">
        <v>784</v>
      </c>
      <c r="E411" s="71" t="s">
        <v>13</v>
      </c>
      <c r="F411" s="76">
        <v>2130</v>
      </c>
      <c r="G411" s="76"/>
      <c r="H411" s="71" t="s">
        <v>457</v>
      </c>
      <c r="I411" s="77" t="s">
        <v>30</v>
      </c>
      <c r="J411" s="77"/>
      <c r="K411" s="74" t="s">
        <v>8</v>
      </c>
      <c r="L411" s="75">
        <v>3627045.84</v>
      </c>
    </row>
    <row r="412" spans="1:12" ht="91.8" x14ac:dyDescent="0.3">
      <c r="A412" s="69" t="s">
        <v>776</v>
      </c>
      <c r="B412" s="70" t="s">
        <v>786</v>
      </c>
      <c r="C412" s="70" t="s">
        <v>27</v>
      </c>
      <c r="D412" s="70" t="s">
        <v>580</v>
      </c>
      <c r="E412" s="71" t="s">
        <v>29</v>
      </c>
      <c r="F412" s="72" t="s">
        <v>30</v>
      </c>
      <c r="G412" s="72"/>
      <c r="H412" s="71" t="s">
        <v>13</v>
      </c>
      <c r="I412" s="73">
        <v>29678.05</v>
      </c>
      <c r="J412" s="73"/>
      <c r="K412" s="74" t="s">
        <v>8</v>
      </c>
      <c r="L412" s="75">
        <v>3597367.79</v>
      </c>
    </row>
    <row r="413" spans="1:12" ht="91.8" x14ac:dyDescent="0.3">
      <c r="A413" s="69" t="s">
        <v>776</v>
      </c>
      <c r="B413" s="70" t="s">
        <v>786</v>
      </c>
      <c r="C413" s="70" t="s">
        <v>27</v>
      </c>
      <c r="D413" s="70" t="s">
        <v>582</v>
      </c>
      <c r="E413" s="71" t="s">
        <v>29</v>
      </c>
      <c r="F413" s="72" t="s">
        <v>30</v>
      </c>
      <c r="G413" s="72"/>
      <c r="H413" s="71" t="s">
        <v>13</v>
      </c>
      <c r="I413" s="73">
        <v>302040.59999999998</v>
      </c>
      <c r="J413" s="73"/>
      <c r="K413" s="74" t="s">
        <v>8</v>
      </c>
      <c r="L413" s="75">
        <v>3295327.19</v>
      </c>
    </row>
    <row r="414" spans="1:12" ht="91.8" x14ac:dyDescent="0.3">
      <c r="A414" s="69" t="s">
        <v>776</v>
      </c>
      <c r="B414" s="70" t="s">
        <v>786</v>
      </c>
      <c r="C414" s="70" t="s">
        <v>27</v>
      </c>
      <c r="D414" s="70" t="s">
        <v>583</v>
      </c>
      <c r="E414" s="71" t="s">
        <v>29</v>
      </c>
      <c r="F414" s="72" t="s">
        <v>30</v>
      </c>
      <c r="G414" s="72"/>
      <c r="H414" s="71" t="s">
        <v>13</v>
      </c>
      <c r="I414" s="73">
        <v>94718.6</v>
      </c>
      <c r="J414" s="73"/>
      <c r="K414" s="74" t="s">
        <v>8</v>
      </c>
      <c r="L414" s="75">
        <v>3200608.59</v>
      </c>
    </row>
    <row r="415" spans="1:12" ht="91.8" x14ac:dyDescent="0.3">
      <c r="A415" s="69" t="s">
        <v>776</v>
      </c>
      <c r="B415" s="70" t="s">
        <v>786</v>
      </c>
      <c r="C415" s="70" t="s">
        <v>27</v>
      </c>
      <c r="D415" s="70" t="s">
        <v>584</v>
      </c>
      <c r="E415" s="71" t="s">
        <v>29</v>
      </c>
      <c r="F415" s="72" t="s">
        <v>30</v>
      </c>
      <c r="G415" s="72"/>
      <c r="H415" s="71" t="s">
        <v>13</v>
      </c>
      <c r="I415" s="73">
        <v>13570</v>
      </c>
      <c r="J415" s="73"/>
      <c r="K415" s="74" t="s">
        <v>8</v>
      </c>
      <c r="L415" s="75">
        <v>3187038.59</v>
      </c>
    </row>
    <row r="416" spans="1:12" ht="91.8" x14ac:dyDescent="0.3">
      <c r="A416" s="69" t="s">
        <v>776</v>
      </c>
      <c r="B416" s="70" t="s">
        <v>786</v>
      </c>
      <c r="C416" s="70" t="s">
        <v>27</v>
      </c>
      <c r="D416" s="70" t="s">
        <v>585</v>
      </c>
      <c r="E416" s="71" t="s">
        <v>29</v>
      </c>
      <c r="F416" s="72" t="s">
        <v>30</v>
      </c>
      <c r="G416" s="72"/>
      <c r="H416" s="71" t="s">
        <v>13</v>
      </c>
      <c r="I416" s="73">
        <v>19907.650000000001</v>
      </c>
      <c r="J416" s="73"/>
      <c r="K416" s="74" t="s">
        <v>8</v>
      </c>
      <c r="L416" s="75">
        <v>3167130.94</v>
      </c>
    </row>
    <row r="417" spans="1:12" ht="91.8" x14ac:dyDescent="0.3">
      <c r="A417" s="69" t="s">
        <v>776</v>
      </c>
      <c r="B417" s="70" t="s">
        <v>786</v>
      </c>
      <c r="C417" s="70" t="s">
        <v>27</v>
      </c>
      <c r="D417" s="70" t="s">
        <v>586</v>
      </c>
      <c r="E417" s="71" t="s">
        <v>29</v>
      </c>
      <c r="F417" s="72" t="s">
        <v>30</v>
      </c>
      <c r="G417" s="72"/>
      <c r="H417" s="71" t="s">
        <v>13</v>
      </c>
      <c r="I417" s="73">
        <v>6377.9</v>
      </c>
      <c r="J417" s="73"/>
      <c r="K417" s="74" t="s">
        <v>8</v>
      </c>
      <c r="L417" s="75">
        <v>3160753.04</v>
      </c>
    </row>
    <row r="418" spans="1:12" ht="91.8" x14ac:dyDescent="0.3">
      <c r="A418" s="69" t="s">
        <v>776</v>
      </c>
      <c r="B418" s="70" t="s">
        <v>786</v>
      </c>
      <c r="C418" s="70" t="s">
        <v>27</v>
      </c>
      <c r="D418" s="70" t="s">
        <v>587</v>
      </c>
      <c r="E418" s="71" t="s">
        <v>29</v>
      </c>
      <c r="F418" s="72" t="s">
        <v>30</v>
      </c>
      <c r="G418" s="72"/>
      <c r="H418" s="71" t="s">
        <v>13</v>
      </c>
      <c r="I418" s="73">
        <v>131086.20000000001</v>
      </c>
      <c r="J418" s="73"/>
      <c r="K418" s="74" t="s">
        <v>8</v>
      </c>
      <c r="L418" s="75">
        <v>3029666.84</v>
      </c>
    </row>
    <row r="419" spans="1:12" ht="91.8" x14ac:dyDescent="0.3">
      <c r="A419" s="69" t="s">
        <v>776</v>
      </c>
      <c r="B419" s="70" t="s">
        <v>786</v>
      </c>
      <c r="C419" s="70" t="s">
        <v>27</v>
      </c>
      <c r="D419" s="70" t="s">
        <v>588</v>
      </c>
      <c r="E419" s="71" t="s">
        <v>29</v>
      </c>
      <c r="F419" s="72" t="s">
        <v>30</v>
      </c>
      <c r="G419" s="72"/>
      <c r="H419" s="71" t="s">
        <v>13</v>
      </c>
      <c r="I419" s="73">
        <v>12172.75</v>
      </c>
      <c r="J419" s="73"/>
      <c r="K419" s="74" t="s">
        <v>8</v>
      </c>
      <c r="L419" s="75">
        <v>3017494.09</v>
      </c>
    </row>
    <row r="420" spans="1:12" ht="91.8" x14ac:dyDescent="0.3">
      <c r="A420" s="69" t="s">
        <v>776</v>
      </c>
      <c r="B420" s="70" t="s">
        <v>786</v>
      </c>
      <c r="C420" s="70" t="s">
        <v>27</v>
      </c>
      <c r="D420" s="70" t="s">
        <v>589</v>
      </c>
      <c r="E420" s="71" t="s">
        <v>29</v>
      </c>
      <c r="F420" s="72" t="s">
        <v>30</v>
      </c>
      <c r="G420" s="72"/>
      <c r="H420" s="71" t="s">
        <v>13</v>
      </c>
      <c r="I420" s="73">
        <v>4044.55</v>
      </c>
      <c r="J420" s="73"/>
      <c r="K420" s="74" t="s">
        <v>8</v>
      </c>
      <c r="L420" s="75">
        <v>3013449.54</v>
      </c>
    </row>
    <row r="421" spans="1:12" ht="91.8" x14ac:dyDescent="0.3">
      <c r="A421" s="69" t="s">
        <v>776</v>
      </c>
      <c r="B421" s="70" t="s">
        <v>786</v>
      </c>
      <c r="C421" s="70" t="s">
        <v>27</v>
      </c>
      <c r="D421" s="70" t="s">
        <v>590</v>
      </c>
      <c r="E421" s="71" t="s">
        <v>29</v>
      </c>
      <c r="F421" s="72" t="s">
        <v>30</v>
      </c>
      <c r="G421" s="72"/>
      <c r="H421" s="71" t="s">
        <v>13</v>
      </c>
      <c r="I421" s="73">
        <v>7545.15</v>
      </c>
      <c r="J421" s="73"/>
      <c r="K421" s="74" t="s">
        <v>8</v>
      </c>
      <c r="L421" s="75">
        <v>3005904.39</v>
      </c>
    </row>
    <row r="422" spans="1:12" ht="91.8" x14ac:dyDescent="0.3">
      <c r="A422" s="69" t="s">
        <v>776</v>
      </c>
      <c r="B422" s="70" t="s">
        <v>786</v>
      </c>
      <c r="C422" s="70" t="s">
        <v>27</v>
      </c>
      <c r="D422" s="70" t="s">
        <v>591</v>
      </c>
      <c r="E422" s="71" t="s">
        <v>29</v>
      </c>
      <c r="F422" s="72" t="s">
        <v>30</v>
      </c>
      <c r="G422" s="72"/>
      <c r="H422" s="71" t="s">
        <v>13</v>
      </c>
      <c r="I422" s="73">
        <v>3500.6</v>
      </c>
      <c r="J422" s="73"/>
      <c r="K422" s="74" t="s">
        <v>8</v>
      </c>
      <c r="L422" s="75">
        <v>3002403.79</v>
      </c>
    </row>
    <row r="423" spans="1:12" ht="91.8" x14ac:dyDescent="0.3">
      <c r="A423" s="69" t="s">
        <v>776</v>
      </c>
      <c r="B423" s="70" t="s">
        <v>786</v>
      </c>
      <c r="C423" s="70" t="s">
        <v>27</v>
      </c>
      <c r="D423" s="70" t="s">
        <v>592</v>
      </c>
      <c r="E423" s="71" t="s">
        <v>29</v>
      </c>
      <c r="F423" s="72" t="s">
        <v>30</v>
      </c>
      <c r="G423" s="72"/>
      <c r="H423" s="71" t="s">
        <v>13</v>
      </c>
      <c r="I423" s="73">
        <v>9688.75</v>
      </c>
      <c r="J423" s="73"/>
      <c r="K423" s="74" t="s">
        <v>8</v>
      </c>
      <c r="L423" s="75">
        <v>2992715.04</v>
      </c>
    </row>
    <row r="424" spans="1:12" ht="91.8" x14ac:dyDescent="0.3">
      <c r="A424" s="69" t="s">
        <v>776</v>
      </c>
      <c r="B424" s="70" t="s">
        <v>786</v>
      </c>
      <c r="C424" s="70" t="s">
        <v>27</v>
      </c>
      <c r="D424" s="70" t="s">
        <v>593</v>
      </c>
      <c r="E424" s="71" t="s">
        <v>29</v>
      </c>
      <c r="F424" s="72" t="s">
        <v>30</v>
      </c>
      <c r="G424" s="72"/>
      <c r="H424" s="71" t="s">
        <v>13</v>
      </c>
      <c r="I424" s="73">
        <v>46612.95</v>
      </c>
      <c r="J424" s="73"/>
      <c r="K424" s="74" t="s">
        <v>8</v>
      </c>
      <c r="L424" s="75">
        <v>2946102.09</v>
      </c>
    </row>
    <row r="425" spans="1:12" ht="91.8" x14ac:dyDescent="0.3">
      <c r="A425" s="69" t="s">
        <v>776</v>
      </c>
      <c r="B425" s="70" t="s">
        <v>786</v>
      </c>
      <c r="C425" s="70" t="s">
        <v>27</v>
      </c>
      <c r="D425" s="70" t="s">
        <v>594</v>
      </c>
      <c r="E425" s="71" t="s">
        <v>29</v>
      </c>
      <c r="F425" s="72" t="s">
        <v>30</v>
      </c>
      <c r="G425" s="72"/>
      <c r="H425" s="71" t="s">
        <v>13</v>
      </c>
      <c r="I425" s="73">
        <v>3039.45</v>
      </c>
      <c r="J425" s="73"/>
      <c r="K425" s="74" t="s">
        <v>8</v>
      </c>
      <c r="L425" s="75">
        <v>2943062.64</v>
      </c>
    </row>
    <row r="426" spans="1:12" ht="81.599999999999994" x14ac:dyDescent="0.3">
      <c r="A426" s="69" t="s">
        <v>776</v>
      </c>
      <c r="B426" s="70" t="s">
        <v>787</v>
      </c>
      <c r="C426" s="70" t="s">
        <v>27</v>
      </c>
      <c r="D426" s="70" t="s">
        <v>565</v>
      </c>
      <c r="E426" s="71" t="s">
        <v>29</v>
      </c>
      <c r="F426" s="72" t="s">
        <v>30</v>
      </c>
      <c r="G426" s="72"/>
      <c r="H426" s="71" t="s">
        <v>13</v>
      </c>
      <c r="I426" s="73">
        <v>42900</v>
      </c>
      <c r="J426" s="73"/>
      <c r="K426" s="74" t="s">
        <v>8</v>
      </c>
      <c r="L426" s="75">
        <v>2900162.64</v>
      </c>
    </row>
    <row r="427" spans="1:12" ht="81.599999999999994" x14ac:dyDescent="0.3">
      <c r="A427" s="69" t="s">
        <v>776</v>
      </c>
      <c r="B427" s="70" t="s">
        <v>787</v>
      </c>
      <c r="C427" s="70" t="s">
        <v>27</v>
      </c>
      <c r="D427" s="70" t="s">
        <v>656</v>
      </c>
      <c r="E427" s="71" t="s">
        <v>29</v>
      </c>
      <c r="F427" s="72" t="s">
        <v>30</v>
      </c>
      <c r="G427" s="72"/>
      <c r="H427" s="71" t="s">
        <v>13</v>
      </c>
      <c r="I427" s="73">
        <v>4437.47</v>
      </c>
      <c r="J427" s="73"/>
      <c r="K427" s="74" t="s">
        <v>8</v>
      </c>
      <c r="L427" s="75">
        <v>2895725.17</v>
      </c>
    </row>
    <row r="428" spans="1:12" ht="81.599999999999994" x14ac:dyDescent="0.3">
      <c r="A428" s="69" t="s">
        <v>776</v>
      </c>
      <c r="B428" s="70" t="s">
        <v>787</v>
      </c>
      <c r="C428" s="70" t="s">
        <v>27</v>
      </c>
      <c r="D428" s="70" t="s">
        <v>568</v>
      </c>
      <c r="E428" s="71" t="s">
        <v>29</v>
      </c>
      <c r="F428" s="72" t="s">
        <v>30</v>
      </c>
      <c r="G428" s="72"/>
      <c r="H428" s="71" t="s">
        <v>13</v>
      </c>
      <c r="I428" s="73">
        <v>31802.53</v>
      </c>
      <c r="J428" s="73"/>
      <c r="K428" s="74" t="s">
        <v>8</v>
      </c>
      <c r="L428" s="75">
        <v>2863922.64</v>
      </c>
    </row>
    <row r="429" spans="1:12" ht="81.599999999999994" x14ac:dyDescent="0.3">
      <c r="A429" s="69" t="s">
        <v>776</v>
      </c>
      <c r="B429" s="70" t="s">
        <v>787</v>
      </c>
      <c r="C429" s="70" t="s">
        <v>27</v>
      </c>
      <c r="D429" s="70" t="s">
        <v>657</v>
      </c>
      <c r="E429" s="71" t="s">
        <v>29</v>
      </c>
      <c r="F429" s="72" t="s">
        <v>30</v>
      </c>
      <c r="G429" s="72"/>
      <c r="H429" s="71" t="s">
        <v>13</v>
      </c>
      <c r="I429" s="78">
        <v>631.54</v>
      </c>
      <c r="J429" s="78"/>
      <c r="K429" s="74" t="s">
        <v>8</v>
      </c>
      <c r="L429" s="75">
        <v>2863291.1</v>
      </c>
    </row>
    <row r="430" spans="1:12" ht="81.599999999999994" x14ac:dyDescent="0.3">
      <c r="A430" s="69" t="s">
        <v>776</v>
      </c>
      <c r="B430" s="70" t="s">
        <v>787</v>
      </c>
      <c r="C430" s="70" t="s">
        <v>27</v>
      </c>
      <c r="D430" s="70" t="s">
        <v>569</v>
      </c>
      <c r="E430" s="71" t="s">
        <v>29</v>
      </c>
      <c r="F430" s="72" t="s">
        <v>30</v>
      </c>
      <c r="G430" s="72"/>
      <c r="H430" s="71" t="s">
        <v>13</v>
      </c>
      <c r="I430" s="73">
        <v>1784.46</v>
      </c>
      <c r="J430" s="73"/>
      <c r="K430" s="74" t="s">
        <v>8</v>
      </c>
      <c r="L430" s="75">
        <v>2861506.64</v>
      </c>
    </row>
    <row r="431" spans="1:12" ht="71.400000000000006" x14ac:dyDescent="0.3">
      <c r="A431" s="69" t="s">
        <v>776</v>
      </c>
      <c r="B431" s="70" t="s">
        <v>787</v>
      </c>
      <c r="C431" s="70" t="s">
        <v>27</v>
      </c>
      <c r="D431" s="70" t="s">
        <v>570</v>
      </c>
      <c r="E431" s="71" t="s">
        <v>29</v>
      </c>
      <c r="F431" s="72" t="s">
        <v>30</v>
      </c>
      <c r="G431" s="72"/>
      <c r="H431" s="71" t="s">
        <v>13</v>
      </c>
      <c r="I431" s="73">
        <v>11310</v>
      </c>
      <c r="J431" s="73"/>
      <c r="K431" s="74" t="s">
        <v>8</v>
      </c>
      <c r="L431" s="75">
        <v>2850196.64</v>
      </c>
    </row>
    <row r="432" spans="1:12" ht="91.8" hidden="1" x14ac:dyDescent="0.3">
      <c r="A432" s="69" t="s">
        <v>776</v>
      </c>
      <c r="B432" s="70" t="s">
        <v>788</v>
      </c>
      <c r="C432" s="70" t="s">
        <v>789</v>
      </c>
      <c r="D432" s="70" t="s">
        <v>790</v>
      </c>
      <c r="E432" s="71" t="s">
        <v>13</v>
      </c>
      <c r="F432" s="76">
        <v>114210.6</v>
      </c>
      <c r="G432" s="76"/>
      <c r="H432" s="71" t="s">
        <v>457</v>
      </c>
      <c r="I432" s="77" t="s">
        <v>30</v>
      </c>
      <c r="J432" s="77"/>
      <c r="K432" s="74" t="s">
        <v>8</v>
      </c>
      <c r="L432" s="75">
        <v>2964407.24</v>
      </c>
    </row>
    <row r="433" spans="1:12" ht="91.8" hidden="1" x14ac:dyDescent="0.3">
      <c r="A433" s="69" t="s">
        <v>776</v>
      </c>
      <c r="B433" s="70" t="s">
        <v>788</v>
      </c>
      <c r="C433" s="70" t="s">
        <v>791</v>
      </c>
      <c r="D433" s="70" t="s">
        <v>790</v>
      </c>
      <c r="E433" s="71" t="s">
        <v>13</v>
      </c>
      <c r="F433" s="76">
        <v>42409.89</v>
      </c>
      <c r="G433" s="76"/>
      <c r="H433" s="71" t="s">
        <v>457</v>
      </c>
      <c r="I433" s="77" t="s">
        <v>30</v>
      </c>
      <c r="J433" s="77"/>
      <c r="K433" s="74" t="s">
        <v>8</v>
      </c>
      <c r="L433" s="75">
        <v>3006817.13</v>
      </c>
    </row>
    <row r="434" spans="1:12" ht="91.8" hidden="1" x14ac:dyDescent="0.3">
      <c r="A434" s="69" t="s">
        <v>776</v>
      </c>
      <c r="B434" s="70" t="s">
        <v>792</v>
      </c>
      <c r="C434" s="70" t="s">
        <v>793</v>
      </c>
      <c r="D434" s="70" t="s">
        <v>794</v>
      </c>
      <c r="E434" s="71" t="s">
        <v>13</v>
      </c>
      <c r="F434" s="76">
        <v>559932</v>
      </c>
      <c r="G434" s="76"/>
      <c r="H434" s="71" t="s">
        <v>457</v>
      </c>
      <c r="I434" s="77" t="s">
        <v>30</v>
      </c>
      <c r="J434" s="77"/>
      <c r="K434" s="74" t="s">
        <v>8</v>
      </c>
      <c r="L434" s="75">
        <v>3566749.13</v>
      </c>
    </row>
    <row r="435" spans="1:12" ht="91.8" hidden="1" x14ac:dyDescent="0.3">
      <c r="A435" s="69" t="s">
        <v>776</v>
      </c>
      <c r="B435" s="70" t="s">
        <v>792</v>
      </c>
      <c r="C435" s="70" t="s">
        <v>795</v>
      </c>
      <c r="D435" s="70" t="s">
        <v>794</v>
      </c>
      <c r="E435" s="71" t="s">
        <v>13</v>
      </c>
      <c r="F435" s="76">
        <v>4712</v>
      </c>
      <c r="G435" s="76"/>
      <c r="H435" s="71" t="s">
        <v>457</v>
      </c>
      <c r="I435" s="77" t="s">
        <v>30</v>
      </c>
      <c r="J435" s="77"/>
      <c r="K435" s="74" t="s">
        <v>8</v>
      </c>
      <c r="L435" s="75">
        <v>3571461.13</v>
      </c>
    </row>
    <row r="436" spans="1:12" ht="91.8" hidden="1" x14ac:dyDescent="0.3">
      <c r="A436" s="69" t="s">
        <v>776</v>
      </c>
      <c r="B436" s="70" t="s">
        <v>792</v>
      </c>
      <c r="C436" s="70" t="s">
        <v>796</v>
      </c>
      <c r="D436" s="70" t="s">
        <v>794</v>
      </c>
      <c r="E436" s="71" t="s">
        <v>13</v>
      </c>
      <c r="F436" s="76">
        <v>2335608</v>
      </c>
      <c r="G436" s="76"/>
      <c r="H436" s="71" t="s">
        <v>457</v>
      </c>
      <c r="I436" s="77" t="s">
        <v>30</v>
      </c>
      <c r="J436" s="77"/>
      <c r="K436" s="74" t="s">
        <v>8</v>
      </c>
      <c r="L436" s="75">
        <v>5907069.1299999999</v>
      </c>
    </row>
    <row r="437" spans="1:12" ht="71.400000000000006" hidden="1" x14ac:dyDescent="0.3">
      <c r="A437" s="69" t="s">
        <v>776</v>
      </c>
      <c r="B437" s="70" t="s">
        <v>797</v>
      </c>
      <c r="C437" s="70" t="s">
        <v>798</v>
      </c>
      <c r="D437" s="70" t="s">
        <v>733</v>
      </c>
      <c r="E437" s="71" t="s">
        <v>13</v>
      </c>
      <c r="F437" s="76">
        <v>194480.02</v>
      </c>
      <c r="G437" s="76"/>
      <c r="H437" s="71" t="s">
        <v>457</v>
      </c>
      <c r="I437" s="77" t="s">
        <v>30</v>
      </c>
      <c r="J437" s="77"/>
      <c r="K437" s="74" t="s">
        <v>8</v>
      </c>
      <c r="L437" s="75">
        <v>1589360.36</v>
      </c>
    </row>
    <row r="438" spans="1:12" ht="61.2" hidden="1" x14ac:dyDescent="0.3">
      <c r="A438" s="69" t="s">
        <v>776</v>
      </c>
      <c r="B438" s="70" t="s">
        <v>797</v>
      </c>
      <c r="C438" s="70" t="s">
        <v>799</v>
      </c>
      <c r="D438" s="70" t="s">
        <v>733</v>
      </c>
      <c r="E438" s="71" t="s">
        <v>13</v>
      </c>
      <c r="F438" s="76">
        <v>1032</v>
      </c>
      <c r="G438" s="76"/>
      <c r="H438" s="71" t="s">
        <v>457</v>
      </c>
      <c r="I438" s="77" t="s">
        <v>30</v>
      </c>
      <c r="J438" s="77"/>
      <c r="K438" s="74" t="s">
        <v>8</v>
      </c>
      <c r="L438" s="75">
        <v>1590392.36</v>
      </c>
    </row>
    <row r="439" spans="1:12" ht="61.2" hidden="1" x14ac:dyDescent="0.3">
      <c r="A439" s="69" t="s">
        <v>776</v>
      </c>
      <c r="B439" s="70" t="s">
        <v>797</v>
      </c>
      <c r="C439" s="70" t="s">
        <v>800</v>
      </c>
      <c r="D439" s="70" t="s">
        <v>733</v>
      </c>
      <c r="E439" s="71" t="s">
        <v>13</v>
      </c>
      <c r="F439" s="79">
        <v>430</v>
      </c>
      <c r="G439" s="79"/>
      <c r="H439" s="71" t="s">
        <v>457</v>
      </c>
      <c r="I439" s="77" t="s">
        <v>30</v>
      </c>
      <c r="J439" s="77"/>
      <c r="K439" s="74" t="s">
        <v>8</v>
      </c>
      <c r="L439" s="75">
        <v>1590822.36</v>
      </c>
    </row>
    <row r="440" spans="1:12" ht="71.400000000000006" hidden="1" x14ac:dyDescent="0.3">
      <c r="A440" s="69" t="s">
        <v>776</v>
      </c>
      <c r="B440" s="70" t="s">
        <v>797</v>
      </c>
      <c r="C440" s="70" t="s">
        <v>801</v>
      </c>
      <c r="D440" s="70" t="s">
        <v>733</v>
      </c>
      <c r="E440" s="71" t="s">
        <v>13</v>
      </c>
      <c r="F440" s="76">
        <v>2706.71</v>
      </c>
      <c r="G440" s="76"/>
      <c r="H440" s="71" t="s">
        <v>457</v>
      </c>
      <c r="I440" s="77" t="s">
        <v>30</v>
      </c>
      <c r="J440" s="77"/>
      <c r="K440" s="74" t="s">
        <v>8</v>
      </c>
      <c r="L440" s="75">
        <v>1593529.07</v>
      </c>
    </row>
    <row r="441" spans="1:12" ht="71.400000000000006" hidden="1" x14ac:dyDescent="0.3">
      <c r="A441" s="69" t="s">
        <v>776</v>
      </c>
      <c r="B441" s="70" t="s">
        <v>797</v>
      </c>
      <c r="C441" s="70" t="s">
        <v>802</v>
      </c>
      <c r="D441" s="70" t="s">
        <v>733</v>
      </c>
      <c r="E441" s="71" t="s">
        <v>13</v>
      </c>
      <c r="F441" s="76">
        <v>22120</v>
      </c>
      <c r="G441" s="76"/>
      <c r="H441" s="71" t="s">
        <v>457</v>
      </c>
      <c r="I441" s="77" t="s">
        <v>30</v>
      </c>
      <c r="J441" s="77"/>
      <c r="K441" s="74" t="s">
        <v>8</v>
      </c>
      <c r="L441" s="75">
        <v>1615649.07</v>
      </c>
    </row>
    <row r="442" spans="1:12" ht="71.400000000000006" hidden="1" x14ac:dyDescent="0.3">
      <c r="A442" s="69" t="s">
        <v>776</v>
      </c>
      <c r="B442" s="70" t="s">
        <v>797</v>
      </c>
      <c r="C442" s="70" t="s">
        <v>803</v>
      </c>
      <c r="D442" s="70" t="s">
        <v>733</v>
      </c>
      <c r="E442" s="71" t="s">
        <v>13</v>
      </c>
      <c r="F442" s="76">
        <v>5335.83</v>
      </c>
      <c r="G442" s="76"/>
      <c r="H442" s="71" t="s">
        <v>457</v>
      </c>
      <c r="I442" s="77" t="s">
        <v>30</v>
      </c>
      <c r="J442" s="77"/>
      <c r="K442" s="74" t="s">
        <v>8</v>
      </c>
      <c r="L442" s="75">
        <v>1620984.9</v>
      </c>
    </row>
    <row r="443" spans="1:12" ht="61.2" hidden="1" x14ac:dyDescent="0.3">
      <c r="A443" s="69" t="s">
        <v>776</v>
      </c>
      <c r="B443" s="70" t="s">
        <v>797</v>
      </c>
      <c r="C443" s="70" t="s">
        <v>804</v>
      </c>
      <c r="D443" s="70" t="s">
        <v>733</v>
      </c>
      <c r="E443" s="71" t="s">
        <v>13</v>
      </c>
      <c r="F443" s="76">
        <v>26880</v>
      </c>
      <c r="G443" s="76"/>
      <c r="H443" s="71" t="s">
        <v>457</v>
      </c>
      <c r="I443" s="77" t="s">
        <v>30</v>
      </c>
      <c r="J443" s="77"/>
      <c r="K443" s="74" t="s">
        <v>8</v>
      </c>
      <c r="L443" s="75">
        <v>1647864.9</v>
      </c>
    </row>
    <row r="444" spans="1:12" ht="61.2" hidden="1" x14ac:dyDescent="0.3">
      <c r="A444" s="69" t="s">
        <v>776</v>
      </c>
      <c r="B444" s="70" t="s">
        <v>797</v>
      </c>
      <c r="C444" s="70" t="s">
        <v>804</v>
      </c>
      <c r="D444" s="70" t="s">
        <v>733</v>
      </c>
      <c r="E444" s="71" t="s">
        <v>13</v>
      </c>
      <c r="F444" s="76">
        <v>7460</v>
      </c>
      <c r="G444" s="76"/>
      <c r="H444" s="71" t="s">
        <v>457</v>
      </c>
      <c r="I444" s="77" t="s">
        <v>30</v>
      </c>
      <c r="J444" s="77"/>
      <c r="K444" s="74" t="s">
        <v>8</v>
      </c>
      <c r="L444" s="75">
        <v>1655324.9</v>
      </c>
    </row>
    <row r="445" spans="1:12" ht="61.2" hidden="1" x14ac:dyDescent="0.3">
      <c r="A445" s="69" t="s">
        <v>776</v>
      </c>
      <c r="B445" s="70" t="s">
        <v>797</v>
      </c>
      <c r="C445" s="70" t="s">
        <v>805</v>
      </c>
      <c r="D445" s="70" t="s">
        <v>733</v>
      </c>
      <c r="E445" s="71" t="s">
        <v>13</v>
      </c>
      <c r="F445" s="76">
        <v>48018.75</v>
      </c>
      <c r="G445" s="76"/>
      <c r="H445" s="71" t="s">
        <v>457</v>
      </c>
      <c r="I445" s="77" t="s">
        <v>30</v>
      </c>
      <c r="J445" s="77"/>
      <c r="K445" s="74" t="s">
        <v>8</v>
      </c>
      <c r="L445" s="75">
        <v>1703343.65</v>
      </c>
    </row>
    <row r="446" spans="1:12" ht="61.2" hidden="1" x14ac:dyDescent="0.3">
      <c r="A446" s="69" t="s">
        <v>776</v>
      </c>
      <c r="B446" s="70" t="s">
        <v>797</v>
      </c>
      <c r="C446" s="70" t="s">
        <v>806</v>
      </c>
      <c r="D446" s="70" t="s">
        <v>733</v>
      </c>
      <c r="E446" s="71" t="s">
        <v>13</v>
      </c>
      <c r="F446" s="76">
        <v>8730</v>
      </c>
      <c r="G446" s="76"/>
      <c r="H446" s="71" t="s">
        <v>457</v>
      </c>
      <c r="I446" s="77" t="s">
        <v>30</v>
      </c>
      <c r="J446" s="77"/>
      <c r="K446" s="74" t="s">
        <v>8</v>
      </c>
      <c r="L446" s="75">
        <v>1712073.65</v>
      </c>
    </row>
    <row r="447" spans="1:12" ht="71.400000000000006" hidden="1" x14ac:dyDescent="0.3">
      <c r="A447" s="69" t="s">
        <v>776</v>
      </c>
      <c r="B447" s="70" t="s">
        <v>797</v>
      </c>
      <c r="C447" s="70" t="s">
        <v>807</v>
      </c>
      <c r="D447" s="70" t="s">
        <v>733</v>
      </c>
      <c r="E447" s="71" t="s">
        <v>13</v>
      </c>
      <c r="F447" s="76">
        <v>17667.09</v>
      </c>
      <c r="G447" s="76"/>
      <c r="H447" s="71" t="s">
        <v>457</v>
      </c>
      <c r="I447" s="77" t="s">
        <v>30</v>
      </c>
      <c r="J447" s="77"/>
      <c r="K447" s="74" t="s">
        <v>8</v>
      </c>
      <c r="L447" s="75">
        <v>1729740.74</v>
      </c>
    </row>
    <row r="448" spans="1:12" ht="71.400000000000006" hidden="1" x14ac:dyDescent="0.3">
      <c r="A448" s="69" t="s">
        <v>776</v>
      </c>
      <c r="B448" s="70" t="s">
        <v>797</v>
      </c>
      <c r="C448" s="70" t="s">
        <v>808</v>
      </c>
      <c r="D448" s="70" t="s">
        <v>733</v>
      </c>
      <c r="E448" s="71" t="s">
        <v>13</v>
      </c>
      <c r="F448" s="76">
        <v>92263.34</v>
      </c>
      <c r="G448" s="76"/>
      <c r="H448" s="71" t="s">
        <v>457</v>
      </c>
      <c r="I448" s="77" t="s">
        <v>30</v>
      </c>
      <c r="J448" s="77"/>
      <c r="K448" s="74" t="s">
        <v>8</v>
      </c>
      <c r="L448" s="75">
        <v>1822004.08</v>
      </c>
    </row>
    <row r="449" spans="1:12" ht="61.2" hidden="1" x14ac:dyDescent="0.3">
      <c r="A449" s="69" t="s">
        <v>776</v>
      </c>
      <c r="B449" s="70" t="s">
        <v>797</v>
      </c>
      <c r="C449" s="70" t="s">
        <v>809</v>
      </c>
      <c r="D449" s="70" t="s">
        <v>733</v>
      </c>
      <c r="E449" s="71" t="s">
        <v>13</v>
      </c>
      <c r="F449" s="76">
        <v>3820</v>
      </c>
      <c r="G449" s="76"/>
      <c r="H449" s="71" t="s">
        <v>457</v>
      </c>
      <c r="I449" s="77" t="s">
        <v>30</v>
      </c>
      <c r="J449" s="77"/>
      <c r="K449" s="74" t="s">
        <v>8</v>
      </c>
      <c r="L449" s="75">
        <v>1825824.08</v>
      </c>
    </row>
    <row r="450" spans="1:12" ht="61.2" hidden="1" x14ac:dyDescent="0.3">
      <c r="A450" s="69" t="s">
        <v>776</v>
      </c>
      <c r="B450" s="70" t="s">
        <v>797</v>
      </c>
      <c r="C450" s="70" t="s">
        <v>810</v>
      </c>
      <c r="D450" s="70" t="s">
        <v>733</v>
      </c>
      <c r="E450" s="71" t="s">
        <v>13</v>
      </c>
      <c r="F450" s="76">
        <v>30313.02</v>
      </c>
      <c r="G450" s="76"/>
      <c r="H450" s="71" t="s">
        <v>457</v>
      </c>
      <c r="I450" s="77" t="s">
        <v>30</v>
      </c>
      <c r="J450" s="77"/>
      <c r="K450" s="74" t="s">
        <v>8</v>
      </c>
      <c r="L450" s="75">
        <v>1856137.1</v>
      </c>
    </row>
    <row r="451" spans="1:12" ht="71.400000000000006" hidden="1" x14ac:dyDescent="0.3">
      <c r="A451" s="69" t="s">
        <v>776</v>
      </c>
      <c r="B451" s="70" t="s">
        <v>811</v>
      </c>
      <c r="C451" s="70" t="s">
        <v>798</v>
      </c>
      <c r="D451" s="70" t="s">
        <v>733</v>
      </c>
      <c r="E451" s="71" t="s">
        <v>13</v>
      </c>
      <c r="F451" s="76">
        <v>4778.46</v>
      </c>
      <c r="G451" s="76"/>
      <c r="H451" s="71" t="s">
        <v>457</v>
      </c>
      <c r="I451" s="77" t="s">
        <v>30</v>
      </c>
      <c r="J451" s="77"/>
      <c r="K451" s="74" t="s">
        <v>8</v>
      </c>
      <c r="L451" s="75">
        <v>1860915.56</v>
      </c>
    </row>
    <row r="452" spans="1:12" ht="61.2" hidden="1" x14ac:dyDescent="0.3">
      <c r="A452" s="69" t="s">
        <v>776</v>
      </c>
      <c r="B452" s="70" t="s">
        <v>811</v>
      </c>
      <c r="C452" s="70" t="s">
        <v>799</v>
      </c>
      <c r="D452" s="70" t="s">
        <v>733</v>
      </c>
      <c r="E452" s="71" t="s">
        <v>13</v>
      </c>
      <c r="F452" s="79">
        <v>25.36</v>
      </c>
      <c r="G452" s="79"/>
      <c r="H452" s="71" t="s">
        <v>457</v>
      </c>
      <c r="I452" s="77" t="s">
        <v>30</v>
      </c>
      <c r="J452" s="77"/>
      <c r="K452" s="74" t="s">
        <v>8</v>
      </c>
      <c r="L452" s="75">
        <v>1860940.92</v>
      </c>
    </row>
    <row r="453" spans="1:12" ht="61.2" hidden="1" x14ac:dyDescent="0.3">
      <c r="A453" s="69" t="s">
        <v>776</v>
      </c>
      <c r="B453" s="70" t="s">
        <v>811</v>
      </c>
      <c r="C453" s="70" t="s">
        <v>800</v>
      </c>
      <c r="D453" s="70" t="s">
        <v>733</v>
      </c>
      <c r="E453" s="71" t="s">
        <v>13</v>
      </c>
      <c r="F453" s="79">
        <v>10.57</v>
      </c>
      <c r="G453" s="79"/>
      <c r="H453" s="71" t="s">
        <v>457</v>
      </c>
      <c r="I453" s="77" t="s">
        <v>30</v>
      </c>
      <c r="J453" s="77"/>
      <c r="K453" s="74" t="s">
        <v>8</v>
      </c>
      <c r="L453" s="75">
        <v>1860951.49</v>
      </c>
    </row>
    <row r="454" spans="1:12" ht="71.400000000000006" hidden="1" x14ac:dyDescent="0.3">
      <c r="A454" s="69" t="s">
        <v>776</v>
      </c>
      <c r="B454" s="70" t="s">
        <v>811</v>
      </c>
      <c r="C454" s="70" t="s">
        <v>801</v>
      </c>
      <c r="D454" s="70" t="s">
        <v>733</v>
      </c>
      <c r="E454" s="71" t="s">
        <v>13</v>
      </c>
      <c r="F454" s="79">
        <v>66.510000000000005</v>
      </c>
      <c r="G454" s="79"/>
      <c r="H454" s="71" t="s">
        <v>457</v>
      </c>
      <c r="I454" s="77" t="s">
        <v>30</v>
      </c>
      <c r="J454" s="77"/>
      <c r="K454" s="74" t="s">
        <v>8</v>
      </c>
      <c r="L454" s="75">
        <v>1861018</v>
      </c>
    </row>
    <row r="455" spans="1:12" ht="71.400000000000006" hidden="1" x14ac:dyDescent="0.3">
      <c r="A455" s="69" t="s">
        <v>776</v>
      </c>
      <c r="B455" s="70" t="s">
        <v>811</v>
      </c>
      <c r="C455" s="70" t="s">
        <v>802</v>
      </c>
      <c r="D455" s="70" t="s">
        <v>733</v>
      </c>
      <c r="E455" s="71" t="s">
        <v>13</v>
      </c>
      <c r="F455" s="79">
        <v>543.5</v>
      </c>
      <c r="G455" s="79"/>
      <c r="H455" s="71" t="s">
        <v>457</v>
      </c>
      <c r="I455" s="77" t="s">
        <v>30</v>
      </c>
      <c r="J455" s="77"/>
      <c r="K455" s="74" t="s">
        <v>8</v>
      </c>
      <c r="L455" s="75">
        <v>1861561.5</v>
      </c>
    </row>
    <row r="456" spans="1:12" ht="71.400000000000006" hidden="1" x14ac:dyDescent="0.3">
      <c r="A456" s="69" t="s">
        <v>776</v>
      </c>
      <c r="B456" s="70" t="s">
        <v>811</v>
      </c>
      <c r="C456" s="70" t="s">
        <v>803</v>
      </c>
      <c r="D456" s="70" t="s">
        <v>733</v>
      </c>
      <c r="E456" s="71" t="s">
        <v>13</v>
      </c>
      <c r="F456" s="79">
        <v>131.1</v>
      </c>
      <c r="G456" s="79"/>
      <c r="H456" s="71" t="s">
        <v>457</v>
      </c>
      <c r="I456" s="77" t="s">
        <v>30</v>
      </c>
      <c r="J456" s="77"/>
      <c r="K456" s="74" t="s">
        <v>8</v>
      </c>
      <c r="L456" s="75">
        <v>1861692.6</v>
      </c>
    </row>
    <row r="457" spans="1:12" ht="61.2" hidden="1" x14ac:dyDescent="0.3">
      <c r="A457" s="69" t="s">
        <v>776</v>
      </c>
      <c r="B457" s="70" t="s">
        <v>811</v>
      </c>
      <c r="C457" s="70" t="s">
        <v>804</v>
      </c>
      <c r="D457" s="70" t="s">
        <v>733</v>
      </c>
      <c r="E457" s="71" t="s">
        <v>13</v>
      </c>
      <c r="F457" s="79">
        <v>660.46</v>
      </c>
      <c r="G457" s="79"/>
      <c r="H457" s="71" t="s">
        <v>457</v>
      </c>
      <c r="I457" s="77" t="s">
        <v>30</v>
      </c>
      <c r="J457" s="77"/>
      <c r="K457" s="74" t="s">
        <v>8</v>
      </c>
      <c r="L457" s="75">
        <v>1862353.06</v>
      </c>
    </row>
    <row r="458" spans="1:12" ht="61.2" hidden="1" x14ac:dyDescent="0.3">
      <c r="A458" s="69" t="s">
        <v>776</v>
      </c>
      <c r="B458" s="70" t="s">
        <v>811</v>
      </c>
      <c r="C458" s="70" t="s">
        <v>804</v>
      </c>
      <c r="D458" s="70" t="s">
        <v>733</v>
      </c>
      <c r="E458" s="71" t="s">
        <v>13</v>
      </c>
      <c r="F458" s="79">
        <v>183.3</v>
      </c>
      <c r="G458" s="79"/>
      <c r="H458" s="71" t="s">
        <v>457</v>
      </c>
      <c r="I458" s="77" t="s">
        <v>30</v>
      </c>
      <c r="J458" s="77"/>
      <c r="K458" s="74" t="s">
        <v>8</v>
      </c>
      <c r="L458" s="75">
        <v>1862536.36</v>
      </c>
    </row>
    <row r="459" spans="1:12" ht="61.2" hidden="1" x14ac:dyDescent="0.3">
      <c r="A459" s="69" t="s">
        <v>776</v>
      </c>
      <c r="B459" s="70" t="s">
        <v>811</v>
      </c>
      <c r="C459" s="70" t="s">
        <v>805</v>
      </c>
      <c r="D459" s="70" t="s">
        <v>733</v>
      </c>
      <c r="E459" s="71" t="s">
        <v>13</v>
      </c>
      <c r="F459" s="76">
        <v>1179.8499999999999</v>
      </c>
      <c r="G459" s="76"/>
      <c r="H459" s="71" t="s">
        <v>457</v>
      </c>
      <c r="I459" s="77" t="s">
        <v>30</v>
      </c>
      <c r="J459" s="77"/>
      <c r="K459" s="74" t="s">
        <v>8</v>
      </c>
      <c r="L459" s="75">
        <v>1863716.21</v>
      </c>
    </row>
    <row r="460" spans="1:12" ht="61.2" hidden="1" x14ac:dyDescent="0.3">
      <c r="A460" s="69" t="s">
        <v>776</v>
      </c>
      <c r="B460" s="70" t="s">
        <v>811</v>
      </c>
      <c r="C460" s="70" t="s">
        <v>806</v>
      </c>
      <c r="D460" s="70" t="s">
        <v>733</v>
      </c>
      <c r="E460" s="71" t="s">
        <v>13</v>
      </c>
      <c r="F460" s="79">
        <v>214.5</v>
      </c>
      <c r="G460" s="79"/>
      <c r="H460" s="71" t="s">
        <v>457</v>
      </c>
      <c r="I460" s="77" t="s">
        <v>30</v>
      </c>
      <c r="J460" s="77"/>
      <c r="K460" s="74" t="s">
        <v>8</v>
      </c>
      <c r="L460" s="75">
        <v>1863930.71</v>
      </c>
    </row>
    <row r="461" spans="1:12" ht="71.400000000000006" hidden="1" x14ac:dyDescent="0.3">
      <c r="A461" s="69" t="s">
        <v>776</v>
      </c>
      <c r="B461" s="70" t="s">
        <v>811</v>
      </c>
      <c r="C461" s="70" t="s">
        <v>807</v>
      </c>
      <c r="D461" s="70" t="s">
        <v>733</v>
      </c>
      <c r="E461" s="71" t="s">
        <v>13</v>
      </c>
      <c r="F461" s="79">
        <v>434.09</v>
      </c>
      <c r="G461" s="79"/>
      <c r="H461" s="71" t="s">
        <v>457</v>
      </c>
      <c r="I461" s="77" t="s">
        <v>30</v>
      </c>
      <c r="J461" s="77"/>
      <c r="K461" s="74" t="s">
        <v>8</v>
      </c>
      <c r="L461" s="75">
        <v>1864364.8</v>
      </c>
    </row>
    <row r="462" spans="1:12" ht="71.400000000000006" hidden="1" x14ac:dyDescent="0.3">
      <c r="A462" s="69" t="s">
        <v>776</v>
      </c>
      <c r="B462" s="70" t="s">
        <v>811</v>
      </c>
      <c r="C462" s="70" t="s">
        <v>808</v>
      </c>
      <c r="D462" s="70" t="s">
        <v>733</v>
      </c>
      <c r="E462" s="71" t="s">
        <v>13</v>
      </c>
      <c r="F462" s="76">
        <v>2266.96</v>
      </c>
      <c r="G462" s="76"/>
      <c r="H462" s="71" t="s">
        <v>457</v>
      </c>
      <c r="I462" s="77" t="s">
        <v>30</v>
      </c>
      <c r="J462" s="77"/>
      <c r="K462" s="74" t="s">
        <v>8</v>
      </c>
      <c r="L462" s="75">
        <v>1866631.76</v>
      </c>
    </row>
    <row r="463" spans="1:12" ht="61.2" hidden="1" x14ac:dyDescent="0.3">
      <c r="A463" s="69" t="s">
        <v>776</v>
      </c>
      <c r="B463" s="70" t="s">
        <v>811</v>
      </c>
      <c r="C463" s="70" t="s">
        <v>809</v>
      </c>
      <c r="D463" s="70" t="s">
        <v>733</v>
      </c>
      <c r="E463" s="71" t="s">
        <v>13</v>
      </c>
      <c r="F463" s="79">
        <v>93.86</v>
      </c>
      <c r="G463" s="79"/>
      <c r="H463" s="71" t="s">
        <v>457</v>
      </c>
      <c r="I463" s="77" t="s">
        <v>30</v>
      </c>
      <c r="J463" s="77"/>
      <c r="K463" s="74" t="s">
        <v>8</v>
      </c>
      <c r="L463" s="75">
        <v>1866725.62</v>
      </c>
    </row>
    <row r="464" spans="1:12" ht="61.2" hidden="1" x14ac:dyDescent="0.3">
      <c r="A464" s="69" t="s">
        <v>776</v>
      </c>
      <c r="B464" s="70" t="s">
        <v>811</v>
      </c>
      <c r="C464" s="70" t="s">
        <v>810</v>
      </c>
      <c r="D464" s="70" t="s">
        <v>733</v>
      </c>
      <c r="E464" s="71" t="s">
        <v>13</v>
      </c>
      <c r="F464" s="79">
        <v>744.81</v>
      </c>
      <c r="G464" s="79"/>
      <c r="H464" s="71" t="s">
        <v>457</v>
      </c>
      <c r="I464" s="77" t="s">
        <v>30</v>
      </c>
      <c r="J464" s="77"/>
      <c r="K464" s="74" t="s">
        <v>8</v>
      </c>
      <c r="L464" s="75">
        <v>1867470.43</v>
      </c>
    </row>
    <row r="465" spans="1:12" ht="91.8" hidden="1" x14ac:dyDescent="0.3">
      <c r="A465" s="69" t="s">
        <v>776</v>
      </c>
      <c r="B465" s="70" t="s">
        <v>812</v>
      </c>
      <c r="C465" s="70" t="s">
        <v>813</v>
      </c>
      <c r="D465" s="70" t="s">
        <v>814</v>
      </c>
      <c r="E465" s="71" t="s">
        <v>13</v>
      </c>
      <c r="F465" s="76">
        <v>326865</v>
      </c>
      <c r="G465" s="76"/>
      <c r="H465" s="71" t="s">
        <v>457</v>
      </c>
      <c r="I465" s="77" t="s">
        <v>30</v>
      </c>
      <c r="J465" s="77"/>
      <c r="K465" s="74" t="s">
        <v>8</v>
      </c>
      <c r="L465" s="75">
        <v>6233934.1299999999</v>
      </c>
    </row>
    <row r="466" spans="1:12" ht="91.8" hidden="1" x14ac:dyDescent="0.3">
      <c r="A466" s="69" t="s">
        <v>776</v>
      </c>
      <c r="B466" s="70" t="s">
        <v>812</v>
      </c>
      <c r="C466" s="70" t="s">
        <v>815</v>
      </c>
      <c r="D466" s="70" t="s">
        <v>814</v>
      </c>
      <c r="E466" s="71" t="s">
        <v>13</v>
      </c>
      <c r="F466" s="76">
        <v>47748</v>
      </c>
      <c r="G466" s="76"/>
      <c r="H466" s="71" t="s">
        <v>457</v>
      </c>
      <c r="I466" s="77" t="s">
        <v>30</v>
      </c>
      <c r="J466" s="77"/>
      <c r="K466" s="74" t="s">
        <v>8</v>
      </c>
      <c r="L466" s="75">
        <v>6281682.1299999999</v>
      </c>
    </row>
    <row r="467" spans="1:12" ht="91.8" hidden="1" x14ac:dyDescent="0.3">
      <c r="A467" s="69" t="s">
        <v>776</v>
      </c>
      <c r="B467" s="70" t="s">
        <v>812</v>
      </c>
      <c r="C467" s="70" t="s">
        <v>816</v>
      </c>
      <c r="D467" s="70" t="s">
        <v>814</v>
      </c>
      <c r="E467" s="71" t="s">
        <v>13</v>
      </c>
      <c r="F467" s="76">
        <v>52016</v>
      </c>
      <c r="G467" s="76"/>
      <c r="H467" s="71" t="s">
        <v>457</v>
      </c>
      <c r="I467" s="77" t="s">
        <v>30</v>
      </c>
      <c r="J467" s="77"/>
      <c r="K467" s="74" t="s">
        <v>8</v>
      </c>
      <c r="L467" s="75">
        <v>6333698.1299999999</v>
      </c>
    </row>
    <row r="468" spans="1:12" ht="91.8" hidden="1" x14ac:dyDescent="0.3">
      <c r="A468" s="69" t="s">
        <v>776</v>
      </c>
      <c r="B468" s="70" t="s">
        <v>812</v>
      </c>
      <c r="C468" s="70" t="s">
        <v>817</v>
      </c>
      <c r="D468" s="70" t="s">
        <v>814</v>
      </c>
      <c r="E468" s="71" t="s">
        <v>13</v>
      </c>
      <c r="F468" s="76">
        <v>17226</v>
      </c>
      <c r="G468" s="76"/>
      <c r="H468" s="71" t="s">
        <v>457</v>
      </c>
      <c r="I468" s="77" t="s">
        <v>30</v>
      </c>
      <c r="J468" s="77"/>
      <c r="K468" s="74" t="s">
        <v>8</v>
      </c>
      <c r="L468" s="75">
        <v>6350924.1299999999</v>
      </c>
    </row>
    <row r="469" spans="1:12" ht="91.8" hidden="1" x14ac:dyDescent="0.3">
      <c r="A469" s="69" t="s">
        <v>776</v>
      </c>
      <c r="B469" s="70" t="s">
        <v>812</v>
      </c>
      <c r="C469" s="70" t="s">
        <v>818</v>
      </c>
      <c r="D469" s="70" t="s">
        <v>814</v>
      </c>
      <c r="E469" s="71" t="s">
        <v>13</v>
      </c>
      <c r="F469" s="76">
        <v>5715</v>
      </c>
      <c r="G469" s="76"/>
      <c r="H469" s="71" t="s">
        <v>457</v>
      </c>
      <c r="I469" s="77" t="s">
        <v>30</v>
      </c>
      <c r="J469" s="77"/>
      <c r="K469" s="74" t="s">
        <v>8</v>
      </c>
      <c r="L469" s="75">
        <v>6356639.1299999999</v>
      </c>
    </row>
    <row r="470" spans="1:12" ht="91.8" hidden="1" x14ac:dyDescent="0.3">
      <c r="A470" s="69" t="s">
        <v>776</v>
      </c>
      <c r="B470" s="70" t="s">
        <v>812</v>
      </c>
      <c r="C470" s="70" t="s">
        <v>819</v>
      </c>
      <c r="D470" s="70" t="s">
        <v>814</v>
      </c>
      <c r="E470" s="71" t="s">
        <v>13</v>
      </c>
      <c r="F470" s="76">
        <v>53560</v>
      </c>
      <c r="G470" s="76"/>
      <c r="H470" s="71" t="s">
        <v>457</v>
      </c>
      <c r="I470" s="77" t="s">
        <v>30</v>
      </c>
      <c r="J470" s="77"/>
      <c r="K470" s="74" t="s">
        <v>8</v>
      </c>
      <c r="L470" s="75">
        <v>6410199.1299999999</v>
      </c>
    </row>
    <row r="471" spans="1:12" ht="91.8" hidden="1" x14ac:dyDescent="0.3">
      <c r="A471" s="69" t="s">
        <v>776</v>
      </c>
      <c r="B471" s="70" t="s">
        <v>812</v>
      </c>
      <c r="C471" s="70" t="s">
        <v>820</v>
      </c>
      <c r="D471" s="70" t="s">
        <v>814</v>
      </c>
      <c r="E471" s="71" t="s">
        <v>13</v>
      </c>
      <c r="F471" s="76">
        <v>62425</v>
      </c>
      <c r="G471" s="76"/>
      <c r="H471" s="71" t="s">
        <v>457</v>
      </c>
      <c r="I471" s="77" t="s">
        <v>30</v>
      </c>
      <c r="J471" s="77"/>
      <c r="K471" s="74" t="s">
        <v>8</v>
      </c>
      <c r="L471" s="75">
        <v>6472624.1299999999</v>
      </c>
    </row>
    <row r="472" spans="1:12" ht="91.8" hidden="1" x14ac:dyDescent="0.3">
      <c r="A472" s="69" t="s">
        <v>776</v>
      </c>
      <c r="B472" s="70" t="s">
        <v>812</v>
      </c>
      <c r="C472" s="70" t="s">
        <v>821</v>
      </c>
      <c r="D472" s="70" t="s">
        <v>814</v>
      </c>
      <c r="E472" s="71" t="s">
        <v>13</v>
      </c>
      <c r="F472" s="76">
        <v>14576</v>
      </c>
      <c r="G472" s="76"/>
      <c r="H472" s="71" t="s">
        <v>457</v>
      </c>
      <c r="I472" s="77" t="s">
        <v>30</v>
      </c>
      <c r="J472" s="77"/>
      <c r="K472" s="74" t="s">
        <v>8</v>
      </c>
      <c r="L472" s="75">
        <v>6487200.1299999999</v>
      </c>
    </row>
    <row r="473" spans="1:12" ht="91.8" hidden="1" x14ac:dyDescent="0.3">
      <c r="A473" s="69" t="s">
        <v>776</v>
      </c>
      <c r="B473" s="70" t="s">
        <v>812</v>
      </c>
      <c r="C473" s="70" t="s">
        <v>822</v>
      </c>
      <c r="D473" s="70" t="s">
        <v>814</v>
      </c>
      <c r="E473" s="71" t="s">
        <v>13</v>
      </c>
      <c r="F473" s="76">
        <v>9258</v>
      </c>
      <c r="G473" s="76"/>
      <c r="H473" s="71" t="s">
        <v>457</v>
      </c>
      <c r="I473" s="77" t="s">
        <v>30</v>
      </c>
      <c r="J473" s="77"/>
      <c r="K473" s="74" t="s">
        <v>8</v>
      </c>
      <c r="L473" s="75">
        <v>6496458.1299999999</v>
      </c>
    </row>
    <row r="474" spans="1:12" ht="91.8" hidden="1" x14ac:dyDescent="0.3">
      <c r="A474" s="69" t="s">
        <v>776</v>
      </c>
      <c r="B474" s="70" t="s">
        <v>812</v>
      </c>
      <c r="C474" s="70" t="s">
        <v>823</v>
      </c>
      <c r="D474" s="70" t="s">
        <v>814</v>
      </c>
      <c r="E474" s="71" t="s">
        <v>13</v>
      </c>
      <c r="F474" s="76">
        <v>33946</v>
      </c>
      <c r="G474" s="76"/>
      <c r="H474" s="71" t="s">
        <v>457</v>
      </c>
      <c r="I474" s="77" t="s">
        <v>30</v>
      </c>
      <c r="J474" s="77"/>
      <c r="K474" s="74" t="s">
        <v>8</v>
      </c>
      <c r="L474" s="75">
        <v>6530404.1299999999</v>
      </c>
    </row>
    <row r="475" spans="1:12" ht="91.8" hidden="1" x14ac:dyDescent="0.3">
      <c r="A475" s="69" t="s">
        <v>776</v>
      </c>
      <c r="B475" s="70" t="s">
        <v>812</v>
      </c>
      <c r="C475" s="70" t="s">
        <v>824</v>
      </c>
      <c r="D475" s="70" t="s">
        <v>814</v>
      </c>
      <c r="E475" s="71" t="s">
        <v>13</v>
      </c>
      <c r="F475" s="76">
        <v>27774</v>
      </c>
      <c r="G475" s="76"/>
      <c r="H475" s="71" t="s">
        <v>457</v>
      </c>
      <c r="I475" s="77" t="s">
        <v>30</v>
      </c>
      <c r="J475" s="77"/>
      <c r="K475" s="74" t="s">
        <v>8</v>
      </c>
      <c r="L475" s="75">
        <v>6558178.1299999999</v>
      </c>
    </row>
    <row r="476" spans="1:12" ht="91.8" hidden="1" x14ac:dyDescent="0.3">
      <c r="A476" s="69" t="s">
        <v>776</v>
      </c>
      <c r="B476" s="70" t="s">
        <v>812</v>
      </c>
      <c r="C476" s="70" t="s">
        <v>825</v>
      </c>
      <c r="D476" s="70" t="s">
        <v>814</v>
      </c>
      <c r="E476" s="71" t="s">
        <v>13</v>
      </c>
      <c r="F476" s="76">
        <v>50960</v>
      </c>
      <c r="G476" s="76"/>
      <c r="H476" s="71" t="s">
        <v>457</v>
      </c>
      <c r="I476" s="77" t="s">
        <v>30</v>
      </c>
      <c r="J476" s="77"/>
      <c r="K476" s="74" t="s">
        <v>8</v>
      </c>
      <c r="L476" s="75">
        <v>6609138.1299999999</v>
      </c>
    </row>
    <row r="477" spans="1:12" ht="91.8" hidden="1" x14ac:dyDescent="0.3">
      <c r="A477" s="69" t="s">
        <v>776</v>
      </c>
      <c r="B477" s="70" t="s">
        <v>812</v>
      </c>
      <c r="C477" s="70" t="s">
        <v>826</v>
      </c>
      <c r="D477" s="70" t="s">
        <v>814</v>
      </c>
      <c r="E477" s="71" t="s">
        <v>13</v>
      </c>
      <c r="F477" s="76">
        <v>95295</v>
      </c>
      <c r="G477" s="76"/>
      <c r="H477" s="71" t="s">
        <v>457</v>
      </c>
      <c r="I477" s="77" t="s">
        <v>30</v>
      </c>
      <c r="J477" s="77"/>
      <c r="K477" s="74" t="s">
        <v>8</v>
      </c>
      <c r="L477" s="75">
        <v>6704433.1299999999</v>
      </c>
    </row>
    <row r="478" spans="1:12" ht="91.8" hidden="1" x14ac:dyDescent="0.3">
      <c r="A478" s="69" t="s">
        <v>776</v>
      </c>
      <c r="B478" s="70" t="s">
        <v>812</v>
      </c>
      <c r="C478" s="70" t="s">
        <v>827</v>
      </c>
      <c r="D478" s="70" t="s">
        <v>814</v>
      </c>
      <c r="E478" s="71" t="s">
        <v>13</v>
      </c>
      <c r="F478" s="76">
        <v>19701</v>
      </c>
      <c r="G478" s="76"/>
      <c r="H478" s="71" t="s">
        <v>457</v>
      </c>
      <c r="I478" s="77" t="s">
        <v>30</v>
      </c>
      <c r="J478" s="77"/>
      <c r="K478" s="74" t="s">
        <v>8</v>
      </c>
      <c r="L478" s="75">
        <v>6724134.1299999999</v>
      </c>
    </row>
    <row r="479" spans="1:12" ht="91.8" hidden="1" x14ac:dyDescent="0.3">
      <c r="A479" s="69" t="s">
        <v>776</v>
      </c>
      <c r="B479" s="70" t="s">
        <v>812</v>
      </c>
      <c r="C479" s="70" t="s">
        <v>828</v>
      </c>
      <c r="D479" s="70" t="s">
        <v>814</v>
      </c>
      <c r="E479" s="71" t="s">
        <v>13</v>
      </c>
      <c r="F479" s="76">
        <v>12129</v>
      </c>
      <c r="G479" s="76"/>
      <c r="H479" s="71" t="s">
        <v>457</v>
      </c>
      <c r="I479" s="77" t="s">
        <v>30</v>
      </c>
      <c r="J479" s="77"/>
      <c r="K479" s="74" t="s">
        <v>8</v>
      </c>
      <c r="L479" s="75">
        <v>6736263.1299999999</v>
      </c>
    </row>
    <row r="480" spans="1:12" ht="81.599999999999994" hidden="1" x14ac:dyDescent="0.3">
      <c r="A480" s="69" t="s">
        <v>776</v>
      </c>
      <c r="B480" s="70" t="s">
        <v>812</v>
      </c>
      <c r="C480" s="70" t="s">
        <v>829</v>
      </c>
      <c r="D480" s="70" t="s">
        <v>814</v>
      </c>
      <c r="E480" s="71" t="s">
        <v>13</v>
      </c>
      <c r="F480" s="76">
        <v>8448</v>
      </c>
      <c r="G480" s="76"/>
      <c r="H480" s="71" t="s">
        <v>457</v>
      </c>
      <c r="I480" s="77" t="s">
        <v>30</v>
      </c>
      <c r="J480" s="77"/>
      <c r="K480" s="74" t="s">
        <v>8</v>
      </c>
      <c r="L480" s="75">
        <v>6744711.1299999999</v>
      </c>
    </row>
    <row r="481" spans="1:12" ht="81.599999999999994" hidden="1" x14ac:dyDescent="0.3">
      <c r="A481" s="69" t="s">
        <v>776</v>
      </c>
      <c r="B481" s="70" t="s">
        <v>812</v>
      </c>
      <c r="C481" s="70" t="s">
        <v>830</v>
      </c>
      <c r="D481" s="70" t="s">
        <v>814</v>
      </c>
      <c r="E481" s="71" t="s">
        <v>13</v>
      </c>
      <c r="F481" s="76">
        <v>2488</v>
      </c>
      <c r="G481" s="76"/>
      <c r="H481" s="71" t="s">
        <v>457</v>
      </c>
      <c r="I481" s="77" t="s">
        <v>30</v>
      </c>
      <c r="J481" s="77"/>
      <c r="K481" s="74" t="s">
        <v>8</v>
      </c>
      <c r="L481" s="75">
        <v>6747199.1299999999</v>
      </c>
    </row>
    <row r="482" spans="1:12" ht="81.599999999999994" hidden="1" x14ac:dyDescent="0.3">
      <c r="A482" s="69" t="s">
        <v>776</v>
      </c>
      <c r="B482" s="70" t="s">
        <v>812</v>
      </c>
      <c r="C482" s="70" t="s">
        <v>831</v>
      </c>
      <c r="D482" s="70" t="s">
        <v>814</v>
      </c>
      <c r="E482" s="71" t="s">
        <v>13</v>
      </c>
      <c r="F482" s="76">
        <v>12000</v>
      </c>
      <c r="G482" s="76"/>
      <c r="H482" s="71" t="s">
        <v>457</v>
      </c>
      <c r="I482" s="77" t="s">
        <v>30</v>
      </c>
      <c r="J482" s="77"/>
      <c r="K482" s="74" t="s">
        <v>8</v>
      </c>
      <c r="L482" s="75">
        <v>6759199.1299999999</v>
      </c>
    </row>
    <row r="483" spans="1:12" ht="81.599999999999994" hidden="1" x14ac:dyDescent="0.3">
      <c r="A483" s="69" t="s">
        <v>776</v>
      </c>
      <c r="B483" s="70" t="s">
        <v>812</v>
      </c>
      <c r="C483" s="70" t="s">
        <v>832</v>
      </c>
      <c r="D483" s="70" t="s">
        <v>814</v>
      </c>
      <c r="E483" s="71" t="s">
        <v>13</v>
      </c>
      <c r="F483" s="76">
        <v>33000</v>
      </c>
      <c r="G483" s="76"/>
      <c r="H483" s="71" t="s">
        <v>457</v>
      </c>
      <c r="I483" s="77" t="s">
        <v>30</v>
      </c>
      <c r="J483" s="77"/>
      <c r="K483" s="74" t="s">
        <v>8</v>
      </c>
      <c r="L483" s="75">
        <v>6792199.1299999999</v>
      </c>
    </row>
    <row r="484" spans="1:12" ht="81.599999999999994" hidden="1" x14ac:dyDescent="0.3">
      <c r="A484" s="69" t="s">
        <v>776</v>
      </c>
      <c r="B484" s="70" t="s">
        <v>812</v>
      </c>
      <c r="C484" s="70" t="s">
        <v>833</v>
      </c>
      <c r="D484" s="70" t="s">
        <v>814</v>
      </c>
      <c r="E484" s="71" t="s">
        <v>13</v>
      </c>
      <c r="F484" s="76">
        <v>29400</v>
      </c>
      <c r="G484" s="76"/>
      <c r="H484" s="71" t="s">
        <v>457</v>
      </c>
      <c r="I484" s="77" t="s">
        <v>30</v>
      </c>
      <c r="J484" s="77"/>
      <c r="K484" s="74" t="s">
        <v>8</v>
      </c>
      <c r="L484" s="75">
        <v>6821599.1299999999</v>
      </c>
    </row>
    <row r="485" spans="1:12" ht="81.599999999999994" hidden="1" x14ac:dyDescent="0.3">
      <c r="A485" s="69" t="s">
        <v>776</v>
      </c>
      <c r="B485" s="70" t="s">
        <v>812</v>
      </c>
      <c r="C485" s="70" t="s">
        <v>834</v>
      </c>
      <c r="D485" s="70" t="s">
        <v>814</v>
      </c>
      <c r="E485" s="71" t="s">
        <v>13</v>
      </c>
      <c r="F485" s="76">
        <v>68013</v>
      </c>
      <c r="G485" s="76"/>
      <c r="H485" s="71" t="s">
        <v>457</v>
      </c>
      <c r="I485" s="77" t="s">
        <v>30</v>
      </c>
      <c r="J485" s="77"/>
      <c r="K485" s="74" t="s">
        <v>8</v>
      </c>
      <c r="L485" s="75">
        <v>6889612.1299999999</v>
      </c>
    </row>
    <row r="486" spans="1:12" ht="91.8" hidden="1" x14ac:dyDescent="0.3">
      <c r="A486" s="69" t="s">
        <v>776</v>
      </c>
      <c r="B486" s="70" t="s">
        <v>812</v>
      </c>
      <c r="C486" s="70" t="s">
        <v>835</v>
      </c>
      <c r="D486" s="70" t="s">
        <v>814</v>
      </c>
      <c r="E486" s="71" t="s">
        <v>13</v>
      </c>
      <c r="F486" s="76">
        <v>6300</v>
      </c>
      <c r="G486" s="76"/>
      <c r="H486" s="71" t="s">
        <v>457</v>
      </c>
      <c r="I486" s="77" t="s">
        <v>30</v>
      </c>
      <c r="J486" s="77"/>
      <c r="K486" s="74" t="s">
        <v>8</v>
      </c>
      <c r="L486" s="75">
        <v>6895912.1299999999</v>
      </c>
    </row>
    <row r="487" spans="1:12" ht="91.8" hidden="1" x14ac:dyDescent="0.3">
      <c r="A487" s="69" t="s">
        <v>776</v>
      </c>
      <c r="B487" s="70" t="s">
        <v>812</v>
      </c>
      <c r="C487" s="70" t="s">
        <v>836</v>
      </c>
      <c r="D487" s="70" t="s">
        <v>814</v>
      </c>
      <c r="E487" s="71" t="s">
        <v>13</v>
      </c>
      <c r="F487" s="76">
        <v>5280</v>
      </c>
      <c r="G487" s="76"/>
      <c r="H487" s="71" t="s">
        <v>457</v>
      </c>
      <c r="I487" s="77" t="s">
        <v>30</v>
      </c>
      <c r="J487" s="77"/>
      <c r="K487" s="74" t="s">
        <v>8</v>
      </c>
      <c r="L487" s="75">
        <v>6901192.1299999999</v>
      </c>
    </row>
    <row r="488" spans="1:12" ht="81.599999999999994" hidden="1" x14ac:dyDescent="0.3">
      <c r="A488" s="69" t="s">
        <v>776</v>
      </c>
      <c r="B488" s="70" t="s">
        <v>812</v>
      </c>
      <c r="C488" s="70" t="s">
        <v>837</v>
      </c>
      <c r="D488" s="70" t="s">
        <v>814</v>
      </c>
      <c r="E488" s="71" t="s">
        <v>13</v>
      </c>
      <c r="F488" s="76">
        <v>18711</v>
      </c>
      <c r="G488" s="76"/>
      <c r="H488" s="71" t="s">
        <v>457</v>
      </c>
      <c r="I488" s="77" t="s">
        <v>30</v>
      </c>
      <c r="J488" s="77"/>
      <c r="K488" s="74" t="s">
        <v>8</v>
      </c>
      <c r="L488" s="75">
        <v>6919903.1299999999</v>
      </c>
    </row>
    <row r="489" spans="1:12" ht="81.599999999999994" hidden="1" x14ac:dyDescent="0.3">
      <c r="A489" s="69" t="s">
        <v>776</v>
      </c>
      <c r="B489" s="70" t="s">
        <v>812</v>
      </c>
      <c r="C489" s="70" t="s">
        <v>838</v>
      </c>
      <c r="D489" s="70" t="s">
        <v>814</v>
      </c>
      <c r="E489" s="71" t="s">
        <v>13</v>
      </c>
      <c r="F489" s="76">
        <v>161070</v>
      </c>
      <c r="G489" s="76"/>
      <c r="H489" s="71" t="s">
        <v>457</v>
      </c>
      <c r="I489" s="77" t="s">
        <v>30</v>
      </c>
      <c r="J489" s="77"/>
      <c r="K489" s="74" t="s">
        <v>8</v>
      </c>
      <c r="L489" s="75">
        <v>7080973.1299999999</v>
      </c>
    </row>
    <row r="490" spans="1:12" ht="91.8" hidden="1" x14ac:dyDescent="0.3">
      <c r="A490" s="69" t="s">
        <v>776</v>
      </c>
      <c r="B490" s="70" t="s">
        <v>812</v>
      </c>
      <c r="C490" s="70" t="s">
        <v>839</v>
      </c>
      <c r="D490" s="70" t="s">
        <v>814</v>
      </c>
      <c r="E490" s="71" t="s">
        <v>13</v>
      </c>
      <c r="F490" s="76">
        <v>12636</v>
      </c>
      <c r="G490" s="76"/>
      <c r="H490" s="71" t="s">
        <v>457</v>
      </c>
      <c r="I490" s="77" t="s">
        <v>30</v>
      </c>
      <c r="J490" s="77"/>
      <c r="K490" s="74" t="s">
        <v>8</v>
      </c>
      <c r="L490" s="75">
        <v>7093609.1299999999</v>
      </c>
    </row>
    <row r="491" spans="1:12" ht="91.8" hidden="1" x14ac:dyDescent="0.3">
      <c r="A491" s="69" t="s">
        <v>776</v>
      </c>
      <c r="B491" s="70" t="s">
        <v>812</v>
      </c>
      <c r="C491" s="70" t="s">
        <v>840</v>
      </c>
      <c r="D491" s="70" t="s">
        <v>814</v>
      </c>
      <c r="E491" s="71" t="s">
        <v>13</v>
      </c>
      <c r="F491" s="76">
        <v>6804</v>
      </c>
      <c r="G491" s="76"/>
      <c r="H491" s="71" t="s">
        <v>457</v>
      </c>
      <c r="I491" s="77" t="s">
        <v>30</v>
      </c>
      <c r="J491" s="77"/>
      <c r="K491" s="74" t="s">
        <v>8</v>
      </c>
      <c r="L491" s="75">
        <v>7100413.1299999999</v>
      </c>
    </row>
    <row r="492" spans="1:12" ht="91.8" hidden="1" x14ac:dyDescent="0.3">
      <c r="A492" s="69" t="s">
        <v>776</v>
      </c>
      <c r="B492" s="70" t="s">
        <v>812</v>
      </c>
      <c r="C492" s="70" t="s">
        <v>841</v>
      </c>
      <c r="D492" s="70" t="s">
        <v>814</v>
      </c>
      <c r="E492" s="71" t="s">
        <v>13</v>
      </c>
      <c r="F492" s="76">
        <v>9567</v>
      </c>
      <c r="G492" s="76"/>
      <c r="H492" s="71" t="s">
        <v>457</v>
      </c>
      <c r="I492" s="77" t="s">
        <v>30</v>
      </c>
      <c r="J492" s="77"/>
      <c r="K492" s="74" t="s">
        <v>8</v>
      </c>
      <c r="L492" s="75">
        <v>7109980.1299999999</v>
      </c>
    </row>
    <row r="493" spans="1:12" ht="81.599999999999994" hidden="1" x14ac:dyDescent="0.3">
      <c r="A493" s="69" t="s">
        <v>776</v>
      </c>
      <c r="B493" s="70" t="s">
        <v>812</v>
      </c>
      <c r="C493" s="70" t="s">
        <v>842</v>
      </c>
      <c r="D493" s="70" t="s">
        <v>814</v>
      </c>
      <c r="E493" s="71" t="s">
        <v>13</v>
      </c>
      <c r="F493" s="76">
        <v>1040</v>
      </c>
      <c r="G493" s="76"/>
      <c r="H493" s="71" t="s">
        <v>457</v>
      </c>
      <c r="I493" s="77" t="s">
        <v>30</v>
      </c>
      <c r="J493" s="77"/>
      <c r="K493" s="74" t="s">
        <v>8</v>
      </c>
      <c r="L493" s="75">
        <v>7111020.1299999999</v>
      </c>
    </row>
    <row r="494" spans="1:12" ht="81.599999999999994" hidden="1" x14ac:dyDescent="0.3">
      <c r="A494" s="69" t="s">
        <v>776</v>
      </c>
      <c r="B494" s="70" t="s">
        <v>812</v>
      </c>
      <c r="C494" s="70" t="s">
        <v>843</v>
      </c>
      <c r="D494" s="70" t="s">
        <v>814</v>
      </c>
      <c r="E494" s="71" t="s">
        <v>13</v>
      </c>
      <c r="F494" s="76">
        <v>9882</v>
      </c>
      <c r="G494" s="76"/>
      <c r="H494" s="71" t="s">
        <v>457</v>
      </c>
      <c r="I494" s="77" t="s">
        <v>30</v>
      </c>
      <c r="J494" s="77"/>
      <c r="K494" s="74" t="s">
        <v>8</v>
      </c>
      <c r="L494" s="75">
        <v>7120902.1299999999</v>
      </c>
    </row>
    <row r="495" spans="1:12" ht="81.599999999999994" hidden="1" x14ac:dyDescent="0.3">
      <c r="A495" s="69" t="s">
        <v>776</v>
      </c>
      <c r="B495" s="70" t="s">
        <v>812</v>
      </c>
      <c r="C495" s="70" t="s">
        <v>844</v>
      </c>
      <c r="D495" s="70" t="s">
        <v>814</v>
      </c>
      <c r="E495" s="71" t="s">
        <v>13</v>
      </c>
      <c r="F495" s="76">
        <v>92120</v>
      </c>
      <c r="G495" s="76"/>
      <c r="H495" s="71" t="s">
        <v>457</v>
      </c>
      <c r="I495" s="77" t="s">
        <v>30</v>
      </c>
      <c r="J495" s="77"/>
      <c r="K495" s="74" t="s">
        <v>8</v>
      </c>
      <c r="L495" s="75">
        <v>7213022.1299999999</v>
      </c>
    </row>
    <row r="496" spans="1:12" ht="81.599999999999994" hidden="1" x14ac:dyDescent="0.3">
      <c r="A496" s="69" t="s">
        <v>776</v>
      </c>
      <c r="B496" s="70" t="s">
        <v>812</v>
      </c>
      <c r="C496" s="70" t="s">
        <v>845</v>
      </c>
      <c r="D496" s="70" t="s">
        <v>814</v>
      </c>
      <c r="E496" s="71" t="s">
        <v>13</v>
      </c>
      <c r="F496" s="76">
        <v>7756</v>
      </c>
      <c r="G496" s="76"/>
      <c r="H496" s="71" t="s">
        <v>457</v>
      </c>
      <c r="I496" s="77" t="s">
        <v>30</v>
      </c>
      <c r="J496" s="77"/>
      <c r="K496" s="74" t="s">
        <v>8</v>
      </c>
      <c r="L496" s="75">
        <v>7220778.1299999999</v>
      </c>
    </row>
    <row r="497" spans="1:12" ht="81.599999999999994" hidden="1" x14ac:dyDescent="0.3">
      <c r="A497" s="69" t="s">
        <v>776</v>
      </c>
      <c r="B497" s="70" t="s">
        <v>812</v>
      </c>
      <c r="C497" s="70" t="s">
        <v>846</v>
      </c>
      <c r="D497" s="70" t="s">
        <v>814</v>
      </c>
      <c r="E497" s="71" t="s">
        <v>13</v>
      </c>
      <c r="F497" s="76">
        <v>151455</v>
      </c>
      <c r="G497" s="76"/>
      <c r="H497" s="71" t="s">
        <v>457</v>
      </c>
      <c r="I497" s="77" t="s">
        <v>30</v>
      </c>
      <c r="J497" s="77"/>
      <c r="K497" s="74" t="s">
        <v>8</v>
      </c>
      <c r="L497" s="75">
        <v>7372233.1299999999</v>
      </c>
    </row>
    <row r="498" spans="1:12" ht="91.8" hidden="1" x14ac:dyDescent="0.3">
      <c r="A498" s="69" t="s">
        <v>776</v>
      </c>
      <c r="B498" s="70" t="s">
        <v>812</v>
      </c>
      <c r="C498" s="70" t="s">
        <v>847</v>
      </c>
      <c r="D498" s="70" t="s">
        <v>814</v>
      </c>
      <c r="E498" s="71" t="s">
        <v>13</v>
      </c>
      <c r="F498" s="76">
        <v>3426</v>
      </c>
      <c r="G498" s="76"/>
      <c r="H498" s="71" t="s">
        <v>457</v>
      </c>
      <c r="I498" s="77" t="s">
        <v>30</v>
      </c>
      <c r="J498" s="77"/>
      <c r="K498" s="74" t="s">
        <v>8</v>
      </c>
      <c r="L498" s="75">
        <v>7375659.1299999999</v>
      </c>
    </row>
    <row r="499" spans="1:12" ht="91.8" hidden="1" x14ac:dyDescent="0.3">
      <c r="A499" s="69" t="s">
        <v>776</v>
      </c>
      <c r="B499" s="70" t="s">
        <v>812</v>
      </c>
      <c r="C499" s="70" t="s">
        <v>848</v>
      </c>
      <c r="D499" s="70" t="s">
        <v>814</v>
      </c>
      <c r="E499" s="71" t="s">
        <v>13</v>
      </c>
      <c r="F499" s="76">
        <v>17552</v>
      </c>
      <c r="G499" s="76"/>
      <c r="H499" s="71" t="s">
        <v>457</v>
      </c>
      <c r="I499" s="77" t="s">
        <v>30</v>
      </c>
      <c r="J499" s="77"/>
      <c r="K499" s="74" t="s">
        <v>8</v>
      </c>
      <c r="L499" s="75">
        <v>7393211.1299999999</v>
      </c>
    </row>
    <row r="500" spans="1:12" ht="91.8" hidden="1" x14ac:dyDescent="0.3">
      <c r="A500" s="69" t="s">
        <v>776</v>
      </c>
      <c r="B500" s="70" t="s">
        <v>812</v>
      </c>
      <c r="C500" s="70" t="s">
        <v>849</v>
      </c>
      <c r="D500" s="70" t="s">
        <v>814</v>
      </c>
      <c r="E500" s="71" t="s">
        <v>13</v>
      </c>
      <c r="F500" s="76">
        <v>2442</v>
      </c>
      <c r="G500" s="76"/>
      <c r="H500" s="71" t="s">
        <v>457</v>
      </c>
      <c r="I500" s="77" t="s">
        <v>30</v>
      </c>
      <c r="J500" s="77"/>
      <c r="K500" s="74" t="s">
        <v>8</v>
      </c>
      <c r="L500" s="75">
        <v>7395653.1299999999</v>
      </c>
    </row>
    <row r="501" spans="1:12" ht="91.8" hidden="1" x14ac:dyDescent="0.3">
      <c r="A501" s="69" t="s">
        <v>776</v>
      </c>
      <c r="B501" s="70" t="s">
        <v>812</v>
      </c>
      <c r="C501" s="70" t="s">
        <v>850</v>
      </c>
      <c r="D501" s="70" t="s">
        <v>814</v>
      </c>
      <c r="E501" s="71" t="s">
        <v>13</v>
      </c>
      <c r="F501" s="76">
        <v>4797</v>
      </c>
      <c r="G501" s="76"/>
      <c r="H501" s="71" t="s">
        <v>457</v>
      </c>
      <c r="I501" s="77" t="s">
        <v>30</v>
      </c>
      <c r="J501" s="77"/>
      <c r="K501" s="74" t="s">
        <v>8</v>
      </c>
      <c r="L501" s="75">
        <v>7400450.1299999999</v>
      </c>
    </row>
    <row r="502" spans="1:12" ht="91.8" hidden="1" x14ac:dyDescent="0.3">
      <c r="A502" s="69" t="s">
        <v>776</v>
      </c>
      <c r="B502" s="70" t="s">
        <v>812</v>
      </c>
      <c r="C502" s="70" t="s">
        <v>851</v>
      </c>
      <c r="D502" s="70" t="s">
        <v>814</v>
      </c>
      <c r="E502" s="71" t="s">
        <v>13</v>
      </c>
      <c r="F502" s="76">
        <v>19692</v>
      </c>
      <c r="G502" s="76"/>
      <c r="H502" s="71" t="s">
        <v>457</v>
      </c>
      <c r="I502" s="77" t="s">
        <v>30</v>
      </c>
      <c r="J502" s="77"/>
      <c r="K502" s="74" t="s">
        <v>8</v>
      </c>
      <c r="L502" s="75">
        <v>7420142.1299999999</v>
      </c>
    </row>
    <row r="503" spans="1:12" ht="91.8" hidden="1" x14ac:dyDescent="0.3">
      <c r="A503" s="69" t="s">
        <v>776</v>
      </c>
      <c r="B503" s="70" t="s">
        <v>812</v>
      </c>
      <c r="C503" s="70" t="s">
        <v>852</v>
      </c>
      <c r="D503" s="70" t="s">
        <v>814</v>
      </c>
      <c r="E503" s="71" t="s">
        <v>13</v>
      </c>
      <c r="F503" s="76">
        <v>68391</v>
      </c>
      <c r="G503" s="76"/>
      <c r="H503" s="71" t="s">
        <v>457</v>
      </c>
      <c r="I503" s="77" t="s">
        <v>30</v>
      </c>
      <c r="J503" s="77"/>
      <c r="K503" s="74" t="s">
        <v>8</v>
      </c>
      <c r="L503" s="75">
        <v>7488533.1299999999</v>
      </c>
    </row>
    <row r="504" spans="1:12" ht="91.8" hidden="1" x14ac:dyDescent="0.3">
      <c r="A504" s="69" t="s">
        <v>776</v>
      </c>
      <c r="B504" s="70" t="s">
        <v>812</v>
      </c>
      <c r="C504" s="70" t="s">
        <v>853</v>
      </c>
      <c r="D504" s="70" t="s">
        <v>814</v>
      </c>
      <c r="E504" s="71" t="s">
        <v>13</v>
      </c>
      <c r="F504" s="76">
        <v>4455</v>
      </c>
      <c r="G504" s="76"/>
      <c r="H504" s="71" t="s">
        <v>457</v>
      </c>
      <c r="I504" s="77" t="s">
        <v>30</v>
      </c>
      <c r="J504" s="77"/>
      <c r="K504" s="74" t="s">
        <v>8</v>
      </c>
      <c r="L504" s="75">
        <v>7492988.1299999999</v>
      </c>
    </row>
    <row r="505" spans="1:12" ht="91.8" hidden="1" x14ac:dyDescent="0.3">
      <c r="A505" s="69" t="s">
        <v>776</v>
      </c>
      <c r="B505" s="70" t="s">
        <v>812</v>
      </c>
      <c r="C505" s="70" t="s">
        <v>854</v>
      </c>
      <c r="D505" s="70" t="s">
        <v>814</v>
      </c>
      <c r="E505" s="71" t="s">
        <v>13</v>
      </c>
      <c r="F505" s="76">
        <v>7128</v>
      </c>
      <c r="G505" s="76"/>
      <c r="H505" s="71" t="s">
        <v>457</v>
      </c>
      <c r="I505" s="77" t="s">
        <v>30</v>
      </c>
      <c r="J505" s="77"/>
      <c r="K505" s="74" t="s">
        <v>8</v>
      </c>
      <c r="L505" s="75">
        <v>7500116.1299999999</v>
      </c>
    </row>
    <row r="506" spans="1:12" ht="91.8" hidden="1" x14ac:dyDescent="0.3">
      <c r="A506" s="69" t="s">
        <v>776</v>
      </c>
      <c r="B506" s="70" t="s">
        <v>812</v>
      </c>
      <c r="C506" s="70" t="s">
        <v>855</v>
      </c>
      <c r="D506" s="70" t="s">
        <v>814</v>
      </c>
      <c r="E506" s="71" t="s">
        <v>13</v>
      </c>
      <c r="F506" s="76">
        <v>9282</v>
      </c>
      <c r="G506" s="76"/>
      <c r="H506" s="71" t="s">
        <v>457</v>
      </c>
      <c r="I506" s="77" t="s">
        <v>30</v>
      </c>
      <c r="J506" s="77"/>
      <c r="K506" s="74" t="s">
        <v>8</v>
      </c>
      <c r="L506" s="75">
        <v>7509398.1299999999</v>
      </c>
    </row>
    <row r="507" spans="1:12" ht="91.8" hidden="1" x14ac:dyDescent="0.3">
      <c r="A507" s="69" t="s">
        <v>776</v>
      </c>
      <c r="B507" s="70" t="s">
        <v>812</v>
      </c>
      <c r="C507" s="70" t="s">
        <v>856</v>
      </c>
      <c r="D507" s="70" t="s">
        <v>814</v>
      </c>
      <c r="E507" s="71" t="s">
        <v>13</v>
      </c>
      <c r="F507" s="76">
        <v>82134</v>
      </c>
      <c r="G507" s="76"/>
      <c r="H507" s="71" t="s">
        <v>457</v>
      </c>
      <c r="I507" s="77" t="s">
        <v>30</v>
      </c>
      <c r="J507" s="77"/>
      <c r="K507" s="74" t="s">
        <v>8</v>
      </c>
      <c r="L507" s="75">
        <v>7591532.1299999999</v>
      </c>
    </row>
    <row r="508" spans="1:12" ht="91.8" hidden="1" x14ac:dyDescent="0.3">
      <c r="A508" s="69" t="s">
        <v>776</v>
      </c>
      <c r="B508" s="70" t="s">
        <v>812</v>
      </c>
      <c r="C508" s="70" t="s">
        <v>857</v>
      </c>
      <c r="D508" s="70" t="s">
        <v>814</v>
      </c>
      <c r="E508" s="71" t="s">
        <v>13</v>
      </c>
      <c r="F508" s="76">
        <v>1310</v>
      </c>
      <c r="G508" s="76"/>
      <c r="H508" s="71" t="s">
        <v>457</v>
      </c>
      <c r="I508" s="77" t="s">
        <v>30</v>
      </c>
      <c r="J508" s="77"/>
      <c r="K508" s="74" t="s">
        <v>8</v>
      </c>
      <c r="L508" s="75">
        <v>7592842.1299999999</v>
      </c>
    </row>
    <row r="509" spans="1:12" ht="91.8" hidden="1" x14ac:dyDescent="0.3">
      <c r="A509" s="69" t="s">
        <v>776</v>
      </c>
      <c r="B509" s="70" t="s">
        <v>812</v>
      </c>
      <c r="C509" s="70" t="s">
        <v>858</v>
      </c>
      <c r="D509" s="70" t="s">
        <v>814</v>
      </c>
      <c r="E509" s="71" t="s">
        <v>13</v>
      </c>
      <c r="F509" s="76">
        <v>9170</v>
      </c>
      <c r="G509" s="76"/>
      <c r="H509" s="71" t="s">
        <v>457</v>
      </c>
      <c r="I509" s="77" t="s">
        <v>30</v>
      </c>
      <c r="J509" s="77"/>
      <c r="K509" s="74" t="s">
        <v>8</v>
      </c>
      <c r="L509" s="75">
        <v>7602012.1299999999</v>
      </c>
    </row>
    <row r="510" spans="1:12" ht="91.8" hidden="1" x14ac:dyDescent="0.3">
      <c r="A510" s="69" t="s">
        <v>776</v>
      </c>
      <c r="B510" s="70" t="s">
        <v>812</v>
      </c>
      <c r="C510" s="70" t="s">
        <v>859</v>
      </c>
      <c r="D510" s="70" t="s">
        <v>814</v>
      </c>
      <c r="E510" s="71" t="s">
        <v>13</v>
      </c>
      <c r="F510" s="76">
        <v>5313</v>
      </c>
      <c r="G510" s="76"/>
      <c r="H510" s="71" t="s">
        <v>457</v>
      </c>
      <c r="I510" s="77" t="s">
        <v>30</v>
      </c>
      <c r="J510" s="77"/>
      <c r="K510" s="74" t="s">
        <v>8</v>
      </c>
      <c r="L510" s="75">
        <v>7607325.1299999999</v>
      </c>
    </row>
    <row r="511" spans="1:12" ht="91.8" hidden="1" x14ac:dyDescent="0.3">
      <c r="A511" s="69" t="s">
        <v>776</v>
      </c>
      <c r="B511" s="70" t="s">
        <v>812</v>
      </c>
      <c r="C511" s="70" t="s">
        <v>860</v>
      </c>
      <c r="D511" s="70" t="s">
        <v>814</v>
      </c>
      <c r="E511" s="71" t="s">
        <v>13</v>
      </c>
      <c r="F511" s="76">
        <v>1518</v>
      </c>
      <c r="G511" s="76"/>
      <c r="H511" s="71" t="s">
        <v>457</v>
      </c>
      <c r="I511" s="77" t="s">
        <v>30</v>
      </c>
      <c r="J511" s="77"/>
      <c r="K511" s="74" t="s">
        <v>8</v>
      </c>
      <c r="L511" s="75">
        <v>7608843.1299999999</v>
      </c>
    </row>
    <row r="512" spans="1:12" ht="91.8" hidden="1" x14ac:dyDescent="0.3">
      <c r="A512" s="69" t="s">
        <v>776</v>
      </c>
      <c r="B512" s="70" t="s">
        <v>812</v>
      </c>
      <c r="C512" s="70" t="s">
        <v>861</v>
      </c>
      <c r="D512" s="70" t="s">
        <v>814</v>
      </c>
      <c r="E512" s="71" t="s">
        <v>13</v>
      </c>
      <c r="F512" s="76">
        <v>9867</v>
      </c>
      <c r="G512" s="76"/>
      <c r="H512" s="71" t="s">
        <v>457</v>
      </c>
      <c r="I512" s="77" t="s">
        <v>30</v>
      </c>
      <c r="J512" s="77"/>
      <c r="K512" s="74" t="s">
        <v>8</v>
      </c>
      <c r="L512" s="75">
        <v>7618710.1299999999</v>
      </c>
    </row>
    <row r="513" spans="1:12" ht="81.599999999999994" hidden="1" x14ac:dyDescent="0.3">
      <c r="A513" s="69" t="s">
        <v>776</v>
      </c>
      <c r="B513" s="70" t="s">
        <v>812</v>
      </c>
      <c r="C513" s="70" t="s">
        <v>862</v>
      </c>
      <c r="D513" s="70" t="s">
        <v>814</v>
      </c>
      <c r="E513" s="71" t="s">
        <v>13</v>
      </c>
      <c r="F513" s="76">
        <v>1518</v>
      </c>
      <c r="G513" s="76"/>
      <c r="H513" s="71" t="s">
        <v>457</v>
      </c>
      <c r="I513" s="77" t="s">
        <v>30</v>
      </c>
      <c r="J513" s="77"/>
      <c r="K513" s="74" t="s">
        <v>8</v>
      </c>
      <c r="L513" s="75">
        <v>7620228.1299999999</v>
      </c>
    </row>
    <row r="514" spans="1:12" ht="91.8" hidden="1" x14ac:dyDescent="0.3">
      <c r="A514" s="69" t="s">
        <v>776</v>
      </c>
      <c r="B514" s="70" t="s">
        <v>812</v>
      </c>
      <c r="C514" s="70" t="s">
        <v>863</v>
      </c>
      <c r="D514" s="70" t="s">
        <v>814</v>
      </c>
      <c r="E514" s="71" t="s">
        <v>13</v>
      </c>
      <c r="F514" s="76">
        <v>1518</v>
      </c>
      <c r="G514" s="76"/>
      <c r="H514" s="71" t="s">
        <v>457</v>
      </c>
      <c r="I514" s="77" t="s">
        <v>30</v>
      </c>
      <c r="J514" s="77"/>
      <c r="K514" s="74" t="s">
        <v>8</v>
      </c>
      <c r="L514" s="75">
        <v>7621746.1299999999</v>
      </c>
    </row>
    <row r="515" spans="1:12" ht="91.8" hidden="1" x14ac:dyDescent="0.3">
      <c r="A515" s="69" t="s">
        <v>776</v>
      </c>
      <c r="B515" s="70" t="s">
        <v>812</v>
      </c>
      <c r="C515" s="70" t="s">
        <v>864</v>
      </c>
      <c r="D515" s="70" t="s">
        <v>814</v>
      </c>
      <c r="E515" s="71" t="s">
        <v>13</v>
      </c>
      <c r="F515" s="76">
        <v>2445</v>
      </c>
      <c r="G515" s="76"/>
      <c r="H515" s="71" t="s">
        <v>457</v>
      </c>
      <c r="I515" s="77" t="s">
        <v>30</v>
      </c>
      <c r="J515" s="77"/>
      <c r="K515" s="74" t="s">
        <v>8</v>
      </c>
      <c r="L515" s="75">
        <v>7624191.1299999999</v>
      </c>
    </row>
    <row r="516" spans="1:12" ht="91.8" hidden="1" x14ac:dyDescent="0.3">
      <c r="A516" s="69" t="s">
        <v>776</v>
      </c>
      <c r="B516" s="70" t="s">
        <v>812</v>
      </c>
      <c r="C516" s="70" t="s">
        <v>865</v>
      </c>
      <c r="D516" s="70" t="s">
        <v>814</v>
      </c>
      <c r="E516" s="71" t="s">
        <v>13</v>
      </c>
      <c r="F516" s="76">
        <v>52544</v>
      </c>
      <c r="G516" s="76"/>
      <c r="H516" s="71" t="s">
        <v>457</v>
      </c>
      <c r="I516" s="77" t="s">
        <v>30</v>
      </c>
      <c r="J516" s="77"/>
      <c r="K516" s="74" t="s">
        <v>8</v>
      </c>
      <c r="L516" s="75">
        <v>7676735.1299999999</v>
      </c>
    </row>
    <row r="517" spans="1:12" ht="91.8" hidden="1" x14ac:dyDescent="0.3">
      <c r="A517" s="69" t="s">
        <v>776</v>
      </c>
      <c r="B517" s="70" t="s">
        <v>812</v>
      </c>
      <c r="C517" s="70" t="s">
        <v>866</v>
      </c>
      <c r="D517" s="70" t="s">
        <v>814</v>
      </c>
      <c r="E517" s="71" t="s">
        <v>13</v>
      </c>
      <c r="F517" s="76">
        <v>79629</v>
      </c>
      <c r="G517" s="76"/>
      <c r="H517" s="71" t="s">
        <v>457</v>
      </c>
      <c r="I517" s="77" t="s">
        <v>30</v>
      </c>
      <c r="J517" s="77"/>
      <c r="K517" s="74" t="s">
        <v>8</v>
      </c>
      <c r="L517" s="75">
        <v>7756364.1299999999</v>
      </c>
    </row>
    <row r="518" spans="1:12" ht="91.8" hidden="1" x14ac:dyDescent="0.3">
      <c r="A518" s="69" t="s">
        <v>776</v>
      </c>
      <c r="B518" s="70" t="s">
        <v>812</v>
      </c>
      <c r="C518" s="70" t="s">
        <v>867</v>
      </c>
      <c r="D518" s="70" t="s">
        <v>814</v>
      </c>
      <c r="E518" s="71" t="s">
        <v>13</v>
      </c>
      <c r="F518" s="76">
        <v>147855</v>
      </c>
      <c r="G518" s="76"/>
      <c r="H518" s="71" t="s">
        <v>457</v>
      </c>
      <c r="I518" s="77" t="s">
        <v>30</v>
      </c>
      <c r="J518" s="77"/>
      <c r="K518" s="74" t="s">
        <v>8</v>
      </c>
      <c r="L518" s="75">
        <v>7904219.1299999999</v>
      </c>
    </row>
    <row r="519" spans="1:12" ht="91.8" hidden="1" x14ac:dyDescent="0.3">
      <c r="A519" s="69" t="s">
        <v>776</v>
      </c>
      <c r="B519" s="70" t="s">
        <v>812</v>
      </c>
      <c r="C519" s="70" t="s">
        <v>868</v>
      </c>
      <c r="D519" s="70" t="s">
        <v>814</v>
      </c>
      <c r="E519" s="71" t="s">
        <v>13</v>
      </c>
      <c r="F519" s="76">
        <v>7794</v>
      </c>
      <c r="G519" s="76"/>
      <c r="H519" s="71" t="s">
        <v>457</v>
      </c>
      <c r="I519" s="77" t="s">
        <v>30</v>
      </c>
      <c r="J519" s="77"/>
      <c r="K519" s="74" t="s">
        <v>8</v>
      </c>
      <c r="L519" s="75">
        <v>7912013.1299999999</v>
      </c>
    </row>
    <row r="520" spans="1:12" ht="91.8" hidden="1" x14ac:dyDescent="0.3">
      <c r="A520" s="69" t="s">
        <v>776</v>
      </c>
      <c r="B520" s="70" t="s">
        <v>812</v>
      </c>
      <c r="C520" s="70" t="s">
        <v>869</v>
      </c>
      <c r="D520" s="70" t="s">
        <v>814</v>
      </c>
      <c r="E520" s="71" t="s">
        <v>13</v>
      </c>
      <c r="F520" s="76">
        <v>1891</v>
      </c>
      <c r="G520" s="76"/>
      <c r="H520" s="71" t="s">
        <v>457</v>
      </c>
      <c r="I520" s="77" t="s">
        <v>30</v>
      </c>
      <c r="J520" s="77"/>
      <c r="K520" s="74" t="s">
        <v>8</v>
      </c>
      <c r="L520" s="75">
        <v>7913904.1299999999</v>
      </c>
    </row>
    <row r="521" spans="1:12" ht="91.8" hidden="1" x14ac:dyDescent="0.3">
      <c r="A521" s="69" t="s">
        <v>776</v>
      </c>
      <c r="B521" s="70" t="s">
        <v>812</v>
      </c>
      <c r="C521" s="70" t="s">
        <v>870</v>
      </c>
      <c r="D521" s="70" t="s">
        <v>814</v>
      </c>
      <c r="E521" s="71" t="s">
        <v>13</v>
      </c>
      <c r="F521" s="76">
        <v>5260</v>
      </c>
      <c r="G521" s="76"/>
      <c r="H521" s="71" t="s">
        <v>457</v>
      </c>
      <c r="I521" s="77" t="s">
        <v>30</v>
      </c>
      <c r="J521" s="77"/>
      <c r="K521" s="74" t="s">
        <v>8</v>
      </c>
      <c r="L521" s="75">
        <v>7919164.1299999999</v>
      </c>
    </row>
    <row r="522" spans="1:12" ht="91.8" hidden="1" x14ac:dyDescent="0.3">
      <c r="A522" s="69" t="s">
        <v>776</v>
      </c>
      <c r="B522" s="70" t="s">
        <v>812</v>
      </c>
      <c r="C522" s="70" t="s">
        <v>871</v>
      </c>
      <c r="D522" s="70" t="s">
        <v>814</v>
      </c>
      <c r="E522" s="71" t="s">
        <v>13</v>
      </c>
      <c r="F522" s="76">
        <v>67068</v>
      </c>
      <c r="G522" s="76"/>
      <c r="H522" s="71" t="s">
        <v>457</v>
      </c>
      <c r="I522" s="77" t="s">
        <v>30</v>
      </c>
      <c r="J522" s="77"/>
      <c r="K522" s="74" t="s">
        <v>8</v>
      </c>
      <c r="L522" s="75">
        <v>7986232.1299999999</v>
      </c>
    </row>
    <row r="523" spans="1:12" ht="91.8" hidden="1" x14ac:dyDescent="0.3">
      <c r="A523" s="69" t="s">
        <v>776</v>
      </c>
      <c r="B523" s="70" t="s">
        <v>812</v>
      </c>
      <c r="C523" s="70" t="s">
        <v>872</v>
      </c>
      <c r="D523" s="70" t="s">
        <v>814</v>
      </c>
      <c r="E523" s="71" t="s">
        <v>13</v>
      </c>
      <c r="F523" s="76">
        <v>1044</v>
      </c>
      <c r="G523" s="76"/>
      <c r="H523" s="71" t="s">
        <v>457</v>
      </c>
      <c r="I523" s="77" t="s">
        <v>30</v>
      </c>
      <c r="J523" s="77"/>
      <c r="K523" s="74" t="s">
        <v>8</v>
      </c>
      <c r="L523" s="75">
        <v>7987276.1299999999</v>
      </c>
    </row>
    <row r="524" spans="1:12" ht="91.8" hidden="1" x14ac:dyDescent="0.3">
      <c r="A524" s="69" t="s">
        <v>776</v>
      </c>
      <c r="B524" s="70" t="s">
        <v>812</v>
      </c>
      <c r="C524" s="70" t="s">
        <v>873</v>
      </c>
      <c r="D524" s="70" t="s">
        <v>814</v>
      </c>
      <c r="E524" s="71" t="s">
        <v>13</v>
      </c>
      <c r="F524" s="79">
        <v>788</v>
      </c>
      <c r="G524" s="79"/>
      <c r="H524" s="71" t="s">
        <v>457</v>
      </c>
      <c r="I524" s="77" t="s">
        <v>30</v>
      </c>
      <c r="J524" s="77"/>
      <c r="K524" s="74" t="s">
        <v>8</v>
      </c>
      <c r="L524" s="75">
        <v>7988064.1299999999</v>
      </c>
    </row>
    <row r="525" spans="1:12" ht="81.599999999999994" hidden="1" x14ac:dyDescent="0.3">
      <c r="A525" s="69" t="s">
        <v>776</v>
      </c>
      <c r="B525" s="70" t="s">
        <v>812</v>
      </c>
      <c r="C525" s="70" t="s">
        <v>874</v>
      </c>
      <c r="D525" s="70" t="s">
        <v>814</v>
      </c>
      <c r="E525" s="71" t="s">
        <v>13</v>
      </c>
      <c r="F525" s="76">
        <v>1827</v>
      </c>
      <c r="G525" s="76"/>
      <c r="H525" s="71" t="s">
        <v>457</v>
      </c>
      <c r="I525" s="77" t="s">
        <v>30</v>
      </c>
      <c r="J525" s="77"/>
      <c r="K525" s="74" t="s">
        <v>8</v>
      </c>
      <c r="L525" s="75">
        <v>7989891.1299999999</v>
      </c>
    </row>
    <row r="526" spans="1:12" ht="81.599999999999994" hidden="1" x14ac:dyDescent="0.3">
      <c r="A526" s="69" t="s">
        <v>776</v>
      </c>
      <c r="B526" s="70" t="s">
        <v>812</v>
      </c>
      <c r="C526" s="70" t="s">
        <v>875</v>
      </c>
      <c r="D526" s="70" t="s">
        <v>814</v>
      </c>
      <c r="E526" s="71" t="s">
        <v>13</v>
      </c>
      <c r="F526" s="76">
        <v>5544</v>
      </c>
      <c r="G526" s="76"/>
      <c r="H526" s="71" t="s">
        <v>457</v>
      </c>
      <c r="I526" s="77" t="s">
        <v>30</v>
      </c>
      <c r="J526" s="77"/>
      <c r="K526" s="74" t="s">
        <v>8</v>
      </c>
      <c r="L526" s="75">
        <v>7995435.1299999999</v>
      </c>
    </row>
    <row r="527" spans="1:12" ht="81.599999999999994" hidden="1" x14ac:dyDescent="0.3">
      <c r="A527" s="69" t="s">
        <v>776</v>
      </c>
      <c r="B527" s="70" t="s">
        <v>812</v>
      </c>
      <c r="C527" s="70" t="s">
        <v>876</v>
      </c>
      <c r="D527" s="70" t="s">
        <v>814</v>
      </c>
      <c r="E527" s="71" t="s">
        <v>13</v>
      </c>
      <c r="F527" s="76">
        <v>12650</v>
      </c>
      <c r="G527" s="76"/>
      <c r="H527" s="71" t="s">
        <v>457</v>
      </c>
      <c r="I527" s="77" t="s">
        <v>30</v>
      </c>
      <c r="J527" s="77"/>
      <c r="K527" s="74" t="s">
        <v>8</v>
      </c>
      <c r="L527" s="75">
        <v>8008085.1299999999</v>
      </c>
    </row>
    <row r="528" spans="1:12" ht="91.8" hidden="1" x14ac:dyDescent="0.3">
      <c r="A528" s="69" t="s">
        <v>776</v>
      </c>
      <c r="B528" s="70" t="s">
        <v>812</v>
      </c>
      <c r="C528" s="70" t="s">
        <v>877</v>
      </c>
      <c r="D528" s="70" t="s">
        <v>814</v>
      </c>
      <c r="E528" s="71" t="s">
        <v>13</v>
      </c>
      <c r="F528" s="76">
        <v>5313</v>
      </c>
      <c r="G528" s="76"/>
      <c r="H528" s="71" t="s">
        <v>457</v>
      </c>
      <c r="I528" s="77" t="s">
        <v>30</v>
      </c>
      <c r="J528" s="77"/>
      <c r="K528" s="74" t="s">
        <v>8</v>
      </c>
      <c r="L528" s="75">
        <v>8013398.1299999999</v>
      </c>
    </row>
    <row r="529" spans="1:12" ht="71.400000000000006" x14ac:dyDescent="0.3">
      <c r="A529" s="69" t="s">
        <v>776</v>
      </c>
      <c r="B529" s="70" t="s">
        <v>878</v>
      </c>
      <c r="C529" s="70" t="s">
        <v>518</v>
      </c>
      <c r="D529" s="70" t="s">
        <v>367</v>
      </c>
      <c r="E529" s="71" t="s">
        <v>165</v>
      </c>
      <c r="F529" s="72" t="s">
        <v>30</v>
      </c>
      <c r="G529" s="72"/>
      <c r="H529" s="71" t="s">
        <v>13</v>
      </c>
      <c r="I529" s="78">
        <v>423.28</v>
      </c>
      <c r="J529" s="78"/>
      <c r="K529" s="74" t="s">
        <v>8</v>
      </c>
      <c r="L529" s="75">
        <v>206724.15</v>
      </c>
    </row>
    <row r="530" spans="1:12" ht="71.400000000000006" x14ac:dyDescent="0.3">
      <c r="A530" s="69" t="s">
        <v>776</v>
      </c>
      <c r="B530" s="70" t="s">
        <v>878</v>
      </c>
      <c r="C530" s="70" t="s">
        <v>518</v>
      </c>
      <c r="D530" s="70" t="s">
        <v>369</v>
      </c>
      <c r="E530" s="71" t="s">
        <v>165</v>
      </c>
      <c r="F530" s="72" t="s">
        <v>30</v>
      </c>
      <c r="G530" s="72"/>
      <c r="H530" s="71" t="s">
        <v>13</v>
      </c>
      <c r="I530" s="73">
        <v>7953.66</v>
      </c>
      <c r="J530" s="73"/>
      <c r="K530" s="74" t="s">
        <v>8</v>
      </c>
      <c r="L530" s="75">
        <v>198770.49</v>
      </c>
    </row>
    <row r="531" spans="1:12" ht="71.400000000000006" x14ac:dyDescent="0.3">
      <c r="A531" s="69" t="s">
        <v>776</v>
      </c>
      <c r="B531" s="70" t="s">
        <v>878</v>
      </c>
      <c r="C531" s="70" t="s">
        <v>518</v>
      </c>
      <c r="D531" s="70" t="s">
        <v>371</v>
      </c>
      <c r="E531" s="71" t="s">
        <v>165</v>
      </c>
      <c r="F531" s="72" t="s">
        <v>30</v>
      </c>
      <c r="G531" s="72"/>
      <c r="H531" s="71" t="s">
        <v>13</v>
      </c>
      <c r="I531" s="73">
        <v>1296</v>
      </c>
      <c r="J531" s="73"/>
      <c r="K531" s="74" t="s">
        <v>8</v>
      </c>
      <c r="L531" s="75">
        <v>197474.49</v>
      </c>
    </row>
    <row r="532" spans="1:12" ht="71.400000000000006" x14ac:dyDescent="0.3">
      <c r="A532" s="69" t="s">
        <v>776</v>
      </c>
      <c r="B532" s="70" t="s">
        <v>878</v>
      </c>
      <c r="C532" s="70" t="s">
        <v>518</v>
      </c>
      <c r="D532" s="70" t="s">
        <v>373</v>
      </c>
      <c r="E532" s="71" t="s">
        <v>165</v>
      </c>
      <c r="F532" s="72" t="s">
        <v>30</v>
      </c>
      <c r="G532" s="72"/>
      <c r="H532" s="71" t="s">
        <v>13</v>
      </c>
      <c r="I532" s="73">
        <v>6149.65</v>
      </c>
      <c r="J532" s="73"/>
      <c r="K532" s="74" t="s">
        <v>8</v>
      </c>
      <c r="L532" s="75">
        <v>191324.84</v>
      </c>
    </row>
    <row r="533" spans="1:12" ht="71.400000000000006" x14ac:dyDescent="0.3">
      <c r="A533" s="69" t="s">
        <v>776</v>
      </c>
      <c r="B533" s="70" t="s">
        <v>878</v>
      </c>
      <c r="C533" s="70" t="s">
        <v>518</v>
      </c>
      <c r="D533" s="70" t="s">
        <v>373</v>
      </c>
      <c r="E533" s="71" t="s">
        <v>165</v>
      </c>
      <c r="F533" s="72" t="s">
        <v>30</v>
      </c>
      <c r="G533" s="72"/>
      <c r="H533" s="71" t="s">
        <v>13</v>
      </c>
      <c r="I533" s="73">
        <v>2562.35</v>
      </c>
      <c r="J533" s="73"/>
      <c r="K533" s="74" t="s">
        <v>8</v>
      </c>
      <c r="L533" s="75">
        <v>188762.49</v>
      </c>
    </row>
    <row r="534" spans="1:12" ht="71.400000000000006" x14ac:dyDescent="0.3">
      <c r="A534" s="69" t="s">
        <v>776</v>
      </c>
      <c r="B534" s="70" t="s">
        <v>878</v>
      </c>
      <c r="C534" s="70" t="s">
        <v>518</v>
      </c>
      <c r="D534" s="70" t="s">
        <v>376</v>
      </c>
      <c r="E534" s="71" t="s">
        <v>165</v>
      </c>
      <c r="F534" s="72" t="s">
        <v>30</v>
      </c>
      <c r="G534" s="72"/>
      <c r="H534" s="71" t="s">
        <v>13</v>
      </c>
      <c r="I534" s="78">
        <v>249.92</v>
      </c>
      <c r="J534" s="78"/>
      <c r="K534" s="74" t="s">
        <v>8</v>
      </c>
      <c r="L534" s="75">
        <v>188512.57</v>
      </c>
    </row>
    <row r="535" spans="1:12" ht="71.400000000000006" x14ac:dyDescent="0.3">
      <c r="A535" s="69" t="s">
        <v>776</v>
      </c>
      <c r="B535" s="70" t="s">
        <v>878</v>
      </c>
      <c r="C535" s="70" t="s">
        <v>518</v>
      </c>
      <c r="D535" s="70" t="s">
        <v>378</v>
      </c>
      <c r="E535" s="71" t="s">
        <v>165</v>
      </c>
      <c r="F535" s="72" t="s">
        <v>30</v>
      </c>
      <c r="G535" s="72"/>
      <c r="H535" s="71" t="s">
        <v>13</v>
      </c>
      <c r="I535" s="73">
        <v>4732.1400000000003</v>
      </c>
      <c r="J535" s="73"/>
      <c r="K535" s="74" t="s">
        <v>8</v>
      </c>
      <c r="L535" s="75">
        <v>183780.43</v>
      </c>
    </row>
    <row r="536" spans="1:12" ht="71.400000000000006" x14ac:dyDescent="0.3">
      <c r="A536" s="69" t="s">
        <v>776</v>
      </c>
      <c r="B536" s="70" t="s">
        <v>878</v>
      </c>
      <c r="C536" s="70" t="s">
        <v>518</v>
      </c>
      <c r="D536" s="70" t="s">
        <v>380</v>
      </c>
      <c r="E536" s="71" t="s">
        <v>165</v>
      </c>
      <c r="F536" s="72" t="s">
        <v>30</v>
      </c>
      <c r="G536" s="72"/>
      <c r="H536" s="71" t="s">
        <v>13</v>
      </c>
      <c r="I536" s="73">
        <v>5347.52</v>
      </c>
      <c r="J536" s="73"/>
      <c r="K536" s="74" t="s">
        <v>8</v>
      </c>
      <c r="L536" s="75">
        <v>178432.91</v>
      </c>
    </row>
    <row r="537" spans="1:12" ht="81.599999999999994" x14ac:dyDescent="0.3">
      <c r="A537" s="69" t="s">
        <v>776</v>
      </c>
      <c r="B537" s="70" t="s">
        <v>878</v>
      </c>
      <c r="C537" s="70" t="s">
        <v>518</v>
      </c>
      <c r="D537" s="70" t="s">
        <v>382</v>
      </c>
      <c r="E537" s="71" t="s">
        <v>165</v>
      </c>
      <c r="F537" s="72" t="s">
        <v>30</v>
      </c>
      <c r="G537" s="72"/>
      <c r="H537" s="71" t="s">
        <v>13</v>
      </c>
      <c r="I537" s="78">
        <v>58.5</v>
      </c>
      <c r="J537" s="78"/>
      <c r="K537" s="74" t="s">
        <v>8</v>
      </c>
      <c r="L537" s="75">
        <v>178374.41</v>
      </c>
    </row>
    <row r="538" spans="1:12" ht="81.599999999999994" x14ac:dyDescent="0.3">
      <c r="A538" s="69" t="s">
        <v>776</v>
      </c>
      <c r="B538" s="70" t="s">
        <v>878</v>
      </c>
      <c r="C538" s="70" t="s">
        <v>518</v>
      </c>
      <c r="D538" s="70" t="s">
        <v>384</v>
      </c>
      <c r="E538" s="71" t="s">
        <v>165</v>
      </c>
      <c r="F538" s="72" t="s">
        <v>30</v>
      </c>
      <c r="G538" s="72"/>
      <c r="H538" s="71" t="s">
        <v>13</v>
      </c>
      <c r="I538" s="73">
        <v>1048.57</v>
      </c>
      <c r="J538" s="73"/>
      <c r="K538" s="74" t="s">
        <v>8</v>
      </c>
      <c r="L538" s="75">
        <v>177325.84</v>
      </c>
    </row>
    <row r="539" spans="1:12" ht="81.599999999999994" x14ac:dyDescent="0.3">
      <c r="A539" s="69" t="s">
        <v>776</v>
      </c>
      <c r="B539" s="70" t="s">
        <v>878</v>
      </c>
      <c r="C539" s="70" t="s">
        <v>518</v>
      </c>
      <c r="D539" s="70" t="s">
        <v>386</v>
      </c>
      <c r="E539" s="71" t="s">
        <v>165</v>
      </c>
      <c r="F539" s="72" t="s">
        <v>30</v>
      </c>
      <c r="G539" s="72"/>
      <c r="H539" s="71" t="s">
        <v>13</v>
      </c>
      <c r="I539" s="78">
        <v>554.88</v>
      </c>
      <c r="J539" s="78"/>
      <c r="K539" s="74" t="s">
        <v>8</v>
      </c>
      <c r="L539" s="75">
        <v>176770.96</v>
      </c>
    </row>
    <row r="540" spans="1:12" ht="91.8" x14ac:dyDescent="0.3">
      <c r="A540" s="69" t="s">
        <v>879</v>
      </c>
      <c r="B540" s="70" t="s">
        <v>880</v>
      </c>
      <c r="C540" s="70" t="s">
        <v>27</v>
      </c>
      <c r="D540" s="70" t="s">
        <v>789</v>
      </c>
      <c r="E540" s="71" t="s">
        <v>29</v>
      </c>
      <c r="F540" s="72" t="s">
        <v>30</v>
      </c>
      <c r="G540" s="72"/>
      <c r="H540" s="71" t="s">
        <v>13</v>
      </c>
      <c r="I540" s="73">
        <v>114210.6</v>
      </c>
      <c r="J540" s="73"/>
      <c r="K540" s="74" t="s">
        <v>8</v>
      </c>
      <c r="L540" s="75">
        <v>7899187.5300000003</v>
      </c>
    </row>
    <row r="541" spans="1:12" ht="91.8" x14ac:dyDescent="0.3">
      <c r="A541" s="69" t="s">
        <v>879</v>
      </c>
      <c r="B541" s="70" t="s">
        <v>880</v>
      </c>
      <c r="C541" s="70" t="s">
        <v>27</v>
      </c>
      <c r="D541" s="70" t="s">
        <v>793</v>
      </c>
      <c r="E541" s="71" t="s">
        <v>29</v>
      </c>
      <c r="F541" s="72" t="s">
        <v>30</v>
      </c>
      <c r="G541" s="72"/>
      <c r="H541" s="71" t="s">
        <v>13</v>
      </c>
      <c r="I541" s="73">
        <v>445693</v>
      </c>
      <c r="J541" s="73"/>
      <c r="K541" s="74" t="s">
        <v>8</v>
      </c>
      <c r="L541" s="75">
        <v>7453494.5300000003</v>
      </c>
    </row>
    <row r="542" spans="1:12" ht="91.8" x14ac:dyDescent="0.3">
      <c r="A542" s="69" t="s">
        <v>879</v>
      </c>
      <c r="B542" s="70" t="s">
        <v>880</v>
      </c>
      <c r="C542" s="70" t="s">
        <v>27</v>
      </c>
      <c r="D542" s="70" t="s">
        <v>791</v>
      </c>
      <c r="E542" s="71" t="s">
        <v>29</v>
      </c>
      <c r="F542" s="72" t="s">
        <v>30</v>
      </c>
      <c r="G542" s="72"/>
      <c r="H542" s="71" t="s">
        <v>13</v>
      </c>
      <c r="I542" s="73">
        <v>4712.21</v>
      </c>
      <c r="J542" s="73"/>
      <c r="K542" s="74" t="s">
        <v>8</v>
      </c>
      <c r="L542" s="75">
        <v>7448782.3200000003</v>
      </c>
    </row>
    <row r="543" spans="1:12" ht="91.8" x14ac:dyDescent="0.3">
      <c r="A543" s="69" t="s">
        <v>879</v>
      </c>
      <c r="B543" s="70" t="s">
        <v>880</v>
      </c>
      <c r="C543" s="70" t="s">
        <v>27</v>
      </c>
      <c r="D543" s="70" t="s">
        <v>796</v>
      </c>
      <c r="E543" s="71" t="s">
        <v>29</v>
      </c>
      <c r="F543" s="72" t="s">
        <v>30</v>
      </c>
      <c r="G543" s="72"/>
      <c r="H543" s="71" t="s">
        <v>13</v>
      </c>
      <c r="I543" s="73">
        <v>2335608</v>
      </c>
      <c r="J543" s="73"/>
      <c r="K543" s="74" t="s">
        <v>8</v>
      </c>
      <c r="L543" s="75">
        <v>5113174.32</v>
      </c>
    </row>
    <row r="544" spans="1:12" ht="91.8" x14ac:dyDescent="0.3">
      <c r="A544" s="69" t="s">
        <v>879</v>
      </c>
      <c r="B544" s="70" t="s">
        <v>881</v>
      </c>
      <c r="C544" s="70" t="s">
        <v>27</v>
      </c>
      <c r="D544" s="70" t="s">
        <v>793</v>
      </c>
      <c r="E544" s="71" t="s">
        <v>29</v>
      </c>
      <c r="F544" s="72" t="s">
        <v>30</v>
      </c>
      <c r="G544" s="72"/>
      <c r="H544" s="71" t="s">
        <v>13</v>
      </c>
      <c r="I544" s="73">
        <v>114239</v>
      </c>
      <c r="J544" s="73"/>
      <c r="K544" s="74" t="s">
        <v>8</v>
      </c>
      <c r="L544" s="75">
        <v>4998935.32</v>
      </c>
    </row>
    <row r="545" spans="1:12" ht="91.8" x14ac:dyDescent="0.3">
      <c r="A545" s="69" t="s">
        <v>879</v>
      </c>
      <c r="B545" s="70" t="s">
        <v>881</v>
      </c>
      <c r="C545" s="70" t="s">
        <v>27</v>
      </c>
      <c r="D545" s="70" t="s">
        <v>791</v>
      </c>
      <c r="E545" s="71" t="s">
        <v>29</v>
      </c>
      <c r="F545" s="72" t="s">
        <v>30</v>
      </c>
      <c r="G545" s="72"/>
      <c r="H545" s="71" t="s">
        <v>13</v>
      </c>
      <c r="I545" s="73">
        <v>37697.68</v>
      </c>
      <c r="J545" s="73"/>
      <c r="K545" s="74" t="s">
        <v>8</v>
      </c>
      <c r="L545" s="75">
        <v>4961237.6399999997</v>
      </c>
    </row>
    <row r="546" spans="1:12" ht="91.8" x14ac:dyDescent="0.3">
      <c r="A546" s="69" t="s">
        <v>879</v>
      </c>
      <c r="B546" s="70" t="s">
        <v>881</v>
      </c>
      <c r="C546" s="70" t="s">
        <v>27</v>
      </c>
      <c r="D546" s="70" t="s">
        <v>795</v>
      </c>
      <c r="E546" s="71" t="s">
        <v>29</v>
      </c>
      <c r="F546" s="72" t="s">
        <v>30</v>
      </c>
      <c r="G546" s="72"/>
      <c r="H546" s="71" t="s">
        <v>13</v>
      </c>
      <c r="I546" s="73">
        <v>4712</v>
      </c>
      <c r="J546" s="73"/>
      <c r="K546" s="74" t="s">
        <v>8</v>
      </c>
      <c r="L546" s="75">
        <v>4956525.6399999997</v>
      </c>
    </row>
    <row r="547" spans="1:12" ht="71.400000000000006" hidden="1" x14ac:dyDescent="0.3">
      <c r="A547" s="69" t="s">
        <v>879</v>
      </c>
      <c r="B547" s="70" t="s">
        <v>882</v>
      </c>
      <c r="C547" s="70" t="s">
        <v>883</v>
      </c>
      <c r="D547" s="70" t="s">
        <v>671</v>
      </c>
      <c r="E547" s="71" t="s">
        <v>13</v>
      </c>
      <c r="F547" s="76">
        <v>100170</v>
      </c>
      <c r="G547" s="76"/>
      <c r="H547" s="71" t="s">
        <v>457</v>
      </c>
      <c r="I547" s="77" t="s">
        <v>30</v>
      </c>
      <c r="J547" s="77"/>
      <c r="K547" s="74" t="s">
        <v>8</v>
      </c>
      <c r="L547" s="75">
        <v>4814870.22</v>
      </c>
    </row>
    <row r="548" spans="1:12" ht="71.400000000000006" hidden="1" x14ac:dyDescent="0.3">
      <c r="A548" s="69" t="s">
        <v>879</v>
      </c>
      <c r="B548" s="70" t="s">
        <v>882</v>
      </c>
      <c r="C548" s="70" t="s">
        <v>884</v>
      </c>
      <c r="D548" s="70" t="s">
        <v>671</v>
      </c>
      <c r="E548" s="71" t="s">
        <v>13</v>
      </c>
      <c r="F548" s="76">
        <v>8340</v>
      </c>
      <c r="G548" s="76"/>
      <c r="H548" s="71" t="s">
        <v>457</v>
      </c>
      <c r="I548" s="77" t="s">
        <v>30</v>
      </c>
      <c r="J548" s="77"/>
      <c r="K548" s="74" t="s">
        <v>8</v>
      </c>
      <c r="L548" s="75">
        <v>4823210.22</v>
      </c>
    </row>
    <row r="549" spans="1:12" ht="71.400000000000006" hidden="1" x14ac:dyDescent="0.3">
      <c r="A549" s="69" t="s">
        <v>879</v>
      </c>
      <c r="B549" s="70" t="s">
        <v>885</v>
      </c>
      <c r="C549" s="70" t="s">
        <v>886</v>
      </c>
      <c r="D549" s="70" t="s">
        <v>887</v>
      </c>
      <c r="E549" s="71" t="s">
        <v>13</v>
      </c>
      <c r="F549" s="76">
        <v>43332.75</v>
      </c>
      <c r="G549" s="76"/>
      <c r="H549" s="71" t="s">
        <v>457</v>
      </c>
      <c r="I549" s="77" t="s">
        <v>30</v>
      </c>
      <c r="J549" s="77"/>
      <c r="K549" s="74" t="s">
        <v>8</v>
      </c>
      <c r="L549" s="75">
        <v>2554802.09</v>
      </c>
    </row>
    <row r="550" spans="1:12" ht="71.400000000000006" hidden="1" x14ac:dyDescent="0.3">
      <c r="A550" s="69" t="s">
        <v>879</v>
      </c>
      <c r="B550" s="70" t="s">
        <v>888</v>
      </c>
      <c r="C550" s="70" t="s">
        <v>886</v>
      </c>
      <c r="D550" s="70" t="s">
        <v>887</v>
      </c>
      <c r="E550" s="71" t="s">
        <v>13</v>
      </c>
      <c r="F550" s="76">
        <v>111427.06</v>
      </c>
      <c r="G550" s="76"/>
      <c r="H550" s="71" t="s">
        <v>457</v>
      </c>
      <c r="I550" s="77" t="s">
        <v>30</v>
      </c>
      <c r="J550" s="77"/>
      <c r="K550" s="74" t="s">
        <v>8</v>
      </c>
      <c r="L550" s="75">
        <v>2666229.15</v>
      </c>
    </row>
    <row r="551" spans="1:12" ht="71.400000000000006" hidden="1" x14ac:dyDescent="0.3">
      <c r="A551" s="69" t="s">
        <v>879</v>
      </c>
      <c r="B551" s="70" t="s">
        <v>889</v>
      </c>
      <c r="C551" s="70" t="s">
        <v>890</v>
      </c>
      <c r="D551" s="70" t="s">
        <v>891</v>
      </c>
      <c r="E551" s="71" t="s">
        <v>13</v>
      </c>
      <c r="F551" s="76">
        <v>605482.03</v>
      </c>
      <c r="G551" s="76"/>
      <c r="H551" s="71" t="s">
        <v>457</v>
      </c>
      <c r="I551" s="77" t="s">
        <v>30</v>
      </c>
      <c r="J551" s="77"/>
      <c r="K551" s="74" t="s">
        <v>8</v>
      </c>
      <c r="L551" s="75">
        <v>3271711.18</v>
      </c>
    </row>
    <row r="552" spans="1:12" ht="71.400000000000006" hidden="1" x14ac:dyDescent="0.3">
      <c r="A552" s="69" t="s">
        <v>879</v>
      </c>
      <c r="B552" s="70" t="s">
        <v>892</v>
      </c>
      <c r="C552" s="70" t="s">
        <v>893</v>
      </c>
      <c r="D552" s="70" t="s">
        <v>894</v>
      </c>
      <c r="E552" s="71" t="s">
        <v>13</v>
      </c>
      <c r="F552" s="76">
        <v>140066.9</v>
      </c>
      <c r="G552" s="76"/>
      <c r="H552" s="71" t="s">
        <v>457</v>
      </c>
      <c r="I552" s="77" t="s">
        <v>30</v>
      </c>
      <c r="J552" s="77"/>
      <c r="K552" s="74" t="s">
        <v>8</v>
      </c>
      <c r="L552" s="75">
        <v>3411778.08</v>
      </c>
    </row>
    <row r="553" spans="1:12" ht="71.400000000000006" hidden="1" x14ac:dyDescent="0.3">
      <c r="A553" s="69" t="s">
        <v>879</v>
      </c>
      <c r="B553" s="70" t="s">
        <v>895</v>
      </c>
      <c r="C553" s="70" t="s">
        <v>893</v>
      </c>
      <c r="D553" s="70" t="s">
        <v>894</v>
      </c>
      <c r="E553" s="71" t="s">
        <v>13</v>
      </c>
      <c r="F553" s="76">
        <v>300540.73</v>
      </c>
      <c r="G553" s="76"/>
      <c r="H553" s="71" t="s">
        <v>457</v>
      </c>
      <c r="I553" s="77" t="s">
        <v>30</v>
      </c>
      <c r="J553" s="77"/>
      <c r="K553" s="74" t="s">
        <v>8</v>
      </c>
      <c r="L553" s="75">
        <v>3712318.81</v>
      </c>
    </row>
    <row r="554" spans="1:12" ht="71.400000000000006" hidden="1" x14ac:dyDescent="0.3">
      <c r="A554" s="69" t="s">
        <v>879</v>
      </c>
      <c r="B554" s="70" t="s">
        <v>896</v>
      </c>
      <c r="C554" s="70" t="s">
        <v>897</v>
      </c>
      <c r="D554" s="70" t="s">
        <v>898</v>
      </c>
      <c r="E554" s="71" t="s">
        <v>13</v>
      </c>
      <c r="F554" s="76">
        <v>320517.90000000002</v>
      </c>
      <c r="G554" s="76"/>
      <c r="H554" s="71" t="s">
        <v>457</v>
      </c>
      <c r="I554" s="77" t="s">
        <v>30</v>
      </c>
      <c r="J554" s="77"/>
      <c r="K554" s="74" t="s">
        <v>8</v>
      </c>
      <c r="L554" s="75">
        <v>4032836.71</v>
      </c>
    </row>
    <row r="555" spans="1:12" ht="71.400000000000006" hidden="1" x14ac:dyDescent="0.3">
      <c r="A555" s="69" t="s">
        <v>879</v>
      </c>
      <c r="B555" s="70" t="s">
        <v>899</v>
      </c>
      <c r="C555" s="70" t="s">
        <v>897</v>
      </c>
      <c r="D555" s="70" t="s">
        <v>898</v>
      </c>
      <c r="E555" s="71" t="s">
        <v>13</v>
      </c>
      <c r="F555" s="76">
        <v>824188.9</v>
      </c>
      <c r="G555" s="76"/>
      <c r="H555" s="71" t="s">
        <v>457</v>
      </c>
      <c r="I555" s="77" t="s">
        <v>30</v>
      </c>
      <c r="J555" s="77"/>
      <c r="K555" s="74" t="s">
        <v>8</v>
      </c>
      <c r="L555" s="75">
        <v>4857025.6100000003</v>
      </c>
    </row>
    <row r="556" spans="1:12" ht="91.8" x14ac:dyDescent="0.3">
      <c r="A556" s="69" t="s">
        <v>879</v>
      </c>
      <c r="B556" s="70" t="s">
        <v>900</v>
      </c>
      <c r="C556" s="70" t="s">
        <v>27</v>
      </c>
      <c r="D556" s="70" t="s">
        <v>813</v>
      </c>
      <c r="E556" s="71" t="s">
        <v>29</v>
      </c>
      <c r="F556" s="72" t="s">
        <v>30</v>
      </c>
      <c r="G556" s="72"/>
      <c r="H556" s="71" t="s">
        <v>13</v>
      </c>
      <c r="I556" s="73">
        <v>326865</v>
      </c>
      <c r="J556" s="73"/>
      <c r="K556" s="74" t="s">
        <v>8</v>
      </c>
      <c r="L556" s="75">
        <v>4629660.6399999997</v>
      </c>
    </row>
    <row r="557" spans="1:12" ht="91.8" x14ac:dyDescent="0.3">
      <c r="A557" s="69" t="s">
        <v>879</v>
      </c>
      <c r="B557" s="70" t="s">
        <v>900</v>
      </c>
      <c r="C557" s="70" t="s">
        <v>27</v>
      </c>
      <c r="D557" s="70" t="s">
        <v>815</v>
      </c>
      <c r="E557" s="71" t="s">
        <v>29</v>
      </c>
      <c r="F557" s="72" t="s">
        <v>30</v>
      </c>
      <c r="G557" s="72"/>
      <c r="H557" s="71" t="s">
        <v>13</v>
      </c>
      <c r="I557" s="73">
        <v>47748</v>
      </c>
      <c r="J557" s="73"/>
      <c r="K557" s="74" t="s">
        <v>8</v>
      </c>
      <c r="L557" s="75">
        <v>4581912.6399999997</v>
      </c>
    </row>
    <row r="558" spans="1:12" ht="91.8" x14ac:dyDescent="0.3">
      <c r="A558" s="69" t="s">
        <v>879</v>
      </c>
      <c r="B558" s="70" t="s">
        <v>900</v>
      </c>
      <c r="C558" s="70" t="s">
        <v>27</v>
      </c>
      <c r="D558" s="70" t="s">
        <v>816</v>
      </c>
      <c r="E558" s="71" t="s">
        <v>29</v>
      </c>
      <c r="F558" s="72" t="s">
        <v>30</v>
      </c>
      <c r="G558" s="72"/>
      <c r="H558" s="71" t="s">
        <v>13</v>
      </c>
      <c r="I558" s="73">
        <v>52016</v>
      </c>
      <c r="J558" s="73"/>
      <c r="K558" s="74" t="s">
        <v>8</v>
      </c>
      <c r="L558" s="75">
        <v>4529896.6399999997</v>
      </c>
    </row>
    <row r="559" spans="1:12" ht="91.8" x14ac:dyDescent="0.3">
      <c r="A559" s="69" t="s">
        <v>879</v>
      </c>
      <c r="B559" s="70" t="s">
        <v>900</v>
      </c>
      <c r="C559" s="70" t="s">
        <v>27</v>
      </c>
      <c r="D559" s="70" t="s">
        <v>817</v>
      </c>
      <c r="E559" s="71" t="s">
        <v>29</v>
      </c>
      <c r="F559" s="72" t="s">
        <v>30</v>
      </c>
      <c r="G559" s="72"/>
      <c r="H559" s="71" t="s">
        <v>13</v>
      </c>
      <c r="I559" s="73">
        <v>17226</v>
      </c>
      <c r="J559" s="73"/>
      <c r="K559" s="74" t="s">
        <v>8</v>
      </c>
      <c r="L559" s="75">
        <v>4512670.6399999997</v>
      </c>
    </row>
    <row r="560" spans="1:12" ht="91.8" x14ac:dyDescent="0.3">
      <c r="A560" s="69" t="s">
        <v>879</v>
      </c>
      <c r="B560" s="70" t="s">
        <v>900</v>
      </c>
      <c r="C560" s="70" t="s">
        <v>27</v>
      </c>
      <c r="D560" s="70" t="s">
        <v>818</v>
      </c>
      <c r="E560" s="71" t="s">
        <v>29</v>
      </c>
      <c r="F560" s="72" t="s">
        <v>30</v>
      </c>
      <c r="G560" s="72"/>
      <c r="H560" s="71" t="s">
        <v>13</v>
      </c>
      <c r="I560" s="73">
        <v>5715</v>
      </c>
      <c r="J560" s="73"/>
      <c r="K560" s="74" t="s">
        <v>8</v>
      </c>
      <c r="L560" s="75">
        <v>4506955.6399999997</v>
      </c>
    </row>
    <row r="561" spans="1:12" ht="91.8" x14ac:dyDescent="0.3">
      <c r="A561" s="69" t="s">
        <v>879</v>
      </c>
      <c r="B561" s="70" t="s">
        <v>900</v>
      </c>
      <c r="C561" s="70" t="s">
        <v>27</v>
      </c>
      <c r="D561" s="70" t="s">
        <v>819</v>
      </c>
      <c r="E561" s="71" t="s">
        <v>29</v>
      </c>
      <c r="F561" s="72" t="s">
        <v>30</v>
      </c>
      <c r="G561" s="72"/>
      <c r="H561" s="71" t="s">
        <v>13</v>
      </c>
      <c r="I561" s="73">
        <v>53560</v>
      </c>
      <c r="J561" s="73"/>
      <c r="K561" s="74" t="s">
        <v>8</v>
      </c>
      <c r="L561" s="75">
        <v>4453395.6399999997</v>
      </c>
    </row>
    <row r="562" spans="1:12" ht="91.8" x14ac:dyDescent="0.3">
      <c r="A562" s="69" t="s">
        <v>879</v>
      </c>
      <c r="B562" s="70" t="s">
        <v>900</v>
      </c>
      <c r="C562" s="70" t="s">
        <v>27</v>
      </c>
      <c r="D562" s="70" t="s">
        <v>820</v>
      </c>
      <c r="E562" s="71" t="s">
        <v>29</v>
      </c>
      <c r="F562" s="72" t="s">
        <v>30</v>
      </c>
      <c r="G562" s="72"/>
      <c r="H562" s="71" t="s">
        <v>13</v>
      </c>
      <c r="I562" s="73">
        <v>62425</v>
      </c>
      <c r="J562" s="73"/>
      <c r="K562" s="74" t="s">
        <v>8</v>
      </c>
      <c r="L562" s="75">
        <v>4390970.6399999997</v>
      </c>
    </row>
    <row r="563" spans="1:12" ht="91.8" x14ac:dyDescent="0.3">
      <c r="A563" s="69" t="s">
        <v>879</v>
      </c>
      <c r="B563" s="70" t="s">
        <v>900</v>
      </c>
      <c r="C563" s="70" t="s">
        <v>27</v>
      </c>
      <c r="D563" s="70" t="s">
        <v>821</v>
      </c>
      <c r="E563" s="71" t="s">
        <v>29</v>
      </c>
      <c r="F563" s="72" t="s">
        <v>30</v>
      </c>
      <c r="G563" s="72"/>
      <c r="H563" s="71" t="s">
        <v>13</v>
      </c>
      <c r="I563" s="73">
        <v>14576</v>
      </c>
      <c r="J563" s="73"/>
      <c r="K563" s="74" t="s">
        <v>8</v>
      </c>
      <c r="L563" s="75">
        <v>4376394.6399999997</v>
      </c>
    </row>
    <row r="564" spans="1:12" ht="91.8" x14ac:dyDescent="0.3">
      <c r="A564" s="69" t="s">
        <v>879</v>
      </c>
      <c r="B564" s="70" t="s">
        <v>900</v>
      </c>
      <c r="C564" s="70" t="s">
        <v>27</v>
      </c>
      <c r="D564" s="70" t="s">
        <v>822</v>
      </c>
      <c r="E564" s="71" t="s">
        <v>29</v>
      </c>
      <c r="F564" s="72" t="s">
        <v>30</v>
      </c>
      <c r="G564" s="72"/>
      <c r="H564" s="71" t="s">
        <v>13</v>
      </c>
      <c r="I564" s="73">
        <v>9258</v>
      </c>
      <c r="J564" s="73"/>
      <c r="K564" s="74" t="s">
        <v>8</v>
      </c>
      <c r="L564" s="75">
        <v>4367136.6399999997</v>
      </c>
    </row>
    <row r="565" spans="1:12" ht="91.8" x14ac:dyDescent="0.3">
      <c r="A565" s="69" t="s">
        <v>879</v>
      </c>
      <c r="B565" s="70" t="s">
        <v>900</v>
      </c>
      <c r="C565" s="70" t="s">
        <v>27</v>
      </c>
      <c r="D565" s="70" t="s">
        <v>823</v>
      </c>
      <c r="E565" s="71" t="s">
        <v>29</v>
      </c>
      <c r="F565" s="72" t="s">
        <v>30</v>
      </c>
      <c r="G565" s="72"/>
      <c r="H565" s="71" t="s">
        <v>13</v>
      </c>
      <c r="I565" s="73">
        <v>33946</v>
      </c>
      <c r="J565" s="73"/>
      <c r="K565" s="74" t="s">
        <v>8</v>
      </c>
      <c r="L565" s="75">
        <v>4333190.6399999997</v>
      </c>
    </row>
    <row r="566" spans="1:12" ht="91.8" x14ac:dyDescent="0.3">
      <c r="A566" s="69" t="s">
        <v>879</v>
      </c>
      <c r="B566" s="70" t="s">
        <v>900</v>
      </c>
      <c r="C566" s="70" t="s">
        <v>27</v>
      </c>
      <c r="D566" s="70" t="s">
        <v>824</v>
      </c>
      <c r="E566" s="71" t="s">
        <v>29</v>
      </c>
      <c r="F566" s="72" t="s">
        <v>30</v>
      </c>
      <c r="G566" s="72"/>
      <c r="H566" s="71" t="s">
        <v>13</v>
      </c>
      <c r="I566" s="73">
        <v>27774</v>
      </c>
      <c r="J566" s="73"/>
      <c r="K566" s="74" t="s">
        <v>8</v>
      </c>
      <c r="L566" s="75">
        <v>4305416.6399999997</v>
      </c>
    </row>
    <row r="567" spans="1:12" ht="91.8" x14ac:dyDescent="0.3">
      <c r="A567" s="69" t="s">
        <v>879</v>
      </c>
      <c r="B567" s="70" t="s">
        <v>900</v>
      </c>
      <c r="C567" s="70" t="s">
        <v>27</v>
      </c>
      <c r="D567" s="70" t="s">
        <v>825</v>
      </c>
      <c r="E567" s="71" t="s">
        <v>29</v>
      </c>
      <c r="F567" s="72" t="s">
        <v>30</v>
      </c>
      <c r="G567" s="72"/>
      <c r="H567" s="71" t="s">
        <v>13</v>
      </c>
      <c r="I567" s="73">
        <v>50960</v>
      </c>
      <c r="J567" s="73"/>
      <c r="K567" s="74" t="s">
        <v>8</v>
      </c>
      <c r="L567" s="75">
        <v>4254456.6399999997</v>
      </c>
    </row>
    <row r="568" spans="1:12" ht="91.8" x14ac:dyDescent="0.3">
      <c r="A568" s="69" t="s">
        <v>879</v>
      </c>
      <c r="B568" s="70" t="s">
        <v>900</v>
      </c>
      <c r="C568" s="70" t="s">
        <v>27</v>
      </c>
      <c r="D568" s="70" t="s">
        <v>826</v>
      </c>
      <c r="E568" s="71" t="s">
        <v>29</v>
      </c>
      <c r="F568" s="72" t="s">
        <v>30</v>
      </c>
      <c r="G568" s="72"/>
      <c r="H568" s="71" t="s">
        <v>13</v>
      </c>
      <c r="I568" s="73">
        <v>95295</v>
      </c>
      <c r="J568" s="73"/>
      <c r="K568" s="74" t="s">
        <v>8</v>
      </c>
      <c r="L568" s="75">
        <v>4159161.64</v>
      </c>
    </row>
    <row r="569" spans="1:12" ht="91.8" x14ac:dyDescent="0.3">
      <c r="A569" s="69" t="s">
        <v>879</v>
      </c>
      <c r="B569" s="70" t="s">
        <v>900</v>
      </c>
      <c r="C569" s="70" t="s">
        <v>27</v>
      </c>
      <c r="D569" s="70" t="s">
        <v>827</v>
      </c>
      <c r="E569" s="71" t="s">
        <v>29</v>
      </c>
      <c r="F569" s="72" t="s">
        <v>30</v>
      </c>
      <c r="G569" s="72"/>
      <c r="H569" s="71" t="s">
        <v>13</v>
      </c>
      <c r="I569" s="73">
        <v>19701</v>
      </c>
      <c r="J569" s="73"/>
      <c r="K569" s="74" t="s">
        <v>8</v>
      </c>
      <c r="L569" s="75">
        <v>4139460.64</v>
      </c>
    </row>
    <row r="570" spans="1:12" ht="91.8" x14ac:dyDescent="0.3">
      <c r="A570" s="69" t="s">
        <v>879</v>
      </c>
      <c r="B570" s="70" t="s">
        <v>900</v>
      </c>
      <c r="C570" s="70" t="s">
        <v>27</v>
      </c>
      <c r="D570" s="70" t="s">
        <v>828</v>
      </c>
      <c r="E570" s="71" t="s">
        <v>29</v>
      </c>
      <c r="F570" s="72" t="s">
        <v>30</v>
      </c>
      <c r="G570" s="72"/>
      <c r="H570" s="71" t="s">
        <v>13</v>
      </c>
      <c r="I570" s="73">
        <v>12129</v>
      </c>
      <c r="J570" s="73"/>
      <c r="K570" s="74" t="s">
        <v>8</v>
      </c>
      <c r="L570" s="75">
        <v>4127331.64</v>
      </c>
    </row>
    <row r="571" spans="1:12" ht="81.599999999999994" x14ac:dyDescent="0.3">
      <c r="A571" s="69" t="s">
        <v>879</v>
      </c>
      <c r="B571" s="70" t="s">
        <v>900</v>
      </c>
      <c r="C571" s="70" t="s">
        <v>27</v>
      </c>
      <c r="D571" s="70" t="s">
        <v>829</v>
      </c>
      <c r="E571" s="71" t="s">
        <v>29</v>
      </c>
      <c r="F571" s="72" t="s">
        <v>30</v>
      </c>
      <c r="G571" s="72"/>
      <c r="H571" s="71" t="s">
        <v>13</v>
      </c>
      <c r="I571" s="73">
        <v>8448</v>
      </c>
      <c r="J571" s="73"/>
      <c r="K571" s="74" t="s">
        <v>8</v>
      </c>
      <c r="L571" s="75">
        <v>4118883.64</v>
      </c>
    </row>
    <row r="572" spans="1:12" ht="81.599999999999994" x14ac:dyDescent="0.3">
      <c r="A572" s="69" t="s">
        <v>879</v>
      </c>
      <c r="B572" s="70" t="s">
        <v>900</v>
      </c>
      <c r="C572" s="70" t="s">
        <v>27</v>
      </c>
      <c r="D572" s="70" t="s">
        <v>830</v>
      </c>
      <c r="E572" s="71" t="s">
        <v>29</v>
      </c>
      <c r="F572" s="72" t="s">
        <v>30</v>
      </c>
      <c r="G572" s="72"/>
      <c r="H572" s="71" t="s">
        <v>13</v>
      </c>
      <c r="I572" s="73">
        <v>2488</v>
      </c>
      <c r="J572" s="73"/>
      <c r="K572" s="74" t="s">
        <v>8</v>
      </c>
      <c r="L572" s="75">
        <v>4116395.64</v>
      </c>
    </row>
    <row r="573" spans="1:12" ht="81.599999999999994" x14ac:dyDescent="0.3">
      <c r="A573" s="69" t="s">
        <v>879</v>
      </c>
      <c r="B573" s="70" t="s">
        <v>900</v>
      </c>
      <c r="C573" s="70" t="s">
        <v>27</v>
      </c>
      <c r="D573" s="70" t="s">
        <v>831</v>
      </c>
      <c r="E573" s="71" t="s">
        <v>29</v>
      </c>
      <c r="F573" s="72" t="s">
        <v>30</v>
      </c>
      <c r="G573" s="72"/>
      <c r="H573" s="71" t="s">
        <v>13</v>
      </c>
      <c r="I573" s="73">
        <v>12000</v>
      </c>
      <c r="J573" s="73"/>
      <c r="K573" s="74" t="s">
        <v>8</v>
      </c>
      <c r="L573" s="75">
        <v>4104395.64</v>
      </c>
    </row>
    <row r="574" spans="1:12" ht="81.599999999999994" x14ac:dyDescent="0.3">
      <c r="A574" s="69" t="s">
        <v>879</v>
      </c>
      <c r="B574" s="70" t="s">
        <v>900</v>
      </c>
      <c r="C574" s="70" t="s">
        <v>27</v>
      </c>
      <c r="D574" s="70" t="s">
        <v>832</v>
      </c>
      <c r="E574" s="71" t="s">
        <v>29</v>
      </c>
      <c r="F574" s="72" t="s">
        <v>30</v>
      </c>
      <c r="G574" s="72"/>
      <c r="H574" s="71" t="s">
        <v>13</v>
      </c>
      <c r="I574" s="73">
        <v>33000</v>
      </c>
      <c r="J574" s="73"/>
      <c r="K574" s="74" t="s">
        <v>8</v>
      </c>
      <c r="L574" s="75">
        <v>4071395.64</v>
      </c>
    </row>
    <row r="575" spans="1:12" ht="81.599999999999994" x14ac:dyDescent="0.3">
      <c r="A575" s="69" t="s">
        <v>879</v>
      </c>
      <c r="B575" s="70" t="s">
        <v>900</v>
      </c>
      <c r="C575" s="70" t="s">
        <v>27</v>
      </c>
      <c r="D575" s="70" t="s">
        <v>833</v>
      </c>
      <c r="E575" s="71" t="s">
        <v>29</v>
      </c>
      <c r="F575" s="72" t="s">
        <v>30</v>
      </c>
      <c r="G575" s="72"/>
      <c r="H575" s="71" t="s">
        <v>13</v>
      </c>
      <c r="I575" s="73">
        <v>29400</v>
      </c>
      <c r="J575" s="73"/>
      <c r="K575" s="74" t="s">
        <v>8</v>
      </c>
      <c r="L575" s="75">
        <v>4041995.64</v>
      </c>
    </row>
    <row r="576" spans="1:12" ht="81.599999999999994" x14ac:dyDescent="0.3">
      <c r="A576" s="69" t="s">
        <v>879</v>
      </c>
      <c r="B576" s="70" t="s">
        <v>900</v>
      </c>
      <c r="C576" s="70" t="s">
        <v>27</v>
      </c>
      <c r="D576" s="70" t="s">
        <v>834</v>
      </c>
      <c r="E576" s="71" t="s">
        <v>29</v>
      </c>
      <c r="F576" s="72" t="s">
        <v>30</v>
      </c>
      <c r="G576" s="72"/>
      <c r="H576" s="71" t="s">
        <v>13</v>
      </c>
      <c r="I576" s="73">
        <v>68013</v>
      </c>
      <c r="J576" s="73"/>
      <c r="K576" s="74" t="s">
        <v>8</v>
      </c>
      <c r="L576" s="75">
        <v>3973982.64</v>
      </c>
    </row>
    <row r="577" spans="1:12" ht="91.8" x14ac:dyDescent="0.3">
      <c r="A577" s="69" t="s">
        <v>879</v>
      </c>
      <c r="B577" s="70" t="s">
        <v>900</v>
      </c>
      <c r="C577" s="70" t="s">
        <v>27</v>
      </c>
      <c r="D577" s="70" t="s">
        <v>835</v>
      </c>
      <c r="E577" s="71" t="s">
        <v>29</v>
      </c>
      <c r="F577" s="72" t="s">
        <v>30</v>
      </c>
      <c r="G577" s="72"/>
      <c r="H577" s="71" t="s">
        <v>13</v>
      </c>
      <c r="I577" s="73">
        <v>6300</v>
      </c>
      <c r="J577" s="73"/>
      <c r="K577" s="74" t="s">
        <v>8</v>
      </c>
      <c r="L577" s="75">
        <v>3967682.64</v>
      </c>
    </row>
    <row r="578" spans="1:12" ht="91.8" x14ac:dyDescent="0.3">
      <c r="A578" s="69" t="s">
        <v>879</v>
      </c>
      <c r="B578" s="70" t="s">
        <v>900</v>
      </c>
      <c r="C578" s="70" t="s">
        <v>27</v>
      </c>
      <c r="D578" s="70" t="s">
        <v>836</v>
      </c>
      <c r="E578" s="71" t="s">
        <v>29</v>
      </c>
      <c r="F578" s="72" t="s">
        <v>30</v>
      </c>
      <c r="G578" s="72"/>
      <c r="H578" s="71" t="s">
        <v>13</v>
      </c>
      <c r="I578" s="73">
        <v>5280</v>
      </c>
      <c r="J578" s="73"/>
      <c r="K578" s="74" t="s">
        <v>8</v>
      </c>
      <c r="L578" s="75">
        <v>3962402.64</v>
      </c>
    </row>
    <row r="579" spans="1:12" ht="81.599999999999994" x14ac:dyDescent="0.3">
      <c r="A579" s="69" t="s">
        <v>879</v>
      </c>
      <c r="B579" s="70" t="s">
        <v>900</v>
      </c>
      <c r="C579" s="70" t="s">
        <v>27</v>
      </c>
      <c r="D579" s="70" t="s">
        <v>837</v>
      </c>
      <c r="E579" s="71" t="s">
        <v>29</v>
      </c>
      <c r="F579" s="72" t="s">
        <v>30</v>
      </c>
      <c r="G579" s="72"/>
      <c r="H579" s="71" t="s">
        <v>13</v>
      </c>
      <c r="I579" s="73">
        <v>18711</v>
      </c>
      <c r="J579" s="73"/>
      <c r="K579" s="74" t="s">
        <v>8</v>
      </c>
      <c r="L579" s="75">
        <v>3943691.64</v>
      </c>
    </row>
    <row r="580" spans="1:12" ht="81.599999999999994" x14ac:dyDescent="0.3">
      <c r="A580" s="69" t="s">
        <v>879</v>
      </c>
      <c r="B580" s="70" t="s">
        <v>900</v>
      </c>
      <c r="C580" s="70" t="s">
        <v>27</v>
      </c>
      <c r="D580" s="70" t="s">
        <v>838</v>
      </c>
      <c r="E580" s="71" t="s">
        <v>29</v>
      </c>
      <c r="F580" s="72" t="s">
        <v>30</v>
      </c>
      <c r="G580" s="72"/>
      <c r="H580" s="71" t="s">
        <v>13</v>
      </c>
      <c r="I580" s="73">
        <v>161070</v>
      </c>
      <c r="J580" s="73"/>
      <c r="K580" s="74" t="s">
        <v>8</v>
      </c>
      <c r="L580" s="75">
        <v>3782621.64</v>
      </c>
    </row>
    <row r="581" spans="1:12" ht="91.8" x14ac:dyDescent="0.3">
      <c r="A581" s="69" t="s">
        <v>879</v>
      </c>
      <c r="B581" s="70" t="s">
        <v>900</v>
      </c>
      <c r="C581" s="70" t="s">
        <v>27</v>
      </c>
      <c r="D581" s="70" t="s">
        <v>839</v>
      </c>
      <c r="E581" s="71" t="s">
        <v>29</v>
      </c>
      <c r="F581" s="72" t="s">
        <v>30</v>
      </c>
      <c r="G581" s="72"/>
      <c r="H581" s="71" t="s">
        <v>13</v>
      </c>
      <c r="I581" s="73">
        <v>12636</v>
      </c>
      <c r="J581" s="73"/>
      <c r="K581" s="74" t="s">
        <v>8</v>
      </c>
      <c r="L581" s="75">
        <v>3769985.64</v>
      </c>
    </row>
    <row r="582" spans="1:12" ht="91.8" x14ac:dyDescent="0.3">
      <c r="A582" s="69" t="s">
        <v>879</v>
      </c>
      <c r="B582" s="70" t="s">
        <v>900</v>
      </c>
      <c r="C582" s="70" t="s">
        <v>27</v>
      </c>
      <c r="D582" s="70" t="s">
        <v>840</v>
      </c>
      <c r="E582" s="71" t="s">
        <v>29</v>
      </c>
      <c r="F582" s="72" t="s">
        <v>30</v>
      </c>
      <c r="G582" s="72"/>
      <c r="H582" s="71" t="s">
        <v>13</v>
      </c>
      <c r="I582" s="73">
        <v>6804</v>
      </c>
      <c r="J582" s="73"/>
      <c r="K582" s="74" t="s">
        <v>8</v>
      </c>
      <c r="L582" s="75">
        <v>3763181.64</v>
      </c>
    </row>
    <row r="583" spans="1:12" ht="91.8" x14ac:dyDescent="0.3">
      <c r="A583" s="69" t="s">
        <v>879</v>
      </c>
      <c r="B583" s="70" t="s">
        <v>900</v>
      </c>
      <c r="C583" s="70" t="s">
        <v>27</v>
      </c>
      <c r="D583" s="70" t="s">
        <v>841</v>
      </c>
      <c r="E583" s="71" t="s">
        <v>29</v>
      </c>
      <c r="F583" s="72" t="s">
        <v>30</v>
      </c>
      <c r="G583" s="72"/>
      <c r="H583" s="71" t="s">
        <v>13</v>
      </c>
      <c r="I583" s="73">
        <v>9567</v>
      </c>
      <c r="J583" s="73"/>
      <c r="K583" s="74" t="s">
        <v>8</v>
      </c>
      <c r="L583" s="75">
        <v>3753614.64</v>
      </c>
    </row>
    <row r="584" spans="1:12" ht="81.599999999999994" x14ac:dyDescent="0.3">
      <c r="A584" s="69" t="s">
        <v>879</v>
      </c>
      <c r="B584" s="70" t="s">
        <v>900</v>
      </c>
      <c r="C584" s="70" t="s">
        <v>27</v>
      </c>
      <c r="D584" s="70" t="s">
        <v>842</v>
      </c>
      <c r="E584" s="71" t="s">
        <v>29</v>
      </c>
      <c r="F584" s="72" t="s">
        <v>30</v>
      </c>
      <c r="G584" s="72"/>
      <c r="H584" s="71" t="s">
        <v>13</v>
      </c>
      <c r="I584" s="73">
        <v>1040</v>
      </c>
      <c r="J584" s="73"/>
      <c r="K584" s="74" t="s">
        <v>8</v>
      </c>
      <c r="L584" s="75">
        <v>3752574.64</v>
      </c>
    </row>
    <row r="585" spans="1:12" ht="81.599999999999994" x14ac:dyDescent="0.3">
      <c r="A585" s="69" t="s">
        <v>879</v>
      </c>
      <c r="B585" s="70" t="s">
        <v>900</v>
      </c>
      <c r="C585" s="70" t="s">
        <v>27</v>
      </c>
      <c r="D585" s="70" t="s">
        <v>843</v>
      </c>
      <c r="E585" s="71" t="s">
        <v>29</v>
      </c>
      <c r="F585" s="72" t="s">
        <v>30</v>
      </c>
      <c r="G585" s="72"/>
      <c r="H585" s="71" t="s">
        <v>13</v>
      </c>
      <c r="I585" s="73">
        <v>9882</v>
      </c>
      <c r="J585" s="73"/>
      <c r="K585" s="74" t="s">
        <v>8</v>
      </c>
      <c r="L585" s="75">
        <v>3742692.64</v>
      </c>
    </row>
    <row r="586" spans="1:12" ht="81.599999999999994" x14ac:dyDescent="0.3">
      <c r="A586" s="69" t="s">
        <v>879</v>
      </c>
      <c r="B586" s="70" t="s">
        <v>900</v>
      </c>
      <c r="C586" s="70" t="s">
        <v>27</v>
      </c>
      <c r="D586" s="70" t="s">
        <v>844</v>
      </c>
      <c r="E586" s="71" t="s">
        <v>29</v>
      </c>
      <c r="F586" s="72" t="s">
        <v>30</v>
      </c>
      <c r="G586" s="72"/>
      <c r="H586" s="71" t="s">
        <v>13</v>
      </c>
      <c r="I586" s="73">
        <v>92120</v>
      </c>
      <c r="J586" s="73"/>
      <c r="K586" s="74" t="s">
        <v>8</v>
      </c>
      <c r="L586" s="75">
        <v>3650572.64</v>
      </c>
    </row>
    <row r="587" spans="1:12" ht="81.599999999999994" x14ac:dyDescent="0.3">
      <c r="A587" s="69" t="s">
        <v>879</v>
      </c>
      <c r="B587" s="70" t="s">
        <v>900</v>
      </c>
      <c r="C587" s="70" t="s">
        <v>27</v>
      </c>
      <c r="D587" s="70" t="s">
        <v>845</v>
      </c>
      <c r="E587" s="71" t="s">
        <v>29</v>
      </c>
      <c r="F587" s="72" t="s">
        <v>30</v>
      </c>
      <c r="G587" s="72"/>
      <c r="H587" s="71" t="s">
        <v>13</v>
      </c>
      <c r="I587" s="73">
        <v>7756</v>
      </c>
      <c r="J587" s="73"/>
      <c r="K587" s="74" t="s">
        <v>8</v>
      </c>
      <c r="L587" s="75">
        <v>3642816.64</v>
      </c>
    </row>
    <row r="588" spans="1:12" ht="81.599999999999994" x14ac:dyDescent="0.3">
      <c r="A588" s="69" t="s">
        <v>879</v>
      </c>
      <c r="B588" s="70" t="s">
        <v>900</v>
      </c>
      <c r="C588" s="70" t="s">
        <v>27</v>
      </c>
      <c r="D588" s="70" t="s">
        <v>846</v>
      </c>
      <c r="E588" s="71" t="s">
        <v>29</v>
      </c>
      <c r="F588" s="72" t="s">
        <v>30</v>
      </c>
      <c r="G588" s="72"/>
      <c r="H588" s="71" t="s">
        <v>13</v>
      </c>
      <c r="I588" s="73">
        <v>151455</v>
      </c>
      <c r="J588" s="73"/>
      <c r="K588" s="74" t="s">
        <v>8</v>
      </c>
      <c r="L588" s="75">
        <v>3491361.64</v>
      </c>
    </row>
    <row r="589" spans="1:12" ht="91.8" x14ac:dyDescent="0.3">
      <c r="A589" s="69" t="s">
        <v>879</v>
      </c>
      <c r="B589" s="70" t="s">
        <v>900</v>
      </c>
      <c r="C589" s="70" t="s">
        <v>27</v>
      </c>
      <c r="D589" s="70" t="s">
        <v>847</v>
      </c>
      <c r="E589" s="71" t="s">
        <v>29</v>
      </c>
      <c r="F589" s="72" t="s">
        <v>30</v>
      </c>
      <c r="G589" s="72"/>
      <c r="H589" s="71" t="s">
        <v>13</v>
      </c>
      <c r="I589" s="73">
        <v>3426</v>
      </c>
      <c r="J589" s="73"/>
      <c r="K589" s="74" t="s">
        <v>8</v>
      </c>
      <c r="L589" s="75">
        <v>3487935.64</v>
      </c>
    </row>
    <row r="590" spans="1:12" ht="91.8" x14ac:dyDescent="0.3">
      <c r="A590" s="69" t="s">
        <v>879</v>
      </c>
      <c r="B590" s="70" t="s">
        <v>900</v>
      </c>
      <c r="C590" s="70" t="s">
        <v>27</v>
      </c>
      <c r="D590" s="70" t="s">
        <v>848</v>
      </c>
      <c r="E590" s="71" t="s">
        <v>29</v>
      </c>
      <c r="F590" s="72" t="s">
        <v>30</v>
      </c>
      <c r="G590" s="72"/>
      <c r="H590" s="71" t="s">
        <v>13</v>
      </c>
      <c r="I590" s="73">
        <v>17552</v>
      </c>
      <c r="J590" s="73"/>
      <c r="K590" s="74" t="s">
        <v>8</v>
      </c>
      <c r="L590" s="75">
        <v>3470383.64</v>
      </c>
    </row>
    <row r="591" spans="1:12" ht="91.8" x14ac:dyDescent="0.3">
      <c r="A591" s="69" t="s">
        <v>879</v>
      </c>
      <c r="B591" s="70" t="s">
        <v>900</v>
      </c>
      <c r="C591" s="70" t="s">
        <v>27</v>
      </c>
      <c r="D591" s="70" t="s">
        <v>849</v>
      </c>
      <c r="E591" s="71" t="s">
        <v>29</v>
      </c>
      <c r="F591" s="72" t="s">
        <v>30</v>
      </c>
      <c r="G591" s="72"/>
      <c r="H591" s="71" t="s">
        <v>13</v>
      </c>
      <c r="I591" s="73">
        <v>2442</v>
      </c>
      <c r="J591" s="73"/>
      <c r="K591" s="74" t="s">
        <v>8</v>
      </c>
      <c r="L591" s="75">
        <v>3467941.64</v>
      </c>
    </row>
    <row r="592" spans="1:12" ht="91.8" x14ac:dyDescent="0.3">
      <c r="A592" s="69" t="s">
        <v>879</v>
      </c>
      <c r="B592" s="70" t="s">
        <v>900</v>
      </c>
      <c r="C592" s="70" t="s">
        <v>27</v>
      </c>
      <c r="D592" s="70" t="s">
        <v>850</v>
      </c>
      <c r="E592" s="71" t="s">
        <v>29</v>
      </c>
      <c r="F592" s="72" t="s">
        <v>30</v>
      </c>
      <c r="G592" s="72"/>
      <c r="H592" s="71" t="s">
        <v>13</v>
      </c>
      <c r="I592" s="73">
        <v>4797</v>
      </c>
      <c r="J592" s="73"/>
      <c r="K592" s="74" t="s">
        <v>8</v>
      </c>
      <c r="L592" s="75">
        <v>3463144.64</v>
      </c>
    </row>
    <row r="593" spans="1:12" ht="91.8" x14ac:dyDescent="0.3">
      <c r="A593" s="69" t="s">
        <v>879</v>
      </c>
      <c r="B593" s="70" t="s">
        <v>900</v>
      </c>
      <c r="C593" s="70" t="s">
        <v>27</v>
      </c>
      <c r="D593" s="70" t="s">
        <v>851</v>
      </c>
      <c r="E593" s="71" t="s">
        <v>29</v>
      </c>
      <c r="F593" s="72" t="s">
        <v>30</v>
      </c>
      <c r="G593" s="72"/>
      <c r="H593" s="71" t="s">
        <v>13</v>
      </c>
      <c r="I593" s="73">
        <v>19692</v>
      </c>
      <c r="J593" s="73"/>
      <c r="K593" s="74" t="s">
        <v>8</v>
      </c>
      <c r="L593" s="75">
        <v>3443452.64</v>
      </c>
    </row>
    <row r="594" spans="1:12" ht="91.8" x14ac:dyDescent="0.3">
      <c r="A594" s="69" t="s">
        <v>879</v>
      </c>
      <c r="B594" s="70" t="s">
        <v>900</v>
      </c>
      <c r="C594" s="70" t="s">
        <v>27</v>
      </c>
      <c r="D594" s="70" t="s">
        <v>852</v>
      </c>
      <c r="E594" s="71" t="s">
        <v>29</v>
      </c>
      <c r="F594" s="72" t="s">
        <v>30</v>
      </c>
      <c r="G594" s="72"/>
      <c r="H594" s="71" t="s">
        <v>13</v>
      </c>
      <c r="I594" s="73">
        <v>68391</v>
      </c>
      <c r="J594" s="73"/>
      <c r="K594" s="74" t="s">
        <v>8</v>
      </c>
      <c r="L594" s="75">
        <v>3375061.64</v>
      </c>
    </row>
    <row r="595" spans="1:12" ht="91.8" x14ac:dyDescent="0.3">
      <c r="A595" s="69" t="s">
        <v>879</v>
      </c>
      <c r="B595" s="70" t="s">
        <v>900</v>
      </c>
      <c r="C595" s="70" t="s">
        <v>27</v>
      </c>
      <c r="D595" s="70" t="s">
        <v>853</v>
      </c>
      <c r="E595" s="71" t="s">
        <v>29</v>
      </c>
      <c r="F595" s="72" t="s">
        <v>30</v>
      </c>
      <c r="G595" s="72"/>
      <c r="H595" s="71" t="s">
        <v>13</v>
      </c>
      <c r="I595" s="73">
        <v>4455</v>
      </c>
      <c r="J595" s="73"/>
      <c r="K595" s="74" t="s">
        <v>8</v>
      </c>
      <c r="L595" s="75">
        <v>3370606.64</v>
      </c>
    </row>
    <row r="596" spans="1:12" ht="91.8" x14ac:dyDescent="0.3">
      <c r="A596" s="69" t="s">
        <v>879</v>
      </c>
      <c r="B596" s="70" t="s">
        <v>900</v>
      </c>
      <c r="C596" s="70" t="s">
        <v>27</v>
      </c>
      <c r="D596" s="70" t="s">
        <v>854</v>
      </c>
      <c r="E596" s="71" t="s">
        <v>29</v>
      </c>
      <c r="F596" s="72" t="s">
        <v>30</v>
      </c>
      <c r="G596" s="72"/>
      <c r="H596" s="71" t="s">
        <v>13</v>
      </c>
      <c r="I596" s="73">
        <v>7128</v>
      </c>
      <c r="J596" s="73"/>
      <c r="K596" s="74" t="s">
        <v>8</v>
      </c>
      <c r="L596" s="75">
        <v>3363478.64</v>
      </c>
    </row>
    <row r="597" spans="1:12" ht="91.8" x14ac:dyDescent="0.3">
      <c r="A597" s="69" t="s">
        <v>879</v>
      </c>
      <c r="B597" s="70" t="s">
        <v>900</v>
      </c>
      <c r="C597" s="70" t="s">
        <v>27</v>
      </c>
      <c r="D597" s="70" t="s">
        <v>855</v>
      </c>
      <c r="E597" s="71" t="s">
        <v>29</v>
      </c>
      <c r="F597" s="72" t="s">
        <v>30</v>
      </c>
      <c r="G597" s="72"/>
      <c r="H597" s="71" t="s">
        <v>13</v>
      </c>
      <c r="I597" s="73">
        <v>9282</v>
      </c>
      <c r="J597" s="73"/>
      <c r="K597" s="74" t="s">
        <v>8</v>
      </c>
      <c r="L597" s="75">
        <v>3354196.64</v>
      </c>
    </row>
    <row r="598" spans="1:12" ht="91.8" x14ac:dyDescent="0.3">
      <c r="A598" s="69" t="s">
        <v>879</v>
      </c>
      <c r="B598" s="70" t="s">
        <v>900</v>
      </c>
      <c r="C598" s="70" t="s">
        <v>27</v>
      </c>
      <c r="D598" s="70" t="s">
        <v>856</v>
      </c>
      <c r="E598" s="71" t="s">
        <v>29</v>
      </c>
      <c r="F598" s="72" t="s">
        <v>30</v>
      </c>
      <c r="G598" s="72"/>
      <c r="H598" s="71" t="s">
        <v>13</v>
      </c>
      <c r="I598" s="73">
        <v>82134</v>
      </c>
      <c r="J598" s="73"/>
      <c r="K598" s="74" t="s">
        <v>8</v>
      </c>
      <c r="L598" s="75">
        <v>3272062.64</v>
      </c>
    </row>
    <row r="599" spans="1:12" ht="91.8" x14ac:dyDescent="0.3">
      <c r="A599" s="69" t="s">
        <v>879</v>
      </c>
      <c r="B599" s="70" t="s">
        <v>900</v>
      </c>
      <c r="C599" s="70" t="s">
        <v>27</v>
      </c>
      <c r="D599" s="70" t="s">
        <v>857</v>
      </c>
      <c r="E599" s="71" t="s">
        <v>29</v>
      </c>
      <c r="F599" s="72" t="s">
        <v>30</v>
      </c>
      <c r="G599" s="72"/>
      <c r="H599" s="71" t="s">
        <v>13</v>
      </c>
      <c r="I599" s="73">
        <v>1310</v>
      </c>
      <c r="J599" s="73"/>
      <c r="K599" s="74" t="s">
        <v>8</v>
      </c>
      <c r="L599" s="75">
        <v>3270752.64</v>
      </c>
    </row>
    <row r="600" spans="1:12" ht="91.8" x14ac:dyDescent="0.3">
      <c r="A600" s="69" t="s">
        <v>879</v>
      </c>
      <c r="B600" s="70" t="s">
        <v>900</v>
      </c>
      <c r="C600" s="70" t="s">
        <v>27</v>
      </c>
      <c r="D600" s="70" t="s">
        <v>858</v>
      </c>
      <c r="E600" s="71" t="s">
        <v>29</v>
      </c>
      <c r="F600" s="72" t="s">
        <v>30</v>
      </c>
      <c r="G600" s="72"/>
      <c r="H600" s="71" t="s">
        <v>13</v>
      </c>
      <c r="I600" s="73">
        <v>9170</v>
      </c>
      <c r="J600" s="73"/>
      <c r="K600" s="74" t="s">
        <v>8</v>
      </c>
      <c r="L600" s="75">
        <v>3261582.64</v>
      </c>
    </row>
    <row r="601" spans="1:12" ht="91.8" x14ac:dyDescent="0.3">
      <c r="A601" s="69" t="s">
        <v>879</v>
      </c>
      <c r="B601" s="70" t="s">
        <v>900</v>
      </c>
      <c r="C601" s="70" t="s">
        <v>27</v>
      </c>
      <c r="D601" s="70" t="s">
        <v>859</v>
      </c>
      <c r="E601" s="71" t="s">
        <v>29</v>
      </c>
      <c r="F601" s="72" t="s">
        <v>30</v>
      </c>
      <c r="G601" s="72"/>
      <c r="H601" s="71" t="s">
        <v>13</v>
      </c>
      <c r="I601" s="73">
        <v>5313</v>
      </c>
      <c r="J601" s="73"/>
      <c r="K601" s="74" t="s">
        <v>8</v>
      </c>
      <c r="L601" s="75">
        <v>3256269.64</v>
      </c>
    </row>
    <row r="602" spans="1:12" ht="91.8" x14ac:dyDescent="0.3">
      <c r="A602" s="69" t="s">
        <v>879</v>
      </c>
      <c r="B602" s="70" t="s">
        <v>900</v>
      </c>
      <c r="C602" s="70" t="s">
        <v>27</v>
      </c>
      <c r="D602" s="70" t="s">
        <v>860</v>
      </c>
      <c r="E602" s="71" t="s">
        <v>29</v>
      </c>
      <c r="F602" s="72" t="s">
        <v>30</v>
      </c>
      <c r="G602" s="72"/>
      <c r="H602" s="71" t="s">
        <v>13</v>
      </c>
      <c r="I602" s="73">
        <v>1518</v>
      </c>
      <c r="J602" s="73"/>
      <c r="K602" s="74" t="s">
        <v>8</v>
      </c>
      <c r="L602" s="75">
        <v>3254751.64</v>
      </c>
    </row>
    <row r="603" spans="1:12" ht="91.8" x14ac:dyDescent="0.3">
      <c r="A603" s="69" t="s">
        <v>879</v>
      </c>
      <c r="B603" s="70" t="s">
        <v>900</v>
      </c>
      <c r="C603" s="70" t="s">
        <v>27</v>
      </c>
      <c r="D603" s="70" t="s">
        <v>861</v>
      </c>
      <c r="E603" s="71" t="s">
        <v>29</v>
      </c>
      <c r="F603" s="72" t="s">
        <v>30</v>
      </c>
      <c r="G603" s="72"/>
      <c r="H603" s="71" t="s">
        <v>13</v>
      </c>
      <c r="I603" s="73">
        <v>9867</v>
      </c>
      <c r="J603" s="73"/>
      <c r="K603" s="74" t="s">
        <v>8</v>
      </c>
      <c r="L603" s="75">
        <v>3244884.64</v>
      </c>
    </row>
    <row r="604" spans="1:12" ht="91.8" x14ac:dyDescent="0.3">
      <c r="A604" s="69" t="s">
        <v>879</v>
      </c>
      <c r="B604" s="70" t="s">
        <v>900</v>
      </c>
      <c r="C604" s="70" t="s">
        <v>27</v>
      </c>
      <c r="D604" s="70" t="s">
        <v>863</v>
      </c>
      <c r="E604" s="71" t="s">
        <v>29</v>
      </c>
      <c r="F604" s="72" t="s">
        <v>30</v>
      </c>
      <c r="G604" s="72"/>
      <c r="H604" s="71" t="s">
        <v>13</v>
      </c>
      <c r="I604" s="73">
        <v>1518</v>
      </c>
      <c r="J604" s="73"/>
      <c r="K604" s="74" t="s">
        <v>8</v>
      </c>
      <c r="L604" s="75">
        <v>3243366.64</v>
      </c>
    </row>
    <row r="605" spans="1:12" ht="91.8" x14ac:dyDescent="0.3">
      <c r="A605" s="69" t="s">
        <v>879</v>
      </c>
      <c r="B605" s="70" t="s">
        <v>900</v>
      </c>
      <c r="C605" s="70" t="s">
        <v>27</v>
      </c>
      <c r="D605" s="70" t="s">
        <v>864</v>
      </c>
      <c r="E605" s="71" t="s">
        <v>29</v>
      </c>
      <c r="F605" s="72" t="s">
        <v>30</v>
      </c>
      <c r="G605" s="72"/>
      <c r="H605" s="71" t="s">
        <v>13</v>
      </c>
      <c r="I605" s="73">
        <v>2445</v>
      </c>
      <c r="J605" s="73"/>
      <c r="K605" s="74" t="s">
        <v>8</v>
      </c>
      <c r="L605" s="75">
        <v>3240921.64</v>
      </c>
    </row>
    <row r="606" spans="1:12" ht="91.8" x14ac:dyDescent="0.3">
      <c r="A606" s="69" t="s">
        <v>879</v>
      </c>
      <c r="B606" s="70" t="s">
        <v>900</v>
      </c>
      <c r="C606" s="70" t="s">
        <v>27</v>
      </c>
      <c r="D606" s="70" t="s">
        <v>865</v>
      </c>
      <c r="E606" s="71" t="s">
        <v>29</v>
      </c>
      <c r="F606" s="72" t="s">
        <v>30</v>
      </c>
      <c r="G606" s="72"/>
      <c r="H606" s="71" t="s">
        <v>13</v>
      </c>
      <c r="I606" s="73">
        <v>52544</v>
      </c>
      <c r="J606" s="73"/>
      <c r="K606" s="74" t="s">
        <v>8</v>
      </c>
      <c r="L606" s="75">
        <v>3188377.64</v>
      </c>
    </row>
    <row r="607" spans="1:12" ht="91.8" x14ac:dyDescent="0.3">
      <c r="A607" s="69" t="s">
        <v>879</v>
      </c>
      <c r="B607" s="70" t="s">
        <v>900</v>
      </c>
      <c r="C607" s="70" t="s">
        <v>27</v>
      </c>
      <c r="D607" s="70" t="s">
        <v>866</v>
      </c>
      <c r="E607" s="71" t="s">
        <v>29</v>
      </c>
      <c r="F607" s="72" t="s">
        <v>30</v>
      </c>
      <c r="G607" s="72"/>
      <c r="H607" s="71" t="s">
        <v>13</v>
      </c>
      <c r="I607" s="73">
        <v>79629</v>
      </c>
      <c r="J607" s="73"/>
      <c r="K607" s="74" t="s">
        <v>8</v>
      </c>
      <c r="L607" s="75">
        <v>3108748.64</v>
      </c>
    </row>
    <row r="608" spans="1:12" ht="91.8" x14ac:dyDescent="0.3">
      <c r="A608" s="69" t="s">
        <v>879</v>
      </c>
      <c r="B608" s="70" t="s">
        <v>900</v>
      </c>
      <c r="C608" s="70" t="s">
        <v>27</v>
      </c>
      <c r="D608" s="70" t="s">
        <v>867</v>
      </c>
      <c r="E608" s="71" t="s">
        <v>29</v>
      </c>
      <c r="F608" s="72" t="s">
        <v>30</v>
      </c>
      <c r="G608" s="72"/>
      <c r="H608" s="71" t="s">
        <v>13</v>
      </c>
      <c r="I608" s="73">
        <v>147855</v>
      </c>
      <c r="J608" s="73"/>
      <c r="K608" s="74" t="s">
        <v>8</v>
      </c>
      <c r="L608" s="75">
        <v>2960893.64</v>
      </c>
    </row>
    <row r="609" spans="1:12" ht="91.8" x14ac:dyDescent="0.3">
      <c r="A609" s="69" t="s">
        <v>879</v>
      </c>
      <c r="B609" s="70" t="s">
        <v>900</v>
      </c>
      <c r="C609" s="70" t="s">
        <v>27</v>
      </c>
      <c r="D609" s="70" t="s">
        <v>868</v>
      </c>
      <c r="E609" s="71" t="s">
        <v>29</v>
      </c>
      <c r="F609" s="72" t="s">
        <v>30</v>
      </c>
      <c r="G609" s="72"/>
      <c r="H609" s="71" t="s">
        <v>13</v>
      </c>
      <c r="I609" s="73">
        <v>7794</v>
      </c>
      <c r="J609" s="73"/>
      <c r="K609" s="74" t="s">
        <v>8</v>
      </c>
      <c r="L609" s="75">
        <v>2953099.64</v>
      </c>
    </row>
    <row r="610" spans="1:12" ht="91.8" x14ac:dyDescent="0.3">
      <c r="A610" s="69" t="s">
        <v>879</v>
      </c>
      <c r="B610" s="70" t="s">
        <v>900</v>
      </c>
      <c r="C610" s="70" t="s">
        <v>27</v>
      </c>
      <c r="D610" s="70" t="s">
        <v>869</v>
      </c>
      <c r="E610" s="71" t="s">
        <v>29</v>
      </c>
      <c r="F610" s="72" t="s">
        <v>30</v>
      </c>
      <c r="G610" s="72"/>
      <c r="H610" s="71" t="s">
        <v>13</v>
      </c>
      <c r="I610" s="73">
        <v>1891</v>
      </c>
      <c r="J610" s="73"/>
      <c r="K610" s="74" t="s">
        <v>8</v>
      </c>
      <c r="L610" s="75">
        <v>2951208.64</v>
      </c>
    </row>
    <row r="611" spans="1:12" ht="91.8" x14ac:dyDescent="0.3">
      <c r="A611" s="69" t="s">
        <v>879</v>
      </c>
      <c r="B611" s="70" t="s">
        <v>900</v>
      </c>
      <c r="C611" s="70" t="s">
        <v>27</v>
      </c>
      <c r="D611" s="70" t="s">
        <v>870</v>
      </c>
      <c r="E611" s="71" t="s">
        <v>29</v>
      </c>
      <c r="F611" s="72" t="s">
        <v>30</v>
      </c>
      <c r="G611" s="72"/>
      <c r="H611" s="71" t="s">
        <v>13</v>
      </c>
      <c r="I611" s="73">
        <v>5260</v>
      </c>
      <c r="J611" s="73"/>
      <c r="K611" s="74" t="s">
        <v>8</v>
      </c>
      <c r="L611" s="75">
        <v>2945948.64</v>
      </c>
    </row>
    <row r="612" spans="1:12" ht="91.8" x14ac:dyDescent="0.3">
      <c r="A612" s="69" t="s">
        <v>879</v>
      </c>
      <c r="B612" s="70" t="s">
        <v>900</v>
      </c>
      <c r="C612" s="70" t="s">
        <v>27</v>
      </c>
      <c r="D612" s="70" t="s">
        <v>871</v>
      </c>
      <c r="E612" s="71" t="s">
        <v>29</v>
      </c>
      <c r="F612" s="72" t="s">
        <v>30</v>
      </c>
      <c r="G612" s="72"/>
      <c r="H612" s="71" t="s">
        <v>13</v>
      </c>
      <c r="I612" s="73">
        <v>67068</v>
      </c>
      <c r="J612" s="73"/>
      <c r="K612" s="74" t="s">
        <v>8</v>
      </c>
      <c r="L612" s="75">
        <v>2878880.64</v>
      </c>
    </row>
    <row r="613" spans="1:12" ht="91.8" x14ac:dyDescent="0.3">
      <c r="A613" s="69" t="s">
        <v>879</v>
      </c>
      <c r="B613" s="70" t="s">
        <v>900</v>
      </c>
      <c r="C613" s="70" t="s">
        <v>27</v>
      </c>
      <c r="D613" s="70" t="s">
        <v>872</v>
      </c>
      <c r="E613" s="71" t="s">
        <v>29</v>
      </c>
      <c r="F613" s="72" t="s">
        <v>30</v>
      </c>
      <c r="G613" s="72"/>
      <c r="H613" s="71" t="s">
        <v>13</v>
      </c>
      <c r="I613" s="73">
        <v>1044</v>
      </c>
      <c r="J613" s="73"/>
      <c r="K613" s="74" t="s">
        <v>8</v>
      </c>
      <c r="L613" s="75">
        <v>2877836.64</v>
      </c>
    </row>
    <row r="614" spans="1:12" ht="91.8" x14ac:dyDescent="0.3">
      <c r="A614" s="69" t="s">
        <v>879</v>
      </c>
      <c r="B614" s="70" t="s">
        <v>900</v>
      </c>
      <c r="C614" s="70" t="s">
        <v>27</v>
      </c>
      <c r="D614" s="70" t="s">
        <v>873</v>
      </c>
      <c r="E614" s="71" t="s">
        <v>29</v>
      </c>
      <c r="F614" s="72" t="s">
        <v>30</v>
      </c>
      <c r="G614" s="72"/>
      <c r="H614" s="71" t="s">
        <v>13</v>
      </c>
      <c r="I614" s="78">
        <v>788</v>
      </c>
      <c r="J614" s="78"/>
      <c r="K614" s="74" t="s">
        <v>8</v>
      </c>
      <c r="L614" s="75">
        <v>2877048.64</v>
      </c>
    </row>
    <row r="615" spans="1:12" ht="81.599999999999994" x14ac:dyDescent="0.3">
      <c r="A615" s="69" t="s">
        <v>879</v>
      </c>
      <c r="B615" s="70" t="s">
        <v>900</v>
      </c>
      <c r="C615" s="70" t="s">
        <v>27</v>
      </c>
      <c r="D615" s="70" t="s">
        <v>874</v>
      </c>
      <c r="E615" s="71" t="s">
        <v>29</v>
      </c>
      <c r="F615" s="72" t="s">
        <v>30</v>
      </c>
      <c r="G615" s="72"/>
      <c r="H615" s="71" t="s">
        <v>13</v>
      </c>
      <c r="I615" s="73">
        <v>1827</v>
      </c>
      <c r="J615" s="73"/>
      <c r="K615" s="74" t="s">
        <v>8</v>
      </c>
      <c r="L615" s="75">
        <v>2875221.64</v>
      </c>
    </row>
    <row r="616" spans="1:12" ht="81.599999999999994" x14ac:dyDescent="0.3">
      <c r="A616" s="69" t="s">
        <v>879</v>
      </c>
      <c r="B616" s="70" t="s">
        <v>900</v>
      </c>
      <c r="C616" s="70" t="s">
        <v>27</v>
      </c>
      <c r="D616" s="70" t="s">
        <v>875</v>
      </c>
      <c r="E616" s="71" t="s">
        <v>29</v>
      </c>
      <c r="F616" s="72" t="s">
        <v>30</v>
      </c>
      <c r="G616" s="72"/>
      <c r="H616" s="71" t="s">
        <v>13</v>
      </c>
      <c r="I616" s="73">
        <v>5544</v>
      </c>
      <c r="J616" s="73"/>
      <c r="K616" s="74" t="s">
        <v>8</v>
      </c>
      <c r="L616" s="75">
        <v>2869677.64</v>
      </c>
    </row>
    <row r="617" spans="1:12" ht="81.599999999999994" x14ac:dyDescent="0.3">
      <c r="A617" s="69" t="s">
        <v>879</v>
      </c>
      <c r="B617" s="70" t="s">
        <v>900</v>
      </c>
      <c r="C617" s="70" t="s">
        <v>27</v>
      </c>
      <c r="D617" s="70" t="s">
        <v>876</v>
      </c>
      <c r="E617" s="71" t="s">
        <v>29</v>
      </c>
      <c r="F617" s="72" t="s">
        <v>30</v>
      </c>
      <c r="G617" s="72"/>
      <c r="H617" s="71" t="s">
        <v>13</v>
      </c>
      <c r="I617" s="73">
        <v>12650</v>
      </c>
      <c r="J617" s="73"/>
      <c r="K617" s="74" t="s">
        <v>8</v>
      </c>
      <c r="L617" s="75">
        <v>2857027.64</v>
      </c>
    </row>
    <row r="618" spans="1:12" ht="91.8" x14ac:dyDescent="0.3">
      <c r="A618" s="69" t="s">
        <v>879</v>
      </c>
      <c r="B618" s="70" t="s">
        <v>900</v>
      </c>
      <c r="C618" s="70" t="s">
        <v>27</v>
      </c>
      <c r="D618" s="70" t="s">
        <v>877</v>
      </c>
      <c r="E618" s="71" t="s">
        <v>29</v>
      </c>
      <c r="F618" s="72" t="s">
        <v>30</v>
      </c>
      <c r="G618" s="72"/>
      <c r="H618" s="71" t="s">
        <v>13</v>
      </c>
      <c r="I618" s="73">
        <v>5313</v>
      </c>
      <c r="J618" s="73"/>
      <c r="K618" s="74" t="s">
        <v>8</v>
      </c>
      <c r="L618" s="75">
        <v>2851714.64</v>
      </c>
    </row>
    <row r="619" spans="1:12" ht="71.400000000000006" hidden="1" x14ac:dyDescent="0.3">
      <c r="A619" s="69" t="s">
        <v>879</v>
      </c>
      <c r="B619" s="70" t="s">
        <v>901</v>
      </c>
      <c r="C619" s="70" t="s">
        <v>902</v>
      </c>
      <c r="D619" s="70" t="s">
        <v>326</v>
      </c>
      <c r="E619" s="71" t="s">
        <v>319</v>
      </c>
      <c r="F619" s="72" t="s">
        <v>30</v>
      </c>
      <c r="G619" s="72"/>
      <c r="H619" s="71" t="s">
        <v>13</v>
      </c>
      <c r="I619" s="73">
        <v>15694</v>
      </c>
      <c r="J619" s="73"/>
      <c r="K619" s="74" t="s">
        <v>8</v>
      </c>
      <c r="L619" s="75">
        <v>1851776.43</v>
      </c>
    </row>
    <row r="620" spans="1:12" ht="71.400000000000006" hidden="1" x14ac:dyDescent="0.3">
      <c r="A620" s="69" t="s">
        <v>879</v>
      </c>
      <c r="B620" s="70" t="s">
        <v>901</v>
      </c>
      <c r="C620" s="70" t="s">
        <v>903</v>
      </c>
      <c r="D620" s="70" t="s">
        <v>803</v>
      </c>
      <c r="E620" s="71" t="s">
        <v>319</v>
      </c>
      <c r="F620" s="72" t="s">
        <v>30</v>
      </c>
      <c r="G620" s="72"/>
      <c r="H620" s="71" t="s">
        <v>13</v>
      </c>
      <c r="I620" s="73">
        <v>5466.93</v>
      </c>
      <c r="J620" s="73"/>
      <c r="K620" s="74" t="s">
        <v>8</v>
      </c>
      <c r="L620" s="75">
        <v>1846309.5</v>
      </c>
    </row>
    <row r="621" spans="1:12" ht="61.2" hidden="1" x14ac:dyDescent="0.3">
      <c r="A621" s="69" t="s">
        <v>879</v>
      </c>
      <c r="B621" s="70" t="s">
        <v>901</v>
      </c>
      <c r="C621" s="70" t="s">
        <v>904</v>
      </c>
      <c r="D621" s="70" t="s">
        <v>905</v>
      </c>
      <c r="E621" s="71" t="s">
        <v>319</v>
      </c>
      <c r="F621" s="72" t="s">
        <v>30</v>
      </c>
      <c r="G621" s="72"/>
      <c r="H621" s="71" t="s">
        <v>13</v>
      </c>
      <c r="I621" s="78">
        <v>56.17</v>
      </c>
      <c r="J621" s="78"/>
      <c r="K621" s="74" t="s">
        <v>8</v>
      </c>
      <c r="L621" s="75">
        <v>1846253.33</v>
      </c>
    </row>
    <row r="622" spans="1:12" ht="71.400000000000006" hidden="1" x14ac:dyDescent="0.3">
      <c r="A622" s="69" t="s">
        <v>879</v>
      </c>
      <c r="B622" s="70" t="s">
        <v>901</v>
      </c>
      <c r="C622" s="70" t="s">
        <v>906</v>
      </c>
      <c r="D622" s="70" t="s">
        <v>907</v>
      </c>
      <c r="E622" s="71" t="s">
        <v>319</v>
      </c>
      <c r="F622" s="72" t="s">
        <v>30</v>
      </c>
      <c r="G622" s="72"/>
      <c r="H622" s="71" t="s">
        <v>13</v>
      </c>
      <c r="I622" s="73">
        <v>3063.75</v>
      </c>
      <c r="J622" s="73"/>
      <c r="K622" s="74" t="s">
        <v>8</v>
      </c>
      <c r="L622" s="75">
        <v>1843189.58</v>
      </c>
    </row>
    <row r="623" spans="1:12" ht="71.400000000000006" hidden="1" x14ac:dyDescent="0.3">
      <c r="A623" s="69" t="s">
        <v>879</v>
      </c>
      <c r="B623" s="70" t="s">
        <v>901</v>
      </c>
      <c r="C623" s="70" t="s">
        <v>906</v>
      </c>
      <c r="D623" s="70" t="s">
        <v>798</v>
      </c>
      <c r="E623" s="71" t="s">
        <v>319</v>
      </c>
      <c r="F623" s="72" t="s">
        <v>30</v>
      </c>
      <c r="G623" s="72"/>
      <c r="H623" s="71" t="s">
        <v>13</v>
      </c>
      <c r="I623" s="73">
        <v>175603.20000000001</v>
      </c>
      <c r="J623" s="73"/>
      <c r="K623" s="74" t="s">
        <v>8</v>
      </c>
      <c r="L623" s="75">
        <v>1667586.38</v>
      </c>
    </row>
    <row r="624" spans="1:12" ht="61.2" hidden="1" x14ac:dyDescent="0.3">
      <c r="A624" s="69" t="s">
        <v>879</v>
      </c>
      <c r="B624" s="70" t="s">
        <v>901</v>
      </c>
      <c r="C624" s="70" t="s">
        <v>908</v>
      </c>
      <c r="D624" s="70" t="s">
        <v>909</v>
      </c>
      <c r="E624" s="71" t="s">
        <v>319</v>
      </c>
      <c r="F624" s="72" t="s">
        <v>30</v>
      </c>
      <c r="G624" s="72"/>
      <c r="H624" s="71" t="s">
        <v>13</v>
      </c>
      <c r="I624" s="73">
        <v>22444.59</v>
      </c>
      <c r="J624" s="73"/>
      <c r="K624" s="74" t="s">
        <v>8</v>
      </c>
      <c r="L624" s="75">
        <v>1645141.79</v>
      </c>
    </row>
    <row r="625" spans="1:12" ht="61.2" hidden="1" x14ac:dyDescent="0.3">
      <c r="A625" s="69" t="s">
        <v>879</v>
      </c>
      <c r="B625" s="70" t="s">
        <v>901</v>
      </c>
      <c r="C625" s="70" t="s">
        <v>910</v>
      </c>
      <c r="D625" s="70" t="s">
        <v>806</v>
      </c>
      <c r="E625" s="71" t="s">
        <v>319</v>
      </c>
      <c r="F625" s="72" t="s">
        <v>30</v>
      </c>
      <c r="G625" s="72"/>
      <c r="H625" s="71" t="s">
        <v>13</v>
      </c>
      <c r="I625" s="73">
        <v>8944.5</v>
      </c>
      <c r="J625" s="73"/>
      <c r="K625" s="74" t="s">
        <v>8</v>
      </c>
      <c r="L625" s="75">
        <v>1636197.29</v>
      </c>
    </row>
    <row r="626" spans="1:12" ht="71.400000000000006" hidden="1" x14ac:dyDescent="0.3">
      <c r="A626" s="69" t="s">
        <v>879</v>
      </c>
      <c r="B626" s="70" t="s">
        <v>901</v>
      </c>
      <c r="C626" s="70" t="s">
        <v>911</v>
      </c>
      <c r="D626" s="70" t="s">
        <v>912</v>
      </c>
      <c r="E626" s="71" t="s">
        <v>319</v>
      </c>
      <c r="F626" s="72" t="s">
        <v>30</v>
      </c>
      <c r="G626" s="72"/>
      <c r="H626" s="71" t="s">
        <v>13</v>
      </c>
      <c r="I626" s="73">
        <v>2610.34</v>
      </c>
      <c r="J626" s="73"/>
      <c r="K626" s="74" t="s">
        <v>8</v>
      </c>
      <c r="L626" s="75">
        <v>1633586.95</v>
      </c>
    </row>
    <row r="627" spans="1:12" ht="71.400000000000006" hidden="1" x14ac:dyDescent="0.3">
      <c r="A627" s="69" t="s">
        <v>879</v>
      </c>
      <c r="B627" s="70" t="s">
        <v>901</v>
      </c>
      <c r="C627" s="70" t="s">
        <v>911</v>
      </c>
      <c r="D627" s="70" t="s">
        <v>807</v>
      </c>
      <c r="E627" s="71" t="s">
        <v>319</v>
      </c>
      <c r="F627" s="72" t="s">
        <v>30</v>
      </c>
      <c r="G627" s="72"/>
      <c r="H627" s="71" t="s">
        <v>13</v>
      </c>
      <c r="I627" s="73">
        <v>15178.42</v>
      </c>
      <c r="J627" s="73"/>
      <c r="K627" s="74" t="s">
        <v>8</v>
      </c>
      <c r="L627" s="75">
        <v>1618408.53</v>
      </c>
    </row>
    <row r="628" spans="1:12" ht="61.2" hidden="1" x14ac:dyDescent="0.3">
      <c r="A628" s="69" t="s">
        <v>879</v>
      </c>
      <c r="B628" s="70" t="s">
        <v>901</v>
      </c>
      <c r="C628" s="70" t="s">
        <v>913</v>
      </c>
      <c r="D628" s="70" t="s">
        <v>739</v>
      </c>
      <c r="E628" s="71" t="s">
        <v>319</v>
      </c>
      <c r="F628" s="72" t="s">
        <v>30</v>
      </c>
      <c r="G628" s="72"/>
      <c r="H628" s="71" t="s">
        <v>13</v>
      </c>
      <c r="I628" s="73">
        <v>79560</v>
      </c>
      <c r="J628" s="73"/>
      <c r="K628" s="74" t="s">
        <v>8</v>
      </c>
      <c r="L628" s="75">
        <v>1538848.53</v>
      </c>
    </row>
    <row r="629" spans="1:12" ht="71.400000000000006" hidden="1" x14ac:dyDescent="0.3">
      <c r="A629" s="69" t="s">
        <v>879</v>
      </c>
      <c r="B629" s="70" t="s">
        <v>901</v>
      </c>
      <c r="C629" s="70" t="s">
        <v>914</v>
      </c>
      <c r="D629" s="70" t="s">
        <v>808</v>
      </c>
      <c r="E629" s="71" t="s">
        <v>319</v>
      </c>
      <c r="F629" s="72" t="s">
        <v>30</v>
      </c>
      <c r="G629" s="72"/>
      <c r="H629" s="71" t="s">
        <v>13</v>
      </c>
      <c r="I629" s="73">
        <v>86931.4</v>
      </c>
      <c r="J629" s="73"/>
      <c r="K629" s="74" t="s">
        <v>8</v>
      </c>
      <c r="L629" s="75">
        <v>1451917.13</v>
      </c>
    </row>
    <row r="630" spans="1:12" ht="61.2" hidden="1" x14ac:dyDescent="0.3">
      <c r="A630" s="69" t="s">
        <v>879</v>
      </c>
      <c r="B630" s="70" t="s">
        <v>901</v>
      </c>
      <c r="C630" s="70" t="s">
        <v>915</v>
      </c>
      <c r="D630" s="70" t="s">
        <v>916</v>
      </c>
      <c r="E630" s="71" t="s">
        <v>319</v>
      </c>
      <c r="F630" s="72" t="s">
        <v>30</v>
      </c>
      <c r="G630" s="72"/>
      <c r="H630" s="71" t="s">
        <v>13</v>
      </c>
      <c r="I630" s="73">
        <v>2953.24</v>
      </c>
      <c r="J630" s="73"/>
      <c r="K630" s="74" t="s">
        <v>8</v>
      </c>
      <c r="L630" s="75">
        <v>1448963.89</v>
      </c>
    </row>
    <row r="631" spans="1:12" ht="61.2" hidden="1" x14ac:dyDescent="0.3">
      <c r="A631" s="69" t="s">
        <v>879</v>
      </c>
      <c r="B631" s="70" t="s">
        <v>901</v>
      </c>
      <c r="C631" s="70" t="s">
        <v>917</v>
      </c>
      <c r="D631" s="70" t="s">
        <v>754</v>
      </c>
      <c r="E631" s="71" t="s">
        <v>319</v>
      </c>
      <c r="F631" s="72" t="s">
        <v>30</v>
      </c>
      <c r="G631" s="72"/>
      <c r="H631" s="71" t="s">
        <v>13</v>
      </c>
      <c r="I631" s="73">
        <v>21817.13</v>
      </c>
      <c r="J631" s="73"/>
      <c r="K631" s="74" t="s">
        <v>8</v>
      </c>
      <c r="L631" s="75">
        <v>1427146.76</v>
      </c>
    </row>
    <row r="632" spans="1:12" ht="61.2" hidden="1" x14ac:dyDescent="0.3">
      <c r="A632" s="69" t="s">
        <v>879</v>
      </c>
      <c r="B632" s="70" t="s">
        <v>901</v>
      </c>
      <c r="C632" s="70" t="s">
        <v>917</v>
      </c>
      <c r="D632" s="70" t="s">
        <v>918</v>
      </c>
      <c r="E632" s="71" t="s">
        <v>319</v>
      </c>
      <c r="F632" s="72" t="s">
        <v>30</v>
      </c>
      <c r="G632" s="72"/>
      <c r="H632" s="71" t="s">
        <v>13</v>
      </c>
      <c r="I632" s="78">
        <v>51.34</v>
      </c>
      <c r="J632" s="78"/>
      <c r="K632" s="74" t="s">
        <v>8</v>
      </c>
      <c r="L632" s="75">
        <v>1427095.42</v>
      </c>
    </row>
    <row r="633" spans="1:12" ht="71.400000000000006" hidden="1" x14ac:dyDescent="0.3">
      <c r="A633" s="69" t="s">
        <v>919</v>
      </c>
      <c r="B633" s="70" t="s">
        <v>920</v>
      </c>
      <c r="C633" s="70" t="s">
        <v>921</v>
      </c>
      <c r="D633" s="70" t="s">
        <v>671</v>
      </c>
      <c r="E633" s="71" t="s">
        <v>13</v>
      </c>
      <c r="F633" s="76">
        <v>47410.8</v>
      </c>
      <c r="G633" s="76"/>
      <c r="H633" s="71" t="s">
        <v>457</v>
      </c>
      <c r="I633" s="77" t="s">
        <v>30</v>
      </c>
      <c r="J633" s="77"/>
      <c r="K633" s="74" t="s">
        <v>8</v>
      </c>
      <c r="L633" s="75">
        <v>4870621.0199999996</v>
      </c>
    </row>
    <row r="634" spans="1:12" ht="71.400000000000006" hidden="1" x14ac:dyDescent="0.3">
      <c r="A634" s="69" t="s">
        <v>919</v>
      </c>
      <c r="B634" s="70" t="s">
        <v>922</v>
      </c>
      <c r="C634" s="70" t="s">
        <v>921</v>
      </c>
      <c r="D634" s="70" t="s">
        <v>671</v>
      </c>
      <c r="E634" s="71" t="s">
        <v>13</v>
      </c>
      <c r="F634" s="76">
        <v>52759.199999999997</v>
      </c>
      <c r="G634" s="76"/>
      <c r="H634" s="71" t="s">
        <v>457</v>
      </c>
      <c r="I634" s="77" t="s">
        <v>30</v>
      </c>
      <c r="J634" s="77"/>
      <c r="K634" s="74" t="s">
        <v>8</v>
      </c>
      <c r="L634" s="75">
        <v>4923380.22</v>
      </c>
    </row>
    <row r="635" spans="1:12" ht="71.400000000000006" hidden="1" x14ac:dyDescent="0.3">
      <c r="A635" s="69" t="s">
        <v>919</v>
      </c>
      <c r="B635" s="70" t="s">
        <v>920</v>
      </c>
      <c r="C635" s="70" t="s">
        <v>923</v>
      </c>
      <c r="D635" s="70" t="s">
        <v>671</v>
      </c>
      <c r="E635" s="71" t="s">
        <v>13</v>
      </c>
      <c r="F635" s="76">
        <v>11130</v>
      </c>
      <c r="G635" s="76"/>
      <c r="H635" s="71" t="s">
        <v>457</v>
      </c>
      <c r="I635" s="77" t="s">
        <v>30</v>
      </c>
      <c r="J635" s="77"/>
      <c r="K635" s="74" t="s">
        <v>8</v>
      </c>
      <c r="L635" s="75">
        <v>4934510.22</v>
      </c>
    </row>
    <row r="636" spans="1:12" ht="91.8" hidden="1" x14ac:dyDescent="0.3">
      <c r="A636" s="69" t="s">
        <v>919</v>
      </c>
      <c r="B636" s="70" t="s">
        <v>924</v>
      </c>
      <c r="C636" s="70" t="s">
        <v>925</v>
      </c>
      <c r="D636" s="70" t="s">
        <v>505</v>
      </c>
      <c r="E636" s="71" t="s">
        <v>13</v>
      </c>
      <c r="F636" s="76">
        <v>5880</v>
      </c>
      <c r="G636" s="76"/>
      <c r="H636" s="71" t="s">
        <v>457</v>
      </c>
      <c r="I636" s="77" t="s">
        <v>30</v>
      </c>
      <c r="J636" s="77"/>
      <c r="K636" s="74" t="s">
        <v>8</v>
      </c>
      <c r="L636" s="75">
        <v>1422949.5</v>
      </c>
    </row>
    <row r="637" spans="1:12" ht="81.599999999999994" hidden="1" x14ac:dyDescent="0.3">
      <c r="A637" s="69" t="s">
        <v>25</v>
      </c>
      <c r="B637" s="70" t="s">
        <v>926</v>
      </c>
      <c r="C637" s="70" t="s">
        <v>927</v>
      </c>
      <c r="D637" s="70" t="s">
        <v>573</v>
      </c>
      <c r="E637" s="71" t="s">
        <v>13</v>
      </c>
      <c r="F637" s="76">
        <v>8775</v>
      </c>
      <c r="G637" s="76"/>
      <c r="H637" s="71" t="s">
        <v>457</v>
      </c>
      <c r="I637" s="77" t="s">
        <v>30</v>
      </c>
      <c r="J637" s="77"/>
      <c r="K637" s="74" t="s">
        <v>8</v>
      </c>
      <c r="L637" s="75">
        <v>2860489.64</v>
      </c>
    </row>
    <row r="638" spans="1:12" ht="91.8" hidden="1" x14ac:dyDescent="0.3">
      <c r="A638" s="69" t="s">
        <v>25</v>
      </c>
      <c r="B638" s="70" t="s">
        <v>928</v>
      </c>
      <c r="C638" s="70" t="s">
        <v>929</v>
      </c>
      <c r="D638" s="70" t="s">
        <v>581</v>
      </c>
      <c r="E638" s="71" t="s">
        <v>13</v>
      </c>
      <c r="F638" s="76">
        <v>104190</v>
      </c>
      <c r="G638" s="76"/>
      <c r="H638" s="71" t="s">
        <v>457</v>
      </c>
      <c r="I638" s="77" t="s">
        <v>30</v>
      </c>
      <c r="J638" s="77"/>
      <c r="K638" s="74" t="s">
        <v>8</v>
      </c>
      <c r="L638" s="75">
        <v>2964679.64</v>
      </c>
    </row>
    <row r="639" spans="1:12" ht="91.8" hidden="1" x14ac:dyDescent="0.3">
      <c r="A639" s="69" t="s">
        <v>25</v>
      </c>
      <c r="B639" s="70" t="s">
        <v>928</v>
      </c>
      <c r="C639" s="70" t="s">
        <v>930</v>
      </c>
      <c r="D639" s="70" t="s">
        <v>581</v>
      </c>
      <c r="E639" s="71" t="s">
        <v>13</v>
      </c>
      <c r="F639" s="76">
        <v>9119.5</v>
      </c>
      <c r="G639" s="76"/>
      <c r="H639" s="71" t="s">
        <v>457</v>
      </c>
      <c r="I639" s="77" t="s">
        <v>30</v>
      </c>
      <c r="J639" s="77"/>
      <c r="K639" s="74" t="s">
        <v>8</v>
      </c>
      <c r="L639" s="75">
        <v>2973799.14</v>
      </c>
    </row>
    <row r="640" spans="1:12" ht="91.8" hidden="1" x14ac:dyDescent="0.3">
      <c r="A640" s="69" t="s">
        <v>25</v>
      </c>
      <c r="B640" s="70" t="s">
        <v>928</v>
      </c>
      <c r="C640" s="70" t="s">
        <v>931</v>
      </c>
      <c r="D640" s="70" t="s">
        <v>581</v>
      </c>
      <c r="E640" s="71" t="s">
        <v>13</v>
      </c>
      <c r="F640" s="76">
        <v>22689.5</v>
      </c>
      <c r="G640" s="76"/>
      <c r="H640" s="71" t="s">
        <v>457</v>
      </c>
      <c r="I640" s="77" t="s">
        <v>30</v>
      </c>
      <c r="J640" s="77"/>
      <c r="K640" s="74" t="s">
        <v>8</v>
      </c>
      <c r="L640" s="75">
        <v>2996488.64</v>
      </c>
    </row>
    <row r="641" spans="1:12" ht="61.2" hidden="1" x14ac:dyDescent="0.3">
      <c r="A641" s="69" t="s">
        <v>25</v>
      </c>
      <c r="B641" s="70" t="s">
        <v>932</v>
      </c>
      <c r="C641" s="70" t="s">
        <v>933</v>
      </c>
      <c r="D641" s="70" t="s">
        <v>733</v>
      </c>
      <c r="E641" s="71" t="s">
        <v>13</v>
      </c>
      <c r="F641" s="76">
        <v>2916.67</v>
      </c>
      <c r="G641" s="76"/>
      <c r="H641" s="71" t="s">
        <v>457</v>
      </c>
      <c r="I641" s="77" t="s">
        <v>30</v>
      </c>
      <c r="J641" s="77"/>
      <c r="K641" s="74" t="s">
        <v>8</v>
      </c>
      <c r="L641" s="75">
        <v>1430012.09</v>
      </c>
    </row>
    <row r="642" spans="1:12" ht="71.400000000000006" hidden="1" x14ac:dyDescent="0.3">
      <c r="A642" s="69" t="s">
        <v>25</v>
      </c>
      <c r="B642" s="70" t="s">
        <v>932</v>
      </c>
      <c r="C642" s="70" t="s">
        <v>934</v>
      </c>
      <c r="D642" s="70" t="s">
        <v>733</v>
      </c>
      <c r="E642" s="71" t="s">
        <v>13</v>
      </c>
      <c r="F642" s="76">
        <v>3840</v>
      </c>
      <c r="G642" s="76"/>
      <c r="H642" s="71" t="s">
        <v>457</v>
      </c>
      <c r="I642" s="77" t="s">
        <v>30</v>
      </c>
      <c r="J642" s="77"/>
      <c r="K642" s="74" t="s">
        <v>8</v>
      </c>
      <c r="L642" s="75">
        <v>1433852.09</v>
      </c>
    </row>
    <row r="643" spans="1:12" ht="71.400000000000006" hidden="1" x14ac:dyDescent="0.3">
      <c r="A643" s="69" t="s">
        <v>25</v>
      </c>
      <c r="B643" s="70" t="s">
        <v>932</v>
      </c>
      <c r="C643" s="70" t="s">
        <v>935</v>
      </c>
      <c r="D643" s="70" t="s">
        <v>733</v>
      </c>
      <c r="E643" s="71" t="s">
        <v>13</v>
      </c>
      <c r="F643" s="76">
        <v>10983.75</v>
      </c>
      <c r="G643" s="76"/>
      <c r="H643" s="71" t="s">
        <v>457</v>
      </c>
      <c r="I643" s="77" t="s">
        <v>30</v>
      </c>
      <c r="J643" s="77"/>
      <c r="K643" s="74" t="s">
        <v>8</v>
      </c>
      <c r="L643" s="75">
        <v>1444835.84</v>
      </c>
    </row>
    <row r="644" spans="1:12" ht="61.2" hidden="1" x14ac:dyDescent="0.3">
      <c r="A644" s="69" t="s">
        <v>25</v>
      </c>
      <c r="B644" s="70" t="s">
        <v>932</v>
      </c>
      <c r="C644" s="70" t="s">
        <v>936</v>
      </c>
      <c r="D644" s="70" t="s">
        <v>733</v>
      </c>
      <c r="E644" s="71" t="s">
        <v>13</v>
      </c>
      <c r="F644" s="76">
        <v>56394.17</v>
      </c>
      <c r="G644" s="76"/>
      <c r="H644" s="71" t="s">
        <v>457</v>
      </c>
      <c r="I644" s="77" t="s">
        <v>30</v>
      </c>
      <c r="J644" s="77"/>
      <c r="K644" s="74" t="s">
        <v>8</v>
      </c>
      <c r="L644" s="75">
        <v>1501230.01</v>
      </c>
    </row>
    <row r="645" spans="1:12" ht="61.2" hidden="1" x14ac:dyDescent="0.3">
      <c r="A645" s="69" t="s">
        <v>25</v>
      </c>
      <c r="B645" s="70" t="s">
        <v>932</v>
      </c>
      <c r="C645" s="70" t="s">
        <v>937</v>
      </c>
      <c r="D645" s="70" t="s">
        <v>733</v>
      </c>
      <c r="E645" s="71" t="s">
        <v>13</v>
      </c>
      <c r="F645" s="76">
        <v>328669.15000000002</v>
      </c>
      <c r="G645" s="76"/>
      <c r="H645" s="71" t="s">
        <v>457</v>
      </c>
      <c r="I645" s="77" t="s">
        <v>30</v>
      </c>
      <c r="J645" s="77"/>
      <c r="K645" s="74" t="s">
        <v>8</v>
      </c>
      <c r="L645" s="75">
        <v>1829899.16</v>
      </c>
    </row>
    <row r="646" spans="1:12" ht="71.400000000000006" hidden="1" x14ac:dyDescent="0.3">
      <c r="A646" s="69" t="s">
        <v>938</v>
      </c>
      <c r="B646" s="70" t="s">
        <v>939</v>
      </c>
      <c r="C646" s="70" t="s">
        <v>940</v>
      </c>
      <c r="D646" s="70" t="s">
        <v>941</v>
      </c>
      <c r="E646" s="71" t="s">
        <v>13</v>
      </c>
      <c r="F646" s="76">
        <v>4324.3999999999996</v>
      </c>
      <c r="G646" s="76"/>
      <c r="H646" s="71" t="s">
        <v>457</v>
      </c>
      <c r="I646" s="77" t="s">
        <v>30</v>
      </c>
      <c r="J646" s="77"/>
      <c r="K646" s="74" t="s">
        <v>8</v>
      </c>
      <c r="L646" s="75">
        <v>500427.81</v>
      </c>
    </row>
    <row r="647" spans="1:12" ht="81.599999999999994" hidden="1" x14ac:dyDescent="0.3">
      <c r="A647" s="69" t="s">
        <v>938</v>
      </c>
      <c r="B647" s="70" t="s">
        <v>942</v>
      </c>
      <c r="C647" s="70" t="s">
        <v>943</v>
      </c>
      <c r="D647" s="70" t="s">
        <v>944</v>
      </c>
      <c r="E647" s="71" t="s">
        <v>13</v>
      </c>
      <c r="F647" s="76">
        <v>1587.7</v>
      </c>
      <c r="G647" s="76"/>
      <c r="H647" s="71" t="s">
        <v>457</v>
      </c>
      <c r="I647" s="77" t="s">
        <v>30</v>
      </c>
      <c r="J647" s="77"/>
      <c r="K647" s="74" t="s">
        <v>8</v>
      </c>
      <c r="L647" s="75">
        <v>37952.800000000003</v>
      </c>
    </row>
    <row r="648" spans="1:12" ht="81.599999999999994" hidden="1" x14ac:dyDescent="0.3">
      <c r="A648" s="69" t="s">
        <v>938</v>
      </c>
      <c r="B648" s="70" t="s">
        <v>942</v>
      </c>
      <c r="C648" s="70" t="s">
        <v>945</v>
      </c>
      <c r="D648" s="70" t="s">
        <v>944</v>
      </c>
      <c r="E648" s="71" t="s">
        <v>13</v>
      </c>
      <c r="F648" s="76">
        <v>3764.1</v>
      </c>
      <c r="G648" s="76"/>
      <c r="H648" s="71" t="s">
        <v>457</v>
      </c>
      <c r="I648" s="77" t="s">
        <v>30</v>
      </c>
      <c r="J648" s="77"/>
      <c r="K648" s="74" t="s">
        <v>8</v>
      </c>
      <c r="L648" s="75">
        <v>41716.9</v>
      </c>
    </row>
    <row r="649" spans="1:12" ht="81.599999999999994" hidden="1" x14ac:dyDescent="0.3">
      <c r="A649" s="69" t="s">
        <v>938</v>
      </c>
      <c r="B649" s="70" t="s">
        <v>946</v>
      </c>
      <c r="C649" s="70" t="s">
        <v>947</v>
      </c>
      <c r="D649" s="70" t="s">
        <v>944</v>
      </c>
      <c r="E649" s="71" t="s">
        <v>13</v>
      </c>
      <c r="F649" s="76">
        <v>72321.53</v>
      </c>
      <c r="G649" s="76"/>
      <c r="H649" s="71" t="s">
        <v>457</v>
      </c>
      <c r="I649" s="77" t="s">
        <v>30</v>
      </c>
      <c r="J649" s="77"/>
      <c r="K649" s="74" t="s">
        <v>8</v>
      </c>
      <c r="L649" s="75">
        <v>114038.43</v>
      </c>
    </row>
    <row r="650" spans="1:12" ht="81.599999999999994" hidden="1" x14ac:dyDescent="0.3">
      <c r="A650" s="69" t="s">
        <v>938</v>
      </c>
      <c r="B650" s="70" t="s">
        <v>942</v>
      </c>
      <c r="C650" s="70" t="s">
        <v>947</v>
      </c>
      <c r="D650" s="70" t="s">
        <v>944</v>
      </c>
      <c r="E650" s="71" t="s">
        <v>13</v>
      </c>
      <c r="F650" s="76">
        <v>140330.47</v>
      </c>
      <c r="G650" s="76"/>
      <c r="H650" s="71" t="s">
        <v>457</v>
      </c>
      <c r="I650" s="77" t="s">
        <v>30</v>
      </c>
      <c r="J650" s="77"/>
      <c r="K650" s="74" t="s">
        <v>8</v>
      </c>
      <c r="L650" s="75">
        <v>254368.9</v>
      </c>
    </row>
    <row r="651" spans="1:12" ht="81.599999999999994" hidden="1" x14ac:dyDescent="0.3">
      <c r="A651" s="69" t="s">
        <v>938</v>
      </c>
      <c r="B651" s="70" t="s">
        <v>946</v>
      </c>
      <c r="C651" s="70" t="s">
        <v>947</v>
      </c>
      <c r="D651" s="70" t="s">
        <v>944</v>
      </c>
      <c r="E651" s="71" t="s">
        <v>13</v>
      </c>
      <c r="F651" s="76">
        <v>3758.3</v>
      </c>
      <c r="G651" s="76"/>
      <c r="H651" s="71" t="s">
        <v>457</v>
      </c>
      <c r="I651" s="77" t="s">
        <v>30</v>
      </c>
      <c r="J651" s="77"/>
      <c r="K651" s="74" t="s">
        <v>8</v>
      </c>
      <c r="L651" s="75">
        <v>258127.2</v>
      </c>
    </row>
    <row r="652" spans="1:12" ht="91.8" hidden="1" x14ac:dyDescent="0.3">
      <c r="A652" s="69" t="s">
        <v>938</v>
      </c>
      <c r="B652" s="70" t="s">
        <v>946</v>
      </c>
      <c r="C652" s="70" t="s">
        <v>948</v>
      </c>
      <c r="D652" s="70" t="s">
        <v>944</v>
      </c>
      <c r="E652" s="71" t="s">
        <v>13</v>
      </c>
      <c r="F652" s="76">
        <v>3580.3</v>
      </c>
      <c r="G652" s="76"/>
      <c r="H652" s="71" t="s">
        <v>457</v>
      </c>
      <c r="I652" s="77" t="s">
        <v>30</v>
      </c>
      <c r="J652" s="77"/>
      <c r="K652" s="74" t="s">
        <v>8</v>
      </c>
      <c r="L652" s="75">
        <v>261707.5</v>
      </c>
    </row>
    <row r="653" spans="1:12" ht="81.599999999999994" hidden="1" x14ac:dyDescent="0.3">
      <c r="A653" s="69" t="s">
        <v>938</v>
      </c>
      <c r="B653" s="70" t="s">
        <v>946</v>
      </c>
      <c r="C653" s="70" t="s">
        <v>949</v>
      </c>
      <c r="D653" s="70" t="s">
        <v>944</v>
      </c>
      <c r="E653" s="71" t="s">
        <v>13</v>
      </c>
      <c r="F653" s="76">
        <v>3713.4</v>
      </c>
      <c r="G653" s="76"/>
      <c r="H653" s="71" t="s">
        <v>457</v>
      </c>
      <c r="I653" s="77" t="s">
        <v>30</v>
      </c>
      <c r="J653" s="77"/>
      <c r="K653" s="74" t="s">
        <v>8</v>
      </c>
      <c r="L653" s="75">
        <v>265420.90000000002</v>
      </c>
    </row>
    <row r="654" spans="1:12" ht="81.599999999999994" hidden="1" x14ac:dyDescent="0.3">
      <c r="A654" s="69" t="s">
        <v>938</v>
      </c>
      <c r="B654" s="70" t="s">
        <v>946</v>
      </c>
      <c r="C654" s="70" t="s">
        <v>950</v>
      </c>
      <c r="D654" s="70" t="s">
        <v>944</v>
      </c>
      <c r="E654" s="71" t="s">
        <v>13</v>
      </c>
      <c r="F654" s="76">
        <v>4542.6000000000004</v>
      </c>
      <c r="G654" s="76"/>
      <c r="H654" s="71" t="s">
        <v>457</v>
      </c>
      <c r="I654" s="77" t="s">
        <v>30</v>
      </c>
      <c r="J654" s="77"/>
      <c r="K654" s="74" t="s">
        <v>8</v>
      </c>
      <c r="L654" s="75">
        <v>269963.5</v>
      </c>
    </row>
    <row r="655" spans="1:12" ht="81.599999999999994" hidden="1" x14ac:dyDescent="0.3">
      <c r="A655" s="69" t="s">
        <v>938</v>
      </c>
      <c r="B655" s="70" t="s">
        <v>946</v>
      </c>
      <c r="C655" s="70" t="s">
        <v>951</v>
      </c>
      <c r="D655" s="70" t="s">
        <v>944</v>
      </c>
      <c r="E655" s="71" t="s">
        <v>13</v>
      </c>
      <c r="F655" s="76">
        <v>1794.7</v>
      </c>
      <c r="G655" s="76"/>
      <c r="H655" s="71" t="s">
        <v>457</v>
      </c>
      <c r="I655" s="77" t="s">
        <v>30</v>
      </c>
      <c r="J655" s="77"/>
      <c r="K655" s="74" t="s">
        <v>8</v>
      </c>
      <c r="L655" s="75">
        <v>271758.2</v>
      </c>
    </row>
    <row r="656" spans="1:12" ht="81.599999999999994" hidden="1" x14ac:dyDescent="0.3">
      <c r="A656" s="69" t="s">
        <v>938</v>
      </c>
      <c r="B656" s="70" t="s">
        <v>946</v>
      </c>
      <c r="C656" s="70" t="s">
        <v>952</v>
      </c>
      <c r="D656" s="70" t="s">
        <v>944</v>
      </c>
      <c r="E656" s="71" t="s">
        <v>13</v>
      </c>
      <c r="F656" s="76">
        <v>3826.5</v>
      </c>
      <c r="G656" s="76"/>
      <c r="H656" s="71" t="s">
        <v>457</v>
      </c>
      <c r="I656" s="77" t="s">
        <v>30</v>
      </c>
      <c r="J656" s="77"/>
      <c r="K656" s="74" t="s">
        <v>8</v>
      </c>
      <c r="L656" s="75">
        <v>275584.7</v>
      </c>
    </row>
    <row r="657" spans="1:12" ht="81.599999999999994" hidden="1" x14ac:dyDescent="0.3">
      <c r="A657" s="69" t="s">
        <v>938</v>
      </c>
      <c r="B657" s="70" t="s">
        <v>946</v>
      </c>
      <c r="C657" s="70" t="s">
        <v>952</v>
      </c>
      <c r="D657" s="70" t="s">
        <v>944</v>
      </c>
      <c r="E657" s="71" t="s">
        <v>13</v>
      </c>
      <c r="F657" s="76">
        <v>139190.39999999999</v>
      </c>
      <c r="G657" s="76"/>
      <c r="H657" s="71" t="s">
        <v>457</v>
      </c>
      <c r="I657" s="77" t="s">
        <v>30</v>
      </c>
      <c r="J657" s="77"/>
      <c r="K657" s="74" t="s">
        <v>8</v>
      </c>
      <c r="L657" s="75">
        <v>414775.1</v>
      </c>
    </row>
    <row r="658" spans="1:12" ht="81.599999999999994" hidden="1" x14ac:dyDescent="0.3">
      <c r="A658" s="69" t="s">
        <v>938</v>
      </c>
      <c r="B658" s="70" t="s">
        <v>946</v>
      </c>
      <c r="C658" s="70" t="s">
        <v>953</v>
      </c>
      <c r="D658" s="70" t="s">
        <v>944</v>
      </c>
      <c r="E658" s="71" t="s">
        <v>13</v>
      </c>
      <c r="F658" s="76">
        <v>2347.8000000000002</v>
      </c>
      <c r="G658" s="76"/>
      <c r="H658" s="71" t="s">
        <v>457</v>
      </c>
      <c r="I658" s="77" t="s">
        <v>30</v>
      </c>
      <c r="J658" s="77"/>
      <c r="K658" s="74" t="s">
        <v>8</v>
      </c>
      <c r="L658" s="75">
        <v>417122.9</v>
      </c>
    </row>
    <row r="659" spans="1:12" ht="71.400000000000006" hidden="1" x14ac:dyDescent="0.3">
      <c r="A659" s="69" t="s">
        <v>938</v>
      </c>
      <c r="B659" s="70" t="s">
        <v>946</v>
      </c>
      <c r="C659" s="70" t="s">
        <v>954</v>
      </c>
      <c r="D659" s="70" t="s">
        <v>944</v>
      </c>
      <c r="E659" s="71" t="s">
        <v>13</v>
      </c>
      <c r="F659" s="76">
        <v>12144</v>
      </c>
      <c r="G659" s="76"/>
      <c r="H659" s="71" t="s">
        <v>457</v>
      </c>
      <c r="I659" s="77" t="s">
        <v>30</v>
      </c>
      <c r="J659" s="77"/>
      <c r="K659" s="74" t="s">
        <v>8</v>
      </c>
      <c r="L659" s="75">
        <v>429266.9</v>
      </c>
    </row>
    <row r="660" spans="1:12" ht="81.599999999999994" hidden="1" x14ac:dyDescent="0.3">
      <c r="A660" s="69" t="s">
        <v>938</v>
      </c>
      <c r="B660" s="70" t="s">
        <v>946</v>
      </c>
      <c r="C660" s="70" t="s">
        <v>955</v>
      </c>
      <c r="D660" s="70" t="s">
        <v>944</v>
      </c>
      <c r="E660" s="71" t="s">
        <v>13</v>
      </c>
      <c r="F660" s="76">
        <v>14391.6</v>
      </c>
      <c r="G660" s="76"/>
      <c r="H660" s="71" t="s">
        <v>457</v>
      </c>
      <c r="I660" s="77" t="s">
        <v>30</v>
      </c>
      <c r="J660" s="77"/>
      <c r="K660" s="74" t="s">
        <v>8</v>
      </c>
      <c r="L660" s="75">
        <v>443658.5</v>
      </c>
    </row>
    <row r="661" spans="1:12" ht="71.400000000000006" hidden="1" x14ac:dyDescent="0.3">
      <c r="A661" s="69" t="s">
        <v>938</v>
      </c>
      <c r="B661" s="70" t="s">
        <v>946</v>
      </c>
      <c r="C661" s="70" t="s">
        <v>956</v>
      </c>
      <c r="D661" s="70" t="s">
        <v>944</v>
      </c>
      <c r="E661" s="71" t="s">
        <v>13</v>
      </c>
      <c r="F661" s="79">
        <v>352.8</v>
      </c>
      <c r="G661" s="79"/>
      <c r="H661" s="71" t="s">
        <v>457</v>
      </c>
      <c r="I661" s="77" t="s">
        <v>30</v>
      </c>
      <c r="J661" s="77"/>
      <c r="K661" s="74" t="s">
        <v>8</v>
      </c>
      <c r="L661" s="75">
        <v>444011.3</v>
      </c>
    </row>
    <row r="662" spans="1:12" ht="91.8" hidden="1" x14ac:dyDescent="0.3">
      <c r="A662" s="69" t="s">
        <v>938</v>
      </c>
      <c r="B662" s="70" t="s">
        <v>957</v>
      </c>
      <c r="C662" s="70" t="s">
        <v>958</v>
      </c>
      <c r="D662" s="70" t="s">
        <v>959</v>
      </c>
      <c r="E662" s="71" t="s">
        <v>13</v>
      </c>
      <c r="F662" s="76">
        <v>3117.1</v>
      </c>
      <c r="G662" s="76"/>
      <c r="H662" s="71" t="s">
        <v>457</v>
      </c>
      <c r="I662" s="77" t="s">
        <v>30</v>
      </c>
      <c r="J662" s="77"/>
      <c r="K662" s="74" t="s">
        <v>8</v>
      </c>
      <c r="L662" s="75">
        <v>179888.06</v>
      </c>
    </row>
    <row r="663" spans="1:12" ht="81.599999999999994" hidden="1" x14ac:dyDescent="0.3">
      <c r="A663" s="69" t="s">
        <v>938</v>
      </c>
      <c r="B663" s="70" t="s">
        <v>957</v>
      </c>
      <c r="C663" s="70" t="s">
        <v>960</v>
      </c>
      <c r="D663" s="70" t="s">
        <v>959</v>
      </c>
      <c r="E663" s="71" t="s">
        <v>13</v>
      </c>
      <c r="F663" s="76">
        <v>1597.1</v>
      </c>
      <c r="G663" s="76"/>
      <c r="H663" s="71" t="s">
        <v>457</v>
      </c>
      <c r="I663" s="77" t="s">
        <v>30</v>
      </c>
      <c r="J663" s="77"/>
      <c r="K663" s="74" t="s">
        <v>8</v>
      </c>
      <c r="L663" s="75">
        <v>181485.16</v>
      </c>
    </row>
    <row r="664" spans="1:12" ht="81.599999999999994" hidden="1" x14ac:dyDescent="0.3">
      <c r="A664" s="69" t="s">
        <v>938</v>
      </c>
      <c r="B664" s="70" t="s">
        <v>957</v>
      </c>
      <c r="C664" s="70" t="s">
        <v>961</v>
      </c>
      <c r="D664" s="70" t="s">
        <v>959</v>
      </c>
      <c r="E664" s="71" t="s">
        <v>13</v>
      </c>
      <c r="F664" s="79">
        <v>735.4</v>
      </c>
      <c r="G664" s="79"/>
      <c r="H664" s="71" t="s">
        <v>457</v>
      </c>
      <c r="I664" s="77" t="s">
        <v>30</v>
      </c>
      <c r="J664" s="77"/>
      <c r="K664" s="74" t="s">
        <v>8</v>
      </c>
      <c r="L664" s="75">
        <v>182220.56</v>
      </c>
    </row>
    <row r="665" spans="1:12" ht="81.599999999999994" hidden="1" x14ac:dyDescent="0.3">
      <c r="A665" s="69" t="s">
        <v>938</v>
      </c>
      <c r="B665" s="70" t="s">
        <v>957</v>
      </c>
      <c r="C665" s="70" t="s">
        <v>962</v>
      </c>
      <c r="D665" s="70" t="s">
        <v>959</v>
      </c>
      <c r="E665" s="71" t="s">
        <v>13</v>
      </c>
      <c r="F665" s="76">
        <v>4375.8999999999996</v>
      </c>
      <c r="G665" s="76"/>
      <c r="H665" s="71" t="s">
        <v>457</v>
      </c>
      <c r="I665" s="77" t="s">
        <v>30</v>
      </c>
      <c r="J665" s="77"/>
      <c r="K665" s="74" t="s">
        <v>8</v>
      </c>
      <c r="L665" s="75">
        <v>186596.46</v>
      </c>
    </row>
    <row r="666" spans="1:12" ht="81.599999999999994" hidden="1" x14ac:dyDescent="0.3">
      <c r="A666" s="69" t="s">
        <v>938</v>
      </c>
      <c r="B666" s="70" t="s">
        <v>957</v>
      </c>
      <c r="C666" s="70" t="s">
        <v>963</v>
      </c>
      <c r="D666" s="70" t="s">
        <v>959</v>
      </c>
      <c r="E666" s="71" t="s">
        <v>13</v>
      </c>
      <c r="F666" s="76">
        <v>1821.8</v>
      </c>
      <c r="G666" s="76"/>
      <c r="H666" s="71" t="s">
        <v>457</v>
      </c>
      <c r="I666" s="77" t="s">
        <v>30</v>
      </c>
      <c r="J666" s="77"/>
      <c r="K666" s="74" t="s">
        <v>8</v>
      </c>
      <c r="L666" s="75">
        <v>188418.26</v>
      </c>
    </row>
    <row r="667" spans="1:12" ht="81.599999999999994" hidden="1" x14ac:dyDescent="0.3">
      <c r="A667" s="69" t="s">
        <v>938</v>
      </c>
      <c r="B667" s="70" t="s">
        <v>957</v>
      </c>
      <c r="C667" s="70" t="s">
        <v>964</v>
      </c>
      <c r="D667" s="70" t="s">
        <v>959</v>
      </c>
      <c r="E667" s="71" t="s">
        <v>13</v>
      </c>
      <c r="F667" s="79">
        <v>722.7</v>
      </c>
      <c r="G667" s="79"/>
      <c r="H667" s="71" t="s">
        <v>457</v>
      </c>
      <c r="I667" s="77" t="s">
        <v>30</v>
      </c>
      <c r="J667" s="77"/>
      <c r="K667" s="74" t="s">
        <v>8</v>
      </c>
      <c r="L667" s="75">
        <v>189140.96</v>
      </c>
    </row>
    <row r="668" spans="1:12" ht="81.599999999999994" hidden="1" x14ac:dyDescent="0.3">
      <c r="A668" s="69" t="s">
        <v>938</v>
      </c>
      <c r="B668" s="70" t="s">
        <v>957</v>
      </c>
      <c r="C668" s="70" t="s">
        <v>965</v>
      </c>
      <c r="D668" s="70" t="s">
        <v>959</v>
      </c>
      <c r="E668" s="71" t="s">
        <v>13</v>
      </c>
      <c r="F668" s="79">
        <v>611.5</v>
      </c>
      <c r="G668" s="79"/>
      <c r="H668" s="71" t="s">
        <v>457</v>
      </c>
      <c r="I668" s="77" t="s">
        <v>30</v>
      </c>
      <c r="J668" s="77"/>
      <c r="K668" s="74" t="s">
        <v>8</v>
      </c>
      <c r="L668" s="75">
        <v>189752.46</v>
      </c>
    </row>
    <row r="669" spans="1:12" ht="81.599999999999994" hidden="1" x14ac:dyDescent="0.3">
      <c r="A669" s="69" t="s">
        <v>938</v>
      </c>
      <c r="B669" s="70" t="s">
        <v>957</v>
      </c>
      <c r="C669" s="70" t="s">
        <v>966</v>
      </c>
      <c r="D669" s="70" t="s">
        <v>959</v>
      </c>
      <c r="E669" s="71" t="s">
        <v>13</v>
      </c>
      <c r="F669" s="76">
        <v>1714.6</v>
      </c>
      <c r="G669" s="76"/>
      <c r="H669" s="71" t="s">
        <v>457</v>
      </c>
      <c r="I669" s="77" t="s">
        <v>30</v>
      </c>
      <c r="J669" s="77"/>
      <c r="K669" s="74" t="s">
        <v>8</v>
      </c>
      <c r="L669" s="75">
        <v>191467.06</v>
      </c>
    </row>
    <row r="670" spans="1:12" ht="91.8" hidden="1" x14ac:dyDescent="0.3">
      <c r="A670" s="69" t="s">
        <v>938</v>
      </c>
      <c r="B670" s="70" t="s">
        <v>957</v>
      </c>
      <c r="C670" s="70" t="s">
        <v>967</v>
      </c>
      <c r="D670" s="70" t="s">
        <v>959</v>
      </c>
      <c r="E670" s="71" t="s">
        <v>13</v>
      </c>
      <c r="F670" s="76">
        <v>5196.2</v>
      </c>
      <c r="G670" s="76"/>
      <c r="H670" s="71" t="s">
        <v>457</v>
      </c>
      <c r="I670" s="77" t="s">
        <v>30</v>
      </c>
      <c r="J670" s="77"/>
      <c r="K670" s="74" t="s">
        <v>8</v>
      </c>
      <c r="L670" s="75">
        <v>196663.26</v>
      </c>
    </row>
    <row r="671" spans="1:12" ht="81.599999999999994" hidden="1" x14ac:dyDescent="0.3">
      <c r="A671" s="69" t="s">
        <v>938</v>
      </c>
      <c r="B671" s="70" t="s">
        <v>957</v>
      </c>
      <c r="C671" s="70" t="s">
        <v>968</v>
      </c>
      <c r="D671" s="70" t="s">
        <v>959</v>
      </c>
      <c r="E671" s="71" t="s">
        <v>13</v>
      </c>
      <c r="F671" s="76">
        <v>1725.7</v>
      </c>
      <c r="G671" s="76"/>
      <c r="H671" s="71" t="s">
        <v>457</v>
      </c>
      <c r="I671" s="77" t="s">
        <v>30</v>
      </c>
      <c r="J671" s="77"/>
      <c r="K671" s="74" t="s">
        <v>8</v>
      </c>
      <c r="L671" s="75">
        <v>198388.96</v>
      </c>
    </row>
    <row r="672" spans="1:12" ht="81.599999999999994" hidden="1" x14ac:dyDescent="0.3">
      <c r="A672" s="69" t="s">
        <v>938</v>
      </c>
      <c r="B672" s="70" t="s">
        <v>957</v>
      </c>
      <c r="C672" s="70" t="s">
        <v>969</v>
      </c>
      <c r="D672" s="70" t="s">
        <v>959</v>
      </c>
      <c r="E672" s="71" t="s">
        <v>13</v>
      </c>
      <c r="F672" s="76">
        <v>1680.5</v>
      </c>
      <c r="G672" s="76"/>
      <c r="H672" s="71" t="s">
        <v>457</v>
      </c>
      <c r="I672" s="77" t="s">
        <v>30</v>
      </c>
      <c r="J672" s="77"/>
      <c r="K672" s="74" t="s">
        <v>8</v>
      </c>
      <c r="L672" s="75">
        <v>200069.46</v>
      </c>
    </row>
    <row r="673" spans="1:12" ht="91.8" hidden="1" x14ac:dyDescent="0.3">
      <c r="A673" s="69" t="s">
        <v>938</v>
      </c>
      <c r="B673" s="70" t="s">
        <v>957</v>
      </c>
      <c r="C673" s="70" t="s">
        <v>970</v>
      </c>
      <c r="D673" s="70" t="s">
        <v>959</v>
      </c>
      <c r="E673" s="71" t="s">
        <v>13</v>
      </c>
      <c r="F673" s="76">
        <v>3696.1</v>
      </c>
      <c r="G673" s="76"/>
      <c r="H673" s="71" t="s">
        <v>457</v>
      </c>
      <c r="I673" s="77" t="s">
        <v>30</v>
      </c>
      <c r="J673" s="77"/>
      <c r="K673" s="74" t="s">
        <v>8</v>
      </c>
      <c r="L673" s="75">
        <v>203765.56</v>
      </c>
    </row>
    <row r="674" spans="1:12" ht="91.8" hidden="1" x14ac:dyDescent="0.3">
      <c r="A674" s="69" t="s">
        <v>938</v>
      </c>
      <c r="B674" s="70" t="s">
        <v>957</v>
      </c>
      <c r="C674" s="70" t="s">
        <v>971</v>
      </c>
      <c r="D674" s="70" t="s">
        <v>959</v>
      </c>
      <c r="E674" s="71" t="s">
        <v>13</v>
      </c>
      <c r="F674" s="76">
        <v>4091.5</v>
      </c>
      <c r="G674" s="76"/>
      <c r="H674" s="71" t="s">
        <v>457</v>
      </c>
      <c r="I674" s="77" t="s">
        <v>30</v>
      </c>
      <c r="J674" s="77"/>
      <c r="K674" s="74" t="s">
        <v>8</v>
      </c>
      <c r="L674" s="75">
        <v>207857.06</v>
      </c>
    </row>
    <row r="675" spans="1:12" ht="81.599999999999994" hidden="1" x14ac:dyDescent="0.3">
      <c r="A675" s="69" t="s">
        <v>938</v>
      </c>
      <c r="B675" s="70" t="s">
        <v>957</v>
      </c>
      <c r="C675" s="70" t="s">
        <v>972</v>
      </c>
      <c r="D675" s="70" t="s">
        <v>959</v>
      </c>
      <c r="E675" s="71" t="s">
        <v>13</v>
      </c>
      <c r="F675" s="76">
        <v>3445.9</v>
      </c>
      <c r="G675" s="76"/>
      <c r="H675" s="71" t="s">
        <v>457</v>
      </c>
      <c r="I675" s="77" t="s">
        <v>30</v>
      </c>
      <c r="J675" s="77"/>
      <c r="K675" s="74" t="s">
        <v>8</v>
      </c>
      <c r="L675" s="75">
        <v>211302.96</v>
      </c>
    </row>
    <row r="676" spans="1:12" ht="81.599999999999994" hidden="1" x14ac:dyDescent="0.3">
      <c r="A676" s="69" t="s">
        <v>938</v>
      </c>
      <c r="B676" s="70" t="s">
        <v>957</v>
      </c>
      <c r="C676" s="70" t="s">
        <v>973</v>
      </c>
      <c r="D676" s="70" t="s">
        <v>959</v>
      </c>
      <c r="E676" s="71" t="s">
        <v>13</v>
      </c>
      <c r="F676" s="76">
        <v>1900.4</v>
      </c>
      <c r="G676" s="76"/>
      <c r="H676" s="71" t="s">
        <v>457</v>
      </c>
      <c r="I676" s="77" t="s">
        <v>30</v>
      </c>
      <c r="J676" s="77"/>
      <c r="K676" s="74" t="s">
        <v>8</v>
      </c>
      <c r="L676" s="75">
        <v>213203.36</v>
      </c>
    </row>
    <row r="677" spans="1:12" ht="91.8" hidden="1" x14ac:dyDescent="0.3">
      <c r="A677" s="69" t="s">
        <v>938</v>
      </c>
      <c r="B677" s="70" t="s">
        <v>957</v>
      </c>
      <c r="C677" s="70" t="s">
        <v>974</v>
      </c>
      <c r="D677" s="70" t="s">
        <v>959</v>
      </c>
      <c r="E677" s="71" t="s">
        <v>13</v>
      </c>
      <c r="F677" s="79">
        <v>822.8</v>
      </c>
      <c r="G677" s="79"/>
      <c r="H677" s="71" t="s">
        <v>457</v>
      </c>
      <c r="I677" s="77" t="s">
        <v>30</v>
      </c>
      <c r="J677" s="77"/>
      <c r="K677" s="74" t="s">
        <v>8</v>
      </c>
      <c r="L677" s="75">
        <v>214026.16</v>
      </c>
    </row>
    <row r="678" spans="1:12" ht="81.599999999999994" hidden="1" x14ac:dyDescent="0.3">
      <c r="A678" s="69" t="s">
        <v>938</v>
      </c>
      <c r="B678" s="70" t="s">
        <v>957</v>
      </c>
      <c r="C678" s="70" t="s">
        <v>975</v>
      </c>
      <c r="D678" s="70" t="s">
        <v>959</v>
      </c>
      <c r="E678" s="71" t="s">
        <v>13</v>
      </c>
      <c r="F678" s="76">
        <v>26511.8</v>
      </c>
      <c r="G678" s="76"/>
      <c r="H678" s="71" t="s">
        <v>457</v>
      </c>
      <c r="I678" s="77" t="s">
        <v>30</v>
      </c>
      <c r="J678" s="77"/>
      <c r="K678" s="74" t="s">
        <v>8</v>
      </c>
      <c r="L678" s="75">
        <v>240537.96</v>
      </c>
    </row>
    <row r="679" spans="1:12" ht="81.599999999999994" hidden="1" x14ac:dyDescent="0.3">
      <c r="A679" s="69" t="s">
        <v>938</v>
      </c>
      <c r="B679" s="70" t="s">
        <v>957</v>
      </c>
      <c r="C679" s="70" t="s">
        <v>976</v>
      </c>
      <c r="D679" s="70" t="s">
        <v>959</v>
      </c>
      <c r="E679" s="71" t="s">
        <v>13</v>
      </c>
      <c r="F679" s="76">
        <v>12469.1</v>
      </c>
      <c r="G679" s="76"/>
      <c r="H679" s="71" t="s">
        <v>457</v>
      </c>
      <c r="I679" s="77" t="s">
        <v>30</v>
      </c>
      <c r="J679" s="77"/>
      <c r="K679" s="74" t="s">
        <v>8</v>
      </c>
      <c r="L679" s="75">
        <v>253007.06</v>
      </c>
    </row>
    <row r="680" spans="1:12" ht="81.599999999999994" hidden="1" x14ac:dyDescent="0.3">
      <c r="A680" s="69" t="s">
        <v>938</v>
      </c>
      <c r="B680" s="70" t="s">
        <v>957</v>
      </c>
      <c r="C680" s="70" t="s">
        <v>977</v>
      </c>
      <c r="D680" s="70" t="s">
        <v>959</v>
      </c>
      <c r="E680" s="71" t="s">
        <v>13</v>
      </c>
      <c r="F680" s="76">
        <v>5453.7</v>
      </c>
      <c r="G680" s="76"/>
      <c r="H680" s="71" t="s">
        <v>457</v>
      </c>
      <c r="I680" s="77" t="s">
        <v>30</v>
      </c>
      <c r="J680" s="77"/>
      <c r="K680" s="74" t="s">
        <v>8</v>
      </c>
      <c r="L680" s="75">
        <v>258460.76</v>
      </c>
    </row>
    <row r="681" spans="1:12" ht="81.599999999999994" hidden="1" x14ac:dyDescent="0.3">
      <c r="A681" s="69" t="s">
        <v>938</v>
      </c>
      <c r="B681" s="70" t="s">
        <v>957</v>
      </c>
      <c r="C681" s="70" t="s">
        <v>978</v>
      </c>
      <c r="D681" s="70" t="s">
        <v>959</v>
      </c>
      <c r="E681" s="71" t="s">
        <v>13</v>
      </c>
      <c r="F681" s="76">
        <v>9048.6</v>
      </c>
      <c r="G681" s="76"/>
      <c r="H681" s="71" t="s">
        <v>457</v>
      </c>
      <c r="I681" s="77" t="s">
        <v>30</v>
      </c>
      <c r="J681" s="77"/>
      <c r="K681" s="74" t="s">
        <v>8</v>
      </c>
      <c r="L681" s="75">
        <v>267509.36</v>
      </c>
    </row>
    <row r="682" spans="1:12" ht="81.599999999999994" hidden="1" x14ac:dyDescent="0.3">
      <c r="A682" s="69" t="s">
        <v>938</v>
      </c>
      <c r="B682" s="70" t="s">
        <v>957</v>
      </c>
      <c r="C682" s="70" t="s">
        <v>979</v>
      </c>
      <c r="D682" s="70" t="s">
        <v>959</v>
      </c>
      <c r="E682" s="71" t="s">
        <v>13</v>
      </c>
      <c r="F682" s="76">
        <v>5695.6</v>
      </c>
      <c r="G682" s="76"/>
      <c r="H682" s="71" t="s">
        <v>457</v>
      </c>
      <c r="I682" s="77" t="s">
        <v>30</v>
      </c>
      <c r="J682" s="77"/>
      <c r="K682" s="74" t="s">
        <v>8</v>
      </c>
      <c r="L682" s="75">
        <v>273204.96000000002</v>
      </c>
    </row>
    <row r="683" spans="1:12" ht="91.8" hidden="1" x14ac:dyDescent="0.3">
      <c r="A683" s="69" t="s">
        <v>938</v>
      </c>
      <c r="B683" s="70" t="s">
        <v>957</v>
      </c>
      <c r="C683" s="70" t="s">
        <v>980</v>
      </c>
      <c r="D683" s="70" t="s">
        <v>959</v>
      </c>
      <c r="E683" s="71" t="s">
        <v>13</v>
      </c>
      <c r="F683" s="76">
        <v>1553.4</v>
      </c>
      <c r="G683" s="76"/>
      <c r="H683" s="71" t="s">
        <v>457</v>
      </c>
      <c r="I683" s="77" t="s">
        <v>30</v>
      </c>
      <c r="J683" s="77"/>
      <c r="K683" s="74" t="s">
        <v>8</v>
      </c>
      <c r="L683" s="75">
        <v>274758.36</v>
      </c>
    </row>
    <row r="684" spans="1:12" ht="81.599999999999994" hidden="1" x14ac:dyDescent="0.3">
      <c r="A684" s="69" t="s">
        <v>938</v>
      </c>
      <c r="B684" s="70" t="s">
        <v>957</v>
      </c>
      <c r="C684" s="70" t="s">
        <v>981</v>
      </c>
      <c r="D684" s="70" t="s">
        <v>959</v>
      </c>
      <c r="E684" s="71" t="s">
        <v>13</v>
      </c>
      <c r="F684" s="76">
        <v>3083</v>
      </c>
      <c r="G684" s="76"/>
      <c r="H684" s="71" t="s">
        <v>457</v>
      </c>
      <c r="I684" s="77" t="s">
        <v>30</v>
      </c>
      <c r="J684" s="77"/>
      <c r="K684" s="74" t="s">
        <v>8</v>
      </c>
      <c r="L684" s="75">
        <v>277841.36</v>
      </c>
    </row>
    <row r="685" spans="1:12" ht="81.599999999999994" hidden="1" x14ac:dyDescent="0.3">
      <c r="A685" s="69" t="s">
        <v>938</v>
      </c>
      <c r="B685" s="70" t="s">
        <v>957</v>
      </c>
      <c r="C685" s="70" t="s">
        <v>982</v>
      </c>
      <c r="D685" s="70" t="s">
        <v>959</v>
      </c>
      <c r="E685" s="71" t="s">
        <v>13</v>
      </c>
      <c r="F685" s="76">
        <v>2887.6</v>
      </c>
      <c r="G685" s="76"/>
      <c r="H685" s="71" t="s">
        <v>457</v>
      </c>
      <c r="I685" s="77" t="s">
        <v>30</v>
      </c>
      <c r="J685" s="77"/>
      <c r="K685" s="74" t="s">
        <v>8</v>
      </c>
      <c r="L685" s="75">
        <v>280728.96000000002</v>
      </c>
    </row>
    <row r="686" spans="1:12" ht="91.8" hidden="1" x14ac:dyDescent="0.3">
      <c r="A686" s="69" t="s">
        <v>938</v>
      </c>
      <c r="B686" s="70" t="s">
        <v>957</v>
      </c>
      <c r="C686" s="70" t="s">
        <v>983</v>
      </c>
      <c r="D686" s="70" t="s">
        <v>959</v>
      </c>
      <c r="E686" s="71" t="s">
        <v>13</v>
      </c>
      <c r="F686" s="79">
        <v>946.6</v>
      </c>
      <c r="G686" s="79"/>
      <c r="H686" s="71" t="s">
        <v>457</v>
      </c>
      <c r="I686" s="77" t="s">
        <v>30</v>
      </c>
      <c r="J686" s="77"/>
      <c r="K686" s="74" t="s">
        <v>8</v>
      </c>
      <c r="L686" s="75">
        <v>281675.56</v>
      </c>
    </row>
    <row r="687" spans="1:12" ht="81.599999999999994" hidden="1" x14ac:dyDescent="0.3">
      <c r="A687" s="69" t="s">
        <v>938</v>
      </c>
      <c r="B687" s="70" t="s">
        <v>957</v>
      </c>
      <c r="C687" s="70" t="s">
        <v>984</v>
      </c>
      <c r="D687" s="70" t="s">
        <v>959</v>
      </c>
      <c r="E687" s="71" t="s">
        <v>13</v>
      </c>
      <c r="F687" s="76">
        <v>27211.200000000001</v>
      </c>
      <c r="G687" s="76"/>
      <c r="H687" s="71" t="s">
        <v>457</v>
      </c>
      <c r="I687" s="77" t="s">
        <v>30</v>
      </c>
      <c r="J687" s="77"/>
      <c r="K687" s="74" t="s">
        <v>8</v>
      </c>
      <c r="L687" s="75">
        <v>308886.76</v>
      </c>
    </row>
    <row r="688" spans="1:12" ht="81.599999999999994" hidden="1" x14ac:dyDescent="0.3">
      <c r="A688" s="69" t="s">
        <v>938</v>
      </c>
      <c r="B688" s="70" t="s">
        <v>957</v>
      </c>
      <c r="C688" s="70" t="s">
        <v>985</v>
      </c>
      <c r="D688" s="70" t="s">
        <v>959</v>
      </c>
      <c r="E688" s="71" t="s">
        <v>13</v>
      </c>
      <c r="F688" s="76">
        <v>16018</v>
      </c>
      <c r="G688" s="76"/>
      <c r="H688" s="71" t="s">
        <v>457</v>
      </c>
      <c r="I688" s="77" t="s">
        <v>30</v>
      </c>
      <c r="J688" s="77"/>
      <c r="K688" s="74" t="s">
        <v>8</v>
      </c>
      <c r="L688" s="75">
        <v>324904.76</v>
      </c>
    </row>
    <row r="689" spans="1:12" ht="81.599999999999994" hidden="1" x14ac:dyDescent="0.3">
      <c r="A689" s="69" t="s">
        <v>938</v>
      </c>
      <c r="B689" s="70" t="s">
        <v>957</v>
      </c>
      <c r="C689" s="70" t="s">
        <v>986</v>
      </c>
      <c r="D689" s="70" t="s">
        <v>959</v>
      </c>
      <c r="E689" s="71" t="s">
        <v>13</v>
      </c>
      <c r="F689" s="76">
        <v>6404.4</v>
      </c>
      <c r="G689" s="76"/>
      <c r="H689" s="71" t="s">
        <v>457</v>
      </c>
      <c r="I689" s="77" t="s">
        <v>30</v>
      </c>
      <c r="J689" s="77"/>
      <c r="K689" s="74" t="s">
        <v>8</v>
      </c>
      <c r="L689" s="75">
        <v>331309.15999999997</v>
      </c>
    </row>
    <row r="690" spans="1:12" ht="81.599999999999994" hidden="1" x14ac:dyDescent="0.3">
      <c r="A690" s="69" t="s">
        <v>938</v>
      </c>
      <c r="B690" s="70" t="s">
        <v>957</v>
      </c>
      <c r="C690" s="70" t="s">
        <v>981</v>
      </c>
      <c r="D690" s="70" t="s">
        <v>959</v>
      </c>
      <c r="E690" s="71" t="s">
        <v>13</v>
      </c>
      <c r="F690" s="76">
        <v>3083</v>
      </c>
      <c r="G690" s="76"/>
      <c r="H690" s="71" t="s">
        <v>457</v>
      </c>
      <c r="I690" s="77" t="s">
        <v>30</v>
      </c>
      <c r="J690" s="77"/>
      <c r="K690" s="74" t="s">
        <v>8</v>
      </c>
      <c r="L690" s="75">
        <v>334392.15999999997</v>
      </c>
    </row>
    <row r="691" spans="1:12" ht="81.599999999999994" hidden="1" x14ac:dyDescent="0.3">
      <c r="A691" s="69" t="s">
        <v>938</v>
      </c>
      <c r="B691" s="70" t="s">
        <v>957</v>
      </c>
      <c r="C691" s="70" t="s">
        <v>987</v>
      </c>
      <c r="D691" s="70" t="s">
        <v>959</v>
      </c>
      <c r="E691" s="71" t="s">
        <v>13</v>
      </c>
      <c r="F691" s="76">
        <v>3460.2</v>
      </c>
      <c r="G691" s="76"/>
      <c r="H691" s="71" t="s">
        <v>457</v>
      </c>
      <c r="I691" s="77" t="s">
        <v>30</v>
      </c>
      <c r="J691" s="77"/>
      <c r="K691" s="74" t="s">
        <v>8</v>
      </c>
      <c r="L691" s="75">
        <v>337852.36</v>
      </c>
    </row>
    <row r="692" spans="1:12" ht="81.599999999999994" hidden="1" x14ac:dyDescent="0.3">
      <c r="A692" s="69" t="s">
        <v>938</v>
      </c>
      <c r="B692" s="70" t="s">
        <v>957</v>
      </c>
      <c r="C692" s="70" t="s">
        <v>988</v>
      </c>
      <c r="D692" s="70" t="s">
        <v>959</v>
      </c>
      <c r="E692" s="71" t="s">
        <v>13</v>
      </c>
      <c r="F692" s="76">
        <v>1622.5</v>
      </c>
      <c r="G692" s="76"/>
      <c r="H692" s="71" t="s">
        <v>457</v>
      </c>
      <c r="I692" s="77" t="s">
        <v>30</v>
      </c>
      <c r="J692" s="77"/>
      <c r="K692" s="74" t="s">
        <v>8</v>
      </c>
      <c r="L692" s="75">
        <v>339474.86</v>
      </c>
    </row>
    <row r="693" spans="1:12" ht="81.599999999999994" hidden="1" x14ac:dyDescent="0.3">
      <c r="A693" s="69" t="s">
        <v>938</v>
      </c>
      <c r="B693" s="70" t="s">
        <v>957</v>
      </c>
      <c r="C693" s="70" t="s">
        <v>989</v>
      </c>
      <c r="D693" s="70" t="s">
        <v>959</v>
      </c>
      <c r="E693" s="71" t="s">
        <v>13</v>
      </c>
      <c r="F693" s="79">
        <v>714</v>
      </c>
      <c r="G693" s="79"/>
      <c r="H693" s="71" t="s">
        <v>457</v>
      </c>
      <c r="I693" s="77" t="s">
        <v>30</v>
      </c>
      <c r="J693" s="77"/>
      <c r="K693" s="74" t="s">
        <v>8</v>
      </c>
      <c r="L693" s="75">
        <v>340188.86</v>
      </c>
    </row>
    <row r="694" spans="1:12" ht="81.599999999999994" hidden="1" x14ac:dyDescent="0.3">
      <c r="A694" s="69" t="s">
        <v>938</v>
      </c>
      <c r="B694" s="70" t="s">
        <v>957</v>
      </c>
      <c r="C694" s="70" t="s">
        <v>990</v>
      </c>
      <c r="D694" s="70" t="s">
        <v>959</v>
      </c>
      <c r="E694" s="71" t="s">
        <v>13</v>
      </c>
      <c r="F694" s="76">
        <v>4327.3999999999996</v>
      </c>
      <c r="G694" s="76"/>
      <c r="H694" s="71" t="s">
        <v>457</v>
      </c>
      <c r="I694" s="77" t="s">
        <v>30</v>
      </c>
      <c r="J694" s="77"/>
      <c r="K694" s="74" t="s">
        <v>8</v>
      </c>
      <c r="L694" s="75">
        <v>344516.26</v>
      </c>
    </row>
    <row r="695" spans="1:12" ht="81.599999999999994" hidden="1" x14ac:dyDescent="0.3">
      <c r="A695" s="69" t="s">
        <v>938</v>
      </c>
      <c r="B695" s="70" t="s">
        <v>957</v>
      </c>
      <c r="C695" s="70" t="s">
        <v>991</v>
      </c>
      <c r="D695" s="70" t="s">
        <v>959</v>
      </c>
      <c r="E695" s="71" t="s">
        <v>13</v>
      </c>
      <c r="F695" s="76">
        <v>2040.2</v>
      </c>
      <c r="G695" s="76"/>
      <c r="H695" s="71" t="s">
        <v>457</v>
      </c>
      <c r="I695" s="77" t="s">
        <v>30</v>
      </c>
      <c r="J695" s="77"/>
      <c r="K695" s="74" t="s">
        <v>8</v>
      </c>
      <c r="L695" s="75">
        <v>346556.46</v>
      </c>
    </row>
    <row r="696" spans="1:12" ht="81.599999999999994" hidden="1" x14ac:dyDescent="0.3">
      <c r="A696" s="69" t="s">
        <v>938</v>
      </c>
      <c r="B696" s="70" t="s">
        <v>957</v>
      </c>
      <c r="C696" s="70" t="s">
        <v>992</v>
      </c>
      <c r="D696" s="70" t="s">
        <v>959</v>
      </c>
      <c r="E696" s="71" t="s">
        <v>13</v>
      </c>
      <c r="F696" s="79">
        <v>887.9</v>
      </c>
      <c r="G696" s="79"/>
      <c r="H696" s="71" t="s">
        <v>457</v>
      </c>
      <c r="I696" s="77" t="s">
        <v>30</v>
      </c>
      <c r="J696" s="77"/>
      <c r="K696" s="74" t="s">
        <v>8</v>
      </c>
      <c r="L696" s="75">
        <v>347444.36</v>
      </c>
    </row>
    <row r="697" spans="1:12" ht="81.599999999999994" hidden="1" x14ac:dyDescent="0.3">
      <c r="A697" s="69" t="s">
        <v>938</v>
      </c>
      <c r="B697" s="70" t="s">
        <v>957</v>
      </c>
      <c r="C697" s="70" t="s">
        <v>993</v>
      </c>
      <c r="D697" s="70" t="s">
        <v>959</v>
      </c>
      <c r="E697" s="71" t="s">
        <v>13</v>
      </c>
      <c r="F697" s="76">
        <v>3884.3</v>
      </c>
      <c r="G697" s="76"/>
      <c r="H697" s="71" t="s">
        <v>457</v>
      </c>
      <c r="I697" s="77" t="s">
        <v>30</v>
      </c>
      <c r="J697" s="77"/>
      <c r="K697" s="74" t="s">
        <v>8</v>
      </c>
      <c r="L697" s="75">
        <v>351328.66</v>
      </c>
    </row>
    <row r="698" spans="1:12" ht="81.599999999999994" hidden="1" x14ac:dyDescent="0.3">
      <c r="A698" s="69" t="s">
        <v>938</v>
      </c>
      <c r="B698" s="70" t="s">
        <v>957</v>
      </c>
      <c r="C698" s="70" t="s">
        <v>994</v>
      </c>
      <c r="D698" s="70" t="s">
        <v>959</v>
      </c>
      <c r="E698" s="71" t="s">
        <v>13</v>
      </c>
      <c r="F698" s="76">
        <v>7287.2</v>
      </c>
      <c r="G698" s="76"/>
      <c r="H698" s="71" t="s">
        <v>457</v>
      </c>
      <c r="I698" s="77" t="s">
        <v>30</v>
      </c>
      <c r="J698" s="77"/>
      <c r="K698" s="74" t="s">
        <v>8</v>
      </c>
      <c r="L698" s="75">
        <v>358615.86</v>
      </c>
    </row>
    <row r="699" spans="1:12" ht="81.599999999999994" hidden="1" x14ac:dyDescent="0.3">
      <c r="A699" s="69" t="s">
        <v>938</v>
      </c>
      <c r="B699" s="70" t="s">
        <v>957</v>
      </c>
      <c r="C699" s="70" t="s">
        <v>995</v>
      </c>
      <c r="D699" s="70" t="s">
        <v>959</v>
      </c>
      <c r="E699" s="71" t="s">
        <v>13</v>
      </c>
      <c r="F699" s="76">
        <v>3202</v>
      </c>
      <c r="G699" s="76"/>
      <c r="H699" s="71" t="s">
        <v>457</v>
      </c>
      <c r="I699" s="77" t="s">
        <v>30</v>
      </c>
      <c r="J699" s="77"/>
      <c r="K699" s="74" t="s">
        <v>8</v>
      </c>
      <c r="L699" s="75">
        <v>361817.86</v>
      </c>
    </row>
    <row r="700" spans="1:12" ht="81.599999999999994" hidden="1" x14ac:dyDescent="0.3">
      <c r="A700" s="69" t="s">
        <v>938</v>
      </c>
      <c r="B700" s="70" t="s">
        <v>957</v>
      </c>
      <c r="C700" s="70" t="s">
        <v>993</v>
      </c>
      <c r="D700" s="70" t="s">
        <v>959</v>
      </c>
      <c r="E700" s="71" t="s">
        <v>13</v>
      </c>
      <c r="F700" s="76">
        <v>3677</v>
      </c>
      <c r="G700" s="76"/>
      <c r="H700" s="71" t="s">
        <v>457</v>
      </c>
      <c r="I700" s="77" t="s">
        <v>30</v>
      </c>
      <c r="J700" s="77"/>
      <c r="K700" s="74" t="s">
        <v>8</v>
      </c>
      <c r="L700" s="75">
        <v>365494.86</v>
      </c>
    </row>
    <row r="701" spans="1:12" ht="81.599999999999994" hidden="1" x14ac:dyDescent="0.3">
      <c r="A701" s="69" t="s">
        <v>938</v>
      </c>
      <c r="B701" s="70" t="s">
        <v>957</v>
      </c>
      <c r="C701" s="70" t="s">
        <v>996</v>
      </c>
      <c r="D701" s="70" t="s">
        <v>959</v>
      </c>
      <c r="E701" s="71" t="s">
        <v>13</v>
      </c>
      <c r="F701" s="76">
        <v>3530.1</v>
      </c>
      <c r="G701" s="76"/>
      <c r="H701" s="71" t="s">
        <v>457</v>
      </c>
      <c r="I701" s="77" t="s">
        <v>30</v>
      </c>
      <c r="J701" s="77"/>
      <c r="K701" s="74" t="s">
        <v>8</v>
      </c>
      <c r="L701" s="75">
        <v>369024.96</v>
      </c>
    </row>
    <row r="702" spans="1:12" ht="81.599999999999994" hidden="1" x14ac:dyDescent="0.3">
      <c r="A702" s="69" t="s">
        <v>938</v>
      </c>
      <c r="B702" s="70" t="s">
        <v>957</v>
      </c>
      <c r="C702" s="70" t="s">
        <v>993</v>
      </c>
      <c r="D702" s="70" t="s">
        <v>959</v>
      </c>
      <c r="E702" s="71" t="s">
        <v>13</v>
      </c>
      <c r="F702" s="76">
        <v>3846.9</v>
      </c>
      <c r="G702" s="76"/>
      <c r="H702" s="71" t="s">
        <v>457</v>
      </c>
      <c r="I702" s="77" t="s">
        <v>30</v>
      </c>
      <c r="J702" s="77"/>
      <c r="K702" s="74" t="s">
        <v>8</v>
      </c>
      <c r="L702" s="75">
        <v>372871.86</v>
      </c>
    </row>
    <row r="703" spans="1:12" ht="81.599999999999994" hidden="1" x14ac:dyDescent="0.3">
      <c r="A703" s="69" t="s">
        <v>938</v>
      </c>
      <c r="B703" s="70" t="s">
        <v>957</v>
      </c>
      <c r="C703" s="70" t="s">
        <v>997</v>
      </c>
      <c r="D703" s="70" t="s">
        <v>959</v>
      </c>
      <c r="E703" s="71" t="s">
        <v>13</v>
      </c>
      <c r="F703" s="76">
        <v>1305.5999999999999</v>
      </c>
      <c r="G703" s="76"/>
      <c r="H703" s="71" t="s">
        <v>457</v>
      </c>
      <c r="I703" s="77" t="s">
        <v>30</v>
      </c>
      <c r="J703" s="77"/>
      <c r="K703" s="74" t="s">
        <v>8</v>
      </c>
      <c r="L703" s="75">
        <v>374177.46</v>
      </c>
    </row>
    <row r="704" spans="1:12" ht="81.599999999999994" hidden="1" x14ac:dyDescent="0.3">
      <c r="A704" s="69" t="s">
        <v>938</v>
      </c>
      <c r="B704" s="70" t="s">
        <v>957</v>
      </c>
      <c r="C704" s="70" t="s">
        <v>998</v>
      </c>
      <c r="D704" s="70" t="s">
        <v>959</v>
      </c>
      <c r="E704" s="71" t="s">
        <v>13</v>
      </c>
      <c r="F704" s="76">
        <v>1288.9000000000001</v>
      </c>
      <c r="G704" s="76"/>
      <c r="H704" s="71" t="s">
        <v>457</v>
      </c>
      <c r="I704" s="77" t="s">
        <v>30</v>
      </c>
      <c r="J704" s="77"/>
      <c r="K704" s="74" t="s">
        <v>8</v>
      </c>
      <c r="L704" s="75">
        <v>375466.36</v>
      </c>
    </row>
    <row r="705" spans="1:12" ht="81.599999999999994" hidden="1" x14ac:dyDescent="0.3">
      <c r="A705" s="69" t="s">
        <v>938</v>
      </c>
      <c r="B705" s="70" t="s">
        <v>957</v>
      </c>
      <c r="C705" s="70" t="s">
        <v>999</v>
      </c>
      <c r="D705" s="70" t="s">
        <v>959</v>
      </c>
      <c r="E705" s="71" t="s">
        <v>13</v>
      </c>
      <c r="F705" s="76">
        <v>1371.5</v>
      </c>
      <c r="G705" s="76"/>
      <c r="H705" s="71" t="s">
        <v>457</v>
      </c>
      <c r="I705" s="77" t="s">
        <v>30</v>
      </c>
      <c r="J705" s="77"/>
      <c r="K705" s="74" t="s">
        <v>8</v>
      </c>
      <c r="L705" s="75">
        <v>376837.86</v>
      </c>
    </row>
    <row r="706" spans="1:12" ht="81.599999999999994" hidden="1" x14ac:dyDescent="0.3">
      <c r="A706" s="69" t="s">
        <v>938</v>
      </c>
      <c r="B706" s="70" t="s">
        <v>957</v>
      </c>
      <c r="C706" s="70" t="s">
        <v>1000</v>
      </c>
      <c r="D706" s="70" t="s">
        <v>959</v>
      </c>
      <c r="E706" s="71" t="s">
        <v>13</v>
      </c>
      <c r="F706" s="79">
        <v>733</v>
      </c>
      <c r="G706" s="79"/>
      <c r="H706" s="71" t="s">
        <v>457</v>
      </c>
      <c r="I706" s="77" t="s">
        <v>30</v>
      </c>
      <c r="J706" s="77"/>
      <c r="K706" s="74" t="s">
        <v>8</v>
      </c>
      <c r="L706" s="75">
        <v>377570.86</v>
      </c>
    </row>
    <row r="707" spans="1:12" ht="81.599999999999994" hidden="1" x14ac:dyDescent="0.3">
      <c r="A707" s="69" t="s">
        <v>938</v>
      </c>
      <c r="B707" s="70" t="s">
        <v>957</v>
      </c>
      <c r="C707" s="70" t="s">
        <v>1001</v>
      </c>
      <c r="D707" s="70" t="s">
        <v>959</v>
      </c>
      <c r="E707" s="71" t="s">
        <v>13</v>
      </c>
      <c r="F707" s="76">
        <v>1981.4</v>
      </c>
      <c r="G707" s="76"/>
      <c r="H707" s="71" t="s">
        <v>457</v>
      </c>
      <c r="I707" s="77" t="s">
        <v>30</v>
      </c>
      <c r="J707" s="77"/>
      <c r="K707" s="74" t="s">
        <v>8</v>
      </c>
      <c r="L707" s="75">
        <v>379552.26</v>
      </c>
    </row>
    <row r="708" spans="1:12" ht="81.599999999999994" hidden="1" x14ac:dyDescent="0.3">
      <c r="A708" s="69" t="s">
        <v>938</v>
      </c>
      <c r="B708" s="70" t="s">
        <v>957</v>
      </c>
      <c r="C708" s="70" t="s">
        <v>1002</v>
      </c>
      <c r="D708" s="70" t="s">
        <v>959</v>
      </c>
      <c r="E708" s="71" t="s">
        <v>13</v>
      </c>
      <c r="F708" s="76">
        <v>4220.2</v>
      </c>
      <c r="G708" s="76"/>
      <c r="H708" s="71" t="s">
        <v>457</v>
      </c>
      <c r="I708" s="77" t="s">
        <v>30</v>
      </c>
      <c r="J708" s="77"/>
      <c r="K708" s="74" t="s">
        <v>8</v>
      </c>
      <c r="L708" s="75">
        <v>383772.46</v>
      </c>
    </row>
    <row r="709" spans="1:12" ht="81.599999999999994" hidden="1" x14ac:dyDescent="0.3">
      <c r="A709" s="69" t="s">
        <v>938</v>
      </c>
      <c r="B709" s="70" t="s">
        <v>957</v>
      </c>
      <c r="C709" s="70" t="s">
        <v>1003</v>
      </c>
      <c r="D709" s="70" t="s">
        <v>959</v>
      </c>
      <c r="E709" s="71" t="s">
        <v>13</v>
      </c>
      <c r="F709" s="76">
        <v>3209.2</v>
      </c>
      <c r="G709" s="76"/>
      <c r="H709" s="71" t="s">
        <v>457</v>
      </c>
      <c r="I709" s="77" t="s">
        <v>30</v>
      </c>
      <c r="J709" s="77"/>
      <c r="K709" s="74" t="s">
        <v>8</v>
      </c>
      <c r="L709" s="75">
        <v>386981.66</v>
      </c>
    </row>
    <row r="710" spans="1:12" ht="81.599999999999994" hidden="1" x14ac:dyDescent="0.3">
      <c r="A710" s="69" t="s">
        <v>938</v>
      </c>
      <c r="B710" s="70" t="s">
        <v>957</v>
      </c>
      <c r="C710" s="70" t="s">
        <v>1004</v>
      </c>
      <c r="D710" s="70" t="s">
        <v>959</v>
      </c>
      <c r="E710" s="71" t="s">
        <v>13</v>
      </c>
      <c r="F710" s="76">
        <v>4567.2</v>
      </c>
      <c r="G710" s="76"/>
      <c r="H710" s="71" t="s">
        <v>457</v>
      </c>
      <c r="I710" s="77" t="s">
        <v>30</v>
      </c>
      <c r="J710" s="77"/>
      <c r="K710" s="74" t="s">
        <v>8</v>
      </c>
      <c r="L710" s="75">
        <v>391548.86</v>
      </c>
    </row>
    <row r="711" spans="1:12" ht="81.599999999999994" hidden="1" x14ac:dyDescent="0.3">
      <c r="A711" s="69" t="s">
        <v>938</v>
      </c>
      <c r="B711" s="70" t="s">
        <v>957</v>
      </c>
      <c r="C711" s="70" t="s">
        <v>1005</v>
      </c>
      <c r="D711" s="70" t="s">
        <v>959</v>
      </c>
      <c r="E711" s="71" t="s">
        <v>13</v>
      </c>
      <c r="F711" s="79">
        <v>798.1</v>
      </c>
      <c r="G711" s="79"/>
      <c r="H711" s="71" t="s">
        <v>457</v>
      </c>
      <c r="I711" s="77" t="s">
        <v>30</v>
      </c>
      <c r="J711" s="77"/>
      <c r="K711" s="74" t="s">
        <v>8</v>
      </c>
      <c r="L711" s="75">
        <v>392346.96</v>
      </c>
    </row>
    <row r="712" spans="1:12" ht="81.599999999999994" hidden="1" x14ac:dyDescent="0.3">
      <c r="A712" s="69" t="s">
        <v>938</v>
      </c>
      <c r="B712" s="70" t="s">
        <v>957</v>
      </c>
      <c r="C712" s="70" t="s">
        <v>1006</v>
      </c>
      <c r="D712" s="70" t="s">
        <v>959</v>
      </c>
      <c r="E712" s="71" t="s">
        <v>13</v>
      </c>
      <c r="F712" s="76">
        <v>1381.8</v>
      </c>
      <c r="G712" s="76"/>
      <c r="H712" s="71" t="s">
        <v>457</v>
      </c>
      <c r="I712" s="77" t="s">
        <v>30</v>
      </c>
      <c r="J712" s="77"/>
      <c r="K712" s="74" t="s">
        <v>8</v>
      </c>
      <c r="L712" s="75">
        <v>393728.76</v>
      </c>
    </row>
    <row r="713" spans="1:12" ht="81.599999999999994" hidden="1" x14ac:dyDescent="0.3">
      <c r="A713" s="69" t="s">
        <v>938</v>
      </c>
      <c r="B713" s="70" t="s">
        <v>957</v>
      </c>
      <c r="C713" s="70" t="s">
        <v>1007</v>
      </c>
      <c r="D713" s="70" t="s">
        <v>959</v>
      </c>
      <c r="E713" s="71" t="s">
        <v>13</v>
      </c>
      <c r="F713" s="76">
        <v>2487.4</v>
      </c>
      <c r="G713" s="76"/>
      <c r="H713" s="71" t="s">
        <v>457</v>
      </c>
      <c r="I713" s="77" t="s">
        <v>30</v>
      </c>
      <c r="J713" s="77"/>
      <c r="K713" s="74" t="s">
        <v>8</v>
      </c>
      <c r="L713" s="75">
        <v>396216.16</v>
      </c>
    </row>
    <row r="714" spans="1:12" ht="81.599999999999994" hidden="1" x14ac:dyDescent="0.3">
      <c r="A714" s="69" t="s">
        <v>938</v>
      </c>
      <c r="B714" s="70" t="s">
        <v>957</v>
      </c>
      <c r="C714" s="70" t="s">
        <v>1008</v>
      </c>
      <c r="D714" s="70" t="s">
        <v>959</v>
      </c>
      <c r="E714" s="71" t="s">
        <v>13</v>
      </c>
      <c r="F714" s="76">
        <v>5298.6</v>
      </c>
      <c r="G714" s="76"/>
      <c r="H714" s="71" t="s">
        <v>457</v>
      </c>
      <c r="I714" s="77" t="s">
        <v>30</v>
      </c>
      <c r="J714" s="77"/>
      <c r="K714" s="74" t="s">
        <v>8</v>
      </c>
      <c r="L714" s="75">
        <v>401514.76</v>
      </c>
    </row>
    <row r="715" spans="1:12" ht="81.599999999999994" hidden="1" x14ac:dyDescent="0.3">
      <c r="A715" s="69" t="s">
        <v>938</v>
      </c>
      <c r="B715" s="70" t="s">
        <v>957</v>
      </c>
      <c r="C715" s="70" t="s">
        <v>1009</v>
      </c>
      <c r="D715" s="70" t="s">
        <v>959</v>
      </c>
      <c r="E715" s="71" t="s">
        <v>13</v>
      </c>
      <c r="F715" s="76">
        <v>2897.1</v>
      </c>
      <c r="G715" s="76"/>
      <c r="H715" s="71" t="s">
        <v>457</v>
      </c>
      <c r="I715" s="77" t="s">
        <v>30</v>
      </c>
      <c r="J715" s="77"/>
      <c r="K715" s="74" t="s">
        <v>8</v>
      </c>
      <c r="L715" s="75">
        <v>404411.86</v>
      </c>
    </row>
    <row r="716" spans="1:12" ht="81.599999999999994" hidden="1" x14ac:dyDescent="0.3">
      <c r="A716" s="69" t="s">
        <v>938</v>
      </c>
      <c r="B716" s="70" t="s">
        <v>1010</v>
      </c>
      <c r="C716" s="70" t="s">
        <v>1011</v>
      </c>
      <c r="D716" s="70" t="s">
        <v>959</v>
      </c>
      <c r="E716" s="71" t="s">
        <v>13</v>
      </c>
      <c r="F716" s="79">
        <v>378.45</v>
      </c>
      <c r="G716" s="79"/>
      <c r="H716" s="71" t="s">
        <v>457</v>
      </c>
      <c r="I716" s="77" t="s">
        <v>30</v>
      </c>
      <c r="J716" s="77"/>
      <c r="K716" s="74" t="s">
        <v>8</v>
      </c>
      <c r="L716" s="75">
        <v>404790.31</v>
      </c>
    </row>
    <row r="717" spans="1:12" ht="81.599999999999994" hidden="1" x14ac:dyDescent="0.3">
      <c r="A717" s="69" t="s">
        <v>938</v>
      </c>
      <c r="B717" s="70" t="s">
        <v>957</v>
      </c>
      <c r="C717" s="70" t="s">
        <v>1011</v>
      </c>
      <c r="D717" s="70" t="s">
        <v>959</v>
      </c>
      <c r="E717" s="71" t="s">
        <v>13</v>
      </c>
      <c r="F717" s="79">
        <v>984.35</v>
      </c>
      <c r="G717" s="79"/>
      <c r="H717" s="71" t="s">
        <v>457</v>
      </c>
      <c r="I717" s="77" t="s">
        <v>30</v>
      </c>
      <c r="J717" s="77"/>
      <c r="K717" s="74" t="s">
        <v>8</v>
      </c>
      <c r="L717" s="75">
        <v>405774.66</v>
      </c>
    </row>
    <row r="718" spans="1:12" ht="81.599999999999994" hidden="1" x14ac:dyDescent="0.3">
      <c r="A718" s="69" t="s">
        <v>938</v>
      </c>
      <c r="B718" s="70" t="s">
        <v>1010</v>
      </c>
      <c r="C718" s="70" t="s">
        <v>1012</v>
      </c>
      <c r="D718" s="70" t="s">
        <v>959</v>
      </c>
      <c r="E718" s="71" t="s">
        <v>13</v>
      </c>
      <c r="F718" s="79">
        <v>430.4</v>
      </c>
      <c r="G718" s="79"/>
      <c r="H718" s="71" t="s">
        <v>457</v>
      </c>
      <c r="I718" s="77" t="s">
        <v>30</v>
      </c>
      <c r="J718" s="77"/>
      <c r="K718" s="74" t="s">
        <v>8</v>
      </c>
      <c r="L718" s="75">
        <v>406205.06</v>
      </c>
    </row>
    <row r="719" spans="1:12" ht="81.599999999999994" hidden="1" x14ac:dyDescent="0.3">
      <c r="A719" s="69" t="s">
        <v>938</v>
      </c>
      <c r="B719" s="70" t="s">
        <v>1010</v>
      </c>
      <c r="C719" s="70" t="s">
        <v>1013</v>
      </c>
      <c r="D719" s="70" t="s">
        <v>959</v>
      </c>
      <c r="E719" s="71" t="s">
        <v>13</v>
      </c>
      <c r="F719" s="76">
        <v>3016.2</v>
      </c>
      <c r="G719" s="76"/>
      <c r="H719" s="71" t="s">
        <v>457</v>
      </c>
      <c r="I719" s="77" t="s">
        <v>30</v>
      </c>
      <c r="J719" s="77"/>
      <c r="K719" s="74" t="s">
        <v>8</v>
      </c>
      <c r="L719" s="75">
        <v>409221.26</v>
      </c>
    </row>
    <row r="720" spans="1:12" ht="81.599999999999994" hidden="1" x14ac:dyDescent="0.3">
      <c r="A720" s="69" t="s">
        <v>938</v>
      </c>
      <c r="B720" s="70" t="s">
        <v>1010</v>
      </c>
      <c r="C720" s="70" t="s">
        <v>1014</v>
      </c>
      <c r="D720" s="70" t="s">
        <v>959</v>
      </c>
      <c r="E720" s="71" t="s">
        <v>13</v>
      </c>
      <c r="F720" s="76">
        <v>1423.1</v>
      </c>
      <c r="G720" s="76"/>
      <c r="H720" s="71" t="s">
        <v>457</v>
      </c>
      <c r="I720" s="77" t="s">
        <v>30</v>
      </c>
      <c r="J720" s="77"/>
      <c r="K720" s="74" t="s">
        <v>8</v>
      </c>
      <c r="L720" s="75">
        <v>410644.36</v>
      </c>
    </row>
    <row r="721" spans="1:12" ht="81.599999999999994" hidden="1" x14ac:dyDescent="0.3">
      <c r="A721" s="69" t="s">
        <v>938</v>
      </c>
      <c r="B721" s="70" t="s">
        <v>1010</v>
      </c>
      <c r="C721" s="70" t="s">
        <v>1015</v>
      </c>
      <c r="D721" s="70" t="s">
        <v>959</v>
      </c>
      <c r="E721" s="71" t="s">
        <v>13</v>
      </c>
      <c r="F721" s="79">
        <v>625.79999999999995</v>
      </c>
      <c r="G721" s="79"/>
      <c r="H721" s="71" t="s">
        <v>457</v>
      </c>
      <c r="I721" s="77" t="s">
        <v>30</v>
      </c>
      <c r="J721" s="77"/>
      <c r="K721" s="74" t="s">
        <v>8</v>
      </c>
      <c r="L721" s="75">
        <v>411270.16</v>
      </c>
    </row>
    <row r="722" spans="1:12" ht="81.599999999999994" hidden="1" x14ac:dyDescent="0.3">
      <c r="A722" s="69" t="s">
        <v>938</v>
      </c>
      <c r="B722" s="70" t="s">
        <v>1010</v>
      </c>
      <c r="C722" s="70" t="s">
        <v>1016</v>
      </c>
      <c r="D722" s="70" t="s">
        <v>959</v>
      </c>
      <c r="E722" s="71" t="s">
        <v>13</v>
      </c>
      <c r="F722" s="79">
        <v>625.79999999999995</v>
      </c>
      <c r="G722" s="79"/>
      <c r="H722" s="71" t="s">
        <v>457</v>
      </c>
      <c r="I722" s="77" t="s">
        <v>30</v>
      </c>
      <c r="J722" s="77"/>
      <c r="K722" s="74" t="s">
        <v>8</v>
      </c>
      <c r="L722" s="75">
        <v>411895.96</v>
      </c>
    </row>
    <row r="723" spans="1:12" ht="81.599999999999994" hidden="1" x14ac:dyDescent="0.3">
      <c r="A723" s="69" t="s">
        <v>938</v>
      </c>
      <c r="B723" s="70" t="s">
        <v>1010</v>
      </c>
      <c r="C723" s="70" t="s">
        <v>1017</v>
      </c>
      <c r="D723" s="70" t="s">
        <v>959</v>
      </c>
      <c r="E723" s="71" t="s">
        <v>13</v>
      </c>
      <c r="F723" s="79">
        <v>430.4</v>
      </c>
      <c r="G723" s="79"/>
      <c r="H723" s="71" t="s">
        <v>457</v>
      </c>
      <c r="I723" s="77" t="s">
        <v>30</v>
      </c>
      <c r="J723" s="77"/>
      <c r="K723" s="74" t="s">
        <v>8</v>
      </c>
      <c r="L723" s="75">
        <v>412326.36</v>
      </c>
    </row>
    <row r="724" spans="1:12" ht="81.599999999999994" hidden="1" x14ac:dyDescent="0.3">
      <c r="A724" s="69" t="s">
        <v>938</v>
      </c>
      <c r="B724" s="70" t="s">
        <v>1010</v>
      </c>
      <c r="C724" s="70" t="s">
        <v>1018</v>
      </c>
      <c r="D724" s="70" t="s">
        <v>959</v>
      </c>
      <c r="E724" s="71" t="s">
        <v>13</v>
      </c>
      <c r="F724" s="76">
        <v>2893.9</v>
      </c>
      <c r="G724" s="76"/>
      <c r="H724" s="71" t="s">
        <v>457</v>
      </c>
      <c r="I724" s="77" t="s">
        <v>30</v>
      </c>
      <c r="J724" s="77"/>
      <c r="K724" s="74" t="s">
        <v>8</v>
      </c>
      <c r="L724" s="75">
        <v>415220.26</v>
      </c>
    </row>
    <row r="725" spans="1:12" ht="81.599999999999994" hidden="1" x14ac:dyDescent="0.3">
      <c r="A725" s="69" t="s">
        <v>938</v>
      </c>
      <c r="B725" s="70" t="s">
        <v>1010</v>
      </c>
      <c r="C725" s="70" t="s">
        <v>1019</v>
      </c>
      <c r="D725" s="70" t="s">
        <v>959</v>
      </c>
      <c r="E725" s="71" t="s">
        <v>13</v>
      </c>
      <c r="F725" s="76">
        <v>1362.8</v>
      </c>
      <c r="G725" s="76"/>
      <c r="H725" s="71" t="s">
        <v>457</v>
      </c>
      <c r="I725" s="77" t="s">
        <v>30</v>
      </c>
      <c r="J725" s="77"/>
      <c r="K725" s="74" t="s">
        <v>8</v>
      </c>
      <c r="L725" s="75">
        <v>416583.06</v>
      </c>
    </row>
    <row r="726" spans="1:12" ht="81.599999999999994" hidden="1" x14ac:dyDescent="0.3">
      <c r="A726" s="69" t="s">
        <v>938</v>
      </c>
      <c r="B726" s="70" t="s">
        <v>1010</v>
      </c>
      <c r="C726" s="70" t="s">
        <v>984</v>
      </c>
      <c r="D726" s="70" t="s">
        <v>959</v>
      </c>
      <c r="E726" s="71" t="s">
        <v>13</v>
      </c>
      <c r="F726" s="76">
        <v>3294.2</v>
      </c>
      <c r="G726" s="76"/>
      <c r="H726" s="71" t="s">
        <v>457</v>
      </c>
      <c r="I726" s="77" t="s">
        <v>30</v>
      </c>
      <c r="J726" s="77"/>
      <c r="K726" s="74" t="s">
        <v>8</v>
      </c>
      <c r="L726" s="75">
        <v>419877.26</v>
      </c>
    </row>
    <row r="727" spans="1:12" ht="81.599999999999994" hidden="1" x14ac:dyDescent="0.3">
      <c r="A727" s="69" t="s">
        <v>938</v>
      </c>
      <c r="B727" s="70" t="s">
        <v>1010</v>
      </c>
      <c r="C727" s="70" t="s">
        <v>1020</v>
      </c>
      <c r="D727" s="70" t="s">
        <v>959</v>
      </c>
      <c r="E727" s="71" t="s">
        <v>13</v>
      </c>
      <c r="F727" s="76">
        <v>1200.8</v>
      </c>
      <c r="G727" s="76"/>
      <c r="H727" s="71" t="s">
        <v>457</v>
      </c>
      <c r="I727" s="77" t="s">
        <v>30</v>
      </c>
      <c r="J727" s="77"/>
      <c r="K727" s="74" t="s">
        <v>8</v>
      </c>
      <c r="L727" s="75">
        <v>421078.06</v>
      </c>
    </row>
    <row r="728" spans="1:12" ht="81.599999999999994" hidden="1" x14ac:dyDescent="0.3">
      <c r="A728" s="69" t="s">
        <v>938</v>
      </c>
      <c r="B728" s="70" t="s">
        <v>1010</v>
      </c>
      <c r="C728" s="70" t="s">
        <v>1021</v>
      </c>
      <c r="D728" s="70" t="s">
        <v>959</v>
      </c>
      <c r="E728" s="71" t="s">
        <v>13</v>
      </c>
      <c r="F728" s="76">
        <v>1711.4</v>
      </c>
      <c r="G728" s="76"/>
      <c r="H728" s="71" t="s">
        <v>457</v>
      </c>
      <c r="I728" s="77" t="s">
        <v>30</v>
      </c>
      <c r="J728" s="77"/>
      <c r="K728" s="74" t="s">
        <v>8</v>
      </c>
      <c r="L728" s="75">
        <v>422789.46</v>
      </c>
    </row>
    <row r="729" spans="1:12" ht="81.599999999999994" hidden="1" x14ac:dyDescent="0.3">
      <c r="A729" s="69" t="s">
        <v>938</v>
      </c>
      <c r="B729" s="70" t="s">
        <v>1010</v>
      </c>
      <c r="C729" s="70" t="s">
        <v>1022</v>
      </c>
      <c r="D729" s="70" t="s">
        <v>959</v>
      </c>
      <c r="E729" s="71" t="s">
        <v>13</v>
      </c>
      <c r="F729" s="76">
        <v>1880.6</v>
      </c>
      <c r="G729" s="76"/>
      <c r="H729" s="71" t="s">
        <v>457</v>
      </c>
      <c r="I729" s="77" t="s">
        <v>30</v>
      </c>
      <c r="J729" s="77"/>
      <c r="K729" s="74" t="s">
        <v>8</v>
      </c>
      <c r="L729" s="75">
        <v>424670.06</v>
      </c>
    </row>
    <row r="730" spans="1:12" ht="81.599999999999994" hidden="1" x14ac:dyDescent="0.3">
      <c r="A730" s="69" t="s">
        <v>938</v>
      </c>
      <c r="B730" s="70" t="s">
        <v>1010</v>
      </c>
      <c r="C730" s="70" t="s">
        <v>1023</v>
      </c>
      <c r="D730" s="70" t="s">
        <v>959</v>
      </c>
      <c r="E730" s="71" t="s">
        <v>13</v>
      </c>
      <c r="F730" s="79">
        <v>651.20000000000005</v>
      </c>
      <c r="G730" s="79"/>
      <c r="H730" s="71" t="s">
        <v>457</v>
      </c>
      <c r="I730" s="77" t="s">
        <v>30</v>
      </c>
      <c r="J730" s="77"/>
      <c r="K730" s="74" t="s">
        <v>8</v>
      </c>
      <c r="L730" s="75">
        <v>425321.26</v>
      </c>
    </row>
    <row r="731" spans="1:12" ht="81.599999999999994" hidden="1" x14ac:dyDescent="0.3">
      <c r="A731" s="69" t="s">
        <v>938</v>
      </c>
      <c r="B731" s="70" t="s">
        <v>1010</v>
      </c>
      <c r="C731" s="70" t="s">
        <v>1024</v>
      </c>
      <c r="D731" s="70" t="s">
        <v>959</v>
      </c>
      <c r="E731" s="71" t="s">
        <v>13</v>
      </c>
      <c r="F731" s="79">
        <v>825.1</v>
      </c>
      <c r="G731" s="79"/>
      <c r="H731" s="71" t="s">
        <v>457</v>
      </c>
      <c r="I731" s="77" t="s">
        <v>30</v>
      </c>
      <c r="J731" s="77"/>
      <c r="K731" s="74" t="s">
        <v>8</v>
      </c>
      <c r="L731" s="75">
        <v>426146.36</v>
      </c>
    </row>
    <row r="732" spans="1:12" ht="81.599999999999994" hidden="1" x14ac:dyDescent="0.3">
      <c r="A732" s="69" t="s">
        <v>938</v>
      </c>
      <c r="B732" s="70" t="s">
        <v>1010</v>
      </c>
      <c r="C732" s="70" t="s">
        <v>1025</v>
      </c>
      <c r="D732" s="70" t="s">
        <v>959</v>
      </c>
      <c r="E732" s="71" t="s">
        <v>13</v>
      </c>
      <c r="F732" s="76">
        <v>1223</v>
      </c>
      <c r="G732" s="76"/>
      <c r="H732" s="71" t="s">
        <v>457</v>
      </c>
      <c r="I732" s="77" t="s">
        <v>30</v>
      </c>
      <c r="J732" s="77"/>
      <c r="K732" s="74" t="s">
        <v>8</v>
      </c>
      <c r="L732" s="75">
        <v>427369.36</v>
      </c>
    </row>
    <row r="733" spans="1:12" ht="81.599999999999994" hidden="1" x14ac:dyDescent="0.3">
      <c r="A733" s="69" t="s">
        <v>938</v>
      </c>
      <c r="B733" s="70" t="s">
        <v>1010</v>
      </c>
      <c r="C733" s="70" t="s">
        <v>1026</v>
      </c>
      <c r="D733" s="70" t="s">
        <v>959</v>
      </c>
      <c r="E733" s="71" t="s">
        <v>13</v>
      </c>
      <c r="F733" s="76">
        <v>2169.6999999999998</v>
      </c>
      <c r="G733" s="76"/>
      <c r="H733" s="71" t="s">
        <v>457</v>
      </c>
      <c r="I733" s="77" t="s">
        <v>30</v>
      </c>
      <c r="J733" s="77"/>
      <c r="K733" s="74" t="s">
        <v>8</v>
      </c>
      <c r="L733" s="75">
        <v>429539.06</v>
      </c>
    </row>
    <row r="734" spans="1:12" ht="81.599999999999994" hidden="1" x14ac:dyDescent="0.3">
      <c r="A734" s="69" t="s">
        <v>938</v>
      </c>
      <c r="B734" s="70" t="s">
        <v>1010</v>
      </c>
      <c r="C734" s="70" t="s">
        <v>1027</v>
      </c>
      <c r="D734" s="70" t="s">
        <v>959</v>
      </c>
      <c r="E734" s="71" t="s">
        <v>13</v>
      </c>
      <c r="F734" s="79">
        <v>773.5</v>
      </c>
      <c r="G734" s="79"/>
      <c r="H734" s="71" t="s">
        <v>457</v>
      </c>
      <c r="I734" s="77" t="s">
        <v>30</v>
      </c>
      <c r="J734" s="77"/>
      <c r="K734" s="74" t="s">
        <v>8</v>
      </c>
      <c r="L734" s="75">
        <v>430312.56</v>
      </c>
    </row>
    <row r="735" spans="1:12" ht="91.8" hidden="1" x14ac:dyDescent="0.3">
      <c r="A735" s="69" t="s">
        <v>938</v>
      </c>
      <c r="B735" s="70" t="s">
        <v>1010</v>
      </c>
      <c r="C735" s="70" t="s">
        <v>1028</v>
      </c>
      <c r="D735" s="70" t="s">
        <v>959</v>
      </c>
      <c r="E735" s="71" t="s">
        <v>13</v>
      </c>
      <c r="F735" s="76">
        <v>3211.6</v>
      </c>
      <c r="G735" s="76"/>
      <c r="H735" s="71" t="s">
        <v>457</v>
      </c>
      <c r="I735" s="77" t="s">
        <v>30</v>
      </c>
      <c r="J735" s="77"/>
      <c r="K735" s="74" t="s">
        <v>8</v>
      </c>
      <c r="L735" s="75">
        <v>433524.16</v>
      </c>
    </row>
    <row r="736" spans="1:12" ht="81.599999999999994" hidden="1" x14ac:dyDescent="0.3">
      <c r="A736" s="69" t="s">
        <v>938</v>
      </c>
      <c r="B736" s="70" t="s">
        <v>1010</v>
      </c>
      <c r="C736" s="70" t="s">
        <v>1029</v>
      </c>
      <c r="D736" s="70" t="s">
        <v>959</v>
      </c>
      <c r="E736" s="71" t="s">
        <v>13</v>
      </c>
      <c r="F736" s="76">
        <v>1612.2</v>
      </c>
      <c r="G736" s="76"/>
      <c r="H736" s="71" t="s">
        <v>457</v>
      </c>
      <c r="I736" s="77" t="s">
        <v>30</v>
      </c>
      <c r="J736" s="77"/>
      <c r="K736" s="74" t="s">
        <v>8</v>
      </c>
      <c r="L736" s="75">
        <v>435136.36</v>
      </c>
    </row>
    <row r="737" spans="1:12" ht="81.599999999999994" hidden="1" x14ac:dyDescent="0.3">
      <c r="A737" s="69" t="s">
        <v>938</v>
      </c>
      <c r="B737" s="70" t="s">
        <v>1010</v>
      </c>
      <c r="C737" s="70" t="s">
        <v>1030</v>
      </c>
      <c r="D737" s="70" t="s">
        <v>959</v>
      </c>
      <c r="E737" s="71" t="s">
        <v>13</v>
      </c>
      <c r="F737" s="76">
        <v>1160.3</v>
      </c>
      <c r="G737" s="76"/>
      <c r="H737" s="71" t="s">
        <v>457</v>
      </c>
      <c r="I737" s="77" t="s">
        <v>30</v>
      </c>
      <c r="J737" s="77"/>
      <c r="K737" s="74" t="s">
        <v>8</v>
      </c>
      <c r="L737" s="75">
        <v>436296.66</v>
      </c>
    </row>
    <row r="738" spans="1:12" ht="81.599999999999994" hidden="1" x14ac:dyDescent="0.3">
      <c r="A738" s="69" t="s">
        <v>938</v>
      </c>
      <c r="B738" s="70" t="s">
        <v>1010</v>
      </c>
      <c r="C738" s="70" t="s">
        <v>1031</v>
      </c>
      <c r="D738" s="70" t="s">
        <v>959</v>
      </c>
      <c r="E738" s="71" t="s">
        <v>13</v>
      </c>
      <c r="F738" s="76">
        <v>2532.6</v>
      </c>
      <c r="G738" s="76"/>
      <c r="H738" s="71" t="s">
        <v>457</v>
      </c>
      <c r="I738" s="77" t="s">
        <v>30</v>
      </c>
      <c r="J738" s="77"/>
      <c r="K738" s="74" t="s">
        <v>8</v>
      </c>
      <c r="L738" s="75">
        <v>438829.26</v>
      </c>
    </row>
    <row r="739" spans="1:12" ht="81.599999999999994" hidden="1" x14ac:dyDescent="0.3">
      <c r="A739" s="69" t="s">
        <v>938</v>
      </c>
      <c r="B739" s="70" t="s">
        <v>1010</v>
      </c>
      <c r="C739" s="70" t="s">
        <v>1032</v>
      </c>
      <c r="D739" s="70" t="s">
        <v>959</v>
      </c>
      <c r="E739" s="71" t="s">
        <v>13</v>
      </c>
      <c r="F739" s="76">
        <v>1606.6</v>
      </c>
      <c r="G739" s="76"/>
      <c r="H739" s="71" t="s">
        <v>457</v>
      </c>
      <c r="I739" s="77" t="s">
        <v>30</v>
      </c>
      <c r="J739" s="77"/>
      <c r="K739" s="74" t="s">
        <v>8</v>
      </c>
      <c r="L739" s="75">
        <v>440435.86</v>
      </c>
    </row>
    <row r="740" spans="1:12" ht="91.8" hidden="1" x14ac:dyDescent="0.3">
      <c r="A740" s="69" t="s">
        <v>938</v>
      </c>
      <c r="B740" s="70" t="s">
        <v>1010</v>
      </c>
      <c r="C740" s="70" t="s">
        <v>1033</v>
      </c>
      <c r="D740" s="70" t="s">
        <v>959</v>
      </c>
      <c r="E740" s="71" t="s">
        <v>13</v>
      </c>
      <c r="F740" s="76">
        <v>2261.8000000000002</v>
      </c>
      <c r="G740" s="76"/>
      <c r="H740" s="71" t="s">
        <v>457</v>
      </c>
      <c r="I740" s="77" t="s">
        <v>30</v>
      </c>
      <c r="J740" s="77"/>
      <c r="K740" s="74" t="s">
        <v>8</v>
      </c>
      <c r="L740" s="75">
        <v>442697.66</v>
      </c>
    </row>
    <row r="741" spans="1:12" ht="91.8" hidden="1" x14ac:dyDescent="0.3">
      <c r="A741" s="69" t="s">
        <v>938</v>
      </c>
      <c r="B741" s="70" t="s">
        <v>1010</v>
      </c>
      <c r="C741" s="70" t="s">
        <v>1034</v>
      </c>
      <c r="D741" s="70" t="s">
        <v>959</v>
      </c>
      <c r="E741" s="71" t="s">
        <v>13</v>
      </c>
      <c r="F741" s="76">
        <v>4455.3</v>
      </c>
      <c r="G741" s="76"/>
      <c r="H741" s="71" t="s">
        <v>457</v>
      </c>
      <c r="I741" s="77" t="s">
        <v>30</v>
      </c>
      <c r="J741" s="77"/>
      <c r="K741" s="74" t="s">
        <v>8</v>
      </c>
      <c r="L741" s="75">
        <v>447152.96</v>
      </c>
    </row>
    <row r="742" spans="1:12" ht="81.599999999999994" hidden="1" x14ac:dyDescent="0.3">
      <c r="A742" s="69" t="s">
        <v>938</v>
      </c>
      <c r="B742" s="70" t="s">
        <v>1010</v>
      </c>
      <c r="C742" s="70" t="s">
        <v>1035</v>
      </c>
      <c r="D742" s="70" t="s">
        <v>959</v>
      </c>
      <c r="E742" s="71" t="s">
        <v>13</v>
      </c>
      <c r="F742" s="76">
        <v>2060.1</v>
      </c>
      <c r="G742" s="76"/>
      <c r="H742" s="71" t="s">
        <v>457</v>
      </c>
      <c r="I742" s="77" t="s">
        <v>30</v>
      </c>
      <c r="J742" s="77"/>
      <c r="K742" s="74" t="s">
        <v>8</v>
      </c>
      <c r="L742" s="75">
        <v>449213.06</v>
      </c>
    </row>
    <row r="743" spans="1:12" ht="81.599999999999994" hidden="1" x14ac:dyDescent="0.3">
      <c r="A743" s="69" t="s">
        <v>938</v>
      </c>
      <c r="B743" s="70" t="s">
        <v>1010</v>
      </c>
      <c r="C743" s="70" t="s">
        <v>1036</v>
      </c>
      <c r="D743" s="70" t="s">
        <v>959</v>
      </c>
      <c r="E743" s="71" t="s">
        <v>13</v>
      </c>
      <c r="F743" s="79">
        <v>636.1</v>
      </c>
      <c r="G743" s="79"/>
      <c r="H743" s="71" t="s">
        <v>457</v>
      </c>
      <c r="I743" s="77" t="s">
        <v>30</v>
      </c>
      <c r="J743" s="77"/>
      <c r="K743" s="74" t="s">
        <v>8</v>
      </c>
      <c r="L743" s="75">
        <v>449849.16</v>
      </c>
    </row>
    <row r="744" spans="1:12" ht="91.8" hidden="1" x14ac:dyDescent="0.3">
      <c r="A744" s="69" t="s">
        <v>938</v>
      </c>
      <c r="B744" s="70" t="s">
        <v>1010</v>
      </c>
      <c r="C744" s="70" t="s">
        <v>1037</v>
      </c>
      <c r="D744" s="70" t="s">
        <v>959</v>
      </c>
      <c r="E744" s="71" t="s">
        <v>13</v>
      </c>
      <c r="F744" s="76">
        <v>3612.7</v>
      </c>
      <c r="G744" s="76"/>
      <c r="H744" s="71" t="s">
        <v>457</v>
      </c>
      <c r="I744" s="77" t="s">
        <v>30</v>
      </c>
      <c r="J744" s="77"/>
      <c r="K744" s="74" t="s">
        <v>8</v>
      </c>
      <c r="L744" s="75">
        <v>453461.86</v>
      </c>
    </row>
    <row r="745" spans="1:12" ht="81.599999999999994" hidden="1" x14ac:dyDescent="0.3">
      <c r="A745" s="69" t="s">
        <v>938</v>
      </c>
      <c r="B745" s="70" t="s">
        <v>1010</v>
      </c>
      <c r="C745" s="70" t="s">
        <v>1038</v>
      </c>
      <c r="D745" s="70" t="s">
        <v>959</v>
      </c>
      <c r="E745" s="71" t="s">
        <v>13</v>
      </c>
      <c r="F745" s="76">
        <v>1701.9</v>
      </c>
      <c r="G745" s="76"/>
      <c r="H745" s="71" t="s">
        <v>457</v>
      </c>
      <c r="I745" s="77" t="s">
        <v>30</v>
      </c>
      <c r="J745" s="77"/>
      <c r="K745" s="74" t="s">
        <v>8</v>
      </c>
      <c r="L745" s="75">
        <v>455163.76</v>
      </c>
    </row>
    <row r="746" spans="1:12" ht="81.599999999999994" hidden="1" x14ac:dyDescent="0.3">
      <c r="A746" s="69" t="s">
        <v>938</v>
      </c>
      <c r="B746" s="70" t="s">
        <v>1010</v>
      </c>
      <c r="C746" s="70" t="s">
        <v>1039</v>
      </c>
      <c r="D746" s="70" t="s">
        <v>959</v>
      </c>
      <c r="E746" s="71" t="s">
        <v>13</v>
      </c>
      <c r="F746" s="79">
        <v>561.5</v>
      </c>
      <c r="G746" s="79"/>
      <c r="H746" s="71" t="s">
        <v>457</v>
      </c>
      <c r="I746" s="77" t="s">
        <v>30</v>
      </c>
      <c r="J746" s="77"/>
      <c r="K746" s="74" t="s">
        <v>8</v>
      </c>
      <c r="L746" s="75">
        <v>455725.26</v>
      </c>
    </row>
    <row r="747" spans="1:12" ht="91.8" hidden="1" x14ac:dyDescent="0.3">
      <c r="A747" s="69" t="s">
        <v>938</v>
      </c>
      <c r="B747" s="70" t="s">
        <v>1010</v>
      </c>
      <c r="C747" s="70" t="s">
        <v>1040</v>
      </c>
      <c r="D747" s="70" t="s">
        <v>959</v>
      </c>
      <c r="E747" s="71" t="s">
        <v>13</v>
      </c>
      <c r="F747" s="76">
        <v>7185.6</v>
      </c>
      <c r="G747" s="76"/>
      <c r="H747" s="71" t="s">
        <v>457</v>
      </c>
      <c r="I747" s="77" t="s">
        <v>30</v>
      </c>
      <c r="J747" s="77"/>
      <c r="K747" s="74" t="s">
        <v>8</v>
      </c>
      <c r="L747" s="75">
        <v>462910.86</v>
      </c>
    </row>
    <row r="748" spans="1:12" ht="81.599999999999994" hidden="1" x14ac:dyDescent="0.3">
      <c r="A748" s="69" t="s">
        <v>938</v>
      </c>
      <c r="B748" s="70" t="s">
        <v>1010</v>
      </c>
      <c r="C748" s="70" t="s">
        <v>1041</v>
      </c>
      <c r="D748" s="70" t="s">
        <v>959</v>
      </c>
      <c r="E748" s="71" t="s">
        <v>13</v>
      </c>
      <c r="F748" s="76">
        <v>11913.3</v>
      </c>
      <c r="G748" s="76"/>
      <c r="H748" s="71" t="s">
        <v>457</v>
      </c>
      <c r="I748" s="77" t="s">
        <v>30</v>
      </c>
      <c r="J748" s="77"/>
      <c r="K748" s="74" t="s">
        <v>8</v>
      </c>
      <c r="L748" s="75">
        <v>474824.16</v>
      </c>
    </row>
    <row r="749" spans="1:12" ht="81.599999999999994" hidden="1" x14ac:dyDescent="0.3">
      <c r="A749" s="69" t="s">
        <v>938</v>
      </c>
      <c r="B749" s="70" t="s">
        <v>1010</v>
      </c>
      <c r="C749" s="70" t="s">
        <v>1042</v>
      </c>
      <c r="D749" s="70" t="s">
        <v>959</v>
      </c>
      <c r="E749" s="71" t="s">
        <v>13</v>
      </c>
      <c r="F749" s="76">
        <v>1123</v>
      </c>
      <c r="G749" s="76"/>
      <c r="H749" s="71" t="s">
        <v>457</v>
      </c>
      <c r="I749" s="77" t="s">
        <v>30</v>
      </c>
      <c r="J749" s="77"/>
      <c r="K749" s="74" t="s">
        <v>8</v>
      </c>
      <c r="L749" s="75">
        <v>475947.16</v>
      </c>
    </row>
    <row r="750" spans="1:12" ht="91.8" hidden="1" x14ac:dyDescent="0.3">
      <c r="A750" s="69" t="s">
        <v>938</v>
      </c>
      <c r="B750" s="70" t="s">
        <v>1010</v>
      </c>
      <c r="C750" s="70" t="s">
        <v>1043</v>
      </c>
      <c r="D750" s="70" t="s">
        <v>959</v>
      </c>
      <c r="E750" s="71" t="s">
        <v>13</v>
      </c>
      <c r="F750" s="76">
        <v>2824.1</v>
      </c>
      <c r="G750" s="76"/>
      <c r="H750" s="71" t="s">
        <v>457</v>
      </c>
      <c r="I750" s="77" t="s">
        <v>30</v>
      </c>
      <c r="J750" s="77"/>
      <c r="K750" s="74" t="s">
        <v>8</v>
      </c>
      <c r="L750" s="75">
        <v>478771.26</v>
      </c>
    </row>
    <row r="751" spans="1:12" ht="81.599999999999994" hidden="1" x14ac:dyDescent="0.3">
      <c r="A751" s="69" t="s">
        <v>938</v>
      </c>
      <c r="B751" s="70" t="s">
        <v>1010</v>
      </c>
      <c r="C751" s="70" t="s">
        <v>1044</v>
      </c>
      <c r="D751" s="70" t="s">
        <v>959</v>
      </c>
      <c r="E751" s="71" t="s">
        <v>13</v>
      </c>
      <c r="F751" s="76">
        <v>2684.2</v>
      </c>
      <c r="G751" s="76"/>
      <c r="H751" s="71" t="s">
        <v>457</v>
      </c>
      <c r="I751" s="77" t="s">
        <v>30</v>
      </c>
      <c r="J751" s="77"/>
      <c r="K751" s="74" t="s">
        <v>8</v>
      </c>
      <c r="L751" s="75">
        <v>481455.46</v>
      </c>
    </row>
    <row r="752" spans="1:12" ht="81.599999999999994" hidden="1" x14ac:dyDescent="0.3">
      <c r="A752" s="69" t="s">
        <v>938</v>
      </c>
      <c r="B752" s="70" t="s">
        <v>1010</v>
      </c>
      <c r="C752" s="70" t="s">
        <v>1045</v>
      </c>
      <c r="D752" s="70" t="s">
        <v>959</v>
      </c>
      <c r="E752" s="71" t="s">
        <v>13</v>
      </c>
      <c r="F752" s="79">
        <v>579.70000000000005</v>
      </c>
      <c r="G752" s="79"/>
      <c r="H752" s="71" t="s">
        <v>457</v>
      </c>
      <c r="I752" s="77" t="s">
        <v>30</v>
      </c>
      <c r="J752" s="77"/>
      <c r="K752" s="74" t="s">
        <v>8</v>
      </c>
      <c r="L752" s="75">
        <v>482035.16</v>
      </c>
    </row>
    <row r="753" spans="1:12" ht="91.8" hidden="1" x14ac:dyDescent="0.3">
      <c r="A753" s="69" t="s">
        <v>938</v>
      </c>
      <c r="B753" s="70" t="s">
        <v>1010</v>
      </c>
      <c r="C753" s="70" t="s">
        <v>1046</v>
      </c>
      <c r="D753" s="70" t="s">
        <v>959</v>
      </c>
      <c r="E753" s="71" t="s">
        <v>13</v>
      </c>
      <c r="F753" s="76">
        <v>3046.4</v>
      </c>
      <c r="G753" s="76"/>
      <c r="H753" s="71" t="s">
        <v>457</v>
      </c>
      <c r="I753" s="77" t="s">
        <v>30</v>
      </c>
      <c r="J753" s="77"/>
      <c r="K753" s="74" t="s">
        <v>8</v>
      </c>
      <c r="L753" s="75">
        <v>485081.56</v>
      </c>
    </row>
    <row r="754" spans="1:12" ht="81.599999999999994" hidden="1" x14ac:dyDescent="0.3">
      <c r="A754" s="69" t="s">
        <v>938</v>
      </c>
      <c r="B754" s="70" t="s">
        <v>1010</v>
      </c>
      <c r="C754" s="70" t="s">
        <v>1047</v>
      </c>
      <c r="D754" s="70" t="s">
        <v>959</v>
      </c>
      <c r="E754" s="71" t="s">
        <v>13</v>
      </c>
      <c r="F754" s="76">
        <v>2806.6</v>
      </c>
      <c r="G754" s="76"/>
      <c r="H754" s="71" t="s">
        <v>457</v>
      </c>
      <c r="I754" s="77" t="s">
        <v>30</v>
      </c>
      <c r="J754" s="77"/>
      <c r="K754" s="74" t="s">
        <v>8</v>
      </c>
      <c r="L754" s="75">
        <v>487888.16</v>
      </c>
    </row>
    <row r="755" spans="1:12" ht="81.599999999999994" hidden="1" x14ac:dyDescent="0.3">
      <c r="A755" s="69" t="s">
        <v>938</v>
      </c>
      <c r="B755" s="70" t="s">
        <v>1010</v>
      </c>
      <c r="C755" s="70" t="s">
        <v>1048</v>
      </c>
      <c r="D755" s="70" t="s">
        <v>959</v>
      </c>
      <c r="E755" s="71" t="s">
        <v>13</v>
      </c>
      <c r="F755" s="79">
        <v>297</v>
      </c>
      <c r="G755" s="79"/>
      <c r="H755" s="71" t="s">
        <v>457</v>
      </c>
      <c r="I755" s="77" t="s">
        <v>30</v>
      </c>
      <c r="J755" s="77"/>
      <c r="K755" s="74" t="s">
        <v>8</v>
      </c>
      <c r="L755" s="75">
        <v>488185.16</v>
      </c>
    </row>
    <row r="756" spans="1:12" ht="81.599999999999994" hidden="1" x14ac:dyDescent="0.3">
      <c r="A756" s="69" t="s">
        <v>938</v>
      </c>
      <c r="B756" s="70" t="s">
        <v>1010</v>
      </c>
      <c r="C756" s="70" t="s">
        <v>1049</v>
      </c>
      <c r="D756" s="70" t="s">
        <v>959</v>
      </c>
      <c r="E756" s="71" t="s">
        <v>13</v>
      </c>
      <c r="F756" s="76">
        <v>3179.8</v>
      </c>
      <c r="G756" s="76"/>
      <c r="H756" s="71" t="s">
        <v>457</v>
      </c>
      <c r="I756" s="77" t="s">
        <v>30</v>
      </c>
      <c r="J756" s="77"/>
      <c r="K756" s="74" t="s">
        <v>8</v>
      </c>
      <c r="L756" s="75">
        <v>491364.96</v>
      </c>
    </row>
    <row r="757" spans="1:12" ht="81.599999999999994" hidden="1" x14ac:dyDescent="0.3">
      <c r="A757" s="69" t="s">
        <v>938</v>
      </c>
      <c r="B757" s="70" t="s">
        <v>1010</v>
      </c>
      <c r="C757" s="70" t="s">
        <v>1050</v>
      </c>
      <c r="D757" s="70" t="s">
        <v>959</v>
      </c>
      <c r="E757" s="71" t="s">
        <v>13</v>
      </c>
      <c r="F757" s="79">
        <v>464.6</v>
      </c>
      <c r="G757" s="79"/>
      <c r="H757" s="71" t="s">
        <v>457</v>
      </c>
      <c r="I757" s="77" t="s">
        <v>30</v>
      </c>
      <c r="J757" s="77"/>
      <c r="K757" s="74" t="s">
        <v>8</v>
      </c>
      <c r="L757" s="75">
        <v>491829.56</v>
      </c>
    </row>
    <row r="758" spans="1:12" ht="81.599999999999994" hidden="1" x14ac:dyDescent="0.3">
      <c r="A758" s="69" t="s">
        <v>938</v>
      </c>
      <c r="B758" s="70" t="s">
        <v>1010</v>
      </c>
      <c r="C758" s="70" t="s">
        <v>1051</v>
      </c>
      <c r="D758" s="70" t="s">
        <v>959</v>
      </c>
      <c r="E758" s="71" t="s">
        <v>13</v>
      </c>
      <c r="F758" s="76">
        <v>3652.4</v>
      </c>
      <c r="G758" s="76"/>
      <c r="H758" s="71" t="s">
        <v>457</v>
      </c>
      <c r="I758" s="77" t="s">
        <v>30</v>
      </c>
      <c r="J758" s="77"/>
      <c r="K758" s="74" t="s">
        <v>8</v>
      </c>
      <c r="L758" s="75">
        <v>495481.96</v>
      </c>
    </row>
    <row r="759" spans="1:12" ht="81.599999999999994" hidden="1" x14ac:dyDescent="0.3">
      <c r="A759" s="69" t="s">
        <v>938</v>
      </c>
      <c r="B759" s="70" t="s">
        <v>1010</v>
      </c>
      <c r="C759" s="70" t="s">
        <v>1052</v>
      </c>
      <c r="D759" s="70" t="s">
        <v>959</v>
      </c>
      <c r="E759" s="71" t="s">
        <v>13</v>
      </c>
      <c r="F759" s="79">
        <v>620.20000000000005</v>
      </c>
      <c r="G759" s="79"/>
      <c r="H759" s="71" t="s">
        <v>457</v>
      </c>
      <c r="I759" s="77" t="s">
        <v>30</v>
      </c>
      <c r="J759" s="77"/>
      <c r="K759" s="74" t="s">
        <v>8</v>
      </c>
      <c r="L759" s="75">
        <v>496102.16</v>
      </c>
    </row>
    <row r="760" spans="1:12" ht="81.599999999999994" hidden="1" x14ac:dyDescent="0.3">
      <c r="A760" s="69" t="s">
        <v>938</v>
      </c>
      <c r="B760" s="70" t="s">
        <v>1010</v>
      </c>
      <c r="C760" s="70" t="s">
        <v>1053</v>
      </c>
      <c r="D760" s="70" t="s">
        <v>959</v>
      </c>
      <c r="E760" s="71" t="s">
        <v>13</v>
      </c>
      <c r="F760" s="76">
        <v>3248.1</v>
      </c>
      <c r="G760" s="76"/>
      <c r="H760" s="71" t="s">
        <v>457</v>
      </c>
      <c r="I760" s="77" t="s">
        <v>30</v>
      </c>
      <c r="J760" s="77"/>
      <c r="K760" s="74" t="s">
        <v>8</v>
      </c>
      <c r="L760" s="75">
        <v>499350.26</v>
      </c>
    </row>
    <row r="761" spans="1:12" ht="81.599999999999994" hidden="1" x14ac:dyDescent="0.3">
      <c r="A761" s="69" t="s">
        <v>938</v>
      </c>
      <c r="B761" s="70" t="s">
        <v>1010</v>
      </c>
      <c r="C761" s="70" t="s">
        <v>1054</v>
      </c>
      <c r="D761" s="70" t="s">
        <v>959</v>
      </c>
      <c r="E761" s="71" t="s">
        <v>13</v>
      </c>
      <c r="F761" s="79">
        <v>552.70000000000005</v>
      </c>
      <c r="G761" s="79"/>
      <c r="H761" s="71" t="s">
        <v>457</v>
      </c>
      <c r="I761" s="77" t="s">
        <v>30</v>
      </c>
      <c r="J761" s="77"/>
      <c r="K761" s="74" t="s">
        <v>8</v>
      </c>
      <c r="L761" s="75">
        <v>499902.96</v>
      </c>
    </row>
    <row r="762" spans="1:12" ht="81.599999999999994" hidden="1" x14ac:dyDescent="0.3">
      <c r="A762" s="69" t="s">
        <v>938</v>
      </c>
      <c r="B762" s="70" t="s">
        <v>1010</v>
      </c>
      <c r="C762" s="70" t="s">
        <v>1055</v>
      </c>
      <c r="D762" s="70" t="s">
        <v>959</v>
      </c>
      <c r="E762" s="71" t="s">
        <v>13</v>
      </c>
      <c r="F762" s="76">
        <v>2998</v>
      </c>
      <c r="G762" s="76"/>
      <c r="H762" s="71" t="s">
        <v>457</v>
      </c>
      <c r="I762" s="77" t="s">
        <v>30</v>
      </c>
      <c r="J762" s="77"/>
      <c r="K762" s="74" t="s">
        <v>8</v>
      </c>
      <c r="L762" s="75">
        <v>502900.96</v>
      </c>
    </row>
    <row r="763" spans="1:12" ht="81.599999999999994" hidden="1" x14ac:dyDescent="0.3">
      <c r="A763" s="69" t="s">
        <v>938</v>
      </c>
      <c r="B763" s="70" t="s">
        <v>1010</v>
      </c>
      <c r="C763" s="70" t="s">
        <v>1056</v>
      </c>
      <c r="D763" s="70" t="s">
        <v>959</v>
      </c>
      <c r="E763" s="71" t="s">
        <v>13</v>
      </c>
      <c r="F763" s="79">
        <v>528.1</v>
      </c>
      <c r="G763" s="79"/>
      <c r="H763" s="71" t="s">
        <v>457</v>
      </c>
      <c r="I763" s="77" t="s">
        <v>30</v>
      </c>
      <c r="J763" s="77"/>
      <c r="K763" s="74" t="s">
        <v>8</v>
      </c>
      <c r="L763" s="75">
        <v>503429.06</v>
      </c>
    </row>
    <row r="764" spans="1:12" ht="81.599999999999994" hidden="1" x14ac:dyDescent="0.3">
      <c r="A764" s="69" t="s">
        <v>938</v>
      </c>
      <c r="B764" s="70" t="s">
        <v>1010</v>
      </c>
      <c r="C764" s="70" t="s">
        <v>1057</v>
      </c>
      <c r="D764" s="70" t="s">
        <v>959</v>
      </c>
      <c r="E764" s="71" t="s">
        <v>13</v>
      </c>
      <c r="F764" s="76">
        <v>2862.2</v>
      </c>
      <c r="G764" s="76"/>
      <c r="H764" s="71" t="s">
        <v>457</v>
      </c>
      <c r="I764" s="77" t="s">
        <v>30</v>
      </c>
      <c r="J764" s="77"/>
      <c r="K764" s="74" t="s">
        <v>8</v>
      </c>
      <c r="L764" s="75">
        <v>506291.26</v>
      </c>
    </row>
    <row r="765" spans="1:12" ht="81.599999999999994" hidden="1" x14ac:dyDescent="0.3">
      <c r="A765" s="69" t="s">
        <v>938</v>
      </c>
      <c r="B765" s="70" t="s">
        <v>1010</v>
      </c>
      <c r="C765" s="70" t="s">
        <v>1058</v>
      </c>
      <c r="D765" s="70" t="s">
        <v>959</v>
      </c>
      <c r="E765" s="71" t="s">
        <v>13</v>
      </c>
      <c r="F765" s="79">
        <v>505.9</v>
      </c>
      <c r="G765" s="79"/>
      <c r="H765" s="71" t="s">
        <v>457</v>
      </c>
      <c r="I765" s="77" t="s">
        <v>30</v>
      </c>
      <c r="J765" s="77"/>
      <c r="K765" s="74" t="s">
        <v>8</v>
      </c>
      <c r="L765" s="75">
        <v>506797.16</v>
      </c>
    </row>
    <row r="766" spans="1:12" ht="81.599999999999994" hidden="1" x14ac:dyDescent="0.3">
      <c r="A766" s="69" t="s">
        <v>938</v>
      </c>
      <c r="B766" s="70" t="s">
        <v>1010</v>
      </c>
      <c r="C766" s="70" t="s">
        <v>1059</v>
      </c>
      <c r="D766" s="70" t="s">
        <v>959</v>
      </c>
      <c r="E766" s="71" t="s">
        <v>13</v>
      </c>
      <c r="F766" s="76">
        <v>3614.3</v>
      </c>
      <c r="G766" s="76"/>
      <c r="H766" s="71" t="s">
        <v>457</v>
      </c>
      <c r="I766" s="77" t="s">
        <v>30</v>
      </c>
      <c r="J766" s="77"/>
      <c r="K766" s="74" t="s">
        <v>8</v>
      </c>
      <c r="L766" s="75">
        <v>510411.46</v>
      </c>
    </row>
    <row r="767" spans="1:12" ht="81.599999999999994" hidden="1" x14ac:dyDescent="0.3">
      <c r="A767" s="69" t="s">
        <v>938</v>
      </c>
      <c r="B767" s="70" t="s">
        <v>1010</v>
      </c>
      <c r="C767" s="70" t="s">
        <v>1060</v>
      </c>
      <c r="D767" s="70" t="s">
        <v>959</v>
      </c>
      <c r="E767" s="71" t="s">
        <v>13</v>
      </c>
      <c r="F767" s="79">
        <v>658.4</v>
      </c>
      <c r="G767" s="79"/>
      <c r="H767" s="71" t="s">
        <v>457</v>
      </c>
      <c r="I767" s="77" t="s">
        <v>30</v>
      </c>
      <c r="J767" s="77"/>
      <c r="K767" s="74" t="s">
        <v>8</v>
      </c>
      <c r="L767" s="75">
        <v>511069.86</v>
      </c>
    </row>
    <row r="768" spans="1:12" ht="81.599999999999994" hidden="1" x14ac:dyDescent="0.3">
      <c r="A768" s="69" t="s">
        <v>938</v>
      </c>
      <c r="B768" s="70" t="s">
        <v>1010</v>
      </c>
      <c r="C768" s="70" t="s">
        <v>1061</v>
      </c>
      <c r="D768" s="70" t="s">
        <v>959</v>
      </c>
      <c r="E768" s="71" t="s">
        <v>13</v>
      </c>
      <c r="F768" s="76">
        <v>3595.2</v>
      </c>
      <c r="G768" s="76"/>
      <c r="H768" s="71" t="s">
        <v>457</v>
      </c>
      <c r="I768" s="77" t="s">
        <v>30</v>
      </c>
      <c r="J768" s="77"/>
      <c r="K768" s="74" t="s">
        <v>8</v>
      </c>
      <c r="L768" s="75">
        <v>514665.06</v>
      </c>
    </row>
    <row r="769" spans="1:12" ht="81.599999999999994" hidden="1" x14ac:dyDescent="0.3">
      <c r="A769" s="69" t="s">
        <v>938</v>
      </c>
      <c r="B769" s="70" t="s">
        <v>1010</v>
      </c>
      <c r="C769" s="70" t="s">
        <v>1062</v>
      </c>
      <c r="D769" s="70" t="s">
        <v>959</v>
      </c>
      <c r="E769" s="71" t="s">
        <v>13</v>
      </c>
      <c r="F769" s="79">
        <v>658.4</v>
      </c>
      <c r="G769" s="79"/>
      <c r="H769" s="71" t="s">
        <v>457</v>
      </c>
      <c r="I769" s="77" t="s">
        <v>30</v>
      </c>
      <c r="J769" s="77"/>
      <c r="K769" s="74" t="s">
        <v>8</v>
      </c>
      <c r="L769" s="75">
        <v>515323.46</v>
      </c>
    </row>
    <row r="770" spans="1:12" ht="81.599999999999994" hidden="1" x14ac:dyDescent="0.3">
      <c r="A770" s="69" t="s">
        <v>938</v>
      </c>
      <c r="B770" s="70" t="s">
        <v>1010</v>
      </c>
      <c r="C770" s="70" t="s">
        <v>1063</v>
      </c>
      <c r="D770" s="70" t="s">
        <v>959</v>
      </c>
      <c r="E770" s="71" t="s">
        <v>13</v>
      </c>
      <c r="F770" s="76">
        <v>3594.4</v>
      </c>
      <c r="G770" s="76"/>
      <c r="H770" s="71" t="s">
        <v>457</v>
      </c>
      <c r="I770" s="77" t="s">
        <v>30</v>
      </c>
      <c r="J770" s="77"/>
      <c r="K770" s="74" t="s">
        <v>8</v>
      </c>
      <c r="L770" s="75">
        <v>518917.86</v>
      </c>
    </row>
    <row r="771" spans="1:12" ht="81.599999999999994" hidden="1" x14ac:dyDescent="0.3">
      <c r="A771" s="69" t="s">
        <v>938</v>
      </c>
      <c r="B771" s="70" t="s">
        <v>1010</v>
      </c>
      <c r="C771" s="70" t="s">
        <v>1064</v>
      </c>
      <c r="D771" s="70" t="s">
        <v>959</v>
      </c>
      <c r="E771" s="71" t="s">
        <v>13</v>
      </c>
      <c r="F771" s="79">
        <v>678.2</v>
      </c>
      <c r="G771" s="79"/>
      <c r="H771" s="71" t="s">
        <v>457</v>
      </c>
      <c r="I771" s="77" t="s">
        <v>30</v>
      </c>
      <c r="J771" s="77"/>
      <c r="K771" s="74" t="s">
        <v>8</v>
      </c>
      <c r="L771" s="75">
        <v>519596.06</v>
      </c>
    </row>
    <row r="772" spans="1:12" ht="81.599999999999994" hidden="1" x14ac:dyDescent="0.3">
      <c r="A772" s="69" t="s">
        <v>938</v>
      </c>
      <c r="B772" s="70" t="s">
        <v>1010</v>
      </c>
      <c r="C772" s="70" t="s">
        <v>1065</v>
      </c>
      <c r="D772" s="70" t="s">
        <v>959</v>
      </c>
      <c r="E772" s="71" t="s">
        <v>13</v>
      </c>
      <c r="F772" s="76">
        <v>3397.4</v>
      </c>
      <c r="G772" s="76"/>
      <c r="H772" s="71" t="s">
        <v>457</v>
      </c>
      <c r="I772" s="77" t="s">
        <v>30</v>
      </c>
      <c r="J772" s="77"/>
      <c r="K772" s="74" t="s">
        <v>8</v>
      </c>
      <c r="L772" s="75">
        <v>522993.46</v>
      </c>
    </row>
    <row r="773" spans="1:12" ht="81.599999999999994" hidden="1" x14ac:dyDescent="0.3">
      <c r="A773" s="69" t="s">
        <v>938</v>
      </c>
      <c r="B773" s="70" t="s">
        <v>1010</v>
      </c>
      <c r="C773" s="70" t="s">
        <v>1066</v>
      </c>
      <c r="D773" s="70" t="s">
        <v>959</v>
      </c>
      <c r="E773" s="71" t="s">
        <v>13</v>
      </c>
      <c r="F773" s="79">
        <v>654.4</v>
      </c>
      <c r="G773" s="79"/>
      <c r="H773" s="71" t="s">
        <v>457</v>
      </c>
      <c r="I773" s="77" t="s">
        <v>30</v>
      </c>
      <c r="J773" s="77"/>
      <c r="K773" s="74" t="s">
        <v>8</v>
      </c>
      <c r="L773" s="75">
        <v>523647.86</v>
      </c>
    </row>
    <row r="774" spans="1:12" ht="81.599999999999994" hidden="1" x14ac:dyDescent="0.3">
      <c r="A774" s="69" t="s">
        <v>938</v>
      </c>
      <c r="B774" s="70" t="s">
        <v>1010</v>
      </c>
      <c r="C774" s="70" t="s">
        <v>1067</v>
      </c>
      <c r="D774" s="70" t="s">
        <v>959</v>
      </c>
      <c r="E774" s="71" t="s">
        <v>13</v>
      </c>
      <c r="F774" s="76">
        <v>1246.8</v>
      </c>
      <c r="G774" s="76"/>
      <c r="H774" s="71" t="s">
        <v>457</v>
      </c>
      <c r="I774" s="77" t="s">
        <v>30</v>
      </c>
      <c r="J774" s="77"/>
      <c r="K774" s="74" t="s">
        <v>8</v>
      </c>
      <c r="L774" s="75">
        <v>524894.66</v>
      </c>
    </row>
    <row r="775" spans="1:12" ht="81.599999999999994" hidden="1" x14ac:dyDescent="0.3">
      <c r="A775" s="69" t="s">
        <v>938</v>
      </c>
      <c r="B775" s="70" t="s">
        <v>1010</v>
      </c>
      <c r="C775" s="70" t="s">
        <v>1067</v>
      </c>
      <c r="D775" s="70" t="s">
        <v>959</v>
      </c>
      <c r="E775" s="71" t="s">
        <v>13</v>
      </c>
      <c r="F775" s="76">
        <v>2462</v>
      </c>
      <c r="G775" s="76"/>
      <c r="H775" s="71" t="s">
        <v>457</v>
      </c>
      <c r="I775" s="77" t="s">
        <v>30</v>
      </c>
      <c r="J775" s="77"/>
      <c r="K775" s="74" t="s">
        <v>8</v>
      </c>
      <c r="L775" s="75">
        <v>527356.66</v>
      </c>
    </row>
    <row r="776" spans="1:12" ht="81.599999999999994" hidden="1" x14ac:dyDescent="0.3">
      <c r="A776" s="69" t="s">
        <v>938</v>
      </c>
      <c r="B776" s="70" t="s">
        <v>1010</v>
      </c>
      <c r="C776" s="70" t="s">
        <v>1068</v>
      </c>
      <c r="D776" s="70" t="s">
        <v>959</v>
      </c>
      <c r="E776" s="71" t="s">
        <v>13</v>
      </c>
      <c r="F776" s="79">
        <v>955.4</v>
      </c>
      <c r="G776" s="79"/>
      <c r="H776" s="71" t="s">
        <v>457</v>
      </c>
      <c r="I776" s="77" t="s">
        <v>30</v>
      </c>
      <c r="J776" s="77"/>
      <c r="K776" s="74" t="s">
        <v>8</v>
      </c>
      <c r="L776" s="75">
        <v>528312.06000000006</v>
      </c>
    </row>
    <row r="777" spans="1:12" ht="81.599999999999994" hidden="1" x14ac:dyDescent="0.3">
      <c r="A777" s="69" t="s">
        <v>938</v>
      </c>
      <c r="B777" s="70" t="s">
        <v>1010</v>
      </c>
      <c r="C777" s="70" t="s">
        <v>1069</v>
      </c>
      <c r="D777" s="70" t="s">
        <v>959</v>
      </c>
      <c r="E777" s="71" t="s">
        <v>13</v>
      </c>
      <c r="F777" s="76">
        <v>3440.3</v>
      </c>
      <c r="G777" s="76"/>
      <c r="H777" s="71" t="s">
        <v>457</v>
      </c>
      <c r="I777" s="77" t="s">
        <v>30</v>
      </c>
      <c r="J777" s="77"/>
      <c r="K777" s="74" t="s">
        <v>8</v>
      </c>
      <c r="L777" s="75">
        <v>531752.36</v>
      </c>
    </row>
    <row r="778" spans="1:12" ht="81.599999999999994" hidden="1" x14ac:dyDescent="0.3">
      <c r="A778" s="69" t="s">
        <v>938</v>
      </c>
      <c r="B778" s="70" t="s">
        <v>1010</v>
      </c>
      <c r="C778" s="70" t="s">
        <v>1070</v>
      </c>
      <c r="D778" s="70" t="s">
        <v>959</v>
      </c>
      <c r="E778" s="71" t="s">
        <v>13</v>
      </c>
      <c r="F778" s="76">
        <v>1682</v>
      </c>
      <c r="G778" s="76"/>
      <c r="H778" s="71" t="s">
        <v>457</v>
      </c>
      <c r="I778" s="77" t="s">
        <v>30</v>
      </c>
      <c r="J778" s="77"/>
      <c r="K778" s="74" t="s">
        <v>8</v>
      </c>
      <c r="L778" s="75">
        <v>533434.36</v>
      </c>
    </row>
    <row r="779" spans="1:12" ht="81.599999999999994" hidden="1" x14ac:dyDescent="0.3">
      <c r="A779" s="69" t="s">
        <v>938</v>
      </c>
      <c r="B779" s="70" t="s">
        <v>1010</v>
      </c>
      <c r="C779" s="70" t="s">
        <v>1071</v>
      </c>
      <c r="D779" s="70" t="s">
        <v>959</v>
      </c>
      <c r="E779" s="71" t="s">
        <v>13</v>
      </c>
      <c r="F779" s="76">
        <v>1300.8</v>
      </c>
      <c r="G779" s="76"/>
      <c r="H779" s="71" t="s">
        <v>457</v>
      </c>
      <c r="I779" s="77" t="s">
        <v>30</v>
      </c>
      <c r="J779" s="77"/>
      <c r="K779" s="74" t="s">
        <v>8</v>
      </c>
      <c r="L779" s="75">
        <v>534735.16</v>
      </c>
    </row>
    <row r="780" spans="1:12" ht="91.8" hidden="1" x14ac:dyDescent="0.3">
      <c r="A780" s="69" t="s">
        <v>938</v>
      </c>
      <c r="B780" s="70" t="s">
        <v>1010</v>
      </c>
      <c r="C780" s="70" t="s">
        <v>1072</v>
      </c>
      <c r="D780" s="70" t="s">
        <v>959</v>
      </c>
      <c r="E780" s="71" t="s">
        <v>13</v>
      </c>
      <c r="F780" s="76">
        <v>2070.4</v>
      </c>
      <c r="G780" s="76"/>
      <c r="H780" s="71" t="s">
        <v>457</v>
      </c>
      <c r="I780" s="77" t="s">
        <v>30</v>
      </c>
      <c r="J780" s="77"/>
      <c r="K780" s="74" t="s">
        <v>8</v>
      </c>
      <c r="L780" s="75">
        <v>536805.56000000006</v>
      </c>
    </row>
    <row r="781" spans="1:12" ht="81.599999999999994" hidden="1" x14ac:dyDescent="0.3">
      <c r="A781" s="69" t="s">
        <v>938</v>
      </c>
      <c r="B781" s="70" t="s">
        <v>1010</v>
      </c>
      <c r="C781" s="70" t="s">
        <v>1073</v>
      </c>
      <c r="D781" s="70" t="s">
        <v>959</v>
      </c>
      <c r="E781" s="71" t="s">
        <v>13</v>
      </c>
      <c r="F781" s="79">
        <v>918.1</v>
      </c>
      <c r="G781" s="79"/>
      <c r="H781" s="71" t="s">
        <v>457</v>
      </c>
      <c r="I781" s="77" t="s">
        <v>30</v>
      </c>
      <c r="J781" s="77"/>
      <c r="K781" s="74" t="s">
        <v>8</v>
      </c>
      <c r="L781" s="75">
        <v>537723.66</v>
      </c>
    </row>
    <row r="782" spans="1:12" ht="81.599999999999994" hidden="1" x14ac:dyDescent="0.3">
      <c r="A782" s="69" t="s">
        <v>938</v>
      </c>
      <c r="B782" s="70" t="s">
        <v>1010</v>
      </c>
      <c r="C782" s="70" t="s">
        <v>1074</v>
      </c>
      <c r="D782" s="70" t="s">
        <v>959</v>
      </c>
      <c r="E782" s="71" t="s">
        <v>13</v>
      </c>
      <c r="F782" s="76">
        <v>1561.3</v>
      </c>
      <c r="G782" s="76"/>
      <c r="H782" s="71" t="s">
        <v>457</v>
      </c>
      <c r="I782" s="77" t="s">
        <v>30</v>
      </c>
      <c r="J782" s="77"/>
      <c r="K782" s="74" t="s">
        <v>8</v>
      </c>
      <c r="L782" s="75">
        <v>539284.96</v>
      </c>
    </row>
    <row r="783" spans="1:12" ht="81.599999999999994" hidden="1" x14ac:dyDescent="0.3">
      <c r="A783" s="69" t="s">
        <v>938</v>
      </c>
      <c r="B783" s="70" t="s">
        <v>1010</v>
      </c>
      <c r="C783" s="70" t="s">
        <v>1075</v>
      </c>
      <c r="D783" s="70" t="s">
        <v>959</v>
      </c>
      <c r="E783" s="71" t="s">
        <v>13</v>
      </c>
      <c r="F783" s="76">
        <v>2720</v>
      </c>
      <c r="G783" s="76"/>
      <c r="H783" s="71" t="s">
        <v>457</v>
      </c>
      <c r="I783" s="77" t="s">
        <v>30</v>
      </c>
      <c r="J783" s="77"/>
      <c r="K783" s="74" t="s">
        <v>8</v>
      </c>
      <c r="L783" s="75">
        <v>542004.96</v>
      </c>
    </row>
    <row r="784" spans="1:12" ht="91.8" hidden="1" x14ac:dyDescent="0.3">
      <c r="A784" s="69" t="s">
        <v>938</v>
      </c>
      <c r="B784" s="70" t="s">
        <v>1010</v>
      </c>
      <c r="C784" s="70" t="s">
        <v>1076</v>
      </c>
      <c r="D784" s="70" t="s">
        <v>959</v>
      </c>
      <c r="E784" s="71" t="s">
        <v>13</v>
      </c>
      <c r="F784" s="76">
        <v>2786.7</v>
      </c>
      <c r="G784" s="76"/>
      <c r="H784" s="71" t="s">
        <v>457</v>
      </c>
      <c r="I784" s="77" t="s">
        <v>30</v>
      </c>
      <c r="J784" s="77"/>
      <c r="K784" s="74" t="s">
        <v>8</v>
      </c>
      <c r="L784" s="75">
        <v>544791.66</v>
      </c>
    </row>
    <row r="785" spans="1:12" ht="81.599999999999994" hidden="1" x14ac:dyDescent="0.3">
      <c r="A785" s="69" t="s">
        <v>938</v>
      </c>
      <c r="B785" s="70" t="s">
        <v>1010</v>
      </c>
      <c r="C785" s="70" t="s">
        <v>1077</v>
      </c>
      <c r="D785" s="70" t="s">
        <v>959</v>
      </c>
      <c r="E785" s="71" t="s">
        <v>13</v>
      </c>
      <c r="F785" s="76">
        <v>1867.9</v>
      </c>
      <c r="G785" s="76"/>
      <c r="H785" s="71" t="s">
        <v>457</v>
      </c>
      <c r="I785" s="77" t="s">
        <v>30</v>
      </c>
      <c r="J785" s="77"/>
      <c r="K785" s="74" t="s">
        <v>8</v>
      </c>
      <c r="L785" s="75">
        <v>546659.56000000006</v>
      </c>
    </row>
    <row r="786" spans="1:12" ht="81.599999999999994" hidden="1" x14ac:dyDescent="0.3">
      <c r="A786" s="69" t="s">
        <v>938</v>
      </c>
      <c r="B786" s="70" t="s">
        <v>1010</v>
      </c>
      <c r="C786" s="70" t="s">
        <v>1078</v>
      </c>
      <c r="D786" s="70" t="s">
        <v>959</v>
      </c>
      <c r="E786" s="71" t="s">
        <v>13</v>
      </c>
      <c r="F786" s="76">
        <v>3331.5</v>
      </c>
      <c r="G786" s="76"/>
      <c r="H786" s="71" t="s">
        <v>457</v>
      </c>
      <c r="I786" s="77" t="s">
        <v>30</v>
      </c>
      <c r="J786" s="77"/>
      <c r="K786" s="74" t="s">
        <v>8</v>
      </c>
      <c r="L786" s="75">
        <v>549991.06000000006</v>
      </c>
    </row>
    <row r="787" spans="1:12" ht="81.599999999999994" hidden="1" x14ac:dyDescent="0.3">
      <c r="A787" s="69" t="s">
        <v>938</v>
      </c>
      <c r="B787" s="70" t="s">
        <v>1010</v>
      </c>
      <c r="C787" s="70" t="s">
        <v>1079</v>
      </c>
      <c r="D787" s="70" t="s">
        <v>959</v>
      </c>
      <c r="E787" s="71" t="s">
        <v>13</v>
      </c>
      <c r="F787" s="76">
        <v>1045.9000000000001</v>
      </c>
      <c r="G787" s="76"/>
      <c r="H787" s="71" t="s">
        <v>457</v>
      </c>
      <c r="I787" s="77" t="s">
        <v>30</v>
      </c>
      <c r="J787" s="77"/>
      <c r="K787" s="74" t="s">
        <v>8</v>
      </c>
      <c r="L787" s="75">
        <v>551036.96</v>
      </c>
    </row>
    <row r="788" spans="1:12" ht="81.599999999999994" hidden="1" x14ac:dyDescent="0.3">
      <c r="A788" s="69" t="s">
        <v>938</v>
      </c>
      <c r="B788" s="70" t="s">
        <v>1010</v>
      </c>
      <c r="C788" s="70" t="s">
        <v>1080</v>
      </c>
      <c r="D788" s="70" t="s">
        <v>959</v>
      </c>
      <c r="E788" s="71" t="s">
        <v>13</v>
      </c>
      <c r="F788" s="76">
        <v>13297.6</v>
      </c>
      <c r="G788" s="76"/>
      <c r="H788" s="71" t="s">
        <v>457</v>
      </c>
      <c r="I788" s="77" t="s">
        <v>30</v>
      </c>
      <c r="J788" s="77"/>
      <c r="K788" s="74" t="s">
        <v>8</v>
      </c>
      <c r="L788" s="75">
        <v>564334.56000000006</v>
      </c>
    </row>
    <row r="789" spans="1:12" ht="81.599999999999994" hidden="1" x14ac:dyDescent="0.3">
      <c r="A789" s="69" t="s">
        <v>938</v>
      </c>
      <c r="B789" s="70" t="s">
        <v>1010</v>
      </c>
      <c r="C789" s="70" t="s">
        <v>1081</v>
      </c>
      <c r="D789" s="70" t="s">
        <v>959</v>
      </c>
      <c r="E789" s="71" t="s">
        <v>13</v>
      </c>
      <c r="F789" s="76">
        <v>6963.2</v>
      </c>
      <c r="G789" s="76"/>
      <c r="H789" s="71" t="s">
        <v>457</v>
      </c>
      <c r="I789" s="77" t="s">
        <v>30</v>
      </c>
      <c r="J789" s="77"/>
      <c r="K789" s="74" t="s">
        <v>8</v>
      </c>
      <c r="L789" s="75">
        <v>571297.76</v>
      </c>
    </row>
    <row r="790" spans="1:12" ht="81.599999999999994" hidden="1" x14ac:dyDescent="0.3">
      <c r="A790" s="69" t="s">
        <v>938</v>
      </c>
      <c r="B790" s="70" t="s">
        <v>1010</v>
      </c>
      <c r="C790" s="70" t="s">
        <v>1082</v>
      </c>
      <c r="D790" s="70" t="s">
        <v>959</v>
      </c>
      <c r="E790" s="71" t="s">
        <v>13</v>
      </c>
      <c r="F790" s="76">
        <v>4339.2</v>
      </c>
      <c r="G790" s="76"/>
      <c r="H790" s="71" t="s">
        <v>457</v>
      </c>
      <c r="I790" s="77" t="s">
        <v>30</v>
      </c>
      <c r="J790" s="77"/>
      <c r="K790" s="74" t="s">
        <v>8</v>
      </c>
      <c r="L790" s="75">
        <v>575636.96</v>
      </c>
    </row>
    <row r="791" spans="1:12" ht="81.599999999999994" hidden="1" x14ac:dyDescent="0.3">
      <c r="A791" s="69" t="s">
        <v>938</v>
      </c>
      <c r="B791" s="70" t="s">
        <v>1010</v>
      </c>
      <c r="C791" s="70" t="s">
        <v>1083</v>
      </c>
      <c r="D791" s="70" t="s">
        <v>959</v>
      </c>
      <c r="E791" s="71" t="s">
        <v>13</v>
      </c>
      <c r="F791" s="76">
        <v>1700.3</v>
      </c>
      <c r="G791" s="76"/>
      <c r="H791" s="71" t="s">
        <v>457</v>
      </c>
      <c r="I791" s="77" t="s">
        <v>30</v>
      </c>
      <c r="J791" s="77"/>
      <c r="K791" s="74" t="s">
        <v>8</v>
      </c>
      <c r="L791" s="75">
        <v>577337.26</v>
      </c>
    </row>
    <row r="792" spans="1:12" ht="81.599999999999994" hidden="1" x14ac:dyDescent="0.3">
      <c r="A792" s="69" t="s">
        <v>938</v>
      </c>
      <c r="B792" s="70" t="s">
        <v>1010</v>
      </c>
      <c r="C792" s="70" t="s">
        <v>1084</v>
      </c>
      <c r="D792" s="70" t="s">
        <v>959</v>
      </c>
      <c r="E792" s="71" t="s">
        <v>13</v>
      </c>
      <c r="F792" s="79">
        <v>885.5</v>
      </c>
      <c r="G792" s="79"/>
      <c r="H792" s="71" t="s">
        <v>457</v>
      </c>
      <c r="I792" s="77" t="s">
        <v>30</v>
      </c>
      <c r="J792" s="77"/>
      <c r="K792" s="74" t="s">
        <v>8</v>
      </c>
      <c r="L792" s="75">
        <v>578222.76</v>
      </c>
    </row>
    <row r="793" spans="1:12" ht="81.599999999999994" hidden="1" x14ac:dyDescent="0.3">
      <c r="A793" s="69" t="s">
        <v>938</v>
      </c>
      <c r="B793" s="70" t="s">
        <v>1010</v>
      </c>
      <c r="C793" s="70" t="s">
        <v>1085</v>
      </c>
      <c r="D793" s="70" t="s">
        <v>959</v>
      </c>
      <c r="E793" s="71" t="s">
        <v>13</v>
      </c>
      <c r="F793" s="79">
        <v>547.20000000000005</v>
      </c>
      <c r="G793" s="79"/>
      <c r="H793" s="71" t="s">
        <v>457</v>
      </c>
      <c r="I793" s="77" t="s">
        <v>30</v>
      </c>
      <c r="J793" s="77"/>
      <c r="K793" s="74" t="s">
        <v>8</v>
      </c>
      <c r="L793" s="75">
        <v>578769.96</v>
      </c>
    </row>
    <row r="794" spans="1:12" ht="81.599999999999994" hidden="1" x14ac:dyDescent="0.3">
      <c r="A794" s="69" t="s">
        <v>938</v>
      </c>
      <c r="B794" s="70" t="s">
        <v>1010</v>
      </c>
      <c r="C794" s="70" t="s">
        <v>1086</v>
      </c>
      <c r="D794" s="70" t="s">
        <v>959</v>
      </c>
      <c r="E794" s="71" t="s">
        <v>13</v>
      </c>
      <c r="F794" s="76">
        <v>2627.9</v>
      </c>
      <c r="G794" s="76"/>
      <c r="H794" s="71" t="s">
        <v>457</v>
      </c>
      <c r="I794" s="77" t="s">
        <v>30</v>
      </c>
      <c r="J794" s="77"/>
      <c r="K794" s="74" t="s">
        <v>8</v>
      </c>
      <c r="L794" s="75">
        <v>581397.86</v>
      </c>
    </row>
    <row r="795" spans="1:12" ht="81.599999999999994" hidden="1" x14ac:dyDescent="0.3">
      <c r="A795" s="69" t="s">
        <v>938</v>
      </c>
      <c r="B795" s="70" t="s">
        <v>1010</v>
      </c>
      <c r="C795" s="70" t="s">
        <v>1087</v>
      </c>
      <c r="D795" s="70" t="s">
        <v>959</v>
      </c>
      <c r="E795" s="71" t="s">
        <v>13</v>
      </c>
      <c r="F795" s="76">
        <v>1382.6</v>
      </c>
      <c r="G795" s="76"/>
      <c r="H795" s="71" t="s">
        <v>457</v>
      </c>
      <c r="I795" s="77" t="s">
        <v>30</v>
      </c>
      <c r="J795" s="77"/>
      <c r="K795" s="74" t="s">
        <v>8</v>
      </c>
      <c r="L795" s="75">
        <v>582780.46</v>
      </c>
    </row>
    <row r="796" spans="1:12" ht="81.599999999999994" hidden="1" x14ac:dyDescent="0.3">
      <c r="A796" s="69" t="s">
        <v>938</v>
      </c>
      <c r="B796" s="70" t="s">
        <v>1010</v>
      </c>
      <c r="C796" s="70" t="s">
        <v>1088</v>
      </c>
      <c r="D796" s="70" t="s">
        <v>959</v>
      </c>
      <c r="E796" s="71" t="s">
        <v>13</v>
      </c>
      <c r="F796" s="76">
        <v>1065</v>
      </c>
      <c r="G796" s="76"/>
      <c r="H796" s="71" t="s">
        <v>457</v>
      </c>
      <c r="I796" s="77" t="s">
        <v>30</v>
      </c>
      <c r="J796" s="77"/>
      <c r="K796" s="74" t="s">
        <v>8</v>
      </c>
      <c r="L796" s="75">
        <v>583845.46</v>
      </c>
    </row>
    <row r="797" spans="1:12" ht="81.599999999999994" hidden="1" x14ac:dyDescent="0.3">
      <c r="A797" s="69" t="s">
        <v>938</v>
      </c>
      <c r="B797" s="70" t="s">
        <v>1010</v>
      </c>
      <c r="C797" s="70" t="s">
        <v>1089</v>
      </c>
      <c r="D797" s="70" t="s">
        <v>959</v>
      </c>
      <c r="E797" s="71" t="s">
        <v>13</v>
      </c>
      <c r="F797" s="76">
        <v>2730.3</v>
      </c>
      <c r="G797" s="76"/>
      <c r="H797" s="71" t="s">
        <v>457</v>
      </c>
      <c r="I797" s="77" t="s">
        <v>30</v>
      </c>
      <c r="J797" s="77"/>
      <c r="K797" s="74" t="s">
        <v>8</v>
      </c>
      <c r="L797" s="75">
        <v>586575.76</v>
      </c>
    </row>
    <row r="798" spans="1:12" ht="81.599999999999994" hidden="1" x14ac:dyDescent="0.3">
      <c r="A798" s="69" t="s">
        <v>938</v>
      </c>
      <c r="B798" s="70" t="s">
        <v>1010</v>
      </c>
      <c r="C798" s="70" t="s">
        <v>1090</v>
      </c>
      <c r="D798" s="70" t="s">
        <v>959</v>
      </c>
      <c r="E798" s="71" t="s">
        <v>13</v>
      </c>
      <c r="F798" s="79">
        <v>650.4</v>
      </c>
      <c r="G798" s="79"/>
      <c r="H798" s="71" t="s">
        <v>457</v>
      </c>
      <c r="I798" s="77" t="s">
        <v>30</v>
      </c>
      <c r="J798" s="77"/>
      <c r="K798" s="74" t="s">
        <v>8</v>
      </c>
      <c r="L798" s="75">
        <v>587226.16</v>
      </c>
    </row>
    <row r="799" spans="1:12" ht="81.599999999999994" hidden="1" x14ac:dyDescent="0.3">
      <c r="A799" s="69" t="s">
        <v>938</v>
      </c>
      <c r="B799" s="70" t="s">
        <v>1010</v>
      </c>
      <c r="C799" s="70" t="s">
        <v>1091</v>
      </c>
      <c r="D799" s="70" t="s">
        <v>959</v>
      </c>
      <c r="E799" s="71" t="s">
        <v>13</v>
      </c>
      <c r="F799" s="76">
        <v>2976.5</v>
      </c>
      <c r="G799" s="76"/>
      <c r="H799" s="71" t="s">
        <v>457</v>
      </c>
      <c r="I799" s="77" t="s">
        <v>30</v>
      </c>
      <c r="J799" s="77"/>
      <c r="K799" s="74" t="s">
        <v>8</v>
      </c>
      <c r="L799" s="75">
        <v>590202.66</v>
      </c>
    </row>
    <row r="800" spans="1:12" ht="81.599999999999994" hidden="1" x14ac:dyDescent="0.3">
      <c r="A800" s="69" t="s">
        <v>938</v>
      </c>
      <c r="B800" s="70" t="s">
        <v>1010</v>
      </c>
      <c r="C800" s="70" t="s">
        <v>1092</v>
      </c>
      <c r="D800" s="70" t="s">
        <v>959</v>
      </c>
      <c r="E800" s="71" t="s">
        <v>13</v>
      </c>
      <c r="F800" s="76">
        <v>1562.9</v>
      </c>
      <c r="G800" s="76"/>
      <c r="H800" s="71" t="s">
        <v>457</v>
      </c>
      <c r="I800" s="77" t="s">
        <v>30</v>
      </c>
      <c r="J800" s="77"/>
      <c r="K800" s="74" t="s">
        <v>8</v>
      </c>
      <c r="L800" s="75">
        <v>591765.56000000006</v>
      </c>
    </row>
    <row r="801" spans="1:12" ht="81.599999999999994" hidden="1" x14ac:dyDescent="0.3">
      <c r="A801" s="69" t="s">
        <v>938</v>
      </c>
      <c r="B801" s="70" t="s">
        <v>1010</v>
      </c>
      <c r="C801" s="70" t="s">
        <v>1093</v>
      </c>
      <c r="D801" s="70" t="s">
        <v>959</v>
      </c>
      <c r="E801" s="71" t="s">
        <v>13</v>
      </c>
      <c r="F801" s="79">
        <v>961.7</v>
      </c>
      <c r="G801" s="79"/>
      <c r="H801" s="71" t="s">
        <v>457</v>
      </c>
      <c r="I801" s="77" t="s">
        <v>30</v>
      </c>
      <c r="J801" s="77"/>
      <c r="K801" s="74" t="s">
        <v>8</v>
      </c>
      <c r="L801" s="75">
        <v>592727.26</v>
      </c>
    </row>
    <row r="802" spans="1:12" ht="81.599999999999994" hidden="1" x14ac:dyDescent="0.3">
      <c r="A802" s="69" t="s">
        <v>938</v>
      </c>
      <c r="B802" s="70" t="s">
        <v>1010</v>
      </c>
      <c r="C802" s="70" t="s">
        <v>1094</v>
      </c>
      <c r="D802" s="70" t="s">
        <v>959</v>
      </c>
      <c r="E802" s="71" t="s">
        <v>13</v>
      </c>
      <c r="F802" s="76">
        <v>4466.3999999999996</v>
      </c>
      <c r="G802" s="76"/>
      <c r="H802" s="71" t="s">
        <v>457</v>
      </c>
      <c r="I802" s="77" t="s">
        <v>30</v>
      </c>
      <c r="J802" s="77"/>
      <c r="K802" s="74" t="s">
        <v>8</v>
      </c>
      <c r="L802" s="75">
        <v>597193.66</v>
      </c>
    </row>
    <row r="803" spans="1:12" ht="81.599999999999994" hidden="1" x14ac:dyDescent="0.3">
      <c r="A803" s="69" t="s">
        <v>938</v>
      </c>
      <c r="B803" s="70" t="s">
        <v>1010</v>
      </c>
      <c r="C803" s="70" t="s">
        <v>1095</v>
      </c>
      <c r="D803" s="70" t="s">
        <v>959</v>
      </c>
      <c r="E803" s="71" t="s">
        <v>13</v>
      </c>
      <c r="F803" s="76">
        <v>1479.5</v>
      </c>
      <c r="G803" s="76"/>
      <c r="H803" s="71" t="s">
        <v>457</v>
      </c>
      <c r="I803" s="77" t="s">
        <v>30</v>
      </c>
      <c r="J803" s="77"/>
      <c r="K803" s="74" t="s">
        <v>8</v>
      </c>
      <c r="L803" s="75">
        <v>598673.16</v>
      </c>
    </row>
    <row r="804" spans="1:12" ht="81.599999999999994" hidden="1" x14ac:dyDescent="0.3">
      <c r="A804" s="69" t="s">
        <v>938</v>
      </c>
      <c r="B804" s="70" t="s">
        <v>1010</v>
      </c>
      <c r="C804" s="70" t="s">
        <v>1096</v>
      </c>
      <c r="D804" s="70" t="s">
        <v>959</v>
      </c>
      <c r="E804" s="71" t="s">
        <v>13</v>
      </c>
      <c r="F804" s="76">
        <v>2360.3000000000002</v>
      </c>
      <c r="G804" s="76"/>
      <c r="H804" s="71" t="s">
        <v>457</v>
      </c>
      <c r="I804" s="77" t="s">
        <v>30</v>
      </c>
      <c r="J804" s="77"/>
      <c r="K804" s="74" t="s">
        <v>8</v>
      </c>
      <c r="L804" s="75">
        <v>601033.46</v>
      </c>
    </row>
    <row r="805" spans="1:12" ht="81.599999999999994" hidden="1" x14ac:dyDescent="0.3">
      <c r="A805" s="69" t="s">
        <v>938</v>
      </c>
      <c r="B805" s="70" t="s">
        <v>1010</v>
      </c>
      <c r="C805" s="70" t="s">
        <v>1097</v>
      </c>
      <c r="D805" s="70" t="s">
        <v>959</v>
      </c>
      <c r="E805" s="71" t="s">
        <v>13</v>
      </c>
      <c r="F805" s="76">
        <v>1764.6</v>
      </c>
      <c r="G805" s="76"/>
      <c r="H805" s="71" t="s">
        <v>457</v>
      </c>
      <c r="I805" s="77" t="s">
        <v>30</v>
      </c>
      <c r="J805" s="77"/>
      <c r="K805" s="74" t="s">
        <v>8</v>
      </c>
      <c r="L805" s="75">
        <v>602798.06000000006</v>
      </c>
    </row>
    <row r="806" spans="1:12" ht="81.599999999999994" hidden="1" x14ac:dyDescent="0.3">
      <c r="A806" s="69" t="s">
        <v>938</v>
      </c>
      <c r="B806" s="70" t="s">
        <v>1010</v>
      </c>
      <c r="C806" s="70" t="s">
        <v>1098</v>
      </c>
      <c r="D806" s="70" t="s">
        <v>959</v>
      </c>
      <c r="E806" s="71" t="s">
        <v>13</v>
      </c>
      <c r="F806" s="79">
        <v>896.6</v>
      </c>
      <c r="G806" s="79"/>
      <c r="H806" s="71" t="s">
        <v>457</v>
      </c>
      <c r="I806" s="77" t="s">
        <v>30</v>
      </c>
      <c r="J806" s="77"/>
      <c r="K806" s="74" t="s">
        <v>8</v>
      </c>
      <c r="L806" s="75">
        <v>603694.66</v>
      </c>
    </row>
    <row r="807" spans="1:12" ht="81.599999999999994" hidden="1" x14ac:dyDescent="0.3">
      <c r="A807" s="69" t="s">
        <v>938</v>
      </c>
      <c r="B807" s="70" t="s">
        <v>1010</v>
      </c>
      <c r="C807" s="70" t="s">
        <v>1099</v>
      </c>
      <c r="D807" s="70" t="s">
        <v>959</v>
      </c>
      <c r="E807" s="71" t="s">
        <v>13</v>
      </c>
      <c r="F807" s="76">
        <v>1502.6</v>
      </c>
      <c r="G807" s="76"/>
      <c r="H807" s="71" t="s">
        <v>457</v>
      </c>
      <c r="I807" s="77" t="s">
        <v>30</v>
      </c>
      <c r="J807" s="77"/>
      <c r="K807" s="74" t="s">
        <v>8</v>
      </c>
      <c r="L807" s="75">
        <v>605197.26</v>
      </c>
    </row>
    <row r="808" spans="1:12" ht="81.599999999999994" hidden="1" x14ac:dyDescent="0.3">
      <c r="A808" s="69" t="s">
        <v>938</v>
      </c>
      <c r="B808" s="70" t="s">
        <v>1010</v>
      </c>
      <c r="C808" s="70" t="s">
        <v>1100</v>
      </c>
      <c r="D808" s="70" t="s">
        <v>959</v>
      </c>
      <c r="E808" s="71" t="s">
        <v>13</v>
      </c>
      <c r="F808" s="76">
        <v>2799.4</v>
      </c>
      <c r="G808" s="76"/>
      <c r="H808" s="71" t="s">
        <v>457</v>
      </c>
      <c r="I808" s="77" t="s">
        <v>30</v>
      </c>
      <c r="J808" s="77"/>
      <c r="K808" s="74" t="s">
        <v>8</v>
      </c>
      <c r="L808" s="75">
        <v>607996.66</v>
      </c>
    </row>
    <row r="809" spans="1:12" ht="81.599999999999994" hidden="1" x14ac:dyDescent="0.3">
      <c r="A809" s="69" t="s">
        <v>938</v>
      </c>
      <c r="B809" s="70" t="s">
        <v>1010</v>
      </c>
      <c r="C809" s="70" t="s">
        <v>1101</v>
      </c>
      <c r="D809" s="70" t="s">
        <v>959</v>
      </c>
      <c r="E809" s="71" t="s">
        <v>13</v>
      </c>
      <c r="F809" s="76">
        <v>1579.6</v>
      </c>
      <c r="G809" s="76"/>
      <c r="H809" s="71" t="s">
        <v>457</v>
      </c>
      <c r="I809" s="77" t="s">
        <v>30</v>
      </c>
      <c r="J809" s="77"/>
      <c r="K809" s="74" t="s">
        <v>8</v>
      </c>
      <c r="L809" s="75">
        <v>609576.26</v>
      </c>
    </row>
    <row r="810" spans="1:12" ht="81.599999999999994" hidden="1" x14ac:dyDescent="0.3">
      <c r="A810" s="69" t="s">
        <v>938</v>
      </c>
      <c r="B810" s="70" t="s">
        <v>1010</v>
      </c>
      <c r="C810" s="70" t="s">
        <v>1102</v>
      </c>
      <c r="D810" s="70" t="s">
        <v>959</v>
      </c>
      <c r="E810" s="71" t="s">
        <v>13</v>
      </c>
      <c r="F810" s="76">
        <v>1090.4000000000001</v>
      </c>
      <c r="G810" s="76"/>
      <c r="H810" s="71" t="s">
        <v>457</v>
      </c>
      <c r="I810" s="77" t="s">
        <v>30</v>
      </c>
      <c r="J810" s="77"/>
      <c r="K810" s="74" t="s">
        <v>8</v>
      </c>
      <c r="L810" s="75">
        <v>610666.66</v>
      </c>
    </row>
    <row r="811" spans="1:12" ht="91.8" hidden="1" x14ac:dyDescent="0.3">
      <c r="A811" s="69" t="s">
        <v>938</v>
      </c>
      <c r="B811" s="70" t="s">
        <v>1010</v>
      </c>
      <c r="C811" s="70" t="s">
        <v>1103</v>
      </c>
      <c r="D811" s="70" t="s">
        <v>959</v>
      </c>
      <c r="E811" s="71" t="s">
        <v>13</v>
      </c>
      <c r="F811" s="76">
        <v>2214.9</v>
      </c>
      <c r="G811" s="76"/>
      <c r="H811" s="71" t="s">
        <v>457</v>
      </c>
      <c r="I811" s="77" t="s">
        <v>30</v>
      </c>
      <c r="J811" s="77"/>
      <c r="K811" s="74" t="s">
        <v>8</v>
      </c>
      <c r="L811" s="75">
        <v>612881.56000000006</v>
      </c>
    </row>
    <row r="812" spans="1:12" ht="81.599999999999994" hidden="1" x14ac:dyDescent="0.3">
      <c r="A812" s="69" t="s">
        <v>938</v>
      </c>
      <c r="B812" s="70" t="s">
        <v>1010</v>
      </c>
      <c r="C812" s="70" t="s">
        <v>1104</v>
      </c>
      <c r="D812" s="70" t="s">
        <v>959</v>
      </c>
      <c r="E812" s="71" t="s">
        <v>13</v>
      </c>
      <c r="F812" s="76">
        <v>1876.6</v>
      </c>
      <c r="G812" s="76"/>
      <c r="H812" s="71" t="s">
        <v>457</v>
      </c>
      <c r="I812" s="77" t="s">
        <v>30</v>
      </c>
      <c r="J812" s="77"/>
      <c r="K812" s="74" t="s">
        <v>8</v>
      </c>
      <c r="L812" s="75">
        <v>614758.16</v>
      </c>
    </row>
    <row r="813" spans="1:12" ht="91.8" hidden="1" x14ac:dyDescent="0.3">
      <c r="A813" s="69" t="s">
        <v>938</v>
      </c>
      <c r="B813" s="70" t="s">
        <v>1010</v>
      </c>
      <c r="C813" s="70" t="s">
        <v>1105</v>
      </c>
      <c r="D813" s="70" t="s">
        <v>959</v>
      </c>
      <c r="E813" s="71" t="s">
        <v>13</v>
      </c>
      <c r="F813" s="76">
        <v>2440.5</v>
      </c>
      <c r="G813" s="76"/>
      <c r="H813" s="71" t="s">
        <v>457</v>
      </c>
      <c r="I813" s="77" t="s">
        <v>30</v>
      </c>
      <c r="J813" s="77"/>
      <c r="K813" s="74" t="s">
        <v>8</v>
      </c>
      <c r="L813" s="75">
        <v>617198.66</v>
      </c>
    </row>
    <row r="814" spans="1:12" ht="91.8" hidden="1" x14ac:dyDescent="0.3">
      <c r="A814" s="69" t="s">
        <v>938</v>
      </c>
      <c r="B814" s="70" t="s">
        <v>1010</v>
      </c>
      <c r="C814" s="70" t="s">
        <v>1106</v>
      </c>
      <c r="D814" s="70" t="s">
        <v>959</v>
      </c>
      <c r="E814" s="71" t="s">
        <v>13</v>
      </c>
      <c r="F814" s="76">
        <v>6739.2</v>
      </c>
      <c r="G814" s="76"/>
      <c r="H814" s="71" t="s">
        <v>457</v>
      </c>
      <c r="I814" s="77" t="s">
        <v>30</v>
      </c>
      <c r="J814" s="77"/>
      <c r="K814" s="74" t="s">
        <v>8</v>
      </c>
      <c r="L814" s="75">
        <v>623937.86</v>
      </c>
    </row>
    <row r="815" spans="1:12" ht="81.599999999999994" hidden="1" x14ac:dyDescent="0.3">
      <c r="A815" s="69" t="s">
        <v>938</v>
      </c>
      <c r="B815" s="70" t="s">
        <v>1010</v>
      </c>
      <c r="C815" s="70" t="s">
        <v>1107</v>
      </c>
      <c r="D815" s="70" t="s">
        <v>959</v>
      </c>
      <c r="E815" s="71" t="s">
        <v>13</v>
      </c>
      <c r="F815" s="76">
        <v>3164</v>
      </c>
      <c r="G815" s="76"/>
      <c r="H815" s="71" t="s">
        <v>457</v>
      </c>
      <c r="I815" s="77" t="s">
        <v>30</v>
      </c>
      <c r="J815" s="77"/>
      <c r="K815" s="74" t="s">
        <v>8</v>
      </c>
      <c r="L815" s="75">
        <v>627101.86</v>
      </c>
    </row>
    <row r="816" spans="1:12" ht="81.599999999999994" hidden="1" x14ac:dyDescent="0.3">
      <c r="A816" s="69" t="s">
        <v>938</v>
      </c>
      <c r="B816" s="70" t="s">
        <v>1010</v>
      </c>
      <c r="C816" s="70" t="s">
        <v>1108</v>
      </c>
      <c r="D816" s="70" t="s">
        <v>959</v>
      </c>
      <c r="E816" s="71" t="s">
        <v>13</v>
      </c>
      <c r="F816" s="79">
        <v>528.9</v>
      </c>
      <c r="G816" s="79"/>
      <c r="H816" s="71" t="s">
        <v>457</v>
      </c>
      <c r="I816" s="77" t="s">
        <v>30</v>
      </c>
      <c r="J816" s="77"/>
      <c r="K816" s="74" t="s">
        <v>8</v>
      </c>
      <c r="L816" s="75">
        <v>627630.76</v>
      </c>
    </row>
    <row r="817" spans="1:12" ht="91.8" hidden="1" x14ac:dyDescent="0.3">
      <c r="A817" s="69" t="s">
        <v>938</v>
      </c>
      <c r="B817" s="70" t="s">
        <v>1010</v>
      </c>
      <c r="C817" s="70" t="s">
        <v>1109</v>
      </c>
      <c r="D817" s="70" t="s">
        <v>959</v>
      </c>
      <c r="E817" s="71" t="s">
        <v>13</v>
      </c>
      <c r="F817" s="76">
        <v>25160.799999999999</v>
      </c>
      <c r="G817" s="76"/>
      <c r="H817" s="71" t="s">
        <v>457</v>
      </c>
      <c r="I817" s="77" t="s">
        <v>30</v>
      </c>
      <c r="J817" s="77"/>
      <c r="K817" s="74" t="s">
        <v>8</v>
      </c>
      <c r="L817" s="75">
        <v>652791.56000000006</v>
      </c>
    </row>
    <row r="818" spans="1:12" ht="81.599999999999994" hidden="1" x14ac:dyDescent="0.3">
      <c r="A818" s="69" t="s">
        <v>938</v>
      </c>
      <c r="B818" s="70" t="s">
        <v>1010</v>
      </c>
      <c r="C818" s="70" t="s">
        <v>1110</v>
      </c>
      <c r="D818" s="70" t="s">
        <v>959</v>
      </c>
      <c r="E818" s="71" t="s">
        <v>13</v>
      </c>
      <c r="F818" s="76">
        <v>11774</v>
      </c>
      <c r="G818" s="76"/>
      <c r="H818" s="71" t="s">
        <v>457</v>
      </c>
      <c r="I818" s="77" t="s">
        <v>30</v>
      </c>
      <c r="J818" s="77"/>
      <c r="K818" s="74" t="s">
        <v>8</v>
      </c>
      <c r="L818" s="75">
        <v>664565.56000000006</v>
      </c>
    </row>
    <row r="819" spans="1:12" ht="81.599999999999994" hidden="1" x14ac:dyDescent="0.3">
      <c r="A819" s="69" t="s">
        <v>938</v>
      </c>
      <c r="B819" s="70" t="s">
        <v>1010</v>
      </c>
      <c r="C819" s="70" t="s">
        <v>1111</v>
      </c>
      <c r="D819" s="70" t="s">
        <v>959</v>
      </c>
      <c r="E819" s="71" t="s">
        <v>13</v>
      </c>
      <c r="F819" s="76">
        <v>3385.2</v>
      </c>
      <c r="G819" s="76"/>
      <c r="H819" s="71" t="s">
        <v>457</v>
      </c>
      <c r="I819" s="77" t="s">
        <v>30</v>
      </c>
      <c r="J819" s="77"/>
      <c r="K819" s="74" t="s">
        <v>8</v>
      </c>
      <c r="L819" s="75">
        <v>667950.76</v>
      </c>
    </row>
    <row r="820" spans="1:12" ht="91.8" hidden="1" x14ac:dyDescent="0.3">
      <c r="A820" s="69" t="s">
        <v>938</v>
      </c>
      <c r="B820" s="70" t="s">
        <v>1010</v>
      </c>
      <c r="C820" s="70" t="s">
        <v>1112</v>
      </c>
      <c r="D820" s="70" t="s">
        <v>959</v>
      </c>
      <c r="E820" s="71" t="s">
        <v>13</v>
      </c>
      <c r="F820" s="76">
        <v>5652.8</v>
      </c>
      <c r="G820" s="76"/>
      <c r="H820" s="71" t="s">
        <v>457</v>
      </c>
      <c r="I820" s="77" t="s">
        <v>30</v>
      </c>
      <c r="J820" s="77"/>
      <c r="K820" s="74" t="s">
        <v>8</v>
      </c>
      <c r="L820" s="75">
        <v>673603.56</v>
      </c>
    </row>
    <row r="821" spans="1:12" ht="81.599999999999994" hidden="1" x14ac:dyDescent="0.3">
      <c r="A821" s="69" t="s">
        <v>938</v>
      </c>
      <c r="B821" s="70" t="s">
        <v>1010</v>
      </c>
      <c r="C821" s="70" t="s">
        <v>1113</v>
      </c>
      <c r="D821" s="70" t="s">
        <v>959</v>
      </c>
      <c r="E821" s="71" t="s">
        <v>13</v>
      </c>
      <c r="F821" s="76">
        <v>2644.6</v>
      </c>
      <c r="G821" s="76"/>
      <c r="H821" s="71" t="s">
        <v>457</v>
      </c>
      <c r="I821" s="77" t="s">
        <v>30</v>
      </c>
      <c r="J821" s="77"/>
      <c r="K821" s="74" t="s">
        <v>8</v>
      </c>
      <c r="L821" s="75">
        <v>676248.16</v>
      </c>
    </row>
    <row r="822" spans="1:12" ht="81.599999999999994" hidden="1" x14ac:dyDescent="0.3">
      <c r="A822" s="69" t="s">
        <v>938</v>
      </c>
      <c r="B822" s="70" t="s">
        <v>1010</v>
      </c>
      <c r="C822" s="70" t="s">
        <v>1114</v>
      </c>
      <c r="D822" s="70" t="s">
        <v>959</v>
      </c>
      <c r="E822" s="71" t="s">
        <v>13</v>
      </c>
      <c r="F822" s="79">
        <v>482.9</v>
      </c>
      <c r="G822" s="79"/>
      <c r="H822" s="71" t="s">
        <v>457</v>
      </c>
      <c r="I822" s="77" t="s">
        <v>30</v>
      </c>
      <c r="J822" s="77"/>
      <c r="K822" s="74" t="s">
        <v>8</v>
      </c>
      <c r="L822" s="75">
        <v>676731.06</v>
      </c>
    </row>
    <row r="823" spans="1:12" ht="91.8" hidden="1" x14ac:dyDescent="0.3">
      <c r="A823" s="69" t="s">
        <v>938</v>
      </c>
      <c r="B823" s="70" t="s">
        <v>1010</v>
      </c>
      <c r="C823" s="70" t="s">
        <v>1115</v>
      </c>
      <c r="D823" s="70" t="s">
        <v>959</v>
      </c>
      <c r="E823" s="71" t="s">
        <v>13</v>
      </c>
      <c r="F823" s="76">
        <v>3008.3</v>
      </c>
      <c r="G823" s="76"/>
      <c r="H823" s="71" t="s">
        <v>457</v>
      </c>
      <c r="I823" s="77" t="s">
        <v>30</v>
      </c>
      <c r="J823" s="77"/>
      <c r="K823" s="74" t="s">
        <v>8</v>
      </c>
      <c r="L823" s="75">
        <v>679739.36</v>
      </c>
    </row>
    <row r="824" spans="1:12" ht="81.599999999999994" hidden="1" x14ac:dyDescent="0.3">
      <c r="A824" s="69" t="s">
        <v>938</v>
      </c>
      <c r="B824" s="70" t="s">
        <v>1010</v>
      </c>
      <c r="C824" s="70" t="s">
        <v>1116</v>
      </c>
      <c r="D824" s="70" t="s">
        <v>959</v>
      </c>
      <c r="E824" s="71" t="s">
        <v>13</v>
      </c>
      <c r="F824" s="76">
        <v>1324.7</v>
      </c>
      <c r="G824" s="76"/>
      <c r="H824" s="71" t="s">
        <v>457</v>
      </c>
      <c r="I824" s="77" t="s">
        <v>30</v>
      </c>
      <c r="J824" s="77"/>
      <c r="K824" s="74" t="s">
        <v>8</v>
      </c>
      <c r="L824" s="75">
        <v>681064.06</v>
      </c>
    </row>
    <row r="825" spans="1:12" ht="81.599999999999994" hidden="1" x14ac:dyDescent="0.3">
      <c r="A825" s="69" t="s">
        <v>938</v>
      </c>
      <c r="B825" s="70" t="s">
        <v>1010</v>
      </c>
      <c r="C825" s="70" t="s">
        <v>1117</v>
      </c>
      <c r="D825" s="70" t="s">
        <v>959</v>
      </c>
      <c r="E825" s="71" t="s">
        <v>13</v>
      </c>
      <c r="F825" s="79">
        <v>293.8</v>
      </c>
      <c r="G825" s="79"/>
      <c r="H825" s="71" t="s">
        <v>457</v>
      </c>
      <c r="I825" s="77" t="s">
        <v>30</v>
      </c>
      <c r="J825" s="77"/>
      <c r="K825" s="74" t="s">
        <v>8</v>
      </c>
      <c r="L825" s="75">
        <v>681357.86</v>
      </c>
    </row>
    <row r="826" spans="1:12" ht="91.8" hidden="1" x14ac:dyDescent="0.3">
      <c r="A826" s="69" t="s">
        <v>938</v>
      </c>
      <c r="B826" s="70" t="s">
        <v>1010</v>
      </c>
      <c r="C826" s="70" t="s">
        <v>1118</v>
      </c>
      <c r="D826" s="70" t="s">
        <v>959</v>
      </c>
      <c r="E826" s="71" t="s">
        <v>13</v>
      </c>
      <c r="F826" s="76">
        <v>6439.2</v>
      </c>
      <c r="G826" s="76"/>
      <c r="H826" s="71" t="s">
        <v>457</v>
      </c>
      <c r="I826" s="77" t="s">
        <v>30</v>
      </c>
      <c r="J826" s="77"/>
      <c r="K826" s="74" t="s">
        <v>8</v>
      </c>
      <c r="L826" s="75">
        <v>687797.06</v>
      </c>
    </row>
    <row r="827" spans="1:12" ht="81.599999999999994" hidden="1" x14ac:dyDescent="0.3">
      <c r="A827" s="69" t="s">
        <v>938</v>
      </c>
      <c r="B827" s="70" t="s">
        <v>1010</v>
      </c>
      <c r="C827" s="70" t="s">
        <v>1119</v>
      </c>
      <c r="D827" s="70" t="s">
        <v>959</v>
      </c>
      <c r="E827" s="71" t="s">
        <v>13</v>
      </c>
      <c r="F827" s="76">
        <v>3003.6</v>
      </c>
      <c r="G827" s="76"/>
      <c r="H827" s="71" t="s">
        <v>457</v>
      </c>
      <c r="I827" s="77" t="s">
        <v>30</v>
      </c>
      <c r="J827" s="77"/>
      <c r="K827" s="74" t="s">
        <v>8</v>
      </c>
      <c r="L827" s="75">
        <v>690800.66</v>
      </c>
    </row>
    <row r="828" spans="1:12" ht="81.599999999999994" hidden="1" x14ac:dyDescent="0.3">
      <c r="A828" s="69" t="s">
        <v>938</v>
      </c>
      <c r="B828" s="70" t="s">
        <v>1010</v>
      </c>
      <c r="C828" s="70" t="s">
        <v>1120</v>
      </c>
      <c r="D828" s="70" t="s">
        <v>959</v>
      </c>
      <c r="E828" s="71" t="s">
        <v>13</v>
      </c>
      <c r="F828" s="79">
        <v>872</v>
      </c>
      <c r="G828" s="79"/>
      <c r="H828" s="71" t="s">
        <v>457</v>
      </c>
      <c r="I828" s="77" t="s">
        <v>30</v>
      </c>
      <c r="J828" s="77"/>
      <c r="K828" s="74" t="s">
        <v>8</v>
      </c>
      <c r="L828" s="75">
        <v>691672.66</v>
      </c>
    </row>
    <row r="829" spans="1:12" ht="91.8" hidden="1" x14ac:dyDescent="0.3">
      <c r="A829" s="69" t="s">
        <v>938</v>
      </c>
      <c r="B829" s="70" t="s">
        <v>1010</v>
      </c>
      <c r="C829" s="70" t="s">
        <v>1115</v>
      </c>
      <c r="D829" s="70" t="s">
        <v>959</v>
      </c>
      <c r="E829" s="71" t="s">
        <v>13</v>
      </c>
      <c r="F829" s="76">
        <v>3008.3</v>
      </c>
      <c r="G829" s="76"/>
      <c r="H829" s="71" t="s">
        <v>457</v>
      </c>
      <c r="I829" s="77" t="s">
        <v>30</v>
      </c>
      <c r="J829" s="77"/>
      <c r="K829" s="74" t="s">
        <v>8</v>
      </c>
      <c r="L829" s="75">
        <v>694680.96</v>
      </c>
    </row>
    <row r="830" spans="1:12" ht="81.599999999999994" hidden="1" x14ac:dyDescent="0.3">
      <c r="A830" s="69" t="s">
        <v>938</v>
      </c>
      <c r="B830" s="70" t="s">
        <v>1010</v>
      </c>
      <c r="C830" s="70" t="s">
        <v>1116</v>
      </c>
      <c r="D830" s="70" t="s">
        <v>959</v>
      </c>
      <c r="E830" s="71" t="s">
        <v>13</v>
      </c>
      <c r="F830" s="76">
        <v>1322.3</v>
      </c>
      <c r="G830" s="76"/>
      <c r="H830" s="71" t="s">
        <v>457</v>
      </c>
      <c r="I830" s="77" t="s">
        <v>30</v>
      </c>
      <c r="J830" s="77"/>
      <c r="K830" s="74" t="s">
        <v>8</v>
      </c>
      <c r="L830" s="75">
        <v>696003.26</v>
      </c>
    </row>
    <row r="831" spans="1:12" ht="81.599999999999994" hidden="1" x14ac:dyDescent="0.3">
      <c r="A831" s="69" t="s">
        <v>938</v>
      </c>
      <c r="B831" s="70" t="s">
        <v>1010</v>
      </c>
      <c r="C831" s="70" t="s">
        <v>1121</v>
      </c>
      <c r="D831" s="70" t="s">
        <v>959</v>
      </c>
      <c r="E831" s="71" t="s">
        <v>13</v>
      </c>
      <c r="F831" s="79">
        <v>293.8</v>
      </c>
      <c r="G831" s="79"/>
      <c r="H831" s="71" t="s">
        <v>457</v>
      </c>
      <c r="I831" s="77" t="s">
        <v>30</v>
      </c>
      <c r="J831" s="77"/>
      <c r="K831" s="74" t="s">
        <v>8</v>
      </c>
      <c r="L831" s="75">
        <v>696297.06</v>
      </c>
    </row>
    <row r="832" spans="1:12" ht="81.599999999999994" hidden="1" x14ac:dyDescent="0.3">
      <c r="A832" s="69" t="s">
        <v>938</v>
      </c>
      <c r="B832" s="70" t="s">
        <v>1010</v>
      </c>
      <c r="C832" s="70" t="s">
        <v>1122</v>
      </c>
      <c r="D832" s="70" t="s">
        <v>959</v>
      </c>
      <c r="E832" s="71" t="s">
        <v>13</v>
      </c>
      <c r="F832" s="79">
        <v>482.1</v>
      </c>
      <c r="G832" s="79"/>
      <c r="H832" s="71" t="s">
        <v>457</v>
      </c>
      <c r="I832" s="77" t="s">
        <v>30</v>
      </c>
      <c r="J832" s="77"/>
      <c r="K832" s="74" t="s">
        <v>8</v>
      </c>
      <c r="L832" s="75">
        <v>696779.16</v>
      </c>
    </row>
    <row r="833" spans="1:12" ht="81.599999999999994" hidden="1" x14ac:dyDescent="0.3">
      <c r="A833" s="69" t="s">
        <v>938</v>
      </c>
      <c r="B833" s="70" t="s">
        <v>1010</v>
      </c>
      <c r="C833" s="70" t="s">
        <v>1123</v>
      </c>
      <c r="D833" s="70" t="s">
        <v>959</v>
      </c>
      <c r="E833" s="71" t="s">
        <v>13</v>
      </c>
      <c r="F833" s="79">
        <v>459</v>
      </c>
      <c r="G833" s="79"/>
      <c r="H833" s="71" t="s">
        <v>457</v>
      </c>
      <c r="I833" s="77" t="s">
        <v>30</v>
      </c>
      <c r="J833" s="77"/>
      <c r="K833" s="74" t="s">
        <v>8</v>
      </c>
      <c r="L833" s="75">
        <v>697238.16</v>
      </c>
    </row>
    <row r="834" spans="1:12" ht="91.8" hidden="1" x14ac:dyDescent="0.3">
      <c r="A834" s="69" t="s">
        <v>938</v>
      </c>
      <c r="B834" s="70" t="s">
        <v>1010</v>
      </c>
      <c r="C834" s="70" t="s">
        <v>1124</v>
      </c>
      <c r="D834" s="70" t="s">
        <v>959</v>
      </c>
      <c r="E834" s="71" t="s">
        <v>13</v>
      </c>
      <c r="F834" s="76">
        <v>2527</v>
      </c>
      <c r="G834" s="76"/>
      <c r="H834" s="71" t="s">
        <v>457</v>
      </c>
      <c r="I834" s="77" t="s">
        <v>30</v>
      </c>
      <c r="J834" s="77"/>
      <c r="K834" s="74" t="s">
        <v>8</v>
      </c>
      <c r="L834" s="75">
        <v>699765.16</v>
      </c>
    </row>
    <row r="835" spans="1:12" ht="81.599999999999994" hidden="1" x14ac:dyDescent="0.3">
      <c r="A835" s="69" t="s">
        <v>938</v>
      </c>
      <c r="B835" s="70" t="s">
        <v>1010</v>
      </c>
      <c r="C835" s="70" t="s">
        <v>1125</v>
      </c>
      <c r="D835" s="70" t="s">
        <v>959</v>
      </c>
      <c r="E835" s="71" t="s">
        <v>13</v>
      </c>
      <c r="F835" s="76">
        <v>1182.5</v>
      </c>
      <c r="G835" s="76"/>
      <c r="H835" s="71" t="s">
        <v>457</v>
      </c>
      <c r="I835" s="77" t="s">
        <v>30</v>
      </c>
      <c r="J835" s="77"/>
      <c r="K835" s="74" t="s">
        <v>8</v>
      </c>
      <c r="L835" s="75">
        <v>700947.66</v>
      </c>
    </row>
    <row r="836" spans="1:12" ht="81.599999999999994" hidden="1" x14ac:dyDescent="0.3">
      <c r="A836" s="69" t="s">
        <v>938</v>
      </c>
      <c r="B836" s="70" t="s">
        <v>1010</v>
      </c>
      <c r="C836" s="70" t="s">
        <v>1126</v>
      </c>
      <c r="D836" s="70" t="s">
        <v>959</v>
      </c>
      <c r="E836" s="71" t="s">
        <v>13</v>
      </c>
      <c r="F836" s="76">
        <v>1339.8</v>
      </c>
      <c r="G836" s="76"/>
      <c r="H836" s="71" t="s">
        <v>457</v>
      </c>
      <c r="I836" s="77" t="s">
        <v>30</v>
      </c>
      <c r="J836" s="77"/>
      <c r="K836" s="74" t="s">
        <v>8</v>
      </c>
      <c r="L836" s="75">
        <v>702287.46</v>
      </c>
    </row>
    <row r="837" spans="1:12" ht="91.8" hidden="1" x14ac:dyDescent="0.3">
      <c r="A837" s="69" t="s">
        <v>938</v>
      </c>
      <c r="B837" s="70" t="s">
        <v>1010</v>
      </c>
      <c r="C837" s="70" t="s">
        <v>1127</v>
      </c>
      <c r="D837" s="70" t="s">
        <v>959</v>
      </c>
      <c r="E837" s="71" t="s">
        <v>13</v>
      </c>
      <c r="F837" s="76">
        <v>2735.9</v>
      </c>
      <c r="G837" s="76"/>
      <c r="H837" s="71" t="s">
        <v>457</v>
      </c>
      <c r="I837" s="77" t="s">
        <v>30</v>
      </c>
      <c r="J837" s="77"/>
      <c r="K837" s="74" t="s">
        <v>8</v>
      </c>
      <c r="L837" s="75">
        <v>705023.36</v>
      </c>
    </row>
    <row r="838" spans="1:12" ht="81.599999999999994" hidden="1" x14ac:dyDescent="0.3">
      <c r="A838" s="69" t="s">
        <v>938</v>
      </c>
      <c r="B838" s="70" t="s">
        <v>1010</v>
      </c>
      <c r="C838" s="70" t="s">
        <v>1128</v>
      </c>
      <c r="D838" s="70" t="s">
        <v>959</v>
      </c>
      <c r="E838" s="71" t="s">
        <v>13</v>
      </c>
      <c r="F838" s="79">
        <v>625.79999999999995</v>
      </c>
      <c r="G838" s="79"/>
      <c r="H838" s="71" t="s">
        <v>457</v>
      </c>
      <c r="I838" s="77" t="s">
        <v>30</v>
      </c>
      <c r="J838" s="77"/>
      <c r="K838" s="74" t="s">
        <v>8</v>
      </c>
      <c r="L838" s="75">
        <v>705649.16</v>
      </c>
    </row>
    <row r="839" spans="1:12" ht="81.599999999999994" hidden="1" x14ac:dyDescent="0.3">
      <c r="A839" s="69" t="s">
        <v>938</v>
      </c>
      <c r="B839" s="70" t="s">
        <v>1010</v>
      </c>
      <c r="C839" s="70" t="s">
        <v>1129</v>
      </c>
      <c r="D839" s="70" t="s">
        <v>959</v>
      </c>
      <c r="E839" s="71" t="s">
        <v>13</v>
      </c>
      <c r="F839" s="76">
        <v>2024.3</v>
      </c>
      <c r="G839" s="76"/>
      <c r="H839" s="71" t="s">
        <v>457</v>
      </c>
      <c r="I839" s="77" t="s">
        <v>30</v>
      </c>
      <c r="J839" s="77"/>
      <c r="K839" s="74" t="s">
        <v>8</v>
      </c>
      <c r="L839" s="75">
        <v>707673.46</v>
      </c>
    </row>
    <row r="840" spans="1:12" ht="81.599999999999994" hidden="1" x14ac:dyDescent="0.3">
      <c r="A840" s="69" t="s">
        <v>938</v>
      </c>
      <c r="B840" s="70" t="s">
        <v>1010</v>
      </c>
      <c r="C840" s="70" t="s">
        <v>1130</v>
      </c>
      <c r="D840" s="70" t="s">
        <v>959</v>
      </c>
      <c r="E840" s="71" t="s">
        <v>13</v>
      </c>
      <c r="F840" s="76">
        <v>1627.2</v>
      </c>
      <c r="G840" s="76"/>
      <c r="H840" s="71" t="s">
        <v>457</v>
      </c>
      <c r="I840" s="77" t="s">
        <v>30</v>
      </c>
      <c r="J840" s="77"/>
      <c r="K840" s="74" t="s">
        <v>8</v>
      </c>
      <c r="L840" s="75">
        <v>709300.66</v>
      </c>
    </row>
    <row r="841" spans="1:12" ht="81.599999999999994" hidden="1" x14ac:dyDescent="0.3">
      <c r="A841" s="69" t="s">
        <v>938</v>
      </c>
      <c r="B841" s="70" t="s">
        <v>1010</v>
      </c>
      <c r="C841" s="70" t="s">
        <v>1131</v>
      </c>
      <c r="D841" s="70" t="s">
        <v>959</v>
      </c>
      <c r="E841" s="71" t="s">
        <v>13</v>
      </c>
      <c r="F841" s="79">
        <v>746.5</v>
      </c>
      <c r="G841" s="79"/>
      <c r="H841" s="71" t="s">
        <v>457</v>
      </c>
      <c r="I841" s="77" t="s">
        <v>30</v>
      </c>
      <c r="J841" s="77"/>
      <c r="K841" s="74" t="s">
        <v>8</v>
      </c>
      <c r="L841" s="75">
        <v>710047.16</v>
      </c>
    </row>
    <row r="842" spans="1:12" ht="81.599999999999994" hidden="1" x14ac:dyDescent="0.3">
      <c r="A842" s="69" t="s">
        <v>938</v>
      </c>
      <c r="B842" s="70" t="s">
        <v>1010</v>
      </c>
      <c r="C842" s="70" t="s">
        <v>1132</v>
      </c>
      <c r="D842" s="70" t="s">
        <v>959</v>
      </c>
      <c r="E842" s="71" t="s">
        <v>13</v>
      </c>
      <c r="F842" s="76">
        <v>1186.5</v>
      </c>
      <c r="G842" s="76"/>
      <c r="H842" s="71" t="s">
        <v>457</v>
      </c>
      <c r="I842" s="77" t="s">
        <v>30</v>
      </c>
      <c r="J842" s="77"/>
      <c r="K842" s="74" t="s">
        <v>8</v>
      </c>
      <c r="L842" s="75">
        <v>711233.66</v>
      </c>
    </row>
    <row r="843" spans="1:12" ht="81.599999999999994" hidden="1" x14ac:dyDescent="0.3">
      <c r="A843" s="69" t="s">
        <v>938</v>
      </c>
      <c r="B843" s="70" t="s">
        <v>1010</v>
      </c>
      <c r="C843" s="70" t="s">
        <v>1133</v>
      </c>
      <c r="D843" s="70" t="s">
        <v>959</v>
      </c>
      <c r="E843" s="71" t="s">
        <v>13</v>
      </c>
      <c r="F843" s="76">
        <v>2782.8</v>
      </c>
      <c r="G843" s="76"/>
      <c r="H843" s="71" t="s">
        <v>457</v>
      </c>
      <c r="I843" s="77" t="s">
        <v>30</v>
      </c>
      <c r="J843" s="77"/>
      <c r="K843" s="74" t="s">
        <v>8</v>
      </c>
      <c r="L843" s="75">
        <v>714016.46</v>
      </c>
    </row>
    <row r="844" spans="1:12" ht="91.8" hidden="1" x14ac:dyDescent="0.3">
      <c r="A844" s="69" t="s">
        <v>938</v>
      </c>
      <c r="B844" s="70" t="s">
        <v>1010</v>
      </c>
      <c r="C844" s="70" t="s">
        <v>1134</v>
      </c>
      <c r="D844" s="70" t="s">
        <v>959</v>
      </c>
      <c r="E844" s="71" t="s">
        <v>13</v>
      </c>
      <c r="F844" s="76">
        <v>3135.4</v>
      </c>
      <c r="G844" s="76"/>
      <c r="H844" s="71" t="s">
        <v>457</v>
      </c>
      <c r="I844" s="77" t="s">
        <v>30</v>
      </c>
      <c r="J844" s="77"/>
      <c r="K844" s="74" t="s">
        <v>8</v>
      </c>
      <c r="L844" s="75">
        <v>717151.86</v>
      </c>
    </row>
    <row r="845" spans="1:12" ht="81.599999999999994" hidden="1" x14ac:dyDescent="0.3">
      <c r="A845" s="69" t="s">
        <v>938</v>
      </c>
      <c r="B845" s="70" t="s">
        <v>1010</v>
      </c>
      <c r="C845" s="70" t="s">
        <v>1135</v>
      </c>
      <c r="D845" s="70" t="s">
        <v>959</v>
      </c>
      <c r="E845" s="71" t="s">
        <v>13</v>
      </c>
      <c r="F845" s="76">
        <v>1502.6</v>
      </c>
      <c r="G845" s="76"/>
      <c r="H845" s="71" t="s">
        <v>457</v>
      </c>
      <c r="I845" s="77" t="s">
        <v>30</v>
      </c>
      <c r="J845" s="77"/>
      <c r="K845" s="74" t="s">
        <v>8</v>
      </c>
      <c r="L845" s="75">
        <v>718654.46</v>
      </c>
    </row>
    <row r="846" spans="1:12" ht="81.599999999999994" hidden="1" x14ac:dyDescent="0.3">
      <c r="A846" s="69" t="s">
        <v>938</v>
      </c>
      <c r="B846" s="70" t="s">
        <v>1010</v>
      </c>
      <c r="C846" s="70" t="s">
        <v>1136</v>
      </c>
      <c r="D846" s="70" t="s">
        <v>959</v>
      </c>
      <c r="E846" s="71" t="s">
        <v>13</v>
      </c>
      <c r="F846" s="76">
        <v>1582.8</v>
      </c>
      <c r="G846" s="76"/>
      <c r="H846" s="71" t="s">
        <v>457</v>
      </c>
      <c r="I846" s="77" t="s">
        <v>30</v>
      </c>
      <c r="J846" s="77"/>
      <c r="K846" s="74" t="s">
        <v>8</v>
      </c>
      <c r="L846" s="75">
        <v>720237.26</v>
      </c>
    </row>
    <row r="847" spans="1:12" ht="81.599999999999994" hidden="1" x14ac:dyDescent="0.3">
      <c r="A847" s="69" t="s">
        <v>938</v>
      </c>
      <c r="B847" s="70" t="s">
        <v>1010</v>
      </c>
      <c r="C847" s="70" t="s">
        <v>1137</v>
      </c>
      <c r="D847" s="70" t="s">
        <v>959</v>
      </c>
      <c r="E847" s="71" t="s">
        <v>13</v>
      </c>
      <c r="F847" s="76">
        <v>3586.4</v>
      </c>
      <c r="G847" s="76"/>
      <c r="H847" s="71" t="s">
        <v>457</v>
      </c>
      <c r="I847" s="77" t="s">
        <v>30</v>
      </c>
      <c r="J847" s="77"/>
      <c r="K847" s="74" t="s">
        <v>8</v>
      </c>
      <c r="L847" s="75">
        <v>723823.66</v>
      </c>
    </row>
    <row r="848" spans="1:12" ht="81.599999999999994" hidden="1" x14ac:dyDescent="0.3">
      <c r="A848" s="69" t="s">
        <v>938</v>
      </c>
      <c r="B848" s="70" t="s">
        <v>1010</v>
      </c>
      <c r="C848" s="70" t="s">
        <v>1138</v>
      </c>
      <c r="D848" s="70" t="s">
        <v>959</v>
      </c>
      <c r="E848" s="71" t="s">
        <v>13</v>
      </c>
      <c r="F848" s="76">
        <v>1975.1</v>
      </c>
      <c r="G848" s="76"/>
      <c r="H848" s="71" t="s">
        <v>457</v>
      </c>
      <c r="I848" s="77" t="s">
        <v>30</v>
      </c>
      <c r="J848" s="77"/>
      <c r="K848" s="74" t="s">
        <v>8</v>
      </c>
      <c r="L848" s="75">
        <v>725798.76</v>
      </c>
    </row>
    <row r="849" spans="1:12" ht="81.599999999999994" hidden="1" x14ac:dyDescent="0.3">
      <c r="A849" s="69" t="s">
        <v>938</v>
      </c>
      <c r="B849" s="70" t="s">
        <v>1010</v>
      </c>
      <c r="C849" s="70" t="s">
        <v>1139</v>
      </c>
      <c r="D849" s="70" t="s">
        <v>959</v>
      </c>
      <c r="E849" s="71" t="s">
        <v>13</v>
      </c>
      <c r="F849" s="76">
        <v>1049.9000000000001</v>
      </c>
      <c r="G849" s="76"/>
      <c r="H849" s="71" t="s">
        <v>457</v>
      </c>
      <c r="I849" s="77" t="s">
        <v>30</v>
      </c>
      <c r="J849" s="77"/>
      <c r="K849" s="74" t="s">
        <v>8</v>
      </c>
      <c r="L849" s="75">
        <v>726848.66</v>
      </c>
    </row>
    <row r="850" spans="1:12" ht="81.599999999999994" hidden="1" x14ac:dyDescent="0.3">
      <c r="A850" s="69" t="s">
        <v>938</v>
      </c>
      <c r="B850" s="70" t="s">
        <v>1010</v>
      </c>
      <c r="C850" s="70" t="s">
        <v>1140</v>
      </c>
      <c r="D850" s="70" t="s">
        <v>959</v>
      </c>
      <c r="E850" s="71" t="s">
        <v>13</v>
      </c>
      <c r="F850" s="76">
        <v>1863.1</v>
      </c>
      <c r="G850" s="76"/>
      <c r="H850" s="71" t="s">
        <v>457</v>
      </c>
      <c r="I850" s="77" t="s">
        <v>30</v>
      </c>
      <c r="J850" s="77"/>
      <c r="K850" s="74" t="s">
        <v>8</v>
      </c>
      <c r="L850" s="75">
        <v>728711.76</v>
      </c>
    </row>
    <row r="851" spans="1:12" ht="81.599999999999994" hidden="1" x14ac:dyDescent="0.3">
      <c r="A851" s="69" t="s">
        <v>938</v>
      </c>
      <c r="B851" s="70" t="s">
        <v>1010</v>
      </c>
      <c r="C851" s="70" t="s">
        <v>1140</v>
      </c>
      <c r="D851" s="70" t="s">
        <v>959</v>
      </c>
      <c r="E851" s="71" t="s">
        <v>13</v>
      </c>
      <c r="F851" s="76">
        <v>1942.5</v>
      </c>
      <c r="G851" s="76"/>
      <c r="H851" s="71" t="s">
        <v>457</v>
      </c>
      <c r="I851" s="77" t="s">
        <v>30</v>
      </c>
      <c r="J851" s="77"/>
      <c r="K851" s="74" t="s">
        <v>8</v>
      </c>
      <c r="L851" s="75">
        <v>730654.26</v>
      </c>
    </row>
    <row r="852" spans="1:12" ht="81.599999999999994" hidden="1" x14ac:dyDescent="0.3">
      <c r="A852" s="69" t="s">
        <v>938</v>
      </c>
      <c r="B852" s="70" t="s">
        <v>1010</v>
      </c>
      <c r="C852" s="70" t="s">
        <v>1141</v>
      </c>
      <c r="D852" s="70" t="s">
        <v>959</v>
      </c>
      <c r="E852" s="71" t="s">
        <v>13</v>
      </c>
      <c r="F852" s="79">
        <v>842.6</v>
      </c>
      <c r="G852" s="79"/>
      <c r="H852" s="71" t="s">
        <v>457</v>
      </c>
      <c r="I852" s="77" t="s">
        <v>30</v>
      </c>
      <c r="J852" s="77"/>
      <c r="K852" s="74" t="s">
        <v>8</v>
      </c>
      <c r="L852" s="75">
        <v>731496.86</v>
      </c>
    </row>
    <row r="853" spans="1:12" ht="81.599999999999994" hidden="1" x14ac:dyDescent="0.3">
      <c r="A853" s="69" t="s">
        <v>938</v>
      </c>
      <c r="B853" s="70" t="s">
        <v>1010</v>
      </c>
      <c r="C853" s="70" t="s">
        <v>1142</v>
      </c>
      <c r="D853" s="70" t="s">
        <v>959</v>
      </c>
      <c r="E853" s="71" t="s">
        <v>13</v>
      </c>
      <c r="F853" s="76">
        <v>1227</v>
      </c>
      <c r="G853" s="76"/>
      <c r="H853" s="71" t="s">
        <v>457</v>
      </c>
      <c r="I853" s="77" t="s">
        <v>30</v>
      </c>
      <c r="J853" s="77"/>
      <c r="K853" s="74" t="s">
        <v>8</v>
      </c>
      <c r="L853" s="75">
        <v>732723.86</v>
      </c>
    </row>
    <row r="854" spans="1:12" ht="81.599999999999994" hidden="1" x14ac:dyDescent="0.3">
      <c r="A854" s="69" t="s">
        <v>938</v>
      </c>
      <c r="B854" s="70" t="s">
        <v>1010</v>
      </c>
      <c r="C854" s="70" t="s">
        <v>1143</v>
      </c>
      <c r="D854" s="70" t="s">
        <v>959</v>
      </c>
      <c r="E854" s="71" t="s">
        <v>13</v>
      </c>
      <c r="F854" s="76">
        <v>1451.7</v>
      </c>
      <c r="G854" s="76"/>
      <c r="H854" s="71" t="s">
        <v>457</v>
      </c>
      <c r="I854" s="77" t="s">
        <v>30</v>
      </c>
      <c r="J854" s="77"/>
      <c r="K854" s="74" t="s">
        <v>8</v>
      </c>
      <c r="L854" s="75">
        <v>734175.56</v>
      </c>
    </row>
    <row r="855" spans="1:12" ht="81.599999999999994" hidden="1" x14ac:dyDescent="0.3">
      <c r="A855" s="69" t="s">
        <v>938</v>
      </c>
      <c r="B855" s="70" t="s">
        <v>1010</v>
      </c>
      <c r="C855" s="70" t="s">
        <v>1144</v>
      </c>
      <c r="D855" s="70" t="s">
        <v>959</v>
      </c>
      <c r="E855" s="71" t="s">
        <v>13</v>
      </c>
      <c r="F855" s="79">
        <v>467</v>
      </c>
      <c r="G855" s="79"/>
      <c r="H855" s="71" t="s">
        <v>457</v>
      </c>
      <c r="I855" s="77" t="s">
        <v>30</v>
      </c>
      <c r="J855" s="77"/>
      <c r="K855" s="74" t="s">
        <v>8</v>
      </c>
      <c r="L855" s="75">
        <v>734642.56</v>
      </c>
    </row>
    <row r="856" spans="1:12" ht="81.599999999999994" hidden="1" x14ac:dyDescent="0.3">
      <c r="A856" s="69" t="s">
        <v>938</v>
      </c>
      <c r="B856" s="70" t="s">
        <v>1010</v>
      </c>
      <c r="C856" s="70" t="s">
        <v>1145</v>
      </c>
      <c r="D856" s="70" t="s">
        <v>959</v>
      </c>
      <c r="E856" s="71" t="s">
        <v>13</v>
      </c>
      <c r="F856" s="79">
        <v>303.39999999999998</v>
      </c>
      <c r="G856" s="79"/>
      <c r="H856" s="71" t="s">
        <v>457</v>
      </c>
      <c r="I856" s="77" t="s">
        <v>30</v>
      </c>
      <c r="J856" s="77"/>
      <c r="K856" s="74" t="s">
        <v>8</v>
      </c>
      <c r="L856" s="75">
        <v>734945.96</v>
      </c>
    </row>
    <row r="857" spans="1:12" ht="81.599999999999994" hidden="1" x14ac:dyDescent="0.3">
      <c r="A857" s="69" t="s">
        <v>938</v>
      </c>
      <c r="B857" s="70" t="s">
        <v>1010</v>
      </c>
      <c r="C857" s="70" t="s">
        <v>1146</v>
      </c>
      <c r="D857" s="70" t="s">
        <v>959</v>
      </c>
      <c r="E857" s="71" t="s">
        <v>13</v>
      </c>
      <c r="F857" s="76">
        <v>1019.7</v>
      </c>
      <c r="G857" s="76"/>
      <c r="H857" s="71" t="s">
        <v>457</v>
      </c>
      <c r="I857" s="77" t="s">
        <v>30</v>
      </c>
      <c r="J857" s="77"/>
      <c r="K857" s="74" t="s">
        <v>8</v>
      </c>
      <c r="L857" s="75">
        <v>735965.66</v>
      </c>
    </row>
    <row r="858" spans="1:12" ht="81.599999999999994" hidden="1" x14ac:dyDescent="0.3">
      <c r="A858" s="69" t="s">
        <v>938</v>
      </c>
      <c r="B858" s="70" t="s">
        <v>1010</v>
      </c>
      <c r="C858" s="70" t="s">
        <v>1147</v>
      </c>
      <c r="D858" s="70" t="s">
        <v>959</v>
      </c>
      <c r="E858" s="71" t="s">
        <v>13</v>
      </c>
      <c r="F858" s="76">
        <v>1521.6</v>
      </c>
      <c r="G858" s="76"/>
      <c r="H858" s="71" t="s">
        <v>457</v>
      </c>
      <c r="I858" s="77" t="s">
        <v>30</v>
      </c>
      <c r="J858" s="77"/>
      <c r="K858" s="74" t="s">
        <v>8</v>
      </c>
      <c r="L858" s="75">
        <v>737487.26</v>
      </c>
    </row>
    <row r="859" spans="1:12" ht="81.599999999999994" hidden="1" x14ac:dyDescent="0.3">
      <c r="A859" s="69" t="s">
        <v>938</v>
      </c>
      <c r="B859" s="70" t="s">
        <v>1010</v>
      </c>
      <c r="C859" s="70" t="s">
        <v>1148</v>
      </c>
      <c r="D859" s="70" t="s">
        <v>959</v>
      </c>
      <c r="E859" s="71" t="s">
        <v>13</v>
      </c>
      <c r="F859" s="76">
        <v>1261.9000000000001</v>
      </c>
      <c r="G859" s="76"/>
      <c r="H859" s="71" t="s">
        <v>457</v>
      </c>
      <c r="I859" s="77" t="s">
        <v>30</v>
      </c>
      <c r="J859" s="77"/>
      <c r="K859" s="74" t="s">
        <v>8</v>
      </c>
      <c r="L859" s="75">
        <v>738749.16</v>
      </c>
    </row>
    <row r="860" spans="1:12" ht="91.8" hidden="1" x14ac:dyDescent="0.3">
      <c r="A860" s="69" t="s">
        <v>938</v>
      </c>
      <c r="B860" s="70" t="s">
        <v>1010</v>
      </c>
      <c r="C860" s="70" t="s">
        <v>1149</v>
      </c>
      <c r="D860" s="70" t="s">
        <v>959</v>
      </c>
      <c r="E860" s="71" t="s">
        <v>13</v>
      </c>
      <c r="F860" s="76">
        <v>3826.3</v>
      </c>
      <c r="G860" s="76"/>
      <c r="H860" s="71" t="s">
        <v>457</v>
      </c>
      <c r="I860" s="77" t="s">
        <v>30</v>
      </c>
      <c r="J860" s="77"/>
      <c r="K860" s="74" t="s">
        <v>8</v>
      </c>
      <c r="L860" s="75">
        <v>742575.46</v>
      </c>
    </row>
    <row r="861" spans="1:12" ht="81.599999999999994" hidden="1" x14ac:dyDescent="0.3">
      <c r="A861" s="69" t="s">
        <v>938</v>
      </c>
      <c r="B861" s="70" t="s">
        <v>1010</v>
      </c>
      <c r="C861" s="70" t="s">
        <v>1150</v>
      </c>
      <c r="D861" s="70" t="s">
        <v>959</v>
      </c>
      <c r="E861" s="71" t="s">
        <v>13</v>
      </c>
      <c r="F861" s="76">
        <v>1230.2</v>
      </c>
      <c r="G861" s="76"/>
      <c r="H861" s="71" t="s">
        <v>457</v>
      </c>
      <c r="I861" s="77" t="s">
        <v>30</v>
      </c>
      <c r="J861" s="77"/>
      <c r="K861" s="74" t="s">
        <v>8</v>
      </c>
      <c r="L861" s="75">
        <v>743805.66</v>
      </c>
    </row>
    <row r="862" spans="1:12" ht="81.599999999999994" hidden="1" x14ac:dyDescent="0.3">
      <c r="A862" s="69" t="s">
        <v>938</v>
      </c>
      <c r="B862" s="70" t="s">
        <v>1010</v>
      </c>
      <c r="C862" s="70" t="s">
        <v>1151</v>
      </c>
      <c r="D862" s="70" t="s">
        <v>959</v>
      </c>
      <c r="E862" s="71" t="s">
        <v>13</v>
      </c>
      <c r="F862" s="76">
        <v>6082.5</v>
      </c>
      <c r="G862" s="76"/>
      <c r="H862" s="71" t="s">
        <v>457</v>
      </c>
      <c r="I862" s="77" t="s">
        <v>30</v>
      </c>
      <c r="J862" s="77"/>
      <c r="K862" s="74" t="s">
        <v>8</v>
      </c>
      <c r="L862" s="75">
        <v>749888.16</v>
      </c>
    </row>
    <row r="863" spans="1:12" ht="81.599999999999994" hidden="1" x14ac:dyDescent="0.3">
      <c r="A863" s="69" t="s">
        <v>938</v>
      </c>
      <c r="B863" s="70" t="s">
        <v>1010</v>
      </c>
      <c r="C863" s="70" t="s">
        <v>1151</v>
      </c>
      <c r="D863" s="70" t="s">
        <v>959</v>
      </c>
      <c r="E863" s="71" t="s">
        <v>13</v>
      </c>
      <c r="F863" s="76">
        <v>6042</v>
      </c>
      <c r="G863" s="76"/>
      <c r="H863" s="71" t="s">
        <v>457</v>
      </c>
      <c r="I863" s="77" t="s">
        <v>30</v>
      </c>
      <c r="J863" s="77"/>
      <c r="K863" s="74" t="s">
        <v>8</v>
      </c>
      <c r="L863" s="75">
        <v>755930.16</v>
      </c>
    </row>
    <row r="864" spans="1:12" ht="81.599999999999994" hidden="1" x14ac:dyDescent="0.3">
      <c r="A864" s="69" t="s">
        <v>938</v>
      </c>
      <c r="B864" s="70" t="s">
        <v>1010</v>
      </c>
      <c r="C864" s="70" t="s">
        <v>1152</v>
      </c>
      <c r="D864" s="70" t="s">
        <v>959</v>
      </c>
      <c r="E864" s="71" t="s">
        <v>13</v>
      </c>
      <c r="F864" s="76">
        <v>2072.8000000000002</v>
      </c>
      <c r="G864" s="76"/>
      <c r="H864" s="71" t="s">
        <v>457</v>
      </c>
      <c r="I864" s="77" t="s">
        <v>30</v>
      </c>
      <c r="J864" s="77"/>
      <c r="K864" s="74" t="s">
        <v>8</v>
      </c>
      <c r="L864" s="75">
        <v>758002.96</v>
      </c>
    </row>
    <row r="865" spans="1:12" ht="81.599999999999994" hidden="1" x14ac:dyDescent="0.3">
      <c r="A865" s="69" t="s">
        <v>938</v>
      </c>
      <c r="B865" s="70" t="s">
        <v>1010</v>
      </c>
      <c r="C865" s="70" t="s">
        <v>1152</v>
      </c>
      <c r="D865" s="70" t="s">
        <v>959</v>
      </c>
      <c r="E865" s="71" t="s">
        <v>13</v>
      </c>
      <c r="F865" s="76">
        <v>2064.8000000000002</v>
      </c>
      <c r="G865" s="76"/>
      <c r="H865" s="71" t="s">
        <v>457</v>
      </c>
      <c r="I865" s="77" t="s">
        <v>30</v>
      </c>
      <c r="J865" s="77"/>
      <c r="K865" s="74" t="s">
        <v>8</v>
      </c>
      <c r="L865" s="75">
        <v>760067.76</v>
      </c>
    </row>
    <row r="866" spans="1:12" ht="81.599999999999994" hidden="1" x14ac:dyDescent="0.3">
      <c r="A866" s="69" t="s">
        <v>938</v>
      </c>
      <c r="B866" s="70" t="s">
        <v>1010</v>
      </c>
      <c r="C866" s="70" t="s">
        <v>1153</v>
      </c>
      <c r="D866" s="70" t="s">
        <v>959</v>
      </c>
      <c r="E866" s="71" t="s">
        <v>13</v>
      </c>
      <c r="F866" s="76">
        <v>1918.7</v>
      </c>
      <c r="G866" s="76"/>
      <c r="H866" s="71" t="s">
        <v>457</v>
      </c>
      <c r="I866" s="77" t="s">
        <v>30</v>
      </c>
      <c r="J866" s="77"/>
      <c r="K866" s="74" t="s">
        <v>8</v>
      </c>
      <c r="L866" s="75">
        <v>761986.46</v>
      </c>
    </row>
    <row r="867" spans="1:12" ht="81.599999999999994" hidden="1" x14ac:dyDescent="0.3">
      <c r="A867" s="69" t="s">
        <v>938</v>
      </c>
      <c r="B867" s="70" t="s">
        <v>1010</v>
      </c>
      <c r="C867" s="70" t="s">
        <v>1154</v>
      </c>
      <c r="D867" s="70" t="s">
        <v>959</v>
      </c>
      <c r="E867" s="71" t="s">
        <v>13</v>
      </c>
      <c r="F867" s="76">
        <v>1915.5</v>
      </c>
      <c r="G867" s="76"/>
      <c r="H867" s="71" t="s">
        <v>457</v>
      </c>
      <c r="I867" s="77" t="s">
        <v>30</v>
      </c>
      <c r="J867" s="77"/>
      <c r="K867" s="74" t="s">
        <v>8</v>
      </c>
      <c r="L867" s="75">
        <v>763901.96</v>
      </c>
    </row>
    <row r="868" spans="1:12" ht="81.599999999999994" hidden="1" x14ac:dyDescent="0.3">
      <c r="A868" s="69" t="s">
        <v>938</v>
      </c>
      <c r="B868" s="70" t="s">
        <v>1010</v>
      </c>
      <c r="C868" s="70" t="s">
        <v>1155</v>
      </c>
      <c r="D868" s="70" t="s">
        <v>959</v>
      </c>
      <c r="E868" s="71" t="s">
        <v>13</v>
      </c>
      <c r="F868" s="76">
        <v>1812.3</v>
      </c>
      <c r="G868" s="76"/>
      <c r="H868" s="71" t="s">
        <v>457</v>
      </c>
      <c r="I868" s="77" t="s">
        <v>30</v>
      </c>
      <c r="J868" s="77"/>
      <c r="K868" s="74" t="s">
        <v>8</v>
      </c>
      <c r="L868" s="75">
        <v>765714.26</v>
      </c>
    </row>
    <row r="869" spans="1:12" ht="81.599999999999994" hidden="1" x14ac:dyDescent="0.3">
      <c r="A869" s="69" t="s">
        <v>938</v>
      </c>
      <c r="B869" s="70" t="s">
        <v>1010</v>
      </c>
      <c r="C869" s="70" t="s">
        <v>1156</v>
      </c>
      <c r="D869" s="70" t="s">
        <v>959</v>
      </c>
      <c r="E869" s="71" t="s">
        <v>13</v>
      </c>
      <c r="F869" s="76">
        <v>2365</v>
      </c>
      <c r="G869" s="76"/>
      <c r="H869" s="71" t="s">
        <v>457</v>
      </c>
      <c r="I869" s="77" t="s">
        <v>30</v>
      </c>
      <c r="J869" s="77"/>
      <c r="K869" s="74" t="s">
        <v>8</v>
      </c>
      <c r="L869" s="75">
        <v>768079.26</v>
      </c>
    </row>
    <row r="870" spans="1:12" ht="91.8" hidden="1" x14ac:dyDescent="0.3">
      <c r="A870" s="69" t="s">
        <v>938</v>
      </c>
      <c r="B870" s="70" t="s">
        <v>1010</v>
      </c>
      <c r="C870" s="70" t="s">
        <v>1157</v>
      </c>
      <c r="D870" s="70" t="s">
        <v>959</v>
      </c>
      <c r="E870" s="71" t="s">
        <v>13</v>
      </c>
      <c r="F870" s="76">
        <v>5185.8999999999996</v>
      </c>
      <c r="G870" s="76"/>
      <c r="H870" s="71" t="s">
        <v>457</v>
      </c>
      <c r="I870" s="77" t="s">
        <v>30</v>
      </c>
      <c r="J870" s="77"/>
      <c r="K870" s="74" t="s">
        <v>8</v>
      </c>
      <c r="L870" s="75">
        <v>773265.16</v>
      </c>
    </row>
    <row r="871" spans="1:12" ht="91.8" hidden="1" x14ac:dyDescent="0.3">
      <c r="A871" s="69" t="s">
        <v>938</v>
      </c>
      <c r="B871" s="70" t="s">
        <v>1010</v>
      </c>
      <c r="C871" s="70" t="s">
        <v>1158</v>
      </c>
      <c r="D871" s="70" t="s">
        <v>959</v>
      </c>
      <c r="E871" s="71" t="s">
        <v>13</v>
      </c>
      <c r="F871" s="76">
        <v>3048</v>
      </c>
      <c r="G871" s="76"/>
      <c r="H871" s="71" t="s">
        <v>457</v>
      </c>
      <c r="I871" s="77" t="s">
        <v>30</v>
      </c>
      <c r="J871" s="77"/>
      <c r="K871" s="74" t="s">
        <v>8</v>
      </c>
      <c r="L871" s="75">
        <v>776313.16</v>
      </c>
    </row>
    <row r="872" spans="1:12" ht="91.8" hidden="1" x14ac:dyDescent="0.3">
      <c r="A872" s="69" t="s">
        <v>938</v>
      </c>
      <c r="B872" s="70" t="s">
        <v>1010</v>
      </c>
      <c r="C872" s="70" t="s">
        <v>1158</v>
      </c>
      <c r="D872" s="70" t="s">
        <v>959</v>
      </c>
      <c r="E872" s="71" t="s">
        <v>13</v>
      </c>
      <c r="F872" s="76">
        <v>2936.8</v>
      </c>
      <c r="G872" s="76"/>
      <c r="H872" s="71" t="s">
        <v>457</v>
      </c>
      <c r="I872" s="77" t="s">
        <v>30</v>
      </c>
      <c r="J872" s="77"/>
      <c r="K872" s="74" t="s">
        <v>8</v>
      </c>
      <c r="L872" s="75">
        <v>779249.96</v>
      </c>
    </row>
    <row r="873" spans="1:12" ht="81.599999999999994" hidden="1" x14ac:dyDescent="0.3">
      <c r="A873" s="69" t="s">
        <v>938</v>
      </c>
      <c r="B873" s="70" t="s">
        <v>1010</v>
      </c>
      <c r="C873" s="70" t="s">
        <v>1159</v>
      </c>
      <c r="D873" s="70" t="s">
        <v>959</v>
      </c>
      <c r="E873" s="71" t="s">
        <v>13</v>
      </c>
      <c r="F873" s="76">
        <v>5422.6</v>
      </c>
      <c r="G873" s="76"/>
      <c r="H873" s="71" t="s">
        <v>457</v>
      </c>
      <c r="I873" s="77" t="s">
        <v>30</v>
      </c>
      <c r="J873" s="77"/>
      <c r="K873" s="74" t="s">
        <v>8</v>
      </c>
      <c r="L873" s="75">
        <v>784672.56</v>
      </c>
    </row>
    <row r="874" spans="1:12" ht="81.599999999999994" hidden="1" x14ac:dyDescent="0.3">
      <c r="A874" s="69" t="s">
        <v>938</v>
      </c>
      <c r="B874" s="70" t="s">
        <v>1010</v>
      </c>
      <c r="C874" s="70" t="s">
        <v>1160</v>
      </c>
      <c r="D874" s="70" t="s">
        <v>959</v>
      </c>
      <c r="E874" s="71" t="s">
        <v>13</v>
      </c>
      <c r="F874" s="76">
        <v>2558.8000000000002</v>
      </c>
      <c r="G874" s="76"/>
      <c r="H874" s="71" t="s">
        <v>457</v>
      </c>
      <c r="I874" s="77" t="s">
        <v>30</v>
      </c>
      <c r="J874" s="77"/>
      <c r="K874" s="74" t="s">
        <v>8</v>
      </c>
      <c r="L874" s="75">
        <v>787231.36</v>
      </c>
    </row>
    <row r="875" spans="1:12" ht="81.599999999999994" hidden="1" x14ac:dyDescent="0.3">
      <c r="A875" s="69" t="s">
        <v>938</v>
      </c>
      <c r="B875" s="70" t="s">
        <v>1010</v>
      </c>
      <c r="C875" s="70" t="s">
        <v>1161</v>
      </c>
      <c r="D875" s="70" t="s">
        <v>959</v>
      </c>
      <c r="E875" s="71" t="s">
        <v>13</v>
      </c>
      <c r="F875" s="76">
        <v>1676.5</v>
      </c>
      <c r="G875" s="76"/>
      <c r="H875" s="71" t="s">
        <v>457</v>
      </c>
      <c r="I875" s="77" t="s">
        <v>30</v>
      </c>
      <c r="J875" s="77"/>
      <c r="K875" s="74" t="s">
        <v>8</v>
      </c>
      <c r="L875" s="75">
        <v>788907.86</v>
      </c>
    </row>
    <row r="876" spans="1:12" ht="81.599999999999994" hidden="1" x14ac:dyDescent="0.3">
      <c r="A876" s="69" t="s">
        <v>938</v>
      </c>
      <c r="B876" s="70" t="s">
        <v>1010</v>
      </c>
      <c r="C876" s="70" t="s">
        <v>1162</v>
      </c>
      <c r="D876" s="70" t="s">
        <v>959</v>
      </c>
      <c r="E876" s="71" t="s">
        <v>13</v>
      </c>
      <c r="F876" s="76">
        <v>3097.3</v>
      </c>
      <c r="G876" s="76"/>
      <c r="H876" s="71" t="s">
        <v>457</v>
      </c>
      <c r="I876" s="77" t="s">
        <v>30</v>
      </c>
      <c r="J876" s="77"/>
      <c r="K876" s="74" t="s">
        <v>8</v>
      </c>
      <c r="L876" s="75">
        <v>792005.16</v>
      </c>
    </row>
    <row r="877" spans="1:12" ht="81.599999999999994" hidden="1" x14ac:dyDescent="0.3">
      <c r="A877" s="69" t="s">
        <v>938</v>
      </c>
      <c r="B877" s="70" t="s">
        <v>1010</v>
      </c>
      <c r="C877" s="70" t="s">
        <v>1163</v>
      </c>
      <c r="D877" s="70" t="s">
        <v>959</v>
      </c>
      <c r="E877" s="71" t="s">
        <v>13</v>
      </c>
      <c r="F877" s="76">
        <v>1502.6</v>
      </c>
      <c r="G877" s="76"/>
      <c r="H877" s="71" t="s">
        <v>457</v>
      </c>
      <c r="I877" s="77" t="s">
        <v>30</v>
      </c>
      <c r="J877" s="77"/>
      <c r="K877" s="74" t="s">
        <v>8</v>
      </c>
      <c r="L877" s="75">
        <v>793507.76</v>
      </c>
    </row>
    <row r="878" spans="1:12" ht="81.599999999999994" hidden="1" x14ac:dyDescent="0.3">
      <c r="A878" s="69" t="s">
        <v>938</v>
      </c>
      <c r="B878" s="70" t="s">
        <v>1010</v>
      </c>
      <c r="C878" s="70" t="s">
        <v>1164</v>
      </c>
      <c r="D878" s="70" t="s">
        <v>959</v>
      </c>
      <c r="E878" s="71" t="s">
        <v>13</v>
      </c>
      <c r="F878" s="76">
        <v>2211</v>
      </c>
      <c r="G878" s="76"/>
      <c r="H878" s="71" t="s">
        <v>457</v>
      </c>
      <c r="I878" s="77" t="s">
        <v>30</v>
      </c>
      <c r="J878" s="77"/>
      <c r="K878" s="74" t="s">
        <v>8</v>
      </c>
      <c r="L878" s="75">
        <v>795718.76</v>
      </c>
    </row>
    <row r="879" spans="1:12" ht="81.599999999999994" hidden="1" x14ac:dyDescent="0.3">
      <c r="A879" s="69" t="s">
        <v>938</v>
      </c>
      <c r="B879" s="70" t="s">
        <v>1010</v>
      </c>
      <c r="C879" s="70" t="s">
        <v>1165</v>
      </c>
      <c r="D879" s="70" t="s">
        <v>959</v>
      </c>
      <c r="E879" s="71" t="s">
        <v>13</v>
      </c>
      <c r="F879" s="76">
        <v>1560.5</v>
      </c>
      <c r="G879" s="76"/>
      <c r="H879" s="71" t="s">
        <v>457</v>
      </c>
      <c r="I879" s="77" t="s">
        <v>30</v>
      </c>
      <c r="J879" s="77"/>
      <c r="K879" s="74" t="s">
        <v>8</v>
      </c>
      <c r="L879" s="75">
        <v>797279.26</v>
      </c>
    </row>
    <row r="880" spans="1:12" ht="81.599999999999994" hidden="1" x14ac:dyDescent="0.3">
      <c r="A880" s="69" t="s">
        <v>938</v>
      </c>
      <c r="B880" s="70" t="s">
        <v>1010</v>
      </c>
      <c r="C880" s="70" t="s">
        <v>1166</v>
      </c>
      <c r="D880" s="70" t="s">
        <v>959</v>
      </c>
      <c r="E880" s="71" t="s">
        <v>13</v>
      </c>
      <c r="F880" s="76">
        <v>2505.6</v>
      </c>
      <c r="G880" s="76"/>
      <c r="H880" s="71" t="s">
        <v>457</v>
      </c>
      <c r="I880" s="77" t="s">
        <v>30</v>
      </c>
      <c r="J880" s="77"/>
      <c r="K880" s="74" t="s">
        <v>8</v>
      </c>
      <c r="L880" s="75">
        <v>799784.86</v>
      </c>
    </row>
    <row r="881" spans="1:12" ht="81.599999999999994" hidden="1" x14ac:dyDescent="0.3">
      <c r="A881" s="69" t="s">
        <v>938</v>
      </c>
      <c r="B881" s="70" t="s">
        <v>1010</v>
      </c>
      <c r="C881" s="70" t="s">
        <v>1167</v>
      </c>
      <c r="D881" s="70" t="s">
        <v>959</v>
      </c>
      <c r="E881" s="71" t="s">
        <v>13</v>
      </c>
      <c r="F881" s="79">
        <v>825.1</v>
      </c>
      <c r="G881" s="79"/>
      <c r="H881" s="71" t="s">
        <v>457</v>
      </c>
      <c r="I881" s="77" t="s">
        <v>30</v>
      </c>
      <c r="J881" s="77"/>
      <c r="K881" s="74" t="s">
        <v>8</v>
      </c>
      <c r="L881" s="75">
        <v>800609.96</v>
      </c>
    </row>
    <row r="882" spans="1:12" ht="81.599999999999994" hidden="1" x14ac:dyDescent="0.3">
      <c r="A882" s="69" t="s">
        <v>938</v>
      </c>
      <c r="B882" s="70" t="s">
        <v>1010</v>
      </c>
      <c r="C882" s="70" t="s">
        <v>1168</v>
      </c>
      <c r="D882" s="70" t="s">
        <v>959</v>
      </c>
      <c r="E882" s="71" t="s">
        <v>13</v>
      </c>
      <c r="F882" s="76">
        <v>1184.0999999999999</v>
      </c>
      <c r="G882" s="76"/>
      <c r="H882" s="71" t="s">
        <v>457</v>
      </c>
      <c r="I882" s="77" t="s">
        <v>30</v>
      </c>
      <c r="J882" s="77"/>
      <c r="K882" s="74" t="s">
        <v>8</v>
      </c>
      <c r="L882" s="75">
        <v>801794.06</v>
      </c>
    </row>
    <row r="883" spans="1:12" ht="81.599999999999994" hidden="1" x14ac:dyDescent="0.3">
      <c r="A883" s="69" t="s">
        <v>938</v>
      </c>
      <c r="B883" s="70" t="s">
        <v>1010</v>
      </c>
      <c r="C883" s="70" t="s">
        <v>1169</v>
      </c>
      <c r="D883" s="70" t="s">
        <v>959</v>
      </c>
      <c r="E883" s="71" t="s">
        <v>13</v>
      </c>
      <c r="F883" s="76">
        <v>1594.7</v>
      </c>
      <c r="G883" s="76"/>
      <c r="H883" s="71" t="s">
        <v>457</v>
      </c>
      <c r="I883" s="77" t="s">
        <v>30</v>
      </c>
      <c r="J883" s="77"/>
      <c r="K883" s="74" t="s">
        <v>8</v>
      </c>
      <c r="L883" s="75">
        <v>803388.76</v>
      </c>
    </row>
    <row r="884" spans="1:12" ht="81.599999999999994" hidden="1" x14ac:dyDescent="0.3">
      <c r="A884" s="69" t="s">
        <v>938</v>
      </c>
      <c r="B884" s="70" t="s">
        <v>1010</v>
      </c>
      <c r="C884" s="70" t="s">
        <v>1170</v>
      </c>
      <c r="D884" s="70" t="s">
        <v>959</v>
      </c>
      <c r="E884" s="71" t="s">
        <v>13</v>
      </c>
      <c r="F884" s="76">
        <v>1211.9000000000001</v>
      </c>
      <c r="G884" s="76"/>
      <c r="H884" s="71" t="s">
        <v>457</v>
      </c>
      <c r="I884" s="77" t="s">
        <v>30</v>
      </c>
      <c r="J884" s="77"/>
      <c r="K884" s="74" t="s">
        <v>8</v>
      </c>
      <c r="L884" s="75">
        <v>804600.66</v>
      </c>
    </row>
    <row r="885" spans="1:12" ht="81.599999999999994" hidden="1" x14ac:dyDescent="0.3">
      <c r="A885" s="69" t="s">
        <v>938</v>
      </c>
      <c r="B885" s="70" t="s">
        <v>1010</v>
      </c>
      <c r="C885" s="70" t="s">
        <v>1171</v>
      </c>
      <c r="D885" s="70" t="s">
        <v>959</v>
      </c>
      <c r="E885" s="71" t="s">
        <v>13</v>
      </c>
      <c r="F885" s="79">
        <v>984</v>
      </c>
      <c r="G885" s="79"/>
      <c r="H885" s="71" t="s">
        <v>457</v>
      </c>
      <c r="I885" s="77" t="s">
        <v>30</v>
      </c>
      <c r="J885" s="77"/>
      <c r="K885" s="74" t="s">
        <v>8</v>
      </c>
      <c r="L885" s="75">
        <v>805584.66</v>
      </c>
    </row>
    <row r="886" spans="1:12" ht="81.599999999999994" hidden="1" x14ac:dyDescent="0.3">
      <c r="A886" s="69" t="s">
        <v>938</v>
      </c>
      <c r="B886" s="70" t="s">
        <v>1010</v>
      </c>
      <c r="C886" s="70" t="s">
        <v>1172</v>
      </c>
      <c r="D886" s="70" t="s">
        <v>959</v>
      </c>
      <c r="E886" s="71" t="s">
        <v>13</v>
      </c>
      <c r="F886" s="76">
        <v>47275.199999999997</v>
      </c>
      <c r="G886" s="76"/>
      <c r="H886" s="71" t="s">
        <v>457</v>
      </c>
      <c r="I886" s="77" t="s">
        <v>30</v>
      </c>
      <c r="J886" s="77"/>
      <c r="K886" s="74" t="s">
        <v>8</v>
      </c>
      <c r="L886" s="75">
        <v>852859.86</v>
      </c>
    </row>
    <row r="887" spans="1:12" ht="71.400000000000006" hidden="1" x14ac:dyDescent="0.3">
      <c r="A887" s="69" t="s">
        <v>938</v>
      </c>
      <c r="B887" s="70" t="s">
        <v>1010</v>
      </c>
      <c r="C887" s="70" t="s">
        <v>1173</v>
      </c>
      <c r="D887" s="70" t="s">
        <v>959</v>
      </c>
      <c r="E887" s="71" t="s">
        <v>13</v>
      </c>
      <c r="F887" s="76">
        <v>24656</v>
      </c>
      <c r="G887" s="76"/>
      <c r="H887" s="71" t="s">
        <v>457</v>
      </c>
      <c r="I887" s="77" t="s">
        <v>30</v>
      </c>
      <c r="J887" s="77"/>
      <c r="K887" s="74" t="s">
        <v>8</v>
      </c>
      <c r="L887" s="75">
        <v>877515.86</v>
      </c>
    </row>
    <row r="888" spans="1:12" ht="81.599999999999994" hidden="1" x14ac:dyDescent="0.3">
      <c r="A888" s="69" t="s">
        <v>938</v>
      </c>
      <c r="B888" s="70" t="s">
        <v>1010</v>
      </c>
      <c r="C888" s="70" t="s">
        <v>1174</v>
      </c>
      <c r="D888" s="70" t="s">
        <v>959</v>
      </c>
      <c r="E888" s="71" t="s">
        <v>13</v>
      </c>
      <c r="F888" s="76">
        <v>1661.4</v>
      </c>
      <c r="G888" s="76"/>
      <c r="H888" s="71" t="s">
        <v>457</v>
      </c>
      <c r="I888" s="77" t="s">
        <v>30</v>
      </c>
      <c r="J888" s="77"/>
      <c r="K888" s="74" t="s">
        <v>8</v>
      </c>
      <c r="L888" s="75">
        <v>879177.26</v>
      </c>
    </row>
    <row r="889" spans="1:12" ht="81.599999999999994" hidden="1" x14ac:dyDescent="0.3">
      <c r="A889" s="69" t="s">
        <v>938</v>
      </c>
      <c r="B889" s="70" t="s">
        <v>1010</v>
      </c>
      <c r="C889" s="70" t="s">
        <v>1175</v>
      </c>
      <c r="D889" s="70" t="s">
        <v>959</v>
      </c>
      <c r="E889" s="71" t="s">
        <v>13</v>
      </c>
      <c r="F889" s="76">
        <v>43688</v>
      </c>
      <c r="G889" s="76"/>
      <c r="H889" s="71" t="s">
        <v>457</v>
      </c>
      <c r="I889" s="77" t="s">
        <v>30</v>
      </c>
      <c r="J889" s="77"/>
      <c r="K889" s="74" t="s">
        <v>8</v>
      </c>
      <c r="L889" s="75">
        <v>922865.26</v>
      </c>
    </row>
    <row r="890" spans="1:12" ht="81.599999999999994" hidden="1" x14ac:dyDescent="0.3">
      <c r="A890" s="69" t="s">
        <v>938</v>
      </c>
      <c r="B890" s="70" t="s">
        <v>1010</v>
      </c>
      <c r="C890" s="70" t="s">
        <v>1176</v>
      </c>
      <c r="D890" s="70" t="s">
        <v>959</v>
      </c>
      <c r="E890" s="71" t="s">
        <v>13</v>
      </c>
      <c r="F890" s="79">
        <v>273.2</v>
      </c>
      <c r="G890" s="79"/>
      <c r="H890" s="71" t="s">
        <v>457</v>
      </c>
      <c r="I890" s="77" t="s">
        <v>30</v>
      </c>
      <c r="J890" s="77"/>
      <c r="K890" s="74" t="s">
        <v>8</v>
      </c>
      <c r="L890" s="75">
        <v>923138.46</v>
      </c>
    </row>
    <row r="891" spans="1:12" ht="81.599999999999994" hidden="1" x14ac:dyDescent="0.3">
      <c r="A891" s="69" t="s">
        <v>938</v>
      </c>
      <c r="B891" s="70" t="s">
        <v>1010</v>
      </c>
      <c r="C891" s="70" t="s">
        <v>1177</v>
      </c>
      <c r="D891" s="70" t="s">
        <v>959</v>
      </c>
      <c r="E891" s="71" t="s">
        <v>13</v>
      </c>
      <c r="F891" s="76">
        <v>7761</v>
      </c>
      <c r="G891" s="76"/>
      <c r="H891" s="71" t="s">
        <v>457</v>
      </c>
      <c r="I891" s="77" t="s">
        <v>30</v>
      </c>
      <c r="J891" s="77"/>
      <c r="K891" s="74" t="s">
        <v>8</v>
      </c>
      <c r="L891" s="75">
        <v>930899.46</v>
      </c>
    </row>
    <row r="892" spans="1:12" ht="71.400000000000006" hidden="1" x14ac:dyDescent="0.3">
      <c r="A892" s="69" t="s">
        <v>938</v>
      </c>
      <c r="B892" s="70" t="s">
        <v>1010</v>
      </c>
      <c r="C892" s="70" t="s">
        <v>1178</v>
      </c>
      <c r="D892" s="70" t="s">
        <v>959</v>
      </c>
      <c r="E892" s="71" t="s">
        <v>13</v>
      </c>
      <c r="F892" s="76">
        <v>7408.8</v>
      </c>
      <c r="G892" s="76"/>
      <c r="H892" s="71" t="s">
        <v>457</v>
      </c>
      <c r="I892" s="77" t="s">
        <v>30</v>
      </c>
      <c r="J892" s="77"/>
      <c r="K892" s="74" t="s">
        <v>8</v>
      </c>
      <c r="L892" s="75">
        <v>938308.26</v>
      </c>
    </row>
    <row r="893" spans="1:12" ht="71.400000000000006" hidden="1" x14ac:dyDescent="0.3">
      <c r="A893" s="69" t="s">
        <v>938</v>
      </c>
      <c r="B893" s="70" t="s">
        <v>1179</v>
      </c>
      <c r="C893" s="70" t="s">
        <v>1180</v>
      </c>
      <c r="D893" s="70" t="s">
        <v>1181</v>
      </c>
      <c r="E893" s="71" t="s">
        <v>13</v>
      </c>
      <c r="F893" s="76">
        <v>3212.8</v>
      </c>
      <c r="G893" s="76"/>
      <c r="H893" s="71" t="s">
        <v>457</v>
      </c>
      <c r="I893" s="77" t="s">
        <v>30</v>
      </c>
      <c r="J893" s="77"/>
      <c r="K893" s="74" t="s">
        <v>8</v>
      </c>
      <c r="L893" s="75">
        <v>2999701.44</v>
      </c>
    </row>
    <row r="894" spans="1:12" ht="71.400000000000006" hidden="1" x14ac:dyDescent="0.3">
      <c r="A894" s="69" t="s">
        <v>938</v>
      </c>
      <c r="B894" s="70" t="s">
        <v>1179</v>
      </c>
      <c r="C894" s="70" t="s">
        <v>1182</v>
      </c>
      <c r="D894" s="70" t="s">
        <v>1181</v>
      </c>
      <c r="E894" s="71" t="s">
        <v>13</v>
      </c>
      <c r="F894" s="76">
        <v>3478.7</v>
      </c>
      <c r="G894" s="76"/>
      <c r="H894" s="71" t="s">
        <v>457</v>
      </c>
      <c r="I894" s="77" t="s">
        <v>30</v>
      </c>
      <c r="J894" s="77"/>
      <c r="K894" s="74" t="s">
        <v>8</v>
      </c>
      <c r="L894" s="75">
        <v>3003180.14</v>
      </c>
    </row>
    <row r="895" spans="1:12" ht="71.400000000000006" hidden="1" x14ac:dyDescent="0.3">
      <c r="A895" s="69" t="s">
        <v>938</v>
      </c>
      <c r="B895" s="70" t="s">
        <v>1179</v>
      </c>
      <c r="C895" s="70" t="s">
        <v>1183</v>
      </c>
      <c r="D895" s="70" t="s">
        <v>1181</v>
      </c>
      <c r="E895" s="71" t="s">
        <v>13</v>
      </c>
      <c r="F895" s="76">
        <v>2706.2</v>
      </c>
      <c r="G895" s="76"/>
      <c r="H895" s="71" t="s">
        <v>457</v>
      </c>
      <c r="I895" s="77" t="s">
        <v>30</v>
      </c>
      <c r="J895" s="77"/>
      <c r="K895" s="74" t="s">
        <v>8</v>
      </c>
      <c r="L895" s="75">
        <v>3005886.34</v>
      </c>
    </row>
    <row r="896" spans="1:12" ht="71.400000000000006" hidden="1" x14ac:dyDescent="0.3">
      <c r="A896" s="69" t="s">
        <v>938</v>
      </c>
      <c r="B896" s="70" t="s">
        <v>1179</v>
      </c>
      <c r="C896" s="70" t="s">
        <v>1184</v>
      </c>
      <c r="D896" s="70" t="s">
        <v>1181</v>
      </c>
      <c r="E896" s="71" t="s">
        <v>13</v>
      </c>
      <c r="F896" s="76">
        <v>4748</v>
      </c>
      <c r="G896" s="76"/>
      <c r="H896" s="71" t="s">
        <v>457</v>
      </c>
      <c r="I896" s="77" t="s">
        <v>30</v>
      </c>
      <c r="J896" s="77"/>
      <c r="K896" s="74" t="s">
        <v>8</v>
      </c>
      <c r="L896" s="75">
        <v>3010634.34</v>
      </c>
    </row>
    <row r="897" spans="1:12" ht="71.400000000000006" hidden="1" x14ac:dyDescent="0.3">
      <c r="A897" s="69" t="s">
        <v>938</v>
      </c>
      <c r="B897" s="70" t="s">
        <v>1179</v>
      </c>
      <c r="C897" s="70" t="s">
        <v>1185</v>
      </c>
      <c r="D897" s="70" t="s">
        <v>1181</v>
      </c>
      <c r="E897" s="71" t="s">
        <v>13</v>
      </c>
      <c r="F897" s="76">
        <v>4536.8</v>
      </c>
      <c r="G897" s="76"/>
      <c r="H897" s="71" t="s">
        <v>457</v>
      </c>
      <c r="I897" s="77" t="s">
        <v>30</v>
      </c>
      <c r="J897" s="77"/>
      <c r="K897" s="74" t="s">
        <v>8</v>
      </c>
      <c r="L897" s="75">
        <v>3015171.14</v>
      </c>
    </row>
    <row r="898" spans="1:12" ht="71.400000000000006" hidden="1" x14ac:dyDescent="0.3">
      <c r="A898" s="69" t="s">
        <v>938</v>
      </c>
      <c r="B898" s="70" t="s">
        <v>1179</v>
      </c>
      <c r="C898" s="70" t="s">
        <v>1185</v>
      </c>
      <c r="D898" s="70" t="s">
        <v>1181</v>
      </c>
      <c r="E898" s="71" t="s">
        <v>13</v>
      </c>
      <c r="F898" s="76">
        <v>3500.8</v>
      </c>
      <c r="G898" s="76"/>
      <c r="H898" s="71" t="s">
        <v>457</v>
      </c>
      <c r="I898" s="77" t="s">
        <v>30</v>
      </c>
      <c r="J898" s="77"/>
      <c r="K898" s="74" t="s">
        <v>8</v>
      </c>
      <c r="L898" s="75">
        <v>3018671.94</v>
      </c>
    </row>
    <row r="899" spans="1:12" ht="71.400000000000006" hidden="1" x14ac:dyDescent="0.3">
      <c r="A899" s="69" t="s">
        <v>938</v>
      </c>
      <c r="B899" s="70" t="s">
        <v>1179</v>
      </c>
      <c r="C899" s="70" t="s">
        <v>1185</v>
      </c>
      <c r="D899" s="70" t="s">
        <v>1181</v>
      </c>
      <c r="E899" s="71" t="s">
        <v>13</v>
      </c>
      <c r="F899" s="76">
        <v>3184.1</v>
      </c>
      <c r="G899" s="76"/>
      <c r="H899" s="71" t="s">
        <v>457</v>
      </c>
      <c r="I899" s="77" t="s">
        <v>30</v>
      </c>
      <c r="J899" s="77"/>
      <c r="K899" s="74" t="s">
        <v>8</v>
      </c>
      <c r="L899" s="75">
        <v>3021856.04</v>
      </c>
    </row>
    <row r="900" spans="1:12" ht="71.400000000000006" hidden="1" x14ac:dyDescent="0.3">
      <c r="A900" s="69" t="s">
        <v>938</v>
      </c>
      <c r="B900" s="70" t="s">
        <v>1179</v>
      </c>
      <c r="C900" s="70" t="s">
        <v>1186</v>
      </c>
      <c r="D900" s="70" t="s">
        <v>1181</v>
      </c>
      <c r="E900" s="71" t="s">
        <v>13</v>
      </c>
      <c r="F900" s="76">
        <v>2445.1999999999998</v>
      </c>
      <c r="G900" s="76"/>
      <c r="H900" s="71" t="s">
        <v>457</v>
      </c>
      <c r="I900" s="77" t="s">
        <v>30</v>
      </c>
      <c r="J900" s="77"/>
      <c r="K900" s="74" t="s">
        <v>8</v>
      </c>
      <c r="L900" s="75">
        <v>3024301.24</v>
      </c>
    </row>
    <row r="901" spans="1:12" ht="71.400000000000006" hidden="1" x14ac:dyDescent="0.3">
      <c r="A901" s="69" t="s">
        <v>938</v>
      </c>
      <c r="B901" s="70" t="s">
        <v>1179</v>
      </c>
      <c r="C901" s="70" t="s">
        <v>1187</v>
      </c>
      <c r="D901" s="70" t="s">
        <v>1181</v>
      </c>
      <c r="E901" s="71" t="s">
        <v>13</v>
      </c>
      <c r="F901" s="76">
        <v>2333.1</v>
      </c>
      <c r="G901" s="76"/>
      <c r="H901" s="71" t="s">
        <v>457</v>
      </c>
      <c r="I901" s="77" t="s">
        <v>30</v>
      </c>
      <c r="J901" s="77"/>
      <c r="K901" s="74" t="s">
        <v>8</v>
      </c>
      <c r="L901" s="75">
        <v>3026634.34</v>
      </c>
    </row>
    <row r="902" spans="1:12" ht="71.400000000000006" hidden="1" x14ac:dyDescent="0.3">
      <c r="A902" s="69" t="s">
        <v>938</v>
      </c>
      <c r="B902" s="70" t="s">
        <v>1179</v>
      </c>
      <c r="C902" s="70" t="s">
        <v>1188</v>
      </c>
      <c r="D902" s="70" t="s">
        <v>1181</v>
      </c>
      <c r="E902" s="71" t="s">
        <v>13</v>
      </c>
      <c r="F902" s="76">
        <v>2675.1</v>
      </c>
      <c r="G902" s="76"/>
      <c r="H902" s="71" t="s">
        <v>457</v>
      </c>
      <c r="I902" s="77" t="s">
        <v>30</v>
      </c>
      <c r="J902" s="77"/>
      <c r="K902" s="74" t="s">
        <v>8</v>
      </c>
      <c r="L902" s="75">
        <v>3029309.4399999999</v>
      </c>
    </row>
    <row r="903" spans="1:12" ht="71.400000000000006" hidden="1" x14ac:dyDescent="0.3">
      <c r="A903" s="69" t="s">
        <v>938</v>
      </c>
      <c r="B903" s="70" t="s">
        <v>1179</v>
      </c>
      <c r="C903" s="70" t="s">
        <v>1189</v>
      </c>
      <c r="D903" s="70" t="s">
        <v>1181</v>
      </c>
      <c r="E903" s="71" t="s">
        <v>13</v>
      </c>
      <c r="F903" s="76">
        <v>2788.1</v>
      </c>
      <c r="G903" s="76"/>
      <c r="H903" s="71" t="s">
        <v>457</v>
      </c>
      <c r="I903" s="77" t="s">
        <v>30</v>
      </c>
      <c r="J903" s="77"/>
      <c r="K903" s="74" t="s">
        <v>8</v>
      </c>
      <c r="L903" s="75">
        <v>3032097.54</v>
      </c>
    </row>
    <row r="904" spans="1:12" ht="71.400000000000006" hidden="1" x14ac:dyDescent="0.3">
      <c r="A904" s="69" t="s">
        <v>938</v>
      </c>
      <c r="B904" s="70" t="s">
        <v>1179</v>
      </c>
      <c r="C904" s="70" t="s">
        <v>1190</v>
      </c>
      <c r="D904" s="70" t="s">
        <v>1181</v>
      </c>
      <c r="E904" s="71" t="s">
        <v>13</v>
      </c>
      <c r="F904" s="79">
        <v>871.5</v>
      </c>
      <c r="G904" s="79"/>
      <c r="H904" s="71" t="s">
        <v>457</v>
      </c>
      <c r="I904" s="77" t="s">
        <v>30</v>
      </c>
      <c r="J904" s="77"/>
      <c r="K904" s="74" t="s">
        <v>8</v>
      </c>
      <c r="L904" s="75">
        <v>3032969.04</v>
      </c>
    </row>
    <row r="905" spans="1:12" ht="71.400000000000006" hidden="1" x14ac:dyDescent="0.3">
      <c r="A905" s="69" t="s">
        <v>938</v>
      </c>
      <c r="B905" s="70" t="s">
        <v>1179</v>
      </c>
      <c r="C905" s="70" t="s">
        <v>1191</v>
      </c>
      <c r="D905" s="70" t="s">
        <v>1181</v>
      </c>
      <c r="E905" s="71" t="s">
        <v>13</v>
      </c>
      <c r="F905" s="76">
        <v>3259.4</v>
      </c>
      <c r="G905" s="76"/>
      <c r="H905" s="71" t="s">
        <v>457</v>
      </c>
      <c r="I905" s="77" t="s">
        <v>30</v>
      </c>
      <c r="J905" s="77"/>
      <c r="K905" s="74" t="s">
        <v>8</v>
      </c>
      <c r="L905" s="75">
        <v>3036228.44</v>
      </c>
    </row>
    <row r="906" spans="1:12" ht="71.400000000000006" hidden="1" x14ac:dyDescent="0.3">
      <c r="A906" s="69" t="s">
        <v>938</v>
      </c>
      <c r="B906" s="70" t="s">
        <v>1179</v>
      </c>
      <c r="C906" s="70" t="s">
        <v>1192</v>
      </c>
      <c r="D906" s="70" t="s">
        <v>1181</v>
      </c>
      <c r="E906" s="71" t="s">
        <v>13</v>
      </c>
      <c r="F906" s="76">
        <v>3361.7</v>
      </c>
      <c r="G906" s="76"/>
      <c r="H906" s="71" t="s">
        <v>457</v>
      </c>
      <c r="I906" s="77" t="s">
        <v>30</v>
      </c>
      <c r="J906" s="77"/>
      <c r="K906" s="74" t="s">
        <v>8</v>
      </c>
      <c r="L906" s="75">
        <v>3039590.14</v>
      </c>
    </row>
    <row r="907" spans="1:12" ht="71.400000000000006" hidden="1" x14ac:dyDescent="0.3">
      <c r="A907" s="69" t="s">
        <v>938</v>
      </c>
      <c r="B907" s="70" t="s">
        <v>1179</v>
      </c>
      <c r="C907" s="70" t="s">
        <v>1193</v>
      </c>
      <c r="D907" s="70" t="s">
        <v>1181</v>
      </c>
      <c r="E907" s="71" t="s">
        <v>13</v>
      </c>
      <c r="F907" s="76">
        <v>2808.5</v>
      </c>
      <c r="G907" s="76"/>
      <c r="H907" s="71" t="s">
        <v>457</v>
      </c>
      <c r="I907" s="77" t="s">
        <v>30</v>
      </c>
      <c r="J907" s="77"/>
      <c r="K907" s="74" t="s">
        <v>8</v>
      </c>
      <c r="L907" s="75">
        <v>3042398.64</v>
      </c>
    </row>
    <row r="908" spans="1:12" ht="71.400000000000006" hidden="1" x14ac:dyDescent="0.3">
      <c r="A908" s="69" t="s">
        <v>938</v>
      </c>
      <c r="B908" s="70" t="s">
        <v>1179</v>
      </c>
      <c r="C908" s="70" t="s">
        <v>1194</v>
      </c>
      <c r="D908" s="70" t="s">
        <v>1181</v>
      </c>
      <c r="E908" s="71" t="s">
        <v>13</v>
      </c>
      <c r="F908" s="76">
        <v>2689</v>
      </c>
      <c r="G908" s="76"/>
      <c r="H908" s="71" t="s">
        <v>457</v>
      </c>
      <c r="I908" s="77" t="s">
        <v>30</v>
      </c>
      <c r="J908" s="77"/>
      <c r="K908" s="74" t="s">
        <v>8</v>
      </c>
      <c r="L908" s="75">
        <v>3045087.64</v>
      </c>
    </row>
    <row r="909" spans="1:12" ht="71.400000000000006" hidden="1" x14ac:dyDescent="0.3">
      <c r="A909" s="69" t="s">
        <v>938</v>
      </c>
      <c r="B909" s="70" t="s">
        <v>1179</v>
      </c>
      <c r="C909" s="70" t="s">
        <v>1195</v>
      </c>
      <c r="D909" s="70" t="s">
        <v>1181</v>
      </c>
      <c r="E909" s="71" t="s">
        <v>13</v>
      </c>
      <c r="F909" s="76">
        <v>2304.4</v>
      </c>
      <c r="G909" s="76"/>
      <c r="H909" s="71" t="s">
        <v>457</v>
      </c>
      <c r="I909" s="77" t="s">
        <v>30</v>
      </c>
      <c r="J909" s="77"/>
      <c r="K909" s="74" t="s">
        <v>8</v>
      </c>
      <c r="L909" s="75">
        <v>3047392.04</v>
      </c>
    </row>
    <row r="910" spans="1:12" ht="71.400000000000006" hidden="1" x14ac:dyDescent="0.3">
      <c r="A910" s="69" t="s">
        <v>938</v>
      </c>
      <c r="B910" s="70" t="s">
        <v>1179</v>
      </c>
      <c r="C910" s="70" t="s">
        <v>1196</v>
      </c>
      <c r="D910" s="70" t="s">
        <v>1181</v>
      </c>
      <c r="E910" s="71" t="s">
        <v>13</v>
      </c>
      <c r="F910" s="76">
        <v>2203</v>
      </c>
      <c r="G910" s="76"/>
      <c r="H910" s="71" t="s">
        <v>457</v>
      </c>
      <c r="I910" s="77" t="s">
        <v>30</v>
      </c>
      <c r="J910" s="77"/>
      <c r="K910" s="74" t="s">
        <v>8</v>
      </c>
      <c r="L910" s="75">
        <v>3049595.04</v>
      </c>
    </row>
    <row r="911" spans="1:12" ht="71.400000000000006" hidden="1" x14ac:dyDescent="0.3">
      <c r="A911" s="69" t="s">
        <v>938</v>
      </c>
      <c r="B911" s="70" t="s">
        <v>1179</v>
      </c>
      <c r="C911" s="70" t="s">
        <v>1197</v>
      </c>
      <c r="D911" s="70" t="s">
        <v>1181</v>
      </c>
      <c r="E911" s="71" t="s">
        <v>13</v>
      </c>
      <c r="F911" s="76">
        <v>2540.9</v>
      </c>
      <c r="G911" s="76"/>
      <c r="H911" s="71" t="s">
        <v>457</v>
      </c>
      <c r="I911" s="77" t="s">
        <v>30</v>
      </c>
      <c r="J911" s="77"/>
      <c r="K911" s="74" t="s">
        <v>8</v>
      </c>
      <c r="L911" s="75">
        <v>3052135.94</v>
      </c>
    </row>
    <row r="912" spans="1:12" ht="71.400000000000006" hidden="1" x14ac:dyDescent="0.3">
      <c r="A912" s="69" t="s">
        <v>938</v>
      </c>
      <c r="B912" s="70" t="s">
        <v>1179</v>
      </c>
      <c r="C912" s="70" t="s">
        <v>1198</v>
      </c>
      <c r="D912" s="70" t="s">
        <v>1181</v>
      </c>
      <c r="E912" s="71" t="s">
        <v>13</v>
      </c>
      <c r="F912" s="76">
        <v>4396.1000000000004</v>
      </c>
      <c r="G912" s="76"/>
      <c r="H912" s="71" t="s">
        <v>457</v>
      </c>
      <c r="I912" s="77" t="s">
        <v>30</v>
      </c>
      <c r="J912" s="77"/>
      <c r="K912" s="74" t="s">
        <v>8</v>
      </c>
      <c r="L912" s="75">
        <v>3056532.04</v>
      </c>
    </row>
    <row r="913" spans="1:12" ht="81.599999999999994" hidden="1" x14ac:dyDescent="0.3">
      <c r="A913" s="69" t="s">
        <v>938</v>
      </c>
      <c r="B913" s="70" t="s">
        <v>1179</v>
      </c>
      <c r="C913" s="70" t="s">
        <v>1199</v>
      </c>
      <c r="D913" s="70" t="s">
        <v>1181</v>
      </c>
      <c r="E913" s="71" t="s">
        <v>13</v>
      </c>
      <c r="F913" s="76">
        <v>3437</v>
      </c>
      <c r="G913" s="76"/>
      <c r="H913" s="71" t="s">
        <v>457</v>
      </c>
      <c r="I913" s="77" t="s">
        <v>30</v>
      </c>
      <c r="J913" s="77"/>
      <c r="K913" s="74" t="s">
        <v>8</v>
      </c>
      <c r="L913" s="75">
        <v>3059969.04</v>
      </c>
    </row>
    <row r="914" spans="1:12" ht="81.599999999999994" hidden="1" x14ac:dyDescent="0.3">
      <c r="A914" s="69" t="s">
        <v>938</v>
      </c>
      <c r="B914" s="70" t="s">
        <v>1179</v>
      </c>
      <c r="C914" s="70" t="s">
        <v>1199</v>
      </c>
      <c r="D914" s="70" t="s">
        <v>1181</v>
      </c>
      <c r="E914" s="71" t="s">
        <v>13</v>
      </c>
      <c r="F914" s="76">
        <v>4101.5</v>
      </c>
      <c r="G914" s="76"/>
      <c r="H914" s="71" t="s">
        <v>457</v>
      </c>
      <c r="I914" s="77" t="s">
        <v>30</v>
      </c>
      <c r="J914" s="77"/>
      <c r="K914" s="74" t="s">
        <v>8</v>
      </c>
      <c r="L914" s="75">
        <v>3064070.54</v>
      </c>
    </row>
    <row r="915" spans="1:12" ht="71.400000000000006" hidden="1" x14ac:dyDescent="0.3">
      <c r="A915" s="69" t="s">
        <v>938</v>
      </c>
      <c r="B915" s="70" t="s">
        <v>1179</v>
      </c>
      <c r="C915" s="70" t="s">
        <v>1200</v>
      </c>
      <c r="D915" s="70" t="s">
        <v>1181</v>
      </c>
      <c r="E915" s="71" t="s">
        <v>13</v>
      </c>
      <c r="F915" s="76">
        <v>1864.2</v>
      </c>
      <c r="G915" s="76"/>
      <c r="H915" s="71" t="s">
        <v>457</v>
      </c>
      <c r="I915" s="77" t="s">
        <v>30</v>
      </c>
      <c r="J915" s="77"/>
      <c r="K915" s="74" t="s">
        <v>8</v>
      </c>
      <c r="L915" s="75">
        <v>3065934.74</v>
      </c>
    </row>
    <row r="916" spans="1:12" ht="71.400000000000006" hidden="1" x14ac:dyDescent="0.3">
      <c r="A916" s="69" t="s">
        <v>938</v>
      </c>
      <c r="B916" s="70" t="s">
        <v>1179</v>
      </c>
      <c r="C916" s="70" t="s">
        <v>1201</v>
      </c>
      <c r="D916" s="70" t="s">
        <v>1181</v>
      </c>
      <c r="E916" s="71" t="s">
        <v>13</v>
      </c>
      <c r="F916" s="76">
        <v>1633.4</v>
      </c>
      <c r="G916" s="76"/>
      <c r="H916" s="71" t="s">
        <v>457</v>
      </c>
      <c r="I916" s="77" t="s">
        <v>30</v>
      </c>
      <c r="J916" s="77"/>
      <c r="K916" s="74" t="s">
        <v>8</v>
      </c>
      <c r="L916" s="75">
        <v>3067568.14</v>
      </c>
    </row>
    <row r="917" spans="1:12" ht="71.400000000000006" hidden="1" x14ac:dyDescent="0.3">
      <c r="A917" s="69" t="s">
        <v>938</v>
      </c>
      <c r="B917" s="70" t="s">
        <v>1179</v>
      </c>
      <c r="C917" s="70" t="s">
        <v>1202</v>
      </c>
      <c r="D917" s="70" t="s">
        <v>1181</v>
      </c>
      <c r="E917" s="71" t="s">
        <v>13</v>
      </c>
      <c r="F917" s="76">
        <v>2152.1999999999998</v>
      </c>
      <c r="G917" s="76"/>
      <c r="H917" s="71" t="s">
        <v>457</v>
      </c>
      <c r="I917" s="77" t="s">
        <v>30</v>
      </c>
      <c r="J917" s="77"/>
      <c r="K917" s="74" t="s">
        <v>8</v>
      </c>
      <c r="L917" s="75">
        <v>3069720.34</v>
      </c>
    </row>
    <row r="918" spans="1:12" ht="71.400000000000006" hidden="1" x14ac:dyDescent="0.3">
      <c r="A918" s="69" t="s">
        <v>938</v>
      </c>
      <c r="B918" s="70" t="s">
        <v>1179</v>
      </c>
      <c r="C918" s="70" t="s">
        <v>1203</v>
      </c>
      <c r="D918" s="70" t="s">
        <v>1181</v>
      </c>
      <c r="E918" s="71" t="s">
        <v>13</v>
      </c>
      <c r="F918" s="76">
        <v>1799.5</v>
      </c>
      <c r="G918" s="76"/>
      <c r="H918" s="71" t="s">
        <v>457</v>
      </c>
      <c r="I918" s="77" t="s">
        <v>30</v>
      </c>
      <c r="J918" s="77"/>
      <c r="K918" s="74" t="s">
        <v>8</v>
      </c>
      <c r="L918" s="75">
        <v>3071519.84</v>
      </c>
    </row>
    <row r="919" spans="1:12" ht="71.400000000000006" hidden="1" x14ac:dyDescent="0.3">
      <c r="A919" s="69" t="s">
        <v>938</v>
      </c>
      <c r="B919" s="70" t="s">
        <v>1179</v>
      </c>
      <c r="C919" s="70" t="s">
        <v>1204</v>
      </c>
      <c r="D919" s="70" t="s">
        <v>1181</v>
      </c>
      <c r="E919" s="71" t="s">
        <v>13</v>
      </c>
      <c r="F919" s="79">
        <v>555.6</v>
      </c>
      <c r="G919" s="79"/>
      <c r="H919" s="71" t="s">
        <v>457</v>
      </c>
      <c r="I919" s="77" t="s">
        <v>30</v>
      </c>
      <c r="J919" s="77"/>
      <c r="K919" s="74" t="s">
        <v>8</v>
      </c>
      <c r="L919" s="75">
        <v>3072075.44</v>
      </c>
    </row>
    <row r="920" spans="1:12" ht="71.400000000000006" hidden="1" x14ac:dyDescent="0.3">
      <c r="A920" s="69" t="s">
        <v>938</v>
      </c>
      <c r="B920" s="70" t="s">
        <v>1179</v>
      </c>
      <c r="C920" s="70" t="s">
        <v>1205</v>
      </c>
      <c r="D920" s="70" t="s">
        <v>1181</v>
      </c>
      <c r="E920" s="71" t="s">
        <v>13</v>
      </c>
      <c r="F920" s="76">
        <v>1648.1</v>
      </c>
      <c r="G920" s="76"/>
      <c r="H920" s="71" t="s">
        <v>457</v>
      </c>
      <c r="I920" s="77" t="s">
        <v>30</v>
      </c>
      <c r="J920" s="77"/>
      <c r="K920" s="74" t="s">
        <v>8</v>
      </c>
      <c r="L920" s="75">
        <v>3073723.54</v>
      </c>
    </row>
    <row r="921" spans="1:12" ht="71.400000000000006" hidden="1" x14ac:dyDescent="0.3">
      <c r="A921" s="69" t="s">
        <v>938</v>
      </c>
      <c r="B921" s="70" t="s">
        <v>1179</v>
      </c>
      <c r="C921" s="70" t="s">
        <v>1206</v>
      </c>
      <c r="D921" s="70" t="s">
        <v>1181</v>
      </c>
      <c r="E921" s="71" t="s">
        <v>13</v>
      </c>
      <c r="F921" s="76">
        <v>2117.8000000000002</v>
      </c>
      <c r="G921" s="76"/>
      <c r="H921" s="71" t="s">
        <v>457</v>
      </c>
      <c r="I921" s="77" t="s">
        <v>30</v>
      </c>
      <c r="J921" s="77"/>
      <c r="K921" s="74" t="s">
        <v>8</v>
      </c>
      <c r="L921" s="75">
        <v>3075841.34</v>
      </c>
    </row>
    <row r="922" spans="1:12" ht="71.400000000000006" hidden="1" x14ac:dyDescent="0.3">
      <c r="A922" s="69" t="s">
        <v>938</v>
      </c>
      <c r="B922" s="70" t="s">
        <v>1179</v>
      </c>
      <c r="C922" s="70" t="s">
        <v>1207</v>
      </c>
      <c r="D922" s="70" t="s">
        <v>1181</v>
      </c>
      <c r="E922" s="71" t="s">
        <v>13</v>
      </c>
      <c r="F922" s="76">
        <v>1519.6</v>
      </c>
      <c r="G922" s="76"/>
      <c r="H922" s="71" t="s">
        <v>457</v>
      </c>
      <c r="I922" s="77" t="s">
        <v>30</v>
      </c>
      <c r="J922" s="77"/>
      <c r="K922" s="74" t="s">
        <v>8</v>
      </c>
      <c r="L922" s="75">
        <v>3077360.94</v>
      </c>
    </row>
    <row r="923" spans="1:12" ht="71.400000000000006" hidden="1" x14ac:dyDescent="0.3">
      <c r="A923" s="69" t="s">
        <v>938</v>
      </c>
      <c r="B923" s="70" t="s">
        <v>1179</v>
      </c>
      <c r="C923" s="70" t="s">
        <v>1208</v>
      </c>
      <c r="D923" s="70" t="s">
        <v>1181</v>
      </c>
      <c r="E923" s="71" t="s">
        <v>13</v>
      </c>
      <c r="F923" s="76">
        <v>1593.3</v>
      </c>
      <c r="G923" s="76"/>
      <c r="H923" s="71" t="s">
        <v>457</v>
      </c>
      <c r="I923" s="77" t="s">
        <v>30</v>
      </c>
      <c r="J923" s="77"/>
      <c r="K923" s="74" t="s">
        <v>8</v>
      </c>
      <c r="L923" s="75">
        <v>3078954.24</v>
      </c>
    </row>
    <row r="924" spans="1:12" ht="71.400000000000006" hidden="1" x14ac:dyDescent="0.3">
      <c r="A924" s="69" t="s">
        <v>938</v>
      </c>
      <c r="B924" s="70" t="s">
        <v>1179</v>
      </c>
      <c r="C924" s="70" t="s">
        <v>1209</v>
      </c>
      <c r="D924" s="70" t="s">
        <v>1181</v>
      </c>
      <c r="E924" s="71" t="s">
        <v>13</v>
      </c>
      <c r="F924" s="76">
        <v>1560.6</v>
      </c>
      <c r="G924" s="76"/>
      <c r="H924" s="71" t="s">
        <v>457</v>
      </c>
      <c r="I924" s="77" t="s">
        <v>30</v>
      </c>
      <c r="J924" s="77"/>
      <c r="K924" s="74" t="s">
        <v>8</v>
      </c>
      <c r="L924" s="75">
        <v>3080514.84</v>
      </c>
    </row>
    <row r="925" spans="1:12" ht="71.400000000000006" hidden="1" x14ac:dyDescent="0.3">
      <c r="A925" s="69" t="s">
        <v>938</v>
      </c>
      <c r="B925" s="70" t="s">
        <v>1179</v>
      </c>
      <c r="C925" s="70" t="s">
        <v>1208</v>
      </c>
      <c r="D925" s="70" t="s">
        <v>1181</v>
      </c>
      <c r="E925" s="71" t="s">
        <v>13</v>
      </c>
      <c r="F925" s="76">
        <v>1603.1</v>
      </c>
      <c r="G925" s="76"/>
      <c r="H925" s="71" t="s">
        <v>457</v>
      </c>
      <c r="I925" s="77" t="s">
        <v>30</v>
      </c>
      <c r="J925" s="77"/>
      <c r="K925" s="74" t="s">
        <v>8</v>
      </c>
      <c r="L925" s="75">
        <v>3082117.94</v>
      </c>
    </row>
    <row r="926" spans="1:12" ht="71.400000000000006" hidden="1" x14ac:dyDescent="0.3">
      <c r="A926" s="69" t="s">
        <v>938</v>
      </c>
      <c r="B926" s="70" t="s">
        <v>1179</v>
      </c>
      <c r="C926" s="70" t="s">
        <v>1210</v>
      </c>
      <c r="D926" s="70" t="s">
        <v>1181</v>
      </c>
      <c r="E926" s="71" t="s">
        <v>13</v>
      </c>
      <c r="F926" s="79">
        <v>717.7</v>
      </c>
      <c r="G926" s="79"/>
      <c r="H926" s="71" t="s">
        <v>457</v>
      </c>
      <c r="I926" s="77" t="s">
        <v>30</v>
      </c>
      <c r="J926" s="77"/>
      <c r="K926" s="74" t="s">
        <v>8</v>
      </c>
      <c r="L926" s="75">
        <v>3082835.64</v>
      </c>
    </row>
    <row r="927" spans="1:12" ht="71.400000000000006" hidden="1" x14ac:dyDescent="0.3">
      <c r="A927" s="69" t="s">
        <v>938</v>
      </c>
      <c r="B927" s="70" t="s">
        <v>1179</v>
      </c>
      <c r="C927" s="70" t="s">
        <v>1211</v>
      </c>
      <c r="D927" s="70" t="s">
        <v>1181</v>
      </c>
      <c r="E927" s="71" t="s">
        <v>13</v>
      </c>
      <c r="F927" s="76">
        <v>2931.3</v>
      </c>
      <c r="G927" s="76"/>
      <c r="H927" s="71" t="s">
        <v>457</v>
      </c>
      <c r="I927" s="77" t="s">
        <v>30</v>
      </c>
      <c r="J927" s="77"/>
      <c r="K927" s="74" t="s">
        <v>8</v>
      </c>
      <c r="L927" s="75">
        <v>3085766.94</v>
      </c>
    </row>
    <row r="928" spans="1:12" ht="71.400000000000006" hidden="1" x14ac:dyDescent="0.3">
      <c r="A928" s="69" t="s">
        <v>938</v>
      </c>
      <c r="B928" s="70" t="s">
        <v>1179</v>
      </c>
      <c r="C928" s="70" t="s">
        <v>1212</v>
      </c>
      <c r="D928" s="70" t="s">
        <v>1181</v>
      </c>
      <c r="E928" s="71" t="s">
        <v>13</v>
      </c>
      <c r="F928" s="76">
        <v>2696.4</v>
      </c>
      <c r="G928" s="76"/>
      <c r="H928" s="71" t="s">
        <v>457</v>
      </c>
      <c r="I928" s="77" t="s">
        <v>30</v>
      </c>
      <c r="J928" s="77"/>
      <c r="K928" s="74" t="s">
        <v>8</v>
      </c>
      <c r="L928" s="75">
        <v>3088463.34</v>
      </c>
    </row>
    <row r="929" spans="1:12" ht="71.400000000000006" hidden="1" x14ac:dyDescent="0.3">
      <c r="A929" s="69" t="s">
        <v>938</v>
      </c>
      <c r="B929" s="70" t="s">
        <v>1179</v>
      </c>
      <c r="C929" s="70" t="s">
        <v>1212</v>
      </c>
      <c r="D929" s="70" t="s">
        <v>1181</v>
      </c>
      <c r="E929" s="71" t="s">
        <v>13</v>
      </c>
      <c r="F929" s="76">
        <v>2786.4</v>
      </c>
      <c r="G929" s="76"/>
      <c r="H929" s="71" t="s">
        <v>457</v>
      </c>
      <c r="I929" s="77" t="s">
        <v>30</v>
      </c>
      <c r="J929" s="77"/>
      <c r="K929" s="74" t="s">
        <v>8</v>
      </c>
      <c r="L929" s="75">
        <v>3091249.74</v>
      </c>
    </row>
    <row r="930" spans="1:12" ht="71.400000000000006" hidden="1" x14ac:dyDescent="0.3">
      <c r="A930" s="69" t="s">
        <v>938</v>
      </c>
      <c r="B930" s="70" t="s">
        <v>1179</v>
      </c>
      <c r="C930" s="70" t="s">
        <v>1213</v>
      </c>
      <c r="D930" s="70" t="s">
        <v>1181</v>
      </c>
      <c r="E930" s="71" t="s">
        <v>13</v>
      </c>
      <c r="F930" s="76">
        <v>1873.2</v>
      </c>
      <c r="G930" s="76"/>
      <c r="H930" s="71" t="s">
        <v>457</v>
      </c>
      <c r="I930" s="77" t="s">
        <v>30</v>
      </c>
      <c r="J930" s="77"/>
      <c r="K930" s="74" t="s">
        <v>8</v>
      </c>
      <c r="L930" s="75">
        <v>3093122.94</v>
      </c>
    </row>
    <row r="931" spans="1:12" ht="71.400000000000006" hidden="1" x14ac:dyDescent="0.3">
      <c r="A931" s="69" t="s">
        <v>938</v>
      </c>
      <c r="B931" s="70" t="s">
        <v>1179</v>
      </c>
      <c r="C931" s="70" t="s">
        <v>1214</v>
      </c>
      <c r="D931" s="70" t="s">
        <v>1181</v>
      </c>
      <c r="E931" s="71" t="s">
        <v>13</v>
      </c>
      <c r="F931" s="76">
        <v>2312.6</v>
      </c>
      <c r="G931" s="76"/>
      <c r="H931" s="71" t="s">
        <v>457</v>
      </c>
      <c r="I931" s="77" t="s">
        <v>30</v>
      </c>
      <c r="J931" s="77"/>
      <c r="K931" s="74" t="s">
        <v>8</v>
      </c>
      <c r="L931" s="75">
        <v>3095435.54</v>
      </c>
    </row>
    <row r="932" spans="1:12" ht="71.400000000000006" hidden="1" x14ac:dyDescent="0.3">
      <c r="A932" s="69" t="s">
        <v>938</v>
      </c>
      <c r="B932" s="70" t="s">
        <v>1179</v>
      </c>
      <c r="C932" s="70" t="s">
        <v>1215</v>
      </c>
      <c r="D932" s="70" t="s">
        <v>1181</v>
      </c>
      <c r="E932" s="71" t="s">
        <v>13</v>
      </c>
      <c r="F932" s="76">
        <v>2771.7</v>
      </c>
      <c r="G932" s="76"/>
      <c r="H932" s="71" t="s">
        <v>457</v>
      </c>
      <c r="I932" s="77" t="s">
        <v>30</v>
      </c>
      <c r="J932" s="77"/>
      <c r="K932" s="74" t="s">
        <v>8</v>
      </c>
      <c r="L932" s="75">
        <v>3098207.24</v>
      </c>
    </row>
    <row r="933" spans="1:12" ht="71.400000000000006" hidden="1" x14ac:dyDescent="0.3">
      <c r="A933" s="69" t="s">
        <v>938</v>
      </c>
      <c r="B933" s="70" t="s">
        <v>1179</v>
      </c>
      <c r="C933" s="70" t="s">
        <v>1216</v>
      </c>
      <c r="D933" s="70" t="s">
        <v>1181</v>
      </c>
      <c r="E933" s="71" t="s">
        <v>13</v>
      </c>
      <c r="F933" s="76">
        <v>2006.6</v>
      </c>
      <c r="G933" s="76"/>
      <c r="H933" s="71" t="s">
        <v>457</v>
      </c>
      <c r="I933" s="77" t="s">
        <v>30</v>
      </c>
      <c r="J933" s="77"/>
      <c r="K933" s="74" t="s">
        <v>8</v>
      </c>
      <c r="L933" s="75">
        <v>3100213.84</v>
      </c>
    </row>
    <row r="934" spans="1:12" ht="71.400000000000006" hidden="1" x14ac:dyDescent="0.3">
      <c r="A934" s="69" t="s">
        <v>938</v>
      </c>
      <c r="B934" s="70" t="s">
        <v>1179</v>
      </c>
      <c r="C934" s="70" t="s">
        <v>1217</v>
      </c>
      <c r="D934" s="70" t="s">
        <v>1181</v>
      </c>
      <c r="E934" s="71" t="s">
        <v>13</v>
      </c>
      <c r="F934" s="76">
        <v>4546.6000000000004</v>
      </c>
      <c r="G934" s="76"/>
      <c r="H934" s="71" t="s">
        <v>457</v>
      </c>
      <c r="I934" s="77" t="s">
        <v>30</v>
      </c>
      <c r="J934" s="77"/>
      <c r="K934" s="74" t="s">
        <v>8</v>
      </c>
      <c r="L934" s="75">
        <v>3104760.44</v>
      </c>
    </row>
    <row r="935" spans="1:12" ht="71.400000000000006" hidden="1" x14ac:dyDescent="0.3">
      <c r="A935" s="69" t="s">
        <v>938</v>
      </c>
      <c r="B935" s="70" t="s">
        <v>1179</v>
      </c>
      <c r="C935" s="70" t="s">
        <v>1218</v>
      </c>
      <c r="D935" s="70" t="s">
        <v>1181</v>
      </c>
      <c r="E935" s="71" t="s">
        <v>13</v>
      </c>
      <c r="F935" s="76">
        <v>1505.7</v>
      </c>
      <c r="G935" s="76"/>
      <c r="H935" s="71" t="s">
        <v>457</v>
      </c>
      <c r="I935" s="77" t="s">
        <v>30</v>
      </c>
      <c r="J935" s="77"/>
      <c r="K935" s="74" t="s">
        <v>8</v>
      </c>
      <c r="L935" s="75">
        <v>3106266.14</v>
      </c>
    </row>
    <row r="936" spans="1:12" ht="71.400000000000006" hidden="1" x14ac:dyDescent="0.3">
      <c r="A936" s="69" t="s">
        <v>938</v>
      </c>
      <c r="B936" s="70" t="s">
        <v>1179</v>
      </c>
      <c r="C936" s="70" t="s">
        <v>1219</v>
      </c>
      <c r="D936" s="70" t="s">
        <v>1181</v>
      </c>
      <c r="E936" s="71" t="s">
        <v>13</v>
      </c>
      <c r="F936" s="76">
        <v>2561.4</v>
      </c>
      <c r="G936" s="76"/>
      <c r="H936" s="71" t="s">
        <v>457</v>
      </c>
      <c r="I936" s="77" t="s">
        <v>30</v>
      </c>
      <c r="J936" s="77"/>
      <c r="K936" s="74" t="s">
        <v>8</v>
      </c>
      <c r="L936" s="75">
        <v>3108827.54</v>
      </c>
    </row>
    <row r="937" spans="1:12" ht="71.400000000000006" hidden="1" x14ac:dyDescent="0.3">
      <c r="A937" s="69" t="s">
        <v>938</v>
      </c>
      <c r="B937" s="70" t="s">
        <v>1179</v>
      </c>
      <c r="C937" s="70" t="s">
        <v>1220</v>
      </c>
      <c r="D937" s="70" t="s">
        <v>1181</v>
      </c>
      <c r="E937" s="71" t="s">
        <v>13</v>
      </c>
      <c r="F937" s="76">
        <v>2274.1</v>
      </c>
      <c r="G937" s="76"/>
      <c r="H937" s="71" t="s">
        <v>457</v>
      </c>
      <c r="I937" s="77" t="s">
        <v>30</v>
      </c>
      <c r="J937" s="77"/>
      <c r="K937" s="74" t="s">
        <v>8</v>
      </c>
      <c r="L937" s="75">
        <v>3111101.64</v>
      </c>
    </row>
    <row r="938" spans="1:12" ht="71.400000000000006" hidden="1" x14ac:dyDescent="0.3">
      <c r="A938" s="69" t="s">
        <v>938</v>
      </c>
      <c r="B938" s="70" t="s">
        <v>1179</v>
      </c>
      <c r="C938" s="70" t="s">
        <v>1221</v>
      </c>
      <c r="D938" s="70" t="s">
        <v>1181</v>
      </c>
      <c r="E938" s="71" t="s">
        <v>13</v>
      </c>
      <c r="F938" s="76">
        <v>2434.5</v>
      </c>
      <c r="G938" s="76"/>
      <c r="H938" s="71" t="s">
        <v>457</v>
      </c>
      <c r="I938" s="77" t="s">
        <v>30</v>
      </c>
      <c r="J938" s="77"/>
      <c r="K938" s="74" t="s">
        <v>8</v>
      </c>
      <c r="L938" s="75">
        <v>3113536.14</v>
      </c>
    </row>
    <row r="939" spans="1:12" ht="71.400000000000006" hidden="1" x14ac:dyDescent="0.3">
      <c r="A939" s="69" t="s">
        <v>938</v>
      </c>
      <c r="B939" s="70" t="s">
        <v>1179</v>
      </c>
      <c r="C939" s="70" t="s">
        <v>1222</v>
      </c>
      <c r="D939" s="70" t="s">
        <v>1181</v>
      </c>
      <c r="E939" s="71" t="s">
        <v>13</v>
      </c>
      <c r="F939" s="76">
        <v>2622.8</v>
      </c>
      <c r="G939" s="76"/>
      <c r="H939" s="71" t="s">
        <v>457</v>
      </c>
      <c r="I939" s="77" t="s">
        <v>30</v>
      </c>
      <c r="J939" s="77"/>
      <c r="K939" s="74" t="s">
        <v>8</v>
      </c>
      <c r="L939" s="75">
        <v>3116158.94</v>
      </c>
    </row>
    <row r="940" spans="1:12" ht="71.400000000000006" hidden="1" x14ac:dyDescent="0.3">
      <c r="A940" s="69" t="s">
        <v>938</v>
      </c>
      <c r="B940" s="70" t="s">
        <v>1179</v>
      </c>
      <c r="C940" s="70" t="s">
        <v>1222</v>
      </c>
      <c r="D940" s="70" t="s">
        <v>1181</v>
      </c>
      <c r="E940" s="71" t="s">
        <v>13</v>
      </c>
      <c r="F940" s="76">
        <v>2617</v>
      </c>
      <c r="G940" s="76"/>
      <c r="H940" s="71" t="s">
        <v>457</v>
      </c>
      <c r="I940" s="77" t="s">
        <v>30</v>
      </c>
      <c r="J940" s="77"/>
      <c r="K940" s="74" t="s">
        <v>8</v>
      </c>
      <c r="L940" s="75">
        <v>3118775.94</v>
      </c>
    </row>
    <row r="941" spans="1:12" ht="71.400000000000006" hidden="1" x14ac:dyDescent="0.3">
      <c r="A941" s="69" t="s">
        <v>938</v>
      </c>
      <c r="B941" s="70" t="s">
        <v>1179</v>
      </c>
      <c r="C941" s="70" t="s">
        <v>1223</v>
      </c>
      <c r="D941" s="70" t="s">
        <v>1181</v>
      </c>
      <c r="E941" s="71" t="s">
        <v>13</v>
      </c>
      <c r="F941" s="76">
        <v>1365</v>
      </c>
      <c r="G941" s="76"/>
      <c r="H941" s="71" t="s">
        <v>457</v>
      </c>
      <c r="I941" s="77" t="s">
        <v>30</v>
      </c>
      <c r="J941" s="77"/>
      <c r="K941" s="74" t="s">
        <v>8</v>
      </c>
      <c r="L941" s="75">
        <v>3120140.94</v>
      </c>
    </row>
    <row r="942" spans="1:12" ht="71.400000000000006" hidden="1" x14ac:dyDescent="0.3">
      <c r="A942" s="69" t="s">
        <v>938</v>
      </c>
      <c r="B942" s="70" t="s">
        <v>1179</v>
      </c>
      <c r="C942" s="70" t="s">
        <v>1224</v>
      </c>
      <c r="D942" s="70" t="s">
        <v>1181</v>
      </c>
      <c r="E942" s="71" t="s">
        <v>13</v>
      </c>
      <c r="F942" s="76">
        <v>4204.6000000000004</v>
      </c>
      <c r="G942" s="76"/>
      <c r="H942" s="71" t="s">
        <v>457</v>
      </c>
      <c r="I942" s="77" t="s">
        <v>30</v>
      </c>
      <c r="J942" s="77"/>
      <c r="K942" s="74" t="s">
        <v>8</v>
      </c>
      <c r="L942" s="75">
        <v>3124345.54</v>
      </c>
    </row>
    <row r="943" spans="1:12" ht="71.400000000000006" hidden="1" x14ac:dyDescent="0.3">
      <c r="A943" s="69" t="s">
        <v>938</v>
      </c>
      <c r="B943" s="70" t="s">
        <v>1179</v>
      </c>
      <c r="C943" s="70" t="s">
        <v>1225</v>
      </c>
      <c r="D943" s="70" t="s">
        <v>1181</v>
      </c>
      <c r="E943" s="71" t="s">
        <v>13</v>
      </c>
      <c r="F943" s="76">
        <v>3723.4</v>
      </c>
      <c r="G943" s="76"/>
      <c r="H943" s="71" t="s">
        <v>457</v>
      </c>
      <c r="I943" s="77" t="s">
        <v>30</v>
      </c>
      <c r="J943" s="77"/>
      <c r="K943" s="74" t="s">
        <v>8</v>
      </c>
      <c r="L943" s="75">
        <v>3128068.94</v>
      </c>
    </row>
    <row r="944" spans="1:12" ht="71.400000000000006" hidden="1" x14ac:dyDescent="0.3">
      <c r="A944" s="69" t="s">
        <v>938</v>
      </c>
      <c r="B944" s="70" t="s">
        <v>1179</v>
      </c>
      <c r="C944" s="70" t="s">
        <v>1225</v>
      </c>
      <c r="D944" s="70" t="s">
        <v>1181</v>
      </c>
      <c r="E944" s="71" t="s">
        <v>13</v>
      </c>
      <c r="F944" s="76">
        <v>3902.6</v>
      </c>
      <c r="G944" s="76"/>
      <c r="H944" s="71" t="s">
        <v>457</v>
      </c>
      <c r="I944" s="77" t="s">
        <v>30</v>
      </c>
      <c r="J944" s="77"/>
      <c r="K944" s="74" t="s">
        <v>8</v>
      </c>
      <c r="L944" s="75">
        <v>3131971.54</v>
      </c>
    </row>
    <row r="945" spans="1:12" ht="71.400000000000006" hidden="1" x14ac:dyDescent="0.3">
      <c r="A945" s="69" t="s">
        <v>938</v>
      </c>
      <c r="B945" s="70" t="s">
        <v>1179</v>
      </c>
      <c r="C945" s="70" t="s">
        <v>1226</v>
      </c>
      <c r="D945" s="70" t="s">
        <v>1181</v>
      </c>
      <c r="E945" s="71" t="s">
        <v>13</v>
      </c>
      <c r="F945" s="76">
        <v>2299.5</v>
      </c>
      <c r="G945" s="76"/>
      <c r="H945" s="71" t="s">
        <v>457</v>
      </c>
      <c r="I945" s="77" t="s">
        <v>30</v>
      </c>
      <c r="J945" s="77"/>
      <c r="K945" s="74" t="s">
        <v>8</v>
      </c>
      <c r="L945" s="75">
        <v>3134271.04</v>
      </c>
    </row>
    <row r="946" spans="1:12" ht="71.400000000000006" hidden="1" x14ac:dyDescent="0.3">
      <c r="A946" s="69" t="s">
        <v>938</v>
      </c>
      <c r="B946" s="70" t="s">
        <v>1179</v>
      </c>
      <c r="C946" s="70" t="s">
        <v>1227</v>
      </c>
      <c r="D946" s="70" t="s">
        <v>1181</v>
      </c>
      <c r="E946" s="71" t="s">
        <v>13</v>
      </c>
      <c r="F946" s="76">
        <v>1635.8</v>
      </c>
      <c r="G946" s="76"/>
      <c r="H946" s="71" t="s">
        <v>457</v>
      </c>
      <c r="I946" s="77" t="s">
        <v>30</v>
      </c>
      <c r="J946" s="77"/>
      <c r="K946" s="74" t="s">
        <v>8</v>
      </c>
      <c r="L946" s="75">
        <v>3135906.84</v>
      </c>
    </row>
    <row r="947" spans="1:12" ht="71.400000000000006" hidden="1" x14ac:dyDescent="0.3">
      <c r="A947" s="69" t="s">
        <v>938</v>
      </c>
      <c r="B947" s="70" t="s">
        <v>1179</v>
      </c>
      <c r="C947" s="70" t="s">
        <v>1228</v>
      </c>
      <c r="D947" s="70" t="s">
        <v>1181</v>
      </c>
      <c r="E947" s="71" t="s">
        <v>13</v>
      </c>
      <c r="F947" s="76">
        <v>3307.7</v>
      </c>
      <c r="G947" s="76"/>
      <c r="H947" s="71" t="s">
        <v>457</v>
      </c>
      <c r="I947" s="77" t="s">
        <v>30</v>
      </c>
      <c r="J947" s="77"/>
      <c r="K947" s="74" t="s">
        <v>8</v>
      </c>
      <c r="L947" s="75">
        <v>3139214.54</v>
      </c>
    </row>
    <row r="948" spans="1:12" ht="71.400000000000006" hidden="1" x14ac:dyDescent="0.3">
      <c r="A948" s="69" t="s">
        <v>938</v>
      </c>
      <c r="B948" s="70" t="s">
        <v>1179</v>
      </c>
      <c r="C948" s="70" t="s">
        <v>1229</v>
      </c>
      <c r="D948" s="70" t="s">
        <v>1181</v>
      </c>
      <c r="E948" s="71" t="s">
        <v>13</v>
      </c>
      <c r="F948" s="76">
        <v>3582.7</v>
      </c>
      <c r="G948" s="76"/>
      <c r="H948" s="71" t="s">
        <v>457</v>
      </c>
      <c r="I948" s="77" t="s">
        <v>30</v>
      </c>
      <c r="J948" s="77"/>
      <c r="K948" s="74" t="s">
        <v>8</v>
      </c>
      <c r="L948" s="75">
        <v>3142797.24</v>
      </c>
    </row>
    <row r="949" spans="1:12" ht="71.400000000000006" hidden="1" x14ac:dyDescent="0.3">
      <c r="A949" s="69" t="s">
        <v>938</v>
      </c>
      <c r="B949" s="70" t="s">
        <v>1230</v>
      </c>
      <c r="C949" s="70" t="s">
        <v>1229</v>
      </c>
      <c r="D949" s="70" t="s">
        <v>1181</v>
      </c>
      <c r="E949" s="71" t="s">
        <v>13</v>
      </c>
      <c r="F949" s="76">
        <v>1964.61</v>
      </c>
      <c r="G949" s="76"/>
      <c r="H949" s="71" t="s">
        <v>457</v>
      </c>
      <c r="I949" s="77" t="s">
        <v>30</v>
      </c>
      <c r="J949" s="77"/>
      <c r="K949" s="74" t="s">
        <v>8</v>
      </c>
      <c r="L949" s="75">
        <v>3144761.85</v>
      </c>
    </row>
    <row r="950" spans="1:12" ht="71.400000000000006" hidden="1" x14ac:dyDescent="0.3">
      <c r="A950" s="69" t="s">
        <v>938</v>
      </c>
      <c r="B950" s="70" t="s">
        <v>1179</v>
      </c>
      <c r="C950" s="70" t="s">
        <v>1229</v>
      </c>
      <c r="D950" s="70" t="s">
        <v>1181</v>
      </c>
      <c r="E950" s="71" t="s">
        <v>13</v>
      </c>
      <c r="F950" s="76">
        <v>1530.49</v>
      </c>
      <c r="G950" s="76"/>
      <c r="H950" s="71" t="s">
        <v>457</v>
      </c>
      <c r="I950" s="77" t="s">
        <v>30</v>
      </c>
      <c r="J950" s="77"/>
      <c r="K950" s="74" t="s">
        <v>8</v>
      </c>
      <c r="L950" s="75">
        <v>3146292.34</v>
      </c>
    </row>
    <row r="951" spans="1:12" ht="71.400000000000006" hidden="1" x14ac:dyDescent="0.3">
      <c r="A951" s="69" t="s">
        <v>938</v>
      </c>
      <c r="B951" s="70" t="s">
        <v>1230</v>
      </c>
      <c r="C951" s="70" t="s">
        <v>1231</v>
      </c>
      <c r="D951" s="70" t="s">
        <v>1181</v>
      </c>
      <c r="E951" s="71" t="s">
        <v>13</v>
      </c>
      <c r="F951" s="76">
        <v>2582.6999999999998</v>
      </c>
      <c r="G951" s="76"/>
      <c r="H951" s="71" t="s">
        <v>457</v>
      </c>
      <c r="I951" s="77" t="s">
        <v>30</v>
      </c>
      <c r="J951" s="77"/>
      <c r="K951" s="74" t="s">
        <v>8</v>
      </c>
      <c r="L951" s="75">
        <v>3148875.04</v>
      </c>
    </row>
    <row r="952" spans="1:12" ht="71.400000000000006" hidden="1" x14ac:dyDescent="0.3">
      <c r="A952" s="69" t="s">
        <v>938</v>
      </c>
      <c r="B952" s="70" t="s">
        <v>1230</v>
      </c>
      <c r="C952" s="70" t="s">
        <v>1232</v>
      </c>
      <c r="D952" s="70" t="s">
        <v>1181</v>
      </c>
      <c r="E952" s="71" t="s">
        <v>13</v>
      </c>
      <c r="F952" s="76">
        <v>2373.1999999999998</v>
      </c>
      <c r="G952" s="76"/>
      <c r="H952" s="71" t="s">
        <v>457</v>
      </c>
      <c r="I952" s="77" t="s">
        <v>30</v>
      </c>
      <c r="J952" s="77"/>
      <c r="K952" s="74" t="s">
        <v>8</v>
      </c>
      <c r="L952" s="75">
        <v>3151248.24</v>
      </c>
    </row>
    <row r="953" spans="1:12" ht="71.400000000000006" hidden="1" x14ac:dyDescent="0.3">
      <c r="A953" s="69" t="s">
        <v>938</v>
      </c>
      <c r="B953" s="70" t="s">
        <v>1230</v>
      </c>
      <c r="C953" s="70" t="s">
        <v>1232</v>
      </c>
      <c r="D953" s="70" t="s">
        <v>1181</v>
      </c>
      <c r="E953" s="71" t="s">
        <v>13</v>
      </c>
      <c r="F953" s="76">
        <v>2519.6</v>
      </c>
      <c r="G953" s="76"/>
      <c r="H953" s="71" t="s">
        <v>457</v>
      </c>
      <c r="I953" s="77" t="s">
        <v>30</v>
      </c>
      <c r="J953" s="77"/>
      <c r="K953" s="74" t="s">
        <v>8</v>
      </c>
      <c r="L953" s="75">
        <v>3153767.84</v>
      </c>
    </row>
    <row r="954" spans="1:12" ht="71.400000000000006" hidden="1" x14ac:dyDescent="0.3">
      <c r="A954" s="69" t="s">
        <v>938</v>
      </c>
      <c r="B954" s="70" t="s">
        <v>1230</v>
      </c>
      <c r="C954" s="70" t="s">
        <v>1233</v>
      </c>
      <c r="D954" s="70" t="s">
        <v>1181</v>
      </c>
      <c r="E954" s="71" t="s">
        <v>13</v>
      </c>
      <c r="F954" s="76">
        <v>1281.5</v>
      </c>
      <c r="G954" s="76"/>
      <c r="H954" s="71" t="s">
        <v>457</v>
      </c>
      <c r="I954" s="77" t="s">
        <v>30</v>
      </c>
      <c r="J954" s="77"/>
      <c r="K954" s="74" t="s">
        <v>8</v>
      </c>
      <c r="L954" s="75">
        <v>3155049.34</v>
      </c>
    </row>
    <row r="955" spans="1:12" ht="71.400000000000006" hidden="1" x14ac:dyDescent="0.3">
      <c r="A955" s="69" t="s">
        <v>938</v>
      </c>
      <c r="B955" s="70" t="s">
        <v>1230</v>
      </c>
      <c r="C955" s="70" t="s">
        <v>1234</v>
      </c>
      <c r="D955" s="70" t="s">
        <v>1181</v>
      </c>
      <c r="E955" s="71" t="s">
        <v>13</v>
      </c>
      <c r="F955" s="76">
        <v>2835.5</v>
      </c>
      <c r="G955" s="76"/>
      <c r="H955" s="71" t="s">
        <v>457</v>
      </c>
      <c r="I955" s="77" t="s">
        <v>30</v>
      </c>
      <c r="J955" s="77"/>
      <c r="K955" s="74" t="s">
        <v>8</v>
      </c>
      <c r="L955" s="75">
        <v>3157884.84</v>
      </c>
    </row>
    <row r="956" spans="1:12" ht="71.400000000000006" hidden="1" x14ac:dyDescent="0.3">
      <c r="A956" s="69" t="s">
        <v>938</v>
      </c>
      <c r="B956" s="70" t="s">
        <v>1230</v>
      </c>
      <c r="C956" s="70" t="s">
        <v>1235</v>
      </c>
      <c r="D956" s="70" t="s">
        <v>1181</v>
      </c>
      <c r="E956" s="71" t="s">
        <v>13</v>
      </c>
      <c r="F956" s="76">
        <v>2611.3000000000002</v>
      </c>
      <c r="G956" s="76"/>
      <c r="H956" s="71" t="s">
        <v>457</v>
      </c>
      <c r="I956" s="77" t="s">
        <v>30</v>
      </c>
      <c r="J956" s="77"/>
      <c r="K956" s="74" t="s">
        <v>8</v>
      </c>
      <c r="L956" s="75">
        <v>3160496.14</v>
      </c>
    </row>
    <row r="957" spans="1:12" ht="71.400000000000006" hidden="1" x14ac:dyDescent="0.3">
      <c r="A957" s="69" t="s">
        <v>938</v>
      </c>
      <c r="B957" s="70" t="s">
        <v>1230</v>
      </c>
      <c r="C957" s="70" t="s">
        <v>1235</v>
      </c>
      <c r="D957" s="70" t="s">
        <v>1181</v>
      </c>
      <c r="E957" s="71" t="s">
        <v>13</v>
      </c>
      <c r="F957" s="76">
        <v>2693.1</v>
      </c>
      <c r="G957" s="76"/>
      <c r="H957" s="71" t="s">
        <v>457</v>
      </c>
      <c r="I957" s="77" t="s">
        <v>30</v>
      </c>
      <c r="J957" s="77"/>
      <c r="K957" s="74" t="s">
        <v>8</v>
      </c>
      <c r="L957" s="75">
        <v>3163189.24</v>
      </c>
    </row>
    <row r="958" spans="1:12" ht="71.400000000000006" hidden="1" x14ac:dyDescent="0.3">
      <c r="A958" s="69" t="s">
        <v>938</v>
      </c>
      <c r="B958" s="70" t="s">
        <v>1230</v>
      </c>
      <c r="C958" s="70" t="s">
        <v>1236</v>
      </c>
      <c r="D958" s="70" t="s">
        <v>1181</v>
      </c>
      <c r="E958" s="71" t="s">
        <v>13</v>
      </c>
      <c r="F958" s="76">
        <v>1814.2</v>
      </c>
      <c r="G958" s="76"/>
      <c r="H958" s="71" t="s">
        <v>457</v>
      </c>
      <c r="I958" s="77" t="s">
        <v>30</v>
      </c>
      <c r="J958" s="77"/>
      <c r="K958" s="74" t="s">
        <v>8</v>
      </c>
      <c r="L958" s="75">
        <v>3165003.44</v>
      </c>
    </row>
    <row r="959" spans="1:12" ht="71.400000000000006" hidden="1" x14ac:dyDescent="0.3">
      <c r="A959" s="69" t="s">
        <v>938</v>
      </c>
      <c r="B959" s="70" t="s">
        <v>1230</v>
      </c>
      <c r="C959" s="70" t="s">
        <v>1214</v>
      </c>
      <c r="D959" s="70" t="s">
        <v>1181</v>
      </c>
      <c r="E959" s="71" t="s">
        <v>13</v>
      </c>
      <c r="F959" s="76">
        <v>2318.3000000000002</v>
      </c>
      <c r="G959" s="76"/>
      <c r="H959" s="71" t="s">
        <v>457</v>
      </c>
      <c r="I959" s="77" t="s">
        <v>30</v>
      </c>
      <c r="J959" s="77"/>
      <c r="K959" s="74" t="s">
        <v>8</v>
      </c>
      <c r="L959" s="75">
        <v>3167321.74</v>
      </c>
    </row>
    <row r="960" spans="1:12" ht="71.400000000000006" hidden="1" x14ac:dyDescent="0.3">
      <c r="A960" s="69" t="s">
        <v>938</v>
      </c>
      <c r="B960" s="70" t="s">
        <v>1230</v>
      </c>
      <c r="C960" s="70" t="s">
        <v>1237</v>
      </c>
      <c r="D960" s="70" t="s">
        <v>1181</v>
      </c>
      <c r="E960" s="71" t="s">
        <v>13</v>
      </c>
      <c r="F960" s="76">
        <v>2486.1</v>
      </c>
      <c r="G960" s="76"/>
      <c r="H960" s="71" t="s">
        <v>457</v>
      </c>
      <c r="I960" s="77" t="s">
        <v>30</v>
      </c>
      <c r="J960" s="77"/>
      <c r="K960" s="74" t="s">
        <v>8</v>
      </c>
      <c r="L960" s="75">
        <v>3169807.84</v>
      </c>
    </row>
    <row r="961" spans="1:12" ht="71.400000000000006" hidden="1" x14ac:dyDescent="0.3">
      <c r="A961" s="69" t="s">
        <v>938</v>
      </c>
      <c r="B961" s="70" t="s">
        <v>1230</v>
      </c>
      <c r="C961" s="70" t="s">
        <v>1238</v>
      </c>
      <c r="D961" s="70" t="s">
        <v>1181</v>
      </c>
      <c r="E961" s="71" t="s">
        <v>13</v>
      </c>
      <c r="F961" s="76">
        <v>2600.6999999999998</v>
      </c>
      <c r="G961" s="76"/>
      <c r="H961" s="71" t="s">
        <v>457</v>
      </c>
      <c r="I961" s="77" t="s">
        <v>30</v>
      </c>
      <c r="J961" s="77"/>
      <c r="K961" s="74" t="s">
        <v>8</v>
      </c>
      <c r="L961" s="75">
        <v>3172408.54</v>
      </c>
    </row>
    <row r="962" spans="1:12" ht="71.400000000000006" hidden="1" x14ac:dyDescent="0.3">
      <c r="A962" s="69" t="s">
        <v>938</v>
      </c>
      <c r="B962" s="70" t="s">
        <v>1230</v>
      </c>
      <c r="C962" s="70" t="s">
        <v>1239</v>
      </c>
      <c r="D962" s="70" t="s">
        <v>1181</v>
      </c>
      <c r="E962" s="71" t="s">
        <v>13</v>
      </c>
      <c r="F962" s="79">
        <v>921.4</v>
      </c>
      <c r="G962" s="79"/>
      <c r="H962" s="71" t="s">
        <v>457</v>
      </c>
      <c r="I962" s="77" t="s">
        <v>30</v>
      </c>
      <c r="J962" s="77"/>
      <c r="K962" s="74" t="s">
        <v>8</v>
      </c>
      <c r="L962" s="75">
        <v>3173329.94</v>
      </c>
    </row>
    <row r="963" spans="1:12" ht="71.400000000000006" hidden="1" x14ac:dyDescent="0.3">
      <c r="A963" s="69" t="s">
        <v>938</v>
      </c>
      <c r="B963" s="70" t="s">
        <v>1230</v>
      </c>
      <c r="C963" s="70" t="s">
        <v>1240</v>
      </c>
      <c r="D963" s="70" t="s">
        <v>1181</v>
      </c>
      <c r="E963" s="71" t="s">
        <v>13</v>
      </c>
      <c r="F963" s="79">
        <v>414.9</v>
      </c>
      <c r="G963" s="79"/>
      <c r="H963" s="71" t="s">
        <v>457</v>
      </c>
      <c r="I963" s="77" t="s">
        <v>30</v>
      </c>
      <c r="J963" s="77"/>
      <c r="K963" s="74" t="s">
        <v>8</v>
      </c>
      <c r="L963" s="75">
        <v>3173744.84</v>
      </c>
    </row>
    <row r="964" spans="1:12" ht="71.400000000000006" hidden="1" x14ac:dyDescent="0.3">
      <c r="A964" s="69" t="s">
        <v>938</v>
      </c>
      <c r="B964" s="70" t="s">
        <v>1230</v>
      </c>
      <c r="C964" s="70" t="s">
        <v>1241</v>
      </c>
      <c r="D964" s="70" t="s">
        <v>1181</v>
      </c>
      <c r="E964" s="71" t="s">
        <v>13</v>
      </c>
      <c r="F964" s="76">
        <v>3115.4</v>
      </c>
      <c r="G964" s="76"/>
      <c r="H964" s="71" t="s">
        <v>457</v>
      </c>
      <c r="I964" s="77" t="s">
        <v>30</v>
      </c>
      <c r="J964" s="77"/>
      <c r="K964" s="74" t="s">
        <v>8</v>
      </c>
      <c r="L964" s="75">
        <v>3176860.24</v>
      </c>
    </row>
    <row r="965" spans="1:12" ht="71.400000000000006" hidden="1" x14ac:dyDescent="0.3">
      <c r="A965" s="69" t="s">
        <v>938</v>
      </c>
      <c r="B965" s="70" t="s">
        <v>1230</v>
      </c>
      <c r="C965" s="70" t="s">
        <v>1242</v>
      </c>
      <c r="D965" s="70" t="s">
        <v>1181</v>
      </c>
      <c r="E965" s="71" t="s">
        <v>13</v>
      </c>
      <c r="F965" s="76">
        <v>2216.9</v>
      </c>
      <c r="G965" s="76"/>
      <c r="H965" s="71" t="s">
        <v>457</v>
      </c>
      <c r="I965" s="77" t="s">
        <v>30</v>
      </c>
      <c r="J965" s="77"/>
      <c r="K965" s="74" t="s">
        <v>8</v>
      </c>
      <c r="L965" s="75">
        <v>3179077.14</v>
      </c>
    </row>
    <row r="966" spans="1:12" ht="71.400000000000006" hidden="1" x14ac:dyDescent="0.3">
      <c r="A966" s="69" t="s">
        <v>938</v>
      </c>
      <c r="B966" s="70" t="s">
        <v>1230</v>
      </c>
      <c r="C966" s="70" t="s">
        <v>1243</v>
      </c>
      <c r="D966" s="70" t="s">
        <v>1181</v>
      </c>
      <c r="E966" s="71" t="s">
        <v>13</v>
      </c>
      <c r="F966" s="76">
        <v>2554.8000000000002</v>
      </c>
      <c r="G966" s="76"/>
      <c r="H966" s="71" t="s">
        <v>457</v>
      </c>
      <c r="I966" s="77" t="s">
        <v>30</v>
      </c>
      <c r="J966" s="77"/>
      <c r="K966" s="74" t="s">
        <v>8</v>
      </c>
      <c r="L966" s="75">
        <v>3181631.94</v>
      </c>
    </row>
    <row r="967" spans="1:12" ht="71.400000000000006" hidden="1" x14ac:dyDescent="0.3">
      <c r="A967" s="69" t="s">
        <v>938</v>
      </c>
      <c r="B967" s="70" t="s">
        <v>1230</v>
      </c>
      <c r="C967" s="70" t="s">
        <v>1244</v>
      </c>
      <c r="D967" s="70" t="s">
        <v>1181</v>
      </c>
      <c r="E967" s="71" t="s">
        <v>13</v>
      </c>
      <c r="F967" s="76">
        <v>3683.3</v>
      </c>
      <c r="G967" s="76"/>
      <c r="H967" s="71" t="s">
        <v>457</v>
      </c>
      <c r="I967" s="77" t="s">
        <v>30</v>
      </c>
      <c r="J967" s="77"/>
      <c r="K967" s="74" t="s">
        <v>8</v>
      </c>
      <c r="L967" s="75">
        <v>3185315.24</v>
      </c>
    </row>
    <row r="968" spans="1:12" ht="71.400000000000006" hidden="1" x14ac:dyDescent="0.3">
      <c r="A968" s="69" t="s">
        <v>938</v>
      </c>
      <c r="B968" s="70" t="s">
        <v>1230</v>
      </c>
      <c r="C968" s="70" t="s">
        <v>1244</v>
      </c>
      <c r="D968" s="70" t="s">
        <v>1181</v>
      </c>
      <c r="E968" s="71" t="s">
        <v>13</v>
      </c>
      <c r="F968" s="76">
        <v>3118.7</v>
      </c>
      <c r="G968" s="76"/>
      <c r="H968" s="71" t="s">
        <v>457</v>
      </c>
      <c r="I968" s="77" t="s">
        <v>30</v>
      </c>
      <c r="J968" s="77"/>
      <c r="K968" s="74" t="s">
        <v>8</v>
      </c>
      <c r="L968" s="75">
        <v>3188433.94</v>
      </c>
    </row>
    <row r="969" spans="1:12" ht="71.400000000000006" hidden="1" x14ac:dyDescent="0.3">
      <c r="A969" s="69" t="s">
        <v>938</v>
      </c>
      <c r="B969" s="70" t="s">
        <v>1230</v>
      </c>
      <c r="C969" s="70" t="s">
        <v>1244</v>
      </c>
      <c r="D969" s="70" t="s">
        <v>1181</v>
      </c>
      <c r="E969" s="71" t="s">
        <v>13</v>
      </c>
      <c r="F969" s="76">
        <v>3455.8</v>
      </c>
      <c r="G969" s="76"/>
      <c r="H969" s="71" t="s">
        <v>457</v>
      </c>
      <c r="I969" s="77" t="s">
        <v>30</v>
      </c>
      <c r="J969" s="77"/>
      <c r="K969" s="74" t="s">
        <v>8</v>
      </c>
      <c r="L969" s="75">
        <v>3191889.74</v>
      </c>
    </row>
    <row r="970" spans="1:12" ht="71.400000000000006" hidden="1" x14ac:dyDescent="0.3">
      <c r="A970" s="69" t="s">
        <v>938</v>
      </c>
      <c r="B970" s="70" t="s">
        <v>1230</v>
      </c>
      <c r="C970" s="70" t="s">
        <v>1245</v>
      </c>
      <c r="D970" s="70" t="s">
        <v>1181</v>
      </c>
      <c r="E970" s="71" t="s">
        <v>13</v>
      </c>
      <c r="F970" s="76">
        <v>1517.2</v>
      </c>
      <c r="G970" s="76"/>
      <c r="H970" s="71" t="s">
        <v>457</v>
      </c>
      <c r="I970" s="77" t="s">
        <v>30</v>
      </c>
      <c r="J970" s="77"/>
      <c r="K970" s="74" t="s">
        <v>8</v>
      </c>
      <c r="L970" s="75">
        <v>3193406.94</v>
      </c>
    </row>
    <row r="971" spans="1:12" ht="71.400000000000006" hidden="1" x14ac:dyDescent="0.3">
      <c r="A971" s="69" t="s">
        <v>938</v>
      </c>
      <c r="B971" s="70" t="s">
        <v>1230</v>
      </c>
      <c r="C971" s="70" t="s">
        <v>1246</v>
      </c>
      <c r="D971" s="70" t="s">
        <v>1181</v>
      </c>
      <c r="E971" s="71" t="s">
        <v>13</v>
      </c>
      <c r="F971" s="76">
        <v>2934.5</v>
      </c>
      <c r="G971" s="76"/>
      <c r="H971" s="71" t="s">
        <v>457</v>
      </c>
      <c r="I971" s="77" t="s">
        <v>30</v>
      </c>
      <c r="J971" s="77"/>
      <c r="K971" s="74" t="s">
        <v>8</v>
      </c>
      <c r="L971" s="75">
        <v>3196341.44</v>
      </c>
    </row>
    <row r="972" spans="1:12" ht="71.400000000000006" hidden="1" x14ac:dyDescent="0.3">
      <c r="A972" s="69" t="s">
        <v>938</v>
      </c>
      <c r="B972" s="70" t="s">
        <v>1230</v>
      </c>
      <c r="C972" s="70" t="s">
        <v>1246</v>
      </c>
      <c r="D972" s="70" t="s">
        <v>1181</v>
      </c>
      <c r="E972" s="71" t="s">
        <v>13</v>
      </c>
      <c r="F972" s="76">
        <v>2509</v>
      </c>
      <c r="G972" s="76"/>
      <c r="H972" s="71" t="s">
        <v>457</v>
      </c>
      <c r="I972" s="77" t="s">
        <v>30</v>
      </c>
      <c r="J972" s="77"/>
      <c r="K972" s="74" t="s">
        <v>8</v>
      </c>
      <c r="L972" s="75">
        <v>3198850.44</v>
      </c>
    </row>
    <row r="973" spans="1:12" ht="71.400000000000006" hidden="1" x14ac:dyDescent="0.3">
      <c r="A973" s="69" t="s">
        <v>938</v>
      </c>
      <c r="B973" s="70" t="s">
        <v>1230</v>
      </c>
      <c r="C973" s="70" t="s">
        <v>1246</v>
      </c>
      <c r="D973" s="70" t="s">
        <v>1181</v>
      </c>
      <c r="E973" s="71" t="s">
        <v>13</v>
      </c>
      <c r="F973" s="76">
        <v>2838</v>
      </c>
      <c r="G973" s="76"/>
      <c r="H973" s="71" t="s">
        <v>457</v>
      </c>
      <c r="I973" s="77" t="s">
        <v>30</v>
      </c>
      <c r="J973" s="77"/>
      <c r="K973" s="74" t="s">
        <v>8</v>
      </c>
      <c r="L973" s="75">
        <v>3201688.44</v>
      </c>
    </row>
    <row r="974" spans="1:12" ht="71.400000000000006" hidden="1" x14ac:dyDescent="0.3">
      <c r="A974" s="69" t="s">
        <v>938</v>
      </c>
      <c r="B974" s="70" t="s">
        <v>1230</v>
      </c>
      <c r="C974" s="70" t="s">
        <v>1247</v>
      </c>
      <c r="D974" s="70" t="s">
        <v>1181</v>
      </c>
      <c r="E974" s="71" t="s">
        <v>13</v>
      </c>
      <c r="F974" s="76">
        <v>1257.8</v>
      </c>
      <c r="G974" s="76"/>
      <c r="H974" s="71" t="s">
        <v>457</v>
      </c>
      <c r="I974" s="77" t="s">
        <v>30</v>
      </c>
      <c r="J974" s="77"/>
      <c r="K974" s="74" t="s">
        <v>8</v>
      </c>
      <c r="L974" s="75">
        <v>3202946.24</v>
      </c>
    </row>
    <row r="975" spans="1:12" ht="71.400000000000006" hidden="1" x14ac:dyDescent="0.3">
      <c r="A975" s="69" t="s">
        <v>938</v>
      </c>
      <c r="B975" s="70" t="s">
        <v>1230</v>
      </c>
      <c r="C975" s="70" t="s">
        <v>1248</v>
      </c>
      <c r="D975" s="70" t="s">
        <v>1181</v>
      </c>
      <c r="E975" s="71" t="s">
        <v>13</v>
      </c>
      <c r="F975" s="76">
        <v>5149</v>
      </c>
      <c r="G975" s="76"/>
      <c r="H975" s="71" t="s">
        <v>457</v>
      </c>
      <c r="I975" s="77" t="s">
        <v>30</v>
      </c>
      <c r="J975" s="77"/>
      <c r="K975" s="74" t="s">
        <v>8</v>
      </c>
      <c r="L975" s="75">
        <v>3208095.24</v>
      </c>
    </row>
    <row r="976" spans="1:12" ht="71.400000000000006" hidden="1" x14ac:dyDescent="0.3">
      <c r="A976" s="69" t="s">
        <v>938</v>
      </c>
      <c r="B976" s="70" t="s">
        <v>1230</v>
      </c>
      <c r="C976" s="70" t="s">
        <v>1249</v>
      </c>
      <c r="D976" s="70" t="s">
        <v>1181</v>
      </c>
      <c r="E976" s="71" t="s">
        <v>13</v>
      </c>
      <c r="F976" s="76">
        <v>3126</v>
      </c>
      <c r="G976" s="76"/>
      <c r="H976" s="71" t="s">
        <v>457</v>
      </c>
      <c r="I976" s="77" t="s">
        <v>30</v>
      </c>
      <c r="J976" s="77"/>
      <c r="K976" s="74" t="s">
        <v>8</v>
      </c>
      <c r="L976" s="75">
        <v>3211221.24</v>
      </c>
    </row>
    <row r="977" spans="1:12" ht="71.400000000000006" hidden="1" x14ac:dyDescent="0.3">
      <c r="A977" s="69" t="s">
        <v>938</v>
      </c>
      <c r="B977" s="70" t="s">
        <v>1230</v>
      </c>
      <c r="C977" s="70" t="s">
        <v>1249</v>
      </c>
      <c r="D977" s="70" t="s">
        <v>1181</v>
      </c>
      <c r="E977" s="71" t="s">
        <v>13</v>
      </c>
      <c r="F977" s="76">
        <v>3240.6</v>
      </c>
      <c r="G977" s="76"/>
      <c r="H977" s="71" t="s">
        <v>457</v>
      </c>
      <c r="I977" s="77" t="s">
        <v>30</v>
      </c>
      <c r="J977" s="77"/>
      <c r="K977" s="74" t="s">
        <v>8</v>
      </c>
      <c r="L977" s="75">
        <v>3214461.84</v>
      </c>
    </row>
    <row r="978" spans="1:12" ht="71.400000000000006" hidden="1" x14ac:dyDescent="0.3">
      <c r="A978" s="69" t="s">
        <v>938</v>
      </c>
      <c r="B978" s="70" t="s">
        <v>1230</v>
      </c>
      <c r="C978" s="70" t="s">
        <v>1249</v>
      </c>
      <c r="D978" s="70" t="s">
        <v>1181</v>
      </c>
      <c r="E978" s="71" t="s">
        <v>13</v>
      </c>
      <c r="F978" s="76">
        <v>3197.2</v>
      </c>
      <c r="G978" s="76"/>
      <c r="H978" s="71" t="s">
        <v>457</v>
      </c>
      <c r="I978" s="77" t="s">
        <v>30</v>
      </c>
      <c r="J978" s="77"/>
      <c r="K978" s="74" t="s">
        <v>8</v>
      </c>
      <c r="L978" s="75">
        <v>3217659.04</v>
      </c>
    </row>
    <row r="979" spans="1:12" ht="71.400000000000006" hidden="1" x14ac:dyDescent="0.3">
      <c r="A979" s="69" t="s">
        <v>938</v>
      </c>
      <c r="B979" s="70" t="s">
        <v>1230</v>
      </c>
      <c r="C979" s="70" t="s">
        <v>1250</v>
      </c>
      <c r="D979" s="70" t="s">
        <v>1181</v>
      </c>
      <c r="E979" s="71" t="s">
        <v>13</v>
      </c>
      <c r="F979" s="76">
        <v>1180</v>
      </c>
      <c r="G979" s="76"/>
      <c r="H979" s="71" t="s">
        <v>457</v>
      </c>
      <c r="I979" s="77" t="s">
        <v>30</v>
      </c>
      <c r="J979" s="77"/>
      <c r="K979" s="74" t="s">
        <v>8</v>
      </c>
      <c r="L979" s="75">
        <v>3218839.04</v>
      </c>
    </row>
    <row r="980" spans="1:12" ht="71.400000000000006" hidden="1" x14ac:dyDescent="0.3">
      <c r="A980" s="69" t="s">
        <v>938</v>
      </c>
      <c r="B980" s="70" t="s">
        <v>1230</v>
      </c>
      <c r="C980" s="70" t="s">
        <v>1251</v>
      </c>
      <c r="D980" s="70" t="s">
        <v>1181</v>
      </c>
      <c r="E980" s="71" t="s">
        <v>13</v>
      </c>
      <c r="F980" s="76">
        <v>2312.6</v>
      </c>
      <c r="G980" s="76"/>
      <c r="H980" s="71" t="s">
        <v>457</v>
      </c>
      <c r="I980" s="77" t="s">
        <v>30</v>
      </c>
      <c r="J980" s="77"/>
      <c r="K980" s="74" t="s">
        <v>8</v>
      </c>
      <c r="L980" s="75">
        <v>3221151.64</v>
      </c>
    </row>
    <row r="981" spans="1:12" ht="71.400000000000006" hidden="1" x14ac:dyDescent="0.3">
      <c r="A981" s="69" t="s">
        <v>938</v>
      </c>
      <c r="B981" s="70" t="s">
        <v>1230</v>
      </c>
      <c r="C981" s="70" t="s">
        <v>1252</v>
      </c>
      <c r="D981" s="70" t="s">
        <v>1181</v>
      </c>
      <c r="E981" s="71" t="s">
        <v>13</v>
      </c>
      <c r="F981" s="76">
        <v>2718.5</v>
      </c>
      <c r="G981" s="76"/>
      <c r="H981" s="71" t="s">
        <v>457</v>
      </c>
      <c r="I981" s="77" t="s">
        <v>30</v>
      </c>
      <c r="J981" s="77"/>
      <c r="K981" s="74" t="s">
        <v>8</v>
      </c>
      <c r="L981" s="75">
        <v>3223870.14</v>
      </c>
    </row>
    <row r="982" spans="1:12" ht="71.400000000000006" hidden="1" x14ac:dyDescent="0.3">
      <c r="A982" s="69" t="s">
        <v>938</v>
      </c>
      <c r="B982" s="70" t="s">
        <v>1230</v>
      </c>
      <c r="C982" s="70" t="s">
        <v>1253</v>
      </c>
      <c r="D982" s="70" t="s">
        <v>1181</v>
      </c>
      <c r="E982" s="71" t="s">
        <v>13</v>
      </c>
      <c r="F982" s="76">
        <v>2464</v>
      </c>
      <c r="G982" s="76"/>
      <c r="H982" s="71" t="s">
        <v>457</v>
      </c>
      <c r="I982" s="77" t="s">
        <v>30</v>
      </c>
      <c r="J982" s="77"/>
      <c r="K982" s="74" t="s">
        <v>8</v>
      </c>
      <c r="L982" s="75">
        <v>3226334.14</v>
      </c>
    </row>
    <row r="983" spans="1:12" ht="71.400000000000006" hidden="1" x14ac:dyDescent="0.3">
      <c r="A983" s="69" t="s">
        <v>938</v>
      </c>
      <c r="B983" s="70" t="s">
        <v>1230</v>
      </c>
      <c r="C983" s="70" t="s">
        <v>1254</v>
      </c>
      <c r="D983" s="70" t="s">
        <v>1181</v>
      </c>
      <c r="E983" s="71" t="s">
        <v>13</v>
      </c>
      <c r="F983" s="76">
        <v>3171</v>
      </c>
      <c r="G983" s="76"/>
      <c r="H983" s="71" t="s">
        <v>457</v>
      </c>
      <c r="I983" s="77" t="s">
        <v>30</v>
      </c>
      <c r="J983" s="77"/>
      <c r="K983" s="74" t="s">
        <v>8</v>
      </c>
      <c r="L983" s="75">
        <v>3229505.14</v>
      </c>
    </row>
    <row r="984" spans="1:12" ht="71.400000000000006" hidden="1" x14ac:dyDescent="0.3">
      <c r="A984" s="69" t="s">
        <v>938</v>
      </c>
      <c r="B984" s="70" t="s">
        <v>1230</v>
      </c>
      <c r="C984" s="70" t="s">
        <v>1254</v>
      </c>
      <c r="D984" s="70" t="s">
        <v>1181</v>
      </c>
      <c r="E984" s="71" t="s">
        <v>13</v>
      </c>
      <c r="F984" s="76">
        <v>2698.9</v>
      </c>
      <c r="G984" s="76"/>
      <c r="H984" s="71" t="s">
        <v>457</v>
      </c>
      <c r="I984" s="77" t="s">
        <v>30</v>
      </c>
      <c r="J984" s="77"/>
      <c r="K984" s="74" t="s">
        <v>8</v>
      </c>
      <c r="L984" s="75">
        <v>3232204.04</v>
      </c>
    </row>
    <row r="985" spans="1:12" ht="71.400000000000006" hidden="1" x14ac:dyDescent="0.3">
      <c r="A985" s="69" t="s">
        <v>938</v>
      </c>
      <c r="B985" s="70" t="s">
        <v>1230</v>
      </c>
      <c r="C985" s="70" t="s">
        <v>1254</v>
      </c>
      <c r="D985" s="70" t="s">
        <v>1181</v>
      </c>
      <c r="E985" s="71" t="s">
        <v>13</v>
      </c>
      <c r="F985" s="76">
        <v>3036</v>
      </c>
      <c r="G985" s="76"/>
      <c r="H985" s="71" t="s">
        <v>457</v>
      </c>
      <c r="I985" s="77" t="s">
        <v>30</v>
      </c>
      <c r="J985" s="77"/>
      <c r="K985" s="74" t="s">
        <v>8</v>
      </c>
      <c r="L985" s="75">
        <v>3235240.04</v>
      </c>
    </row>
    <row r="986" spans="1:12" ht="71.400000000000006" hidden="1" x14ac:dyDescent="0.3">
      <c r="A986" s="69" t="s">
        <v>938</v>
      </c>
      <c r="B986" s="70" t="s">
        <v>1230</v>
      </c>
      <c r="C986" s="70" t="s">
        <v>1255</v>
      </c>
      <c r="D986" s="70" t="s">
        <v>1181</v>
      </c>
      <c r="E986" s="71" t="s">
        <v>13</v>
      </c>
      <c r="F986" s="76">
        <v>1343.7</v>
      </c>
      <c r="G986" s="76"/>
      <c r="H986" s="71" t="s">
        <v>457</v>
      </c>
      <c r="I986" s="77" t="s">
        <v>30</v>
      </c>
      <c r="J986" s="77"/>
      <c r="K986" s="74" t="s">
        <v>8</v>
      </c>
      <c r="L986" s="75">
        <v>3236583.74</v>
      </c>
    </row>
    <row r="987" spans="1:12" ht="71.400000000000006" hidden="1" x14ac:dyDescent="0.3">
      <c r="A987" s="69" t="s">
        <v>938</v>
      </c>
      <c r="B987" s="70" t="s">
        <v>1230</v>
      </c>
      <c r="C987" s="70" t="s">
        <v>1256</v>
      </c>
      <c r="D987" s="70" t="s">
        <v>1181</v>
      </c>
      <c r="E987" s="71" t="s">
        <v>13</v>
      </c>
      <c r="F987" s="76">
        <v>2835.5</v>
      </c>
      <c r="G987" s="76"/>
      <c r="H987" s="71" t="s">
        <v>457</v>
      </c>
      <c r="I987" s="77" t="s">
        <v>30</v>
      </c>
      <c r="J987" s="77"/>
      <c r="K987" s="74" t="s">
        <v>8</v>
      </c>
      <c r="L987" s="75">
        <v>3239419.24</v>
      </c>
    </row>
    <row r="988" spans="1:12" ht="71.400000000000006" hidden="1" x14ac:dyDescent="0.3">
      <c r="A988" s="69" t="s">
        <v>938</v>
      </c>
      <c r="B988" s="70" t="s">
        <v>1230</v>
      </c>
      <c r="C988" s="70" t="s">
        <v>1256</v>
      </c>
      <c r="D988" s="70" t="s">
        <v>1181</v>
      </c>
      <c r="E988" s="71" t="s">
        <v>13</v>
      </c>
      <c r="F988" s="76">
        <v>2454.1999999999998</v>
      </c>
      <c r="G988" s="76"/>
      <c r="H988" s="71" t="s">
        <v>457</v>
      </c>
      <c r="I988" s="77" t="s">
        <v>30</v>
      </c>
      <c r="J988" s="77"/>
      <c r="K988" s="74" t="s">
        <v>8</v>
      </c>
      <c r="L988" s="75">
        <v>3241873.44</v>
      </c>
    </row>
    <row r="989" spans="1:12" ht="71.400000000000006" hidden="1" x14ac:dyDescent="0.3">
      <c r="A989" s="69" t="s">
        <v>938</v>
      </c>
      <c r="B989" s="70" t="s">
        <v>1230</v>
      </c>
      <c r="C989" s="70" t="s">
        <v>1256</v>
      </c>
      <c r="D989" s="70" t="s">
        <v>1181</v>
      </c>
      <c r="E989" s="71" t="s">
        <v>13</v>
      </c>
      <c r="F989" s="76">
        <v>2689</v>
      </c>
      <c r="G989" s="76"/>
      <c r="H989" s="71" t="s">
        <v>457</v>
      </c>
      <c r="I989" s="77" t="s">
        <v>30</v>
      </c>
      <c r="J989" s="77"/>
      <c r="K989" s="74" t="s">
        <v>8</v>
      </c>
      <c r="L989" s="75">
        <v>3244562.44</v>
      </c>
    </row>
    <row r="990" spans="1:12" ht="71.400000000000006" hidden="1" x14ac:dyDescent="0.3">
      <c r="A990" s="69" t="s">
        <v>938</v>
      </c>
      <c r="B990" s="70" t="s">
        <v>1230</v>
      </c>
      <c r="C990" s="70" t="s">
        <v>1257</v>
      </c>
      <c r="D990" s="70" t="s">
        <v>1181</v>
      </c>
      <c r="E990" s="71" t="s">
        <v>13</v>
      </c>
      <c r="F990" s="76">
        <v>1237.3</v>
      </c>
      <c r="G990" s="76"/>
      <c r="H990" s="71" t="s">
        <v>457</v>
      </c>
      <c r="I990" s="77" t="s">
        <v>30</v>
      </c>
      <c r="J990" s="77"/>
      <c r="K990" s="74" t="s">
        <v>8</v>
      </c>
      <c r="L990" s="75">
        <v>3245799.74</v>
      </c>
    </row>
    <row r="991" spans="1:12" ht="71.400000000000006" hidden="1" x14ac:dyDescent="0.3">
      <c r="A991" s="69" t="s">
        <v>938</v>
      </c>
      <c r="B991" s="70" t="s">
        <v>1230</v>
      </c>
      <c r="C991" s="70" t="s">
        <v>1258</v>
      </c>
      <c r="D991" s="70" t="s">
        <v>1181</v>
      </c>
      <c r="E991" s="71" t="s">
        <v>13</v>
      </c>
      <c r="F991" s="76">
        <v>3249.6</v>
      </c>
      <c r="G991" s="76"/>
      <c r="H991" s="71" t="s">
        <v>457</v>
      </c>
      <c r="I991" s="77" t="s">
        <v>30</v>
      </c>
      <c r="J991" s="77"/>
      <c r="K991" s="74" t="s">
        <v>8</v>
      </c>
      <c r="L991" s="75">
        <v>3249049.34</v>
      </c>
    </row>
    <row r="992" spans="1:12" ht="71.400000000000006" hidden="1" x14ac:dyDescent="0.3">
      <c r="A992" s="69" t="s">
        <v>938</v>
      </c>
      <c r="B992" s="70" t="s">
        <v>1230</v>
      </c>
      <c r="C992" s="70" t="s">
        <v>1258</v>
      </c>
      <c r="D992" s="70" t="s">
        <v>1181</v>
      </c>
      <c r="E992" s="71" t="s">
        <v>13</v>
      </c>
      <c r="F992" s="76">
        <v>13365.2</v>
      </c>
      <c r="G992" s="76"/>
      <c r="H992" s="71" t="s">
        <v>457</v>
      </c>
      <c r="I992" s="77" t="s">
        <v>30</v>
      </c>
      <c r="J992" s="77"/>
      <c r="K992" s="74" t="s">
        <v>8</v>
      </c>
      <c r="L992" s="75">
        <v>3262414.54</v>
      </c>
    </row>
    <row r="993" spans="1:12" ht="71.400000000000006" hidden="1" x14ac:dyDescent="0.3">
      <c r="A993" s="69" t="s">
        <v>938</v>
      </c>
      <c r="B993" s="70" t="s">
        <v>1230</v>
      </c>
      <c r="C993" s="70" t="s">
        <v>1259</v>
      </c>
      <c r="D993" s="70" t="s">
        <v>1181</v>
      </c>
      <c r="E993" s="71" t="s">
        <v>13</v>
      </c>
      <c r="F993" s="76">
        <v>2857.6</v>
      </c>
      <c r="G993" s="76"/>
      <c r="H993" s="71" t="s">
        <v>457</v>
      </c>
      <c r="I993" s="77" t="s">
        <v>30</v>
      </c>
      <c r="J993" s="77"/>
      <c r="K993" s="74" t="s">
        <v>8</v>
      </c>
      <c r="L993" s="75">
        <v>3265272.14</v>
      </c>
    </row>
    <row r="994" spans="1:12" ht="71.400000000000006" hidden="1" x14ac:dyDescent="0.3">
      <c r="A994" s="69" t="s">
        <v>938</v>
      </c>
      <c r="B994" s="70" t="s">
        <v>1230</v>
      </c>
      <c r="C994" s="70" t="s">
        <v>1260</v>
      </c>
      <c r="D994" s="70" t="s">
        <v>1181</v>
      </c>
      <c r="E994" s="71" t="s">
        <v>13</v>
      </c>
      <c r="F994" s="76">
        <v>3159.6</v>
      </c>
      <c r="G994" s="76"/>
      <c r="H994" s="71" t="s">
        <v>457</v>
      </c>
      <c r="I994" s="77" t="s">
        <v>30</v>
      </c>
      <c r="J994" s="77"/>
      <c r="K994" s="74" t="s">
        <v>8</v>
      </c>
      <c r="L994" s="75">
        <v>3268431.74</v>
      </c>
    </row>
    <row r="995" spans="1:12" ht="71.400000000000006" hidden="1" x14ac:dyDescent="0.3">
      <c r="A995" s="69" t="s">
        <v>938</v>
      </c>
      <c r="B995" s="70" t="s">
        <v>1230</v>
      </c>
      <c r="C995" s="70" t="s">
        <v>1260</v>
      </c>
      <c r="D995" s="70" t="s">
        <v>1181</v>
      </c>
      <c r="E995" s="71" t="s">
        <v>13</v>
      </c>
      <c r="F995" s="76">
        <v>2559.6999999999998</v>
      </c>
      <c r="G995" s="76"/>
      <c r="H995" s="71" t="s">
        <v>457</v>
      </c>
      <c r="I995" s="77" t="s">
        <v>30</v>
      </c>
      <c r="J995" s="77"/>
      <c r="K995" s="74" t="s">
        <v>8</v>
      </c>
      <c r="L995" s="75">
        <v>3270991.44</v>
      </c>
    </row>
    <row r="996" spans="1:12" ht="71.400000000000006" hidden="1" x14ac:dyDescent="0.3">
      <c r="A996" s="69" t="s">
        <v>938</v>
      </c>
      <c r="B996" s="70" t="s">
        <v>1230</v>
      </c>
      <c r="C996" s="70" t="s">
        <v>1260</v>
      </c>
      <c r="D996" s="70" t="s">
        <v>1181</v>
      </c>
      <c r="E996" s="71" t="s">
        <v>13</v>
      </c>
      <c r="F996" s="76">
        <v>2920.6</v>
      </c>
      <c r="G996" s="76"/>
      <c r="H996" s="71" t="s">
        <v>457</v>
      </c>
      <c r="I996" s="77" t="s">
        <v>30</v>
      </c>
      <c r="J996" s="77"/>
      <c r="K996" s="74" t="s">
        <v>8</v>
      </c>
      <c r="L996" s="75">
        <v>3273912.04</v>
      </c>
    </row>
    <row r="997" spans="1:12" ht="71.400000000000006" hidden="1" x14ac:dyDescent="0.3">
      <c r="A997" s="69" t="s">
        <v>938</v>
      </c>
      <c r="B997" s="70" t="s">
        <v>1230</v>
      </c>
      <c r="C997" s="70" t="s">
        <v>1261</v>
      </c>
      <c r="D997" s="70" t="s">
        <v>1181</v>
      </c>
      <c r="E997" s="71" t="s">
        <v>13</v>
      </c>
      <c r="F997" s="76">
        <v>1343.7</v>
      </c>
      <c r="G997" s="76"/>
      <c r="H997" s="71" t="s">
        <v>457</v>
      </c>
      <c r="I997" s="77" t="s">
        <v>30</v>
      </c>
      <c r="J997" s="77"/>
      <c r="K997" s="74" t="s">
        <v>8</v>
      </c>
      <c r="L997" s="75">
        <v>3275255.74</v>
      </c>
    </row>
    <row r="998" spans="1:12" ht="71.400000000000006" hidden="1" x14ac:dyDescent="0.3">
      <c r="A998" s="69" t="s">
        <v>938</v>
      </c>
      <c r="B998" s="70" t="s">
        <v>1230</v>
      </c>
      <c r="C998" s="70" t="s">
        <v>1256</v>
      </c>
      <c r="D998" s="70" t="s">
        <v>1181</v>
      </c>
      <c r="E998" s="71" t="s">
        <v>13</v>
      </c>
      <c r="F998" s="76">
        <v>2839.6</v>
      </c>
      <c r="G998" s="76"/>
      <c r="H998" s="71" t="s">
        <v>457</v>
      </c>
      <c r="I998" s="77" t="s">
        <v>30</v>
      </c>
      <c r="J998" s="77"/>
      <c r="K998" s="74" t="s">
        <v>8</v>
      </c>
      <c r="L998" s="75">
        <v>3278095.34</v>
      </c>
    </row>
    <row r="999" spans="1:12" ht="71.400000000000006" hidden="1" x14ac:dyDescent="0.3">
      <c r="A999" s="69" t="s">
        <v>938</v>
      </c>
      <c r="B999" s="70" t="s">
        <v>1230</v>
      </c>
      <c r="C999" s="70" t="s">
        <v>1256</v>
      </c>
      <c r="D999" s="70" t="s">
        <v>1181</v>
      </c>
      <c r="E999" s="71" t="s">
        <v>13</v>
      </c>
      <c r="F999" s="76">
        <v>2454.1999999999998</v>
      </c>
      <c r="G999" s="76"/>
      <c r="H999" s="71" t="s">
        <v>457</v>
      </c>
      <c r="I999" s="77" t="s">
        <v>30</v>
      </c>
      <c r="J999" s="77"/>
      <c r="K999" s="74" t="s">
        <v>8</v>
      </c>
      <c r="L999" s="75">
        <v>3280549.54</v>
      </c>
    </row>
    <row r="1000" spans="1:12" ht="71.400000000000006" hidden="1" x14ac:dyDescent="0.3">
      <c r="A1000" s="69" t="s">
        <v>938</v>
      </c>
      <c r="B1000" s="70" t="s">
        <v>1230</v>
      </c>
      <c r="C1000" s="70" t="s">
        <v>1256</v>
      </c>
      <c r="D1000" s="70" t="s">
        <v>1181</v>
      </c>
      <c r="E1000" s="71" t="s">
        <v>13</v>
      </c>
      <c r="F1000" s="76">
        <v>2762.7</v>
      </c>
      <c r="G1000" s="76"/>
      <c r="H1000" s="71" t="s">
        <v>457</v>
      </c>
      <c r="I1000" s="77" t="s">
        <v>30</v>
      </c>
      <c r="J1000" s="77"/>
      <c r="K1000" s="74" t="s">
        <v>8</v>
      </c>
      <c r="L1000" s="75">
        <v>3283312.24</v>
      </c>
    </row>
    <row r="1001" spans="1:12" ht="71.400000000000006" hidden="1" x14ac:dyDescent="0.3">
      <c r="A1001" s="69" t="s">
        <v>938</v>
      </c>
      <c r="B1001" s="70" t="s">
        <v>1230</v>
      </c>
      <c r="C1001" s="70" t="s">
        <v>1262</v>
      </c>
      <c r="D1001" s="70" t="s">
        <v>1181</v>
      </c>
      <c r="E1001" s="71" t="s">
        <v>13</v>
      </c>
      <c r="F1001" s="76">
        <v>1528.6</v>
      </c>
      <c r="G1001" s="76"/>
      <c r="H1001" s="71" t="s">
        <v>457</v>
      </c>
      <c r="I1001" s="77" t="s">
        <v>30</v>
      </c>
      <c r="J1001" s="77"/>
      <c r="K1001" s="74" t="s">
        <v>8</v>
      </c>
      <c r="L1001" s="75">
        <v>3284840.84</v>
      </c>
    </row>
    <row r="1002" spans="1:12" ht="71.400000000000006" hidden="1" x14ac:dyDescent="0.3">
      <c r="A1002" s="69" t="s">
        <v>938</v>
      </c>
      <c r="B1002" s="70" t="s">
        <v>1230</v>
      </c>
      <c r="C1002" s="70" t="s">
        <v>1263</v>
      </c>
      <c r="D1002" s="70" t="s">
        <v>1181</v>
      </c>
      <c r="E1002" s="71" t="s">
        <v>13</v>
      </c>
      <c r="F1002" s="76">
        <v>1889.5</v>
      </c>
      <c r="G1002" s="76"/>
      <c r="H1002" s="71" t="s">
        <v>457</v>
      </c>
      <c r="I1002" s="77" t="s">
        <v>30</v>
      </c>
      <c r="J1002" s="77"/>
      <c r="K1002" s="74" t="s">
        <v>8</v>
      </c>
      <c r="L1002" s="75">
        <v>3286730.34</v>
      </c>
    </row>
    <row r="1003" spans="1:12" ht="71.400000000000006" hidden="1" x14ac:dyDescent="0.3">
      <c r="A1003" s="69" t="s">
        <v>938</v>
      </c>
      <c r="B1003" s="70" t="s">
        <v>1230</v>
      </c>
      <c r="C1003" s="70" t="s">
        <v>1264</v>
      </c>
      <c r="D1003" s="70" t="s">
        <v>1181</v>
      </c>
      <c r="E1003" s="71" t="s">
        <v>13</v>
      </c>
      <c r="F1003" s="76">
        <v>2410.8000000000002</v>
      </c>
      <c r="G1003" s="76"/>
      <c r="H1003" s="71" t="s">
        <v>457</v>
      </c>
      <c r="I1003" s="77" t="s">
        <v>30</v>
      </c>
      <c r="J1003" s="77"/>
      <c r="K1003" s="74" t="s">
        <v>8</v>
      </c>
      <c r="L1003" s="75">
        <v>3289141.14</v>
      </c>
    </row>
    <row r="1004" spans="1:12" ht="71.400000000000006" hidden="1" x14ac:dyDescent="0.3">
      <c r="A1004" s="69" t="s">
        <v>938</v>
      </c>
      <c r="B1004" s="70" t="s">
        <v>1230</v>
      </c>
      <c r="C1004" s="70" t="s">
        <v>1265</v>
      </c>
      <c r="D1004" s="70" t="s">
        <v>1181</v>
      </c>
      <c r="E1004" s="71" t="s">
        <v>13</v>
      </c>
      <c r="F1004" s="76">
        <v>1981.2</v>
      </c>
      <c r="G1004" s="76"/>
      <c r="H1004" s="71" t="s">
        <v>457</v>
      </c>
      <c r="I1004" s="77" t="s">
        <v>30</v>
      </c>
      <c r="J1004" s="77"/>
      <c r="K1004" s="74" t="s">
        <v>8</v>
      </c>
      <c r="L1004" s="75">
        <v>3291122.34</v>
      </c>
    </row>
    <row r="1005" spans="1:12" ht="71.400000000000006" hidden="1" x14ac:dyDescent="0.3">
      <c r="A1005" s="69" t="s">
        <v>938</v>
      </c>
      <c r="B1005" s="70" t="s">
        <v>1230</v>
      </c>
      <c r="C1005" s="70" t="s">
        <v>1265</v>
      </c>
      <c r="D1005" s="70" t="s">
        <v>1181</v>
      </c>
      <c r="E1005" s="71" t="s">
        <v>13</v>
      </c>
      <c r="F1005" s="76">
        <v>2072</v>
      </c>
      <c r="G1005" s="76"/>
      <c r="H1005" s="71" t="s">
        <v>457</v>
      </c>
      <c r="I1005" s="77" t="s">
        <v>30</v>
      </c>
      <c r="J1005" s="77"/>
      <c r="K1005" s="74" t="s">
        <v>8</v>
      </c>
      <c r="L1005" s="75">
        <v>3293194.34</v>
      </c>
    </row>
    <row r="1006" spans="1:12" ht="71.400000000000006" hidden="1" x14ac:dyDescent="0.3">
      <c r="A1006" s="69" t="s">
        <v>938</v>
      </c>
      <c r="B1006" s="70" t="s">
        <v>1230</v>
      </c>
      <c r="C1006" s="70" t="s">
        <v>1265</v>
      </c>
      <c r="D1006" s="70" t="s">
        <v>1181</v>
      </c>
      <c r="E1006" s="71" t="s">
        <v>13</v>
      </c>
      <c r="F1006" s="76">
        <v>2022.1</v>
      </c>
      <c r="G1006" s="76"/>
      <c r="H1006" s="71" t="s">
        <v>457</v>
      </c>
      <c r="I1006" s="77" t="s">
        <v>30</v>
      </c>
      <c r="J1006" s="77"/>
      <c r="K1006" s="74" t="s">
        <v>8</v>
      </c>
      <c r="L1006" s="75">
        <v>3295216.44</v>
      </c>
    </row>
    <row r="1007" spans="1:12" ht="71.400000000000006" hidden="1" x14ac:dyDescent="0.3">
      <c r="A1007" s="69" t="s">
        <v>938</v>
      </c>
      <c r="B1007" s="70" t="s">
        <v>1230</v>
      </c>
      <c r="C1007" s="70" t="s">
        <v>1266</v>
      </c>
      <c r="D1007" s="70" t="s">
        <v>1181</v>
      </c>
      <c r="E1007" s="71" t="s">
        <v>13</v>
      </c>
      <c r="F1007" s="76">
        <v>1096.5999999999999</v>
      </c>
      <c r="G1007" s="76"/>
      <c r="H1007" s="71" t="s">
        <v>457</v>
      </c>
      <c r="I1007" s="77" t="s">
        <v>30</v>
      </c>
      <c r="J1007" s="77"/>
      <c r="K1007" s="74" t="s">
        <v>8</v>
      </c>
      <c r="L1007" s="75">
        <v>3296313.04</v>
      </c>
    </row>
    <row r="1008" spans="1:12" ht="71.400000000000006" hidden="1" x14ac:dyDescent="0.3">
      <c r="A1008" s="69" t="s">
        <v>938</v>
      </c>
      <c r="B1008" s="70" t="s">
        <v>1230</v>
      </c>
      <c r="C1008" s="70" t="s">
        <v>1267</v>
      </c>
      <c r="D1008" s="70" t="s">
        <v>1181</v>
      </c>
      <c r="E1008" s="71" t="s">
        <v>13</v>
      </c>
      <c r="F1008" s="76">
        <v>1904.3</v>
      </c>
      <c r="G1008" s="76"/>
      <c r="H1008" s="71" t="s">
        <v>457</v>
      </c>
      <c r="I1008" s="77" t="s">
        <v>30</v>
      </c>
      <c r="J1008" s="77"/>
      <c r="K1008" s="74" t="s">
        <v>8</v>
      </c>
      <c r="L1008" s="75">
        <v>3298217.34</v>
      </c>
    </row>
    <row r="1009" spans="1:12" ht="71.400000000000006" hidden="1" x14ac:dyDescent="0.3">
      <c r="A1009" s="69" t="s">
        <v>938</v>
      </c>
      <c r="B1009" s="70" t="s">
        <v>1230</v>
      </c>
      <c r="C1009" s="70" t="s">
        <v>1268</v>
      </c>
      <c r="D1009" s="70" t="s">
        <v>1181</v>
      </c>
      <c r="E1009" s="71" t="s">
        <v>13</v>
      </c>
      <c r="F1009" s="76">
        <v>2664.5</v>
      </c>
      <c r="G1009" s="76"/>
      <c r="H1009" s="71" t="s">
        <v>457</v>
      </c>
      <c r="I1009" s="77" t="s">
        <v>30</v>
      </c>
      <c r="J1009" s="77"/>
      <c r="K1009" s="74" t="s">
        <v>8</v>
      </c>
      <c r="L1009" s="75">
        <v>3300881.84</v>
      </c>
    </row>
    <row r="1010" spans="1:12" ht="71.400000000000006" hidden="1" x14ac:dyDescent="0.3">
      <c r="A1010" s="69" t="s">
        <v>938</v>
      </c>
      <c r="B1010" s="70" t="s">
        <v>1230</v>
      </c>
      <c r="C1010" s="70" t="s">
        <v>1269</v>
      </c>
      <c r="D1010" s="70" t="s">
        <v>1181</v>
      </c>
      <c r="E1010" s="71" t="s">
        <v>13</v>
      </c>
      <c r="F1010" s="76">
        <v>2731.6</v>
      </c>
      <c r="G1010" s="76"/>
      <c r="H1010" s="71" t="s">
        <v>457</v>
      </c>
      <c r="I1010" s="77" t="s">
        <v>30</v>
      </c>
      <c r="J1010" s="77"/>
      <c r="K1010" s="74" t="s">
        <v>8</v>
      </c>
      <c r="L1010" s="75">
        <v>3303613.44</v>
      </c>
    </row>
    <row r="1011" spans="1:12" ht="71.400000000000006" hidden="1" x14ac:dyDescent="0.3">
      <c r="A1011" s="69" t="s">
        <v>938</v>
      </c>
      <c r="B1011" s="70" t="s">
        <v>1230</v>
      </c>
      <c r="C1011" s="70" t="s">
        <v>1270</v>
      </c>
      <c r="D1011" s="70" t="s">
        <v>1181</v>
      </c>
      <c r="E1011" s="71" t="s">
        <v>13</v>
      </c>
      <c r="F1011" s="76">
        <v>2823.3</v>
      </c>
      <c r="G1011" s="76"/>
      <c r="H1011" s="71" t="s">
        <v>457</v>
      </c>
      <c r="I1011" s="77" t="s">
        <v>30</v>
      </c>
      <c r="J1011" s="77"/>
      <c r="K1011" s="74" t="s">
        <v>8</v>
      </c>
      <c r="L1011" s="75">
        <v>3306436.74</v>
      </c>
    </row>
    <row r="1012" spans="1:12" ht="71.400000000000006" hidden="1" x14ac:dyDescent="0.3">
      <c r="A1012" s="69" t="s">
        <v>938</v>
      </c>
      <c r="B1012" s="70" t="s">
        <v>1230</v>
      </c>
      <c r="C1012" s="70" t="s">
        <v>1270</v>
      </c>
      <c r="D1012" s="70" t="s">
        <v>1181</v>
      </c>
      <c r="E1012" s="71" t="s">
        <v>13</v>
      </c>
      <c r="F1012" s="76">
        <v>2806.9</v>
      </c>
      <c r="G1012" s="76"/>
      <c r="H1012" s="71" t="s">
        <v>457</v>
      </c>
      <c r="I1012" s="77" t="s">
        <v>30</v>
      </c>
      <c r="J1012" s="77"/>
      <c r="K1012" s="74" t="s">
        <v>8</v>
      </c>
      <c r="L1012" s="75">
        <v>3309243.64</v>
      </c>
    </row>
    <row r="1013" spans="1:12" ht="71.400000000000006" hidden="1" x14ac:dyDescent="0.3">
      <c r="A1013" s="69" t="s">
        <v>938</v>
      </c>
      <c r="B1013" s="70" t="s">
        <v>1230</v>
      </c>
      <c r="C1013" s="70" t="s">
        <v>1271</v>
      </c>
      <c r="D1013" s="70" t="s">
        <v>1181</v>
      </c>
      <c r="E1013" s="71" t="s">
        <v>13</v>
      </c>
      <c r="F1013" s="76">
        <v>1191.5</v>
      </c>
      <c r="G1013" s="76"/>
      <c r="H1013" s="71" t="s">
        <v>457</v>
      </c>
      <c r="I1013" s="77" t="s">
        <v>30</v>
      </c>
      <c r="J1013" s="77"/>
      <c r="K1013" s="74" t="s">
        <v>8</v>
      </c>
      <c r="L1013" s="75">
        <v>3310435.14</v>
      </c>
    </row>
    <row r="1014" spans="1:12" ht="71.400000000000006" hidden="1" x14ac:dyDescent="0.3">
      <c r="A1014" s="69" t="s">
        <v>938</v>
      </c>
      <c r="B1014" s="70" t="s">
        <v>1230</v>
      </c>
      <c r="C1014" s="70" t="s">
        <v>1272</v>
      </c>
      <c r="D1014" s="70" t="s">
        <v>1181</v>
      </c>
      <c r="E1014" s="71" t="s">
        <v>13</v>
      </c>
      <c r="F1014" s="76">
        <v>1656.3</v>
      </c>
      <c r="G1014" s="76"/>
      <c r="H1014" s="71" t="s">
        <v>457</v>
      </c>
      <c r="I1014" s="77" t="s">
        <v>30</v>
      </c>
      <c r="J1014" s="77"/>
      <c r="K1014" s="74" t="s">
        <v>8</v>
      </c>
      <c r="L1014" s="75">
        <v>3312091.44</v>
      </c>
    </row>
    <row r="1015" spans="1:12" ht="71.400000000000006" hidden="1" x14ac:dyDescent="0.3">
      <c r="A1015" s="69" t="s">
        <v>938</v>
      </c>
      <c r="B1015" s="70" t="s">
        <v>1230</v>
      </c>
      <c r="C1015" s="70" t="s">
        <v>1273</v>
      </c>
      <c r="D1015" s="70" t="s">
        <v>1181</v>
      </c>
      <c r="E1015" s="71" t="s">
        <v>13</v>
      </c>
      <c r="F1015" s="76">
        <v>3301.2</v>
      </c>
      <c r="G1015" s="76"/>
      <c r="H1015" s="71" t="s">
        <v>457</v>
      </c>
      <c r="I1015" s="77" t="s">
        <v>30</v>
      </c>
      <c r="J1015" s="77"/>
      <c r="K1015" s="74" t="s">
        <v>8</v>
      </c>
      <c r="L1015" s="75">
        <v>3315392.64</v>
      </c>
    </row>
    <row r="1016" spans="1:12" ht="71.400000000000006" hidden="1" x14ac:dyDescent="0.3">
      <c r="A1016" s="69" t="s">
        <v>938</v>
      </c>
      <c r="B1016" s="70" t="s">
        <v>1230</v>
      </c>
      <c r="C1016" s="70" t="s">
        <v>1274</v>
      </c>
      <c r="D1016" s="70" t="s">
        <v>1181</v>
      </c>
      <c r="E1016" s="71" t="s">
        <v>13</v>
      </c>
      <c r="F1016" s="76">
        <v>1329.8</v>
      </c>
      <c r="G1016" s="76"/>
      <c r="H1016" s="71" t="s">
        <v>457</v>
      </c>
      <c r="I1016" s="77" t="s">
        <v>30</v>
      </c>
      <c r="J1016" s="77"/>
      <c r="K1016" s="74" t="s">
        <v>8</v>
      </c>
      <c r="L1016" s="75">
        <v>3316722.44</v>
      </c>
    </row>
    <row r="1017" spans="1:12" ht="71.400000000000006" hidden="1" x14ac:dyDescent="0.3">
      <c r="A1017" s="69" t="s">
        <v>938</v>
      </c>
      <c r="B1017" s="70" t="s">
        <v>1230</v>
      </c>
      <c r="C1017" s="70" t="s">
        <v>1275</v>
      </c>
      <c r="D1017" s="70" t="s">
        <v>1181</v>
      </c>
      <c r="E1017" s="71" t="s">
        <v>13</v>
      </c>
      <c r="F1017" s="76">
        <v>2554.8000000000002</v>
      </c>
      <c r="G1017" s="76"/>
      <c r="H1017" s="71" t="s">
        <v>457</v>
      </c>
      <c r="I1017" s="77" t="s">
        <v>30</v>
      </c>
      <c r="J1017" s="77"/>
      <c r="K1017" s="74" t="s">
        <v>8</v>
      </c>
      <c r="L1017" s="75">
        <v>3319277.24</v>
      </c>
    </row>
    <row r="1018" spans="1:12" ht="71.400000000000006" hidden="1" x14ac:dyDescent="0.3">
      <c r="A1018" s="69" t="s">
        <v>938</v>
      </c>
      <c r="B1018" s="70" t="s">
        <v>1230</v>
      </c>
      <c r="C1018" s="70" t="s">
        <v>1276</v>
      </c>
      <c r="D1018" s="70" t="s">
        <v>1181</v>
      </c>
      <c r="E1018" s="71" t="s">
        <v>13</v>
      </c>
      <c r="F1018" s="76">
        <v>1444.4</v>
      </c>
      <c r="G1018" s="76"/>
      <c r="H1018" s="71" t="s">
        <v>457</v>
      </c>
      <c r="I1018" s="77" t="s">
        <v>30</v>
      </c>
      <c r="J1018" s="77"/>
      <c r="K1018" s="74" t="s">
        <v>8</v>
      </c>
      <c r="L1018" s="75">
        <v>3320721.64</v>
      </c>
    </row>
    <row r="1019" spans="1:12" ht="71.400000000000006" hidden="1" x14ac:dyDescent="0.3">
      <c r="A1019" s="69" t="s">
        <v>938</v>
      </c>
      <c r="B1019" s="70" t="s">
        <v>1230</v>
      </c>
      <c r="C1019" s="70" t="s">
        <v>1277</v>
      </c>
      <c r="D1019" s="70" t="s">
        <v>1181</v>
      </c>
      <c r="E1019" s="71" t="s">
        <v>13</v>
      </c>
      <c r="F1019" s="76">
        <v>1589.2</v>
      </c>
      <c r="G1019" s="76"/>
      <c r="H1019" s="71" t="s">
        <v>457</v>
      </c>
      <c r="I1019" s="77" t="s">
        <v>30</v>
      </c>
      <c r="J1019" s="77"/>
      <c r="K1019" s="74" t="s">
        <v>8</v>
      </c>
      <c r="L1019" s="75">
        <v>3322310.84</v>
      </c>
    </row>
    <row r="1020" spans="1:12" ht="71.400000000000006" hidden="1" x14ac:dyDescent="0.3">
      <c r="A1020" s="69" t="s">
        <v>938</v>
      </c>
      <c r="B1020" s="70" t="s">
        <v>1230</v>
      </c>
      <c r="C1020" s="70" t="s">
        <v>1277</v>
      </c>
      <c r="D1020" s="70" t="s">
        <v>1181</v>
      </c>
      <c r="E1020" s="71" t="s">
        <v>13</v>
      </c>
      <c r="F1020" s="76">
        <v>1493.5</v>
      </c>
      <c r="G1020" s="76"/>
      <c r="H1020" s="71" t="s">
        <v>457</v>
      </c>
      <c r="I1020" s="77" t="s">
        <v>30</v>
      </c>
      <c r="J1020" s="77"/>
      <c r="K1020" s="74" t="s">
        <v>8</v>
      </c>
      <c r="L1020" s="75">
        <v>3323804.34</v>
      </c>
    </row>
    <row r="1021" spans="1:12" ht="71.400000000000006" hidden="1" x14ac:dyDescent="0.3">
      <c r="A1021" s="69" t="s">
        <v>938</v>
      </c>
      <c r="B1021" s="70" t="s">
        <v>1230</v>
      </c>
      <c r="C1021" s="70" t="s">
        <v>1278</v>
      </c>
      <c r="D1021" s="70" t="s">
        <v>1181</v>
      </c>
      <c r="E1021" s="71" t="s">
        <v>13</v>
      </c>
      <c r="F1021" s="79">
        <v>621.1</v>
      </c>
      <c r="G1021" s="79"/>
      <c r="H1021" s="71" t="s">
        <v>457</v>
      </c>
      <c r="I1021" s="77" t="s">
        <v>30</v>
      </c>
      <c r="J1021" s="77"/>
      <c r="K1021" s="74" t="s">
        <v>8</v>
      </c>
      <c r="L1021" s="75">
        <v>3324425.44</v>
      </c>
    </row>
    <row r="1022" spans="1:12" ht="71.400000000000006" hidden="1" x14ac:dyDescent="0.3">
      <c r="A1022" s="69" t="s">
        <v>938</v>
      </c>
      <c r="B1022" s="70" t="s">
        <v>1230</v>
      </c>
      <c r="C1022" s="70" t="s">
        <v>1279</v>
      </c>
      <c r="D1022" s="70" t="s">
        <v>1181</v>
      </c>
      <c r="E1022" s="71" t="s">
        <v>13</v>
      </c>
      <c r="F1022" s="76">
        <v>3235.7</v>
      </c>
      <c r="G1022" s="76"/>
      <c r="H1022" s="71" t="s">
        <v>457</v>
      </c>
      <c r="I1022" s="77" t="s">
        <v>30</v>
      </c>
      <c r="J1022" s="77"/>
      <c r="K1022" s="74" t="s">
        <v>8</v>
      </c>
      <c r="L1022" s="75">
        <v>3327661.14</v>
      </c>
    </row>
    <row r="1023" spans="1:12" ht="71.400000000000006" hidden="1" x14ac:dyDescent="0.3">
      <c r="A1023" s="69" t="s">
        <v>938</v>
      </c>
      <c r="B1023" s="70" t="s">
        <v>1230</v>
      </c>
      <c r="C1023" s="70" t="s">
        <v>1280</v>
      </c>
      <c r="D1023" s="70" t="s">
        <v>1181</v>
      </c>
      <c r="E1023" s="71" t="s">
        <v>13</v>
      </c>
      <c r="F1023" s="76">
        <v>3018.8</v>
      </c>
      <c r="G1023" s="76"/>
      <c r="H1023" s="71" t="s">
        <v>457</v>
      </c>
      <c r="I1023" s="77" t="s">
        <v>30</v>
      </c>
      <c r="J1023" s="77"/>
      <c r="K1023" s="74" t="s">
        <v>8</v>
      </c>
      <c r="L1023" s="75">
        <v>3330679.94</v>
      </c>
    </row>
    <row r="1024" spans="1:12" ht="71.400000000000006" hidden="1" x14ac:dyDescent="0.3">
      <c r="A1024" s="69" t="s">
        <v>938</v>
      </c>
      <c r="B1024" s="70" t="s">
        <v>1230</v>
      </c>
      <c r="C1024" s="70" t="s">
        <v>1280</v>
      </c>
      <c r="D1024" s="70" t="s">
        <v>1181</v>
      </c>
      <c r="E1024" s="71" t="s">
        <v>13</v>
      </c>
      <c r="F1024" s="76">
        <v>2457.5</v>
      </c>
      <c r="G1024" s="76"/>
      <c r="H1024" s="71" t="s">
        <v>457</v>
      </c>
      <c r="I1024" s="77" t="s">
        <v>30</v>
      </c>
      <c r="J1024" s="77"/>
      <c r="K1024" s="74" t="s">
        <v>8</v>
      </c>
      <c r="L1024" s="75">
        <v>3333137.44</v>
      </c>
    </row>
    <row r="1025" spans="1:12" ht="71.400000000000006" hidden="1" x14ac:dyDescent="0.3">
      <c r="A1025" s="69" t="s">
        <v>938</v>
      </c>
      <c r="B1025" s="70" t="s">
        <v>1230</v>
      </c>
      <c r="C1025" s="70" t="s">
        <v>1281</v>
      </c>
      <c r="D1025" s="70" t="s">
        <v>1181</v>
      </c>
      <c r="E1025" s="71" t="s">
        <v>13</v>
      </c>
      <c r="F1025" s="76">
        <v>1567.1</v>
      </c>
      <c r="G1025" s="76"/>
      <c r="H1025" s="71" t="s">
        <v>457</v>
      </c>
      <c r="I1025" s="77" t="s">
        <v>30</v>
      </c>
      <c r="J1025" s="77"/>
      <c r="K1025" s="74" t="s">
        <v>8</v>
      </c>
      <c r="L1025" s="75">
        <v>3334704.54</v>
      </c>
    </row>
    <row r="1026" spans="1:12" ht="71.400000000000006" hidden="1" x14ac:dyDescent="0.3">
      <c r="A1026" s="69" t="s">
        <v>938</v>
      </c>
      <c r="B1026" s="70" t="s">
        <v>1230</v>
      </c>
      <c r="C1026" s="70" t="s">
        <v>1282</v>
      </c>
      <c r="D1026" s="70" t="s">
        <v>1181</v>
      </c>
      <c r="E1026" s="71" t="s">
        <v>13</v>
      </c>
      <c r="F1026" s="79">
        <v>671.9</v>
      </c>
      <c r="G1026" s="79"/>
      <c r="H1026" s="71" t="s">
        <v>457</v>
      </c>
      <c r="I1026" s="77" t="s">
        <v>30</v>
      </c>
      <c r="J1026" s="77"/>
      <c r="K1026" s="74" t="s">
        <v>8</v>
      </c>
      <c r="L1026" s="75">
        <v>3335376.44</v>
      </c>
    </row>
    <row r="1027" spans="1:12" ht="71.400000000000006" hidden="1" x14ac:dyDescent="0.3">
      <c r="A1027" s="69" t="s">
        <v>938</v>
      </c>
      <c r="B1027" s="70" t="s">
        <v>1230</v>
      </c>
      <c r="C1027" s="70" t="s">
        <v>1283</v>
      </c>
      <c r="D1027" s="70" t="s">
        <v>1181</v>
      </c>
      <c r="E1027" s="71" t="s">
        <v>13</v>
      </c>
      <c r="F1027" s="76">
        <v>2534.4</v>
      </c>
      <c r="G1027" s="76"/>
      <c r="H1027" s="71" t="s">
        <v>457</v>
      </c>
      <c r="I1027" s="77" t="s">
        <v>30</v>
      </c>
      <c r="J1027" s="77"/>
      <c r="K1027" s="74" t="s">
        <v>8</v>
      </c>
      <c r="L1027" s="75">
        <v>3337910.84</v>
      </c>
    </row>
    <row r="1028" spans="1:12" ht="71.400000000000006" hidden="1" x14ac:dyDescent="0.3">
      <c r="A1028" s="69" t="s">
        <v>938</v>
      </c>
      <c r="B1028" s="70" t="s">
        <v>1230</v>
      </c>
      <c r="C1028" s="70" t="s">
        <v>1284</v>
      </c>
      <c r="D1028" s="70" t="s">
        <v>1181</v>
      </c>
      <c r="E1028" s="71" t="s">
        <v>13</v>
      </c>
      <c r="F1028" s="76">
        <v>1252.0999999999999</v>
      </c>
      <c r="G1028" s="76"/>
      <c r="H1028" s="71" t="s">
        <v>457</v>
      </c>
      <c r="I1028" s="77" t="s">
        <v>30</v>
      </c>
      <c r="J1028" s="77"/>
      <c r="K1028" s="74" t="s">
        <v>8</v>
      </c>
      <c r="L1028" s="75">
        <v>3339162.94</v>
      </c>
    </row>
    <row r="1029" spans="1:12" ht="71.400000000000006" hidden="1" x14ac:dyDescent="0.3">
      <c r="A1029" s="69" t="s">
        <v>938</v>
      </c>
      <c r="B1029" s="70" t="s">
        <v>1230</v>
      </c>
      <c r="C1029" s="70" t="s">
        <v>1285</v>
      </c>
      <c r="D1029" s="70" t="s">
        <v>1181</v>
      </c>
      <c r="E1029" s="71" t="s">
        <v>13</v>
      </c>
      <c r="F1029" s="76">
        <v>2968.9</v>
      </c>
      <c r="G1029" s="76"/>
      <c r="H1029" s="71" t="s">
        <v>457</v>
      </c>
      <c r="I1029" s="77" t="s">
        <v>30</v>
      </c>
      <c r="J1029" s="77"/>
      <c r="K1029" s="74" t="s">
        <v>8</v>
      </c>
      <c r="L1029" s="75">
        <v>3342131.84</v>
      </c>
    </row>
    <row r="1030" spans="1:12" ht="71.400000000000006" hidden="1" x14ac:dyDescent="0.3">
      <c r="A1030" s="69" t="s">
        <v>938</v>
      </c>
      <c r="B1030" s="70" t="s">
        <v>1230</v>
      </c>
      <c r="C1030" s="70" t="s">
        <v>1285</v>
      </c>
      <c r="D1030" s="70" t="s">
        <v>1181</v>
      </c>
      <c r="E1030" s="71" t="s">
        <v>13</v>
      </c>
      <c r="F1030" s="76">
        <v>2510.6</v>
      </c>
      <c r="G1030" s="76"/>
      <c r="H1030" s="71" t="s">
        <v>457</v>
      </c>
      <c r="I1030" s="77" t="s">
        <v>30</v>
      </c>
      <c r="J1030" s="77"/>
      <c r="K1030" s="74" t="s">
        <v>8</v>
      </c>
      <c r="L1030" s="75">
        <v>3344642.44</v>
      </c>
    </row>
    <row r="1031" spans="1:12" ht="71.400000000000006" hidden="1" x14ac:dyDescent="0.3">
      <c r="A1031" s="69" t="s">
        <v>938</v>
      </c>
      <c r="B1031" s="70" t="s">
        <v>1230</v>
      </c>
      <c r="C1031" s="70" t="s">
        <v>1286</v>
      </c>
      <c r="D1031" s="70" t="s">
        <v>1181</v>
      </c>
      <c r="E1031" s="71" t="s">
        <v>13</v>
      </c>
      <c r="F1031" s="76">
        <v>1587.6</v>
      </c>
      <c r="G1031" s="76"/>
      <c r="H1031" s="71" t="s">
        <v>457</v>
      </c>
      <c r="I1031" s="77" t="s">
        <v>30</v>
      </c>
      <c r="J1031" s="77"/>
      <c r="K1031" s="74" t="s">
        <v>8</v>
      </c>
      <c r="L1031" s="75">
        <v>3346230.04</v>
      </c>
    </row>
    <row r="1032" spans="1:12" ht="71.400000000000006" hidden="1" x14ac:dyDescent="0.3">
      <c r="A1032" s="69" t="s">
        <v>938</v>
      </c>
      <c r="B1032" s="70" t="s">
        <v>1230</v>
      </c>
      <c r="C1032" s="70" t="s">
        <v>1287</v>
      </c>
      <c r="D1032" s="70" t="s">
        <v>1181</v>
      </c>
      <c r="E1032" s="71" t="s">
        <v>13</v>
      </c>
      <c r="F1032" s="76">
        <v>1002.5</v>
      </c>
      <c r="G1032" s="76"/>
      <c r="H1032" s="71" t="s">
        <v>457</v>
      </c>
      <c r="I1032" s="77" t="s">
        <v>30</v>
      </c>
      <c r="J1032" s="77"/>
      <c r="K1032" s="74" t="s">
        <v>8</v>
      </c>
      <c r="L1032" s="75">
        <v>3347232.54</v>
      </c>
    </row>
    <row r="1033" spans="1:12" ht="71.400000000000006" hidden="1" x14ac:dyDescent="0.3">
      <c r="A1033" s="69" t="s">
        <v>938</v>
      </c>
      <c r="B1033" s="70" t="s">
        <v>1230</v>
      </c>
      <c r="C1033" s="70" t="s">
        <v>1288</v>
      </c>
      <c r="D1033" s="70" t="s">
        <v>1181</v>
      </c>
      <c r="E1033" s="71" t="s">
        <v>13</v>
      </c>
      <c r="F1033" s="76">
        <v>1869.1</v>
      </c>
      <c r="G1033" s="76"/>
      <c r="H1033" s="71" t="s">
        <v>457</v>
      </c>
      <c r="I1033" s="77" t="s">
        <v>30</v>
      </c>
      <c r="J1033" s="77"/>
      <c r="K1033" s="74" t="s">
        <v>8</v>
      </c>
      <c r="L1033" s="75">
        <v>3349101.64</v>
      </c>
    </row>
    <row r="1034" spans="1:12" ht="71.400000000000006" hidden="1" x14ac:dyDescent="0.3">
      <c r="A1034" s="69" t="s">
        <v>938</v>
      </c>
      <c r="B1034" s="70" t="s">
        <v>1230</v>
      </c>
      <c r="C1034" s="70" t="s">
        <v>1289</v>
      </c>
      <c r="D1034" s="70" t="s">
        <v>1181</v>
      </c>
      <c r="E1034" s="71" t="s">
        <v>13</v>
      </c>
      <c r="F1034" s="76">
        <v>3133.4</v>
      </c>
      <c r="G1034" s="76"/>
      <c r="H1034" s="71" t="s">
        <v>457</v>
      </c>
      <c r="I1034" s="77" t="s">
        <v>30</v>
      </c>
      <c r="J1034" s="77"/>
      <c r="K1034" s="74" t="s">
        <v>8</v>
      </c>
      <c r="L1034" s="75">
        <v>3352235.04</v>
      </c>
    </row>
    <row r="1035" spans="1:12" ht="71.400000000000006" hidden="1" x14ac:dyDescent="0.3">
      <c r="A1035" s="69" t="s">
        <v>938</v>
      </c>
      <c r="B1035" s="70" t="s">
        <v>1230</v>
      </c>
      <c r="C1035" s="70" t="s">
        <v>1290</v>
      </c>
      <c r="D1035" s="70" t="s">
        <v>1181</v>
      </c>
      <c r="E1035" s="71" t="s">
        <v>13</v>
      </c>
      <c r="F1035" s="76">
        <v>2766</v>
      </c>
      <c r="G1035" s="76"/>
      <c r="H1035" s="71" t="s">
        <v>457</v>
      </c>
      <c r="I1035" s="77" t="s">
        <v>30</v>
      </c>
      <c r="J1035" s="77"/>
      <c r="K1035" s="74" t="s">
        <v>8</v>
      </c>
      <c r="L1035" s="75">
        <v>3355001.04</v>
      </c>
    </row>
    <row r="1036" spans="1:12" ht="71.400000000000006" hidden="1" x14ac:dyDescent="0.3">
      <c r="A1036" s="69" t="s">
        <v>938</v>
      </c>
      <c r="B1036" s="70" t="s">
        <v>1230</v>
      </c>
      <c r="C1036" s="70" t="s">
        <v>1290</v>
      </c>
      <c r="D1036" s="70" t="s">
        <v>1181</v>
      </c>
      <c r="E1036" s="71" t="s">
        <v>13</v>
      </c>
      <c r="F1036" s="76">
        <v>5754.6</v>
      </c>
      <c r="G1036" s="76"/>
      <c r="H1036" s="71" t="s">
        <v>457</v>
      </c>
      <c r="I1036" s="77" t="s">
        <v>30</v>
      </c>
      <c r="J1036" s="77"/>
      <c r="K1036" s="74" t="s">
        <v>8</v>
      </c>
      <c r="L1036" s="75">
        <v>3360755.64</v>
      </c>
    </row>
    <row r="1037" spans="1:12" ht="71.400000000000006" hidden="1" x14ac:dyDescent="0.3">
      <c r="A1037" s="69" t="s">
        <v>938</v>
      </c>
      <c r="B1037" s="70" t="s">
        <v>1230</v>
      </c>
      <c r="C1037" s="70" t="s">
        <v>1291</v>
      </c>
      <c r="D1037" s="70" t="s">
        <v>1181</v>
      </c>
      <c r="E1037" s="71" t="s">
        <v>13</v>
      </c>
      <c r="F1037" s="76">
        <v>1337.2</v>
      </c>
      <c r="G1037" s="76"/>
      <c r="H1037" s="71" t="s">
        <v>457</v>
      </c>
      <c r="I1037" s="77" t="s">
        <v>30</v>
      </c>
      <c r="J1037" s="77"/>
      <c r="K1037" s="74" t="s">
        <v>8</v>
      </c>
      <c r="L1037" s="75">
        <v>3362092.84</v>
      </c>
    </row>
    <row r="1038" spans="1:12" ht="71.400000000000006" hidden="1" x14ac:dyDescent="0.3">
      <c r="A1038" s="69" t="s">
        <v>938</v>
      </c>
      <c r="B1038" s="70" t="s">
        <v>1230</v>
      </c>
      <c r="C1038" s="70" t="s">
        <v>1292</v>
      </c>
      <c r="D1038" s="70" t="s">
        <v>1181</v>
      </c>
      <c r="E1038" s="71" t="s">
        <v>13</v>
      </c>
      <c r="F1038" s="76">
        <v>1918.2</v>
      </c>
      <c r="G1038" s="76"/>
      <c r="H1038" s="71" t="s">
        <v>457</v>
      </c>
      <c r="I1038" s="77" t="s">
        <v>30</v>
      </c>
      <c r="J1038" s="77"/>
      <c r="K1038" s="74" t="s">
        <v>8</v>
      </c>
      <c r="L1038" s="75">
        <v>3364011.04</v>
      </c>
    </row>
    <row r="1039" spans="1:12" ht="71.400000000000006" hidden="1" x14ac:dyDescent="0.3">
      <c r="A1039" s="69" t="s">
        <v>938</v>
      </c>
      <c r="B1039" s="70" t="s">
        <v>1230</v>
      </c>
      <c r="C1039" s="70" t="s">
        <v>1293</v>
      </c>
      <c r="D1039" s="70" t="s">
        <v>1181</v>
      </c>
      <c r="E1039" s="71" t="s">
        <v>13</v>
      </c>
      <c r="F1039" s="76">
        <v>2462.4</v>
      </c>
      <c r="G1039" s="76"/>
      <c r="H1039" s="71" t="s">
        <v>457</v>
      </c>
      <c r="I1039" s="77" t="s">
        <v>30</v>
      </c>
      <c r="J1039" s="77"/>
      <c r="K1039" s="74" t="s">
        <v>8</v>
      </c>
      <c r="L1039" s="75">
        <v>3366473.44</v>
      </c>
    </row>
    <row r="1040" spans="1:12" ht="81.599999999999994" hidden="1" x14ac:dyDescent="0.3">
      <c r="A1040" s="69" t="s">
        <v>938</v>
      </c>
      <c r="B1040" s="70" t="s">
        <v>1230</v>
      </c>
      <c r="C1040" s="70" t="s">
        <v>1294</v>
      </c>
      <c r="D1040" s="70" t="s">
        <v>1181</v>
      </c>
      <c r="E1040" s="71" t="s">
        <v>13</v>
      </c>
      <c r="F1040" s="76">
        <v>3461.6</v>
      </c>
      <c r="G1040" s="76"/>
      <c r="H1040" s="71" t="s">
        <v>457</v>
      </c>
      <c r="I1040" s="77" t="s">
        <v>30</v>
      </c>
      <c r="J1040" s="77"/>
      <c r="K1040" s="74" t="s">
        <v>8</v>
      </c>
      <c r="L1040" s="75">
        <v>3369935.04</v>
      </c>
    </row>
    <row r="1041" spans="1:12" ht="81.599999999999994" hidden="1" x14ac:dyDescent="0.3">
      <c r="A1041" s="69" t="s">
        <v>938</v>
      </c>
      <c r="B1041" s="70" t="s">
        <v>1230</v>
      </c>
      <c r="C1041" s="70" t="s">
        <v>1294</v>
      </c>
      <c r="D1041" s="70" t="s">
        <v>1181</v>
      </c>
      <c r="E1041" s="71" t="s">
        <v>13</v>
      </c>
      <c r="F1041" s="76">
        <v>2940.3</v>
      </c>
      <c r="G1041" s="76"/>
      <c r="H1041" s="71" t="s">
        <v>457</v>
      </c>
      <c r="I1041" s="77" t="s">
        <v>30</v>
      </c>
      <c r="J1041" s="77"/>
      <c r="K1041" s="74" t="s">
        <v>8</v>
      </c>
      <c r="L1041" s="75">
        <v>3372875.34</v>
      </c>
    </row>
    <row r="1042" spans="1:12" ht="81.599999999999994" hidden="1" x14ac:dyDescent="0.3">
      <c r="A1042" s="69" t="s">
        <v>938</v>
      </c>
      <c r="B1042" s="70" t="s">
        <v>1230</v>
      </c>
      <c r="C1042" s="70" t="s">
        <v>1294</v>
      </c>
      <c r="D1042" s="70" t="s">
        <v>1181</v>
      </c>
      <c r="E1042" s="71" t="s">
        <v>13</v>
      </c>
      <c r="F1042" s="76">
        <v>3252.9</v>
      </c>
      <c r="G1042" s="76"/>
      <c r="H1042" s="71" t="s">
        <v>457</v>
      </c>
      <c r="I1042" s="77" t="s">
        <v>30</v>
      </c>
      <c r="J1042" s="77"/>
      <c r="K1042" s="74" t="s">
        <v>8</v>
      </c>
      <c r="L1042" s="75">
        <v>3376128.24</v>
      </c>
    </row>
    <row r="1043" spans="1:12" ht="81.599999999999994" hidden="1" x14ac:dyDescent="0.3">
      <c r="A1043" s="69" t="s">
        <v>938</v>
      </c>
      <c r="B1043" s="70" t="s">
        <v>1230</v>
      </c>
      <c r="C1043" s="70" t="s">
        <v>1295</v>
      </c>
      <c r="D1043" s="70" t="s">
        <v>1181</v>
      </c>
      <c r="E1043" s="71" t="s">
        <v>13</v>
      </c>
      <c r="F1043" s="76">
        <v>1472.2</v>
      </c>
      <c r="G1043" s="76"/>
      <c r="H1043" s="71" t="s">
        <v>457</v>
      </c>
      <c r="I1043" s="77" t="s">
        <v>30</v>
      </c>
      <c r="J1043" s="77"/>
      <c r="K1043" s="74" t="s">
        <v>8</v>
      </c>
      <c r="L1043" s="75">
        <v>3377600.44</v>
      </c>
    </row>
    <row r="1044" spans="1:12" ht="81.599999999999994" hidden="1" x14ac:dyDescent="0.3">
      <c r="A1044" s="69" t="s">
        <v>938</v>
      </c>
      <c r="B1044" s="70" t="s">
        <v>1230</v>
      </c>
      <c r="C1044" s="70" t="s">
        <v>1296</v>
      </c>
      <c r="D1044" s="70" t="s">
        <v>1181</v>
      </c>
      <c r="E1044" s="71" t="s">
        <v>13</v>
      </c>
      <c r="F1044" s="76">
        <v>3004.9</v>
      </c>
      <c r="G1044" s="76"/>
      <c r="H1044" s="71" t="s">
        <v>457</v>
      </c>
      <c r="I1044" s="77" t="s">
        <v>30</v>
      </c>
      <c r="J1044" s="77"/>
      <c r="K1044" s="74" t="s">
        <v>8</v>
      </c>
      <c r="L1044" s="75">
        <v>3380605.34</v>
      </c>
    </row>
    <row r="1045" spans="1:12" ht="71.400000000000006" hidden="1" x14ac:dyDescent="0.3">
      <c r="A1045" s="69" t="s">
        <v>938</v>
      </c>
      <c r="B1045" s="70" t="s">
        <v>1230</v>
      </c>
      <c r="C1045" s="70" t="s">
        <v>1297</v>
      </c>
      <c r="D1045" s="70" t="s">
        <v>1181</v>
      </c>
      <c r="E1045" s="71" t="s">
        <v>13</v>
      </c>
      <c r="F1045" s="76">
        <v>2012.3</v>
      </c>
      <c r="G1045" s="76"/>
      <c r="H1045" s="71" t="s">
        <v>457</v>
      </c>
      <c r="I1045" s="77" t="s">
        <v>30</v>
      </c>
      <c r="J1045" s="77"/>
      <c r="K1045" s="74" t="s">
        <v>8</v>
      </c>
      <c r="L1045" s="75">
        <v>3382617.64</v>
      </c>
    </row>
    <row r="1046" spans="1:12" ht="71.400000000000006" hidden="1" x14ac:dyDescent="0.3">
      <c r="A1046" s="69" t="s">
        <v>938</v>
      </c>
      <c r="B1046" s="70" t="s">
        <v>1230</v>
      </c>
      <c r="C1046" s="70" t="s">
        <v>1298</v>
      </c>
      <c r="D1046" s="70" t="s">
        <v>1181</v>
      </c>
      <c r="E1046" s="71" t="s">
        <v>13</v>
      </c>
      <c r="F1046" s="76">
        <v>2664.5</v>
      </c>
      <c r="G1046" s="76"/>
      <c r="H1046" s="71" t="s">
        <v>457</v>
      </c>
      <c r="I1046" s="77" t="s">
        <v>30</v>
      </c>
      <c r="J1046" s="77"/>
      <c r="K1046" s="74" t="s">
        <v>8</v>
      </c>
      <c r="L1046" s="75">
        <v>3385282.14</v>
      </c>
    </row>
    <row r="1047" spans="1:12" ht="81.599999999999994" hidden="1" x14ac:dyDescent="0.3">
      <c r="A1047" s="69" t="s">
        <v>938</v>
      </c>
      <c r="B1047" s="70" t="s">
        <v>1230</v>
      </c>
      <c r="C1047" s="70" t="s">
        <v>1296</v>
      </c>
      <c r="D1047" s="70" t="s">
        <v>1181</v>
      </c>
      <c r="E1047" s="71" t="s">
        <v>13</v>
      </c>
      <c r="F1047" s="76">
        <v>2423.1</v>
      </c>
      <c r="G1047" s="76"/>
      <c r="H1047" s="71" t="s">
        <v>457</v>
      </c>
      <c r="I1047" s="77" t="s">
        <v>30</v>
      </c>
      <c r="J1047" s="77"/>
      <c r="K1047" s="74" t="s">
        <v>8</v>
      </c>
      <c r="L1047" s="75">
        <v>3387705.24</v>
      </c>
    </row>
    <row r="1048" spans="1:12" ht="71.400000000000006" hidden="1" x14ac:dyDescent="0.3">
      <c r="A1048" s="69" t="s">
        <v>938</v>
      </c>
      <c r="B1048" s="70" t="s">
        <v>1230</v>
      </c>
      <c r="C1048" s="70" t="s">
        <v>1299</v>
      </c>
      <c r="D1048" s="70" t="s">
        <v>1181</v>
      </c>
      <c r="E1048" s="71" t="s">
        <v>13</v>
      </c>
      <c r="F1048" s="76">
        <v>1990.2</v>
      </c>
      <c r="G1048" s="76"/>
      <c r="H1048" s="71" t="s">
        <v>457</v>
      </c>
      <c r="I1048" s="77" t="s">
        <v>30</v>
      </c>
      <c r="J1048" s="77"/>
      <c r="K1048" s="74" t="s">
        <v>8</v>
      </c>
      <c r="L1048" s="75">
        <v>3389695.44</v>
      </c>
    </row>
    <row r="1049" spans="1:12" ht="71.400000000000006" hidden="1" x14ac:dyDescent="0.3">
      <c r="A1049" s="69" t="s">
        <v>938</v>
      </c>
      <c r="B1049" s="70" t="s">
        <v>1230</v>
      </c>
      <c r="C1049" s="70" t="s">
        <v>1300</v>
      </c>
      <c r="D1049" s="70" t="s">
        <v>1181</v>
      </c>
      <c r="E1049" s="71" t="s">
        <v>13</v>
      </c>
      <c r="F1049" s="76">
        <v>1454.2</v>
      </c>
      <c r="G1049" s="76"/>
      <c r="H1049" s="71" t="s">
        <v>457</v>
      </c>
      <c r="I1049" s="77" t="s">
        <v>30</v>
      </c>
      <c r="J1049" s="77"/>
      <c r="K1049" s="74" t="s">
        <v>8</v>
      </c>
      <c r="L1049" s="75">
        <v>3391149.64</v>
      </c>
    </row>
    <row r="1050" spans="1:12" ht="71.400000000000006" hidden="1" x14ac:dyDescent="0.3">
      <c r="A1050" s="69" t="s">
        <v>938</v>
      </c>
      <c r="B1050" s="70" t="s">
        <v>1230</v>
      </c>
      <c r="C1050" s="70" t="s">
        <v>1301</v>
      </c>
      <c r="D1050" s="70" t="s">
        <v>1181</v>
      </c>
      <c r="E1050" s="71" t="s">
        <v>13</v>
      </c>
      <c r="F1050" s="76">
        <v>3234.1</v>
      </c>
      <c r="G1050" s="76"/>
      <c r="H1050" s="71" t="s">
        <v>457</v>
      </c>
      <c r="I1050" s="77" t="s">
        <v>30</v>
      </c>
      <c r="J1050" s="77"/>
      <c r="K1050" s="74" t="s">
        <v>8</v>
      </c>
      <c r="L1050" s="75">
        <v>3394383.74</v>
      </c>
    </row>
    <row r="1051" spans="1:12" ht="71.400000000000006" hidden="1" x14ac:dyDescent="0.3">
      <c r="A1051" s="69" t="s">
        <v>938</v>
      </c>
      <c r="B1051" s="70" t="s">
        <v>1230</v>
      </c>
      <c r="C1051" s="70" t="s">
        <v>1302</v>
      </c>
      <c r="D1051" s="70" t="s">
        <v>1181</v>
      </c>
      <c r="E1051" s="71" t="s">
        <v>13</v>
      </c>
      <c r="F1051" s="76">
        <v>53942</v>
      </c>
      <c r="G1051" s="76"/>
      <c r="H1051" s="71" t="s">
        <v>457</v>
      </c>
      <c r="I1051" s="77" t="s">
        <v>30</v>
      </c>
      <c r="J1051" s="77"/>
      <c r="K1051" s="74" t="s">
        <v>8</v>
      </c>
      <c r="L1051" s="75">
        <v>3448325.74</v>
      </c>
    </row>
    <row r="1052" spans="1:12" ht="71.400000000000006" hidden="1" x14ac:dyDescent="0.3">
      <c r="A1052" s="69" t="s">
        <v>938</v>
      </c>
      <c r="B1052" s="70" t="s">
        <v>1230</v>
      </c>
      <c r="C1052" s="70" t="s">
        <v>1303</v>
      </c>
      <c r="D1052" s="70" t="s">
        <v>1181</v>
      </c>
      <c r="E1052" s="71" t="s">
        <v>13</v>
      </c>
      <c r="F1052" s="76">
        <v>23552</v>
      </c>
      <c r="G1052" s="76"/>
      <c r="H1052" s="71" t="s">
        <v>457</v>
      </c>
      <c r="I1052" s="77" t="s">
        <v>30</v>
      </c>
      <c r="J1052" s="77"/>
      <c r="K1052" s="74" t="s">
        <v>8</v>
      </c>
      <c r="L1052" s="75">
        <v>3471877.74</v>
      </c>
    </row>
    <row r="1053" spans="1:12" ht="71.400000000000006" hidden="1" x14ac:dyDescent="0.3">
      <c r="A1053" s="69" t="s">
        <v>938</v>
      </c>
      <c r="B1053" s="70" t="s">
        <v>1230</v>
      </c>
      <c r="C1053" s="70" t="s">
        <v>1304</v>
      </c>
      <c r="D1053" s="70" t="s">
        <v>1181</v>
      </c>
      <c r="E1053" s="71" t="s">
        <v>13</v>
      </c>
      <c r="F1053" s="76">
        <v>1639.2</v>
      </c>
      <c r="G1053" s="76"/>
      <c r="H1053" s="71" t="s">
        <v>457</v>
      </c>
      <c r="I1053" s="77" t="s">
        <v>30</v>
      </c>
      <c r="J1053" s="77"/>
      <c r="K1053" s="74" t="s">
        <v>8</v>
      </c>
      <c r="L1053" s="75">
        <v>3473516.94</v>
      </c>
    </row>
    <row r="1054" spans="1:12" ht="71.400000000000006" hidden="1" x14ac:dyDescent="0.3">
      <c r="A1054" s="69" t="s">
        <v>938</v>
      </c>
      <c r="B1054" s="70" t="s">
        <v>1230</v>
      </c>
      <c r="C1054" s="70" t="s">
        <v>1305</v>
      </c>
      <c r="D1054" s="70" t="s">
        <v>1181</v>
      </c>
      <c r="E1054" s="71" t="s">
        <v>13</v>
      </c>
      <c r="F1054" s="76">
        <v>6686.4</v>
      </c>
      <c r="G1054" s="76"/>
      <c r="H1054" s="71" t="s">
        <v>457</v>
      </c>
      <c r="I1054" s="77" t="s">
        <v>30</v>
      </c>
      <c r="J1054" s="77"/>
      <c r="K1054" s="74" t="s">
        <v>8</v>
      </c>
      <c r="L1054" s="75">
        <v>3480203.34</v>
      </c>
    </row>
    <row r="1055" spans="1:12" ht="71.400000000000006" hidden="1" x14ac:dyDescent="0.3">
      <c r="A1055" s="69" t="s">
        <v>938</v>
      </c>
      <c r="B1055" s="70" t="s">
        <v>1230</v>
      </c>
      <c r="C1055" s="70" t="s">
        <v>1306</v>
      </c>
      <c r="D1055" s="70" t="s">
        <v>1181</v>
      </c>
      <c r="E1055" s="71" t="s">
        <v>13</v>
      </c>
      <c r="F1055" s="76">
        <v>8232</v>
      </c>
      <c r="G1055" s="76"/>
      <c r="H1055" s="71" t="s">
        <v>457</v>
      </c>
      <c r="I1055" s="77" t="s">
        <v>30</v>
      </c>
      <c r="J1055" s="77"/>
      <c r="K1055" s="74" t="s">
        <v>8</v>
      </c>
      <c r="L1055" s="75">
        <v>3488435.34</v>
      </c>
    </row>
    <row r="1056" spans="1:12" ht="61.2" x14ac:dyDescent="0.3">
      <c r="A1056" s="69" t="s">
        <v>1307</v>
      </c>
      <c r="B1056" s="70" t="s">
        <v>1308</v>
      </c>
      <c r="C1056" s="70" t="s">
        <v>518</v>
      </c>
      <c r="D1056" s="70" t="s">
        <v>1309</v>
      </c>
      <c r="E1056" s="71" t="s">
        <v>165</v>
      </c>
      <c r="F1056" s="72" t="s">
        <v>30</v>
      </c>
      <c r="G1056" s="72"/>
      <c r="H1056" s="71" t="s">
        <v>13</v>
      </c>
      <c r="I1056" s="78">
        <v>130</v>
      </c>
      <c r="J1056" s="78"/>
      <c r="K1056" s="74" t="s">
        <v>8</v>
      </c>
      <c r="L1056" s="75">
        <v>87680.12</v>
      </c>
    </row>
    <row r="1057" spans="1:12" ht="71.400000000000006" hidden="1" x14ac:dyDescent="0.3">
      <c r="A1057" s="69" t="s">
        <v>1307</v>
      </c>
      <c r="B1057" s="70" t="s">
        <v>1310</v>
      </c>
      <c r="C1057" s="70" t="s">
        <v>1311</v>
      </c>
      <c r="D1057" s="70" t="s">
        <v>1312</v>
      </c>
      <c r="E1057" s="71" t="s">
        <v>13</v>
      </c>
      <c r="F1057" s="76">
        <v>1750</v>
      </c>
      <c r="G1057" s="76"/>
      <c r="H1057" s="71" t="s">
        <v>342</v>
      </c>
      <c r="I1057" s="77" t="s">
        <v>30</v>
      </c>
      <c r="J1057" s="77"/>
      <c r="K1057" s="74" t="s">
        <v>8</v>
      </c>
      <c r="L1057" s="75">
        <v>3490185.34</v>
      </c>
    </row>
    <row r="1058" spans="1:12" ht="71.400000000000006" hidden="1" x14ac:dyDescent="0.3">
      <c r="A1058" s="69" t="s">
        <v>1307</v>
      </c>
      <c r="B1058" s="70" t="s">
        <v>1310</v>
      </c>
      <c r="C1058" s="70" t="s">
        <v>1313</v>
      </c>
      <c r="D1058" s="70" t="s">
        <v>1314</v>
      </c>
      <c r="E1058" s="71" t="s">
        <v>13</v>
      </c>
      <c r="F1058" s="79">
        <v>432.48</v>
      </c>
      <c r="G1058" s="79"/>
      <c r="H1058" s="71" t="s">
        <v>342</v>
      </c>
      <c r="I1058" s="77" t="s">
        <v>30</v>
      </c>
      <c r="J1058" s="77"/>
      <c r="K1058" s="74" t="s">
        <v>8</v>
      </c>
      <c r="L1058" s="75">
        <v>3490617.82</v>
      </c>
    </row>
    <row r="1059" spans="1:12" ht="71.400000000000006" x14ac:dyDescent="0.3">
      <c r="A1059" s="69" t="s">
        <v>1307</v>
      </c>
      <c r="B1059" s="70" t="s">
        <v>1315</v>
      </c>
      <c r="C1059" s="70" t="s">
        <v>518</v>
      </c>
      <c r="D1059" s="70" t="s">
        <v>1311</v>
      </c>
      <c r="E1059" s="71" t="s">
        <v>165</v>
      </c>
      <c r="F1059" s="72" t="s">
        <v>30</v>
      </c>
      <c r="G1059" s="72"/>
      <c r="H1059" s="71" t="s">
        <v>13</v>
      </c>
      <c r="I1059" s="73">
        <v>1750</v>
      </c>
      <c r="J1059" s="73"/>
      <c r="K1059" s="74" t="s">
        <v>8</v>
      </c>
      <c r="L1059" s="75">
        <v>3488867.82</v>
      </c>
    </row>
    <row r="1060" spans="1:12" ht="71.400000000000006" x14ac:dyDescent="0.3">
      <c r="A1060" s="69" t="s">
        <v>1307</v>
      </c>
      <c r="B1060" s="70" t="s">
        <v>1315</v>
      </c>
      <c r="C1060" s="70" t="s">
        <v>518</v>
      </c>
      <c r="D1060" s="70" t="s">
        <v>1313</v>
      </c>
      <c r="E1060" s="71" t="s">
        <v>165</v>
      </c>
      <c r="F1060" s="72" t="s">
        <v>30</v>
      </c>
      <c r="G1060" s="72"/>
      <c r="H1060" s="71" t="s">
        <v>13</v>
      </c>
      <c r="I1060" s="78">
        <v>432.48</v>
      </c>
      <c r="J1060" s="78"/>
      <c r="K1060" s="74" t="s">
        <v>8</v>
      </c>
      <c r="L1060" s="75">
        <v>3488435.34</v>
      </c>
    </row>
    <row r="1061" spans="1:12" ht="112.2" x14ac:dyDescent="0.3">
      <c r="A1061" s="69" t="s">
        <v>1307</v>
      </c>
      <c r="B1061" s="70" t="s">
        <v>1316</v>
      </c>
      <c r="C1061" s="70" t="s">
        <v>518</v>
      </c>
      <c r="D1061" s="70" t="s">
        <v>1317</v>
      </c>
      <c r="E1061" s="71" t="s">
        <v>165</v>
      </c>
      <c r="F1061" s="72" t="s">
        <v>30</v>
      </c>
      <c r="G1061" s="72"/>
      <c r="H1061" s="71" t="s">
        <v>13</v>
      </c>
      <c r="I1061" s="73">
        <v>83434.75</v>
      </c>
      <c r="J1061" s="73"/>
      <c r="K1061" s="74" t="s">
        <v>8</v>
      </c>
      <c r="L1061" s="75">
        <v>1596082.05</v>
      </c>
    </row>
    <row r="1062" spans="1:12" ht="112.2" x14ac:dyDescent="0.3">
      <c r="A1062" s="69" t="s">
        <v>1307</v>
      </c>
      <c r="B1062" s="70" t="s">
        <v>1316</v>
      </c>
      <c r="C1062" s="70" t="s">
        <v>518</v>
      </c>
      <c r="D1062" s="70" t="s">
        <v>1318</v>
      </c>
      <c r="E1062" s="71" t="s">
        <v>165</v>
      </c>
      <c r="F1062" s="72" t="s">
        <v>30</v>
      </c>
      <c r="G1062" s="72"/>
      <c r="H1062" s="71" t="s">
        <v>13</v>
      </c>
      <c r="I1062" s="73">
        <v>38913.35</v>
      </c>
      <c r="J1062" s="73"/>
      <c r="K1062" s="74" t="s">
        <v>8</v>
      </c>
      <c r="L1062" s="75">
        <v>1557168.7</v>
      </c>
    </row>
    <row r="1063" spans="1:12" ht="112.2" x14ac:dyDescent="0.3">
      <c r="A1063" s="69" t="s">
        <v>1307</v>
      </c>
      <c r="B1063" s="70" t="s">
        <v>1316</v>
      </c>
      <c r="C1063" s="70" t="s">
        <v>518</v>
      </c>
      <c r="D1063" s="70" t="s">
        <v>1319</v>
      </c>
      <c r="E1063" s="71" t="s">
        <v>165</v>
      </c>
      <c r="F1063" s="72" t="s">
        <v>30</v>
      </c>
      <c r="G1063" s="72"/>
      <c r="H1063" s="71" t="s">
        <v>13</v>
      </c>
      <c r="I1063" s="73">
        <v>3503.5</v>
      </c>
      <c r="J1063" s="73"/>
      <c r="K1063" s="74" t="s">
        <v>8</v>
      </c>
      <c r="L1063" s="75">
        <v>1553665.2</v>
      </c>
    </row>
    <row r="1064" spans="1:12" ht="112.2" x14ac:dyDescent="0.3">
      <c r="A1064" s="69" t="s">
        <v>1307</v>
      </c>
      <c r="B1064" s="70" t="s">
        <v>1316</v>
      </c>
      <c r="C1064" s="70" t="s">
        <v>518</v>
      </c>
      <c r="D1064" s="70" t="s">
        <v>1320</v>
      </c>
      <c r="E1064" s="71" t="s">
        <v>165</v>
      </c>
      <c r="F1064" s="72" t="s">
        <v>30</v>
      </c>
      <c r="G1064" s="72"/>
      <c r="H1064" s="71" t="s">
        <v>13</v>
      </c>
      <c r="I1064" s="73">
        <v>6678.7</v>
      </c>
      <c r="J1064" s="73"/>
      <c r="K1064" s="74" t="s">
        <v>8</v>
      </c>
      <c r="L1064" s="75">
        <v>1546986.5</v>
      </c>
    </row>
    <row r="1065" spans="1:12" ht="91.8" x14ac:dyDescent="0.3">
      <c r="A1065" s="69" t="s">
        <v>1307</v>
      </c>
      <c r="B1065" s="70" t="s">
        <v>1316</v>
      </c>
      <c r="C1065" s="70" t="s">
        <v>518</v>
      </c>
      <c r="D1065" s="70" t="s">
        <v>1321</v>
      </c>
      <c r="E1065" s="71" t="s">
        <v>165</v>
      </c>
      <c r="F1065" s="72" t="s">
        <v>30</v>
      </c>
      <c r="G1065" s="72"/>
      <c r="H1065" s="71" t="s">
        <v>13</v>
      </c>
      <c r="I1065" s="78">
        <v>530.42999999999995</v>
      </c>
      <c r="J1065" s="78"/>
      <c r="K1065" s="74" t="s">
        <v>8</v>
      </c>
      <c r="L1065" s="75">
        <v>1546456.07</v>
      </c>
    </row>
    <row r="1066" spans="1:12" ht="102" x14ac:dyDescent="0.3">
      <c r="A1066" s="69" t="s">
        <v>1307</v>
      </c>
      <c r="B1066" s="70" t="s">
        <v>1316</v>
      </c>
      <c r="C1066" s="70" t="s">
        <v>518</v>
      </c>
      <c r="D1066" s="70" t="s">
        <v>618</v>
      </c>
      <c r="E1066" s="71" t="s">
        <v>165</v>
      </c>
      <c r="F1066" s="72" t="s">
        <v>30</v>
      </c>
      <c r="G1066" s="72"/>
      <c r="H1066" s="71" t="s">
        <v>13</v>
      </c>
      <c r="I1066" s="73">
        <v>2265.25</v>
      </c>
      <c r="J1066" s="73"/>
      <c r="K1066" s="74" t="s">
        <v>8</v>
      </c>
      <c r="L1066" s="75">
        <v>1544190.82</v>
      </c>
    </row>
    <row r="1067" spans="1:12" ht="102" x14ac:dyDescent="0.3">
      <c r="A1067" s="69" t="s">
        <v>1307</v>
      </c>
      <c r="B1067" s="70" t="s">
        <v>1316</v>
      </c>
      <c r="C1067" s="70" t="s">
        <v>518</v>
      </c>
      <c r="D1067" s="70" t="s">
        <v>619</v>
      </c>
      <c r="E1067" s="71" t="s">
        <v>165</v>
      </c>
      <c r="F1067" s="72" t="s">
        <v>30</v>
      </c>
      <c r="G1067" s="72"/>
      <c r="H1067" s="71" t="s">
        <v>13</v>
      </c>
      <c r="I1067" s="73">
        <v>1703.28</v>
      </c>
      <c r="J1067" s="73"/>
      <c r="K1067" s="74" t="s">
        <v>8</v>
      </c>
      <c r="L1067" s="75">
        <v>1542487.54</v>
      </c>
    </row>
    <row r="1068" spans="1:12" ht="102" x14ac:dyDescent="0.3">
      <c r="A1068" s="69" t="s">
        <v>1307</v>
      </c>
      <c r="B1068" s="70" t="s">
        <v>1316</v>
      </c>
      <c r="C1068" s="70" t="s">
        <v>518</v>
      </c>
      <c r="D1068" s="70" t="s">
        <v>621</v>
      </c>
      <c r="E1068" s="71" t="s">
        <v>165</v>
      </c>
      <c r="F1068" s="72" t="s">
        <v>30</v>
      </c>
      <c r="G1068" s="72"/>
      <c r="H1068" s="71" t="s">
        <v>13</v>
      </c>
      <c r="I1068" s="78">
        <v>120.8</v>
      </c>
      <c r="J1068" s="78"/>
      <c r="K1068" s="74" t="s">
        <v>8</v>
      </c>
      <c r="L1068" s="75">
        <v>1542366.74</v>
      </c>
    </row>
    <row r="1069" spans="1:12" ht="81.599999999999994" hidden="1" x14ac:dyDescent="0.3">
      <c r="A1069" s="69" t="s">
        <v>1307</v>
      </c>
      <c r="B1069" s="70" t="s">
        <v>1322</v>
      </c>
      <c r="C1069" s="70" t="s">
        <v>1323</v>
      </c>
      <c r="D1069" s="70" t="s">
        <v>1324</v>
      </c>
      <c r="E1069" s="71" t="s">
        <v>13</v>
      </c>
      <c r="F1069" s="76">
        <v>1492.93</v>
      </c>
      <c r="G1069" s="76"/>
      <c r="H1069" s="71" t="s">
        <v>13</v>
      </c>
      <c r="I1069" s="77" t="s">
        <v>30</v>
      </c>
      <c r="J1069" s="77"/>
      <c r="K1069" s="74" t="s">
        <v>8</v>
      </c>
      <c r="L1069" s="75">
        <v>4858518.54</v>
      </c>
    </row>
    <row r="1070" spans="1:12" ht="81.599999999999994" hidden="1" x14ac:dyDescent="0.3">
      <c r="A1070" s="69" t="s">
        <v>1307</v>
      </c>
      <c r="B1070" s="70" t="s">
        <v>1322</v>
      </c>
      <c r="C1070" s="70" t="s">
        <v>1323</v>
      </c>
      <c r="D1070" s="70" t="s">
        <v>1324</v>
      </c>
      <c r="E1070" s="71" t="s">
        <v>13</v>
      </c>
      <c r="F1070" s="72" t="s">
        <v>30</v>
      </c>
      <c r="G1070" s="72"/>
      <c r="H1070" s="71" t="s">
        <v>13</v>
      </c>
      <c r="I1070" s="73">
        <v>1492.93</v>
      </c>
      <c r="J1070" s="73"/>
      <c r="K1070" s="74" t="s">
        <v>8</v>
      </c>
      <c r="L1070" s="75">
        <v>1421456.57</v>
      </c>
    </row>
    <row r="1071" spans="1:12" ht="81.599999999999994" hidden="1" x14ac:dyDescent="0.3">
      <c r="A1071" s="69" t="s">
        <v>1307</v>
      </c>
      <c r="B1071" s="70" t="s">
        <v>1322</v>
      </c>
      <c r="C1071" s="70" t="s">
        <v>1325</v>
      </c>
      <c r="D1071" s="70" t="s">
        <v>1326</v>
      </c>
      <c r="E1071" s="71" t="s">
        <v>13</v>
      </c>
      <c r="F1071" s="76">
        <v>3735.39</v>
      </c>
      <c r="G1071" s="76"/>
      <c r="H1071" s="71" t="s">
        <v>13</v>
      </c>
      <c r="I1071" s="77" t="s">
        <v>30</v>
      </c>
      <c r="J1071" s="77"/>
      <c r="K1071" s="74" t="s">
        <v>8</v>
      </c>
      <c r="L1071" s="75">
        <v>4862253.93</v>
      </c>
    </row>
    <row r="1072" spans="1:12" ht="81.599999999999994" hidden="1" x14ac:dyDescent="0.3">
      <c r="A1072" s="69" t="s">
        <v>1307</v>
      </c>
      <c r="B1072" s="70" t="s">
        <v>1322</v>
      </c>
      <c r="C1072" s="70" t="s">
        <v>1325</v>
      </c>
      <c r="D1072" s="70" t="s">
        <v>1326</v>
      </c>
      <c r="E1072" s="71" t="s">
        <v>13</v>
      </c>
      <c r="F1072" s="72" t="s">
        <v>30</v>
      </c>
      <c r="G1072" s="72"/>
      <c r="H1072" s="71" t="s">
        <v>13</v>
      </c>
      <c r="I1072" s="73">
        <v>3735.39</v>
      </c>
      <c r="J1072" s="73"/>
      <c r="K1072" s="74" t="s">
        <v>8</v>
      </c>
      <c r="L1072" s="75">
        <v>1417721.18</v>
      </c>
    </row>
    <row r="1073" spans="1:12" ht="81.599999999999994" hidden="1" x14ac:dyDescent="0.3">
      <c r="A1073" s="69" t="s">
        <v>1327</v>
      </c>
      <c r="B1073" s="70" t="s">
        <v>1328</v>
      </c>
      <c r="C1073" s="70" t="s">
        <v>1329</v>
      </c>
      <c r="D1073" s="70" t="s">
        <v>1330</v>
      </c>
      <c r="E1073" s="71" t="s">
        <v>13</v>
      </c>
      <c r="F1073" s="76">
        <v>48451.199999999997</v>
      </c>
      <c r="G1073" s="76"/>
      <c r="H1073" s="71" t="s">
        <v>457</v>
      </c>
      <c r="I1073" s="77" t="s">
        <v>30</v>
      </c>
      <c r="J1073" s="77"/>
      <c r="K1073" s="74" t="s">
        <v>8</v>
      </c>
      <c r="L1073" s="75">
        <v>1466172.38</v>
      </c>
    </row>
    <row r="1074" spans="1:12" ht="71.400000000000006" hidden="1" x14ac:dyDescent="0.3">
      <c r="A1074" s="69" t="s">
        <v>1327</v>
      </c>
      <c r="B1074" s="70" t="s">
        <v>1328</v>
      </c>
      <c r="C1074" s="70" t="s">
        <v>1331</v>
      </c>
      <c r="D1074" s="70" t="s">
        <v>1330</v>
      </c>
      <c r="E1074" s="71" t="s">
        <v>13</v>
      </c>
      <c r="F1074" s="76">
        <v>11004</v>
      </c>
      <c r="G1074" s="76"/>
      <c r="H1074" s="71" t="s">
        <v>457</v>
      </c>
      <c r="I1074" s="77" t="s">
        <v>30</v>
      </c>
      <c r="J1074" s="77"/>
      <c r="K1074" s="74" t="s">
        <v>8</v>
      </c>
      <c r="L1074" s="75">
        <v>1477176.38</v>
      </c>
    </row>
    <row r="1075" spans="1:12" ht="81.599999999999994" hidden="1" x14ac:dyDescent="0.3">
      <c r="A1075" s="69" t="s">
        <v>1327</v>
      </c>
      <c r="B1075" s="70" t="s">
        <v>1328</v>
      </c>
      <c r="C1075" s="70" t="s">
        <v>1332</v>
      </c>
      <c r="D1075" s="70" t="s">
        <v>1330</v>
      </c>
      <c r="E1075" s="71" t="s">
        <v>13</v>
      </c>
      <c r="F1075" s="76">
        <v>1512</v>
      </c>
      <c r="G1075" s="76"/>
      <c r="H1075" s="71" t="s">
        <v>457</v>
      </c>
      <c r="I1075" s="77" t="s">
        <v>30</v>
      </c>
      <c r="J1075" s="77"/>
      <c r="K1075" s="74" t="s">
        <v>8</v>
      </c>
      <c r="L1075" s="75">
        <v>1478688.38</v>
      </c>
    </row>
    <row r="1076" spans="1:12" ht="61.2" hidden="1" x14ac:dyDescent="0.3">
      <c r="A1076" s="69" t="s">
        <v>1327</v>
      </c>
      <c r="B1076" s="70" t="s">
        <v>1333</v>
      </c>
      <c r="C1076" s="70" t="s">
        <v>1334</v>
      </c>
      <c r="D1076" s="70" t="s">
        <v>1335</v>
      </c>
      <c r="E1076" s="71" t="s">
        <v>13</v>
      </c>
      <c r="F1076" s="76">
        <v>6018</v>
      </c>
      <c r="G1076" s="76"/>
      <c r="H1076" s="71" t="s">
        <v>457</v>
      </c>
      <c r="I1076" s="77" t="s">
        <v>30</v>
      </c>
      <c r="J1076" s="77"/>
      <c r="K1076" s="74" t="s">
        <v>8</v>
      </c>
      <c r="L1076" s="75">
        <v>3494453.34</v>
      </c>
    </row>
    <row r="1077" spans="1:12" ht="71.400000000000006" hidden="1" x14ac:dyDescent="0.3">
      <c r="A1077" s="69" t="s">
        <v>1327</v>
      </c>
      <c r="B1077" s="70" t="s">
        <v>1333</v>
      </c>
      <c r="C1077" s="70" t="s">
        <v>1336</v>
      </c>
      <c r="D1077" s="70" t="s">
        <v>1335</v>
      </c>
      <c r="E1077" s="71" t="s">
        <v>13</v>
      </c>
      <c r="F1077" s="76">
        <v>14124</v>
      </c>
      <c r="G1077" s="76"/>
      <c r="H1077" s="71" t="s">
        <v>457</v>
      </c>
      <c r="I1077" s="77" t="s">
        <v>30</v>
      </c>
      <c r="J1077" s="77"/>
      <c r="K1077" s="74" t="s">
        <v>8</v>
      </c>
      <c r="L1077" s="75">
        <v>3508577.34</v>
      </c>
    </row>
    <row r="1078" spans="1:12" ht="71.400000000000006" hidden="1" x14ac:dyDescent="0.3">
      <c r="A1078" s="69" t="s">
        <v>1327</v>
      </c>
      <c r="B1078" s="70" t="s">
        <v>1333</v>
      </c>
      <c r="C1078" s="70" t="s">
        <v>1337</v>
      </c>
      <c r="D1078" s="70" t="s">
        <v>1335</v>
      </c>
      <c r="E1078" s="71" t="s">
        <v>13</v>
      </c>
      <c r="F1078" s="76">
        <v>10496</v>
      </c>
      <c r="G1078" s="76"/>
      <c r="H1078" s="71" t="s">
        <v>457</v>
      </c>
      <c r="I1078" s="77" t="s">
        <v>30</v>
      </c>
      <c r="J1078" s="77"/>
      <c r="K1078" s="74" t="s">
        <v>8</v>
      </c>
      <c r="L1078" s="75">
        <v>3519073.34</v>
      </c>
    </row>
    <row r="1079" spans="1:12" ht="71.400000000000006" hidden="1" x14ac:dyDescent="0.3">
      <c r="A1079" s="69" t="s">
        <v>1327</v>
      </c>
      <c r="B1079" s="70" t="s">
        <v>1333</v>
      </c>
      <c r="C1079" s="70" t="s">
        <v>1338</v>
      </c>
      <c r="D1079" s="70" t="s">
        <v>1335</v>
      </c>
      <c r="E1079" s="71" t="s">
        <v>13</v>
      </c>
      <c r="F1079" s="76">
        <v>10853.7</v>
      </c>
      <c r="G1079" s="76"/>
      <c r="H1079" s="71" t="s">
        <v>457</v>
      </c>
      <c r="I1079" s="77" t="s">
        <v>30</v>
      </c>
      <c r="J1079" s="77"/>
      <c r="K1079" s="74" t="s">
        <v>8</v>
      </c>
      <c r="L1079" s="75">
        <v>3529927.04</v>
      </c>
    </row>
    <row r="1080" spans="1:12" ht="61.2" hidden="1" x14ac:dyDescent="0.3">
      <c r="A1080" s="69" t="s">
        <v>1327</v>
      </c>
      <c r="B1080" s="70" t="s">
        <v>1333</v>
      </c>
      <c r="C1080" s="70" t="s">
        <v>1339</v>
      </c>
      <c r="D1080" s="70" t="s">
        <v>1335</v>
      </c>
      <c r="E1080" s="71" t="s">
        <v>13</v>
      </c>
      <c r="F1080" s="76">
        <v>7986</v>
      </c>
      <c r="G1080" s="76"/>
      <c r="H1080" s="71" t="s">
        <v>457</v>
      </c>
      <c r="I1080" s="77" t="s">
        <v>30</v>
      </c>
      <c r="J1080" s="77"/>
      <c r="K1080" s="74" t="s">
        <v>8</v>
      </c>
      <c r="L1080" s="75">
        <v>3537913.04</v>
      </c>
    </row>
    <row r="1081" spans="1:12" ht="71.400000000000006" hidden="1" x14ac:dyDescent="0.3">
      <c r="A1081" s="69" t="s">
        <v>1327</v>
      </c>
      <c r="B1081" s="70" t="s">
        <v>1340</v>
      </c>
      <c r="C1081" s="70" t="s">
        <v>1341</v>
      </c>
      <c r="D1081" s="70" t="s">
        <v>1342</v>
      </c>
      <c r="E1081" s="71" t="s">
        <v>13</v>
      </c>
      <c r="F1081" s="76">
        <v>4250</v>
      </c>
      <c r="G1081" s="76"/>
      <c r="H1081" s="71" t="s">
        <v>457</v>
      </c>
      <c r="I1081" s="77" t="s">
        <v>30</v>
      </c>
      <c r="J1081" s="77"/>
      <c r="K1081" s="74" t="s">
        <v>8</v>
      </c>
      <c r="L1081" s="75">
        <v>4866503.93</v>
      </c>
    </row>
    <row r="1082" spans="1:12" ht="61.2" hidden="1" x14ac:dyDescent="0.3">
      <c r="A1082" s="69" t="s">
        <v>1327</v>
      </c>
      <c r="B1082" s="70" t="s">
        <v>1340</v>
      </c>
      <c r="C1082" s="70" t="s">
        <v>1343</v>
      </c>
      <c r="D1082" s="70" t="s">
        <v>1342</v>
      </c>
      <c r="E1082" s="71" t="s">
        <v>13</v>
      </c>
      <c r="F1082" s="76">
        <v>2300</v>
      </c>
      <c r="G1082" s="76"/>
      <c r="H1082" s="71" t="s">
        <v>457</v>
      </c>
      <c r="I1082" s="77" t="s">
        <v>30</v>
      </c>
      <c r="J1082" s="77"/>
      <c r="K1082" s="74" t="s">
        <v>8</v>
      </c>
      <c r="L1082" s="75">
        <v>4868803.93</v>
      </c>
    </row>
    <row r="1083" spans="1:12" ht="61.2" hidden="1" x14ac:dyDescent="0.3">
      <c r="A1083" s="69" t="s">
        <v>1327</v>
      </c>
      <c r="B1083" s="70" t="s">
        <v>1340</v>
      </c>
      <c r="C1083" s="70" t="s">
        <v>1344</v>
      </c>
      <c r="D1083" s="70" t="s">
        <v>1342</v>
      </c>
      <c r="E1083" s="71" t="s">
        <v>13</v>
      </c>
      <c r="F1083" s="79">
        <v>320</v>
      </c>
      <c r="G1083" s="79"/>
      <c r="H1083" s="71" t="s">
        <v>457</v>
      </c>
      <c r="I1083" s="77" t="s">
        <v>30</v>
      </c>
      <c r="J1083" s="77"/>
      <c r="K1083" s="74" t="s">
        <v>8</v>
      </c>
      <c r="L1083" s="75">
        <v>4869123.93</v>
      </c>
    </row>
    <row r="1084" spans="1:12" ht="71.400000000000006" hidden="1" x14ac:dyDescent="0.3">
      <c r="A1084" s="69" t="s">
        <v>1327</v>
      </c>
      <c r="B1084" s="70" t="s">
        <v>1340</v>
      </c>
      <c r="C1084" s="70" t="s">
        <v>1345</v>
      </c>
      <c r="D1084" s="70" t="s">
        <v>1342</v>
      </c>
      <c r="E1084" s="71" t="s">
        <v>13</v>
      </c>
      <c r="F1084" s="79">
        <v>100</v>
      </c>
      <c r="G1084" s="79"/>
      <c r="H1084" s="71" t="s">
        <v>457</v>
      </c>
      <c r="I1084" s="77" t="s">
        <v>30</v>
      </c>
      <c r="J1084" s="77"/>
      <c r="K1084" s="74" t="s">
        <v>8</v>
      </c>
      <c r="L1084" s="75">
        <v>4869223.93</v>
      </c>
    </row>
    <row r="1085" spans="1:12" ht="71.400000000000006" hidden="1" x14ac:dyDescent="0.3">
      <c r="A1085" s="69" t="s">
        <v>1327</v>
      </c>
      <c r="B1085" s="70" t="s">
        <v>1340</v>
      </c>
      <c r="C1085" s="70" t="s">
        <v>1346</v>
      </c>
      <c r="D1085" s="70" t="s">
        <v>1342</v>
      </c>
      <c r="E1085" s="71" t="s">
        <v>13</v>
      </c>
      <c r="F1085" s="79">
        <v>140</v>
      </c>
      <c r="G1085" s="79"/>
      <c r="H1085" s="71" t="s">
        <v>457</v>
      </c>
      <c r="I1085" s="77" t="s">
        <v>30</v>
      </c>
      <c r="J1085" s="77"/>
      <c r="K1085" s="74" t="s">
        <v>8</v>
      </c>
      <c r="L1085" s="75">
        <v>4869363.93</v>
      </c>
    </row>
    <row r="1086" spans="1:12" ht="71.400000000000006" hidden="1" x14ac:dyDescent="0.3">
      <c r="A1086" s="69" t="s">
        <v>1327</v>
      </c>
      <c r="B1086" s="70" t="s">
        <v>1347</v>
      </c>
      <c r="C1086" s="70" t="s">
        <v>1348</v>
      </c>
      <c r="D1086" s="70" t="s">
        <v>1349</v>
      </c>
      <c r="E1086" s="71" t="s">
        <v>13</v>
      </c>
      <c r="F1086" s="76">
        <v>16012.8</v>
      </c>
      <c r="G1086" s="76"/>
      <c r="H1086" s="71" t="s">
        <v>457</v>
      </c>
      <c r="I1086" s="77" t="s">
        <v>30</v>
      </c>
      <c r="J1086" s="77"/>
      <c r="K1086" s="74" t="s">
        <v>8</v>
      </c>
      <c r="L1086" s="75">
        <v>4950523.0199999996</v>
      </c>
    </row>
    <row r="1087" spans="1:12" ht="61.2" hidden="1" x14ac:dyDescent="0.3">
      <c r="A1087" s="69" t="s">
        <v>1327</v>
      </c>
      <c r="B1087" s="70" t="s">
        <v>1350</v>
      </c>
      <c r="C1087" s="70" t="s">
        <v>1351</v>
      </c>
      <c r="D1087" s="70" t="s">
        <v>1352</v>
      </c>
      <c r="E1087" s="71" t="s">
        <v>13</v>
      </c>
      <c r="F1087" s="79">
        <v>240</v>
      </c>
      <c r="G1087" s="79"/>
      <c r="H1087" s="71" t="s">
        <v>457</v>
      </c>
      <c r="I1087" s="77" t="s">
        <v>30</v>
      </c>
      <c r="J1087" s="77"/>
      <c r="K1087" s="74" t="s">
        <v>8</v>
      </c>
      <c r="L1087" s="75">
        <v>4869603.93</v>
      </c>
    </row>
    <row r="1088" spans="1:12" ht="71.400000000000006" hidden="1" x14ac:dyDescent="0.3">
      <c r="A1088" s="69" t="s">
        <v>1327</v>
      </c>
      <c r="B1088" s="70" t="s">
        <v>1350</v>
      </c>
      <c r="C1088" s="70" t="s">
        <v>1353</v>
      </c>
      <c r="D1088" s="70" t="s">
        <v>1352</v>
      </c>
      <c r="E1088" s="71" t="s">
        <v>13</v>
      </c>
      <c r="F1088" s="79">
        <v>80</v>
      </c>
      <c r="G1088" s="79"/>
      <c r="H1088" s="71" t="s">
        <v>457</v>
      </c>
      <c r="I1088" s="77" t="s">
        <v>30</v>
      </c>
      <c r="J1088" s="77"/>
      <c r="K1088" s="74" t="s">
        <v>8</v>
      </c>
      <c r="L1088" s="75">
        <v>4869683.93</v>
      </c>
    </row>
    <row r="1089" spans="1:12" ht="71.400000000000006" hidden="1" x14ac:dyDescent="0.3">
      <c r="A1089" s="69" t="s">
        <v>1327</v>
      </c>
      <c r="B1089" s="70" t="s">
        <v>1350</v>
      </c>
      <c r="C1089" s="70" t="s">
        <v>1354</v>
      </c>
      <c r="D1089" s="70" t="s">
        <v>1352</v>
      </c>
      <c r="E1089" s="71" t="s">
        <v>13</v>
      </c>
      <c r="F1089" s="76">
        <v>1625</v>
      </c>
      <c r="G1089" s="76"/>
      <c r="H1089" s="71" t="s">
        <v>457</v>
      </c>
      <c r="I1089" s="77" t="s">
        <v>30</v>
      </c>
      <c r="J1089" s="77"/>
      <c r="K1089" s="74" t="s">
        <v>8</v>
      </c>
      <c r="L1089" s="75">
        <v>4871308.93</v>
      </c>
    </row>
    <row r="1090" spans="1:12" ht="71.400000000000006" hidden="1" x14ac:dyDescent="0.3">
      <c r="A1090" s="69" t="s">
        <v>1327</v>
      </c>
      <c r="B1090" s="70" t="s">
        <v>1350</v>
      </c>
      <c r="C1090" s="70" t="s">
        <v>1355</v>
      </c>
      <c r="D1090" s="70" t="s">
        <v>1352</v>
      </c>
      <c r="E1090" s="71" t="s">
        <v>13</v>
      </c>
      <c r="F1090" s="79">
        <v>360</v>
      </c>
      <c r="G1090" s="79"/>
      <c r="H1090" s="71" t="s">
        <v>457</v>
      </c>
      <c r="I1090" s="77" t="s">
        <v>30</v>
      </c>
      <c r="J1090" s="77"/>
      <c r="K1090" s="74" t="s">
        <v>8</v>
      </c>
      <c r="L1090" s="75">
        <v>4871668.93</v>
      </c>
    </row>
    <row r="1091" spans="1:12" ht="71.400000000000006" hidden="1" x14ac:dyDescent="0.3">
      <c r="A1091" s="69" t="s">
        <v>1327</v>
      </c>
      <c r="B1091" s="70" t="s">
        <v>1350</v>
      </c>
      <c r="C1091" s="70" t="s">
        <v>1356</v>
      </c>
      <c r="D1091" s="70" t="s">
        <v>1352</v>
      </c>
      <c r="E1091" s="71" t="s">
        <v>13</v>
      </c>
      <c r="F1091" s="79">
        <v>500</v>
      </c>
      <c r="G1091" s="79"/>
      <c r="H1091" s="71" t="s">
        <v>457</v>
      </c>
      <c r="I1091" s="77" t="s">
        <v>30</v>
      </c>
      <c r="J1091" s="77"/>
      <c r="K1091" s="74" t="s">
        <v>8</v>
      </c>
      <c r="L1091" s="75">
        <v>4872168.93</v>
      </c>
    </row>
    <row r="1092" spans="1:12" ht="71.400000000000006" hidden="1" x14ac:dyDescent="0.3">
      <c r="A1092" s="69" t="s">
        <v>1327</v>
      </c>
      <c r="B1092" s="70" t="s">
        <v>1357</v>
      </c>
      <c r="C1092" s="70" t="s">
        <v>1348</v>
      </c>
      <c r="D1092" s="70" t="s">
        <v>1349</v>
      </c>
      <c r="E1092" s="71" t="s">
        <v>13</v>
      </c>
      <c r="F1092" s="76">
        <v>7098.05</v>
      </c>
      <c r="G1092" s="76"/>
      <c r="H1092" s="71" t="s">
        <v>457</v>
      </c>
      <c r="I1092" s="77" t="s">
        <v>30</v>
      </c>
      <c r="J1092" s="77"/>
      <c r="K1092" s="74" t="s">
        <v>8</v>
      </c>
      <c r="L1092" s="75">
        <v>4957621.07</v>
      </c>
    </row>
    <row r="1093" spans="1:12" ht="61.2" hidden="1" x14ac:dyDescent="0.3">
      <c r="A1093" s="69" t="s">
        <v>1327</v>
      </c>
      <c r="B1093" s="70" t="s">
        <v>1358</v>
      </c>
      <c r="C1093" s="70" t="s">
        <v>1359</v>
      </c>
      <c r="D1093" s="70" t="s">
        <v>1360</v>
      </c>
      <c r="E1093" s="71" t="s">
        <v>13</v>
      </c>
      <c r="F1093" s="76">
        <v>1487.5</v>
      </c>
      <c r="G1093" s="76"/>
      <c r="H1093" s="71" t="s">
        <v>457</v>
      </c>
      <c r="I1093" s="77" t="s">
        <v>30</v>
      </c>
      <c r="J1093" s="77"/>
      <c r="K1093" s="74" t="s">
        <v>8</v>
      </c>
      <c r="L1093" s="75">
        <v>1831386.66</v>
      </c>
    </row>
    <row r="1094" spans="1:12" ht="61.2" hidden="1" x14ac:dyDescent="0.3">
      <c r="A1094" s="69" t="s">
        <v>1327</v>
      </c>
      <c r="B1094" s="70" t="s">
        <v>1358</v>
      </c>
      <c r="C1094" s="70" t="s">
        <v>1361</v>
      </c>
      <c r="D1094" s="70" t="s">
        <v>1360</v>
      </c>
      <c r="E1094" s="71" t="s">
        <v>13</v>
      </c>
      <c r="F1094" s="76">
        <v>1487.5</v>
      </c>
      <c r="G1094" s="76"/>
      <c r="H1094" s="71" t="s">
        <v>457</v>
      </c>
      <c r="I1094" s="77" t="s">
        <v>30</v>
      </c>
      <c r="J1094" s="77"/>
      <c r="K1094" s="74" t="s">
        <v>8</v>
      </c>
      <c r="L1094" s="75">
        <v>1832874.16</v>
      </c>
    </row>
    <row r="1095" spans="1:12" ht="71.400000000000006" hidden="1" x14ac:dyDescent="0.3">
      <c r="A1095" s="69" t="s">
        <v>1327</v>
      </c>
      <c r="B1095" s="70" t="s">
        <v>1358</v>
      </c>
      <c r="C1095" s="70" t="s">
        <v>1362</v>
      </c>
      <c r="D1095" s="70" t="s">
        <v>1360</v>
      </c>
      <c r="E1095" s="71" t="s">
        <v>13</v>
      </c>
      <c r="F1095" s="76">
        <v>12434.17</v>
      </c>
      <c r="G1095" s="76"/>
      <c r="H1095" s="71" t="s">
        <v>457</v>
      </c>
      <c r="I1095" s="77" t="s">
        <v>30</v>
      </c>
      <c r="J1095" s="77"/>
      <c r="K1095" s="74" t="s">
        <v>8</v>
      </c>
      <c r="L1095" s="75">
        <v>1845308.33</v>
      </c>
    </row>
    <row r="1096" spans="1:12" ht="71.400000000000006" hidden="1" x14ac:dyDescent="0.3">
      <c r="A1096" s="69" t="s">
        <v>1327</v>
      </c>
      <c r="B1096" s="70" t="s">
        <v>1358</v>
      </c>
      <c r="C1096" s="70" t="s">
        <v>1363</v>
      </c>
      <c r="D1096" s="70" t="s">
        <v>1360</v>
      </c>
      <c r="E1096" s="71" t="s">
        <v>13</v>
      </c>
      <c r="F1096" s="76">
        <v>2826.25</v>
      </c>
      <c r="G1096" s="76"/>
      <c r="H1096" s="71" t="s">
        <v>457</v>
      </c>
      <c r="I1096" s="77" t="s">
        <v>30</v>
      </c>
      <c r="J1096" s="77"/>
      <c r="K1096" s="74" t="s">
        <v>8</v>
      </c>
      <c r="L1096" s="75">
        <v>1848134.58</v>
      </c>
    </row>
    <row r="1097" spans="1:12" ht="71.400000000000006" hidden="1" x14ac:dyDescent="0.3">
      <c r="A1097" s="69" t="s">
        <v>1327</v>
      </c>
      <c r="B1097" s="70" t="s">
        <v>1358</v>
      </c>
      <c r="C1097" s="70" t="s">
        <v>1364</v>
      </c>
      <c r="D1097" s="70" t="s">
        <v>1360</v>
      </c>
      <c r="E1097" s="71" t="s">
        <v>13</v>
      </c>
      <c r="F1097" s="76">
        <v>22892.92</v>
      </c>
      <c r="G1097" s="76"/>
      <c r="H1097" s="71" t="s">
        <v>457</v>
      </c>
      <c r="I1097" s="77" t="s">
        <v>30</v>
      </c>
      <c r="J1097" s="77"/>
      <c r="K1097" s="74" t="s">
        <v>8</v>
      </c>
      <c r="L1097" s="75">
        <v>1871027.5</v>
      </c>
    </row>
    <row r="1098" spans="1:12" ht="81.599999999999994" hidden="1" x14ac:dyDescent="0.3">
      <c r="A1098" s="69" t="s">
        <v>1327</v>
      </c>
      <c r="B1098" s="70" t="s">
        <v>1358</v>
      </c>
      <c r="C1098" s="70" t="s">
        <v>1365</v>
      </c>
      <c r="D1098" s="70" t="s">
        <v>1360</v>
      </c>
      <c r="E1098" s="71" t="s">
        <v>13</v>
      </c>
      <c r="F1098" s="76">
        <v>8144.17</v>
      </c>
      <c r="G1098" s="76"/>
      <c r="H1098" s="71" t="s">
        <v>457</v>
      </c>
      <c r="I1098" s="77" t="s">
        <v>30</v>
      </c>
      <c r="J1098" s="77"/>
      <c r="K1098" s="74" t="s">
        <v>8</v>
      </c>
      <c r="L1098" s="75">
        <v>1879171.67</v>
      </c>
    </row>
    <row r="1099" spans="1:12" ht="71.400000000000006" hidden="1" x14ac:dyDescent="0.3">
      <c r="A1099" s="69" t="s">
        <v>1327</v>
      </c>
      <c r="B1099" s="70" t="s">
        <v>1358</v>
      </c>
      <c r="C1099" s="70" t="s">
        <v>1366</v>
      </c>
      <c r="D1099" s="70" t="s">
        <v>1360</v>
      </c>
      <c r="E1099" s="71" t="s">
        <v>13</v>
      </c>
      <c r="F1099" s="76">
        <v>6183.33</v>
      </c>
      <c r="G1099" s="76"/>
      <c r="H1099" s="71" t="s">
        <v>457</v>
      </c>
      <c r="I1099" s="77" t="s">
        <v>30</v>
      </c>
      <c r="J1099" s="77"/>
      <c r="K1099" s="74" t="s">
        <v>8</v>
      </c>
      <c r="L1099" s="75">
        <v>1885355</v>
      </c>
    </row>
    <row r="1100" spans="1:12" ht="71.400000000000006" hidden="1" x14ac:dyDescent="0.3">
      <c r="A1100" s="69" t="s">
        <v>1327</v>
      </c>
      <c r="B1100" s="70" t="s">
        <v>1358</v>
      </c>
      <c r="C1100" s="70" t="s">
        <v>1367</v>
      </c>
      <c r="D1100" s="70" t="s">
        <v>1360</v>
      </c>
      <c r="E1100" s="71" t="s">
        <v>13</v>
      </c>
      <c r="F1100" s="76">
        <v>32608.33</v>
      </c>
      <c r="G1100" s="76"/>
      <c r="H1100" s="71" t="s">
        <v>457</v>
      </c>
      <c r="I1100" s="77" t="s">
        <v>30</v>
      </c>
      <c r="J1100" s="77"/>
      <c r="K1100" s="74" t="s">
        <v>8</v>
      </c>
      <c r="L1100" s="75">
        <v>1917963.33</v>
      </c>
    </row>
    <row r="1101" spans="1:12" ht="61.2" hidden="1" x14ac:dyDescent="0.3">
      <c r="A1101" s="69" t="s">
        <v>1327</v>
      </c>
      <c r="B1101" s="70" t="s">
        <v>1358</v>
      </c>
      <c r="C1101" s="70" t="s">
        <v>1368</v>
      </c>
      <c r="D1101" s="70" t="s">
        <v>1360</v>
      </c>
      <c r="E1101" s="71" t="s">
        <v>13</v>
      </c>
      <c r="F1101" s="76">
        <v>8347.5</v>
      </c>
      <c r="G1101" s="76"/>
      <c r="H1101" s="71" t="s">
        <v>457</v>
      </c>
      <c r="I1101" s="77" t="s">
        <v>30</v>
      </c>
      <c r="J1101" s="77"/>
      <c r="K1101" s="74" t="s">
        <v>8</v>
      </c>
      <c r="L1101" s="75">
        <v>1926310.83</v>
      </c>
    </row>
    <row r="1102" spans="1:12" ht="61.2" hidden="1" x14ac:dyDescent="0.3">
      <c r="A1102" s="69" t="s">
        <v>1327</v>
      </c>
      <c r="B1102" s="70" t="s">
        <v>1358</v>
      </c>
      <c r="C1102" s="70" t="s">
        <v>1369</v>
      </c>
      <c r="D1102" s="70" t="s">
        <v>1360</v>
      </c>
      <c r="E1102" s="71" t="s">
        <v>13</v>
      </c>
      <c r="F1102" s="76">
        <v>1428.75</v>
      </c>
      <c r="G1102" s="76"/>
      <c r="H1102" s="71" t="s">
        <v>457</v>
      </c>
      <c r="I1102" s="77" t="s">
        <v>30</v>
      </c>
      <c r="J1102" s="77"/>
      <c r="K1102" s="74" t="s">
        <v>8</v>
      </c>
      <c r="L1102" s="75">
        <v>1927739.58</v>
      </c>
    </row>
    <row r="1103" spans="1:12" ht="71.400000000000006" hidden="1" x14ac:dyDescent="0.3">
      <c r="A1103" s="69" t="s">
        <v>1327</v>
      </c>
      <c r="B1103" s="70" t="s">
        <v>1358</v>
      </c>
      <c r="C1103" s="70" t="s">
        <v>1370</v>
      </c>
      <c r="D1103" s="70" t="s">
        <v>1360</v>
      </c>
      <c r="E1103" s="71" t="s">
        <v>13</v>
      </c>
      <c r="F1103" s="76">
        <v>17665.830000000002</v>
      </c>
      <c r="G1103" s="76"/>
      <c r="H1103" s="71" t="s">
        <v>457</v>
      </c>
      <c r="I1103" s="77" t="s">
        <v>30</v>
      </c>
      <c r="J1103" s="77"/>
      <c r="K1103" s="74" t="s">
        <v>8</v>
      </c>
      <c r="L1103" s="75">
        <v>1945405.41</v>
      </c>
    </row>
    <row r="1104" spans="1:12" ht="61.2" hidden="1" x14ac:dyDescent="0.3">
      <c r="A1104" s="69" t="s">
        <v>1327</v>
      </c>
      <c r="B1104" s="70" t="s">
        <v>1358</v>
      </c>
      <c r="C1104" s="70" t="s">
        <v>1371</v>
      </c>
      <c r="D1104" s="70" t="s">
        <v>1360</v>
      </c>
      <c r="E1104" s="71" t="s">
        <v>13</v>
      </c>
      <c r="F1104" s="76">
        <v>6956.25</v>
      </c>
      <c r="G1104" s="76"/>
      <c r="H1104" s="71" t="s">
        <v>457</v>
      </c>
      <c r="I1104" s="77" t="s">
        <v>30</v>
      </c>
      <c r="J1104" s="77"/>
      <c r="K1104" s="74" t="s">
        <v>8</v>
      </c>
      <c r="L1104" s="75">
        <v>1952361.66</v>
      </c>
    </row>
    <row r="1105" spans="1:12" ht="61.2" hidden="1" x14ac:dyDescent="0.3">
      <c r="A1105" s="69" t="s">
        <v>1327</v>
      </c>
      <c r="B1105" s="70" t="s">
        <v>1358</v>
      </c>
      <c r="C1105" s="70" t="s">
        <v>1372</v>
      </c>
      <c r="D1105" s="70" t="s">
        <v>1360</v>
      </c>
      <c r="E1105" s="71" t="s">
        <v>13</v>
      </c>
      <c r="F1105" s="76">
        <v>6266.67</v>
      </c>
      <c r="G1105" s="76"/>
      <c r="H1105" s="71" t="s">
        <v>457</v>
      </c>
      <c r="I1105" s="77" t="s">
        <v>30</v>
      </c>
      <c r="J1105" s="77"/>
      <c r="K1105" s="74" t="s">
        <v>8</v>
      </c>
      <c r="L1105" s="75">
        <v>1958628.33</v>
      </c>
    </row>
    <row r="1106" spans="1:12" ht="61.2" hidden="1" x14ac:dyDescent="0.3">
      <c r="A1106" s="69" t="s">
        <v>1327</v>
      </c>
      <c r="B1106" s="70" t="s">
        <v>1358</v>
      </c>
      <c r="C1106" s="70" t="s">
        <v>1373</v>
      </c>
      <c r="D1106" s="70" t="s">
        <v>1360</v>
      </c>
      <c r="E1106" s="71" t="s">
        <v>13</v>
      </c>
      <c r="F1106" s="76">
        <v>3074.17</v>
      </c>
      <c r="G1106" s="76"/>
      <c r="H1106" s="71" t="s">
        <v>457</v>
      </c>
      <c r="I1106" s="77" t="s">
        <v>30</v>
      </c>
      <c r="J1106" s="77"/>
      <c r="K1106" s="74" t="s">
        <v>8</v>
      </c>
      <c r="L1106" s="75">
        <v>1961702.5</v>
      </c>
    </row>
    <row r="1107" spans="1:12" ht="61.2" hidden="1" x14ac:dyDescent="0.3">
      <c r="A1107" s="69" t="s">
        <v>1327</v>
      </c>
      <c r="B1107" s="70" t="s">
        <v>1358</v>
      </c>
      <c r="C1107" s="70" t="s">
        <v>1374</v>
      </c>
      <c r="D1107" s="70" t="s">
        <v>1360</v>
      </c>
      <c r="E1107" s="71" t="s">
        <v>13</v>
      </c>
      <c r="F1107" s="76">
        <v>11497.75</v>
      </c>
      <c r="G1107" s="76"/>
      <c r="H1107" s="71" t="s">
        <v>457</v>
      </c>
      <c r="I1107" s="77" t="s">
        <v>30</v>
      </c>
      <c r="J1107" s="77"/>
      <c r="K1107" s="74" t="s">
        <v>8</v>
      </c>
      <c r="L1107" s="75">
        <v>1973200.25</v>
      </c>
    </row>
    <row r="1108" spans="1:12" ht="71.400000000000006" hidden="1" x14ac:dyDescent="0.3">
      <c r="A1108" s="69" t="s">
        <v>1327</v>
      </c>
      <c r="B1108" s="70" t="s">
        <v>1358</v>
      </c>
      <c r="C1108" s="70" t="s">
        <v>1375</v>
      </c>
      <c r="D1108" s="70" t="s">
        <v>1360</v>
      </c>
      <c r="E1108" s="71" t="s">
        <v>13</v>
      </c>
      <c r="F1108" s="76">
        <v>32895</v>
      </c>
      <c r="G1108" s="76"/>
      <c r="H1108" s="71" t="s">
        <v>457</v>
      </c>
      <c r="I1108" s="77" t="s">
        <v>30</v>
      </c>
      <c r="J1108" s="77"/>
      <c r="K1108" s="74" t="s">
        <v>8</v>
      </c>
      <c r="L1108" s="75">
        <v>2006095.25</v>
      </c>
    </row>
    <row r="1109" spans="1:12" ht="61.2" hidden="1" x14ac:dyDescent="0.3">
      <c r="A1109" s="69" t="s">
        <v>1327</v>
      </c>
      <c r="B1109" s="70" t="s">
        <v>1358</v>
      </c>
      <c r="C1109" s="70" t="s">
        <v>1376</v>
      </c>
      <c r="D1109" s="70" t="s">
        <v>1360</v>
      </c>
      <c r="E1109" s="71" t="s">
        <v>13</v>
      </c>
      <c r="F1109" s="76">
        <v>105141.67</v>
      </c>
      <c r="G1109" s="76"/>
      <c r="H1109" s="71" t="s">
        <v>457</v>
      </c>
      <c r="I1109" s="77" t="s">
        <v>30</v>
      </c>
      <c r="J1109" s="77"/>
      <c r="K1109" s="74" t="s">
        <v>8</v>
      </c>
      <c r="L1109" s="75">
        <v>2111236.92</v>
      </c>
    </row>
    <row r="1110" spans="1:12" ht="61.2" hidden="1" x14ac:dyDescent="0.3">
      <c r="A1110" s="69" t="s">
        <v>1327</v>
      </c>
      <c r="B1110" s="70" t="s">
        <v>1358</v>
      </c>
      <c r="C1110" s="70" t="s">
        <v>1377</v>
      </c>
      <c r="D1110" s="70" t="s">
        <v>1360</v>
      </c>
      <c r="E1110" s="71" t="s">
        <v>13</v>
      </c>
      <c r="F1110" s="76">
        <v>18638.75</v>
      </c>
      <c r="G1110" s="76"/>
      <c r="H1110" s="71" t="s">
        <v>457</v>
      </c>
      <c r="I1110" s="77" t="s">
        <v>30</v>
      </c>
      <c r="J1110" s="77"/>
      <c r="K1110" s="74" t="s">
        <v>8</v>
      </c>
      <c r="L1110" s="75">
        <v>2129875.67</v>
      </c>
    </row>
    <row r="1111" spans="1:12" ht="61.2" hidden="1" x14ac:dyDescent="0.3">
      <c r="A1111" s="69" t="s">
        <v>1327</v>
      </c>
      <c r="B1111" s="70" t="s">
        <v>1358</v>
      </c>
      <c r="C1111" s="70" t="s">
        <v>1378</v>
      </c>
      <c r="D1111" s="70" t="s">
        <v>1360</v>
      </c>
      <c r="E1111" s="71" t="s">
        <v>13</v>
      </c>
      <c r="F1111" s="76">
        <v>10633.54</v>
      </c>
      <c r="G1111" s="76"/>
      <c r="H1111" s="71" t="s">
        <v>457</v>
      </c>
      <c r="I1111" s="77" t="s">
        <v>30</v>
      </c>
      <c r="J1111" s="77"/>
      <c r="K1111" s="74" t="s">
        <v>8</v>
      </c>
      <c r="L1111" s="75">
        <v>2140509.21</v>
      </c>
    </row>
    <row r="1112" spans="1:12" ht="61.2" hidden="1" x14ac:dyDescent="0.3">
      <c r="A1112" s="69" t="s">
        <v>1327</v>
      </c>
      <c r="B1112" s="70" t="s">
        <v>1358</v>
      </c>
      <c r="C1112" s="70" t="s">
        <v>1379</v>
      </c>
      <c r="D1112" s="70" t="s">
        <v>1360</v>
      </c>
      <c r="E1112" s="71" t="s">
        <v>13</v>
      </c>
      <c r="F1112" s="76">
        <v>19290.11</v>
      </c>
      <c r="G1112" s="76"/>
      <c r="H1112" s="71" t="s">
        <v>457</v>
      </c>
      <c r="I1112" s="77" t="s">
        <v>30</v>
      </c>
      <c r="J1112" s="77"/>
      <c r="K1112" s="74" t="s">
        <v>8</v>
      </c>
      <c r="L1112" s="75">
        <v>2159799.3199999998</v>
      </c>
    </row>
    <row r="1113" spans="1:12" ht="61.2" hidden="1" x14ac:dyDescent="0.3">
      <c r="A1113" s="69" t="s">
        <v>1327</v>
      </c>
      <c r="B1113" s="70" t="s">
        <v>1380</v>
      </c>
      <c r="C1113" s="70" t="s">
        <v>1359</v>
      </c>
      <c r="D1113" s="70" t="s">
        <v>1360</v>
      </c>
      <c r="E1113" s="71" t="s">
        <v>13</v>
      </c>
      <c r="F1113" s="79">
        <v>63.13</v>
      </c>
      <c r="G1113" s="79"/>
      <c r="H1113" s="71" t="s">
        <v>457</v>
      </c>
      <c r="I1113" s="77" t="s">
        <v>30</v>
      </c>
      <c r="J1113" s="77"/>
      <c r="K1113" s="74" t="s">
        <v>8</v>
      </c>
      <c r="L1113" s="75">
        <v>2159862.4500000002</v>
      </c>
    </row>
    <row r="1114" spans="1:12" ht="61.2" hidden="1" x14ac:dyDescent="0.3">
      <c r="A1114" s="69" t="s">
        <v>1327</v>
      </c>
      <c r="B1114" s="70" t="s">
        <v>1380</v>
      </c>
      <c r="C1114" s="70" t="s">
        <v>1361</v>
      </c>
      <c r="D1114" s="70" t="s">
        <v>1360</v>
      </c>
      <c r="E1114" s="71" t="s">
        <v>13</v>
      </c>
      <c r="F1114" s="79">
        <v>63.13</v>
      </c>
      <c r="G1114" s="79"/>
      <c r="H1114" s="71" t="s">
        <v>457</v>
      </c>
      <c r="I1114" s="77" t="s">
        <v>30</v>
      </c>
      <c r="J1114" s="77"/>
      <c r="K1114" s="74" t="s">
        <v>8</v>
      </c>
      <c r="L1114" s="75">
        <v>2159925.58</v>
      </c>
    </row>
    <row r="1115" spans="1:12" ht="71.400000000000006" hidden="1" x14ac:dyDescent="0.3">
      <c r="A1115" s="69" t="s">
        <v>1327</v>
      </c>
      <c r="B1115" s="70" t="s">
        <v>1380</v>
      </c>
      <c r="C1115" s="70" t="s">
        <v>1362</v>
      </c>
      <c r="D1115" s="70" t="s">
        <v>1360</v>
      </c>
      <c r="E1115" s="71" t="s">
        <v>13</v>
      </c>
      <c r="F1115" s="79">
        <v>527.66999999999996</v>
      </c>
      <c r="G1115" s="79"/>
      <c r="H1115" s="71" t="s">
        <v>457</v>
      </c>
      <c r="I1115" s="77" t="s">
        <v>30</v>
      </c>
      <c r="J1115" s="77"/>
      <c r="K1115" s="74" t="s">
        <v>8</v>
      </c>
      <c r="L1115" s="75">
        <v>2160453.25</v>
      </c>
    </row>
    <row r="1116" spans="1:12" ht="71.400000000000006" hidden="1" x14ac:dyDescent="0.3">
      <c r="A1116" s="69" t="s">
        <v>1327</v>
      </c>
      <c r="B1116" s="70" t="s">
        <v>1380</v>
      </c>
      <c r="C1116" s="70" t="s">
        <v>1363</v>
      </c>
      <c r="D1116" s="70" t="s">
        <v>1360</v>
      </c>
      <c r="E1116" s="71" t="s">
        <v>13</v>
      </c>
      <c r="F1116" s="79">
        <v>119.94</v>
      </c>
      <c r="G1116" s="79"/>
      <c r="H1116" s="71" t="s">
        <v>457</v>
      </c>
      <c r="I1116" s="77" t="s">
        <v>30</v>
      </c>
      <c r="J1116" s="77"/>
      <c r="K1116" s="74" t="s">
        <v>8</v>
      </c>
      <c r="L1116" s="75">
        <v>2160573.19</v>
      </c>
    </row>
    <row r="1117" spans="1:12" ht="71.400000000000006" hidden="1" x14ac:dyDescent="0.3">
      <c r="A1117" s="69" t="s">
        <v>1327</v>
      </c>
      <c r="B1117" s="70" t="s">
        <v>1380</v>
      </c>
      <c r="C1117" s="70" t="s">
        <v>1364</v>
      </c>
      <c r="D1117" s="70" t="s">
        <v>1360</v>
      </c>
      <c r="E1117" s="71" t="s">
        <v>13</v>
      </c>
      <c r="F1117" s="79">
        <v>971.51</v>
      </c>
      <c r="G1117" s="79"/>
      <c r="H1117" s="71" t="s">
        <v>457</v>
      </c>
      <c r="I1117" s="77" t="s">
        <v>30</v>
      </c>
      <c r="J1117" s="77"/>
      <c r="K1117" s="74" t="s">
        <v>8</v>
      </c>
      <c r="L1117" s="75">
        <v>2161544.7000000002</v>
      </c>
    </row>
    <row r="1118" spans="1:12" ht="81.599999999999994" hidden="1" x14ac:dyDescent="0.3">
      <c r="A1118" s="69" t="s">
        <v>1327</v>
      </c>
      <c r="B1118" s="70" t="s">
        <v>1380</v>
      </c>
      <c r="C1118" s="70" t="s">
        <v>1365</v>
      </c>
      <c r="D1118" s="70" t="s">
        <v>1360</v>
      </c>
      <c r="E1118" s="71" t="s">
        <v>13</v>
      </c>
      <c r="F1118" s="79">
        <v>345.61</v>
      </c>
      <c r="G1118" s="79"/>
      <c r="H1118" s="71" t="s">
        <v>457</v>
      </c>
      <c r="I1118" s="77" t="s">
        <v>30</v>
      </c>
      <c r="J1118" s="77"/>
      <c r="K1118" s="74" t="s">
        <v>8</v>
      </c>
      <c r="L1118" s="75">
        <v>2161890.31</v>
      </c>
    </row>
    <row r="1119" spans="1:12" ht="71.400000000000006" hidden="1" x14ac:dyDescent="0.3">
      <c r="A1119" s="69" t="s">
        <v>1327</v>
      </c>
      <c r="B1119" s="70" t="s">
        <v>1380</v>
      </c>
      <c r="C1119" s="70" t="s">
        <v>1366</v>
      </c>
      <c r="D1119" s="70" t="s">
        <v>1360</v>
      </c>
      <c r="E1119" s="71" t="s">
        <v>13</v>
      </c>
      <c r="F1119" s="79">
        <v>262.39999999999998</v>
      </c>
      <c r="G1119" s="79"/>
      <c r="H1119" s="71" t="s">
        <v>457</v>
      </c>
      <c r="I1119" s="77" t="s">
        <v>30</v>
      </c>
      <c r="J1119" s="77"/>
      <c r="K1119" s="74" t="s">
        <v>8</v>
      </c>
      <c r="L1119" s="75">
        <v>2162152.71</v>
      </c>
    </row>
    <row r="1120" spans="1:12" ht="71.400000000000006" hidden="1" x14ac:dyDescent="0.3">
      <c r="A1120" s="69" t="s">
        <v>1327</v>
      </c>
      <c r="B1120" s="70" t="s">
        <v>1380</v>
      </c>
      <c r="C1120" s="70" t="s">
        <v>1367</v>
      </c>
      <c r="D1120" s="70" t="s">
        <v>1360</v>
      </c>
      <c r="E1120" s="71" t="s">
        <v>13</v>
      </c>
      <c r="F1120" s="76">
        <v>1383.8</v>
      </c>
      <c r="G1120" s="76"/>
      <c r="H1120" s="71" t="s">
        <v>457</v>
      </c>
      <c r="I1120" s="77" t="s">
        <v>30</v>
      </c>
      <c r="J1120" s="77"/>
      <c r="K1120" s="74" t="s">
        <v>8</v>
      </c>
      <c r="L1120" s="75">
        <v>2163536.5099999998</v>
      </c>
    </row>
    <row r="1121" spans="1:12" ht="61.2" hidden="1" x14ac:dyDescent="0.3">
      <c r="A1121" s="69" t="s">
        <v>1327</v>
      </c>
      <c r="B1121" s="70" t="s">
        <v>1380</v>
      </c>
      <c r="C1121" s="70" t="s">
        <v>1368</v>
      </c>
      <c r="D1121" s="70" t="s">
        <v>1360</v>
      </c>
      <c r="E1121" s="71" t="s">
        <v>13</v>
      </c>
      <c r="F1121" s="79">
        <v>354.24</v>
      </c>
      <c r="G1121" s="79"/>
      <c r="H1121" s="71" t="s">
        <v>457</v>
      </c>
      <c r="I1121" s="77" t="s">
        <v>30</v>
      </c>
      <c r="J1121" s="77"/>
      <c r="K1121" s="74" t="s">
        <v>8</v>
      </c>
      <c r="L1121" s="75">
        <v>2163890.75</v>
      </c>
    </row>
    <row r="1122" spans="1:12" ht="61.2" hidden="1" x14ac:dyDescent="0.3">
      <c r="A1122" s="69" t="s">
        <v>1327</v>
      </c>
      <c r="B1122" s="70" t="s">
        <v>1380</v>
      </c>
      <c r="C1122" s="70" t="s">
        <v>1369</v>
      </c>
      <c r="D1122" s="70" t="s">
        <v>1360</v>
      </c>
      <c r="E1122" s="71" t="s">
        <v>13</v>
      </c>
      <c r="F1122" s="79">
        <v>60.63</v>
      </c>
      <c r="G1122" s="79"/>
      <c r="H1122" s="71" t="s">
        <v>457</v>
      </c>
      <c r="I1122" s="77" t="s">
        <v>30</v>
      </c>
      <c r="J1122" s="77"/>
      <c r="K1122" s="74" t="s">
        <v>8</v>
      </c>
      <c r="L1122" s="75">
        <v>2163951.38</v>
      </c>
    </row>
    <row r="1123" spans="1:12" ht="71.400000000000006" hidden="1" x14ac:dyDescent="0.3">
      <c r="A1123" s="69" t="s">
        <v>1327</v>
      </c>
      <c r="B1123" s="70" t="s">
        <v>1380</v>
      </c>
      <c r="C1123" s="70" t="s">
        <v>1370</v>
      </c>
      <c r="D1123" s="70" t="s">
        <v>1360</v>
      </c>
      <c r="E1123" s="71" t="s">
        <v>13</v>
      </c>
      <c r="F1123" s="79">
        <v>749.69</v>
      </c>
      <c r="G1123" s="79"/>
      <c r="H1123" s="71" t="s">
        <v>457</v>
      </c>
      <c r="I1123" s="77" t="s">
        <v>30</v>
      </c>
      <c r="J1123" s="77"/>
      <c r="K1123" s="74" t="s">
        <v>8</v>
      </c>
      <c r="L1123" s="75">
        <v>2164701.0699999998</v>
      </c>
    </row>
    <row r="1124" spans="1:12" ht="61.2" hidden="1" x14ac:dyDescent="0.3">
      <c r="A1124" s="69" t="s">
        <v>1327</v>
      </c>
      <c r="B1124" s="70" t="s">
        <v>1380</v>
      </c>
      <c r="C1124" s="70" t="s">
        <v>1371</v>
      </c>
      <c r="D1124" s="70" t="s">
        <v>1360</v>
      </c>
      <c r="E1124" s="71" t="s">
        <v>13</v>
      </c>
      <c r="F1124" s="79">
        <v>295.2</v>
      </c>
      <c r="G1124" s="79"/>
      <c r="H1124" s="71" t="s">
        <v>457</v>
      </c>
      <c r="I1124" s="77" t="s">
        <v>30</v>
      </c>
      <c r="J1124" s="77"/>
      <c r="K1124" s="74" t="s">
        <v>8</v>
      </c>
      <c r="L1124" s="75">
        <v>2164996.27</v>
      </c>
    </row>
    <row r="1125" spans="1:12" ht="61.2" hidden="1" x14ac:dyDescent="0.3">
      <c r="A1125" s="69" t="s">
        <v>1327</v>
      </c>
      <c r="B1125" s="70" t="s">
        <v>1380</v>
      </c>
      <c r="C1125" s="70" t="s">
        <v>1372</v>
      </c>
      <c r="D1125" s="70" t="s">
        <v>1360</v>
      </c>
      <c r="E1125" s="71" t="s">
        <v>13</v>
      </c>
      <c r="F1125" s="79">
        <v>265.94</v>
      </c>
      <c r="G1125" s="79"/>
      <c r="H1125" s="71" t="s">
        <v>457</v>
      </c>
      <c r="I1125" s="77" t="s">
        <v>30</v>
      </c>
      <c r="J1125" s="77"/>
      <c r="K1125" s="74" t="s">
        <v>8</v>
      </c>
      <c r="L1125" s="75">
        <v>2165262.21</v>
      </c>
    </row>
    <row r="1126" spans="1:12" ht="61.2" hidden="1" x14ac:dyDescent="0.3">
      <c r="A1126" s="69" t="s">
        <v>1327</v>
      </c>
      <c r="B1126" s="70" t="s">
        <v>1380</v>
      </c>
      <c r="C1126" s="70" t="s">
        <v>1373</v>
      </c>
      <c r="D1126" s="70" t="s">
        <v>1360</v>
      </c>
      <c r="E1126" s="71" t="s">
        <v>13</v>
      </c>
      <c r="F1126" s="79">
        <v>130.46</v>
      </c>
      <c r="G1126" s="79"/>
      <c r="H1126" s="71" t="s">
        <v>457</v>
      </c>
      <c r="I1126" s="77" t="s">
        <v>30</v>
      </c>
      <c r="J1126" s="77"/>
      <c r="K1126" s="74" t="s">
        <v>8</v>
      </c>
      <c r="L1126" s="75">
        <v>2165392.67</v>
      </c>
    </row>
    <row r="1127" spans="1:12" ht="61.2" hidden="1" x14ac:dyDescent="0.3">
      <c r="A1127" s="69" t="s">
        <v>1327</v>
      </c>
      <c r="B1127" s="70" t="s">
        <v>1380</v>
      </c>
      <c r="C1127" s="70" t="s">
        <v>1374</v>
      </c>
      <c r="D1127" s="70" t="s">
        <v>1360</v>
      </c>
      <c r="E1127" s="71" t="s">
        <v>13</v>
      </c>
      <c r="F1127" s="79">
        <v>487.93</v>
      </c>
      <c r="G1127" s="79"/>
      <c r="H1127" s="71" t="s">
        <v>457</v>
      </c>
      <c r="I1127" s="77" t="s">
        <v>30</v>
      </c>
      <c r="J1127" s="77"/>
      <c r="K1127" s="74" t="s">
        <v>8</v>
      </c>
      <c r="L1127" s="75">
        <v>2165880.6</v>
      </c>
    </row>
    <row r="1128" spans="1:12" ht="71.400000000000006" hidden="1" x14ac:dyDescent="0.3">
      <c r="A1128" s="69" t="s">
        <v>1327</v>
      </c>
      <c r="B1128" s="70" t="s">
        <v>1380</v>
      </c>
      <c r="C1128" s="70" t="s">
        <v>1375</v>
      </c>
      <c r="D1128" s="70" t="s">
        <v>1360</v>
      </c>
      <c r="E1128" s="71" t="s">
        <v>13</v>
      </c>
      <c r="F1128" s="76">
        <v>1395.97</v>
      </c>
      <c r="G1128" s="76"/>
      <c r="H1128" s="71" t="s">
        <v>457</v>
      </c>
      <c r="I1128" s="77" t="s">
        <v>30</v>
      </c>
      <c r="J1128" s="77"/>
      <c r="K1128" s="74" t="s">
        <v>8</v>
      </c>
      <c r="L1128" s="75">
        <v>2167276.5699999998</v>
      </c>
    </row>
    <row r="1129" spans="1:12" ht="61.2" hidden="1" x14ac:dyDescent="0.3">
      <c r="A1129" s="69" t="s">
        <v>1327</v>
      </c>
      <c r="B1129" s="70" t="s">
        <v>1380</v>
      </c>
      <c r="C1129" s="70" t="s">
        <v>1376</v>
      </c>
      <c r="D1129" s="70" t="s">
        <v>1360</v>
      </c>
      <c r="E1129" s="71" t="s">
        <v>13</v>
      </c>
      <c r="F1129" s="76">
        <v>4461.8999999999996</v>
      </c>
      <c r="G1129" s="76"/>
      <c r="H1129" s="71" t="s">
        <v>457</v>
      </c>
      <c r="I1129" s="77" t="s">
        <v>30</v>
      </c>
      <c r="J1129" s="77"/>
      <c r="K1129" s="74" t="s">
        <v>8</v>
      </c>
      <c r="L1129" s="75">
        <v>2171738.4700000002</v>
      </c>
    </row>
    <row r="1130" spans="1:12" ht="61.2" hidden="1" x14ac:dyDescent="0.3">
      <c r="A1130" s="69" t="s">
        <v>1327</v>
      </c>
      <c r="B1130" s="70" t="s">
        <v>1380</v>
      </c>
      <c r="C1130" s="70" t="s">
        <v>1377</v>
      </c>
      <c r="D1130" s="70" t="s">
        <v>1360</v>
      </c>
      <c r="E1130" s="71" t="s">
        <v>13</v>
      </c>
      <c r="F1130" s="79">
        <v>790.97</v>
      </c>
      <c r="G1130" s="79"/>
      <c r="H1130" s="71" t="s">
        <v>457</v>
      </c>
      <c r="I1130" s="77" t="s">
        <v>30</v>
      </c>
      <c r="J1130" s="77"/>
      <c r="K1130" s="74" t="s">
        <v>8</v>
      </c>
      <c r="L1130" s="75">
        <v>2172529.44</v>
      </c>
    </row>
    <row r="1131" spans="1:12" ht="61.2" hidden="1" x14ac:dyDescent="0.3">
      <c r="A1131" s="69" t="s">
        <v>1327</v>
      </c>
      <c r="B1131" s="70" t="s">
        <v>1380</v>
      </c>
      <c r="C1131" s="70" t="s">
        <v>1378</v>
      </c>
      <c r="D1131" s="70" t="s">
        <v>1360</v>
      </c>
      <c r="E1131" s="71" t="s">
        <v>13</v>
      </c>
      <c r="F1131" s="79">
        <v>451.26</v>
      </c>
      <c r="G1131" s="79"/>
      <c r="H1131" s="71" t="s">
        <v>457</v>
      </c>
      <c r="I1131" s="77" t="s">
        <v>30</v>
      </c>
      <c r="J1131" s="77"/>
      <c r="K1131" s="74" t="s">
        <v>8</v>
      </c>
      <c r="L1131" s="75">
        <v>2172980.7000000002</v>
      </c>
    </row>
    <row r="1132" spans="1:12" ht="61.2" hidden="1" x14ac:dyDescent="0.3">
      <c r="A1132" s="69" t="s">
        <v>1327</v>
      </c>
      <c r="B1132" s="70" t="s">
        <v>1380</v>
      </c>
      <c r="C1132" s="70" t="s">
        <v>1379</v>
      </c>
      <c r="D1132" s="70" t="s">
        <v>1360</v>
      </c>
      <c r="E1132" s="71" t="s">
        <v>13</v>
      </c>
      <c r="F1132" s="79">
        <v>818.62</v>
      </c>
      <c r="G1132" s="79"/>
      <c r="H1132" s="71" t="s">
        <v>457</v>
      </c>
      <c r="I1132" s="77" t="s">
        <v>30</v>
      </c>
      <c r="J1132" s="77"/>
      <c r="K1132" s="74" t="s">
        <v>8</v>
      </c>
      <c r="L1132" s="75">
        <v>2173799.3199999998</v>
      </c>
    </row>
    <row r="1133" spans="1:12" ht="71.400000000000006" x14ac:dyDescent="0.3">
      <c r="A1133" s="69" t="s">
        <v>1327</v>
      </c>
      <c r="B1133" s="70" t="s">
        <v>1381</v>
      </c>
      <c r="C1133" s="70" t="s">
        <v>518</v>
      </c>
      <c r="D1133" s="70" t="s">
        <v>1323</v>
      </c>
      <c r="E1133" s="71" t="s">
        <v>165</v>
      </c>
      <c r="F1133" s="72" t="s">
        <v>30</v>
      </c>
      <c r="G1133" s="72"/>
      <c r="H1133" s="71" t="s">
        <v>13</v>
      </c>
      <c r="I1133" s="73">
        <v>1492.93</v>
      </c>
      <c r="J1133" s="73"/>
      <c r="K1133" s="74" t="s">
        <v>8</v>
      </c>
      <c r="L1133" s="75">
        <v>4870676</v>
      </c>
    </row>
    <row r="1134" spans="1:12" ht="71.400000000000006" x14ac:dyDescent="0.3">
      <c r="A1134" s="69" t="s">
        <v>1327</v>
      </c>
      <c r="B1134" s="70" t="s">
        <v>1381</v>
      </c>
      <c r="C1134" s="70" t="s">
        <v>518</v>
      </c>
      <c r="D1134" s="70" t="s">
        <v>1325</v>
      </c>
      <c r="E1134" s="71" t="s">
        <v>165</v>
      </c>
      <c r="F1134" s="72" t="s">
        <v>30</v>
      </c>
      <c r="G1134" s="72"/>
      <c r="H1134" s="71" t="s">
        <v>13</v>
      </c>
      <c r="I1134" s="73">
        <v>3735.39</v>
      </c>
      <c r="J1134" s="73"/>
      <c r="K1134" s="74" t="s">
        <v>8</v>
      </c>
      <c r="L1134" s="75">
        <v>4866940.6100000003</v>
      </c>
    </row>
    <row r="1135" spans="1:12" ht="61.2" x14ac:dyDescent="0.3">
      <c r="A1135" s="69" t="s">
        <v>1327</v>
      </c>
      <c r="B1135" s="70" t="s">
        <v>1381</v>
      </c>
      <c r="C1135" s="70" t="s">
        <v>518</v>
      </c>
      <c r="D1135" s="70" t="s">
        <v>484</v>
      </c>
      <c r="E1135" s="71" t="s">
        <v>165</v>
      </c>
      <c r="F1135" s="72" t="s">
        <v>30</v>
      </c>
      <c r="G1135" s="72"/>
      <c r="H1135" s="71" t="s">
        <v>13</v>
      </c>
      <c r="I1135" s="73">
        <v>15196.12</v>
      </c>
      <c r="J1135" s="73"/>
      <c r="K1135" s="74" t="s">
        <v>8</v>
      </c>
      <c r="L1135" s="75">
        <v>4851744.49</v>
      </c>
    </row>
    <row r="1136" spans="1:12" ht="71.400000000000006" x14ac:dyDescent="0.3">
      <c r="A1136" s="69" t="s">
        <v>1327</v>
      </c>
      <c r="B1136" s="70" t="s">
        <v>1381</v>
      </c>
      <c r="C1136" s="70" t="s">
        <v>518</v>
      </c>
      <c r="D1136" s="70" t="s">
        <v>760</v>
      </c>
      <c r="E1136" s="71" t="s">
        <v>165</v>
      </c>
      <c r="F1136" s="72" t="s">
        <v>30</v>
      </c>
      <c r="G1136" s="72"/>
      <c r="H1136" s="71" t="s">
        <v>13</v>
      </c>
      <c r="I1136" s="78">
        <v>600.48</v>
      </c>
      <c r="J1136" s="78"/>
      <c r="K1136" s="74" t="s">
        <v>8</v>
      </c>
      <c r="L1136" s="75">
        <v>4851144.01</v>
      </c>
    </row>
    <row r="1137" spans="1:12" ht="61.2" x14ac:dyDescent="0.3">
      <c r="A1137" s="69" t="s">
        <v>1327</v>
      </c>
      <c r="B1137" s="70" t="s">
        <v>1381</v>
      </c>
      <c r="C1137" s="70" t="s">
        <v>518</v>
      </c>
      <c r="D1137" s="70" t="s">
        <v>1382</v>
      </c>
      <c r="E1137" s="71" t="s">
        <v>165</v>
      </c>
      <c r="F1137" s="72" t="s">
        <v>30</v>
      </c>
      <c r="G1137" s="72"/>
      <c r="H1137" s="71" t="s">
        <v>13</v>
      </c>
      <c r="I1137" s="78">
        <v>575.25</v>
      </c>
      <c r="J1137" s="78"/>
      <c r="K1137" s="74" t="s">
        <v>8</v>
      </c>
      <c r="L1137" s="75">
        <v>4850568.76</v>
      </c>
    </row>
    <row r="1138" spans="1:12" ht="71.400000000000006" x14ac:dyDescent="0.3">
      <c r="A1138" s="69" t="s">
        <v>1327</v>
      </c>
      <c r="B1138" s="70" t="s">
        <v>1381</v>
      </c>
      <c r="C1138" s="70" t="s">
        <v>518</v>
      </c>
      <c r="D1138" s="70" t="s">
        <v>763</v>
      </c>
      <c r="E1138" s="71" t="s">
        <v>165</v>
      </c>
      <c r="F1138" s="72" t="s">
        <v>30</v>
      </c>
      <c r="G1138" s="72"/>
      <c r="H1138" s="71" t="s">
        <v>13</v>
      </c>
      <c r="I1138" s="73">
        <v>4250</v>
      </c>
      <c r="J1138" s="73"/>
      <c r="K1138" s="74" t="s">
        <v>8</v>
      </c>
      <c r="L1138" s="75">
        <v>4846318.76</v>
      </c>
    </row>
    <row r="1139" spans="1:12" ht="71.400000000000006" x14ac:dyDescent="0.3">
      <c r="A1139" s="69" t="s">
        <v>1327</v>
      </c>
      <c r="B1139" s="70" t="s">
        <v>1381</v>
      </c>
      <c r="C1139" s="70" t="s">
        <v>518</v>
      </c>
      <c r="D1139" s="70" t="s">
        <v>763</v>
      </c>
      <c r="E1139" s="71" t="s">
        <v>165</v>
      </c>
      <c r="F1139" s="72" t="s">
        <v>30</v>
      </c>
      <c r="G1139" s="72"/>
      <c r="H1139" s="71" t="s">
        <v>13</v>
      </c>
      <c r="I1139" s="73">
        <v>1488.35</v>
      </c>
      <c r="J1139" s="73"/>
      <c r="K1139" s="74" t="s">
        <v>8</v>
      </c>
      <c r="L1139" s="75">
        <v>4844830.41</v>
      </c>
    </row>
    <row r="1140" spans="1:12" ht="71.400000000000006" x14ac:dyDescent="0.3">
      <c r="A1140" s="69" t="s">
        <v>1327</v>
      </c>
      <c r="B1140" s="70" t="s">
        <v>1381</v>
      </c>
      <c r="C1140" s="70" t="s">
        <v>518</v>
      </c>
      <c r="D1140" s="70" t="s">
        <v>1341</v>
      </c>
      <c r="E1140" s="71" t="s">
        <v>165</v>
      </c>
      <c r="F1140" s="72" t="s">
        <v>30</v>
      </c>
      <c r="G1140" s="72"/>
      <c r="H1140" s="71" t="s">
        <v>13</v>
      </c>
      <c r="I1140" s="73">
        <v>4250</v>
      </c>
      <c r="J1140" s="73"/>
      <c r="K1140" s="74" t="s">
        <v>8</v>
      </c>
      <c r="L1140" s="75">
        <v>4840580.41</v>
      </c>
    </row>
    <row r="1141" spans="1:12" ht="71.400000000000006" x14ac:dyDescent="0.3">
      <c r="A1141" s="69" t="s">
        <v>1327</v>
      </c>
      <c r="B1141" s="70" t="s">
        <v>1381</v>
      </c>
      <c r="C1141" s="70" t="s">
        <v>518</v>
      </c>
      <c r="D1141" s="70" t="s">
        <v>1383</v>
      </c>
      <c r="E1141" s="71" t="s">
        <v>165</v>
      </c>
      <c r="F1141" s="72" t="s">
        <v>30</v>
      </c>
      <c r="G1141" s="72"/>
      <c r="H1141" s="71" t="s">
        <v>13</v>
      </c>
      <c r="I1141" s="73">
        <v>11860.69</v>
      </c>
      <c r="J1141" s="73"/>
      <c r="K1141" s="74" t="s">
        <v>8</v>
      </c>
      <c r="L1141" s="75">
        <v>4828719.72</v>
      </c>
    </row>
    <row r="1142" spans="1:12" ht="71.400000000000006" x14ac:dyDescent="0.3">
      <c r="A1142" s="69" t="s">
        <v>1327</v>
      </c>
      <c r="B1142" s="70" t="s">
        <v>1381</v>
      </c>
      <c r="C1142" s="70" t="s">
        <v>518</v>
      </c>
      <c r="D1142" s="70" t="s">
        <v>1383</v>
      </c>
      <c r="E1142" s="71" t="s">
        <v>165</v>
      </c>
      <c r="F1142" s="72" t="s">
        <v>30</v>
      </c>
      <c r="G1142" s="72"/>
      <c r="H1142" s="71" t="s">
        <v>13</v>
      </c>
      <c r="I1142" s="78">
        <v>226.36</v>
      </c>
      <c r="J1142" s="78"/>
      <c r="K1142" s="74" t="s">
        <v>8</v>
      </c>
      <c r="L1142" s="75">
        <v>4828493.3600000003</v>
      </c>
    </row>
    <row r="1143" spans="1:12" ht="71.400000000000006" x14ac:dyDescent="0.3">
      <c r="A1143" s="69" t="s">
        <v>1327</v>
      </c>
      <c r="B1143" s="70" t="s">
        <v>1381</v>
      </c>
      <c r="C1143" s="70" t="s">
        <v>518</v>
      </c>
      <c r="D1143" s="70" t="s">
        <v>1384</v>
      </c>
      <c r="E1143" s="71" t="s">
        <v>165</v>
      </c>
      <c r="F1143" s="72" t="s">
        <v>30</v>
      </c>
      <c r="G1143" s="72"/>
      <c r="H1143" s="71" t="s">
        <v>13</v>
      </c>
      <c r="I1143" s="73">
        <v>29432.93</v>
      </c>
      <c r="J1143" s="73"/>
      <c r="K1143" s="74" t="s">
        <v>8</v>
      </c>
      <c r="L1143" s="75">
        <v>4799060.43</v>
      </c>
    </row>
    <row r="1144" spans="1:12" ht="71.400000000000006" x14ac:dyDescent="0.3">
      <c r="A1144" s="69" t="s">
        <v>1327</v>
      </c>
      <c r="B1144" s="70" t="s">
        <v>1381</v>
      </c>
      <c r="C1144" s="70" t="s">
        <v>518</v>
      </c>
      <c r="D1144" s="70" t="s">
        <v>768</v>
      </c>
      <c r="E1144" s="71" t="s">
        <v>165</v>
      </c>
      <c r="F1144" s="72" t="s">
        <v>30</v>
      </c>
      <c r="G1144" s="72"/>
      <c r="H1144" s="71" t="s">
        <v>13</v>
      </c>
      <c r="I1144" s="78">
        <v>214.6</v>
      </c>
      <c r="J1144" s="78"/>
      <c r="K1144" s="74" t="s">
        <v>8</v>
      </c>
      <c r="L1144" s="75">
        <v>4798845.83</v>
      </c>
    </row>
    <row r="1145" spans="1:12" ht="61.2" x14ac:dyDescent="0.3">
      <c r="A1145" s="69" t="s">
        <v>1327</v>
      </c>
      <c r="B1145" s="70" t="s">
        <v>1381</v>
      </c>
      <c r="C1145" s="70" t="s">
        <v>518</v>
      </c>
      <c r="D1145" s="70" t="s">
        <v>486</v>
      </c>
      <c r="E1145" s="71" t="s">
        <v>165</v>
      </c>
      <c r="F1145" s="72" t="s">
        <v>30</v>
      </c>
      <c r="G1145" s="72"/>
      <c r="H1145" s="71" t="s">
        <v>13</v>
      </c>
      <c r="I1145" s="73">
        <v>3861.94</v>
      </c>
      <c r="J1145" s="73"/>
      <c r="K1145" s="74" t="s">
        <v>8</v>
      </c>
      <c r="L1145" s="75">
        <v>4794983.8899999997</v>
      </c>
    </row>
    <row r="1146" spans="1:12" ht="61.2" x14ac:dyDescent="0.3">
      <c r="A1146" s="69" t="s">
        <v>1327</v>
      </c>
      <c r="B1146" s="70" t="s">
        <v>1381</v>
      </c>
      <c r="C1146" s="70" t="s">
        <v>518</v>
      </c>
      <c r="D1146" s="70" t="s">
        <v>772</v>
      </c>
      <c r="E1146" s="71" t="s">
        <v>165</v>
      </c>
      <c r="F1146" s="72" t="s">
        <v>30</v>
      </c>
      <c r="G1146" s="72"/>
      <c r="H1146" s="71" t="s">
        <v>13</v>
      </c>
      <c r="I1146" s="73">
        <v>4028.94</v>
      </c>
      <c r="J1146" s="73"/>
      <c r="K1146" s="74" t="s">
        <v>8</v>
      </c>
      <c r="L1146" s="75">
        <v>4790954.95</v>
      </c>
    </row>
    <row r="1147" spans="1:12" ht="81.599999999999994" x14ac:dyDescent="0.3">
      <c r="A1147" s="69" t="s">
        <v>1327</v>
      </c>
      <c r="B1147" s="70" t="s">
        <v>1381</v>
      </c>
      <c r="C1147" s="70" t="s">
        <v>518</v>
      </c>
      <c r="D1147" s="70" t="s">
        <v>773</v>
      </c>
      <c r="E1147" s="71" t="s">
        <v>165</v>
      </c>
      <c r="F1147" s="72" t="s">
        <v>30</v>
      </c>
      <c r="G1147" s="72"/>
      <c r="H1147" s="71" t="s">
        <v>13</v>
      </c>
      <c r="I1147" s="73">
        <v>45291.07</v>
      </c>
      <c r="J1147" s="73"/>
      <c r="K1147" s="74" t="s">
        <v>8</v>
      </c>
      <c r="L1147" s="75">
        <v>4745663.88</v>
      </c>
    </row>
    <row r="1148" spans="1:12" ht="81.599999999999994" x14ac:dyDescent="0.3">
      <c r="A1148" s="69" t="s">
        <v>1327</v>
      </c>
      <c r="B1148" s="70" t="s">
        <v>1381</v>
      </c>
      <c r="C1148" s="70" t="s">
        <v>518</v>
      </c>
      <c r="D1148" s="70" t="s">
        <v>774</v>
      </c>
      <c r="E1148" s="71" t="s">
        <v>165</v>
      </c>
      <c r="F1148" s="72" t="s">
        <v>30</v>
      </c>
      <c r="G1148" s="72"/>
      <c r="H1148" s="71" t="s">
        <v>13</v>
      </c>
      <c r="I1148" s="78">
        <v>2.92</v>
      </c>
      <c r="J1148" s="78"/>
      <c r="K1148" s="74" t="s">
        <v>8</v>
      </c>
      <c r="L1148" s="75">
        <v>4745660.96</v>
      </c>
    </row>
    <row r="1149" spans="1:12" ht="81.599999999999994" x14ac:dyDescent="0.3">
      <c r="A1149" s="69" t="s">
        <v>1327</v>
      </c>
      <c r="B1149" s="70" t="s">
        <v>1381</v>
      </c>
      <c r="C1149" s="70" t="s">
        <v>518</v>
      </c>
      <c r="D1149" s="70" t="s">
        <v>482</v>
      </c>
      <c r="E1149" s="71" t="s">
        <v>165</v>
      </c>
      <c r="F1149" s="72" t="s">
        <v>30</v>
      </c>
      <c r="G1149" s="72"/>
      <c r="H1149" s="71" t="s">
        <v>13</v>
      </c>
      <c r="I1149" s="73">
        <v>7054.09</v>
      </c>
      <c r="J1149" s="73"/>
      <c r="K1149" s="74" t="s">
        <v>8</v>
      </c>
      <c r="L1149" s="75">
        <v>4738606.87</v>
      </c>
    </row>
    <row r="1150" spans="1:12" ht="61.2" x14ac:dyDescent="0.3">
      <c r="A1150" s="69" t="s">
        <v>1327</v>
      </c>
      <c r="B1150" s="70" t="s">
        <v>1385</v>
      </c>
      <c r="C1150" s="70" t="s">
        <v>518</v>
      </c>
      <c r="D1150" s="70" t="s">
        <v>1382</v>
      </c>
      <c r="E1150" s="71" t="s">
        <v>165</v>
      </c>
      <c r="F1150" s="72" t="s">
        <v>30</v>
      </c>
      <c r="G1150" s="72"/>
      <c r="H1150" s="71" t="s">
        <v>13</v>
      </c>
      <c r="I1150" s="78">
        <v>180.1</v>
      </c>
      <c r="J1150" s="78"/>
      <c r="K1150" s="74" t="s">
        <v>8</v>
      </c>
      <c r="L1150" s="75">
        <v>4738426.7699999996</v>
      </c>
    </row>
    <row r="1151" spans="1:12" ht="71.400000000000006" x14ac:dyDescent="0.3">
      <c r="A1151" s="69" t="s">
        <v>1327</v>
      </c>
      <c r="B1151" s="70" t="s">
        <v>1385</v>
      </c>
      <c r="C1151" s="70" t="s">
        <v>518</v>
      </c>
      <c r="D1151" s="70" t="s">
        <v>1384</v>
      </c>
      <c r="E1151" s="71" t="s">
        <v>165</v>
      </c>
      <c r="F1151" s="72" t="s">
        <v>30</v>
      </c>
      <c r="G1151" s="72"/>
      <c r="H1151" s="71" t="s">
        <v>13</v>
      </c>
      <c r="I1151" s="73">
        <v>8587.5499999999993</v>
      </c>
      <c r="J1151" s="73"/>
      <c r="K1151" s="74" t="s">
        <v>8</v>
      </c>
      <c r="L1151" s="75">
        <v>4729839.22</v>
      </c>
    </row>
    <row r="1152" spans="1:12" ht="71.400000000000006" x14ac:dyDescent="0.3">
      <c r="A1152" s="69" t="s">
        <v>1327</v>
      </c>
      <c r="B1152" s="70" t="s">
        <v>1385</v>
      </c>
      <c r="C1152" s="70" t="s">
        <v>518</v>
      </c>
      <c r="D1152" s="70" t="s">
        <v>1384</v>
      </c>
      <c r="E1152" s="71" t="s">
        <v>165</v>
      </c>
      <c r="F1152" s="72" t="s">
        <v>30</v>
      </c>
      <c r="G1152" s="72"/>
      <c r="H1152" s="71" t="s">
        <v>13</v>
      </c>
      <c r="I1152" s="78">
        <v>223.33</v>
      </c>
      <c r="J1152" s="78"/>
      <c r="K1152" s="74" t="s">
        <v>8</v>
      </c>
      <c r="L1152" s="75">
        <v>4729615.8899999997</v>
      </c>
    </row>
    <row r="1153" spans="1:12" ht="61.2" x14ac:dyDescent="0.3">
      <c r="A1153" s="69" t="s">
        <v>1327</v>
      </c>
      <c r="B1153" s="70" t="s">
        <v>1385</v>
      </c>
      <c r="C1153" s="70" t="s">
        <v>518</v>
      </c>
      <c r="D1153" s="70" t="s">
        <v>1343</v>
      </c>
      <c r="E1153" s="71" t="s">
        <v>165</v>
      </c>
      <c r="F1153" s="72" t="s">
        <v>30</v>
      </c>
      <c r="G1153" s="72"/>
      <c r="H1153" s="71" t="s">
        <v>13</v>
      </c>
      <c r="I1153" s="73">
        <v>2300</v>
      </c>
      <c r="J1153" s="73"/>
      <c r="K1153" s="74" t="s">
        <v>8</v>
      </c>
      <c r="L1153" s="75">
        <v>4727315.8899999997</v>
      </c>
    </row>
    <row r="1154" spans="1:12" ht="81.599999999999994" x14ac:dyDescent="0.3">
      <c r="A1154" s="69" t="s">
        <v>1327</v>
      </c>
      <c r="B1154" s="70" t="s">
        <v>1385</v>
      </c>
      <c r="C1154" s="70" t="s">
        <v>518</v>
      </c>
      <c r="D1154" s="70" t="s">
        <v>482</v>
      </c>
      <c r="E1154" s="71" t="s">
        <v>165</v>
      </c>
      <c r="F1154" s="72" t="s">
        <v>30</v>
      </c>
      <c r="G1154" s="72"/>
      <c r="H1154" s="71" t="s">
        <v>13</v>
      </c>
      <c r="I1154" s="73">
        <v>6024.39</v>
      </c>
      <c r="J1154" s="73"/>
      <c r="K1154" s="74" t="s">
        <v>8</v>
      </c>
      <c r="L1154" s="75">
        <v>4721291.5</v>
      </c>
    </row>
    <row r="1155" spans="1:12" ht="81.599999999999994" x14ac:dyDescent="0.3">
      <c r="A1155" s="69" t="s">
        <v>1327</v>
      </c>
      <c r="B1155" s="70" t="s">
        <v>1385</v>
      </c>
      <c r="C1155" s="70" t="s">
        <v>518</v>
      </c>
      <c r="D1155" s="70" t="s">
        <v>553</v>
      </c>
      <c r="E1155" s="71" t="s">
        <v>165</v>
      </c>
      <c r="F1155" s="72" t="s">
        <v>30</v>
      </c>
      <c r="G1155" s="72"/>
      <c r="H1155" s="71" t="s">
        <v>13</v>
      </c>
      <c r="I1155" s="73">
        <v>8075.28</v>
      </c>
      <c r="J1155" s="73"/>
      <c r="K1155" s="74" t="s">
        <v>8</v>
      </c>
      <c r="L1155" s="75">
        <v>4713216.22</v>
      </c>
    </row>
    <row r="1156" spans="1:12" ht="81.599999999999994" x14ac:dyDescent="0.3">
      <c r="A1156" s="69" t="s">
        <v>1327</v>
      </c>
      <c r="B1156" s="70" t="s">
        <v>1385</v>
      </c>
      <c r="C1156" s="70" t="s">
        <v>518</v>
      </c>
      <c r="D1156" s="70" t="s">
        <v>557</v>
      </c>
      <c r="E1156" s="71" t="s">
        <v>165</v>
      </c>
      <c r="F1156" s="72" t="s">
        <v>30</v>
      </c>
      <c r="G1156" s="72"/>
      <c r="H1156" s="71" t="s">
        <v>13</v>
      </c>
      <c r="I1156" s="73">
        <v>6396.29</v>
      </c>
      <c r="J1156" s="73"/>
      <c r="K1156" s="74" t="s">
        <v>8</v>
      </c>
      <c r="L1156" s="75">
        <v>4706819.93</v>
      </c>
    </row>
    <row r="1157" spans="1:12" ht="71.400000000000006" hidden="1" x14ac:dyDescent="0.3">
      <c r="A1157" s="69" t="s">
        <v>1386</v>
      </c>
      <c r="B1157" s="70" t="s">
        <v>1387</v>
      </c>
      <c r="C1157" s="70" t="s">
        <v>1388</v>
      </c>
      <c r="D1157" s="70" t="s">
        <v>326</v>
      </c>
      <c r="E1157" s="71" t="s">
        <v>319</v>
      </c>
      <c r="F1157" s="72" t="s">
        <v>30</v>
      </c>
      <c r="G1157" s="72"/>
      <c r="H1157" s="71" t="s">
        <v>13</v>
      </c>
      <c r="I1157" s="73">
        <v>1596</v>
      </c>
      <c r="J1157" s="73"/>
      <c r="K1157" s="74" t="s">
        <v>8</v>
      </c>
      <c r="L1157" s="75">
        <v>2172203.3199999998</v>
      </c>
    </row>
    <row r="1158" spans="1:12" ht="61.2" hidden="1" x14ac:dyDescent="0.3">
      <c r="A1158" s="69" t="s">
        <v>1386</v>
      </c>
      <c r="B1158" s="70" t="s">
        <v>1387</v>
      </c>
      <c r="C1158" s="70" t="s">
        <v>1389</v>
      </c>
      <c r="D1158" s="70" t="s">
        <v>799</v>
      </c>
      <c r="E1158" s="71" t="s">
        <v>319</v>
      </c>
      <c r="F1158" s="72" t="s">
        <v>30</v>
      </c>
      <c r="G1158" s="72"/>
      <c r="H1158" s="71" t="s">
        <v>13</v>
      </c>
      <c r="I1158" s="73">
        <v>1057.3599999999999</v>
      </c>
      <c r="J1158" s="73"/>
      <c r="K1158" s="74" t="s">
        <v>8</v>
      </c>
      <c r="L1158" s="75">
        <v>2171145.96</v>
      </c>
    </row>
    <row r="1159" spans="1:12" ht="61.2" hidden="1" x14ac:dyDescent="0.3">
      <c r="A1159" s="69" t="s">
        <v>1386</v>
      </c>
      <c r="B1159" s="70" t="s">
        <v>1387</v>
      </c>
      <c r="C1159" s="70" t="s">
        <v>1390</v>
      </c>
      <c r="D1159" s="70" t="s">
        <v>1391</v>
      </c>
      <c r="E1159" s="71" t="s">
        <v>319</v>
      </c>
      <c r="F1159" s="72" t="s">
        <v>30</v>
      </c>
      <c r="G1159" s="72"/>
      <c r="H1159" s="71" t="s">
        <v>13</v>
      </c>
      <c r="I1159" s="78">
        <v>479.25</v>
      </c>
      <c r="J1159" s="78"/>
      <c r="K1159" s="74" t="s">
        <v>8</v>
      </c>
      <c r="L1159" s="75">
        <v>2170666.71</v>
      </c>
    </row>
    <row r="1160" spans="1:12" ht="61.2" hidden="1" x14ac:dyDescent="0.3">
      <c r="A1160" s="69" t="s">
        <v>1386</v>
      </c>
      <c r="B1160" s="70" t="s">
        <v>1387</v>
      </c>
      <c r="C1160" s="70" t="s">
        <v>1390</v>
      </c>
      <c r="D1160" s="70" t="s">
        <v>735</v>
      </c>
      <c r="E1160" s="71" t="s">
        <v>319</v>
      </c>
      <c r="F1160" s="72" t="s">
        <v>30</v>
      </c>
      <c r="G1160" s="72"/>
      <c r="H1160" s="71" t="s">
        <v>13</v>
      </c>
      <c r="I1160" s="73">
        <v>3212.07</v>
      </c>
      <c r="J1160" s="73"/>
      <c r="K1160" s="74" t="s">
        <v>8</v>
      </c>
      <c r="L1160" s="75">
        <v>2167454.64</v>
      </c>
    </row>
    <row r="1161" spans="1:12" ht="61.2" hidden="1" x14ac:dyDescent="0.3">
      <c r="A1161" s="69" t="s">
        <v>1386</v>
      </c>
      <c r="B1161" s="70" t="s">
        <v>1387</v>
      </c>
      <c r="C1161" s="70" t="s">
        <v>1392</v>
      </c>
      <c r="D1161" s="70" t="s">
        <v>743</v>
      </c>
      <c r="E1161" s="71" t="s">
        <v>319</v>
      </c>
      <c r="F1161" s="72" t="s">
        <v>30</v>
      </c>
      <c r="G1161" s="72"/>
      <c r="H1161" s="71" t="s">
        <v>13</v>
      </c>
      <c r="I1161" s="73">
        <v>1729.21</v>
      </c>
      <c r="J1161" s="73"/>
      <c r="K1161" s="74" t="s">
        <v>8</v>
      </c>
      <c r="L1161" s="75">
        <v>2165725.4300000002</v>
      </c>
    </row>
    <row r="1162" spans="1:12" ht="61.2" hidden="1" x14ac:dyDescent="0.3">
      <c r="A1162" s="69" t="s">
        <v>1386</v>
      </c>
      <c r="B1162" s="70" t="s">
        <v>1387</v>
      </c>
      <c r="C1162" s="70" t="s">
        <v>1392</v>
      </c>
      <c r="D1162" s="70" t="s">
        <v>734</v>
      </c>
      <c r="E1162" s="71" t="s">
        <v>319</v>
      </c>
      <c r="F1162" s="72" t="s">
        <v>30</v>
      </c>
      <c r="G1162" s="72"/>
      <c r="H1162" s="71" t="s">
        <v>13</v>
      </c>
      <c r="I1162" s="73">
        <v>4947.1099999999997</v>
      </c>
      <c r="J1162" s="73"/>
      <c r="K1162" s="74" t="s">
        <v>8</v>
      </c>
      <c r="L1162" s="75">
        <v>2160778.3199999998</v>
      </c>
    </row>
    <row r="1163" spans="1:12" ht="61.2" hidden="1" x14ac:dyDescent="0.3">
      <c r="A1163" s="69" t="s">
        <v>1386</v>
      </c>
      <c r="B1163" s="70" t="s">
        <v>1387</v>
      </c>
      <c r="C1163" s="70" t="s">
        <v>1393</v>
      </c>
      <c r="D1163" s="70" t="s">
        <v>805</v>
      </c>
      <c r="E1163" s="71" t="s">
        <v>319</v>
      </c>
      <c r="F1163" s="72" t="s">
        <v>30</v>
      </c>
      <c r="G1163" s="72"/>
      <c r="H1163" s="71" t="s">
        <v>13</v>
      </c>
      <c r="I1163" s="73">
        <v>49198.6</v>
      </c>
      <c r="J1163" s="73"/>
      <c r="K1163" s="74" t="s">
        <v>8</v>
      </c>
      <c r="L1163" s="75">
        <v>2111579.7200000002</v>
      </c>
    </row>
    <row r="1164" spans="1:12" ht="61.2" hidden="1" x14ac:dyDescent="0.3">
      <c r="A1164" s="69" t="s">
        <v>1386</v>
      </c>
      <c r="B1164" s="70" t="s">
        <v>1387</v>
      </c>
      <c r="C1164" s="70" t="s">
        <v>1394</v>
      </c>
      <c r="D1164" s="70" t="s">
        <v>1374</v>
      </c>
      <c r="E1164" s="71" t="s">
        <v>319</v>
      </c>
      <c r="F1164" s="72" t="s">
        <v>30</v>
      </c>
      <c r="G1164" s="72"/>
      <c r="H1164" s="71" t="s">
        <v>13</v>
      </c>
      <c r="I1164" s="73">
        <v>3887.25</v>
      </c>
      <c r="J1164" s="73"/>
      <c r="K1164" s="74" t="s">
        <v>8</v>
      </c>
      <c r="L1164" s="75">
        <v>2107692.4700000002</v>
      </c>
    </row>
    <row r="1165" spans="1:12" ht="61.2" hidden="1" x14ac:dyDescent="0.3">
      <c r="A1165" s="69" t="s">
        <v>1386</v>
      </c>
      <c r="B1165" s="70" t="s">
        <v>1387</v>
      </c>
      <c r="C1165" s="70" t="s">
        <v>1395</v>
      </c>
      <c r="D1165" s="70" t="s">
        <v>748</v>
      </c>
      <c r="E1165" s="71" t="s">
        <v>319</v>
      </c>
      <c r="F1165" s="72" t="s">
        <v>30</v>
      </c>
      <c r="G1165" s="72"/>
      <c r="H1165" s="71" t="s">
        <v>13</v>
      </c>
      <c r="I1165" s="73">
        <v>7601.59</v>
      </c>
      <c r="J1165" s="73"/>
      <c r="K1165" s="74" t="s">
        <v>8</v>
      </c>
      <c r="L1165" s="75">
        <v>2100090.8799999999</v>
      </c>
    </row>
    <row r="1166" spans="1:12" ht="61.2" hidden="1" x14ac:dyDescent="0.3">
      <c r="A1166" s="69" t="s">
        <v>1386</v>
      </c>
      <c r="B1166" s="70" t="s">
        <v>1387</v>
      </c>
      <c r="C1166" s="70" t="s">
        <v>1396</v>
      </c>
      <c r="D1166" s="70" t="s">
        <v>324</v>
      </c>
      <c r="E1166" s="71" t="s">
        <v>319</v>
      </c>
      <c r="F1166" s="72" t="s">
        <v>30</v>
      </c>
      <c r="G1166" s="72"/>
      <c r="H1166" s="71" t="s">
        <v>13</v>
      </c>
      <c r="I1166" s="73">
        <v>12418.97</v>
      </c>
      <c r="J1166" s="73"/>
      <c r="K1166" s="74" t="s">
        <v>8</v>
      </c>
      <c r="L1166" s="75">
        <v>2087671.91</v>
      </c>
    </row>
    <row r="1167" spans="1:12" ht="61.2" hidden="1" x14ac:dyDescent="0.3">
      <c r="A1167" s="69" t="s">
        <v>1386</v>
      </c>
      <c r="B1167" s="70" t="s">
        <v>1387</v>
      </c>
      <c r="C1167" s="70" t="s">
        <v>1397</v>
      </c>
      <c r="D1167" s="70" t="s">
        <v>740</v>
      </c>
      <c r="E1167" s="71" t="s">
        <v>319</v>
      </c>
      <c r="F1167" s="72" t="s">
        <v>30</v>
      </c>
      <c r="G1167" s="72"/>
      <c r="H1167" s="71" t="s">
        <v>13</v>
      </c>
      <c r="I1167" s="73">
        <v>29564</v>
      </c>
      <c r="J1167" s="73"/>
      <c r="K1167" s="74" t="s">
        <v>8</v>
      </c>
      <c r="L1167" s="75">
        <v>2058107.91</v>
      </c>
    </row>
    <row r="1168" spans="1:12" ht="61.2" hidden="1" x14ac:dyDescent="0.3">
      <c r="A1168" s="69" t="s">
        <v>1386</v>
      </c>
      <c r="B1168" s="70" t="s">
        <v>1387</v>
      </c>
      <c r="C1168" s="70" t="s">
        <v>1397</v>
      </c>
      <c r="D1168" s="70" t="s">
        <v>1378</v>
      </c>
      <c r="E1168" s="71" t="s">
        <v>319</v>
      </c>
      <c r="F1168" s="72" t="s">
        <v>30</v>
      </c>
      <c r="G1168" s="72"/>
      <c r="H1168" s="71" t="s">
        <v>13</v>
      </c>
      <c r="I1168" s="73">
        <v>3712.12</v>
      </c>
      <c r="J1168" s="73"/>
      <c r="K1168" s="74" t="s">
        <v>8</v>
      </c>
      <c r="L1168" s="75">
        <v>2054395.79</v>
      </c>
    </row>
    <row r="1169" spans="1:12" ht="71.400000000000006" hidden="1" x14ac:dyDescent="0.3">
      <c r="A1169" s="69" t="s">
        <v>1386</v>
      </c>
      <c r="B1169" s="70" t="s">
        <v>1387</v>
      </c>
      <c r="C1169" s="70" t="s">
        <v>1398</v>
      </c>
      <c r="D1169" s="70" t="s">
        <v>732</v>
      </c>
      <c r="E1169" s="71" t="s">
        <v>319</v>
      </c>
      <c r="F1169" s="72" t="s">
        <v>30</v>
      </c>
      <c r="G1169" s="72"/>
      <c r="H1169" s="71" t="s">
        <v>13</v>
      </c>
      <c r="I1169" s="73">
        <v>15281</v>
      </c>
      <c r="J1169" s="73"/>
      <c r="K1169" s="74" t="s">
        <v>8</v>
      </c>
      <c r="L1169" s="75">
        <v>2039114.79</v>
      </c>
    </row>
    <row r="1170" spans="1:12" ht="71.400000000000006" hidden="1" x14ac:dyDescent="0.3">
      <c r="A1170" s="69" t="s">
        <v>1386</v>
      </c>
      <c r="B1170" s="70" t="s">
        <v>1399</v>
      </c>
      <c r="C1170" s="70" t="s">
        <v>1400</v>
      </c>
      <c r="D1170" s="70" t="s">
        <v>1401</v>
      </c>
      <c r="E1170" s="71" t="s">
        <v>13</v>
      </c>
      <c r="F1170" s="79">
        <v>989.8</v>
      </c>
      <c r="G1170" s="79"/>
      <c r="H1170" s="71" t="s">
        <v>457</v>
      </c>
      <c r="I1170" s="77" t="s">
        <v>30</v>
      </c>
      <c r="J1170" s="77"/>
      <c r="K1170" s="74" t="s">
        <v>8</v>
      </c>
      <c r="L1170" s="75">
        <v>4707809.7300000004</v>
      </c>
    </row>
    <row r="1171" spans="1:12" ht="71.400000000000006" hidden="1" x14ac:dyDescent="0.3">
      <c r="A1171" s="69" t="s">
        <v>1386</v>
      </c>
      <c r="B1171" s="70" t="s">
        <v>1399</v>
      </c>
      <c r="C1171" s="70" t="s">
        <v>1402</v>
      </c>
      <c r="D1171" s="70" t="s">
        <v>1401</v>
      </c>
      <c r="E1171" s="71" t="s">
        <v>13</v>
      </c>
      <c r="F1171" s="79">
        <v>632.4</v>
      </c>
      <c r="G1171" s="79"/>
      <c r="H1171" s="71" t="s">
        <v>457</v>
      </c>
      <c r="I1171" s="77" t="s">
        <v>30</v>
      </c>
      <c r="J1171" s="77"/>
      <c r="K1171" s="74" t="s">
        <v>8</v>
      </c>
      <c r="L1171" s="75">
        <v>4708442.13</v>
      </c>
    </row>
    <row r="1172" spans="1:12" ht="71.400000000000006" hidden="1" x14ac:dyDescent="0.3">
      <c r="A1172" s="69" t="s">
        <v>1386</v>
      </c>
      <c r="B1172" s="70" t="s">
        <v>1399</v>
      </c>
      <c r="C1172" s="70" t="s">
        <v>1403</v>
      </c>
      <c r="D1172" s="70" t="s">
        <v>1401</v>
      </c>
      <c r="E1172" s="71" t="s">
        <v>13</v>
      </c>
      <c r="F1172" s="76">
        <v>3406.5</v>
      </c>
      <c r="G1172" s="76"/>
      <c r="H1172" s="71" t="s">
        <v>457</v>
      </c>
      <c r="I1172" s="77" t="s">
        <v>30</v>
      </c>
      <c r="J1172" s="77"/>
      <c r="K1172" s="74" t="s">
        <v>8</v>
      </c>
      <c r="L1172" s="75">
        <v>4711848.63</v>
      </c>
    </row>
    <row r="1173" spans="1:12" ht="71.400000000000006" hidden="1" x14ac:dyDescent="0.3">
      <c r="A1173" s="69" t="s">
        <v>1386</v>
      </c>
      <c r="B1173" s="70" t="s">
        <v>1399</v>
      </c>
      <c r="C1173" s="70" t="s">
        <v>1404</v>
      </c>
      <c r="D1173" s="70" t="s">
        <v>1401</v>
      </c>
      <c r="E1173" s="71" t="s">
        <v>13</v>
      </c>
      <c r="F1173" s="79">
        <v>566.4</v>
      </c>
      <c r="G1173" s="79"/>
      <c r="H1173" s="71" t="s">
        <v>457</v>
      </c>
      <c r="I1173" s="77" t="s">
        <v>30</v>
      </c>
      <c r="J1173" s="77"/>
      <c r="K1173" s="74" t="s">
        <v>8</v>
      </c>
      <c r="L1173" s="75">
        <v>4712415.03</v>
      </c>
    </row>
    <row r="1174" spans="1:12" ht="71.400000000000006" hidden="1" x14ac:dyDescent="0.3">
      <c r="A1174" s="69" t="s">
        <v>1386</v>
      </c>
      <c r="B1174" s="70" t="s">
        <v>1399</v>
      </c>
      <c r="C1174" s="70" t="s">
        <v>1405</v>
      </c>
      <c r="D1174" s="70" t="s">
        <v>1401</v>
      </c>
      <c r="E1174" s="71" t="s">
        <v>13</v>
      </c>
      <c r="F1174" s="76">
        <v>3744</v>
      </c>
      <c r="G1174" s="76"/>
      <c r="H1174" s="71" t="s">
        <v>457</v>
      </c>
      <c r="I1174" s="77" t="s">
        <v>30</v>
      </c>
      <c r="J1174" s="77"/>
      <c r="K1174" s="74" t="s">
        <v>8</v>
      </c>
      <c r="L1174" s="75">
        <v>4716159.03</v>
      </c>
    </row>
    <row r="1175" spans="1:12" ht="61.2" hidden="1" x14ac:dyDescent="0.3">
      <c r="A1175" s="69" t="s">
        <v>1386</v>
      </c>
      <c r="B1175" s="70" t="s">
        <v>1406</v>
      </c>
      <c r="C1175" s="70" t="s">
        <v>1407</v>
      </c>
      <c r="D1175" s="70" t="s">
        <v>1408</v>
      </c>
      <c r="E1175" s="71" t="s">
        <v>13</v>
      </c>
      <c r="F1175" s="79">
        <v>90</v>
      </c>
      <c r="G1175" s="79"/>
      <c r="H1175" s="71" t="s">
        <v>1409</v>
      </c>
      <c r="I1175" s="77" t="s">
        <v>30</v>
      </c>
      <c r="J1175" s="77"/>
      <c r="K1175" s="74" t="s">
        <v>8</v>
      </c>
      <c r="L1175" s="75">
        <v>87770.12</v>
      </c>
    </row>
    <row r="1176" spans="1:12" ht="51" hidden="1" x14ac:dyDescent="0.3">
      <c r="A1176" s="69" t="s">
        <v>1386</v>
      </c>
      <c r="B1176" s="70" t="s">
        <v>1406</v>
      </c>
      <c r="C1176" s="70" t="s">
        <v>1410</v>
      </c>
      <c r="D1176" s="70" t="s">
        <v>1408</v>
      </c>
      <c r="E1176" s="71" t="s">
        <v>13</v>
      </c>
      <c r="F1176" s="79">
        <v>47</v>
      </c>
      <c r="G1176" s="79"/>
      <c r="H1176" s="71" t="s">
        <v>1409</v>
      </c>
      <c r="I1176" s="77" t="s">
        <v>30</v>
      </c>
      <c r="J1176" s="77"/>
      <c r="K1176" s="74" t="s">
        <v>8</v>
      </c>
      <c r="L1176" s="75">
        <v>87817.12</v>
      </c>
    </row>
    <row r="1177" spans="1:12" ht="51" hidden="1" x14ac:dyDescent="0.3">
      <c r="A1177" s="69" t="s">
        <v>1386</v>
      </c>
      <c r="B1177" s="70" t="s">
        <v>1406</v>
      </c>
      <c r="C1177" s="70" t="s">
        <v>1411</v>
      </c>
      <c r="D1177" s="70" t="s">
        <v>1408</v>
      </c>
      <c r="E1177" s="71" t="s">
        <v>13</v>
      </c>
      <c r="F1177" s="79">
        <v>500</v>
      </c>
      <c r="G1177" s="79"/>
      <c r="H1177" s="71" t="s">
        <v>1409</v>
      </c>
      <c r="I1177" s="77" t="s">
        <v>30</v>
      </c>
      <c r="J1177" s="77"/>
      <c r="K1177" s="74" t="s">
        <v>8</v>
      </c>
      <c r="L1177" s="75">
        <v>88317.119999999995</v>
      </c>
    </row>
    <row r="1178" spans="1:12" ht="51" hidden="1" x14ac:dyDescent="0.3">
      <c r="A1178" s="69" t="s">
        <v>1386</v>
      </c>
      <c r="B1178" s="70" t="s">
        <v>1406</v>
      </c>
      <c r="C1178" s="70" t="s">
        <v>1411</v>
      </c>
      <c r="D1178" s="70" t="s">
        <v>1408</v>
      </c>
      <c r="E1178" s="71" t="s">
        <v>13</v>
      </c>
      <c r="F1178" s="76">
        <v>2413</v>
      </c>
      <c r="G1178" s="76"/>
      <c r="H1178" s="71" t="s">
        <v>1409</v>
      </c>
      <c r="I1178" s="77" t="s">
        <v>30</v>
      </c>
      <c r="J1178" s="77"/>
      <c r="K1178" s="74" t="s">
        <v>8</v>
      </c>
      <c r="L1178" s="75">
        <v>90730.12</v>
      </c>
    </row>
    <row r="1179" spans="1:12" ht="51" hidden="1" x14ac:dyDescent="0.3">
      <c r="A1179" s="69" t="s">
        <v>1386</v>
      </c>
      <c r="B1179" s="70" t="s">
        <v>1406</v>
      </c>
      <c r="C1179" s="70" t="s">
        <v>1411</v>
      </c>
      <c r="D1179" s="70" t="s">
        <v>1408</v>
      </c>
      <c r="E1179" s="71" t="s">
        <v>13</v>
      </c>
      <c r="F1179" s="79">
        <v>400</v>
      </c>
      <c r="G1179" s="79"/>
      <c r="H1179" s="71" t="s">
        <v>1409</v>
      </c>
      <c r="I1179" s="77" t="s">
        <v>30</v>
      </c>
      <c r="J1179" s="77"/>
      <c r="K1179" s="74" t="s">
        <v>8</v>
      </c>
      <c r="L1179" s="75">
        <v>91130.12</v>
      </c>
    </row>
    <row r="1180" spans="1:12" ht="61.2" hidden="1" x14ac:dyDescent="0.3">
      <c r="A1180" s="69" t="s">
        <v>1386</v>
      </c>
      <c r="B1180" s="70" t="s">
        <v>1406</v>
      </c>
      <c r="C1180" s="70" t="s">
        <v>1412</v>
      </c>
      <c r="D1180" s="70" t="s">
        <v>1408</v>
      </c>
      <c r="E1180" s="71" t="s">
        <v>13</v>
      </c>
      <c r="F1180" s="76">
        <v>2000</v>
      </c>
      <c r="G1180" s="76"/>
      <c r="H1180" s="71" t="s">
        <v>1409</v>
      </c>
      <c r="I1180" s="77" t="s">
        <v>30</v>
      </c>
      <c r="J1180" s="77"/>
      <c r="K1180" s="74" t="s">
        <v>8</v>
      </c>
      <c r="L1180" s="75">
        <v>93130.12</v>
      </c>
    </row>
    <row r="1181" spans="1:12" ht="51" hidden="1" x14ac:dyDescent="0.3">
      <c r="A1181" s="69" t="s">
        <v>1386</v>
      </c>
      <c r="B1181" s="70" t="s">
        <v>1406</v>
      </c>
      <c r="C1181" s="70" t="s">
        <v>1411</v>
      </c>
      <c r="D1181" s="70" t="s">
        <v>1408</v>
      </c>
      <c r="E1181" s="71" t="s">
        <v>13</v>
      </c>
      <c r="F1181" s="79">
        <v>700</v>
      </c>
      <c r="G1181" s="79"/>
      <c r="H1181" s="71" t="s">
        <v>1409</v>
      </c>
      <c r="I1181" s="77" t="s">
        <v>30</v>
      </c>
      <c r="J1181" s="77"/>
      <c r="K1181" s="74" t="s">
        <v>8</v>
      </c>
      <c r="L1181" s="75">
        <v>93830.12</v>
      </c>
    </row>
    <row r="1182" spans="1:12" ht="51" hidden="1" x14ac:dyDescent="0.3">
      <c r="A1182" s="69" t="s">
        <v>1386</v>
      </c>
      <c r="B1182" s="70" t="s">
        <v>1406</v>
      </c>
      <c r="C1182" s="70" t="s">
        <v>1413</v>
      </c>
      <c r="D1182" s="70" t="s">
        <v>1408</v>
      </c>
      <c r="E1182" s="71" t="s">
        <v>13</v>
      </c>
      <c r="F1182" s="79">
        <v>254</v>
      </c>
      <c r="G1182" s="79"/>
      <c r="H1182" s="71" t="s">
        <v>1409</v>
      </c>
      <c r="I1182" s="77" t="s">
        <v>30</v>
      </c>
      <c r="J1182" s="77"/>
      <c r="K1182" s="74" t="s">
        <v>8</v>
      </c>
      <c r="L1182" s="75">
        <v>94084.12</v>
      </c>
    </row>
    <row r="1183" spans="1:12" ht="51" hidden="1" x14ac:dyDescent="0.3">
      <c r="A1183" s="69" t="s">
        <v>1386</v>
      </c>
      <c r="B1183" s="70" t="s">
        <v>1406</v>
      </c>
      <c r="C1183" s="70" t="s">
        <v>1413</v>
      </c>
      <c r="D1183" s="70" t="s">
        <v>1408</v>
      </c>
      <c r="E1183" s="71" t="s">
        <v>13</v>
      </c>
      <c r="F1183" s="79">
        <v>48</v>
      </c>
      <c r="G1183" s="79"/>
      <c r="H1183" s="71" t="s">
        <v>1409</v>
      </c>
      <c r="I1183" s="77" t="s">
        <v>30</v>
      </c>
      <c r="J1183" s="77"/>
      <c r="K1183" s="74" t="s">
        <v>8</v>
      </c>
      <c r="L1183" s="75">
        <v>94132.12</v>
      </c>
    </row>
    <row r="1184" spans="1:12" ht="51" hidden="1" x14ac:dyDescent="0.3">
      <c r="A1184" s="69" t="s">
        <v>1386</v>
      </c>
      <c r="B1184" s="70" t="s">
        <v>1406</v>
      </c>
      <c r="C1184" s="70" t="s">
        <v>1414</v>
      </c>
      <c r="D1184" s="70" t="s">
        <v>1408</v>
      </c>
      <c r="E1184" s="71" t="s">
        <v>13</v>
      </c>
      <c r="F1184" s="79">
        <v>80</v>
      </c>
      <c r="G1184" s="79"/>
      <c r="H1184" s="71" t="s">
        <v>1409</v>
      </c>
      <c r="I1184" s="77" t="s">
        <v>30</v>
      </c>
      <c r="J1184" s="77"/>
      <c r="K1184" s="74" t="s">
        <v>8</v>
      </c>
      <c r="L1184" s="75">
        <v>94212.12</v>
      </c>
    </row>
    <row r="1185" spans="1:12" ht="71.400000000000006" x14ac:dyDescent="0.3">
      <c r="A1185" s="69" t="s">
        <v>1386</v>
      </c>
      <c r="B1185" s="70" t="s">
        <v>1415</v>
      </c>
      <c r="C1185" s="70" t="s">
        <v>518</v>
      </c>
      <c r="D1185" s="70" t="s">
        <v>1416</v>
      </c>
      <c r="E1185" s="71" t="s">
        <v>165</v>
      </c>
      <c r="F1185" s="72" t="s">
        <v>30</v>
      </c>
      <c r="G1185" s="72"/>
      <c r="H1185" s="71" t="s">
        <v>13</v>
      </c>
      <c r="I1185" s="73">
        <v>2295</v>
      </c>
      <c r="J1185" s="73"/>
      <c r="K1185" s="74" t="s">
        <v>8</v>
      </c>
      <c r="L1185" s="75">
        <v>91917.119999999995</v>
      </c>
    </row>
    <row r="1186" spans="1:12" ht="61.2" x14ac:dyDescent="0.3">
      <c r="A1186" s="69" t="s">
        <v>1386</v>
      </c>
      <c r="B1186" s="70" t="s">
        <v>1417</v>
      </c>
      <c r="C1186" s="70" t="s">
        <v>518</v>
      </c>
      <c r="D1186" s="70" t="s">
        <v>1410</v>
      </c>
      <c r="E1186" s="71" t="s">
        <v>165</v>
      </c>
      <c r="F1186" s="72" t="s">
        <v>30</v>
      </c>
      <c r="G1186" s="72"/>
      <c r="H1186" s="71" t="s">
        <v>13</v>
      </c>
      <c r="I1186" s="78">
        <v>47</v>
      </c>
      <c r="J1186" s="78"/>
      <c r="K1186" s="74" t="s">
        <v>8</v>
      </c>
      <c r="L1186" s="75">
        <v>91870.12</v>
      </c>
    </row>
    <row r="1187" spans="1:12" ht="61.2" x14ac:dyDescent="0.3">
      <c r="A1187" s="69" t="s">
        <v>1386</v>
      </c>
      <c r="B1187" s="70" t="s">
        <v>1417</v>
      </c>
      <c r="C1187" s="70" t="s">
        <v>518</v>
      </c>
      <c r="D1187" s="70" t="s">
        <v>1418</v>
      </c>
      <c r="E1187" s="71" t="s">
        <v>165</v>
      </c>
      <c r="F1187" s="72" t="s">
        <v>30</v>
      </c>
      <c r="G1187" s="72"/>
      <c r="H1187" s="71" t="s">
        <v>13</v>
      </c>
      <c r="I1187" s="78">
        <v>140</v>
      </c>
      <c r="J1187" s="78"/>
      <c r="K1187" s="74" t="s">
        <v>8</v>
      </c>
      <c r="L1187" s="75">
        <v>91730.12</v>
      </c>
    </row>
    <row r="1188" spans="1:12" ht="61.2" x14ac:dyDescent="0.3">
      <c r="A1188" s="69" t="s">
        <v>1386</v>
      </c>
      <c r="B1188" s="70" t="s">
        <v>1417</v>
      </c>
      <c r="C1188" s="70" t="s">
        <v>518</v>
      </c>
      <c r="D1188" s="70" t="s">
        <v>1419</v>
      </c>
      <c r="E1188" s="71" t="s">
        <v>165</v>
      </c>
      <c r="F1188" s="72" t="s">
        <v>30</v>
      </c>
      <c r="G1188" s="72"/>
      <c r="H1188" s="71" t="s">
        <v>13</v>
      </c>
      <c r="I1188" s="73">
        <v>1620</v>
      </c>
      <c r="J1188" s="73"/>
      <c r="K1188" s="74" t="s">
        <v>8</v>
      </c>
      <c r="L1188" s="75">
        <v>90110.12</v>
      </c>
    </row>
    <row r="1189" spans="1:12" ht="61.2" x14ac:dyDescent="0.3">
      <c r="A1189" s="69" t="s">
        <v>1386</v>
      </c>
      <c r="B1189" s="70" t="s">
        <v>1420</v>
      </c>
      <c r="C1189" s="70" t="s">
        <v>518</v>
      </c>
      <c r="D1189" s="70" t="s">
        <v>1414</v>
      </c>
      <c r="E1189" s="71" t="s">
        <v>165</v>
      </c>
      <c r="F1189" s="72" t="s">
        <v>30</v>
      </c>
      <c r="G1189" s="72"/>
      <c r="H1189" s="71" t="s">
        <v>13</v>
      </c>
      <c r="I1189" s="78">
        <v>80</v>
      </c>
      <c r="J1189" s="78"/>
      <c r="K1189" s="74" t="s">
        <v>8</v>
      </c>
      <c r="L1189" s="75">
        <v>90030.12</v>
      </c>
    </row>
    <row r="1190" spans="1:12" ht="71.400000000000006" hidden="1" x14ac:dyDescent="0.3">
      <c r="A1190" s="69" t="s">
        <v>1386</v>
      </c>
      <c r="B1190" s="70" t="s">
        <v>1421</v>
      </c>
      <c r="C1190" s="70" t="s">
        <v>1422</v>
      </c>
      <c r="D1190" s="70" t="s">
        <v>326</v>
      </c>
      <c r="E1190" s="71" t="s">
        <v>319</v>
      </c>
      <c r="F1190" s="72" t="s">
        <v>30</v>
      </c>
      <c r="G1190" s="72"/>
      <c r="H1190" s="71" t="s">
        <v>13</v>
      </c>
      <c r="I1190" s="73">
        <v>3138.8</v>
      </c>
      <c r="J1190" s="73"/>
      <c r="K1190" s="74" t="s">
        <v>8</v>
      </c>
      <c r="L1190" s="75">
        <v>2035975.99</v>
      </c>
    </row>
    <row r="1191" spans="1:12" ht="71.400000000000006" hidden="1" x14ac:dyDescent="0.3">
      <c r="A1191" s="69" t="s">
        <v>1386</v>
      </c>
      <c r="B1191" s="70" t="s">
        <v>1421</v>
      </c>
      <c r="C1191" s="70" t="s">
        <v>1423</v>
      </c>
      <c r="D1191" s="70" t="s">
        <v>1424</v>
      </c>
      <c r="E1191" s="71" t="s">
        <v>319</v>
      </c>
      <c r="F1191" s="72" t="s">
        <v>30</v>
      </c>
      <c r="G1191" s="72"/>
      <c r="H1191" s="71" t="s">
        <v>13</v>
      </c>
      <c r="I1191" s="73">
        <v>2866.41</v>
      </c>
      <c r="J1191" s="73"/>
      <c r="K1191" s="74" t="s">
        <v>8</v>
      </c>
      <c r="L1191" s="75">
        <v>2033109.58</v>
      </c>
    </row>
    <row r="1192" spans="1:12" ht="71.400000000000006" hidden="1" x14ac:dyDescent="0.3">
      <c r="A1192" s="69" t="s">
        <v>1386</v>
      </c>
      <c r="B1192" s="70" t="s">
        <v>1421</v>
      </c>
      <c r="C1192" s="70" t="s">
        <v>1425</v>
      </c>
      <c r="D1192" s="70" t="s">
        <v>334</v>
      </c>
      <c r="E1192" s="71" t="s">
        <v>319</v>
      </c>
      <c r="F1192" s="72" t="s">
        <v>30</v>
      </c>
      <c r="G1192" s="72"/>
      <c r="H1192" s="71" t="s">
        <v>13</v>
      </c>
      <c r="I1192" s="73">
        <v>3591</v>
      </c>
      <c r="J1192" s="73"/>
      <c r="K1192" s="74" t="s">
        <v>8</v>
      </c>
      <c r="L1192" s="75">
        <v>2029518.58</v>
      </c>
    </row>
    <row r="1193" spans="1:12" ht="61.2" hidden="1" x14ac:dyDescent="0.3">
      <c r="A1193" s="69" t="s">
        <v>1386</v>
      </c>
      <c r="B1193" s="70" t="s">
        <v>1421</v>
      </c>
      <c r="C1193" s="70" t="s">
        <v>1426</v>
      </c>
      <c r="D1193" s="70" t="s">
        <v>748</v>
      </c>
      <c r="E1193" s="71" t="s">
        <v>319</v>
      </c>
      <c r="F1193" s="72" t="s">
        <v>30</v>
      </c>
      <c r="G1193" s="72"/>
      <c r="H1193" s="71" t="s">
        <v>13</v>
      </c>
      <c r="I1193" s="78">
        <v>570.12</v>
      </c>
      <c r="J1193" s="78"/>
      <c r="K1193" s="74" t="s">
        <v>8</v>
      </c>
      <c r="L1193" s="75">
        <v>2028948.46</v>
      </c>
    </row>
    <row r="1194" spans="1:12" ht="61.2" hidden="1" x14ac:dyDescent="0.3">
      <c r="A1194" s="69" t="s">
        <v>1386</v>
      </c>
      <c r="B1194" s="70" t="s">
        <v>1421</v>
      </c>
      <c r="C1194" s="70" t="s">
        <v>1427</v>
      </c>
      <c r="D1194" s="70" t="s">
        <v>1428</v>
      </c>
      <c r="E1194" s="71" t="s">
        <v>319</v>
      </c>
      <c r="F1194" s="72" t="s">
        <v>30</v>
      </c>
      <c r="G1194" s="72"/>
      <c r="H1194" s="71" t="s">
        <v>13</v>
      </c>
      <c r="I1194" s="73">
        <v>1379.63</v>
      </c>
      <c r="J1194" s="73"/>
      <c r="K1194" s="74" t="s">
        <v>8</v>
      </c>
      <c r="L1194" s="75">
        <v>2027568.83</v>
      </c>
    </row>
    <row r="1195" spans="1:12" ht="61.2" hidden="1" x14ac:dyDescent="0.3">
      <c r="A1195" s="69" t="s">
        <v>1386</v>
      </c>
      <c r="B1195" s="70" t="s">
        <v>1421</v>
      </c>
      <c r="C1195" s="70" t="s">
        <v>1427</v>
      </c>
      <c r="D1195" s="70" t="s">
        <v>736</v>
      </c>
      <c r="E1195" s="71" t="s">
        <v>319</v>
      </c>
      <c r="F1195" s="72" t="s">
        <v>30</v>
      </c>
      <c r="G1195" s="72"/>
      <c r="H1195" s="71" t="s">
        <v>13</v>
      </c>
      <c r="I1195" s="78">
        <v>380.25</v>
      </c>
      <c r="J1195" s="78"/>
      <c r="K1195" s="74" t="s">
        <v>8</v>
      </c>
      <c r="L1195" s="75">
        <v>2027188.58</v>
      </c>
    </row>
    <row r="1196" spans="1:12" ht="61.2" hidden="1" x14ac:dyDescent="0.3">
      <c r="A1196" s="69" t="s">
        <v>1386</v>
      </c>
      <c r="B1196" s="70" t="s">
        <v>1421</v>
      </c>
      <c r="C1196" s="70" t="s">
        <v>1429</v>
      </c>
      <c r="D1196" s="70" t="s">
        <v>739</v>
      </c>
      <c r="E1196" s="71" t="s">
        <v>319</v>
      </c>
      <c r="F1196" s="72" t="s">
        <v>30</v>
      </c>
      <c r="G1196" s="72"/>
      <c r="H1196" s="71" t="s">
        <v>13</v>
      </c>
      <c r="I1196" s="73">
        <v>4446</v>
      </c>
      <c r="J1196" s="73"/>
      <c r="K1196" s="74" t="s">
        <v>8</v>
      </c>
      <c r="L1196" s="75">
        <v>2022742.58</v>
      </c>
    </row>
    <row r="1197" spans="1:12" ht="61.2" hidden="1" x14ac:dyDescent="0.3">
      <c r="A1197" s="69" t="s">
        <v>1386</v>
      </c>
      <c r="B1197" s="70" t="s">
        <v>1421</v>
      </c>
      <c r="C1197" s="70" t="s">
        <v>1430</v>
      </c>
      <c r="D1197" s="70" t="s">
        <v>809</v>
      </c>
      <c r="E1197" s="71" t="s">
        <v>319</v>
      </c>
      <c r="F1197" s="72" t="s">
        <v>30</v>
      </c>
      <c r="G1197" s="72"/>
      <c r="H1197" s="71" t="s">
        <v>13</v>
      </c>
      <c r="I1197" s="73">
        <v>3913.86</v>
      </c>
      <c r="J1197" s="73"/>
      <c r="K1197" s="74" t="s">
        <v>8</v>
      </c>
      <c r="L1197" s="75">
        <v>2018828.72</v>
      </c>
    </row>
    <row r="1198" spans="1:12" ht="71.400000000000006" hidden="1" x14ac:dyDescent="0.3">
      <c r="A1198" s="69" t="s">
        <v>1386</v>
      </c>
      <c r="B1198" s="70" t="s">
        <v>1421</v>
      </c>
      <c r="C1198" s="70" t="s">
        <v>1431</v>
      </c>
      <c r="D1198" s="70" t="s">
        <v>1375</v>
      </c>
      <c r="E1198" s="71" t="s">
        <v>319</v>
      </c>
      <c r="F1198" s="72" t="s">
        <v>30</v>
      </c>
      <c r="G1198" s="72"/>
      <c r="H1198" s="71" t="s">
        <v>13</v>
      </c>
      <c r="I1198" s="73">
        <v>11563.23</v>
      </c>
      <c r="J1198" s="73"/>
      <c r="K1198" s="74" t="s">
        <v>8</v>
      </c>
      <c r="L1198" s="75">
        <v>2007265.49</v>
      </c>
    </row>
    <row r="1199" spans="1:12" ht="61.2" hidden="1" x14ac:dyDescent="0.3">
      <c r="A1199" s="69" t="s">
        <v>1386</v>
      </c>
      <c r="B1199" s="70" t="s">
        <v>1421</v>
      </c>
      <c r="C1199" s="70" t="s">
        <v>1432</v>
      </c>
      <c r="D1199" s="70" t="s">
        <v>324</v>
      </c>
      <c r="E1199" s="71" t="s">
        <v>319</v>
      </c>
      <c r="F1199" s="72" t="s">
        <v>30</v>
      </c>
      <c r="G1199" s="72"/>
      <c r="H1199" s="71" t="s">
        <v>13</v>
      </c>
      <c r="I1199" s="73">
        <v>5795.52</v>
      </c>
      <c r="J1199" s="73"/>
      <c r="K1199" s="74" t="s">
        <v>8</v>
      </c>
      <c r="L1199" s="75">
        <v>2001469.97</v>
      </c>
    </row>
    <row r="1200" spans="1:12" ht="61.2" hidden="1" x14ac:dyDescent="0.3">
      <c r="A1200" s="69" t="s">
        <v>1386</v>
      </c>
      <c r="B1200" s="70" t="s">
        <v>1421</v>
      </c>
      <c r="C1200" s="70" t="s">
        <v>1433</v>
      </c>
      <c r="D1200" s="70" t="s">
        <v>1434</v>
      </c>
      <c r="E1200" s="71" t="s">
        <v>319</v>
      </c>
      <c r="F1200" s="72" t="s">
        <v>30</v>
      </c>
      <c r="G1200" s="72"/>
      <c r="H1200" s="71" t="s">
        <v>13</v>
      </c>
      <c r="I1200" s="73">
        <v>2072.79</v>
      </c>
      <c r="J1200" s="73"/>
      <c r="K1200" s="74" t="s">
        <v>8</v>
      </c>
      <c r="L1200" s="75">
        <v>1999397.18</v>
      </c>
    </row>
    <row r="1201" spans="1:12" ht="61.2" x14ac:dyDescent="0.3">
      <c r="A1201" s="69" t="s">
        <v>1386</v>
      </c>
      <c r="B1201" s="70" t="s">
        <v>1435</v>
      </c>
      <c r="C1201" s="70" t="s">
        <v>518</v>
      </c>
      <c r="D1201" s="70" t="s">
        <v>484</v>
      </c>
      <c r="E1201" s="71" t="s">
        <v>165</v>
      </c>
      <c r="F1201" s="72" t="s">
        <v>30</v>
      </c>
      <c r="G1201" s="72"/>
      <c r="H1201" s="71" t="s">
        <v>13</v>
      </c>
      <c r="I1201" s="73">
        <v>5773.4</v>
      </c>
      <c r="J1201" s="73"/>
      <c r="K1201" s="74" t="s">
        <v>8</v>
      </c>
      <c r="L1201" s="75">
        <v>4710385.63</v>
      </c>
    </row>
    <row r="1202" spans="1:12" ht="71.400000000000006" x14ac:dyDescent="0.3">
      <c r="A1202" s="69" t="s">
        <v>1386</v>
      </c>
      <c r="B1202" s="70" t="s">
        <v>1435</v>
      </c>
      <c r="C1202" s="70" t="s">
        <v>518</v>
      </c>
      <c r="D1202" s="70" t="s">
        <v>760</v>
      </c>
      <c r="E1202" s="71" t="s">
        <v>165</v>
      </c>
      <c r="F1202" s="72" t="s">
        <v>30</v>
      </c>
      <c r="G1202" s="72"/>
      <c r="H1202" s="71" t="s">
        <v>13</v>
      </c>
      <c r="I1202" s="78">
        <v>918.86</v>
      </c>
      <c r="J1202" s="78"/>
      <c r="K1202" s="74" t="s">
        <v>8</v>
      </c>
      <c r="L1202" s="75">
        <v>4709466.7699999996</v>
      </c>
    </row>
    <row r="1203" spans="1:12" ht="61.2" x14ac:dyDescent="0.3">
      <c r="A1203" s="69" t="s">
        <v>1386</v>
      </c>
      <c r="B1203" s="70" t="s">
        <v>1435</v>
      </c>
      <c r="C1203" s="70" t="s">
        <v>518</v>
      </c>
      <c r="D1203" s="70" t="s">
        <v>1382</v>
      </c>
      <c r="E1203" s="71" t="s">
        <v>165</v>
      </c>
      <c r="F1203" s="72" t="s">
        <v>30</v>
      </c>
      <c r="G1203" s="72"/>
      <c r="H1203" s="71" t="s">
        <v>13</v>
      </c>
      <c r="I1203" s="78">
        <v>24.65</v>
      </c>
      <c r="J1203" s="78"/>
      <c r="K1203" s="74" t="s">
        <v>8</v>
      </c>
      <c r="L1203" s="75">
        <v>4709442.12</v>
      </c>
    </row>
    <row r="1204" spans="1:12" ht="71.400000000000006" x14ac:dyDescent="0.3">
      <c r="A1204" s="69" t="s">
        <v>1386</v>
      </c>
      <c r="B1204" s="70" t="s">
        <v>1435</v>
      </c>
      <c r="C1204" s="70" t="s">
        <v>518</v>
      </c>
      <c r="D1204" s="70" t="s">
        <v>1384</v>
      </c>
      <c r="E1204" s="71" t="s">
        <v>165</v>
      </c>
      <c r="F1204" s="72" t="s">
        <v>30</v>
      </c>
      <c r="G1204" s="72"/>
      <c r="H1204" s="71" t="s">
        <v>13</v>
      </c>
      <c r="I1204" s="78">
        <v>697.27</v>
      </c>
      <c r="J1204" s="78"/>
      <c r="K1204" s="74" t="s">
        <v>8</v>
      </c>
      <c r="L1204" s="75">
        <v>4708744.8499999996</v>
      </c>
    </row>
    <row r="1205" spans="1:12" ht="71.400000000000006" x14ac:dyDescent="0.3">
      <c r="A1205" s="69" t="s">
        <v>1386</v>
      </c>
      <c r="B1205" s="70" t="s">
        <v>1435</v>
      </c>
      <c r="C1205" s="70" t="s">
        <v>518</v>
      </c>
      <c r="D1205" s="70" t="s">
        <v>1384</v>
      </c>
      <c r="E1205" s="71" t="s">
        <v>165</v>
      </c>
      <c r="F1205" s="72" t="s">
        <v>30</v>
      </c>
      <c r="G1205" s="72"/>
      <c r="H1205" s="71" t="s">
        <v>13</v>
      </c>
      <c r="I1205" s="73">
        <v>1480.44</v>
      </c>
      <c r="J1205" s="73"/>
      <c r="K1205" s="74" t="s">
        <v>8</v>
      </c>
      <c r="L1205" s="75">
        <v>4707264.41</v>
      </c>
    </row>
    <row r="1206" spans="1:12" ht="81.599999999999994" x14ac:dyDescent="0.3">
      <c r="A1206" s="69" t="s">
        <v>1386</v>
      </c>
      <c r="B1206" s="70" t="s">
        <v>1435</v>
      </c>
      <c r="C1206" s="70" t="s">
        <v>518</v>
      </c>
      <c r="D1206" s="70" t="s">
        <v>773</v>
      </c>
      <c r="E1206" s="71" t="s">
        <v>165</v>
      </c>
      <c r="F1206" s="72" t="s">
        <v>30</v>
      </c>
      <c r="G1206" s="72"/>
      <c r="H1206" s="71" t="s">
        <v>13</v>
      </c>
      <c r="I1206" s="73">
        <v>18907.990000000002</v>
      </c>
      <c r="J1206" s="73"/>
      <c r="K1206" s="74" t="s">
        <v>8</v>
      </c>
      <c r="L1206" s="75">
        <v>4688356.42</v>
      </c>
    </row>
    <row r="1207" spans="1:12" ht="81.599999999999994" x14ac:dyDescent="0.3">
      <c r="A1207" s="69" t="s">
        <v>1386</v>
      </c>
      <c r="B1207" s="70" t="s">
        <v>1435</v>
      </c>
      <c r="C1207" s="70" t="s">
        <v>518</v>
      </c>
      <c r="D1207" s="70" t="s">
        <v>482</v>
      </c>
      <c r="E1207" s="71" t="s">
        <v>165</v>
      </c>
      <c r="F1207" s="72" t="s">
        <v>30</v>
      </c>
      <c r="G1207" s="72"/>
      <c r="H1207" s="71" t="s">
        <v>13</v>
      </c>
      <c r="I1207" s="73">
        <v>2943.83</v>
      </c>
      <c r="J1207" s="73"/>
      <c r="K1207" s="74" t="s">
        <v>8</v>
      </c>
      <c r="L1207" s="75">
        <v>4685412.59</v>
      </c>
    </row>
    <row r="1208" spans="1:12" ht="71.400000000000006" hidden="1" x14ac:dyDescent="0.3">
      <c r="A1208" s="69" t="s">
        <v>1386</v>
      </c>
      <c r="B1208" s="70" t="s">
        <v>1436</v>
      </c>
      <c r="C1208" s="70" t="s">
        <v>1437</v>
      </c>
      <c r="D1208" s="70" t="s">
        <v>1438</v>
      </c>
      <c r="E1208" s="71" t="s">
        <v>13</v>
      </c>
      <c r="F1208" s="72" t="s">
        <v>30</v>
      </c>
      <c r="G1208" s="72"/>
      <c r="H1208" s="71" t="s">
        <v>13</v>
      </c>
      <c r="I1208" s="73">
        <v>1529.95</v>
      </c>
      <c r="J1208" s="73"/>
      <c r="K1208" s="74" t="s">
        <v>8</v>
      </c>
      <c r="L1208" s="75">
        <v>16823.12</v>
      </c>
    </row>
    <row r="1209" spans="1:12" ht="71.400000000000006" hidden="1" x14ac:dyDescent="0.3">
      <c r="A1209" s="69" t="s">
        <v>1386</v>
      </c>
      <c r="B1209" s="70" t="s">
        <v>1436</v>
      </c>
      <c r="C1209" s="70" t="s">
        <v>1437</v>
      </c>
      <c r="D1209" s="70" t="s">
        <v>1438</v>
      </c>
      <c r="E1209" s="71" t="s">
        <v>13</v>
      </c>
      <c r="F1209" s="76">
        <v>1529.95</v>
      </c>
      <c r="G1209" s="76"/>
      <c r="H1209" s="71" t="s">
        <v>13</v>
      </c>
      <c r="I1209" s="77" t="s">
        <v>30</v>
      </c>
      <c r="J1209" s="77"/>
      <c r="K1209" s="74" t="s">
        <v>8</v>
      </c>
      <c r="L1209" s="75">
        <v>4959151.0199999996</v>
      </c>
    </row>
    <row r="1210" spans="1:12" ht="81.599999999999994" hidden="1" x14ac:dyDescent="0.3">
      <c r="A1210" s="69" t="s">
        <v>1386</v>
      </c>
      <c r="B1210" s="70" t="s">
        <v>1439</v>
      </c>
      <c r="C1210" s="70" t="s">
        <v>1440</v>
      </c>
      <c r="D1210" s="70" t="s">
        <v>356</v>
      </c>
      <c r="E1210" s="71" t="s">
        <v>13</v>
      </c>
      <c r="F1210" s="72" t="s">
        <v>30</v>
      </c>
      <c r="G1210" s="72"/>
      <c r="H1210" s="71" t="s">
        <v>13</v>
      </c>
      <c r="I1210" s="78">
        <v>387.58</v>
      </c>
      <c r="J1210" s="78"/>
      <c r="K1210" s="74" t="s">
        <v>8</v>
      </c>
      <c r="L1210" s="75">
        <v>1478300.8</v>
      </c>
    </row>
    <row r="1211" spans="1:12" ht="81.599999999999994" hidden="1" x14ac:dyDescent="0.3">
      <c r="A1211" s="69" t="s">
        <v>1386</v>
      </c>
      <c r="B1211" s="70" t="s">
        <v>1439</v>
      </c>
      <c r="C1211" s="70" t="s">
        <v>1440</v>
      </c>
      <c r="D1211" s="70" t="s">
        <v>356</v>
      </c>
      <c r="E1211" s="71" t="s">
        <v>13</v>
      </c>
      <c r="F1211" s="79">
        <v>387.58</v>
      </c>
      <c r="G1211" s="79"/>
      <c r="H1211" s="71" t="s">
        <v>13</v>
      </c>
      <c r="I1211" s="77" t="s">
        <v>30</v>
      </c>
      <c r="J1211" s="77"/>
      <c r="K1211" s="74" t="s">
        <v>8</v>
      </c>
      <c r="L1211" s="75">
        <v>4959538.5999999996</v>
      </c>
    </row>
    <row r="1212" spans="1:12" ht="81.599999999999994" hidden="1" x14ac:dyDescent="0.3">
      <c r="A1212" s="69" t="s">
        <v>1386</v>
      </c>
      <c r="B1212" s="70" t="s">
        <v>1441</v>
      </c>
      <c r="C1212" s="70" t="s">
        <v>1442</v>
      </c>
      <c r="D1212" s="70" t="s">
        <v>1443</v>
      </c>
      <c r="E1212" s="71" t="s">
        <v>13</v>
      </c>
      <c r="F1212" s="76">
        <v>8677.68</v>
      </c>
      <c r="G1212" s="76"/>
      <c r="H1212" s="71" t="s">
        <v>13</v>
      </c>
      <c r="I1212" s="77" t="s">
        <v>30</v>
      </c>
      <c r="J1212" s="77"/>
      <c r="K1212" s="74" t="s">
        <v>8</v>
      </c>
      <c r="L1212" s="75">
        <v>4968216.28</v>
      </c>
    </row>
    <row r="1213" spans="1:12" ht="81.599999999999994" hidden="1" x14ac:dyDescent="0.3">
      <c r="A1213" s="69" t="s">
        <v>1386</v>
      </c>
      <c r="B1213" s="70" t="s">
        <v>1441</v>
      </c>
      <c r="C1213" s="70" t="s">
        <v>1442</v>
      </c>
      <c r="D1213" s="70" t="s">
        <v>1443</v>
      </c>
      <c r="E1213" s="71" t="s">
        <v>13</v>
      </c>
      <c r="F1213" s="72" t="s">
        <v>30</v>
      </c>
      <c r="G1213" s="72"/>
      <c r="H1213" s="71" t="s">
        <v>13</v>
      </c>
      <c r="I1213" s="73">
        <v>8677.68</v>
      </c>
      <c r="J1213" s="73"/>
      <c r="K1213" s="74" t="s">
        <v>8</v>
      </c>
      <c r="L1213" s="75">
        <v>283352.77</v>
      </c>
    </row>
    <row r="1214" spans="1:12" ht="71.400000000000006" hidden="1" x14ac:dyDescent="0.3">
      <c r="A1214" s="69" t="s">
        <v>1444</v>
      </c>
      <c r="B1214" s="70" t="s">
        <v>1445</v>
      </c>
      <c r="C1214" s="70" t="s">
        <v>1446</v>
      </c>
      <c r="D1214" s="70" t="s">
        <v>1312</v>
      </c>
      <c r="E1214" s="71" t="s">
        <v>13</v>
      </c>
      <c r="F1214" s="76">
        <v>2187.5</v>
      </c>
      <c r="G1214" s="76"/>
      <c r="H1214" s="71" t="s">
        <v>342</v>
      </c>
      <c r="I1214" s="77" t="s">
        <v>30</v>
      </c>
      <c r="J1214" s="77"/>
      <c r="K1214" s="74" t="s">
        <v>8</v>
      </c>
      <c r="L1214" s="75">
        <v>3540100.54</v>
      </c>
    </row>
    <row r="1215" spans="1:12" ht="71.400000000000006" hidden="1" x14ac:dyDescent="0.3">
      <c r="A1215" s="69" t="s">
        <v>1444</v>
      </c>
      <c r="B1215" s="70" t="s">
        <v>1445</v>
      </c>
      <c r="C1215" s="70" t="s">
        <v>1447</v>
      </c>
      <c r="D1215" s="70" t="s">
        <v>1314</v>
      </c>
      <c r="E1215" s="71" t="s">
        <v>13</v>
      </c>
      <c r="F1215" s="79">
        <v>157.26</v>
      </c>
      <c r="G1215" s="79"/>
      <c r="H1215" s="71" t="s">
        <v>342</v>
      </c>
      <c r="I1215" s="77" t="s">
        <v>30</v>
      </c>
      <c r="J1215" s="77"/>
      <c r="K1215" s="74" t="s">
        <v>8</v>
      </c>
      <c r="L1215" s="75">
        <v>3540257.8</v>
      </c>
    </row>
    <row r="1216" spans="1:12" ht="61.2" x14ac:dyDescent="0.3">
      <c r="A1216" s="69" t="s">
        <v>1444</v>
      </c>
      <c r="B1216" s="70" t="s">
        <v>1448</v>
      </c>
      <c r="C1216" s="70" t="s">
        <v>518</v>
      </c>
      <c r="D1216" s="70" t="s">
        <v>1413</v>
      </c>
      <c r="E1216" s="71" t="s">
        <v>165</v>
      </c>
      <c r="F1216" s="72" t="s">
        <v>30</v>
      </c>
      <c r="G1216" s="72"/>
      <c r="H1216" s="71" t="s">
        <v>13</v>
      </c>
      <c r="I1216" s="78">
        <v>302</v>
      </c>
      <c r="J1216" s="78"/>
      <c r="K1216" s="74" t="s">
        <v>8</v>
      </c>
      <c r="L1216" s="75">
        <v>89728.12</v>
      </c>
    </row>
    <row r="1217" spans="1:12" ht="71.400000000000006" x14ac:dyDescent="0.3">
      <c r="A1217" s="69" t="s">
        <v>1444</v>
      </c>
      <c r="B1217" s="70" t="s">
        <v>1449</v>
      </c>
      <c r="C1217" s="70" t="s">
        <v>518</v>
      </c>
      <c r="D1217" s="70" t="s">
        <v>1446</v>
      </c>
      <c r="E1217" s="71" t="s">
        <v>165</v>
      </c>
      <c r="F1217" s="72" t="s">
        <v>30</v>
      </c>
      <c r="G1217" s="72"/>
      <c r="H1217" s="71" t="s">
        <v>13</v>
      </c>
      <c r="I1217" s="73">
        <v>2187.5</v>
      </c>
      <c r="J1217" s="73"/>
      <c r="K1217" s="74" t="s">
        <v>8</v>
      </c>
      <c r="L1217" s="75">
        <v>3538070.3</v>
      </c>
    </row>
    <row r="1218" spans="1:12" ht="71.400000000000006" x14ac:dyDescent="0.3">
      <c r="A1218" s="69" t="s">
        <v>1444</v>
      </c>
      <c r="B1218" s="70" t="s">
        <v>1449</v>
      </c>
      <c r="C1218" s="70" t="s">
        <v>518</v>
      </c>
      <c r="D1218" s="70" t="s">
        <v>1447</v>
      </c>
      <c r="E1218" s="71" t="s">
        <v>165</v>
      </c>
      <c r="F1218" s="72" t="s">
        <v>30</v>
      </c>
      <c r="G1218" s="72"/>
      <c r="H1218" s="71" t="s">
        <v>13</v>
      </c>
      <c r="I1218" s="78">
        <v>157.26</v>
      </c>
      <c r="J1218" s="78"/>
      <c r="K1218" s="74" t="s">
        <v>8</v>
      </c>
      <c r="L1218" s="75">
        <v>3537913.04</v>
      </c>
    </row>
    <row r="1219" spans="1:12" ht="71.400000000000006" hidden="1" x14ac:dyDescent="0.3">
      <c r="A1219" s="69" t="s">
        <v>1444</v>
      </c>
      <c r="B1219" s="70" t="s">
        <v>1450</v>
      </c>
      <c r="C1219" s="70" t="s">
        <v>1451</v>
      </c>
      <c r="D1219" s="70" t="s">
        <v>1452</v>
      </c>
      <c r="E1219" s="71" t="s">
        <v>13</v>
      </c>
      <c r="F1219" s="79">
        <v>270</v>
      </c>
      <c r="G1219" s="79"/>
      <c r="H1219" s="71" t="s">
        <v>13</v>
      </c>
      <c r="I1219" s="77" t="s">
        <v>30</v>
      </c>
      <c r="J1219" s="77"/>
      <c r="K1219" s="74" t="s">
        <v>8</v>
      </c>
      <c r="L1219" s="75">
        <v>826719.56</v>
      </c>
    </row>
    <row r="1220" spans="1:12" ht="71.400000000000006" hidden="1" x14ac:dyDescent="0.3">
      <c r="A1220" s="69" t="s">
        <v>1444</v>
      </c>
      <c r="B1220" s="70" t="s">
        <v>1450</v>
      </c>
      <c r="C1220" s="70" t="s">
        <v>1451</v>
      </c>
      <c r="D1220" s="70" t="s">
        <v>1452</v>
      </c>
      <c r="E1220" s="71" t="s">
        <v>13</v>
      </c>
      <c r="F1220" s="72" t="s">
        <v>30</v>
      </c>
      <c r="G1220" s="72"/>
      <c r="H1220" s="71" t="s">
        <v>13</v>
      </c>
      <c r="I1220" s="78">
        <v>270</v>
      </c>
      <c r="J1220" s="78"/>
      <c r="K1220" s="74" t="s">
        <v>8</v>
      </c>
      <c r="L1220" s="75">
        <v>4685142.59</v>
      </c>
    </row>
    <row r="1221" spans="1:12" ht="71.400000000000006" hidden="1" x14ac:dyDescent="0.3">
      <c r="A1221" s="69" t="s">
        <v>1444</v>
      </c>
      <c r="B1221" s="70" t="s">
        <v>1450</v>
      </c>
      <c r="C1221" s="70" t="s">
        <v>1453</v>
      </c>
      <c r="D1221" s="70" t="s">
        <v>1454</v>
      </c>
      <c r="E1221" s="71" t="s">
        <v>13</v>
      </c>
      <c r="F1221" s="72" t="s">
        <v>30</v>
      </c>
      <c r="G1221" s="72"/>
      <c r="H1221" s="71" t="s">
        <v>13</v>
      </c>
      <c r="I1221" s="78">
        <v>140</v>
      </c>
      <c r="J1221" s="78"/>
      <c r="K1221" s="74" t="s">
        <v>8</v>
      </c>
      <c r="L1221" s="75">
        <v>4685002.59</v>
      </c>
    </row>
    <row r="1222" spans="1:12" ht="71.400000000000006" hidden="1" x14ac:dyDescent="0.3">
      <c r="A1222" s="69" t="s">
        <v>1444</v>
      </c>
      <c r="B1222" s="70" t="s">
        <v>1450</v>
      </c>
      <c r="C1222" s="70" t="s">
        <v>1453</v>
      </c>
      <c r="D1222" s="70" t="s">
        <v>1454</v>
      </c>
      <c r="E1222" s="71" t="s">
        <v>13</v>
      </c>
      <c r="F1222" s="79">
        <v>140</v>
      </c>
      <c r="G1222" s="79"/>
      <c r="H1222" s="71" t="s">
        <v>13</v>
      </c>
      <c r="I1222" s="77" t="s">
        <v>30</v>
      </c>
      <c r="J1222" s="77"/>
      <c r="K1222" s="74" t="s">
        <v>8</v>
      </c>
      <c r="L1222" s="75">
        <v>826859.56</v>
      </c>
    </row>
    <row r="1223" spans="1:12" ht="71.400000000000006" hidden="1" x14ac:dyDescent="0.3">
      <c r="A1223" s="69" t="s">
        <v>1444</v>
      </c>
      <c r="B1223" s="70" t="s">
        <v>1450</v>
      </c>
      <c r="C1223" s="70" t="s">
        <v>1455</v>
      </c>
      <c r="D1223" s="70" t="s">
        <v>1456</v>
      </c>
      <c r="E1223" s="71" t="s">
        <v>13</v>
      </c>
      <c r="F1223" s="72" t="s">
        <v>30</v>
      </c>
      <c r="G1223" s="72"/>
      <c r="H1223" s="71" t="s">
        <v>13</v>
      </c>
      <c r="I1223" s="78">
        <v>660</v>
      </c>
      <c r="J1223" s="78"/>
      <c r="K1223" s="74" t="s">
        <v>8</v>
      </c>
      <c r="L1223" s="75">
        <v>4684342.59</v>
      </c>
    </row>
    <row r="1224" spans="1:12" ht="71.400000000000006" hidden="1" x14ac:dyDescent="0.3">
      <c r="A1224" s="69" t="s">
        <v>1444</v>
      </c>
      <c r="B1224" s="70" t="s">
        <v>1450</v>
      </c>
      <c r="C1224" s="70" t="s">
        <v>1455</v>
      </c>
      <c r="D1224" s="70" t="s">
        <v>1456</v>
      </c>
      <c r="E1224" s="71" t="s">
        <v>13</v>
      </c>
      <c r="F1224" s="79">
        <v>660</v>
      </c>
      <c r="G1224" s="79"/>
      <c r="H1224" s="71" t="s">
        <v>13</v>
      </c>
      <c r="I1224" s="77" t="s">
        <v>30</v>
      </c>
      <c r="J1224" s="77"/>
      <c r="K1224" s="74" t="s">
        <v>8</v>
      </c>
      <c r="L1224" s="75">
        <v>827519.56</v>
      </c>
    </row>
    <row r="1225" spans="1:12" ht="71.400000000000006" hidden="1" x14ac:dyDescent="0.3">
      <c r="A1225" s="69" t="s">
        <v>1444</v>
      </c>
      <c r="B1225" s="70" t="s">
        <v>1450</v>
      </c>
      <c r="C1225" s="70" t="s">
        <v>1457</v>
      </c>
      <c r="D1225" s="70" t="s">
        <v>1458</v>
      </c>
      <c r="E1225" s="71" t="s">
        <v>13</v>
      </c>
      <c r="F1225" s="72" t="s">
        <v>30</v>
      </c>
      <c r="G1225" s="72"/>
      <c r="H1225" s="71" t="s">
        <v>13</v>
      </c>
      <c r="I1225" s="78">
        <v>50</v>
      </c>
      <c r="J1225" s="78"/>
      <c r="K1225" s="74" t="s">
        <v>8</v>
      </c>
      <c r="L1225" s="75">
        <v>4684292.59</v>
      </c>
    </row>
    <row r="1226" spans="1:12" ht="71.400000000000006" hidden="1" x14ac:dyDescent="0.3">
      <c r="A1226" s="69" t="s">
        <v>1444</v>
      </c>
      <c r="B1226" s="70" t="s">
        <v>1450</v>
      </c>
      <c r="C1226" s="70" t="s">
        <v>1457</v>
      </c>
      <c r="D1226" s="70" t="s">
        <v>1458</v>
      </c>
      <c r="E1226" s="71" t="s">
        <v>13</v>
      </c>
      <c r="F1226" s="79">
        <v>50</v>
      </c>
      <c r="G1226" s="79"/>
      <c r="H1226" s="71" t="s">
        <v>13</v>
      </c>
      <c r="I1226" s="77" t="s">
        <v>30</v>
      </c>
      <c r="J1226" s="77"/>
      <c r="K1226" s="74" t="s">
        <v>8</v>
      </c>
      <c r="L1226" s="75">
        <v>827569.56</v>
      </c>
    </row>
    <row r="1227" spans="1:12" ht="61.2" hidden="1" x14ac:dyDescent="0.3">
      <c r="A1227" s="69" t="s">
        <v>1444</v>
      </c>
      <c r="B1227" s="70" t="s">
        <v>1450</v>
      </c>
      <c r="C1227" s="70" t="s">
        <v>1459</v>
      </c>
      <c r="D1227" s="70" t="s">
        <v>1460</v>
      </c>
      <c r="E1227" s="71" t="s">
        <v>13</v>
      </c>
      <c r="F1227" s="79">
        <v>140</v>
      </c>
      <c r="G1227" s="79"/>
      <c r="H1227" s="71" t="s">
        <v>13</v>
      </c>
      <c r="I1227" s="77" t="s">
        <v>30</v>
      </c>
      <c r="J1227" s="77"/>
      <c r="K1227" s="74" t="s">
        <v>8</v>
      </c>
      <c r="L1227" s="75">
        <v>827709.56</v>
      </c>
    </row>
    <row r="1228" spans="1:12" ht="61.2" hidden="1" x14ac:dyDescent="0.3">
      <c r="A1228" s="69" t="s">
        <v>1444</v>
      </c>
      <c r="B1228" s="70" t="s">
        <v>1450</v>
      </c>
      <c r="C1228" s="70" t="s">
        <v>1459</v>
      </c>
      <c r="D1228" s="70" t="s">
        <v>1460</v>
      </c>
      <c r="E1228" s="71" t="s">
        <v>13</v>
      </c>
      <c r="F1228" s="72" t="s">
        <v>30</v>
      </c>
      <c r="G1228" s="72"/>
      <c r="H1228" s="71" t="s">
        <v>13</v>
      </c>
      <c r="I1228" s="78">
        <v>140</v>
      </c>
      <c r="J1228" s="78"/>
      <c r="K1228" s="74" t="s">
        <v>8</v>
      </c>
      <c r="L1228" s="75">
        <v>4684152.59</v>
      </c>
    </row>
    <row r="1229" spans="1:12" ht="71.400000000000006" x14ac:dyDescent="0.3">
      <c r="A1229" s="69" t="s">
        <v>1444</v>
      </c>
      <c r="B1229" s="70" t="s">
        <v>1461</v>
      </c>
      <c r="C1229" s="70" t="s">
        <v>518</v>
      </c>
      <c r="D1229" s="70" t="s">
        <v>1462</v>
      </c>
      <c r="E1229" s="71" t="s">
        <v>165</v>
      </c>
      <c r="F1229" s="72" t="s">
        <v>30</v>
      </c>
      <c r="G1229" s="72"/>
      <c r="H1229" s="71" t="s">
        <v>13</v>
      </c>
      <c r="I1229" s="73">
        <v>5074.1899999999996</v>
      </c>
      <c r="J1229" s="73"/>
      <c r="K1229" s="74" t="s">
        <v>8</v>
      </c>
      <c r="L1229" s="75">
        <v>4963142.09</v>
      </c>
    </row>
    <row r="1230" spans="1:12" ht="71.400000000000006" x14ac:dyDescent="0.3">
      <c r="A1230" s="69" t="s">
        <v>1444</v>
      </c>
      <c r="B1230" s="70" t="s">
        <v>1461</v>
      </c>
      <c r="C1230" s="70" t="s">
        <v>518</v>
      </c>
      <c r="D1230" s="70" t="s">
        <v>674</v>
      </c>
      <c r="E1230" s="71" t="s">
        <v>165</v>
      </c>
      <c r="F1230" s="72" t="s">
        <v>30</v>
      </c>
      <c r="G1230" s="72"/>
      <c r="H1230" s="71" t="s">
        <v>13</v>
      </c>
      <c r="I1230" s="73">
        <v>32248.49</v>
      </c>
      <c r="J1230" s="73"/>
      <c r="K1230" s="74" t="s">
        <v>8</v>
      </c>
      <c r="L1230" s="75">
        <v>4930893.5999999996</v>
      </c>
    </row>
    <row r="1231" spans="1:12" ht="71.400000000000006" x14ac:dyDescent="0.3">
      <c r="A1231" s="69" t="s">
        <v>1444</v>
      </c>
      <c r="B1231" s="70" t="s">
        <v>1461</v>
      </c>
      <c r="C1231" s="70" t="s">
        <v>518</v>
      </c>
      <c r="D1231" s="70" t="s">
        <v>650</v>
      </c>
      <c r="E1231" s="71" t="s">
        <v>165</v>
      </c>
      <c r="F1231" s="72" t="s">
        <v>30</v>
      </c>
      <c r="G1231" s="72"/>
      <c r="H1231" s="71" t="s">
        <v>13</v>
      </c>
      <c r="I1231" s="78">
        <v>436.88</v>
      </c>
      <c r="J1231" s="78"/>
      <c r="K1231" s="74" t="s">
        <v>8</v>
      </c>
      <c r="L1231" s="75">
        <v>4930456.72</v>
      </c>
    </row>
    <row r="1232" spans="1:12" ht="71.400000000000006" x14ac:dyDescent="0.3">
      <c r="A1232" s="69" t="s">
        <v>1444</v>
      </c>
      <c r="B1232" s="70" t="s">
        <v>1461</v>
      </c>
      <c r="C1232" s="70" t="s">
        <v>518</v>
      </c>
      <c r="D1232" s="70" t="s">
        <v>651</v>
      </c>
      <c r="E1232" s="71" t="s">
        <v>165</v>
      </c>
      <c r="F1232" s="72" t="s">
        <v>30</v>
      </c>
      <c r="G1232" s="72"/>
      <c r="H1232" s="71" t="s">
        <v>13</v>
      </c>
      <c r="I1232" s="73">
        <v>86443.3</v>
      </c>
      <c r="J1232" s="73"/>
      <c r="K1232" s="74" t="s">
        <v>8</v>
      </c>
      <c r="L1232" s="75">
        <v>4844013.42</v>
      </c>
    </row>
    <row r="1233" spans="1:12" ht="71.400000000000006" x14ac:dyDescent="0.3">
      <c r="A1233" s="69" t="s">
        <v>1444</v>
      </c>
      <c r="B1233" s="70" t="s">
        <v>1461</v>
      </c>
      <c r="C1233" s="70" t="s">
        <v>518</v>
      </c>
      <c r="D1233" s="70" t="s">
        <v>652</v>
      </c>
      <c r="E1233" s="71" t="s">
        <v>165</v>
      </c>
      <c r="F1233" s="72" t="s">
        <v>30</v>
      </c>
      <c r="G1233" s="72"/>
      <c r="H1233" s="71" t="s">
        <v>13</v>
      </c>
      <c r="I1233" s="73">
        <v>21090</v>
      </c>
      <c r="J1233" s="73"/>
      <c r="K1233" s="74" t="s">
        <v>8</v>
      </c>
      <c r="L1233" s="75">
        <v>4822923.42</v>
      </c>
    </row>
    <row r="1234" spans="1:12" ht="71.400000000000006" x14ac:dyDescent="0.3">
      <c r="A1234" s="69" t="s">
        <v>1444</v>
      </c>
      <c r="B1234" s="70" t="s">
        <v>1461</v>
      </c>
      <c r="C1234" s="70" t="s">
        <v>518</v>
      </c>
      <c r="D1234" s="70" t="s">
        <v>1463</v>
      </c>
      <c r="E1234" s="71" t="s">
        <v>165</v>
      </c>
      <c r="F1234" s="72" t="s">
        <v>30</v>
      </c>
      <c r="G1234" s="72"/>
      <c r="H1234" s="71" t="s">
        <v>13</v>
      </c>
      <c r="I1234" s="73">
        <v>68207.399999999994</v>
      </c>
      <c r="J1234" s="73"/>
      <c r="K1234" s="74" t="s">
        <v>8</v>
      </c>
      <c r="L1234" s="75">
        <v>4754716.0199999996</v>
      </c>
    </row>
    <row r="1235" spans="1:12" ht="61.2" x14ac:dyDescent="0.3">
      <c r="A1235" s="69" t="s">
        <v>1444</v>
      </c>
      <c r="B1235" s="70" t="s">
        <v>1461</v>
      </c>
      <c r="C1235" s="70" t="s">
        <v>518</v>
      </c>
      <c r="D1235" s="70" t="s">
        <v>1464</v>
      </c>
      <c r="E1235" s="71" t="s">
        <v>165</v>
      </c>
      <c r="F1235" s="72" t="s">
        <v>30</v>
      </c>
      <c r="G1235" s="72"/>
      <c r="H1235" s="71" t="s">
        <v>13</v>
      </c>
      <c r="I1235" s="73">
        <v>8996.4</v>
      </c>
      <c r="J1235" s="73"/>
      <c r="K1235" s="74" t="s">
        <v>8</v>
      </c>
      <c r="L1235" s="75">
        <v>4745719.62</v>
      </c>
    </row>
    <row r="1236" spans="1:12" ht="61.2" x14ac:dyDescent="0.3">
      <c r="A1236" s="69" t="s">
        <v>1444</v>
      </c>
      <c r="B1236" s="70" t="s">
        <v>1461</v>
      </c>
      <c r="C1236" s="70" t="s">
        <v>518</v>
      </c>
      <c r="D1236" s="70" t="s">
        <v>675</v>
      </c>
      <c r="E1236" s="71" t="s">
        <v>165</v>
      </c>
      <c r="F1236" s="72" t="s">
        <v>30</v>
      </c>
      <c r="G1236" s="72"/>
      <c r="H1236" s="71" t="s">
        <v>13</v>
      </c>
      <c r="I1236" s="73">
        <v>2804.76</v>
      </c>
      <c r="J1236" s="73"/>
      <c r="K1236" s="74" t="s">
        <v>8</v>
      </c>
      <c r="L1236" s="75">
        <v>4742914.8600000003</v>
      </c>
    </row>
    <row r="1237" spans="1:12" ht="61.2" x14ac:dyDescent="0.3">
      <c r="A1237" s="69" t="s">
        <v>1444</v>
      </c>
      <c r="B1237" s="70" t="s">
        <v>1461</v>
      </c>
      <c r="C1237" s="70" t="s">
        <v>518</v>
      </c>
      <c r="D1237" s="70" t="s">
        <v>353</v>
      </c>
      <c r="E1237" s="71" t="s">
        <v>165</v>
      </c>
      <c r="F1237" s="72" t="s">
        <v>30</v>
      </c>
      <c r="G1237" s="72"/>
      <c r="H1237" s="71" t="s">
        <v>13</v>
      </c>
      <c r="I1237" s="73">
        <v>1534.44</v>
      </c>
      <c r="J1237" s="73"/>
      <c r="K1237" s="74" t="s">
        <v>8</v>
      </c>
      <c r="L1237" s="75">
        <v>4741380.42</v>
      </c>
    </row>
    <row r="1238" spans="1:12" ht="71.400000000000006" x14ac:dyDescent="0.3">
      <c r="A1238" s="69" t="s">
        <v>1444</v>
      </c>
      <c r="B1238" s="70" t="s">
        <v>1461</v>
      </c>
      <c r="C1238" s="70" t="s">
        <v>518</v>
      </c>
      <c r="D1238" s="70" t="s">
        <v>1437</v>
      </c>
      <c r="E1238" s="71" t="s">
        <v>165</v>
      </c>
      <c r="F1238" s="72" t="s">
        <v>30</v>
      </c>
      <c r="G1238" s="72"/>
      <c r="H1238" s="71" t="s">
        <v>13</v>
      </c>
      <c r="I1238" s="73">
        <v>1529.95</v>
      </c>
      <c r="J1238" s="73"/>
      <c r="K1238" s="74" t="s">
        <v>8</v>
      </c>
      <c r="L1238" s="75">
        <v>4739850.47</v>
      </c>
    </row>
    <row r="1239" spans="1:12" ht="71.400000000000006" x14ac:dyDescent="0.3">
      <c r="A1239" s="69" t="s">
        <v>1444</v>
      </c>
      <c r="B1239" s="70" t="s">
        <v>1461</v>
      </c>
      <c r="C1239" s="70" t="s">
        <v>518</v>
      </c>
      <c r="D1239" s="70" t="s">
        <v>1440</v>
      </c>
      <c r="E1239" s="71" t="s">
        <v>165</v>
      </c>
      <c r="F1239" s="72" t="s">
        <v>30</v>
      </c>
      <c r="G1239" s="72"/>
      <c r="H1239" s="71" t="s">
        <v>13</v>
      </c>
      <c r="I1239" s="78">
        <v>387.58</v>
      </c>
      <c r="J1239" s="78"/>
      <c r="K1239" s="74" t="s">
        <v>8</v>
      </c>
      <c r="L1239" s="75">
        <v>4739462.8899999997</v>
      </c>
    </row>
    <row r="1240" spans="1:12" ht="71.400000000000006" x14ac:dyDescent="0.3">
      <c r="A1240" s="69" t="s">
        <v>1444</v>
      </c>
      <c r="B1240" s="70" t="s">
        <v>1461</v>
      </c>
      <c r="C1240" s="70" t="s">
        <v>518</v>
      </c>
      <c r="D1240" s="70" t="s">
        <v>1442</v>
      </c>
      <c r="E1240" s="71" t="s">
        <v>165</v>
      </c>
      <c r="F1240" s="72" t="s">
        <v>30</v>
      </c>
      <c r="G1240" s="72"/>
      <c r="H1240" s="71" t="s">
        <v>13</v>
      </c>
      <c r="I1240" s="73">
        <v>8677.68</v>
      </c>
      <c r="J1240" s="73"/>
      <c r="K1240" s="74" t="s">
        <v>8</v>
      </c>
      <c r="L1240" s="75">
        <v>4730785.21</v>
      </c>
    </row>
    <row r="1241" spans="1:12" ht="71.400000000000006" hidden="1" x14ac:dyDescent="0.3">
      <c r="A1241" s="69" t="s">
        <v>1444</v>
      </c>
      <c r="B1241" s="70" t="s">
        <v>1465</v>
      </c>
      <c r="C1241" s="70" t="s">
        <v>1466</v>
      </c>
      <c r="D1241" s="70" t="s">
        <v>1467</v>
      </c>
      <c r="E1241" s="71" t="s">
        <v>13</v>
      </c>
      <c r="F1241" s="76">
        <v>122027.5</v>
      </c>
      <c r="G1241" s="76"/>
      <c r="H1241" s="71" t="s">
        <v>457</v>
      </c>
      <c r="I1241" s="77" t="s">
        <v>30</v>
      </c>
      <c r="J1241" s="77"/>
      <c r="K1241" s="74" t="s">
        <v>8</v>
      </c>
      <c r="L1241" s="75">
        <v>4852812.71</v>
      </c>
    </row>
    <row r="1242" spans="1:12" ht="61.2" hidden="1" x14ac:dyDescent="0.3">
      <c r="A1242" s="69" t="s">
        <v>1444</v>
      </c>
      <c r="B1242" s="70" t="s">
        <v>1465</v>
      </c>
      <c r="C1242" s="70" t="s">
        <v>1468</v>
      </c>
      <c r="D1242" s="70" t="s">
        <v>1467</v>
      </c>
      <c r="E1242" s="71" t="s">
        <v>13</v>
      </c>
      <c r="F1242" s="76">
        <v>32105.67</v>
      </c>
      <c r="G1242" s="76"/>
      <c r="H1242" s="71" t="s">
        <v>457</v>
      </c>
      <c r="I1242" s="77" t="s">
        <v>30</v>
      </c>
      <c r="J1242" s="77"/>
      <c r="K1242" s="74" t="s">
        <v>8</v>
      </c>
      <c r="L1242" s="75">
        <v>4884918.38</v>
      </c>
    </row>
    <row r="1243" spans="1:12" ht="71.400000000000006" hidden="1" x14ac:dyDescent="0.3">
      <c r="A1243" s="69" t="s">
        <v>1444</v>
      </c>
      <c r="B1243" s="70" t="s">
        <v>1465</v>
      </c>
      <c r="C1243" s="70" t="s">
        <v>1469</v>
      </c>
      <c r="D1243" s="70" t="s">
        <v>1467</v>
      </c>
      <c r="E1243" s="71" t="s">
        <v>13</v>
      </c>
      <c r="F1243" s="76">
        <v>25526.14</v>
      </c>
      <c r="G1243" s="76"/>
      <c r="H1243" s="71" t="s">
        <v>457</v>
      </c>
      <c r="I1243" s="77" t="s">
        <v>30</v>
      </c>
      <c r="J1243" s="77"/>
      <c r="K1243" s="74" t="s">
        <v>8</v>
      </c>
      <c r="L1243" s="75">
        <v>4910444.5199999996</v>
      </c>
    </row>
    <row r="1244" spans="1:12" ht="71.400000000000006" hidden="1" x14ac:dyDescent="0.3">
      <c r="A1244" s="69" t="s">
        <v>1444</v>
      </c>
      <c r="B1244" s="70" t="s">
        <v>1465</v>
      </c>
      <c r="C1244" s="70" t="s">
        <v>1470</v>
      </c>
      <c r="D1244" s="70" t="s">
        <v>1467</v>
      </c>
      <c r="E1244" s="71" t="s">
        <v>13</v>
      </c>
      <c r="F1244" s="76">
        <v>32700</v>
      </c>
      <c r="G1244" s="76"/>
      <c r="H1244" s="71" t="s">
        <v>457</v>
      </c>
      <c r="I1244" s="77" t="s">
        <v>30</v>
      </c>
      <c r="J1244" s="77"/>
      <c r="K1244" s="74" t="s">
        <v>8</v>
      </c>
      <c r="L1244" s="75">
        <v>4943144.5199999996</v>
      </c>
    </row>
    <row r="1245" spans="1:12" ht="91.8" hidden="1" x14ac:dyDescent="0.3">
      <c r="A1245" s="69" t="s">
        <v>1444</v>
      </c>
      <c r="B1245" s="70" t="s">
        <v>1471</v>
      </c>
      <c r="C1245" s="70" t="s">
        <v>1472</v>
      </c>
      <c r="D1245" s="70" t="s">
        <v>1473</v>
      </c>
      <c r="E1245" s="71" t="s">
        <v>13</v>
      </c>
      <c r="F1245" s="76">
        <v>4214.5</v>
      </c>
      <c r="G1245" s="76"/>
      <c r="H1245" s="71" t="s">
        <v>457</v>
      </c>
      <c r="I1245" s="77" t="s">
        <v>30</v>
      </c>
      <c r="J1245" s="77"/>
      <c r="K1245" s="74" t="s">
        <v>8</v>
      </c>
      <c r="L1245" s="75">
        <v>1546581.24</v>
      </c>
    </row>
    <row r="1246" spans="1:12" ht="91.8" hidden="1" x14ac:dyDescent="0.3">
      <c r="A1246" s="69" t="s">
        <v>1444</v>
      </c>
      <c r="B1246" s="70" t="s">
        <v>1471</v>
      </c>
      <c r="C1246" s="70" t="s">
        <v>1474</v>
      </c>
      <c r="D1246" s="70" t="s">
        <v>1473</v>
      </c>
      <c r="E1246" s="71" t="s">
        <v>13</v>
      </c>
      <c r="F1246" s="76">
        <v>2612.4</v>
      </c>
      <c r="G1246" s="76"/>
      <c r="H1246" s="71" t="s">
        <v>457</v>
      </c>
      <c r="I1246" s="77" t="s">
        <v>30</v>
      </c>
      <c r="J1246" s="77"/>
      <c r="K1246" s="74" t="s">
        <v>8</v>
      </c>
      <c r="L1246" s="75">
        <v>1549193.64</v>
      </c>
    </row>
    <row r="1247" spans="1:12" ht="91.8" hidden="1" x14ac:dyDescent="0.3">
      <c r="A1247" s="69" t="s">
        <v>1444</v>
      </c>
      <c r="B1247" s="70" t="s">
        <v>1471</v>
      </c>
      <c r="C1247" s="70" t="s">
        <v>1475</v>
      </c>
      <c r="D1247" s="70" t="s">
        <v>1473</v>
      </c>
      <c r="E1247" s="71" t="s">
        <v>13</v>
      </c>
      <c r="F1247" s="76">
        <v>4176.3999999999996</v>
      </c>
      <c r="G1247" s="76"/>
      <c r="H1247" s="71" t="s">
        <v>457</v>
      </c>
      <c r="I1247" s="77" t="s">
        <v>30</v>
      </c>
      <c r="J1247" s="77"/>
      <c r="K1247" s="74" t="s">
        <v>8</v>
      </c>
      <c r="L1247" s="75">
        <v>1553370.04</v>
      </c>
    </row>
    <row r="1248" spans="1:12" ht="91.8" hidden="1" x14ac:dyDescent="0.3">
      <c r="A1248" s="69" t="s">
        <v>1444</v>
      </c>
      <c r="B1248" s="70" t="s">
        <v>1471</v>
      </c>
      <c r="C1248" s="70" t="s">
        <v>1476</v>
      </c>
      <c r="D1248" s="70" t="s">
        <v>1473</v>
      </c>
      <c r="E1248" s="71" t="s">
        <v>13</v>
      </c>
      <c r="F1248" s="76">
        <v>2585.1</v>
      </c>
      <c r="G1248" s="76"/>
      <c r="H1248" s="71" t="s">
        <v>457</v>
      </c>
      <c r="I1248" s="77" t="s">
        <v>30</v>
      </c>
      <c r="J1248" s="77"/>
      <c r="K1248" s="74" t="s">
        <v>8</v>
      </c>
      <c r="L1248" s="75">
        <v>1555955.14</v>
      </c>
    </row>
    <row r="1249" spans="1:12" ht="91.8" hidden="1" x14ac:dyDescent="0.3">
      <c r="A1249" s="69" t="s">
        <v>1444</v>
      </c>
      <c r="B1249" s="70" t="s">
        <v>1471</v>
      </c>
      <c r="C1249" s="70" t="s">
        <v>1475</v>
      </c>
      <c r="D1249" s="70" t="s">
        <v>1473</v>
      </c>
      <c r="E1249" s="71" t="s">
        <v>13</v>
      </c>
      <c r="F1249" s="76">
        <v>4162.3</v>
      </c>
      <c r="G1249" s="76"/>
      <c r="H1249" s="71" t="s">
        <v>457</v>
      </c>
      <c r="I1249" s="77" t="s">
        <v>30</v>
      </c>
      <c r="J1249" s="77"/>
      <c r="K1249" s="74" t="s">
        <v>8</v>
      </c>
      <c r="L1249" s="75">
        <v>1560117.44</v>
      </c>
    </row>
    <row r="1250" spans="1:12" ht="91.8" hidden="1" x14ac:dyDescent="0.3">
      <c r="A1250" s="69" t="s">
        <v>1444</v>
      </c>
      <c r="B1250" s="70" t="s">
        <v>1471</v>
      </c>
      <c r="C1250" s="70" t="s">
        <v>1476</v>
      </c>
      <c r="D1250" s="70" t="s">
        <v>1473</v>
      </c>
      <c r="E1250" s="71" t="s">
        <v>13</v>
      </c>
      <c r="F1250" s="76">
        <v>2571</v>
      </c>
      <c r="G1250" s="76"/>
      <c r="H1250" s="71" t="s">
        <v>457</v>
      </c>
      <c r="I1250" s="77" t="s">
        <v>30</v>
      </c>
      <c r="J1250" s="77"/>
      <c r="K1250" s="74" t="s">
        <v>8</v>
      </c>
      <c r="L1250" s="75">
        <v>1562688.44</v>
      </c>
    </row>
    <row r="1251" spans="1:12" ht="91.8" hidden="1" x14ac:dyDescent="0.3">
      <c r="A1251" s="69" t="s">
        <v>1444</v>
      </c>
      <c r="B1251" s="70" t="s">
        <v>1471</v>
      </c>
      <c r="C1251" s="70" t="s">
        <v>1475</v>
      </c>
      <c r="D1251" s="70" t="s">
        <v>1473</v>
      </c>
      <c r="E1251" s="71" t="s">
        <v>13</v>
      </c>
      <c r="F1251" s="76">
        <v>4164.8</v>
      </c>
      <c r="G1251" s="76"/>
      <c r="H1251" s="71" t="s">
        <v>457</v>
      </c>
      <c r="I1251" s="77" t="s">
        <v>30</v>
      </c>
      <c r="J1251" s="77"/>
      <c r="K1251" s="74" t="s">
        <v>8</v>
      </c>
      <c r="L1251" s="75">
        <v>1566853.24</v>
      </c>
    </row>
    <row r="1252" spans="1:12" ht="91.8" hidden="1" x14ac:dyDescent="0.3">
      <c r="A1252" s="69" t="s">
        <v>1444</v>
      </c>
      <c r="B1252" s="70" t="s">
        <v>1471</v>
      </c>
      <c r="C1252" s="70" t="s">
        <v>1476</v>
      </c>
      <c r="D1252" s="70" t="s">
        <v>1473</v>
      </c>
      <c r="E1252" s="71" t="s">
        <v>13</v>
      </c>
      <c r="F1252" s="76">
        <v>2569.4</v>
      </c>
      <c r="G1252" s="76"/>
      <c r="H1252" s="71" t="s">
        <v>457</v>
      </c>
      <c r="I1252" s="77" t="s">
        <v>30</v>
      </c>
      <c r="J1252" s="77"/>
      <c r="K1252" s="74" t="s">
        <v>8</v>
      </c>
      <c r="L1252" s="75">
        <v>1569422.64</v>
      </c>
    </row>
    <row r="1253" spans="1:12" ht="91.8" hidden="1" x14ac:dyDescent="0.3">
      <c r="A1253" s="69" t="s">
        <v>1444</v>
      </c>
      <c r="B1253" s="70" t="s">
        <v>1471</v>
      </c>
      <c r="C1253" s="70" t="s">
        <v>1475</v>
      </c>
      <c r="D1253" s="70" t="s">
        <v>1473</v>
      </c>
      <c r="E1253" s="71" t="s">
        <v>13</v>
      </c>
      <c r="F1253" s="76">
        <v>4164.8</v>
      </c>
      <c r="G1253" s="76"/>
      <c r="H1253" s="71" t="s">
        <v>457</v>
      </c>
      <c r="I1253" s="77" t="s">
        <v>30</v>
      </c>
      <c r="J1253" s="77"/>
      <c r="K1253" s="74" t="s">
        <v>8</v>
      </c>
      <c r="L1253" s="75">
        <v>1573587.44</v>
      </c>
    </row>
    <row r="1254" spans="1:12" ht="91.8" hidden="1" x14ac:dyDescent="0.3">
      <c r="A1254" s="69" t="s">
        <v>1444</v>
      </c>
      <c r="B1254" s="70" t="s">
        <v>1471</v>
      </c>
      <c r="C1254" s="70" t="s">
        <v>1476</v>
      </c>
      <c r="D1254" s="70" t="s">
        <v>1473</v>
      </c>
      <c r="E1254" s="71" t="s">
        <v>13</v>
      </c>
      <c r="F1254" s="76">
        <v>2591.6999999999998</v>
      </c>
      <c r="G1254" s="76"/>
      <c r="H1254" s="71" t="s">
        <v>457</v>
      </c>
      <c r="I1254" s="77" t="s">
        <v>30</v>
      </c>
      <c r="J1254" s="77"/>
      <c r="K1254" s="74" t="s">
        <v>8</v>
      </c>
      <c r="L1254" s="75">
        <v>1576179.14</v>
      </c>
    </row>
    <row r="1255" spans="1:12" ht="91.8" hidden="1" x14ac:dyDescent="0.3">
      <c r="A1255" s="69" t="s">
        <v>1444</v>
      </c>
      <c r="B1255" s="70" t="s">
        <v>1471</v>
      </c>
      <c r="C1255" s="70" t="s">
        <v>1477</v>
      </c>
      <c r="D1255" s="70" t="s">
        <v>1473</v>
      </c>
      <c r="E1255" s="71" t="s">
        <v>13</v>
      </c>
      <c r="F1255" s="76">
        <v>4222.7</v>
      </c>
      <c r="G1255" s="76"/>
      <c r="H1255" s="71" t="s">
        <v>457</v>
      </c>
      <c r="I1255" s="77" t="s">
        <v>30</v>
      </c>
      <c r="J1255" s="77"/>
      <c r="K1255" s="74" t="s">
        <v>8</v>
      </c>
      <c r="L1255" s="75">
        <v>1580401.84</v>
      </c>
    </row>
    <row r="1256" spans="1:12" ht="91.8" hidden="1" x14ac:dyDescent="0.3">
      <c r="A1256" s="69" t="s">
        <v>1444</v>
      </c>
      <c r="B1256" s="70" t="s">
        <v>1471</v>
      </c>
      <c r="C1256" s="70" t="s">
        <v>1478</v>
      </c>
      <c r="D1256" s="70" t="s">
        <v>1473</v>
      </c>
      <c r="E1256" s="71" t="s">
        <v>13</v>
      </c>
      <c r="F1256" s="76">
        <v>2633.1</v>
      </c>
      <c r="G1256" s="76"/>
      <c r="H1256" s="71" t="s">
        <v>457</v>
      </c>
      <c r="I1256" s="77" t="s">
        <v>30</v>
      </c>
      <c r="J1256" s="77"/>
      <c r="K1256" s="74" t="s">
        <v>8</v>
      </c>
      <c r="L1256" s="75">
        <v>1583034.94</v>
      </c>
    </row>
    <row r="1257" spans="1:12" ht="91.8" hidden="1" x14ac:dyDescent="0.3">
      <c r="A1257" s="69" t="s">
        <v>1444</v>
      </c>
      <c r="B1257" s="70" t="s">
        <v>1471</v>
      </c>
      <c r="C1257" s="70" t="s">
        <v>1479</v>
      </c>
      <c r="D1257" s="70" t="s">
        <v>1473</v>
      </c>
      <c r="E1257" s="71" t="s">
        <v>13</v>
      </c>
      <c r="F1257" s="76">
        <v>4932.7</v>
      </c>
      <c r="G1257" s="76"/>
      <c r="H1257" s="71" t="s">
        <v>457</v>
      </c>
      <c r="I1257" s="77" t="s">
        <v>30</v>
      </c>
      <c r="J1257" s="77"/>
      <c r="K1257" s="74" t="s">
        <v>8</v>
      </c>
      <c r="L1257" s="75">
        <v>1587967.64</v>
      </c>
    </row>
    <row r="1258" spans="1:12" ht="91.8" hidden="1" x14ac:dyDescent="0.3">
      <c r="A1258" s="69" t="s">
        <v>1444</v>
      </c>
      <c r="B1258" s="70" t="s">
        <v>1471</v>
      </c>
      <c r="C1258" s="70" t="s">
        <v>1480</v>
      </c>
      <c r="D1258" s="70" t="s">
        <v>1473</v>
      </c>
      <c r="E1258" s="71" t="s">
        <v>13</v>
      </c>
      <c r="F1258" s="76">
        <v>3060.9</v>
      </c>
      <c r="G1258" s="76"/>
      <c r="H1258" s="71" t="s">
        <v>457</v>
      </c>
      <c r="I1258" s="77" t="s">
        <v>30</v>
      </c>
      <c r="J1258" s="77"/>
      <c r="K1258" s="74" t="s">
        <v>8</v>
      </c>
      <c r="L1258" s="75">
        <v>1591028.54</v>
      </c>
    </row>
    <row r="1259" spans="1:12" ht="91.8" hidden="1" x14ac:dyDescent="0.3">
      <c r="A1259" s="69" t="s">
        <v>1444</v>
      </c>
      <c r="B1259" s="70" t="s">
        <v>1471</v>
      </c>
      <c r="C1259" s="70" t="s">
        <v>1481</v>
      </c>
      <c r="D1259" s="70" t="s">
        <v>1473</v>
      </c>
      <c r="E1259" s="71" t="s">
        <v>13</v>
      </c>
      <c r="F1259" s="76">
        <v>4979.8999999999996</v>
      </c>
      <c r="G1259" s="76"/>
      <c r="H1259" s="71" t="s">
        <v>457</v>
      </c>
      <c r="I1259" s="77" t="s">
        <v>30</v>
      </c>
      <c r="J1259" s="77"/>
      <c r="K1259" s="74" t="s">
        <v>8</v>
      </c>
      <c r="L1259" s="75">
        <v>1596008.44</v>
      </c>
    </row>
    <row r="1260" spans="1:12" ht="91.8" hidden="1" x14ac:dyDescent="0.3">
      <c r="A1260" s="69" t="s">
        <v>1444</v>
      </c>
      <c r="B1260" s="70" t="s">
        <v>1471</v>
      </c>
      <c r="C1260" s="70" t="s">
        <v>1482</v>
      </c>
      <c r="D1260" s="70" t="s">
        <v>1473</v>
      </c>
      <c r="E1260" s="71" t="s">
        <v>13</v>
      </c>
      <c r="F1260" s="76">
        <v>3078.3</v>
      </c>
      <c r="G1260" s="76"/>
      <c r="H1260" s="71" t="s">
        <v>457</v>
      </c>
      <c r="I1260" s="77" t="s">
        <v>30</v>
      </c>
      <c r="J1260" s="77"/>
      <c r="K1260" s="74" t="s">
        <v>8</v>
      </c>
      <c r="L1260" s="75">
        <v>1599086.74</v>
      </c>
    </row>
    <row r="1261" spans="1:12" ht="91.8" hidden="1" x14ac:dyDescent="0.3">
      <c r="A1261" s="69" t="s">
        <v>1444</v>
      </c>
      <c r="B1261" s="70" t="s">
        <v>1471</v>
      </c>
      <c r="C1261" s="70" t="s">
        <v>1483</v>
      </c>
      <c r="D1261" s="70" t="s">
        <v>1473</v>
      </c>
      <c r="E1261" s="71" t="s">
        <v>13</v>
      </c>
      <c r="F1261" s="76">
        <v>2592.6</v>
      </c>
      <c r="G1261" s="76"/>
      <c r="H1261" s="71" t="s">
        <v>457</v>
      </c>
      <c r="I1261" s="77" t="s">
        <v>30</v>
      </c>
      <c r="J1261" s="77"/>
      <c r="K1261" s="74" t="s">
        <v>8</v>
      </c>
      <c r="L1261" s="75">
        <v>1601679.34</v>
      </c>
    </row>
    <row r="1262" spans="1:12" ht="91.8" hidden="1" x14ac:dyDescent="0.3">
      <c r="A1262" s="69" t="s">
        <v>1444</v>
      </c>
      <c r="B1262" s="70" t="s">
        <v>1471</v>
      </c>
      <c r="C1262" s="70" t="s">
        <v>1484</v>
      </c>
      <c r="D1262" s="70" t="s">
        <v>1473</v>
      </c>
      <c r="E1262" s="71" t="s">
        <v>13</v>
      </c>
      <c r="F1262" s="76">
        <v>1607.8</v>
      </c>
      <c r="G1262" s="76"/>
      <c r="H1262" s="71" t="s">
        <v>457</v>
      </c>
      <c r="I1262" s="77" t="s">
        <v>30</v>
      </c>
      <c r="J1262" s="77"/>
      <c r="K1262" s="74" t="s">
        <v>8</v>
      </c>
      <c r="L1262" s="75">
        <v>1603287.14</v>
      </c>
    </row>
    <row r="1263" spans="1:12" ht="91.8" hidden="1" x14ac:dyDescent="0.3">
      <c r="A1263" s="69" t="s">
        <v>1444</v>
      </c>
      <c r="B1263" s="70" t="s">
        <v>1471</v>
      </c>
      <c r="C1263" s="70" t="s">
        <v>1485</v>
      </c>
      <c r="D1263" s="70" t="s">
        <v>1473</v>
      </c>
      <c r="E1263" s="71" t="s">
        <v>13</v>
      </c>
      <c r="F1263" s="76">
        <v>4956.7</v>
      </c>
      <c r="G1263" s="76"/>
      <c r="H1263" s="71" t="s">
        <v>457</v>
      </c>
      <c r="I1263" s="77" t="s">
        <v>30</v>
      </c>
      <c r="J1263" s="77"/>
      <c r="K1263" s="74" t="s">
        <v>8</v>
      </c>
      <c r="L1263" s="75">
        <v>1608243.84</v>
      </c>
    </row>
    <row r="1264" spans="1:12" ht="91.8" hidden="1" x14ac:dyDescent="0.3">
      <c r="A1264" s="69" t="s">
        <v>1444</v>
      </c>
      <c r="B1264" s="70" t="s">
        <v>1471</v>
      </c>
      <c r="C1264" s="70" t="s">
        <v>1486</v>
      </c>
      <c r="D1264" s="70" t="s">
        <v>1473</v>
      </c>
      <c r="E1264" s="71" t="s">
        <v>13</v>
      </c>
      <c r="F1264" s="76">
        <v>4310.3999999999996</v>
      </c>
      <c r="G1264" s="76"/>
      <c r="H1264" s="71" t="s">
        <v>457</v>
      </c>
      <c r="I1264" s="77" t="s">
        <v>30</v>
      </c>
      <c r="J1264" s="77"/>
      <c r="K1264" s="74" t="s">
        <v>8</v>
      </c>
      <c r="L1264" s="75">
        <v>1612554.24</v>
      </c>
    </row>
    <row r="1265" spans="1:12" ht="91.8" hidden="1" x14ac:dyDescent="0.3">
      <c r="A1265" s="69" t="s">
        <v>1444</v>
      </c>
      <c r="B1265" s="70" t="s">
        <v>1471</v>
      </c>
      <c r="C1265" s="70" t="s">
        <v>1487</v>
      </c>
      <c r="D1265" s="70" t="s">
        <v>1473</v>
      </c>
      <c r="E1265" s="71" t="s">
        <v>13</v>
      </c>
      <c r="F1265" s="76">
        <v>11625.6</v>
      </c>
      <c r="G1265" s="76"/>
      <c r="H1265" s="71" t="s">
        <v>457</v>
      </c>
      <c r="I1265" s="77" t="s">
        <v>30</v>
      </c>
      <c r="J1265" s="77"/>
      <c r="K1265" s="74" t="s">
        <v>8</v>
      </c>
      <c r="L1265" s="75">
        <v>1624179.84</v>
      </c>
    </row>
    <row r="1266" spans="1:12" ht="91.8" hidden="1" x14ac:dyDescent="0.3">
      <c r="A1266" s="69" t="s">
        <v>1444</v>
      </c>
      <c r="B1266" s="70" t="s">
        <v>1471</v>
      </c>
      <c r="C1266" s="70" t="s">
        <v>1479</v>
      </c>
      <c r="D1266" s="70" t="s">
        <v>1473</v>
      </c>
      <c r="E1266" s="71" t="s">
        <v>13</v>
      </c>
      <c r="F1266" s="76">
        <v>14815.5</v>
      </c>
      <c r="G1266" s="76"/>
      <c r="H1266" s="71" t="s">
        <v>457</v>
      </c>
      <c r="I1266" s="77" t="s">
        <v>30</v>
      </c>
      <c r="J1266" s="77"/>
      <c r="K1266" s="74" t="s">
        <v>8</v>
      </c>
      <c r="L1266" s="75">
        <v>1638995.34</v>
      </c>
    </row>
    <row r="1267" spans="1:12" ht="91.8" hidden="1" x14ac:dyDescent="0.3">
      <c r="A1267" s="69" t="s">
        <v>1444</v>
      </c>
      <c r="B1267" s="70" t="s">
        <v>1471</v>
      </c>
      <c r="C1267" s="70" t="s">
        <v>1488</v>
      </c>
      <c r="D1267" s="70" t="s">
        <v>1473</v>
      </c>
      <c r="E1267" s="71" t="s">
        <v>13</v>
      </c>
      <c r="F1267" s="76">
        <v>7546.8</v>
      </c>
      <c r="G1267" s="76"/>
      <c r="H1267" s="71" t="s">
        <v>457</v>
      </c>
      <c r="I1267" s="77" t="s">
        <v>30</v>
      </c>
      <c r="J1267" s="77"/>
      <c r="K1267" s="74" t="s">
        <v>8</v>
      </c>
      <c r="L1267" s="75">
        <v>1646542.14</v>
      </c>
    </row>
    <row r="1268" spans="1:12" ht="91.8" hidden="1" x14ac:dyDescent="0.3">
      <c r="A1268" s="69" t="s">
        <v>1444</v>
      </c>
      <c r="B1268" s="70" t="s">
        <v>1489</v>
      </c>
      <c r="C1268" s="70" t="s">
        <v>1481</v>
      </c>
      <c r="D1268" s="70" t="s">
        <v>1473</v>
      </c>
      <c r="E1268" s="71" t="s">
        <v>13</v>
      </c>
      <c r="F1268" s="76">
        <v>16634.46</v>
      </c>
      <c r="G1268" s="76"/>
      <c r="H1268" s="71" t="s">
        <v>457</v>
      </c>
      <c r="I1268" s="77" t="s">
        <v>30</v>
      </c>
      <c r="J1268" s="77"/>
      <c r="K1268" s="74" t="s">
        <v>8</v>
      </c>
      <c r="L1268" s="75">
        <v>1663176.6</v>
      </c>
    </row>
    <row r="1269" spans="1:12" ht="91.8" hidden="1" x14ac:dyDescent="0.3">
      <c r="A1269" s="69" t="s">
        <v>1444</v>
      </c>
      <c r="B1269" s="70" t="s">
        <v>1471</v>
      </c>
      <c r="C1269" s="70" t="s">
        <v>1481</v>
      </c>
      <c r="D1269" s="70" t="s">
        <v>1473</v>
      </c>
      <c r="E1269" s="71" t="s">
        <v>13</v>
      </c>
      <c r="F1269" s="76">
        <v>28273.74</v>
      </c>
      <c r="G1269" s="76"/>
      <c r="H1269" s="71" t="s">
        <v>457</v>
      </c>
      <c r="I1269" s="77" t="s">
        <v>30</v>
      </c>
      <c r="J1269" s="77"/>
      <c r="K1269" s="74" t="s">
        <v>8</v>
      </c>
      <c r="L1269" s="75">
        <v>1691450.34</v>
      </c>
    </row>
    <row r="1270" spans="1:12" ht="91.8" hidden="1" x14ac:dyDescent="0.3">
      <c r="A1270" s="69" t="s">
        <v>1444</v>
      </c>
      <c r="B1270" s="70" t="s">
        <v>1489</v>
      </c>
      <c r="C1270" s="70" t="s">
        <v>1488</v>
      </c>
      <c r="D1270" s="70" t="s">
        <v>1473</v>
      </c>
      <c r="E1270" s="71" t="s">
        <v>13</v>
      </c>
      <c r="F1270" s="76">
        <v>31345.599999999999</v>
      </c>
      <c r="G1270" s="76"/>
      <c r="H1270" s="71" t="s">
        <v>457</v>
      </c>
      <c r="I1270" s="77" t="s">
        <v>30</v>
      </c>
      <c r="J1270" s="77"/>
      <c r="K1270" s="74" t="s">
        <v>8</v>
      </c>
      <c r="L1270" s="75">
        <v>1722795.94</v>
      </c>
    </row>
    <row r="1271" spans="1:12" ht="91.8" hidden="1" x14ac:dyDescent="0.3">
      <c r="A1271" s="69" t="s">
        <v>1444</v>
      </c>
      <c r="B1271" s="70" t="s">
        <v>1489</v>
      </c>
      <c r="C1271" s="70" t="s">
        <v>1481</v>
      </c>
      <c r="D1271" s="70" t="s">
        <v>1473</v>
      </c>
      <c r="E1271" s="71" t="s">
        <v>13</v>
      </c>
      <c r="F1271" s="76">
        <v>9979.6</v>
      </c>
      <c r="G1271" s="76"/>
      <c r="H1271" s="71" t="s">
        <v>457</v>
      </c>
      <c r="I1271" s="77" t="s">
        <v>30</v>
      </c>
      <c r="J1271" s="77"/>
      <c r="K1271" s="74" t="s">
        <v>8</v>
      </c>
      <c r="L1271" s="75">
        <v>1732775.54</v>
      </c>
    </row>
    <row r="1272" spans="1:12" ht="91.8" hidden="1" x14ac:dyDescent="0.3">
      <c r="A1272" s="69" t="s">
        <v>1444</v>
      </c>
      <c r="B1272" s="70" t="s">
        <v>1489</v>
      </c>
      <c r="C1272" s="70" t="s">
        <v>1488</v>
      </c>
      <c r="D1272" s="70" t="s">
        <v>1473</v>
      </c>
      <c r="E1272" s="71" t="s">
        <v>13</v>
      </c>
      <c r="F1272" s="76">
        <v>7546.8</v>
      </c>
      <c r="G1272" s="76"/>
      <c r="H1272" s="71" t="s">
        <v>457</v>
      </c>
      <c r="I1272" s="77" t="s">
        <v>30</v>
      </c>
      <c r="J1272" s="77"/>
      <c r="K1272" s="74" t="s">
        <v>8</v>
      </c>
      <c r="L1272" s="75">
        <v>1740322.34</v>
      </c>
    </row>
    <row r="1273" spans="1:12" ht="102" hidden="1" x14ac:dyDescent="0.3">
      <c r="A1273" s="69" t="s">
        <v>1444</v>
      </c>
      <c r="B1273" s="70" t="s">
        <v>1489</v>
      </c>
      <c r="C1273" s="70" t="s">
        <v>1490</v>
      </c>
      <c r="D1273" s="70" t="s">
        <v>1473</v>
      </c>
      <c r="E1273" s="71" t="s">
        <v>13</v>
      </c>
      <c r="F1273" s="76">
        <v>7919.2</v>
      </c>
      <c r="G1273" s="76"/>
      <c r="H1273" s="71" t="s">
        <v>457</v>
      </c>
      <c r="I1273" s="77" t="s">
        <v>30</v>
      </c>
      <c r="J1273" s="77"/>
      <c r="K1273" s="74" t="s">
        <v>8</v>
      </c>
      <c r="L1273" s="75">
        <v>1748241.54</v>
      </c>
    </row>
    <row r="1274" spans="1:12" ht="102" hidden="1" x14ac:dyDescent="0.3">
      <c r="A1274" s="69" t="s">
        <v>1444</v>
      </c>
      <c r="B1274" s="70" t="s">
        <v>1489</v>
      </c>
      <c r="C1274" s="70" t="s">
        <v>1491</v>
      </c>
      <c r="D1274" s="70" t="s">
        <v>1473</v>
      </c>
      <c r="E1274" s="71" t="s">
        <v>13</v>
      </c>
      <c r="F1274" s="76">
        <v>10090.6</v>
      </c>
      <c r="G1274" s="76"/>
      <c r="H1274" s="71" t="s">
        <v>457</v>
      </c>
      <c r="I1274" s="77" t="s">
        <v>30</v>
      </c>
      <c r="J1274" s="77"/>
      <c r="K1274" s="74" t="s">
        <v>8</v>
      </c>
      <c r="L1274" s="75">
        <v>1758332.14</v>
      </c>
    </row>
    <row r="1275" spans="1:12" ht="91.8" hidden="1" x14ac:dyDescent="0.3">
      <c r="A1275" s="69" t="s">
        <v>1444</v>
      </c>
      <c r="B1275" s="70" t="s">
        <v>1489</v>
      </c>
      <c r="C1275" s="70" t="s">
        <v>1492</v>
      </c>
      <c r="D1275" s="70" t="s">
        <v>1473</v>
      </c>
      <c r="E1275" s="71" t="s">
        <v>13</v>
      </c>
      <c r="F1275" s="76">
        <v>1923.9</v>
      </c>
      <c r="G1275" s="76"/>
      <c r="H1275" s="71" t="s">
        <v>457</v>
      </c>
      <c r="I1275" s="77" t="s">
        <v>30</v>
      </c>
      <c r="J1275" s="77"/>
      <c r="K1275" s="74" t="s">
        <v>8</v>
      </c>
      <c r="L1275" s="75">
        <v>1760256.04</v>
      </c>
    </row>
    <row r="1276" spans="1:12" ht="91.8" hidden="1" x14ac:dyDescent="0.3">
      <c r="A1276" s="69" t="s">
        <v>1444</v>
      </c>
      <c r="B1276" s="70" t="s">
        <v>1489</v>
      </c>
      <c r="C1276" s="70" t="s">
        <v>1493</v>
      </c>
      <c r="D1276" s="70" t="s">
        <v>1473</v>
      </c>
      <c r="E1276" s="71" t="s">
        <v>13</v>
      </c>
      <c r="F1276" s="76">
        <v>5085.8</v>
      </c>
      <c r="G1276" s="76"/>
      <c r="H1276" s="71" t="s">
        <v>457</v>
      </c>
      <c r="I1276" s="77" t="s">
        <v>30</v>
      </c>
      <c r="J1276" s="77"/>
      <c r="K1276" s="74" t="s">
        <v>8</v>
      </c>
      <c r="L1276" s="75">
        <v>1765341.84</v>
      </c>
    </row>
    <row r="1277" spans="1:12" ht="91.8" hidden="1" x14ac:dyDescent="0.3">
      <c r="A1277" s="69" t="s">
        <v>1444</v>
      </c>
      <c r="B1277" s="70" t="s">
        <v>1489</v>
      </c>
      <c r="C1277" s="70" t="s">
        <v>1494</v>
      </c>
      <c r="D1277" s="70" t="s">
        <v>1473</v>
      </c>
      <c r="E1277" s="71" t="s">
        <v>13</v>
      </c>
      <c r="F1277" s="76">
        <v>3653.4</v>
      </c>
      <c r="G1277" s="76"/>
      <c r="H1277" s="71" t="s">
        <v>457</v>
      </c>
      <c r="I1277" s="77" t="s">
        <v>30</v>
      </c>
      <c r="J1277" s="77"/>
      <c r="K1277" s="74" t="s">
        <v>8</v>
      </c>
      <c r="L1277" s="75">
        <v>1768995.24</v>
      </c>
    </row>
    <row r="1278" spans="1:12" ht="91.8" hidden="1" x14ac:dyDescent="0.3">
      <c r="A1278" s="69" t="s">
        <v>1444</v>
      </c>
      <c r="B1278" s="70" t="s">
        <v>1489</v>
      </c>
      <c r="C1278" s="70" t="s">
        <v>1495</v>
      </c>
      <c r="D1278" s="70" t="s">
        <v>1473</v>
      </c>
      <c r="E1278" s="71" t="s">
        <v>13</v>
      </c>
      <c r="F1278" s="76">
        <v>5501.2</v>
      </c>
      <c r="G1278" s="76"/>
      <c r="H1278" s="71" t="s">
        <v>457</v>
      </c>
      <c r="I1278" s="77" t="s">
        <v>30</v>
      </c>
      <c r="J1278" s="77"/>
      <c r="K1278" s="74" t="s">
        <v>8</v>
      </c>
      <c r="L1278" s="75">
        <v>1774496.44</v>
      </c>
    </row>
    <row r="1279" spans="1:12" ht="91.8" hidden="1" x14ac:dyDescent="0.3">
      <c r="A1279" s="69" t="s">
        <v>1444</v>
      </c>
      <c r="B1279" s="70" t="s">
        <v>1489</v>
      </c>
      <c r="C1279" s="70" t="s">
        <v>1496</v>
      </c>
      <c r="D1279" s="70" t="s">
        <v>1473</v>
      </c>
      <c r="E1279" s="71" t="s">
        <v>13</v>
      </c>
      <c r="F1279" s="76">
        <v>5193.3999999999996</v>
      </c>
      <c r="G1279" s="76"/>
      <c r="H1279" s="71" t="s">
        <v>457</v>
      </c>
      <c r="I1279" s="77" t="s">
        <v>30</v>
      </c>
      <c r="J1279" s="77"/>
      <c r="K1279" s="74" t="s">
        <v>8</v>
      </c>
      <c r="L1279" s="75">
        <v>1779689.84</v>
      </c>
    </row>
    <row r="1280" spans="1:12" ht="91.8" hidden="1" x14ac:dyDescent="0.3">
      <c r="A1280" s="69" t="s">
        <v>1444</v>
      </c>
      <c r="B1280" s="70" t="s">
        <v>1489</v>
      </c>
      <c r="C1280" s="70" t="s">
        <v>1497</v>
      </c>
      <c r="D1280" s="70" t="s">
        <v>1473</v>
      </c>
      <c r="E1280" s="71" t="s">
        <v>13</v>
      </c>
      <c r="F1280" s="76">
        <v>3023.7</v>
      </c>
      <c r="G1280" s="76"/>
      <c r="H1280" s="71" t="s">
        <v>457</v>
      </c>
      <c r="I1280" s="77" t="s">
        <v>30</v>
      </c>
      <c r="J1280" s="77"/>
      <c r="K1280" s="74" t="s">
        <v>8</v>
      </c>
      <c r="L1280" s="75">
        <v>1782713.54</v>
      </c>
    </row>
    <row r="1281" spans="1:12" ht="91.8" hidden="1" x14ac:dyDescent="0.3">
      <c r="A1281" s="69" t="s">
        <v>1444</v>
      </c>
      <c r="B1281" s="70" t="s">
        <v>1489</v>
      </c>
      <c r="C1281" s="70" t="s">
        <v>1498</v>
      </c>
      <c r="D1281" s="70" t="s">
        <v>1473</v>
      </c>
      <c r="E1281" s="71" t="s">
        <v>13</v>
      </c>
      <c r="F1281" s="76">
        <v>10386.799999999999</v>
      </c>
      <c r="G1281" s="76"/>
      <c r="H1281" s="71" t="s">
        <v>457</v>
      </c>
      <c r="I1281" s="77" t="s">
        <v>30</v>
      </c>
      <c r="J1281" s="77"/>
      <c r="K1281" s="74" t="s">
        <v>8</v>
      </c>
      <c r="L1281" s="75">
        <v>1793100.34</v>
      </c>
    </row>
    <row r="1282" spans="1:12" ht="91.8" hidden="1" x14ac:dyDescent="0.3">
      <c r="A1282" s="69" t="s">
        <v>1444</v>
      </c>
      <c r="B1282" s="70" t="s">
        <v>1489</v>
      </c>
      <c r="C1282" s="70" t="s">
        <v>1499</v>
      </c>
      <c r="D1282" s="70" t="s">
        <v>1473</v>
      </c>
      <c r="E1282" s="71" t="s">
        <v>13</v>
      </c>
      <c r="F1282" s="76">
        <v>6087</v>
      </c>
      <c r="G1282" s="76"/>
      <c r="H1282" s="71" t="s">
        <v>457</v>
      </c>
      <c r="I1282" s="77" t="s">
        <v>30</v>
      </c>
      <c r="J1282" s="77"/>
      <c r="K1282" s="74" t="s">
        <v>8</v>
      </c>
      <c r="L1282" s="75">
        <v>1799187.34</v>
      </c>
    </row>
    <row r="1283" spans="1:12" ht="91.8" hidden="1" x14ac:dyDescent="0.3">
      <c r="A1283" s="69" t="s">
        <v>1444</v>
      </c>
      <c r="B1283" s="70" t="s">
        <v>1489</v>
      </c>
      <c r="C1283" s="70" t="s">
        <v>1500</v>
      </c>
      <c r="D1283" s="70" t="s">
        <v>1473</v>
      </c>
      <c r="E1283" s="71" t="s">
        <v>13</v>
      </c>
      <c r="F1283" s="76">
        <v>4255</v>
      </c>
      <c r="G1283" s="76"/>
      <c r="H1283" s="71" t="s">
        <v>457</v>
      </c>
      <c r="I1283" s="77" t="s">
        <v>30</v>
      </c>
      <c r="J1283" s="77"/>
      <c r="K1283" s="74" t="s">
        <v>8</v>
      </c>
      <c r="L1283" s="75">
        <v>1803442.34</v>
      </c>
    </row>
    <row r="1284" spans="1:12" ht="91.8" hidden="1" x14ac:dyDescent="0.3">
      <c r="A1284" s="69" t="s">
        <v>1444</v>
      </c>
      <c r="B1284" s="70" t="s">
        <v>1489</v>
      </c>
      <c r="C1284" s="70" t="s">
        <v>1501</v>
      </c>
      <c r="D1284" s="70" t="s">
        <v>1473</v>
      </c>
      <c r="E1284" s="71" t="s">
        <v>13</v>
      </c>
      <c r="F1284" s="76">
        <v>4581</v>
      </c>
      <c r="G1284" s="76"/>
      <c r="H1284" s="71" t="s">
        <v>457</v>
      </c>
      <c r="I1284" s="77" t="s">
        <v>30</v>
      </c>
      <c r="J1284" s="77"/>
      <c r="K1284" s="74" t="s">
        <v>8</v>
      </c>
      <c r="L1284" s="75">
        <v>1808023.34</v>
      </c>
    </row>
    <row r="1285" spans="1:12" ht="91.8" hidden="1" x14ac:dyDescent="0.3">
      <c r="A1285" s="69" t="s">
        <v>1444</v>
      </c>
      <c r="B1285" s="70" t="s">
        <v>1489</v>
      </c>
      <c r="C1285" s="70" t="s">
        <v>1502</v>
      </c>
      <c r="D1285" s="70" t="s">
        <v>1473</v>
      </c>
      <c r="E1285" s="71" t="s">
        <v>13</v>
      </c>
      <c r="F1285" s="76">
        <v>4942.7</v>
      </c>
      <c r="G1285" s="76"/>
      <c r="H1285" s="71" t="s">
        <v>457</v>
      </c>
      <c r="I1285" s="77" t="s">
        <v>30</v>
      </c>
      <c r="J1285" s="77"/>
      <c r="K1285" s="74" t="s">
        <v>8</v>
      </c>
      <c r="L1285" s="75">
        <v>1812966.04</v>
      </c>
    </row>
    <row r="1286" spans="1:12" ht="91.8" hidden="1" x14ac:dyDescent="0.3">
      <c r="A1286" s="69" t="s">
        <v>1444</v>
      </c>
      <c r="B1286" s="70" t="s">
        <v>1489</v>
      </c>
      <c r="C1286" s="70" t="s">
        <v>1503</v>
      </c>
      <c r="D1286" s="70" t="s">
        <v>1473</v>
      </c>
      <c r="E1286" s="71" t="s">
        <v>13</v>
      </c>
      <c r="F1286" s="76">
        <v>2487.5</v>
      </c>
      <c r="G1286" s="76"/>
      <c r="H1286" s="71" t="s">
        <v>457</v>
      </c>
      <c r="I1286" s="77" t="s">
        <v>30</v>
      </c>
      <c r="J1286" s="77"/>
      <c r="K1286" s="74" t="s">
        <v>8</v>
      </c>
      <c r="L1286" s="75">
        <v>1815453.54</v>
      </c>
    </row>
    <row r="1287" spans="1:12" ht="91.8" hidden="1" x14ac:dyDescent="0.3">
      <c r="A1287" s="69" t="s">
        <v>1444</v>
      </c>
      <c r="B1287" s="70" t="s">
        <v>1489</v>
      </c>
      <c r="C1287" s="70" t="s">
        <v>1504</v>
      </c>
      <c r="D1287" s="70" t="s">
        <v>1473</v>
      </c>
      <c r="E1287" s="71" t="s">
        <v>13</v>
      </c>
      <c r="F1287" s="76">
        <v>2680.3</v>
      </c>
      <c r="G1287" s="76"/>
      <c r="H1287" s="71" t="s">
        <v>457</v>
      </c>
      <c r="I1287" s="77" t="s">
        <v>30</v>
      </c>
      <c r="J1287" s="77"/>
      <c r="K1287" s="74" t="s">
        <v>8</v>
      </c>
      <c r="L1287" s="75">
        <v>1818133.84</v>
      </c>
    </row>
    <row r="1288" spans="1:12" ht="91.8" hidden="1" x14ac:dyDescent="0.3">
      <c r="A1288" s="69" t="s">
        <v>1444</v>
      </c>
      <c r="B1288" s="70" t="s">
        <v>1489</v>
      </c>
      <c r="C1288" s="70" t="s">
        <v>1505</v>
      </c>
      <c r="D1288" s="70" t="s">
        <v>1473</v>
      </c>
      <c r="E1288" s="71" t="s">
        <v>13</v>
      </c>
      <c r="F1288" s="76">
        <v>2916.1</v>
      </c>
      <c r="G1288" s="76"/>
      <c r="H1288" s="71" t="s">
        <v>457</v>
      </c>
      <c r="I1288" s="77" t="s">
        <v>30</v>
      </c>
      <c r="J1288" s="77"/>
      <c r="K1288" s="74" t="s">
        <v>8</v>
      </c>
      <c r="L1288" s="75">
        <v>1821049.94</v>
      </c>
    </row>
    <row r="1289" spans="1:12" ht="91.8" hidden="1" x14ac:dyDescent="0.3">
      <c r="A1289" s="69" t="s">
        <v>1444</v>
      </c>
      <c r="B1289" s="70" t="s">
        <v>1489</v>
      </c>
      <c r="C1289" s="70" t="s">
        <v>1506</v>
      </c>
      <c r="D1289" s="70" t="s">
        <v>1473</v>
      </c>
      <c r="E1289" s="71" t="s">
        <v>13</v>
      </c>
      <c r="F1289" s="76">
        <v>2734.9</v>
      </c>
      <c r="G1289" s="76"/>
      <c r="H1289" s="71" t="s">
        <v>457</v>
      </c>
      <c r="I1289" s="77" t="s">
        <v>30</v>
      </c>
      <c r="J1289" s="77"/>
      <c r="K1289" s="74" t="s">
        <v>8</v>
      </c>
      <c r="L1289" s="75">
        <v>1823784.84</v>
      </c>
    </row>
    <row r="1290" spans="1:12" ht="91.8" hidden="1" x14ac:dyDescent="0.3">
      <c r="A1290" s="69" t="s">
        <v>1444</v>
      </c>
      <c r="B1290" s="70" t="s">
        <v>1489</v>
      </c>
      <c r="C1290" s="70" t="s">
        <v>1507</v>
      </c>
      <c r="D1290" s="70" t="s">
        <v>1473</v>
      </c>
      <c r="E1290" s="71" t="s">
        <v>13</v>
      </c>
      <c r="F1290" s="76">
        <v>2883</v>
      </c>
      <c r="G1290" s="76"/>
      <c r="H1290" s="71" t="s">
        <v>457</v>
      </c>
      <c r="I1290" s="77" t="s">
        <v>30</v>
      </c>
      <c r="J1290" s="77"/>
      <c r="K1290" s="74" t="s">
        <v>8</v>
      </c>
      <c r="L1290" s="75">
        <v>1826667.84</v>
      </c>
    </row>
    <row r="1291" spans="1:12" ht="91.8" hidden="1" x14ac:dyDescent="0.3">
      <c r="A1291" s="69" t="s">
        <v>1444</v>
      </c>
      <c r="B1291" s="70" t="s">
        <v>1489</v>
      </c>
      <c r="C1291" s="70" t="s">
        <v>1508</v>
      </c>
      <c r="D1291" s="70" t="s">
        <v>1473</v>
      </c>
      <c r="E1291" s="71" t="s">
        <v>13</v>
      </c>
      <c r="F1291" s="76">
        <v>2236.6999999999998</v>
      </c>
      <c r="G1291" s="76"/>
      <c r="H1291" s="71" t="s">
        <v>457</v>
      </c>
      <c r="I1291" s="77" t="s">
        <v>30</v>
      </c>
      <c r="J1291" s="77"/>
      <c r="K1291" s="74" t="s">
        <v>8</v>
      </c>
      <c r="L1291" s="75">
        <v>1828904.54</v>
      </c>
    </row>
    <row r="1292" spans="1:12" ht="91.8" hidden="1" x14ac:dyDescent="0.3">
      <c r="A1292" s="69" t="s">
        <v>1444</v>
      </c>
      <c r="B1292" s="70" t="s">
        <v>1489</v>
      </c>
      <c r="C1292" s="70" t="s">
        <v>1509</v>
      </c>
      <c r="D1292" s="70" t="s">
        <v>1473</v>
      </c>
      <c r="E1292" s="71" t="s">
        <v>13</v>
      </c>
      <c r="F1292" s="76">
        <v>4765.6000000000004</v>
      </c>
      <c r="G1292" s="76"/>
      <c r="H1292" s="71" t="s">
        <v>457</v>
      </c>
      <c r="I1292" s="77" t="s">
        <v>30</v>
      </c>
      <c r="J1292" s="77"/>
      <c r="K1292" s="74" t="s">
        <v>8</v>
      </c>
      <c r="L1292" s="75">
        <v>1833670.14</v>
      </c>
    </row>
    <row r="1293" spans="1:12" ht="91.8" hidden="1" x14ac:dyDescent="0.3">
      <c r="A1293" s="69" t="s">
        <v>1444</v>
      </c>
      <c r="B1293" s="70" t="s">
        <v>1489</v>
      </c>
      <c r="C1293" s="70" t="s">
        <v>1475</v>
      </c>
      <c r="D1293" s="70" t="s">
        <v>1473</v>
      </c>
      <c r="E1293" s="71" t="s">
        <v>13</v>
      </c>
      <c r="F1293" s="76">
        <v>4192.1000000000004</v>
      </c>
      <c r="G1293" s="76"/>
      <c r="H1293" s="71" t="s">
        <v>457</v>
      </c>
      <c r="I1293" s="77" t="s">
        <v>30</v>
      </c>
      <c r="J1293" s="77"/>
      <c r="K1293" s="74" t="s">
        <v>8</v>
      </c>
      <c r="L1293" s="75">
        <v>1837862.24</v>
      </c>
    </row>
    <row r="1294" spans="1:12" ht="91.8" hidden="1" x14ac:dyDescent="0.3">
      <c r="A1294" s="69" t="s">
        <v>1444</v>
      </c>
      <c r="B1294" s="70" t="s">
        <v>1489</v>
      </c>
      <c r="C1294" s="70" t="s">
        <v>1510</v>
      </c>
      <c r="D1294" s="70" t="s">
        <v>1473</v>
      </c>
      <c r="E1294" s="71" t="s">
        <v>13</v>
      </c>
      <c r="F1294" s="76">
        <v>7750.4</v>
      </c>
      <c r="G1294" s="76"/>
      <c r="H1294" s="71" t="s">
        <v>457</v>
      </c>
      <c r="I1294" s="77" t="s">
        <v>30</v>
      </c>
      <c r="J1294" s="77"/>
      <c r="K1294" s="74" t="s">
        <v>8</v>
      </c>
      <c r="L1294" s="75">
        <v>1845612.64</v>
      </c>
    </row>
    <row r="1295" spans="1:12" ht="91.8" hidden="1" x14ac:dyDescent="0.3">
      <c r="A1295" s="69" t="s">
        <v>1444</v>
      </c>
      <c r="B1295" s="70" t="s">
        <v>1489</v>
      </c>
      <c r="C1295" s="70" t="s">
        <v>1511</v>
      </c>
      <c r="D1295" s="70" t="s">
        <v>1473</v>
      </c>
      <c r="E1295" s="71" t="s">
        <v>13</v>
      </c>
      <c r="F1295" s="76">
        <v>4835.8999999999996</v>
      </c>
      <c r="G1295" s="76"/>
      <c r="H1295" s="71" t="s">
        <v>457</v>
      </c>
      <c r="I1295" s="77" t="s">
        <v>30</v>
      </c>
      <c r="J1295" s="77"/>
      <c r="K1295" s="74" t="s">
        <v>8</v>
      </c>
      <c r="L1295" s="75">
        <v>1850448.54</v>
      </c>
    </row>
    <row r="1296" spans="1:12" ht="91.8" hidden="1" x14ac:dyDescent="0.3">
      <c r="A1296" s="69" t="s">
        <v>1444</v>
      </c>
      <c r="B1296" s="70" t="s">
        <v>1489</v>
      </c>
      <c r="C1296" s="70" t="s">
        <v>1512</v>
      </c>
      <c r="D1296" s="70" t="s">
        <v>1473</v>
      </c>
      <c r="E1296" s="71" t="s">
        <v>13</v>
      </c>
      <c r="F1296" s="76">
        <v>4899.6000000000004</v>
      </c>
      <c r="G1296" s="76"/>
      <c r="H1296" s="71" t="s">
        <v>457</v>
      </c>
      <c r="I1296" s="77" t="s">
        <v>30</v>
      </c>
      <c r="J1296" s="77"/>
      <c r="K1296" s="74" t="s">
        <v>8</v>
      </c>
      <c r="L1296" s="75">
        <v>1855348.14</v>
      </c>
    </row>
    <row r="1297" spans="1:12" ht="91.8" hidden="1" x14ac:dyDescent="0.3">
      <c r="A1297" s="69" t="s">
        <v>1444</v>
      </c>
      <c r="B1297" s="70" t="s">
        <v>1489</v>
      </c>
      <c r="C1297" s="70" t="s">
        <v>1481</v>
      </c>
      <c r="D1297" s="70" t="s">
        <v>1473</v>
      </c>
      <c r="E1297" s="71" t="s">
        <v>13</v>
      </c>
      <c r="F1297" s="76">
        <v>4963.3</v>
      </c>
      <c r="G1297" s="76"/>
      <c r="H1297" s="71" t="s">
        <v>457</v>
      </c>
      <c r="I1297" s="77" t="s">
        <v>30</v>
      </c>
      <c r="J1297" s="77"/>
      <c r="K1297" s="74" t="s">
        <v>8</v>
      </c>
      <c r="L1297" s="75">
        <v>1860311.44</v>
      </c>
    </row>
    <row r="1298" spans="1:12" ht="91.8" hidden="1" x14ac:dyDescent="0.3">
      <c r="A1298" s="69" t="s">
        <v>1444</v>
      </c>
      <c r="B1298" s="70" t="s">
        <v>1489</v>
      </c>
      <c r="C1298" s="70" t="s">
        <v>1513</v>
      </c>
      <c r="D1298" s="70" t="s">
        <v>1473</v>
      </c>
      <c r="E1298" s="71" t="s">
        <v>13</v>
      </c>
      <c r="F1298" s="76">
        <v>3959.6</v>
      </c>
      <c r="G1298" s="76"/>
      <c r="H1298" s="71" t="s">
        <v>457</v>
      </c>
      <c r="I1298" s="77" t="s">
        <v>30</v>
      </c>
      <c r="J1298" s="77"/>
      <c r="K1298" s="74" t="s">
        <v>8</v>
      </c>
      <c r="L1298" s="75">
        <v>1864271.04</v>
      </c>
    </row>
    <row r="1299" spans="1:12" ht="91.8" hidden="1" x14ac:dyDescent="0.3">
      <c r="A1299" s="69" t="s">
        <v>1444</v>
      </c>
      <c r="B1299" s="70" t="s">
        <v>1489</v>
      </c>
      <c r="C1299" s="70" t="s">
        <v>1514</v>
      </c>
      <c r="D1299" s="70" t="s">
        <v>1473</v>
      </c>
      <c r="E1299" s="71" t="s">
        <v>13</v>
      </c>
      <c r="F1299" s="76">
        <v>5070.8999999999996</v>
      </c>
      <c r="G1299" s="76"/>
      <c r="H1299" s="71" t="s">
        <v>457</v>
      </c>
      <c r="I1299" s="77" t="s">
        <v>30</v>
      </c>
      <c r="J1299" s="77"/>
      <c r="K1299" s="74" t="s">
        <v>8</v>
      </c>
      <c r="L1299" s="75">
        <v>1869341.94</v>
      </c>
    </row>
    <row r="1300" spans="1:12" ht="91.8" hidden="1" x14ac:dyDescent="0.3">
      <c r="A1300" s="69" t="s">
        <v>1444</v>
      </c>
      <c r="B1300" s="70" t="s">
        <v>1489</v>
      </c>
      <c r="C1300" s="70" t="s">
        <v>1502</v>
      </c>
      <c r="D1300" s="70" t="s">
        <v>1473</v>
      </c>
      <c r="E1300" s="71" t="s">
        <v>13</v>
      </c>
      <c r="F1300" s="76">
        <v>4927.8</v>
      </c>
      <c r="G1300" s="76"/>
      <c r="H1300" s="71" t="s">
        <v>457</v>
      </c>
      <c r="I1300" s="77" t="s">
        <v>30</v>
      </c>
      <c r="J1300" s="77"/>
      <c r="K1300" s="74" t="s">
        <v>8</v>
      </c>
      <c r="L1300" s="75">
        <v>1874269.74</v>
      </c>
    </row>
    <row r="1301" spans="1:12" ht="102" hidden="1" x14ac:dyDescent="0.3">
      <c r="A1301" s="69" t="s">
        <v>1444</v>
      </c>
      <c r="B1301" s="70" t="s">
        <v>1489</v>
      </c>
      <c r="C1301" s="70" t="s">
        <v>1515</v>
      </c>
      <c r="D1301" s="70" t="s">
        <v>1473</v>
      </c>
      <c r="E1301" s="71" t="s">
        <v>13</v>
      </c>
      <c r="F1301" s="76">
        <v>4002.6</v>
      </c>
      <c r="G1301" s="76"/>
      <c r="H1301" s="71" t="s">
        <v>457</v>
      </c>
      <c r="I1301" s="77" t="s">
        <v>30</v>
      </c>
      <c r="J1301" s="77"/>
      <c r="K1301" s="74" t="s">
        <v>8</v>
      </c>
      <c r="L1301" s="75">
        <v>1878272.34</v>
      </c>
    </row>
    <row r="1302" spans="1:12" ht="102" hidden="1" x14ac:dyDescent="0.3">
      <c r="A1302" s="69" t="s">
        <v>1444</v>
      </c>
      <c r="B1302" s="70" t="s">
        <v>1489</v>
      </c>
      <c r="C1302" s="70" t="s">
        <v>1516</v>
      </c>
      <c r="D1302" s="70" t="s">
        <v>1473</v>
      </c>
      <c r="E1302" s="71" t="s">
        <v>13</v>
      </c>
      <c r="F1302" s="76">
        <v>5116.3999999999996</v>
      </c>
      <c r="G1302" s="76"/>
      <c r="H1302" s="71" t="s">
        <v>457</v>
      </c>
      <c r="I1302" s="77" t="s">
        <v>30</v>
      </c>
      <c r="J1302" s="77"/>
      <c r="K1302" s="74" t="s">
        <v>8</v>
      </c>
      <c r="L1302" s="75">
        <v>1883388.74</v>
      </c>
    </row>
    <row r="1303" spans="1:12" ht="91.8" hidden="1" x14ac:dyDescent="0.3">
      <c r="A1303" s="69" t="s">
        <v>1444</v>
      </c>
      <c r="B1303" s="70" t="s">
        <v>1489</v>
      </c>
      <c r="C1303" s="70" t="s">
        <v>1517</v>
      </c>
      <c r="D1303" s="70" t="s">
        <v>1473</v>
      </c>
      <c r="E1303" s="71" t="s">
        <v>13</v>
      </c>
      <c r="F1303" s="76">
        <v>3832.2</v>
      </c>
      <c r="G1303" s="76"/>
      <c r="H1303" s="71" t="s">
        <v>457</v>
      </c>
      <c r="I1303" s="77" t="s">
        <v>30</v>
      </c>
      <c r="J1303" s="77"/>
      <c r="K1303" s="74" t="s">
        <v>8</v>
      </c>
      <c r="L1303" s="75">
        <v>1887220.94</v>
      </c>
    </row>
    <row r="1304" spans="1:12" ht="102" hidden="1" x14ac:dyDescent="0.3">
      <c r="A1304" s="69" t="s">
        <v>1444</v>
      </c>
      <c r="B1304" s="70" t="s">
        <v>1489</v>
      </c>
      <c r="C1304" s="70" t="s">
        <v>1518</v>
      </c>
      <c r="D1304" s="70" t="s">
        <v>1473</v>
      </c>
      <c r="E1304" s="71" t="s">
        <v>13</v>
      </c>
      <c r="F1304" s="76">
        <v>4888</v>
      </c>
      <c r="G1304" s="76"/>
      <c r="H1304" s="71" t="s">
        <v>457</v>
      </c>
      <c r="I1304" s="77" t="s">
        <v>30</v>
      </c>
      <c r="J1304" s="77"/>
      <c r="K1304" s="74" t="s">
        <v>8</v>
      </c>
      <c r="L1304" s="75">
        <v>1892108.94</v>
      </c>
    </row>
    <row r="1305" spans="1:12" ht="91.8" hidden="1" x14ac:dyDescent="0.3">
      <c r="A1305" s="69" t="s">
        <v>1444</v>
      </c>
      <c r="B1305" s="70" t="s">
        <v>1489</v>
      </c>
      <c r="C1305" s="70" t="s">
        <v>1492</v>
      </c>
      <c r="D1305" s="70" t="s">
        <v>1473</v>
      </c>
      <c r="E1305" s="71" t="s">
        <v>13</v>
      </c>
      <c r="F1305" s="76">
        <v>1992.6</v>
      </c>
      <c r="G1305" s="76"/>
      <c r="H1305" s="71" t="s">
        <v>457</v>
      </c>
      <c r="I1305" s="77" t="s">
        <v>30</v>
      </c>
      <c r="J1305" s="77"/>
      <c r="K1305" s="74" t="s">
        <v>8</v>
      </c>
      <c r="L1305" s="75">
        <v>1894101.54</v>
      </c>
    </row>
    <row r="1306" spans="1:12" ht="91.8" hidden="1" x14ac:dyDescent="0.3">
      <c r="A1306" s="69" t="s">
        <v>1444</v>
      </c>
      <c r="B1306" s="70" t="s">
        <v>1489</v>
      </c>
      <c r="C1306" s="70" t="s">
        <v>1519</v>
      </c>
      <c r="D1306" s="70" t="s">
        <v>1473</v>
      </c>
      <c r="E1306" s="71" t="s">
        <v>13</v>
      </c>
      <c r="F1306" s="76">
        <v>1302.5</v>
      </c>
      <c r="G1306" s="76"/>
      <c r="H1306" s="71" t="s">
        <v>457</v>
      </c>
      <c r="I1306" s="77" t="s">
        <v>30</v>
      </c>
      <c r="J1306" s="77"/>
      <c r="K1306" s="74" t="s">
        <v>8</v>
      </c>
      <c r="L1306" s="75">
        <v>1895404.04</v>
      </c>
    </row>
    <row r="1307" spans="1:12" ht="91.8" hidden="1" x14ac:dyDescent="0.3">
      <c r="A1307" s="69" t="s">
        <v>1444</v>
      </c>
      <c r="B1307" s="70" t="s">
        <v>1489</v>
      </c>
      <c r="C1307" s="70" t="s">
        <v>1520</v>
      </c>
      <c r="D1307" s="70" t="s">
        <v>1473</v>
      </c>
      <c r="E1307" s="71" t="s">
        <v>13</v>
      </c>
      <c r="F1307" s="76">
        <v>3387.8</v>
      </c>
      <c r="G1307" s="76"/>
      <c r="H1307" s="71" t="s">
        <v>457</v>
      </c>
      <c r="I1307" s="77" t="s">
        <v>30</v>
      </c>
      <c r="J1307" s="77"/>
      <c r="K1307" s="74" t="s">
        <v>8</v>
      </c>
      <c r="L1307" s="75">
        <v>1898791.84</v>
      </c>
    </row>
    <row r="1308" spans="1:12" ht="102" hidden="1" x14ac:dyDescent="0.3">
      <c r="A1308" s="69" t="s">
        <v>1444</v>
      </c>
      <c r="B1308" s="70" t="s">
        <v>1489</v>
      </c>
      <c r="C1308" s="70" t="s">
        <v>1521</v>
      </c>
      <c r="D1308" s="70" t="s">
        <v>1473</v>
      </c>
      <c r="E1308" s="71" t="s">
        <v>13</v>
      </c>
      <c r="F1308" s="76">
        <v>4715.1000000000004</v>
      </c>
      <c r="G1308" s="76"/>
      <c r="H1308" s="71" t="s">
        <v>457</v>
      </c>
      <c r="I1308" s="77" t="s">
        <v>30</v>
      </c>
      <c r="J1308" s="77"/>
      <c r="K1308" s="74" t="s">
        <v>8</v>
      </c>
      <c r="L1308" s="75">
        <v>1903506.94</v>
      </c>
    </row>
    <row r="1309" spans="1:12" ht="91.8" hidden="1" x14ac:dyDescent="0.3">
      <c r="A1309" s="69" t="s">
        <v>1444</v>
      </c>
      <c r="B1309" s="70" t="s">
        <v>1489</v>
      </c>
      <c r="C1309" s="70" t="s">
        <v>1522</v>
      </c>
      <c r="D1309" s="70" t="s">
        <v>1473</v>
      </c>
      <c r="E1309" s="71" t="s">
        <v>13</v>
      </c>
      <c r="F1309" s="76">
        <v>2470.1</v>
      </c>
      <c r="G1309" s="76"/>
      <c r="H1309" s="71" t="s">
        <v>457</v>
      </c>
      <c r="I1309" s="77" t="s">
        <v>30</v>
      </c>
      <c r="J1309" s="77"/>
      <c r="K1309" s="74" t="s">
        <v>8</v>
      </c>
      <c r="L1309" s="75">
        <v>1905977.04</v>
      </c>
    </row>
    <row r="1310" spans="1:12" ht="91.8" hidden="1" x14ac:dyDescent="0.3">
      <c r="A1310" s="69" t="s">
        <v>1444</v>
      </c>
      <c r="B1310" s="70" t="s">
        <v>1489</v>
      </c>
      <c r="C1310" s="70" t="s">
        <v>1523</v>
      </c>
      <c r="D1310" s="70" t="s">
        <v>1473</v>
      </c>
      <c r="E1310" s="71" t="s">
        <v>13</v>
      </c>
      <c r="F1310" s="76">
        <v>8738.5</v>
      </c>
      <c r="G1310" s="76"/>
      <c r="H1310" s="71" t="s">
        <v>457</v>
      </c>
      <c r="I1310" s="77" t="s">
        <v>30</v>
      </c>
      <c r="J1310" s="77"/>
      <c r="K1310" s="74" t="s">
        <v>8</v>
      </c>
      <c r="L1310" s="75">
        <v>1914715.54</v>
      </c>
    </row>
    <row r="1311" spans="1:12" ht="91.8" hidden="1" x14ac:dyDescent="0.3">
      <c r="A1311" s="69" t="s">
        <v>1444</v>
      </c>
      <c r="B1311" s="70" t="s">
        <v>1489</v>
      </c>
      <c r="C1311" s="70" t="s">
        <v>1524</v>
      </c>
      <c r="D1311" s="70" t="s">
        <v>1473</v>
      </c>
      <c r="E1311" s="71" t="s">
        <v>13</v>
      </c>
      <c r="F1311" s="76">
        <v>1921.5</v>
      </c>
      <c r="G1311" s="76"/>
      <c r="H1311" s="71" t="s">
        <v>457</v>
      </c>
      <c r="I1311" s="77" t="s">
        <v>30</v>
      </c>
      <c r="J1311" s="77"/>
      <c r="K1311" s="74" t="s">
        <v>8</v>
      </c>
      <c r="L1311" s="75">
        <v>1916637.04</v>
      </c>
    </row>
    <row r="1312" spans="1:12" ht="91.8" hidden="1" x14ac:dyDescent="0.3">
      <c r="A1312" s="69" t="s">
        <v>1444</v>
      </c>
      <c r="B1312" s="70" t="s">
        <v>1489</v>
      </c>
      <c r="C1312" s="70" t="s">
        <v>1525</v>
      </c>
      <c r="D1312" s="70" t="s">
        <v>1473</v>
      </c>
      <c r="E1312" s="71" t="s">
        <v>13</v>
      </c>
      <c r="F1312" s="76">
        <v>3578.9</v>
      </c>
      <c r="G1312" s="76"/>
      <c r="H1312" s="71" t="s">
        <v>457</v>
      </c>
      <c r="I1312" s="77" t="s">
        <v>30</v>
      </c>
      <c r="J1312" s="77"/>
      <c r="K1312" s="74" t="s">
        <v>8</v>
      </c>
      <c r="L1312" s="75">
        <v>1920215.94</v>
      </c>
    </row>
    <row r="1313" spans="1:12" ht="91.8" hidden="1" x14ac:dyDescent="0.3">
      <c r="A1313" s="69" t="s">
        <v>1444</v>
      </c>
      <c r="B1313" s="70" t="s">
        <v>1489</v>
      </c>
      <c r="C1313" s="70" t="s">
        <v>1526</v>
      </c>
      <c r="D1313" s="70" t="s">
        <v>1473</v>
      </c>
      <c r="E1313" s="71" t="s">
        <v>13</v>
      </c>
      <c r="F1313" s="76">
        <v>1612</v>
      </c>
      <c r="G1313" s="76"/>
      <c r="H1313" s="71" t="s">
        <v>457</v>
      </c>
      <c r="I1313" s="77" t="s">
        <v>30</v>
      </c>
      <c r="J1313" s="77"/>
      <c r="K1313" s="74" t="s">
        <v>8</v>
      </c>
      <c r="L1313" s="75">
        <v>1921827.94</v>
      </c>
    </row>
    <row r="1314" spans="1:12" ht="91.8" hidden="1" x14ac:dyDescent="0.3">
      <c r="A1314" s="69" t="s">
        <v>1444</v>
      </c>
      <c r="B1314" s="70" t="s">
        <v>1489</v>
      </c>
      <c r="C1314" s="70" t="s">
        <v>1527</v>
      </c>
      <c r="D1314" s="70" t="s">
        <v>1473</v>
      </c>
      <c r="E1314" s="71" t="s">
        <v>13</v>
      </c>
      <c r="F1314" s="76">
        <v>2536.3000000000002</v>
      </c>
      <c r="G1314" s="76"/>
      <c r="H1314" s="71" t="s">
        <v>457</v>
      </c>
      <c r="I1314" s="77" t="s">
        <v>30</v>
      </c>
      <c r="J1314" s="77"/>
      <c r="K1314" s="74" t="s">
        <v>8</v>
      </c>
      <c r="L1314" s="75">
        <v>1924364.24</v>
      </c>
    </row>
    <row r="1315" spans="1:12" ht="91.8" hidden="1" x14ac:dyDescent="0.3">
      <c r="A1315" s="69" t="s">
        <v>1444</v>
      </c>
      <c r="B1315" s="70" t="s">
        <v>1489</v>
      </c>
      <c r="C1315" s="70" t="s">
        <v>1528</v>
      </c>
      <c r="D1315" s="70" t="s">
        <v>1473</v>
      </c>
      <c r="E1315" s="71" t="s">
        <v>13</v>
      </c>
      <c r="F1315" s="76">
        <v>3221.5</v>
      </c>
      <c r="G1315" s="76"/>
      <c r="H1315" s="71" t="s">
        <v>457</v>
      </c>
      <c r="I1315" s="77" t="s">
        <v>30</v>
      </c>
      <c r="J1315" s="77"/>
      <c r="K1315" s="74" t="s">
        <v>8</v>
      </c>
      <c r="L1315" s="75">
        <v>1927585.74</v>
      </c>
    </row>
    <row r="1316" spans="1:12" ht="91.8" hidden="1" x14ac:dyDescent="0.3">
      <c r="A1316" s="69" t="s">
        <v>1444</v>
      </c>
      <c r="B1316" s="70" t="s">
        <v>1489</v>
      </c>
      <c r="C1316" s="70" t="s">
        <v>1527</v>
      </c>
      <c r="D1316" s="70" t="s">
        <v>1473</v>
      </c>
      <c r="E1316" s="71" t="s">
        <v>13</v>
      </c>
      <c r="F1316" s="76">
        <v>2677</v>
      </c>
      <c r="G1316" s="76"/>
      <c r="H1316" s="71" t="s">
        <v>457</v>
      </c>
      <c r="I1316" s="77" t="s">
        <v>30</v>
      </c>
      <c r="J1316" s="77"/>
      <c r="K1316" s="74" t="s">
        <v>8</v>
      </c>
      <c r="L1316" s="75">
        <v>1930262.74</v>
      </c>
    </row>
    <row r="1317" spans="1:12" ht="91.8" hidden="1" x14ac:dyDescent="0.3">
      <c r="A1317" s="69" t="s">
        <v>1444</v>
      </c>
      <c r="B1317" s="70" t="s">
        <v>1489</v>
      </c>
      <c r="C1317" s="70" t="s">
        <v>1529</v>
      </c>
      <c r="D1317" s="70" t="s">
        <v>1473</v>
      </c>
      <c r="E1317" s="71" t="s">
        <v>13</v>
      </c>
      <c r="F1317" s="76">
        <v>1771.7</v>
      </c>
      <c r="G1317" s="76"/>
      <c r="H1317" s="71" t="s">
        <v>457</v>
      </c>
      <c r="I1317" s="77" t="s">
        <v>30</v>
      </c>
      <c r="J1317" s="77"/>
      <c r="K1317" s="74" t="s">
        <v>8</v>
      </c>
      <c r="L1317" s="75">
        <v>1932034.44</v>
      </c>
    </row>
    <row r="1318" spans="1:12" ht="91.8" hidden="1" x14ac:dyDescent="0.3">
      <c r="A1318" s="69" t="s">
        <v>1444</v>
      </c>
      <c r="B1318" s="70" t="s">
        <v>1489</v>
      </c>
      <c r="C1318" s="70" t="s">
        <v>1530</v>
      </c>
      <c r="D1318" s="70" t="s">
        <v>1473</v>
      </c>
      <c r="E1318" s="71" t="s">
        <v>13</v>
      </c>
      <c r="F1318" s="76">
        <v>10124.4</v>
      </c>
      <c r="G1318" s="76"/>
      <c r="H1318" s="71" t="s">
        <v>457</v>
      </c>
      <c r="I1318" s="77" t="s">
        <v>30</v>
      </c>
      <c r="J1318" s="77"/>
      <c r="K1318" s="74" t="s">
        <v>8</v>
      </c>
      <c r="L1318" s="75">
        <v>1942158.84</v>
      </c>
    </row>
    <row r="1319" spans="1:12" ht="81.599999999999994" hidden="1" x14ac:dyDescent="0.3">
      <c r="A1319" s="69" t="s">
        <v>1444</v>
      </c>
      <c r="B1319" s="70" t="s">
        <v>1489</v>
      </c>
      <c r="C1319" s="70" t="s">
        <v>1531</v>
      </c>
      <c r="D1319" s="70" t="s">
        <v>1473</v>
      </c>
      <c r="E1319" s="71" t="s">
        <v>13</v>
      </c>
      <c r="F1319" s="76">
        <v>17296</v>
      </c>
      <c r="G1319" s="76"/>
      <c r="H1319" s="71" t="s">
        <v>457</v>
      </c>
      <c r="I1319" s="77" t="s">
        <v>30</v>
      </c>
      <c r="J1319" s="77"/>
      <c r="K1319" s="74" t="s">
        <v>8</v>
      </c>
      <c r="L1319" s="75">
        <v>1959454.84</v>
      </c>
    </row>
    <row r="1320" spans="1:12" ht="91.8" hidden="1" x14ac:dyDescent="0.3">
      <c r="A1320" s="69" t="s">
        <v>1444</v>
      </c>
      <c r="B1320" s="70" t="s">
        <v>1489</v>
      </c>
      <c r="C1320" s="70" t="s">
        <v>1532</v>
      </c>
      <c r="D1320" s="70" t="s">
        <v>1473</v>
      </c>
      <c r="E1320" s="71" t="s">
        <v>13</v>
      </c>
      <c r="F1320" s="79">
        <v>273.2</v>
      </c>
      <c r="G1320" s="79"/>
      <c r="H1320" s="71" t="s">
        <v>457</v>
      </c>
      <c r="I1320" s="77" t="s">
        <v>30</v>
      </c>
      <c r="J1320" s="77"/>
      <c r="K1320" s="74" t="s">
        <v>8</v>
      </c>
      <c r="L1320" s="75">
        <v>1959728.04</v>
      </c>
    </row>
    <row r="1321" spans="1:12" ht="91.8" hidden="1" x14ac:dyDescent="0.3">
      <c r="A1321" s="69" t="s">
        <v>1444</v>
      </c>
      <c r="B1321" s="70" t="s">
        <v>1489</v>
      </c>
      <c r="C1321" s="70" t="s">
        <v>1533</v>
      </c>
      <c r="D1321" s="70" t="s">
        <v>1473</v>
      </c>
      <c r="E1321" s="71" t="s">
        <v>13</v>
      </c>
      <c r="F1321" s="76">
        <v>3462.6</v>
      </c>
      <c r="G1321" s="76"/>
      <c r="H1321" s="71" t="s">
        <v>457</v>
      </c>
      <c r="I1321" s="77" t="s">
        <v>30</v>
      </c>
      <c r="J1321" s="77"/>
      <c r="K1321" s="74" t="s">
        <v>8</v>
      </c>
      <c r="L1321" s="75">
        <v>1963190.64</v>
      </c>
    </row>
    <row r="1322" spans="1:12" ht="91.8" hidden="1" x14ac:dyDescent="0.3">
      <c r="A1322" s="69" t="s">
        <v>1444</v>
      </c>
      <c r="B1322" s="70" t="s">
        <v>1489</v>
      </c>
      <c r="C1322" s="70" t="s">
        <v>1534</v>
      </c>
      <c r="D1322" s="70" t="s">
        <v>1473</v>
      </c>
      <c r="E1322" s="71" t="s">
        <v>13</v>
      </c>
      <c r="F1322" s="76">
        <v>3436.8</v>
      </c>
      <c r="G1322" s="76"/>
      <c r="H1322" s="71" t="s">
        <v>457</v>
      </c>
      <c r="I1322" s="77" t="s">
        <v>30</v>
      </c>
      <c r="J1322" s="77"/>
      <c r="K1322" s="74" t="s">
        <v>8</v>
      </c>
      <c r="L1322" s="75">
        <v>1966627.44</v>
      </c>
    </row>
    <row r="1323" spans="1:12" ht="81.599999999999994" hidden="1" x14ac:dyDescent="0.3">
      <c r="A1323" s="69" t="s">
        <v>1444</v>
      </c>
      <c r="B1323" s="70" t="s">
        <v>1489</v>
      </c>
      <c r="C1323" s="70" t="s">
        <v>1535</v>
      </c>
      <c r="D1323" s="70" t="s">
        <v>1473</v>
      </c>
      <c r="E1323" s="71" t="s">
        <v>13</v>
      </c>
      <c r="F1323" s="76">
        <v>1528.8</v>
      </c>
      <c r="G1323" s="76"/>
      <c r="H1323" s="71" t="s">
        <v>457</v>
      </c>
      <c r="I1323" s="77" t="s">
        <v>30</v>
      </c>
      <c r="J1323" s="77"/>
      <c r="K1323" s="74" t="s">
        <v>8</v>
      </c>
      <c r="L1323" s="75">
        <v>1968156.24</v>
      </c>
    </row>
    <row r="1324" spans="1:12" ht="71.400000000000006" hidden="1" x14ac:dyDescent="0.3">
      <c r="A1324" s="69" t="s">
        <v>1444</v>
      </c>
      <c r="B1324" s="70" t="s">
        <v>1536</v>
      </c>
      <c r="C1324" s="70" t="s">
        <v>1466</v>
      </c>
      <c r="D1324" s="70" t="s">
        <v>1467</v>
      </c>
      <c r="E1324" s="71" t="s">
        <v>13</v>
      </c>
      <c r="F1324" s="76">
        <v>11492.55</v>
      </c>
      <c r="G1324" s="76"/>
      <c r="H1324" s="71" t="s">
        <v>457</v>
      </c>
      <c r="I1324" s="77" t="s">
        <v>30</v>
      </c>
      <c r="J1324" s="77"/>
      <c r="K1324" s="74" t="s">
        <v>8</v>
      </c>
      <c r="L1324" s="75">
        <v>4954637.07</v>
      </c>
    </row>
    <row r="1325" spans="1:12" ht="61.2" hidden="1" x14ac:dyDescent="0.3">
      <c r="A1325" s="69" t="s">
        <v>1444</v>
      </c>
      <c r="B1325" s="70" t="s">
        <v>1536</v>
      </c>
      <c r="C1325" s="70" t="s">
        <v>1468</v>
      </c>
      <c r="D1325" s="70" t="s">
        <v>1467</v>
      </c>
      <c r="E1325" s="71" t="s">
        <v>13</v>
      </c>
      <c r="F1325" s="76">
        <v>3023.71</v>
      </c>
      <c r="G1325" s="76"/>
      <c r="H1325" s="71" t="s">
        <v>457</v>
      </c>
      <c r="I1325" s="77" t="s">
        <v>30</v>
      </c>
      <c r="J1325" s="77"/>
      <c r="K1325" s="74" t="s">
        <v>8</v>
      </c>
      <c r="L1325" s="75">
        <v>4957660.78</v>
      </c>
    </row>
    <row r="1326" spans="1:12" ht="71.400000000000006" hidden="1" x14ac:dyDescent="0.3">
      <c r="A1326" s="69" t="s">
        <v>1444</v>
      </c>
      <c r="B1326" s="70" t="s">
        <v>1536</v>
      </c>
      <c r="C1326" s="70" t="s">
        <v>1469</v>
      </c>
      <c r="D1326" s="70" t="s">
        <v>1467</v>
      </c>
      <c r="E1326" s="71" t="s">
        <v>13</v>
      </c>
      <c r="F1326" s="76">
        <v>2404.0500000000002</v>
      </c>
      <c r="G1326" s="76"/>
      <c r="H1326" s="71" t="s">
        <v>457</v>
      </c>
      <c r="I1326" s="77" t="s">
        <v>30</v>
      </c>
      <c r="J1326" s="77"/>
      <c r="K1326" s="74" t="s">
        <v>8</v>
      </c>
      <c r="L1326" s="75">
        <v>4960064.83</v>
      </c>
    </row>
    <row r="1327" spans="1:12" ht="71.400000000000006" hidden="1" x14ac:dyDescent="0.3">
      <c r="A1327" s="69" t="s">
        <v>1444</v>
      </c>
      <c r="B1327" s="70" t="s">
        <v>1536</v>
      </c>
      <c r="C1327" s="70" t="s">
        <v>1470</v>
      </c>
      <c r="D1327" s="70" t="s">
        <v>1467</v>
      </c>
      <c r="E1327" s="71" t="s">
        <v>13</v>
      </c>
      <c r="F1327" s="76">
        <v>3079.69</v>
      </c>
      <c r="G1327" s="76"/>
      <c r="H1327" s="71" t="s">
        <v>457</v>
      </c>
      <c r="I1327" s="77" t="s">
        <v>30</v>
      </c>
      <c r="J1327" s="77"/>
      <c r="K1327" s="74" t="s">
        <v>8</v>
      </c>
      <c r="L1327" s="75">
        <v>4963144.5199999996</v>
      </c>
    </row>
    <row r="1328" spans="1:12" ht="61.2" hidden="1" x14ac:dyDescent="0.3">
      <c r="A1328" s="69" t="s">
        <v>1444</v>
      </c>
      <c r="B1328" s="70" t="s">
        <v>1537</v>
      </c>
      <c r="C1328" s="70" t="s">
        <v>1538</v>
      </c>
      <c r="D1328" s="70" t="s">
        <v>1359</v>
      </c>
      <c r="E1328" s="71" t="s">
        <v>319</v>
      </c>
      <c r="F1328" s="72" t="s">
        <v>30</v>
      </c>
      <c r="G1328" s="72"/>
      <c r="H1328" s="71" t="s">
        <v>13</v>
      </c>
      <c r="I1328" s="73">
        <v>1550.63</v>
      </c>
      <c r="J1328" s="73"/>
      <c r="K1328" s="74" t="s">
        <v>8</v>
      </c>
      <c r="L1328" s="75">
        <v>1997846.55</v>
      </c>
    </row>
    <row r="1329" spans="1:12" ht="61.2" hidden="1" x14ac:dyDescent="0.3">
      <c r="A1329" s="69" t="s">
        <v>1444</v>
      </c>
      <c r="B1329" s="70" t="s">
        <v>1537</v>
      </c>
      <c r="C1329" s="70" t="s">
        <v>1539</v>
      </c>
      <c r="D1329" s="70" t="s">
        <v>1361</v>
      </c>
      <c r="E1329" s="71" t="s">
        <v>319</v>
      </c>
      <c r="F1329" s="72" t="s">
        <v>30</v>
      </c>
      <c r="G1329" s="72"/>
      <c r="H1329" s="71" t="s">
        <v>13</v>
      </c>
      <c r="I1329" s="78">
        <v>558.23</v>
      </c>
      <c r="J1329" s="78"/>
      <c r="K1329" s="74" t="s">
        <v>8</v>
      </c>
      <c r="L1329" s="75">
        <v>1997288.32</v>
      </c>
    </row>
    <row r="1330" spans="1:12" ht="71.400000000000006" hidden="1" x14ac:dyDescent="0.3">
      <c r="A1330" s="69" t="s">
        <v>1444</v>
      </c>
      <c r="B1330" s="70" t="s">
        <v>1537</v>
      </c>
      <c r="C1330" s="70" t="s">
        <v>1540</v>
      </c>
      <c r="D1330" s="70" t="s">
        <v>337</v>
      </c>
      <c r="E1330" s="71" t="s">
        <v>319</v>
      </c>
      <c r="F1330" s="72" t="s">
        <v>30</v>
      </c>
      <c r="G1330" s="72"/>
      <c r="H1330" s="71" t="s">
        <v>13</v>
      </c>
      <c r="I1330" s="73">
        <v>5423.87</v>
      </c>
      <c r="J1330" s="73"/>
      <c r="K1330" s="74" t="s">
        <v>8</v>
      </c>
      <c r="L1330" s="75">
        <v>1991864.45</v>
      </c>
    </row>
    <row r="1331" spans="1:12" ht="71.400000000000006" hidden="1" x14ac:dyDescent="0.3">
      <c r="A1331" s="69" t="s">
        <v>1444</v>
      </c>
      <c r="B1331" s="70" t="s">
        <v>1537</v>
      </c>
      <c r="C1331" s="70" t="s">
        <v>1540</v>
      </c>
      <c r="D1331" s="70" t="s">
        <v>1362</v>
      </c>
      <c r="E1331" s="71" t="s">
        <v>319</v>
      </c>
      <c r="F1331" s="72" t="s">
        <v>30</v>
      </c>
      <c r="G1331" s="72"/>
      <c r="H1331" s="71" t="s">
        <v>13</v>
      </c>
      <c r="I1331" s="73">
        <v>5456.03</v>
      </c>
      <c r="J1331" s="73"/>
      <c r="K1331" s="74" t="s">
        <v>8</v>
      </c>
      <c r="L1331" s="75">
        <v>1986408.42</v>
      </c>
    </row>
    <row r="1332" spans="1:12" ht="71.400000000000006" hidden="1" x14ac:dyDescent="0.3">
      <c r="A1332" s="69" t="s">
        <v>1444</v>
      </c>
      <c r="B1332" s="70" t="s">
        <v>1537</v>
      </c>
      <c r="C1332" s="70" t="s">
        <v>1541</v>
      </c>
      <c r="D1332" s="70" t="s">
        <v>1542</v>
      </c>
      <c r="E1332" s="71" t="s">
        <v>319</v>
      </c>
      <c r="F1332" s="72" t="s">
        <v>30</v>
      </c>
      <c r="G1332" s="72"/>
      <c r="H1332" s="71" t="s">
        <v>13</v>
      </c>
      <c r="I1332" s="73">
        <v>1356.45</v>
      </c>
      <c r="J1332" s="73"/>
      <c r="K1332" s="74" t="s">
        <v>8</v>
      </c>
      <c r="L1332" s="75">
        <v>1985051.97</v>
      </c>
    </row>
    <row r="1333" spans="1:12" ht="71.400000000000006" hidden="1" x14ac:dyDescent="0.3">
      <c r="A1333" s="69" t="s">
        <v>1444</v>
      </c>
      <c r="B1333" s="70" t="s">
        <v>1537</v>
      </c>
      <c r="C1333" s="70" t="s">
        <v>1543</v>
      </c>
      <c r="D1333" s="70" t="s">
        <v>1544</v>
      </c>
      <c r="E1333" s="71" t="s">
        <v>319</v>
      </c>
      <c r="F1333" s="72" t="s">
        <v>30</v>
      </c>
      <c r="G1333" s="72"/>
      <c r="H1333" s="71" t="s">
        <v>13</v>
      </c>
      <c r="I1333" s="73">
        <v>12697.8</v>
      </c>
      <c r="J1333" s="73"/>
      <c r="K1333" s="74" t="s">
        <v>8</v>
      </c>
      <c r="L1333" s="75">
        <v>1972354.17</v>
      </c>
    </row>
    <row r="1334" spans="1:12" ht="71.400000000000006" hidden="1" x14ac:dyDescent="0.3">
      <c r="A1334" s="69" t="s">
        <v>1444</v>
      </c>
      <c r="B1334" s="70" t="s">
        <v>1537</v>
      </c>
      <c r="C1334" s="70" t="s">
        <v>1545</v>
      </c>
      <c r="D1334" s="70" t="s">
        <v>1370</v>
      </c>
      <c r="E1334" s="71" t="s">
        <v>319</v>
      </c>
      <c r="F1334" s="72" t="s">
        <v>30</v>
      </c>
      <c r="G1334" s="72"/>
      <c r="H1334" s="71" t="s">
        <v>13</v>
      </c>
      <c r="I1334" s="73">
        <v>17335.990000000002</v>
      </c>
      <c r="J1334" s="73"/>
      <c r="K1334" s="74" t="s">
        <v>8</v>
      </c>
      <c r="L1334" s="75">
        <v>1955018.18</v>
      </c>
    </row>
    <row r="1335" spans="1:12" ht="61.2" hidden="1" x14ac:dyDescent="0.3">
      <c r="A1335" s="69" t="s">
        <v>1444</v>
      </c>
      <c r="B1335" s="70" t="s">
        <v>1537</v>
      </c>
      <c r="C1335" s="70" t="s">
        <v>1546</v>
      </c>
      <c r="D1335" s="70" t="s">
        <v>748</v>
      </c>
      <c r="E1335" s="71" t="s">
        <v>319</v>
      </c>
      <c r="F1335" s="72" t="s">
        <v>30</v>
      </c>
      <c r="G1335" s="72"/>
      <c r="H1335" s="71" t="s">
        <v>13</v>
      </c>
      <c r="I1335" s="73">
        <v>7126.49</v>
      </c>
      <c r="J1335" s="73"/>
      <c r="K1335" s="74" t="s">
        <v>8</v>
      </c>
      <c r="L1335" s="75">
        <v>1947891.69</v>
      </c>
    </row>
    <row r="1336" spans="1:12" ht="71.400000000000006" hidden="1" x14ac:dyDescent="0.3">
      <c r="A1336" s="69" t="s">
        <v>1444</v>
      </c>
      <c r="B1336" s="70" t="s">
        <v>1537</v>
      </c>
      <c r="C1336" s="70" t="s">
        <v>1547</v>
      </c>
      <c r="D1336" s="70" t="s">
        <v>746</v>
      </c>
      <c r="E1336" s="71" t="s">
        <v>319</v>
      </c>
      <c r="F1336" s="72" t="s">
        <v>30</v>
      </c>
      <c r="G1336" s="72"/>
      <c r="H1336" s="71" t="s">
        <v>13</v>
      </c>
      <c r="I1336" s="73">
        <v>29677.87</v>
      </c>
      <c r="J1336" s="73"/>
      <c r="K1336" s="74" t="s">
        <v>8</v>
      </c>
      <c r="L1336" s="75">
        <v>1918213.82</v>
      </c>
    </row>
    <row r="1337" spans="1:12" ht="61.2" hidden="1" x14ac:dyDescent="0.3">
      <c r="A1337" s="69" t="s">
        <v>1444</v>
      </c>
      <c r="B1337" s="70" t="s">
        <v>1537</v>
      </c>
      <c r="C1337" s="70" t="s">
        <v>1548</v>
      </c>
      <c r="D1337" s="70" t="s">
        <v>1549</v>
      </c>
      <c r="E1337" s="71" t="s">
        <v>319</v>
      </c>
      <c r="F1337" s="72" t="s">
        <v>30</v>
      </c>
      <c r="G1337" s="72"/>
      <c r="H1337" s="71" t="s">
        <v>13</v>
      </c>
      <c r="I1337" s="78">
        <v>992.25</v>
      </c>
      <c r="J1337" s="78"/>
      <c r="K1337" s="74" t="s">
        <v>8</v>
      </c>
      <c r="L1337" s="75">
        <v>1917221.57</v>
      </c>
    </row>
    <row r="1338" spans="1:12" ht="61.2" hidden="1" x14ac:dyDescent="0.3">
      <c r="A1338" s="69" t="s">
        <v>1444</v>
      </c>
      <c r="B1338" s="70" t="s">
        <v>1537</v>
      </c>
      <c r="C1338" s="70" t="s">
        <v>1548</v>
      </c>
      <c r="D1338" s="70" t="s">
        <v>1550</v>
      </c>
      <c r="E1338" s="71" t="s">
        <v>319</v>
      </c>
      <c r="F1338" s="72" t="s">
        <v>30</v>
      </c>
      <c r="G1338" s="72"/>
      <c r="H1338" s="71" t="s">
        <v>13</v>
      </c>
      <c r="I1338" s="78">
        <v>992.25</v>
      </c>
      <c r="J1338" s="78"/>
      <c r="K1338" s="74" t="s">
        <v>8</v>
      </c>
      <c r="L1338" s="75">
        <v>1916229.32</v>
      </c>
    </row>
    <row r="1339" spans="1:12" ht="61.2" hidden="1" x14ac:dyDescent="0.3">
      <c r="A1339" s="69" t="s">
        <v>1444</v>
      </c>
      <c r="B1339" s="70" t="s">
        <v>1537</v>
      </c>
      <c r="C1339" s="70" t="s">
        <v>1548</v>
      </c>
      <c r="D1339" s="70" t="s">
        <v>1551</v>
      </c>
      <c r="E1339" s="71" t="s">
        <v>319</v>
      </c>
      <c r="F1339" s="72" t="s">
        <v>30</v>
      </c>
      <c r="G1339" s="72"/>
      <c r="H1339" s="71" t="s">
        <v>13</v>
      </c>
      <c r="I1339" s="73">
        <v>3672.5</v>
      </c>
      <c r="J1339" s="73"/>
      <c r="K1339" s="74" t="s">
        <v>8</v>
      </c>
      <c r="L1339" s="75">
        <v>1912556.82</v>
      </c>
    </row>
    <row r="1340" spans="1:12" ht="61.2" hidden="1" x14ac:dyDescent="0.3">
      <c r="A1340" s="69" t="s">
        <v>1444</v>
      </c>
      <c r="B1340" s="70" t="s">
        <v>1537</v>
      </c>
      <c r="C1340" s="70" t="s">
        <v>1552</v>
      </c>
      <c r="D1340" s="70" t="s">
        <v>1374</v>
      </c>
      <c r="E1340" s="71" t="s">
        <v>319</v>
      </c>
      <c r="F1340" s="72" t="s">
        <v>30</v>
      </c>
      <c r="G1340" s="72"/>
      <c r="H1340" s="71" t="s">
        <v>13</v>
      </c>
      <c r="I1340" s="73">
        <v>8098.43</v>
      </c>
      <c r="J1340" s="73"/>
      <c r="K1340" s="74" t="s">
        <v>8</v>
      </c>
      <c r="L1340" s="75">
        <v>1904458.39</v>
      </c>
    </row>
    <row r="1341" spans="1:12" ht="71.400000000000006" hidden="1" x14ac:dyDescent="0.3">
      <c r="A1341" s="69" t="s">
        <v>1444</v>
      </c>
      <c r="B1341" s="70" t="s">
        <v>1537</v>
      </c>
      <c r="C1341" s="70" t="s">
        <v>1553</v>
      </c>
      <c r="D1341" s="70" t="s">
        <v>1554</v>
      </c>
      <c r="E1341" s="71" t="s">
        <v>319</v>
      </c>
      <c r="F1341" s="72" t="s">
        <v>30</v>
      </c>
      <c r="G1341" s="72"/>
      <c r="H1341" s="71" t="s">
        <v>13</v>
      </c>
      <c r="I1341" s="73">
        <v>1662.88</v>
      </c>
      <c r="J1341" s="73"/>
      <c r="K1341" s="74" t="s">
        <v>8</v>
      </c>
      <c r="L1341" s="75">
        <v>1902795.51</v>
      </c>
    </row>
    <row r="1342" spans="1:12" ht="61.2" hidden="1" x14ac:dyDescent="0.3">
      <c r="A1342" s="69" t="s">
        <v>1444</v>
      </c>
      <c r="B1342" s="70" t="s">
        <v>1537</v>
      </c>
      <c r="C1342" s="70" t="s">
        <v>1555</v>
      </c>
      <c r="D1342" s="70" t="s">
        <v>324</v>
      </c>
      <c r="E1342" s="71" t="s">
        <v>319</v>
      </c>
      <c r="F1342" s="72" t="s">
        <v>30</v>
      </c>
      <c r="G1342" s="72"/>
      <c r="H1342" s="71" t="s">
        <v>13</v>
      </c>
      <c r="I1342" s="73">
        <v>42017.52</v>
      </c>
      <c r="J1342" s="73"/>
      <c r="K1342" s="74" t="s">
        <v>8</v>
      </c>
      <c r="L1342" s="75">
        <v>1860777.99</v>
      </c>
    </row>
    <row r="1343" spans="1:12" ht="61.2" hidden="1" x14ac:dyDescent="0.3">
      <c r="A1343" s="69" t="s">
        <v>1444</v>
      </c>
      <c r="B1343" s="70" t="s">
        <v>1537</v>
      </c>
      <c r="C1343" s="70" t="s">
        <v>1556</v>
      </c>
      <c r="D1343" s="70" t="s">
        <v>1377</v>
      </c>
      <c r="E1343" s="71" t="s">
        <v>319</v>
      </c>
      <c r="F1343" s="72" t="s">
        <v>30</v>
      </c>
      <c r="G1343" s="72"/>
      <c r="H1343" s="71" t="s">
        <v>13</v>
      </c>
      <c r="I1343" s="73">
        <v>18333.68</v>
      </c>
      <c r="J1343" s="73"/>
      <c r="K1343" s="74" t="s">
        <v>8</v>
      </c>
      <c r="L1343" s="75">
        <v>1842444.31</v>
      </c>
    </row>
    <row r="1344" spans="1:12" ht="71.400000000000006" hidden="1" x14ac:dyDescent="0.3">
      <c r="A1344" s="69" t="s">
        <v>1444</v>
      </c>
      <c r="B1344" s="70" t="s">
        <v>1557</v>
      </c>
      <c r="C1344" s="70" t="s">
        <v>1558</v>
      </c>
      <c r="D1344" s="70" t="s">
        <v>1544</v>
      </c>
      <c r="E1344" s="71" t="s">
        <v>319</v>
      </c>
      <c r="F1344" s="72" t="s">
        <v>30</v>
      </c>
      <c r="G1344" s="72"/>
      <c r="H1344" s="71" t="s">
        <v>13</v>
      </c>
      <c r="I1344" s="73">
        <v>2280.67</v>
      </c>
      <c r="J1344" s="73"/>
      <c r="K1344" s="74" t="s">
        <v>8</v>
      </c>
      <c r="L1344" s="75">
        <v>1840163.64</v>
      </c>
    </row>
    <row r="1345" spans="1:12" ht="81.599999999999994" hidden="1" x14ac:dyDescent="0.3">
      <c r="A1345" s="69" t="s">
        <v>1444</v>
      </c>
      <c r="B1345" s="70" t="s">
        <v>1557</v>
      </c>
      <c r="C1345" s="70" t="s">
        <v>1559</v>
      </c>
      <c r="D1345" s="70" t="s">
        <v>1560</v>
      </c>
      <c r="E1345" s="71" t="s">
        <v>319</v>
      </c>
      <c r="F1345" s="72" t="s">
        <v>30</v>
      </c>
      <c r="G1345" s="72"/>
      <c r="H1345" s="71" t="s">
        <v>13</v>
      </c>
      <c r="I1345" s="73">
        <v>4156.59</v>
      </c>
      <c r="J1345" s="73"/>
      <c r="K1345" s="74" t="s">
        <v>8</v>
      </c>
      <c r="L1345" s="75">
        <v>1836007.05</v>
      </c>
    </row>
    <row r="1346" spans="1:12" ht="61.2" hidden="1" x14ac:dyDescent="0.3">
      <c r="A1346" s="69" t="s">
        <v>1444</v>
      </c>
      <c r="B1346" s="70" t="s">
        <v>1557</v>
      </c>
      <c r="C1346" s="70" t="s">
        <v>1561</v>
      </c>
      <c r="D1346" s="70" t="s">
        <v>1368</v>
      </c>
      <c r="E1346" s="71" t="s">
        <v>319</v>
      </c>
      <c r="F1346" s="72" t="s">
        <v>30</v>
      </c>
      <c r="G1346" s="72"/>
      <c r="H1346" s="71" t="s">
        <v>13</v>
      </c>
      <c r="I1346" s="73">
        <v>1772.58</v>
      </c>
      <c r="J1346" s="73"/>
      <c r="K1346" s="74" t="s">
        <v>8</v>
      </c>
      <c r="L1346" s="75">
        <v>1834234.47</v>
      </c>
    </row>
    <row r="1347" spans="1:12" ht="61.2" hidden="1" x14ac:dyDescent="0.3">
      <c r="A1347" s="69" t="s">
        <v>1444</v>
      </c>
      <c r="B1347" s="70" t="s">
        <v>1557</v>
      </c>
      <c r="C1347" s="70" t="s">
        <v>1562</v>
      </c>
      <c r="D1347" s="70" t="s">
        <v>324</v>
      </c>
      <c r="E1347" s="71" t="s">
        <v>319</v>
      </c>
      <c r="F1347" s="72" t="s">
        <v>30</v>
      </c>
      <c r="G1347" s="72"/>
      <c r="H1347" s="71" t="s">
        <v>13</v>
      </c>
      <c r="I1347" s="73">
        <v>8444.9</v>
      </c>
      <c r="J1347" s="73"/>
      <c r="K1347" s="74" t="s">
        <v>8</v>
      </c>
      <c r="L1347" s="75">
        <v>1825789.57</v>
      </c>
    </row>
    <row r="1348" spans="1:12" ht="71.400000000000006" hidden="1" x14ac:dyDescent="0.3">
      <c r="A1348" s="69" t="s">
        <v>1444</v>
      </c>
      <c r="B1348" s="70" t="s">
        <v>1557</v>
      </c>
      <c r="C1348" s="70" t="s">
        <v>1563</v>
      </c>
      <c r="D1348" s="70" t="s">
        <v>1375</v>
      </c>
      <c r="E1348" s="71" t="s">
        <v>319</v>
      </c>
      <c r="F1348" s="72" t="s">
        <v>30</v>
      </c>
      <c r="G1348" s="72"/>
      <c r="H1348" s="71" t="s">
        <v>13</v>
      </c>
      <c r="I1348" s="73">
        <v>22727.74</v>
      </c>
      <c r="J1348" s="73"/>
      <c r="K1348" s="74" t="s">
        <v>8</v>
      </c>
      <c r="L1348" s="75">
        <v>1803061.83</v>
      </c>
    </row>
    <row r="1349" spans="1:12" ht="71.400000000000006" hidden="1" x14ac:dyDescent="0.3">
      <c r="A1349" s="69" t="s">
        <v>1444</v>
      </c>
      <c r="B1349" s="70" t="s">
        <v>1557</v>
      </c>
      <c r="C1349" s="70" t="s">
        <v>1564</v>
      </c>
      <c r="D1349" s="70" t="s">
        <v>935</v>
      </c>
      <c r="E1349" s="71" t="s">
        <v>319</v>
      </c>
      <c r="F1349" s="72" t="s">
        <v>30</v>
      </c>
      <c r="G1349" s="72"/>
      <c r="H1349" s="71" t="s">
        <v>13</v>
      </c>
      <c r="I1349" s="73">
        <v>6325.13</v>
      </c>
      <c r="J1349" s="73"/>
      <c r="K1349" s="74" t="s">
        <v>8</v>
      </c>
      <c r="L1349" s="75">
        <v>1796736.7</v>
      </c>
    </row>
    <row r="1350" spans="1:12" ht="81.599999999999994" x14ac:dyDescent="0.3">
      <c r="A1350" s="69" t="s">
        <v>1444</v>
      </c>
      <c r="B1350" s="70" t="s">
        <v>1565</v>
      </c>
      <c r="C1350" s="70" t="s">
        <v>518</v>
      </c>
      <c r="D1350" s="70" t="s">
        <v>1566</v>
      </c>
      <c r="E1350" s="71" t="s">
        <v>165</v>
      </c>
      <c r="F1350" s="72" t="s">
        <v>30</v>
      </c>
      <c r="G1350" s="72"/>
      <c r="H1350" s="71" t="s">
        <v>13</v>
      </c>
      <c r="I1350" s="73">
        <v>1065</v>
      </c>
      <c r="J1350" s="73"/>
      <c r="K1350" s="74" t="s">
        <v>8</v>
      </c>
      <c r="L1350" s="75">
        <v>826644.56</v>
      </c>
    </row>
    <row r="1351" spans="1:12" ht="61.2" x14ac:dyDescent="0.3">
      <c r="A1351" s="69" t="s">
        <v>1444</v>
      </c>
      <c r="B1351" s="70" t="s">
        <v>1565</v>
      </c>
      <c r="C1351" s="70" t="s">
        <v>518</v>
      </c>
      <c r="D1351" s="70" t="s">
        <v>1567</v>
      </c>
      <c r="E1351" s="71" t="s">
        <v>165</v>
      </c>
      <c r="F1351" s="72" t="s">
        <v>30</v>
      </c>
      <c r="G1351" s="72"/>
      <c r="H1351" s="71" t="s">
        <v>13</v>
      </c>
      <c r="I1351" s="78">
        <v>145</v>
      </c>
      <c r="J1351" s="78"/>
      <c r="K1351" s="74" t="s">
        <v>8</v>
      </c>
      <c r="L1351" s="75">
        <v>826499.56</v>
      </c>
    </row>
    <row r="1352" spans="1:12" ht="71.400000000000006" x14ac:dyDescent="0.3">
      <c r="A1352" s="69" t="s">
        <v>1444</v>
      </c>
      <c r="B1352" s="70" t="s">
        <v>1565</v>
      </c>
      <c r="C1352" s="70" t="s">
        <v>518</v>
      </c>
      <c r="D1352" s="70" t="s">
        <v>1568</v>
      </c>
      <c r="E1352" s="71" t="s">
        <v>165</v>
      </c>
      <c r="F1352" s="72" t="s">
        <v>30</v>
      </c>
      <c r="G1352" s="72"/>
      <c r="H1352" s="71" t="s">
        <v>13</v>
      </c>
      <c r="I1352" s="78">
        <v>135</v>
      </c>
      <c r="J1352" s="78"/>
      <c r="K1352" s="74" t="s">
        <v>8</v>
      </c>
      <c r="L1352" s="75">
        <v>826364.56</v>
      </c>
    </row>
    <row r="1353" spans="1:12" ht="71.400000000000006" x14ac:dyDescent="0.3">
      <c r="A1353" s="69" t="s">
        <v>1444</v>
      </c>
      <c r="B1353" s="70" t="s">
        <v>1565</v>
      </c>
      <c r="C1353" s="70" t="s">
        <v>518</v>
      </c>
      <c r="D1353" s="70" t="s">
        <v>1569</v>
      </c>
      <c r="E1353" s="71" t="s">
        <v>165</v>
      </c>
      <c r="F1353" s="72" t="s">
        <v>30</v>
      </c>
      <c r="G1353" s="72"/>
      <c r="H1353" s="71" t="s">
        <v>13</v>
      </c>
      <c r="I1353" s="78">
        <v>170</v>
      </c>
      <c r="J1353" s="78"/>
      <c r="K1353" s="74" t="s">
        <v>8</v>
      </c>
      <c r="L1353" s="75">
        <v>826194.56</v>
      </c>
    </row>
    <row r="1354" spans="1:12" ht="61.2" x14ac:dyDescent="0.3">
      <c r="A1354" s="69" t="s">
        <v>1444</v>
      </c>
      <c r="B1354" s="70" t="s">
        <v>1570</v>
      </c>
      <c r="C1354" s="70" t="s">
        <v>518</v>
      </c>
      <c r="D1354" s="70" t="s">
        <v>1571</v>
      </c>
      <c r="E1354" s="71" t="s">
        <v>165</v>
      </c>
      <c r="F1354" s="72" t="s">
        <v>30</v>
      </c>
      <c r="G1354" s="72"/>
      <c r="H1354" s="71" t="s">
        <v>13</v>
      </c>
      <c r="I1354" s="73">
        <v>26559.57</v>
      </c>
      <c r="J1354" s="73"/>
      <c r="K1354" s="74" t="s">
        <v>8</v>
      </c>
      <c r="L1354" s="75">
        <v>3511353.47</v>
      </c>
    </row>
    <row r="1355" spans="1:12" ht="71.400000000000006" x14ac:dyDescent="0.3">
      <c r="A1355" s="69" t="s">
        <v>1444</v>
      </c>
      <c r="B1355" s="70" t="s">
        <v>1572</v>
      </c>
      <c r="C1355" s="70" t="s">
        <v>518</v>
      </c>
      <c r="D1355" s="70" t="s">
        <v>1573</v>
      </c>
      <c r="E1355" s="71" t="s">
        <v>165</v>
      </c>
      <c r="F1355" s="72" t="s">
        <v>30</v>
      </c>
      <c r="G1355" s="72"/>
      <c r="H1355" s="71" t="s">
        <v>13</v>
      </c>
      <c r="I1355" s="78">
        <v>540</v>
      </c>
      <c r="J1355" s="78"/>
      <c r="K1355" s="74" t="s">
        <v>8</v>
      </c>
      <c r="L1355" s="75">
        <v>825654.56</v>
      </c>
    </row>
    <row r="1356" spans="1:12" ht="71.400000000000006" x14ac:dyDescent="0.3">
      <c r="A1356" s="69" t="s">
        <v>1444</v>
      </c>
      <c r="B1356" s="70" t="s">
        <v>1572</v>
      </c>
      <c r="C1356" s="70" t="s">
        <v>518</v>
      </c>
      <c r="D1356" s="70" t="s">
        <v>1451</v>
      </c>
      <c r="E1356" s="71" t="s">
        <v>165</v>
      </c>
      <c r="F1356" s="72" t="s">
        <v>30</v>
      </c>
      <c r="G1356" s="72"/>
      <c r="H1356" s="71" t="s">
        <v>13</v>
      </c>
      <c r="I1356" s="78">
        <v>270</v>
      </c>
      <c r="J1356" s="78"/>
      <c r="K1356" s="74" t="s">
        <v>8</v>
      </c>
      <c r="L1356" s="75">
        <v>825384.56</v>
      </c>
    </row>
    <row r="1357" spans="1:12" ht="71.400000000000006" x14ac:dyDescent="0.3">
      <c r="A1357" s="69" t="s">
        <v>1444</v>
      </c>
      <c r="B1357" s="70" t="s">
        <v>1572</v>
      </c>
      <c r="C1357" s="70" t="s">
        <v>518</v>
      </c>
      <c r="D1357" s="70" t="s">
        <v>1574</v>
      </c>
      <c r="E1357" s="71" t="s">
        <v>165</v>
      </c>
      <c r="F1357" s="72" t="s">
        <v>30</v>
      </c>
      <c r="G1357" s="72"/>
      <c r="H1357" s="71" t="s">
        <v>13</v>
      </c>
      <c r="I1357" s="78">
        <v>381.5</v>
      </c>
      <c r="J1357" s="78"/>
      <c r="K1357" s="74" t="s">
        <v>8</v>
      </c>
      <c r="L1357" s="75">
        <v>825003.06</v>
      </c>
    </row>
    <row r="1358" spans="1:12" ht="71.400000000000006" x14ac:dyDescent="0.3">
      <c r="A1358" s="69" t="s">
        <v>1444</v>
      </c>
      <c r="B1358" s="70" t="s">
        <v>1572</v>
      </c>
      <c r="C1358" s="70" t="s">
        <v>518</v>
      </c>
      <c r="D1358" s="70" t="s">
        <v>1575</v>
      </c>
      <c r="E1358" s="71" t="s">
        <v>165</v>
      </c>
      <c r="F1358" s="72" t="s">
        <v>30</v>
      </c>
      <c r="G1358" s="72"/>
      <c r="H1358" s="71" t="s">
        <v>13</v>
      </c>
      <c r="I1358" s="78">
        <v>406.8</v>
      </c>
      <c r="J1358" s="78"/>
      <c r="K1358" s="74" t="s">
        <v>8</v>
      </c>
      <c r="L1358" s="75">
        <v>824596.26</v>
      </c>
    </row>
    <row r="1359" spans="1:12" ht="71.400000000000006" x14ac:dyDescent="0.3">
      <c r="A1359" s="69" t="s">
        <v>1444</v>
      </c>
      <c r="B1359" s="70" t="s">
        <v>1572</v>
      </c>
      <c r="C1359" s="70" t="s">
        <v>518</v>
      </c>
      <c r="D1359" s="70" t="s">
        <v>1575</v>
      </c>
      <c r="E1359" s="71" t="s">
        <v>165</v>
      </c>
      <c r="F1359" s="72" t="s">
        <v>30</v>
      </c>
      <c r="G1359" s="72"/>
      <c r="H1359" s="71" t="s">
        <v>13</v>
      </c>
      <c r="I1359" s="78">
        <v>316.39999999999998</v>
      </c>
      <c r="J1359" s="78"/>
      <c r="K1359" s="74" t="s">
        <v>8</v>
      </c>
      <c r="L1359" s="75">
        <v>824279.86</v>
      </c>
    </row>
    <row r="1360" spans="1:12" ht="71.400000000000006" x14ac:dyDescent="0.3">
      <c r="A1360" s="69" t="s">
        <v>1444</v>
      </c>
      <c r="B1360" s="70" t="s">
        <v>1572</v>
      </c>
      <c r="C1360" s="70" t="s">
        <v>518</v>
      </c>
      <c r="D1360" s="70" t="s">
        <v>1453</v>
      </c>
      <c r="E1360" s="71" t="s">
        <v>165</v>
      </c>
      <c r="F1360" s="72" t="s">
        <v>30</v>
      </c>
      <c r="G1360" s="72"/>
      <c r="H1360" s="71" t="s">
        <v>13</v>
      </c>
      <c r="I1360" s="78">
        <v>140</v>
      </c>
      <c r="J1360" s="78"/>
      <c r="K1360" s="74" t="s">
        <v>8</v>
      </c>
      <c r="L1360" s="75">
        <v>824139.86</v>
      </c>
    </row>
    <row r="1361" spans="1:12" ht="71.400000000000006" x14ac:dyDescent="0.3">
      <c r="A1361" s="69" t="s">
        <v>1444</v>
      </c>
      <c r="B1361" s="70" t="s">
        <v>1572</v>
      </c>
      <c r="C1361" s="70" t="s">
        <v>518</v>
      </c>
      <c r="D1361" s="70" t="s">
        <v>1576</v>
      </c>
      <c r="E1361" s="71" t="s">
        <v>165</v>
      </c>
      <c r="F1361" s="72" t="s">
        <v>30</v>
      </c>
      <c r="G1361" s="72"/>
      <c r="H1361" s="71" t="s">
        <v>13</v>
      </c>
      <c r="I1361" s="73">
        <v>1138.4000000000001</v>
      </c>
      <c r="J1361" s="73"/>
      <c r="K1361" s="74" t="s">
        <v>8</v>
      </c>
      <c r="L1361" s="75">
        <v>823001.46</v>
      </c>
    </row>
    <row r="1362" spans="1:12" ht="71.400000000000006" x14ac:dyDescent="0.3">
      <c r="A1362" s="69" t="s">
        <v>1444</v>
      </c>
      <c r="B1362" s="70" t="s">
        <v>1572</v>
      </c>
      <c r="C1362" s="70" t="s">
        <v>518</v>
      </c>
      <c r="D1362" s="70" t="s">
        <v>1576</v>
      </c>
      <c r="E1362" s="71" t="s">
        <v>165</v>
      </c>
      <c r="F1362" s="72" t="s">
        <v>30</v>
      </c>
      <c r="G1362" s="72"/>
      <c r="H1362" s="71" t="s">
        <v>13</v>
      </c>
      <c r="I1362" s="73">
        <v>7399.6</v>
      </c>
      <c r="J1362" s="73"/>
      <c r="K1362" s="74" t="s">
        <v>8</v>
      </c>
      <c r="L1362" s="75">
        <v>815601.86</v>
      </c>
    </row>
    <row r="1363" spans="1:12" ht="71.400000000000006" x14ac:dyDescent="0.3">
      <c r="A1363" s="69" t="s">
        <v>1444</v>
      </c>
      <c r="B1363" s="70" t="s">
        <v>1572</v>
      </c>
      <c r="C1363" s="70" t="s">
        <v>518</v>
      </c>
      <c r="D1363" s="70" t="s">
        <v>1577</v>
      </c>
      <c r="E1363" s="71" t="s">
        <v>165</v>
      </c>
      <c r="F1363" s="72" t="s">
        <v>30</v>
      </c>
      <c r="G1363" s="72"/>
      <c r="H1363" s="71" t="s">
        <v>13</v>
      </c>
      <c r="I1363" s="78">
        <v>944</v>
      </c>
      <c r="J1363" s="78"/>
      <c r="K1363" s="74" t="s">
        <v>8</v>
      </c>
      <c r="L1363" s="75">
        <v>814657.86</v>
      </c>
    </row>
    <row r="1364" spans="1:12" ht="71.400000000000006" x14ac:dyDescent="0.3">
      <c r="A1364" s="69" t="s">
        <v>1444</v>
      </c>
      <c r="B1364" s="70" t="s">
        <v>1572</v>
      </c>
      <c r="C1364" s="70" t="s">
        <v>518</v>
      </c>
      <c r="D1364" s="70" t="s">
        <v>1578</v>
      </c>
      <c r="E1364" s="71" t="s">
        <v>165</v>
      </c>
      <c r="F1364" s="72" t="s">
        <v>30</v>
      </c>
      <c r="G1364" s="72"/>
      <c r="H1364" s="71" t="s">
        <v>13</v>
      </c>
      <c r="I1364" s="78">
        <v>330</v>
      </c>
      <c r="J1364" s="78"/>
      <c r="K1364" s="74" t="s">
        <v>8</v>
      </c>
      <c r="L1364" s="75">
        <v>814327.86</v>
      </c>
    </row>
    <row r="1365" spans="1:12" ht="71.400000000000006" x14ac:dyDescent="0.3">
      <c r="A1365" s="69" t="s">
        <v>1444</v>
      </c>
      <c r="B1365" s="70" t="s">
        <v>1572</v>
      </c>
      <c r="C1365" s="70" t="s">
        <v>518</v>
      </c>
      <c r="D1365" s="70" t="s">
        <v>1455</v>
      </c>
      <c r="E1365" s="71" t="s">
        <v>165</v>
      </c>
      <c r="F1365" s="72" t="s">
        <v>30</v>
      </c>
      <c r="G1365" s="72"/>
      <c r="H1365" s="71" t="s">
        <v>13</v>
      </c>
      <c r="I1365" s="78">
        <v>660</v>
      </c>
      <c r="J1365" s="78"/>
      <c r="K1365" s="74" t="s">
        <v>8</v>
      </c>
      <c r="L1365" s="75">
        <v>813667.86</v>
      </c>
    </row>
    <row r="1366" spans="1:12" ht="71.400000000000006" x14ac:dyDescent="0.3">
      <c r="A1366" s="69" t="s">
        <v>1444</v>
      </c>
      <c r="B1366" s="70" t="s">
        <v>1572</v>
      </c>
      <c r="C1366" s="70" t="s">
        <v>518</v>
      </c>
      <c r="D1366" s="70" t="s">
        <v>1579</v>
      </c>
      <c r="E1366" s="71" t="s">
        <v>165</v>
      </c>
      <c r="F1366" s="72" t="s">
        <v>30</v>
      </c>
      <c r="G1366" s="72"/>
      <c r="H1366" s="71" t="s">
        <v>13</v>
      </c>
      <c r="I1366" s="78">
        <v>100</v>
      </c>
      <c r="J1366" s="78"/>
      <c r="K1366" s="74" t="s">
        <v>8</v>
      </c>
      <c r="L1366" s="75">
        <v>813567.86</v>
      </c>
    </row>
    <row r="1367" spans="1:12" ht="71.400000000000006" x14ac:dyDescent="0.3">
      <c r="A1367" s="69" t="s">
        <v>1444</v>
      </c>
      <c r="B1367" s="70" t="s">
        <v>1572</v>
      </c>
      <c r="C1367" s="70" t="s">
        <v>518</v>
      </c>
      <c r="D1367" s="70" t="s">
        <v>1457</v>
      </c>
      <c r="E1367" s="71" t="s">
        <v>165</v>
      </c>
      <c r="F1367" s="72" t="s">
        <v>30</v>
      </c>
      <c r="G1367" s="72"/>
      <c r="H1367" s="71" t="s">
        <v>13</v>
      </c>
      <c r="I1367" s="78">
        <v>50</v>
      </c>
      <c r="J1367" s="78"/>
      <c r="K1367" s="74" t="s">
        <v>8</v>
      </c>
      <c r="L1367" s="75">
        <v>813517.86</v>
      </c>
    </row>
    <row r="1368" spans="1:12" ht="61.2" x14ac:dyDescent="0.3">
      <c r="A1368" s="69" t="s">
        <v>1444</v>
      </c>
      <c r="B1368" s="70" t="s">
        <v>1572</v>
      </c>
      <c r="C1368" s="70" t="s">
        <v>518</v>
      </c>
      <c r="D1368" s="70" t="s">
        <v>1459</v>
      </c>
      <c r="E1368" s="71" t="s">
        <v>165</v>
      </c>
      <c r="F1368" s="72" t="s">
        <v>30</v>
      </c>
      <c r="G1368" s="72"/>
      <c r="H1368" s="71" t="s">
        <v>13</v>
      </c>
      <c r="I1368" s="78">
        <v>140</v>
      </c>
      <c r="J1368" s="78"/>
      <c r="K1368" s="74" t="s">
        <v>8</v>
      </c>
      <c r="L1368" s="75">
        <v>813377.86</v>
      </c>
    </row>
    <row r="1369" spans="1:12" ht="61.2" x14ac:dyDescent="0.3">
      <c r="A1369" s="69" t="s">
        <v>1444</v>
      </c>
      <c r="B1369" s="70" t="s">
        <v>1572</v>
      </c>
      <c r="C1369" s="70" t="s">
        <v>518</v>
      </c>
      <c r="D1369" s="70" t="s">
        <v>1580</v>
      </c>
      <c r="E1369" s="71" t="s">
        <v>165</v>
      </c>
      <c r="F1369" s="72" t="s">
        <v>30</v>
      </c>
      <c r="G1369" s="72"/>
      <c r="H1369" s="71" t="s">
        <v>13</v>
      </c>
      <c r="I1369" s="78">
        <v>145.6</v>
      </c>
      <c r="J1369" s="78"/>
      <c r="K1369" s="74" t="s">
        <v>8</v>
      </c>
      <c r="L1369" s="75">
        <v>813232.26</v>
      </c>
    </row>
    <row r="1370" spans="1:12" ht="61.2" x14ac:dyDescent="0.3">
      <c r="A1370" s="69" t="s">
        <v>1444</v>
      </c>
      <c r="B1370" s="70" t="s">
        <v>1572</v>
      </c>
      <c r="C1370" s="70" t="s">
        <v>518</v>
      </c>
      <c r="D1370" s="70" t="s">
        <v>1581</v>
      </c>
      <c r="E1370" s="71" t="s">
        <v>165</v>
      </c>
      <c r="F1370" s="72" t="s">
        <v>30</v>
      </c>
      <c r="G1370" s="72"/>
      <c r="H1370" s="71" t="s">
        <v>13</v>
      </c>
      <c r="I1370" s="78">
        <v>84</v>
      </c>
      <c r="J1370" s="78"/>
      <c r="K1370" s="74" t="s">
        <v>8</v>
      </c>
      <c r="L1370" s="75">
        <v>813148.26</v>
      </c>
    </row>
    <row r="1371" spans="1:12" ht="61.2" x14ac:dyDescent="0.3">
      <c r="A1371" s="69" t="s">
        <v>1444</v>
      </c>
      <c r="B1371" s="70" t="s">
        <v>1572</v>
      </c>
      <c r="C1371" s="70" t="s">
        <v>518</v>
      </c>
      <c r="D1371" s="70" t="s">
        <v>1582</v>
      </c>
      <c r="E1371" s="71" t="s">
        <v>165</v>
      </c>
      <c r="F1371" s="72" t="s">
        <v>30</v>
      </c>
      <c r="G1371" s="72"/>
      <c r="H1371" s="71" t="s">
        <v>13</v>
      </c>
      <c r="I1371" s="78">
        <v>40</v>
      </c>
      <c r="J1371" s="78"/>
      <c r="K1371" s="74" t="s">
        <v>8</v>
      </c>
      <c r="L1371" s="75">
        <v>813108.26</v>
      </c>
    </row>
    <row r="1372" spans="1:12" ht="71.400000000000006" x14ac:dyDescent="0.3">
      <c r="A1372" s="69" t="s">
        <v>1444</v>
      </c>
      <c r="B1372" s="70" t="s">
        <v>1572</v>
      </c>
      <c r="C1372" s="70" t="s">
        <v>518</v>
      </c>
      <c r="D1372" s="70" t="s">
        <v>1583</v>
      </c>
      <c r="E1372" s="71" t="s">
        <v>165</v>
      </c>
      <c r="F1372" s="72" t="s">
        <v>30</v>
      </c>
      <c r="G1372" s="72"/>
      <c r="H1372" s="71" t="s">
        <v>13</v>
      </c>
      <c r="I1372" s="78">
        <v>67.8</v>
      </c>
      <c r="J1372" s="78"/>
      <c r="K1372" s="74" t="s">
        <v>8</v>
      </c>
      <c r="L1372" s="75">
        <v>813040.46</v>
      </c>
    </row>
    <row r="1373" spans="1:12" ht="71.400000000000006" x14ac:dyDescent="0.3">
      <c r="A1373" s="69" t="s">
        <v>1444</v>
      </c>
      <c r="B1373" s="70" t="s">
        <v>1572</v>
      </c>
      <c r="C1373" s="70" t="s">
        <v>518</v>
      </c>
      <c r="D1373" s="70" t="s">
        <v>1584</v>
      </c>
      <c r="E1373" s="71" t="s">
        <v>165</v>
      </c>
      <c r="F1373" s="72" t="s">
        <v>30</v>
      </c>
      <c r="G1373" s="72"/>
      <c r="H1373" s="71" t="s">
        <v>13</v>
      </c>
      <c r="I1373" s="78">
        <v>300.3</v>
      </c>
      <c r="J1373" s="78"/>
      <c r="K1373" s="74" t="s">
        <v>8</v>
      </c>
      <c r="L1373" s="75">
        <v>812740.16</v>
      </c>
    </row>
    <row r="1374" spans="1:12" ht="71.400000000000006" x14ac:dyDescent="0.3">
      <c r="A1374" s="69" t="s">
        <v>1444</v>
      </c>
      <c r="B1374" s="70" t="s">
        <v>1572</v>
      </c>
      <c r="C1374" s="70" t="s">
        <v>518</v>
      </c>
      <c r="D1374" s="70" t="s">
        <v>1585</v>
      </c>
      <c r="E1374" s="71" t="s">
        <v>165</v>
      </c>
      <c r="F1374" s="72" t="s">
        <v>30</v>
      </c>
      <c r="G1374" s="72"/>
      <c r="H1374" s="71" t="s">
        <v>13</v>
      </c>
      <c r="I1374" s="78">
        <v>26.4</v>
      </c>
      <c r="J1374" s="78"/>
      <c r="K1374" s="74" t="s">
        <v>8</v>
      </c>
      <c r="L1374" s="75">
        <v>812713.76</v>
      </c>
    </row>
    <row r="1375" spans="1:12" ht="61.2" x14ac:dyDescent="0.3">
      <c r="A1375" s="69" t="s">
        <v>1444</v>
      </c>
      <c r="B1375" s="70" t="s">
        <v>1572</v>
      </c>
      <c r="C1375" s="70" t="s">
        <v>518</v>
      </c>
      <c r="D1375" s="70" t="s">
        <v>1586</v>
      </c>
      <c r="E1375" s="71" t="s">
        <v>165</v>
      </c>
      <c r="F1375" s="72" t="s">
        <v>30</v>
      </c>
      <c r="G1375" s="72"/>
      <c r="H1375" s="71" t="s">
        <v>13</v>
      </c>
      <c r="I1375" s="78">
        <v>230.4</v>
      </c>
      <c r="J1375" s="78"/>
      <c r="K1375" s="74" t="s">
        <v>8</v>
      </c>
      <c r="L1375" s="75">
        <v>812483.36</v>
      </c>
    </row>
    <row r="1376" spans="1:12" ht="61.2" x14ac:dyDescent="0.3">
      <c r="A1376" s="69" t="s">
        <v>1444</v>
      </c>
      <c r="B1376" s="70" t="s">
        <v>1572</v>
      </c>
      <c r="C1376" s="70" t="s">
        <v>518</v>
      </c>
      <c r="D1376" s="70" t="s">
        <v>1587</v>
      </c>
      <c r="E1376" s="71" t="s">
        <v>165</v>
      </c>
      <c r="F1376" s="72" t="s">
        <v>30</v>
      </c>
      <c r="G1376" s="72"/>
      <c r="H1376" s="71" t="s">
        <v>13</v>
      </c>
      <c r="I1376" s="78">
        <v>62</v>
      </c>
      <c r="J1376" s="78"/>
      <c r="K1376" s="74" t="s">
        <v>8</v>
      </c>
      <c r="L1376" s="75">
        <v>812421.36</v>
      </c>
    </row>
    <row r="1377" spans="1:12" ht="71.400000000000006" x14ac:dyDescent="0.3">
      <c r="A1377" s="69" t="s">
        <v>1444</v>
      </c>
      <c r="B1377" s="70" t="s">
        <v>1572</v>
      </c>
      <c r="C1377" s="70" t="s">
        <v>518</v>
      </c>
      <c r="D1377" s="70" t="s">
        <v>1588</v>
      </c>
      <c r="E1377" s="71" t="s">
        <v>165</v>
      </c>
      <c r="F1377" s="72" t="s">
        <v>30</v>
      </c>
      <c r="G1377" s="72"/>
      <c r="H1377" s="71" t="s">
        <v>13</v>
      </c>
      <c r="I1377" s="78">
        <v>30</v>
      </c>
      <c r="J1377" s="78"/>
      <c r="K1377" s="74" t="s">
        <v>8</v>
      </c>
      <c r="L1377" s="75">
        <v>812391.36</v>
      </c>
    </row>
    <row r="1378" spans="1:12" ht="71.400000000000006" x14ac:dyDescent="0.3">
      <c r="A1378" s="69" t="s">
        <v>1444</v>
      </c>
      <c r="B1378" s="70" t="s">
        <v>1572</v>
      </c>
      <c r="C1378" s="70" t="s">
        <v>518</v>
      </c>
      <c r="D1378" s="70" t="s">
        <v>1589</v>
      </c>
      <c r="E1378" s="71" t="s">
        <v>165</v>
      </c>
      <c r="F1378" s="72" t="s">
        <v>30</v>
      </c>
      <c r="G1378" s="72"/>
      <c r="H1378" s="71" t="s">
        <v>13</v>
      </c>
      <c r="I1378" s="73">
        <v>4754.3999999999996</v>
      </c>
      <c r="J1378" s="73"/>
      <c r="K1378" s="74" t="s">
        <v>8</v>
      </c>
      <c r="L1378" s="75">
        <v>807636.96</v>
      </c>
    </row>
    <row r="1379" spans="1:12" ht="91.8" x14ac:dyDescent="0.3">
      <c r="A1379" s="69" t="s">
        <v>1444</v>
      </c>
      <c r="B1379" s="70" t="s">
        <v>1572</v>
      </c>
      <c r="C1379" s="70" t="s">
        <v>518</v>
      </c>
      <c r="D1379" s="70" t="s">
        <v>1590</v>
      </c>
      <c r="E1379" s="71" t="s">
        <v>165</v>
      </c>
      <c r="F1379" s="72" t="s">
        <v>30</v>
      </c>
      <c r="G1379" s="72"/>
      <c r="H1379" s="71" t="s">
        <v>13</v>
      </c>
      <c r="I1379" s="73">
        <v>29599.17</v>
      </c>
      <c r="J1379" s="73"/>
      <c r="K1379" s="74" t="s">
        <v>8</v>
      </c>
      <c r="L1379" s="75">
        <v>778037.79</v>
      </c>
    </row>
    <row r="1380" spans="1:12" ht="71.400000000000006" x14ac:dyDescent="0.3">
      <c r="A1380" s="69" t="s">
        <v>1444</v>
      </c>
      <c r="B1380" s="70" t="s">
        <v>1572</v>
      </c>
      <c r="C1380" s="70" t="s">
        <v>518</v>
      </c>
      <c r="D1380" s="70" t="s">
        <v>1591</v>
      </c>
      <c r="E1380" s="71" t="s">
        <v>165</v>
      </c>
      <c r="F1380" s="72" t="s">
        <v>30</v>
      </c>
      <c r="G1380" s="72"/>
      <c r="H1380" s="71" t="s">
        <v>13</v>
      </c>
      <c r="I1380" s="73">
        <v>36799.199999999997</v>
      </c>
      <c r="J1380" s="73"/>
      <c r="K1380" s="74" t="s">
        <v>8</v>
      </c>
      <c r="L1380" s="75">
        <v>741238.59</v>
      </c>
    </row>
    <row r="1381" spans="1:12" ht="71.400000000000006" x14ac:dyDescent="0.3">
      <c r="A1381" s="69" t="s">
        <v>1444</v>
      </c>
      <c r="B1381" s="70" t="s">
        <v>1572</v>
      </c>
      <c r="C1381" s="70" t="s">
        <v>518</v>
      </c>
      <c r="D1381" s="70" t="s">
        <v>1592</v>
      </c>
      <c r="E1381" s="71" t="s">
        <v>165</v>
      </c>
      <c r="F1381" s="72" t="s">
        <v>30</v>
      </c>
      <c r="G1381" s="72"/>
      <c r="H1381" s="71" t="s">
        <v>13</v>
      </c>
      <c r="I1381" s="78">
        <v>663</v>
      </c>
      <c r="J1381" s="78"/>
      <c r="K1381" s="74" t="s">
        <v>8</v>
      </c>
      <c r="L1381" s="75">
        <v>740575.59</v>
      </c>
    </row>
    <row r="1382" spans="1:12" ht="71.400000000000006" x14ac:dyDescent="0.3">
      <c r="A1382" s="69" t="s">
        <v>1444</v>
      </c>
      <c r="B1382" s="70" t="s">
        <v>1572</v>
      </c>
      <c r="C1382" s="70" t="s">
        <v>518</v>
      </c>
      <c r="D1382" s="70" t="s">
        <v>1593</v>
      </c>
      <c r="E1382" s="71" t="s">
        <v>165</v>
      </c>
      <c r="F1382" s="72" t="s">
        <v>30</v>
      </c>
      <c r="G1382" s="72"/>
      <c r="H1382" s="71" t="s">
        <v>13</v>
      </c>
      <c r="I1382" s="73">
        <v>1039.5</v>
      </c>
      <c r="J1382" s="73"/>
      <c r="K1382" s="74" t="s">
        <v>8</v>
      </c>
      <c r="L1382" s="75">
        <v>739536.09</v>
      </c>
    </row>
    <row r="1383" spans="1:12" ht="71.400000000000006" x14ac:dyDescent="0.3">
      <c r="A1383" s="69" t="s">
        <v>1444</v>
      </c>
      <c r="B1383" s="70" t="s">
        <v>1572</v>
      </c>
      <c r="C1383" s="70" t="s">
        <v>518</v>
      </c>
      <c r="D1383" s="70" t="s">
        <v>1594</v>
      </c>
      <c r="E1383" s="71" t="s">
        <v>165</v>
      </c>
      <c r="F1383" s="72" t="s">
        <v>30</v>
      </c>
      <c r="G1383" s="72"/>
      <c r="H1383" s="71" t="s">
        <v>13</v>
      </c>
      <c r="I1383" s="78">
        <v>158.19999999999999</v>
      </c>
      <c r="J1383" s="78"/>
      <c r="K1383" s="74" t="s">
        <v>8</v>
      </c>
      <c r="L1383" s="75">
        <v>739377.89</v>
      </c>
    </row>
    <row r="1384" spans="1:12" ht="71.400000000000006" x14ac:dyDescent="0.3">
      <c r="A1384" s="69" t="s">
        <v>1444</v>
      </c>
      <c r="B1384" s="70" t="s">
        <v>1572</v>
      </c>
      <c r="C1384" s="70" t="s">
        <v>518</v>
      </c>
      <c r="D1384" s="70" t="s">
        <v>1595</v>
      </c>
      <c r="E1384" s="71" t="s">
        <v>165</v>
      </c>
      <c r="F1384" s="72" t="s">
        <v>30</v>
      </c>
      <c r="G1384" s="72"/>
      <c r="H1384" s="71" t="s">
        <v>13</v>
      </c>
      <c r="I1384" s="78">
        <v>45.6</v>
      </c>
      <c r="J1384" s="78"/>
      <c r="K1384" s="74" t="s">
        <v>8</v>
      </c>
      <c r="L1384" s="75">
        <v>739332.29</v>
      </c>
    </row>
    <row r="1385" spans="1:12" ht="71.400000000000006" x14ac:dyDescent="0.3">
      <c r="A1385" s="69" t="s">
        <v>1444</v>
      </c>
      <c r="B1385" s="70" t="s">
        <v>1572</v>
      </c>
      <c r="C1385" s="70" t="s">
        <v>518</v>
      </c>
      <c r="D1385" s="70" t="s">
        <v>1596</v>
      </c>
      <c r="E1385" s="71" t="s">
        <v>165</v>
      </c>
      <c r="F1385" s="72" t="s">
        <v>30</v>
      </c>
      <c r="G1385" s="72"/>
      <c r="H1385" s="71" t="s">
        <v>13</v>
      </c>
      <c r="I1385" s="78">
        <v>502.8</v>
      </c>
      <c r="J1385" s="78"/>
      <c r="K1385" s="74" t="s">
        <v>8</v>
      </c>
      <c r="L1385" s="75">
        <v>738829.49</v>
      </c>
    </row>
    <row r="1386" spans="1:12" ht="71.400000000000006" x14ac:dyDescent="0.3">
      <c r="A1386" s="69" t="s">
        <v>1444</v>
      </c>
      <c r="B1386" s="70" t="s">
        <v>1572</v>
      </c>
      <c r="C1386" s="70" t="s">
        <v>518</v>
      </c>
      <c r="D1386" s="70" t="s">
        <v>1595</v>
      </c>
      <c r="E1386" s="71" t="s">
        <v>165</v>
      </c>
      <c r="F1386" s="72" t="s">
        <v>30</v>
      </c>
      <c r="G1386" s="72"/>
      <c r="H1386" s="71" t="s">
        <v>13</v>
      </c>
      <c r="I1386" s="78">
        <v>5.7</v>
      </c>
      <c r="J1386" s="78"/>
      <c r="K1386" s="74" t="s">
        <v>8</v>
      </c>
      <c r="L1386" s="75">
        <v>738823.79</v>
      </c>
    </row>
    <row r="1387" spans="1:12" ht="61.2" x14ac:dyDescent="0.3">
      <c r="A1387" s="69" t="s">
        <v>1444</v>
      </c>
      <c r="B1387" s="70" t="s">
        <v>1572</v>
      </c>
      <c r="C1387" s="70" t="s">
        <v>518</v>
      </c>
      <c r="D1387" s="70" t="s">
        <v>1597</v>
      </c>
      <c r="E1387" s="71" t="s">
        <v>165</v>
      </c>
      <c r="F1387" s="72" t="s">
        <v>30</v>
      </c>
      <c r="G1387" s="72"/>
      <c r="H1387" s="71" t="s">
        <v>13</v>
      </c>
      <c r="I1387" s="78">
        <v>226.8</v>
      </c>
      <c r="J1387" s="78"/>
      <c r="K1387" s="74" t="s">
        <v>8</v>
      </c>
      <c r="L1387" s="75">
        <v>738596.99</v>
      </c>
    </row>
    <row r="1388" spans="1:12" ht="71.400000000000006" x14ac:dyDescent="0.3">
      <c r="A1388" s="69" t="s">
        <v>1444</v>
      </c>
      <c r="B1388" s="70" t="s">
        <v>1572</v>
      </c>
      <c r="C1388" s="70" t="s">
        <v>518</v>
      </c>
      <c r="D1388" s="70" t="s">
        <v>1598</v>
      </c>
      <c r="E1388" s="71" t="s">
        <v>165</v>
      </c>
      <c r="F1388" s="72" t="s">
        <v>30</v>
      </c>
      <c r="G1388" s="72"/>
      <c r="H1388" s="71" t="s">
        <v>13</v>
      </c>
      <c r="I1388" s="78">
        <v>4.9000000000000004</v>
      </c>
      <c r="J1388" s="78"/>
      <c r="K1388" s="74" t="s">
        <v>8</v>
      </c>
      <c r="L1388" s="75">
        <v>738592.09</v>
      </c>
    </row>
    <row r="1389" spans="1:12" ht="71.400000000000006" x14ac:dyDescent="0.3">
      <c r="A1389" s="69" t="s">
        <v>1444</v>
      </c>
      <c r="B1389" s="70" t="s">
        <v>1572</v>
      </c>
      <c r="C1389" s="70" t="s">
        <v>518</v>
      </c>
      <c r="D1389" s="70" t="s">
        <v>1599</v>
      </c>
      <c r="E1389" s="71" t="s">
        <v>165</v>
      </c>
      <c r="F1389" s="72" t="s">
        <v>30</v>
      </c>
      <c r="G1389" s="72"/>
      <c r="H1389" s="71" t="s">
        <v>13</v>
      </c>
      <c r="I1389" s="78">
        <v>21.2</v>
      </c>
      <c r="J1389" s="78"/>
      <c r="K1389" s="74" t="s">
        <v>8</v>
      </c>
      <c r="L1389" s="75">
        <v>738570.89</v>
      </c>
    </row>
    <row r="1390" spans="1:12" ht="71.400000000000006" x14ac:dyDescent="0.3">
      <c r="A1390" s="69" t="s">
        <v>1444</v>
      </c>
      <c r="B1390" s="70" t="s">
        <v>1572</v>
      </c>
      <c r="C1390" s="70" t="s">
        <v>518</v>
      </c>
      <c r="D1390" s="70" t="s">
        <v>1600</v>
      </c>
      <c r="E1390" s="71" t="s">
        <v>165</v>
      </c>
      <c r="F1390" s="72" t="s">
        <v>30</v>
      </c>
      <c r="G1390" s="72"/>
      <c r="H1390" s="71" t="s">
        <v>13</v>
      </c>
      <c r="I1390" s="78">
        <v>9.1999999999999993</v>
      </c>
      <c r="J1390" s="78"/>
      <c r="K1390" s="74" t="s">
        <v>8</v>
      </c>
      <c r="L1390" s="75">
        <v>738561.69</v>
      </c>
    </row>
    <row r="1391" spans="1:12" ht="71.400000000000006" x14ac:dyDescent="0.3">
      <c r="A1391" s="69" t="s">
        <v>1444</v>
      </c>
      <c r="B1391" s="70" t="s">
        <v>1572</v>
      </c>
      <c r="C1391" s="70" t="s">
        <v>518</v>
      </c>
      <c r="D1391" s="70" t="s">
        <v>1601</v>
      </c>
      <c r="E1391" s="71" t="s">
        <v>165</v>
      </c>
      <c r="F1391" s="72" t="s">
        <v>30</v>
      </c>
      <c r="G1391" s="72"/>
      <c r="H1391" s="71" t="s">
        <v>13</v>
      </c>
      <c r="I1391" s="73">
        <v>1405.3</v>
      </c>
      <c r="J1391" s="73"/>
      <c r="K1391" s="74" t="s">
        <v>8</v>
      </c>
      <c r="L1391" s="75">
        <v>737156.39</v>
      </c>
    </row>
    <row r="1392" spans="1:12" ht="71.400000000000006" x14ac:dyDescent="0.3">
      <c r="A1392" s="69" t="s">
        <v>1444</v>
      </c>
      <c r="B1392" s="70" t="s">
        <v>1572</v>
      </c>
      <c r="C1392" s="70" t="s">
        <v>518</v>
      </c>
      <c r="D1392" s="70" t="s">
        <v>1602</v>
      </c>
      <c r="E1392" s="71" t="s">
        <v>165</v>
      </c>
      <c r="F1392" s="72" t="s">
        <v>30</v>
      </c>
      <c r="G1392" s="72"/>
      <c r="H1392" s="71" t="s">
        <v>13</v>
      </c>
      <c r="I1392" s="78">
        <v>641.54999999999995</v>
      </c>
      <c r="J1392" s="78"/>
      <c r="K1392" s="74" t="s">
        <v>8</v>
      </c>
      <c r="L1392" s="75">
        <v>736514.84</v>
      </c>
    </row>
    <row r="1393" spans="1:12" ht="71.400000000000006" x14ac:dyDescent="0.3">
      <c r="A1393" s="69" t="s">
        <v>1444</v>
      </c>
      <c r="B1393" s="70" t="s">
        <v>1572</v>
      </c>
      <c r="C1393" s="70" t="s">
        <v>518</v>
      </c>
      <c r="D1393" s="70" t="s">
        <v>1603</v>
      </c>
      <c r="E1393" s="71" t="s">
        <v>165</v>
      </c>
      <c r="F1393" s="72" t="s">
        <v>30</v>
      </c>
      <c r="G1393" s="72"/>
      <c r="H1393" s="71" t="s">
        <v>13</v>
      </c>
      <c r="I1393" s="78">
        <v>352</v>
      </c>
      <c r="J1393" s="78"/>
      <c r="K1393" s="74" t="s">
        <v>8</v>
      </c>
      <c r="L1393" s="75">
        <v>736162.84</v>
      </c>
    </row>
    <row r="1394" spans="1:12" ht="61.2" x14ac:dyDescent="0.3">
      <c r="A1394" s="69" t="s">
        <v>1444</v>
      </c>
      <c r="B1394" s="70" t="s">
        <v>1572</v>
      </c>
      <c r="C1394" s="70" t="s">
        <v>518</v>
      </c>
      <c r="D1394" s="70" t="s">
        <v>1604</v>
      </c>
      <c r="E1394" s="71" t="s">
        <v>165</v>
      </c>
      <c r="F1394" s="72" t="s">
        <v>30</v>
      </c>
      <c r="G1394" s="72"/>
      <c r="H1394" s="71" t="s">
        <v>13</v>
      </c>
      <c r="I1394" s="78">
        <v>42</v>
      </c>
      <c r="J1394" s="78"/>
      <c r="K1394" s="74" t="s">
        <v>8</v>
      </c>
      <c r="L1394" s="75">
        <v>736120.84</v>
      </c>
    </row>
    <row r="1395" spans="1:12" ht="61.2" x14ac:dyDescent="0.3">
      <c r="A1395" s="69" t="s">
        <v>1444</v>
      </c>
      <c r="B1395" s="70" t="s">
        <v>1605</v>
      </c>
      <c r="C1395" s="70" t="s">
        <v>518</v>
      </c>
      <c r="D1395" s="70" t="s">
        <v>1407</v>
      </c>
      <c r="E1395" s="71" t="s">
        <v>165</v>
      </c>
      <c r="F1395" s="72" t="s">
        <v>30</v>
      </c>
      <c r="G1395" s="72"/>
      <c r="H1395" s="71" t="s">
        <v>13</v>
      </c>
      <c r="I1395" s="78">
        <v>90</v>
      </c>
      <c r="J1395" s="78"/>
      <c r="K1395" s="74" t="s">
        <v>8</v>
      </c>
      <c r="L1395" s="75">
        <v>89638.12</v>
      </c>
    </row>
    <row r="1396" spans="1:12" ht="61.2" x14ac:dyDescent="0.3">
      <c r="A1396" s="69" t="s">
        <v>1444</v>
      </c>
      <c r="B1396" s="70" t="s">
        <v>1605</v>
      </c>
      <c r="C1396" s="70" t="s">
        <v>518</v>
      </c>
      <c r="D1396" s="70" t="s">
        <v>1606</v>
      </c>
      <c r="E1396" s="71" t="s">
        <v>165</v>
      </c>
      <c r="F1396" s="72" t="s">
        <v>30</v>
      </c>
      <c r="G1396" s="72"/>
      <c r="H1396" s="71" t="s">
        <v>13</v>
      </c>
      <c r="I1396" s="78">
        <v>480</v>
      </c>
      <c r="J1396" s="78"/>
      <c r="K1396" s="74" t="s">
        <v>8</v>
      </c>
      <c r="L1396" s="75">
        <v>89158.12</v>
      </c>
    </row>
    <row r="1397" spans="1:12" ht="112.2" x14ac:dyDescent="0.3">
      <c r="A1397" s="69" t="s">
        <v>1444</v>
      </c>
      <c r="B1397" s="70" t="s">
        <v>1607</v>
      </c>
      <c r="C1397" s="70" t="s">
        <v>518</v>
      </c>
      <c r="D1397" s="70" t="s">
        <v>712</v>
      </c>
      <c r="E1397" s="71" t="s">
        <v>165</v>
      </c>
      <c r="F1397" s="72" t="s">
        <v>30</v>
      </c>
      <c r="G1397" s="72"/>
      <c r="H1397" s="71" t="s">
        <v>13</v>
      </c>
      <c r="I1397" s="73">
        <v>19530</v>
      </c>
      <c r="J1397" s="73"/>
      <c r="K1397" s="74" t="s">
        <v>8</v>
      </c>
      <c r="L1397" s="75">
        <v>1948626.24</v>
      </c>
    </row>
    <row r="1398" spans="1:12" ht="112.2" x14ac:dyDescent="0.3">
      <c r="A1398" s="69" t="s">
        <v>1444</v>
      </c>
      <c r="B1398" s="70" t="s">
        <v>1607</v>
      </c>
      <c r="C1398" s="70" t="s">
        <v>518</v>
      </c>
      <c r="D1398" s="70" t="s">
        <v>1608</v>
      </c>
      <c r="E1398" s="71" t="s">
        <v>165</v>
      </c>
      <c r="F1398" s="72" t="s">
        <v>30</v>
      </c>
      <c r="G1398" s="72"/>
      <c r="H1398" s="71" t="s">
        <v>13</v>
      </c>
      <c r="I1398" s="73">
        <v>7774.2</v>
      </c>
      <c r="J1398" s="73"/>
      <c r="K1398" s="74" t="s">
        <v>8</v>
      </c>
      <c r="L1398" s="75">
        <v>1940852.04</v>
      </c>
    </row>
    <row r="1399" spans="1:12" ht="112.2" x14ac:dyDescent="0.3">
      <c r="A1399" s="69" t="s">
        <v>1444</v>
      </c>
      <c r="B1399" s="70" t="s">
        <v>1607</v>
      </c>
      <c r="C1399" s="70" t="s">
        <v>518</v>
      </c>
      <c r="D1399" s="70" t="s">
        <v>1609</v>
      </c>
      <c r="E1399" s="71" t="s">
        <v>165</v>
      </c>
      <c r="F1399" s="72" t="s">
        <v>30</v>
      </c>
      <c r="G1399" s="72"/>
      <c r="H1399" s="71" t="s">
        <v>13</v>
      </c>
      <c r="I1399" s="73">
        <v>7534.8</v>
      </c>
      <c r="J1399" s="73"/>
      <c r="K1399" s="74" t="s">
        <v>8</v>
      </c>
      <c r="L1399" s="75">
        <v>1933317.24</v>
      </c>
    </row>
    <row r="1400" spans="1:12" ht="112.2" x14ac:dyDescent="0.3">
      <c r="A1400" s="69" t="s">
        <v>1444</v>
      </c>
      <c r="B1400" s="70" t="s">
        <v>1607</v>
      </c>
      <c r="C1400" s="70" t="s">
        <v>518</v>
      </c>
      <c r="D1400" s="70" t="s">
        <v>713</v>
      </c>
      <c r="E1400" s="71" t="s">
        <v>165</v>
      </c>
      <c r="F1400" s="72" t="s">
        <v>30</v>
      </c>
      <c r="G1400" s="72"/>
      <c r="H1400" s="71" t="s">
        <v>13</v>
      </c>
      <c r="I1400" s="73">
        <v>10999.8</v>
      </c>
      <c r="J1400" s="73"/>
      <c r="K1400" s="74" t="s">
        <v>8</v>
      </c>
      <c r="L1400" s="75">
        <v>1922317.44</v>
      </c>
    </row>
    <row r="1401" spans="1:12" ht="112.2" x14ac:dyDescent="0.3">
      <c r="A1401" s="69" t="s">
        <v>1444</v>
      </c>
      <c r="B1401" s="70" t="s">
        <v>1607</v>
      </c>
      <c r="C1401" s="70" t="s">
        <v>518</v>
      </c>
      <c r="D1401" s="70" t="s">
        <v>607</v>
      </c>
      <c r="E1401" s="71" t="s">
        <v>165</v>
      </c>
      <c r="F1401" s="72" t="s">
        <v>30</v>
      </c>
      <c r="G1401" s="72"/>
      <c r="H1401" s="71" t="s">
        <v>13</v>
      </c>
      <c r="I1401" s="73">
        <v>6186.6</v>
      </c>
      <c r="J1401" s="73"/>
      <c r="K1401" s="74" t="s">
        <v>8</v>
      </c>
      <c r="L1401" s="75">
        <v>1916130.84</v>
      </c>
    </row>
    <row r="1402" spans="1:12" ht="112.2" x14ac:dyDescent="0.3">
      <c r="A1402" s="69" t="s">
        <v>1444</v>
      </c>
      <c r="B1402" s="70" t="s">
        <v>1607</v>
      </c>
      <c r="C1402" s="70" t="s">
        <v>518</v>
      </c>
      <c r="D1402" s="70" t="s">
        <v>716</v>
      </c>
      <c r="E1402" s="71" t="s">
        <v>165</v>
      </c>
      <c r="F1402" s="72" t="s">
        <v>30</v>
      </c>
      <c r="G1402" s="72"/>
      <c r="H1402" s="71" t="s">
        <v>13</v>
      </c>
      <c r="I1402" s="73">
        <v>5644.8</v>
      </c>
      <c r="J1402" s="73"/>
      <c r="K1402" s="74" t="s">
        <v>8</v>
      </c>
      <c r="L1402" s="75">
        <v>1910486.04</v>
      </c>
    </row>
    <row r="1403" spans="1:12" ht="112.2" x14ac:dyDescent="0.3">
      <c r="A1403" s="69" t="s">
        <v>1444</v>
      </c>
      <c r="B1403" s="70" t="s">
        <v>1607</v>
      </c>
      <c r="C1403" s="70" t="s">
        <v>518</v>
      </c>
      <c r="D1403" s="70" t="s">
        <v>1610</v>
      </c>
      <c r="E1403" s="71" t="s">
        <v>165</v>
      </c>
      <c r="F1403" s="72" t="s">
        <v>30</v>
      </c>
      <c r="G1403" s="72"/>
      <c r="H1403" s="71" t="s">
        <v>13</v>
      </c>
      <c r="I1403" s="73">
        <v>8794.7999999999993</v>
      </c>
      <c r="J1403" s="73"/>
      <c r="K1403" s="74" t="s">
        <v>8</v>
      </c>
      <c r="L1403" s="75">
        <v>1901691.24</v>
      </c>
    </row>
    <row r="1404" spans="1:12" ht="112.2" x14ac:dyDescent="0.3">
      <c r="A1404" s="69" t="s">
        <v>1444</v>
      </c>
      <c r="B1404" s="70" t="s">
        <v>1607</v>
      </c>
      <c r="C1404" s="70" t="s">
        <v>518</v>
      </c>
      <c r="D1404" s="70" t="s">
        <v>1611</v>
      </c>
      <c r="E1404" s="71" t="s">
        <v>165</v>
      </c>
      <c r="F1404" s="72" t="s">
        <v>30</v>
      </c>
      <c r="G1404" s="72"/>
      <c r="H1404" s="71" t="s">
        <v>13</v>
      </c>
      <c r="I1404" s="73">
        <v>4284</v>
      </c>
      <c r="J1404" s="73"/>
      <c r="K1404" s="74" t="s">
        <v>8</v>
      </c>
      <c r="L1404" s="75">
        <v>1897407.24</v>
      </c>
    </row>
    <row r="1405" spans="1:12" ht="112.2" x14ac:dyDescent="0.3">
      <c r="A1405" s="69" t="s">
        <v>1444</v>
      </c>
      <c r="B1405" s="70" t="s">
        <v>1607</v>
      </c>
      <c r="C1405" s="70" t="s">
        <v>518</v>
      </c>
      <c r="D1405" s="70" t="s">
        <v>718</v>
      </c>
      <c r="E1405" s="71" t="s">
        <v>165</v>
      </c>
      <c r="F1405" s="72" t="s">
        <v>30</v>
      </c>
      <c r="G1405" s="72"/>
      <c r="H1405" s="71" t="s">
        <v>13</v>
      </c>
      <c r="I1405" s="73">
        <v>15120</v>
      </c>
      <c r="J1405" s="73"/>
      <c r="K1405" s="74" t="s">
        <v>8</v>
      </c>
      <c r="L1405" s="75">
        <v>1882287.24</v>
      </c>
    </row>
    <row r="1406" spans="1:12" ht="112.2" x14ac:dyDescent="0.3">
      <c r="A1406" s="69" t="s">
        <v>1444</v>
      </c>
      <c r="B1406" s="70" t="s">
        <v>1607</v>
      </c>
      <c r="C1406" s="70" t="s">
        <v>518</v>
      </c>
      <c r="D1406" s="70" t="s">
        <v>1612</v>
      </c>
      <c r="E1406" s="71" t="s">
        <v>165</v>
      </c>
      <c r="F1406" s="72" t="s">
        <v>30</v>
      </c>
      <c r="G1406" s="72"/>
      <c r="H1406" s="71" t="s">
        <v>13</v>
      </c>
      <c r="I1406" s="73">
        <v>4410</v>
      </c>
      <c r="J1406" s="73"/>
      <c r="K1406" s="74" t="s">
        <v>8</v>
      </c>
      <c r="L1406" s="75">
        <v>1877877.24</v>
      </c>
    </row>
    <row r="1407" spans="1:12" ht="112.2" x14ac:dyDescent="0.3">
      <c r="A1407" s="69" t="s">
        <v>1444</v>
      </c>
      <c r="B1407" s="70" t="s">
        <v>1607</v>
      </c>
      <c r="C1407" s="70" t="s">
        <v>518</v>
      </c>
      <c r="D1407" s="70" t="s">
        <v>1613</v>
      </c>
      <c r="E1407" s="71" t="s">
        <v>165</v>
      </c>
      <c r="F1407" s="72" t="s">
        <v>30</v>
      </c>
      <c r="G1407" s="72"/>
      <c r="H1407" s="71" t="s">
        <v>13</v>
      </c>
      <c r="I1407" s="73">
        <v>3792.6</v>
      </c>
      <c r="J1407" s="73"/>
      <c r="K1407" s="74" t="s">
        <v>8</v>
      </c>
      <c r="L1407" s="75">
        <v>1874084.64</v>
      </c>
    </row>
    <row r="1408" spans="1:12" ht="112.2" x14ac:dyDescent="0.3">
      <c r="A1408" s="69" t="s">
        <v>1444</v>
      </c>
      <c r="B1408" s="70" t="s">
        <v>1607</v>
      </c>
      <c r="C1408" s="70" t="s">
        <v>518</v>
      </c>
      <c r="D1408" s="70" t="s">
        <v>1614</v>
      </c>
      <c r="E1408" s="71" t="s">
        <v>165</v>
      </c>
      <c r="F1408" s="72" t="s">
        <v>30</v>
      </c>
      <c r="G1408" s="72"/>
      <c r="H1408" s="71" t="s">
        <v>13</v>
      </c>
      <c r="I1408" s="73">
        <v>9464.56</v>
      </c>
      <c r="J1408" s="73"/>
      <c r="K1408" s="74" t="s">
        <v>8</v>
      </c>
      <c r="L1408" s="75">
        <v>1864620.08</v>
      </c>
    </row>
    <row r="1409" spans="1:12" ht="112.2" x14ac:dyDescent="0.3">
      <c r="A1409" s="69" t="s">
        <v>1444</v>
      </c>
      <c r="B1409" s="70" t="s">
        <v>1607</v>
      </c>
      <c r="C1409" s="70" t="s">
        <v>518</v>
      </c>
      <c r="D1409" s="70" t="s">
        <v>719</v>
      </c>
      <c r="E1409" s="71" t="s">
        <v>165</v>
      </c>
      <c r="F1409" s="72" t="s">
        <v>30</v>
      </c>
      <c r="G1409" s="72"/>
      <c r="H1409" s="71" t="s">
        <v>13</v>
      </c>
      <c r="I1409" s="73">
        <v>9204.4500000000007</v>
      </c>
      <c r="J1409" s="73"/>
      <c r="K1409" s="74" t="s">
        <v>8</v>
      </c>
      <c r="L1409" s="75">
        <v>1855415.63</v>
      </c>
    </row>
    <row r="1410" spans="1:12" ht="112.2" x14ac:dyDescent="0.3">
      <c r="A1410" s="69" t="s">
        <v>1444</v>
      </c>
      <c r="B1410" s="70" t="s">
        <v>1607</v>
      </c>
      <c r="C1410" s="70" t="s">
        <v>518</v>
      </c>
      <c r="D1410" s="70" t="s">
        <v>720</v>
      </c>
      <c r="E1410" s="71" t="s">
        <v>165</v>
      </c>
      <c r="F1410" s="72" t="s">
        <v>30</v>
      </c>
      <c r="G1410" s="72"/>
      <c r="H1410" s="71" t="s">
        <v>13</v>
      </c>
      <c r="I1410" s="73">
        <v>42588.21</v>
      </c>
      <c r="J1410" s="73"/>
      <c r="K1410" s="74" t="s">
        <v>8</v>
      </c>
      <c r="L1410" s="75">
        <v>1812827.42</v>
      </c>
    </row>
    <row r="1411" spans="1:12" ht="112.2" x14ac:dyDescent="0.3">
      <c r="A1411" s="69" t="s">
        <v>1444</v>
      </c>
      <c r="B1411" s="70" t="s">
        <v>1607</v>
      </c>
      <c r="C1411" s="70" t="s">
        <v>518</v>
      </c>
      <c r="D1411" s="70" t="s">
        <v>721</v>
      </c>
      <c r="E1411" s="71" t="s">
        <v>165</v>
      </c>
      <c r="F1411" s="72" t="s">
        <v>30</v>
      </c>
      <c r="G1411" s="72"/>
      <c r="H1411" s="71" t="s">
        <v>13</v>
      </c>
      <c r="I1411" s="73">
        <v>48512.15</v>
      </c>
      <c r="J1411" s="73"/>
      <c r="K1411" s="74" t="s">
        <v>8</v>
      </c>
      <c r="L1411" s="75">
        <v>1764315.27</v>
      </c>
    </row>
    <row r="1412" spans="1:12" ht="112.2" x14ac:dyDescent="0.3">
      <c r="A1412" s="69" t="s">
        <v>1444</v>
      </c>
      <c r="B1412" s="70" t="s">
        <v>1607</v>
      </c>
      <c r="C1412" s="70" t="s">
        <v>518</v>
      </c>
      <c r="D1412" s="70" t="s">
        <v>1615</v>
      </c>
      <c r="E1412" s="71" t="s">
        <v>165</v>
      </c>
      <c r="F1412" s="72" t="s">
        <v>30</v>
      </c>
      <c r="G1412" s="72"/>
      <c r="H1412" s="71" t="s">
        <v>13</v>
      </c>
      <c r="I1412" s="73">
        <v>7666.75</v>
      </c>
      <c r="J1412" s="73"/>
      <c r="K1412" s="74" t="s">
        <v>8</v>
      </c>
      <c r="L1412" s="75">
        <v>1756648.52</v>
      </c>
    </row>
    <row r="1413" spans="1:12" ht="112.2" x14ac:dyDescent="0.3">
      <c r="A1413" s="69" t="s">
        <v>1444</v>
      </c>
      <c r="B1413" s="70" t="s">
        <v>1607</v>
      </c>
      <c r="C1413" s="70" t="s">
        <v>518</v>
      </c>
      <c r="D1413" s="70" t="s">
        <v>612</v>
      </c>
      <c r="E1413" s="71" t="s">
        <v>165</v>
      </c>
      <c r="F1413" s="72" t="s">
        <v>30</v>
      </c>
      <c r="G1413" s="72"/>
      <c r="H1413" s="71" t="s">
        <v>13</v>
      </c>
      <c r="I1413" s="73">
        <v>13279.02</v>
      </c>
      <c r="J1413" s="73"/>
      <c r="K1413" s="74" t="s">
        <v>8</v>
      </c>
      <c r="L1413" s="75">
        <v>1743369.5</v>
      </c>
    </row>
    <row r="1414" spans="1:12" ht="112.2" x14ac:dyDescent="0.3">
      <c r="A1414" s="69" t="s">
        <v>1444</v>
      </c>
      <c r="B1414" s="70" t="s">
        <v>1607</v>
      </c>
      <c r="C1414" s="70" t="s">
        <v>518</v>
      </c>
      <c r="D1414" s="70" t="s">
        <v>613</v>
      </c>
      <c r="E1414" s="71" t="s">
        <v>165</v>
      </c>
      <c r="F1414" s="72" t="s">
        <v>30</v>
      </c>
      <c r="G1414" s="72"/>
      <c r="H1414" s="71" t="s">
        <v>13</v>
      </c>
      <c r="I1414" s="73">
        <v>30291.16</v>
      </c>
      <c r="J1414" s="73"/>
      <c r="K1414" s="74" t="s">
        <v>8</v>
      </c>
      <c r="L1414" s="75">
        <v>1713078.34</v>
      </c>
    </row>
    <row r="1415" spans="1:12" ht="112.2" x14ac:dyDescent="0.3">
      <c r="A1415" s="69" t="s">
        <v>1444</v>
      </c>
      <c r="B1415" s="70" t="s">
        <v>1607</v>
      </c>
      <c r="C1415" s="70" t="s">
        <v>518</v>
      </c>
      <c r="D1415" s="70" t="s">
        <v>614</v>
      </c>
      <c r="E1415" s="71" t="s">
        <v>165</v>
      </c>
      <c r="F1415" s="72" t="s">
        <v>30</v>
      </c>
      <c r="G1415" s="72"/>
      <c r="H1415" s="71" t="s">
        <v>13</v>
      </c>
      <c r="I1415" s="73">
        <v>9957.26</v>
      </c>
      <c r="J1415" s="73"/>
      <c r="K1415" s="74" t="s">
        <v>8</v>
      </c>
      <c r="L1415" s="75">
        <v>1703121.08</v>
      </c>
    </row>
    <row r="1416" spans="1:12" ht="112.2" x14ac:dyDescent="0.3">
      <c r="A1416" s="69" t="s">
        <v>1444</v>
      </c>
      <c r="B1416" s="70" t="s">
        <v>1607</v>
      </c>
      <c r="C1416" s="70" t="s">
        <v>518</v>
      </c>
      <c r="D1416" s="70" t="s">
        <v>1616</v>
      </c>
      <c r="E1416" s="71" t="s">
        <v>165</v>
      </c>
      <c r="F1416" s="72" t="s">
        <v>30</v>
      </c>
      <c r="G1416" s="72"/>
      <c r="H1416" s="71" t="s">
        <v>13</v>
      </c>
      <c r="I1416" s="73">
        <v>4597.07</v>
      </c>
      <c r="J1416" s="73"/>
      <c r="K1416" s="74" t="s">
        <v>8</v>
      </c>
      <c r="L1416" s="75">
        <v>1698524.01</v>
      </c>
    </row>
    <row r="1417" spans="1:12" ht="112.2" x14ac:dyDescent="0.3">
      <c r="A1417" s="69" t="s">
        <v>1444</v>
      </c>
      <c r="B1417" s="70" t="s">
        <v>1607</v>
      </c>
      <c r="C1417" s="70" t="s">
        <v>518</v>
      </c>
      <c r="D1417" s="70" t="s">
        <v>1617</v>
      </c>
      <c r="E1417" s="71" t="s">
        <v>165</v>
      </c>
      <c r="F1417" s="72" t="s">
        <v>30</v>
      </c>
      <c r="G1417" s="72"/>
      <c r="H1417" s="71" t="s">
        <v>13</v>
      </c>
      <c r="I1417" s="73">
        <v>4597.07</v>
      </c>
      <c r="J1417" s="73"/>
      <c r="K1417" s="74" t="s">
        <v>8</v>
      </c>
      <c r="L1417" s="75">
        <v>1693926.94</v>
      </c>
    </row>
    <row r="1418" spans="1:12" ht="112.2" x14ac:dyDescent="0.3">
      <c r="A1418" s="69" t="s">
        <v>1444</v>
      </c>
      <c r="B1418" s="70" t="s">
        <v>1607</v>
      </c>
      <c r="C1418" s="70" t="s">
        <v>518</v>
      </c>
      <c r="D1418" s="70" t="s">
        <v>1617</v>
      </c>
      <c r="E1418" s="71" t="s">
        <v>165</v>
      </c>
      <c r="F1418" s="72" t="s">
        <v>30</v>
      </c>
      <c r="G1418" s="72"/>
      <c r="H1418" s="71" t="s">
        <v>13</v>
      </c>
      <c r="I1418" s="73">
        <v>4597.07</v>
      </c>
      <c r="J1418" s="73"/>
      <c r="K1418" s="74" t="s">
        <v>8</v>
      </c>
      <c r="L1418" s="75">
        <v>1689329.87</v>
      </c>
    </row>
    <row r="1419" spans="1:12" ht="112.2" x14ac:dyDescent="0.3">
      <c r="A1419" s="69" t="s">
        <v>1444</v>
      </c>
      <c r="B1419" s="70" t="s">
        <v>1607</v>
      </c>
      <c r="C1419" s="70" t="s">
        <v>518</v>
      </c>
      <c r="D1419" s="70" t="s">
        <v>1618</v>
      </c>
      <c r="E1419" s="71" t="s">
        <v>165</v>
      </c>
      <c r="F1419" s="72" t="s">
        <v>30</v>
      </c>
      <c r="G1419" s="72"/>
      <c r="H1419" s="71" t="s">
        <v>13</v>
      </c>
      <c r="I1419" s="73">
        <v>5471.34</v>
      </c>
      <c r="J1419" s="73"/>
      <c r="K1419" s="74" t="s">
        <v>8</v>
      </c>
      <c r="L1419" s="75">
        <v>1683858.53</v>
      </c>
    </row>
    <row r="1420" spans="1:12" ht="112.2" x14ac:dyDescent="0.3">
      <c r="A1420" s="69" t="s">
        <v>1444</v>
      </c>
      <c r="B1420" s="70" t="s">
        <v>1607</v>
      </c>
      <c r="C1420" s="70" t="s">
        <v>518</v>
      </c>
      <c r="D1420" s="70" t="s">
        <v>1619</v>
      </c>
      <c r="E1420" s="71" t="s">
        <v>165</v>
      </c>
      <c r="F1420" s="72" t="s">
        <v>30</v>
      </c>
      <c r="G1420" s="72"/>
      <c r="H1420" s="71" t="s">
        <v>13</v>
      </c>
      <c r="I1420" s="73">
        <v>10816.63</v>
      </c>
      <c r="J1420" s="73"/>
      <c r="K1420" s="74" t="s">
        <v>8</v>
      </c>
      <c r="L1420" s="75">
        <v>1673041.9</v>
      </c>
    </row>
    <row r="1421" spans="1:12" ht="112.2" x14ac:dyDescent="0.3">
      <c r="A1421" s="69" t="s">
        <v>1444</v>
      </c>
      <c r="B1421" s="70" t="s">
        <v>1607</v>
      </c>
      <c r="C1421" s="70" t="s">
        <v>518</v>
      </c>
      <c r="D1421" s="70" t="s">
        <v>724</v>
      </c>
      <c r="E1421" s="71" t="s">
        <v>165</v>
      </c>
      <c r="F1421" s="72" t="s">
        <v>30</v>
      </c>
      <c r="G1421" s="72"/>
      <c r="H1421" s="71" t="s">
        <v>13</v>
      </c>
      <c r="I1421" s="73">
        <v>32760</v>
      </c>
      <c r="J1421" s="73"/>
      <c r="K1421" s="74" t="s">
        <v>8</v>
      </c>
      <c r="L1421" s="75">
        <v>1640281.9</v>
      </c>
    </row>
    <row r="1422" spans="1:12" ht="112.2" x14ac:dyDescent="0.3">
      <c r="A1422" s="69" t="s">
        <v>1444</v>
      </c>
      <c r="B1422" s="70" t="s">
        <v>1607</v>
      </c>
      <c r="C1422" s="70" t="s">
        <v>518</v>
      </c>
      <c r="D1422" s="70" t="s">
        <v>725</v>
      </c>
      <c r="E1422" s="71" t="s">
        <v>165</v>
      </c>
      <c r="F1422" s="72" t="s">
        <v>30</v>
      </c>
      <c r="G1422" s="72"/>
      <c r="H1422" s="71" t="s">
        <v>13</v>
      </c>
      <c r="I1422" s="73">
        <v>47190</v>
      </c>
      <c r="J1422" s="73"/>
      <c r="K1422" s="74" t="s">
        <v>8</v>
      </c>
      <c r="L1422" s="75">
        <v>1593091.9</v>
      </c>
    </row>
    <row r="1423" spans="1:12" ht="112.2" x14ac:dyDescent="0.3">
      <c r="A1423" s="69" t="s">
        <v>1444</v>
      </c>
      <c r="B1423" s="70" t="s">
        <v>1607</v>
      </c>
      <c r="C1423" s="70" t="s">
        <v>518</v>
      </c>
      <c r="D1423" s="70" t="s">
        <v>615</v>
      </c>
      <c r="E1423" s="71" t="s">
        <v>165</v>
      </c>
      <c r="F1423" s="72" t="s">
        <v>30</v>
      </c>
      <c r="G1423" s="72"/>
      <c r="H1423" s="71" t="s">
        <v>13</v>
      </c>
      <c r="I1423" s="73">
        <v>12759.5</v>
      </c>
      <c r="J1423" s="73"/>
      <c r="K1423" s="74" t="s">
        <v>8</v>
      </c>
      <c r="L1423" s="75">
        <v>1580332.4</v>
      </c>
    </row>
    <row r="1424" spans="1:12" ht="112.2" x14ac:dyDescent="0.3">
      <c r="A1424" s="69" t="s">
        <v>1444</v>
      </c>
      <c r="B1424" s="70" t="s">
        <v>1607</v>
      </c>
      <c r="C1424" s="70" t="s">
        <v>518</v>
      </c>
      <c r="D1424" s="70" t="s">
        <v>616</v>
      </c>
      <c r="E1424" s="71" t="s">
        <v>165</v>
      </c>
      <c r="F1424" s="72" t="s">
        <v>30</v>
      </c>
      <c r="G1424" s="72"/>
      <c r="H1424" s="71" t="s">
        <v>13</v>
      </c>
      <c r="I1424" s="73">
        <v>5824</v>
      </c>
      <c r="J1424" s="73"/>
      <c r="K1424" s="74" t="s">
        <v>8</v>
      </c>
      <c r="L1424" s="75">
        <v>1574508.4</v>
      </c>
    </row>
    <row r="1425" spans="1:12" ht="112.2" x14ac:dyDescent="0.3">
      <c r="A1425" s="69" t="s">
        <v>1444</v>
      </c>
      <c r="B1425" s="70" t="s">
        <v>1607</v>
      </c>
      <c r="C1425" s="70" t="s">
        <v>518</v>
      </c>
      <c r="D1425" s="70" t="s">
        <v>1319</v>
      </c>
      <c r="E1425" s="71" t="s">
        <v>165</v>
      </c>
      <c r="F1425" s="72" t="s">
        <v>30</v>
      </c>
      <c r="G1425" s="72"/>
      <c r="H1425" s="71" t="s">
        <v>13</v>
      </c>
      <c r="I1425" s="73">
        <v>3492.48</v>
      </c>
      <c r="J1425" s="73"/>
      <c r="K1425" s="74" t="s">
        <v>8</v>
      </c>
      <c r="L1425" s="75">
        <v>1571015.92</v>
      </c>
    </row>
    <row r="1426" spans="1:12" ht="91.8" x14ac:dyDescent="0.3">
      <c r="A1426" s="69" t="s">
        <v>1444</v>
      </c>
      <c r="B1426" s="70" t="s">
        <v>1607</v>
      </c>
      <c r="C1426" s="70" t="s">
        <v>518</v>
      </c>
      <c r="D1426" s="70" t="s">
        <v>617</v>
      </c>
      <c r="E1426" s="71" t="s">
        <v>165</v>
      </c>
      <c r="F1426" s="72" t="s">
        <v>30</v>
      </c>
      <c r="G1426" s="72"/>
      <c r="H1426" s="71" t="s">
        <v>13</v>
      </c>
      <c r="I1426" s="73">
        <v>1472.89</v>
      </c>
      <c r="J1426" s="73"/>
      <c r="K1426" s="74" t="s">
        <v>8</v>
      </c>
      <c r="L1426" s="75">
        <v>1569543.03</v>
      </c>
    </row>
    <row r="1427" spans="1:12" ht="102" x14ac:dyDescent="0.3">
      <c r="A1427" s="69" t="s">
        <v>1444</v>
      </c>
      <c r="B1427" s="70" t="s">
        <v>1607</v>
      </c>
      <c r="C1427" s="70" t="s">
        <v>518</v>
      </c>
      <c r="D1427" s="70" t="s">
        <v>618</v>
      </c>
      <c r="E1427" s="71" t="s">
        <v>165</v>
      </c>
      <c r="F1427" s="72" t="s">
        <v>30</v>
      </c>
      <c r="G1427" s="72"/>
      <c r="H1427" s="71" t="s">
        <v>13</v>
      </c>
      <c r="I1427" s="78">
        <v>126.75</v>
      </c>
      <c r="J1427" s="78"/>
      <c r="K1427" s="74" t="s">
        <v>8</v>
      </c>
      <c r="L1427" s="75">
        <v>1569416.28</v>
      </c>
    </row>
    <row r="1428" spans="1:12" ht="102" x14ac:dyDescent="0.3">
      <c r="A1428" s="69" t="s">
        <v>1444</v>
      </c>
      <c r="B1428" s="70" t="s">
        <v>1607</v>
      </c>
      <c r="C1428" s="70" t="s">
        <v>518</v>
      </c>
      <c r="D1428" s="70" t="s">
        <v>618</v>
      </c>
      <c r="E1428" s="71" t="s">
        <v>165</v>
      </c>
      <c r="F1428" s="72" t="s">
        <v>30</v>
      </c>
      <c r="G1428" s="72"/>
      <c r="H1428" s="71" t="s">
        <v>13</v>
      </c>
      <c r="I1428" s="73">
        <v>5941</v>
      </c>
      <c r="J1428" s="73"/>
      <c r="K1428" s="74" t="s">
        <v>8</v>
      </c>
      <c r="L1428" s="75">
        <v>1563475.28</v>
      </c>
    </row>
    <row r="1429" spans="1:12" ht="102" x14ac:dyDescent="0.3">
      <c r="A1429" s="69" t="s">
        <v>1444</v>
      </c>
      <c r="B1429" s="70" t="s">
        <v>1607</v>
      </c>
      <c r="C1429" s="70" t="s">
        <v>518</v>
      </c>
      <c r="D1429" s="70" t="s">
        <v>1620</v>
      </c>
      <c r="E1429" s="71" t="s">
        <v>165</v>
      </c>
      <c r="F1429" s="72" t="s">
        <v>30</v>
      </c>
      <c r="G1429" s="72"/>
      <c r="H1429" s="71" t="s">
        <v>13</v>
      </c>
      <c r="I1429" s="78">
        <v>126.75</v>
      </c>
      <c r="J1429" s="78"/>
      <c r="K1429" s="74" t="s">
        <v>8</v>
      </c>
      <c r="L1429" s="75">
        <v>1563348.53</v>
      </c>
    </row>
    <row r="1430" spans="1:12" ht="102" x14ac:dyDescent="0.3">
      <c r="A1430" s="69" t="s">
        <v>1444</v>
      </c>
      <c r="B1430" s="70" t="s">
        <v>1607</v>
      </c>
      <c r="C1430" s="70" t="s">
        <v>518</v>
      </c>
      <c r="D1430" s="70" t="s">
        <v>619</v>
      </c>
      <c r="E1430" s="71" t="s">
        <v>165</v>
      </c>
      <c r="F1430" s="72" t="s">
        <v>30</v>
      </c>
      <c r="G1430" s="72"/>
      <c r="H1430" s="71" t="s">
        <v>13</v>
      </c>
      <c r="I1430" s="73">
        <v>4787.42</v>
      </c>
      <c r="J1430" s="73"/>
      <c r="K1430" s="74" t="s">
        <v>8</v>
      </c>
      <c r="L1430" s="75">
        <v>1558561.11</v>
      </c>
    </row>
    <row r="1431" spans="1:12" ht="102" x14ac:dyDescent="0.3">
      <c r="A1431" s="69" t="s">
        <v>1444</v>
      </c>
      <c r="B1431" s="70" t="s">
        <v>1607</v>
      </c>
      <c r="C1431" s="70" t="s">
        <v>518</v>
      </c>
      <c r="D1431" s="70" t="s">
        <v>1621</v>
      </c>
      <c r="E1431" s="71" t="s">
        <v>165</v>
      </c>
      <c r="F1431" s="72" t="s">
        <v>30</v>
      </c>
      <c r="G1431" s="72"/>
      <c r="H1431" s="71" t="s">
        <v>13</v>
      </c>
      <c r="I1431" s="73">
        <v>2060.8000000000002</v>
      </c>
      <c r="J1431" s="73"/>
      <c r="K1431" s="74" t="s">
        <v>8</v>
      </c>
      <c r="L1431" s="75">
        <v>1556500.31</v>
      </c>
    </row>
    <row r="1432" spans="1:12" ht="102" x14ac:dyDescent="0.3">
      <c r="A1432" s="69" t="s">
        <v>1444</v>
      </c>
      <c r="B1432" s="70" t="s">
        <v>1607</v>
      </c>
      <c r="C1432" s="70" t="s">
        <v>518</v>
      </c>
      <c r="D1432" s="70" t="s">
        <v>620</v>
      </c>
      <c r="E1432" s="71" t="s">
        <v>165</v>
      </c>
      <c r="F1432" s="72" t="s">
        <v>30</v>
      </c>
      <c r="G1432" s="72"/>
      <c r="H1432" s="71" t="s">
        <v>13</v>
      </c>
      <c r="I1432" s="78">
        <v>346.33</v>
      </c>
      <c r="J1432" s="78"/>
      <c r="K1432" s="74" t="s">
        <v>8</v>
      </c>
      <c r="L1432" s="75">
        <v>1556153.98</v>
      </c>
    </row>
    <row r="1433" spans="1:12" ht="112.2" x14ac:dyDescent="0.3">
      <c r="A1433" s="69" t="s">
        <v>1444</v>
      </c>
      <c r="B1433" s="70" t="s">
        <v>1607</v>
      </c>
      <c r="C1433" s="70" t="s">
        <v>518</v>
      </c>
      <c r="D1433" s="70" t="s">
        <v>1622</v>
      </c>
      <c r="E1433" s="71" t="s">
        <v>165</v>
      </c>
      <c r="F1433" s="72" t="s">
        <v>30</v>
      </c>
      <c r="G1433" s="72"/>
      <c r="H1433" s="71" t="s">
        <v>13</v>
      </c>
      <c r="I1433" s="73">
        <v>377599.67</v>
      </c>
      <c r="J1433" s="73"/>
      <c r="K1433" s="74" t="s">
        <v>8</v>
      </c>
      <c r="L1433" s="75">
        <v>1178554.31</v>
      </c>
    </row>
    <row r="1434" spans="1:12" ht="91.8" x14ac:dyDescent="0.3">
      <c r="A1434" s="69" t="s">
        <v>1444</v>
      </c>
      <c r="B1434" s="70" t="s">
        <v>1607</v>
      </c>
      <c r="C1434" s="70" t="s">
        <v>518</v>
      </c>
      <c r="D1434" s="70" t="s">
        <v>617</v>
      </c>
      <c r="E1434" s="71" t="s">
        <v>165</v>
      </c>
      <c r="F1434" s="72" t="s">
        <v>30</v>
      </c>
      <c r="G1434" s="72"/>
      <c r="H1434" s="71" t="s">
        <v>13</v>
      </c>
      <c r="I1434" s="78">
        <v>530.41999999999996</v>
      </c>
      <c r="J1434" s="78"/>
      <c r="K1434" s="74" t="s">
        <v>8</v>
      </c>
      <c r="L1434" s="75">
        <v>1178023.8899999999</v>
      </c>
    </row>
    <row r="1435" spans="1:12" ht="91.8" x14ac:dyDescent="0.3">
      <c r="A1435" s="69" t="s">
        <v>1444</v>
      </c>
      <c r="B1435" s="70" t="s">
        <v>1607</v>
      </c>
      <c r="C1435" s="70" t="s">
        <v>518</v>
      </c>
      <c r="D1435" s="70" t="s">
        <v>1321</v>
      </c>
      <c r="E1435" s="71" t="s">
        <v>165</v>
      </c>
      <c r="F1435" s="72" t="s">
        <v>30</v>
      </c>
      <c r="G1435" s="72"/>
      <c r="H1435" s="71" t="s">
        <v>13</v>
      </c>
      <c r="I1435" s="73">
        <v>1394.57</v>
      </c>
      <c r="J1435" s="73"/>
      <c r="K1435" s="74" t="s">
        <v>8</v>
      </c>
      <c r="L1435" s="75">
        <v>1176629.32</v>
      </c>
    </row>
    <row r="1436" spans="1:12" ht="91.8" x14ac:dyDescent="0.3">
      <c r="A1436" s="69" t="s">
        <v>1444</v>
      </c>
      <c r="B1436" s="70" t="s">
        <v>1607</v>
      </c>
      <c r="C1436" s="70" t="s">
        <v>518</v>
      </c>
      <c r="D1436" s="70" t="s">
        <v>1623</v>
      </c>
      <c r="E1436" s="71" t="s">
        <v>165</v>
      </c>
      <c r="F1436" s="72" t="s">
        <v>30</v>
      </c>
      <c r="G1436" s="72"/>
      <c r="H1436" s="71" t="s">
        <v>13</v>
      </c>
      <c r="I1436" s="73">
        <v>1125</v>
      </c>
      <c r="J1436" s="73"/>
      <c r="K1436" s="74" t="s">
        <v>8</v>
      </c>
      <c r="L1436" s="75">
        <v>1175504.32</v>
      </c>
    </row>
    <row r="1437" spans="1:12" ht="102" x14ac:dyDescent="0.3">
      <c r="A1437" s="69" t="s">
        <v>1444</v>
      </c>
      <c r="B1437" s="70" t="s">
        <v>1607</v>
      </c>
      <c r="C1437" s="70" t="s">
        <v>518</v>
      </c>
      <c r="D1437" s="70" t="s">
        <v>1620</v>
      </c>
      <c r="E1437" s="71" t="s">
        <v>165</v>
      </c>
      <c r="F1437" s="72" t="s">
        <v>30</v>
      </c>
      <c r="G1437" s="72"/>
      <c r="H1437" s="71" t="s">
        <v>13</v>
      </c>
      <c r="I1437" s="73">
        <v>3412.5</v>
      </c>
      <c r="J1437" s="73"/>
      <c r="K1437" s="74" t="s">
        <v>8</v>
      </c>
      <c r="L1437" s="75">
        <v>1172091.82</v>
      </c>
    </row>
    <row r="1438" spans="1:12" ht="91.8" x14ac:dyDescent="0.3">
      <c r="A1438" s="69" t="s">
        <v>1444</v>
      </c>
      <c r="B1438" s="70" t="s">
        <v>1607</v>
      </c>
      <c r="C1438" s="70" t="s">
        <v>518</v>
      </c>
      <c r="D1438" s="70" t="s">
        <v>1624</v>
      </c>
      <c r="E1438" s="71" t="s">
        <v>165</v>
      </c>
      <c r="F1438" s="72" t="s">
        <v>30</v>
      </c>
      <c r="G1438" s="72"/>
      <c r="H1438" s="71" t="s">
        <v>13</v>
      </c>
      <c r="I1438" s="78">
        <v>930</v>
      </c>
      <c r="J1438" s="78"/>
      <c r="K1438" s="74" t="s">
        <v>8</v>
      </c>
      <c r="L1438" s="75">
        <v>1171161.82</v>
      </c>
    </row>
    <row r="1439" spans="1:12" ht="102" x14ac:dyDescent="0.3">
      <c r="A1439" s="69" t="s">
        <v>1444</v>
      </c>
      <c r="B1439" s="70" t="s">
        <v>1607</v>
      </c>
      <c r="C1439" s="70" t="s">
        <v>518</v>
      </c>
      <c r="D1439" s="70" t="s">
        <v>1621</v>
      </c>
      <c r="E1439" s="71" t="s">
        <v>165</v>
      </c>
      <c r="F1439" s="72" t="s">
        <v>30</v>
      </c>
      <c r="G1439" s="72"/>
      <c r="H1439" s="71" t="s">
        <v>13</v>
      </c>
      <c r="I1439" s="73">
        <v>10752</v>
      </c>
      <c r="J1439" s="73"/>
      <c r="K1439" s="74" t="s">
        <v>8</v>
      </c>
      <c r="L1439" s="75">
        <v>1160409.82</v>
      </c>
    </row>
    <row r="1440" spans="1:12" ht="102" x14ac:dyDescent="0.3">
      <c r="A1440" s="69" t="s">
        <v>1444</v>
      </c>
      <c r="B1440" s="70" t="s">
        <v>1607</v>
      </c>
      <c r="C1440" s="70" t="s">
        <v>518</v>
      </c>
      <c r="D1440" s="70" t="s">
        <v>1625</v>
      </c>
      <c r="E1440" s="71" t="s">
        <v>165</v>
      </c>
      <c r="F1440" s="72" t="s">
        <v>30</v>
      </c>
      <c r="G1440" s="72"/>
      <c r="H1440" s="71" t="s">
        <v>13</v>
      </c>
      <c r="I1440" s="78">
        <v>875</v>
      </c>
      <c r="J1440" s="78"/>
      <c r="K1440" s="74" t="s">
        <v>8</v>
      </c>
      <c r="L1440" s="75">
        <v>1159534.82</v>
      </c>
    </row>
    <row r="1441" spans="1:12" ht="61.2" x14ac:dyDescent="0.3">
      <c r="A1441" s="69" t="s">
        <v>1444</v>
      </c>
      <c r="B1441" s="70" t="s">
        <v>1626</v>
      </c>
      <c r="C1441" s="70" t="s">
        <v>518</v>
      </c>
      <c r="D1441" s="70" t="s">
        <v>484</v>
      </c>
      <c r="E1441" s="71" t="s">
        <v>165</v>
      </c>
      <c r="F1441" s="72" t="s">
        <v>30</v>
      </c>
      <c r="G1441" s="72"/>
      <c r="H1441" s="71" t="s">
        <v>13</v>
      </c>
      <c r="I1441" s="73">
        <v>56222.01</v>
      </c>
      <c r="J1441" s="73"/>
      <c r="K1441" s="74" t="s">
        <v>8</v>
      </c>
      <c r="L1441" s="75">
        <v>4627930.58</v>
      </c>
    </row>
    <row r="1442" spans="1:12" ht="71.400000000000006" x14ac:dyDescent="0.3">
      <c r="A1442" s="69" t="s">
        <v>1444</v>
      </c>
      <c r="B1442" s="70" t="s">
        <v>1626</v>
      </c>
      <c r="C1442" s="70" t="s">
        <v>518</v>
      </c>
      <c r="D1442" s="70" t="s">
        <v>760</v>
      </c>
      <c r="E1442" s="71" t="s">
        <v>165</v>
      </c>
      <c r="F1442" s="72" t="s">
        <v>30</v>
      </c>
      <c r="G1442" s="72"/>
      <c r="H1442" s="71" t="s">
        <v>13</v>
      </c>
      <c r="I1442" s="73">
        <v>1054.3</v>
      </c>
      <c r="J1442" s="73"/>
      <c r="K1442" s="74" t="s">
        <v>8</v>
      </c>
      <c r="L1442" s="75">
        <v>4626876.28</v>
      </c>
    </row>
    <row r="1443" spans="1:12" ht="71.400000000000006" x14ac:dyDescent="0.3">
      <c r="A1443" s="69" t="s">
        <v>1444</v>
      </c>
      <c r="B1443" s="70" t="s">
        <v>1626</v>
      </c>
      <c r="C1443" s="70" t="s">
        <v>518</v>
      </c>
      <c r="D1443" s="70" t="s">
        <v>1627</v>
      </c>
      <c r="E1443" s="71" t="s">
        <v>165</v>
      </c>
      <c r="F1443" s="72" t="s">
        <v>30</v>
      </c>
      <c r="G1443" s="72"/>
      <c r="H1443" s="71" t="s">
        <v>13</v>
      </c>
      <c r="I1443" s="78">
        <v>443.02</v>
      </c>
      <c r="J1443" s="78"/>
      <c r="K1443" s="74" t="s">
        <v>8</v>
      </c>
      <c r="L1443" s="75">
        <v>4626433.26</v>
      </c>
    </row>
    <row r="1444" spans="1:12" ht="71.400000000000006" x14ac:dyDescent="0.3">
      <c r="A1444" s="69" t="s">
        <v>1444</v>
      </c>
      <c r="B1444" s="70" t="s">
        <v>1626</v>
      </c>
      <c r="C1444" s="70" t="s">
        <v>518</v>
      </c>
      <c r="D1444" s="70" t="s">
        <v>1628</v>
      </c>
      <c r="E1444" s="71" t="s">
        <v>165</v>
      </c>
      <c r="F1444" s="72" t="s">
        <v>30</v>
      </c>
      <c r="G1444" s="72"/>
      <c r="H1444" s="71" t="s">
        <v>13</v>
      </c>
      <c r="I1444" s="78">
        <v>289.44</v>
      </c>
      <c r="J1444" s="78"/>
      <c r="K1444" s="74" t="s">
        <v>8</v>
      </c>
      <c r="L1444" s="75">
        <v>4626143.82</v>
      </c>
    </row>
    <row r="1445" spans="1:12" ht="61.2" x14ac:dyDescent="0.3">
      <c r="A1445" s="69" t="s">
        <v>1444</v>
      </c>
      <c r="B1445" s="70" t="s">
        <v>1626</v>
      </c>
      <c r="C1445" s="70" t="s">
        <v>518</v>
      </c>
      <c r="D1445" s="70" t="s">
        <v>1629</v>
      </c>
      <c r="E1445" s="71" t="s">
        <v>165</v>
      </c>
      <c r="F1445" s="72" t="s">
        <v>30</v>
      </c>
      <c r="G1445" s="72"/>
      <c r="H1445" s="71" t="s">
        <v>13</v>
      </c>
      <c r="I1445" s="78">
        <v>690.83</v>
      </c>
      <c r="J1445" s="78"/>
      <c r="K1445" s="74" t="s">
        <v>8</v>
      </c>
      <c r="L1445" s="75">
        <v>4625452.99</v>
      </c>
    </row>
    <row r="1446" spans="1:12" ht="61.2" x14ac:dyDescent="0.3">
      <c r="A1446" s="69" t="s">
        <v>1444</v>
      </c>
      <c r="B1446" s="70" t="s">
        <v>1626</v>
      </c>
      <c r="C1446" s="70" t="s">
        <v>518</v>
      </c>
      <c r="D1446" s="70" t="s">
        <v>486</v>
      </c>
      <c r="E1446" s="71" t="s">
        <v>165</v>
      </c>
      <c r="F1446" s="72" t="s">
        <v>30</v>
      </c>
      <c r="G1446" s="72"/>
      <c r="H1446" s="71" t="s">
        <v>13</v>
      </c>
      <c r="I1446" s="73">
        <v>2862.83</v>
      </c>
      <c r="J1446" s="73"/>
      <c r="K1446" s="74" t="s">
        <v>8</v>
      </c>
      <c r="L1446" s="75">
        <v>4622590.16</v>
      </c>
    </row>
    <row r="1447" spans="1:12" ht="61.2" x14ac:dyDescent="0.3">
      <c r="A1447" s="69" t="s">
        <v>1444</v>
      </c>
      <c r="B1447" s="70" t="s">
        <v>1626</v>
      </c>
      <c r="C1447" s="70" t="s">
        <v>518</v>
      </c>
      <c r="D1447" s="70" t="s">
        <v>772</v>
      </c>
      <c r="E1447" s="71" t="s">
        <v>165</v>
      </c>
      <c r="F1447" s="72" t="s">
        <v>30</v>
      </c>
      <c r="G1447" s="72"/>
      <c r="H1447" s="71" t="s">
        <v>13</v>
      </c>
      <c r="I1447" s="73">
        <v>3483.56</v>
      </c>
      <c r="J1447" s="73"/>
      <c r="K1447" s="74" t="s">
        <v>8</v>
      </c>
      <c r="L1447" s="75">
        <v>4619106.5999999996</v>
      </c>
    </row>
    <row r="1448" spans="1:12" ht="61.2" hidden="1" x14ac:dyDescent="0.3">
      <c r="A1448" s="69" t="s">
        <v>162</v>
      </c>
      <c r="B1448" s="70" t="s">
        <v>1630</v>
      </c>
      <c r="C1448" s="70" t="s">
        <v>1631</v>
      </c>
      <c r="D1448" s="70" t="s">
        <v>1632</v>
      </c>
      <c r="E1448" s="71" t="s">
        <v>13</v>
      </c>
      <c r="F1448" s="76">
        <v>1969.47</v>
      </c>
      <c r="G1448" s="76"/>
      <c r="H1448" s="71" t="s">
        <v>457</v>
      </c>
      <c r="I1448" s="77" t="s">
        <v>30</v>
      </c>
      <c r="J1448" s="77"/>
      <c r="K1448" s="74" t="s">
        <v>8</v>
      </c>
      <c r="L1448" s="75">
        <v>4621076.07</v>
      </c>
    </row>
    <row r="1449" spans="1:12" ht="61.2" hidden="1" x14ac:dyDescent="0.3">
      <c r="A1449" s="69" t="s">
        <v>162</v>
      </c>
      <c r="B1449" s="70" t="s">
        <v>1633</v>
      </c>
      <c r="C1449" s="70" t="s">
        <v>1631</v>
      </c>
      <c r="D1449" s="70" t="s">
        <v>1632</v>
      </c>
      <c r="E1449" s="71" t="s">
        <v>13</v>
      </c>
      <c r="F1449" s="76">
        <v>47267.1</v>
      </c>
      <c r="G1449" s="76"/>
      <c r="H1449" s="71" t="s">
        <v>457</v>
      </c>
      <c r="I1449" s="77" t="s">
        <v>30</v>
      </c>
      <c r="J1449" s="77"/>
      <c r="K1449" s="74" t="s">
        <v>8</v>
      </c>
      <c r="L1449" s="75">
        <v>4668343.17</v>
      </c>
    </row>
    <row r="1450" spans="1:12" ht="71.400000000000006" hidden="1" x14ac:dyDescent="0.3">
      <c r="A1450" s="69" t="s">
        <v>162</v>
      </c>
      <c r="B1450" s="70" t="s">
        <v>1634</v>
      </c>
      <c r="C1450" s="70" t="s">
        <v>1635</v>
      </c>
      <c r="D1450" s="70" t="s">
        <v>1636</v>
      </c>
      <c r="E1450" s="71" t="s">
        <v>13</v>
      </c>
      <c r="F1450" s="76">
        <v>102997.5</v>
      </c>
      <c r="G1450" s="76"/>
      <c r="H1450" s="71" t="s">
        <v>457</v>
      </c>
      <c r="I1450" s="77" t="s">
        <v>30</v>
      </c>
      <c r="J1450" s="77"/>
      <c r="K1450" s="74" t="s">
        <v>8</v>
      </c>
      <c r="L1450" s="75">
        <v>839118.34</v>
      </c>
    </row>
    <row r="1451" spans="1:12" ht="71.400000000000006" hidden="1" x14ac:dyDescent="0.3">
      <c r="A1451" s="69" t="s">
        <v>162</v>
      </c>
      <c r="B1451" s="70" t="s">
        <v>1637</v>
      </c>
      <c r="C1451" s="70" t="s">
        <v>1638</v>
      </c>
      <c r="D1451" s="70" t="s">
        <v>1636</v>
      </c>
      <c r="E1451" s="71" t="s">
        <v>13</v>
      </c>
      <c r="F1451" s="76">
        <v>26933.439999999999</v>
      </c>
      <c r="G1451" s="76"/>
      <c r="H1451" s="71" t="s">
        <v>457</v>
      </c>
      <c r="I1451" s="77" t="s">
        <v>30</v>
      </c>
      <c r="J1451" s="77"/>
      <c r="K1451" s="74" t="s">
        <v>8</v>
      </c>
      <c r="L1451" s="75">
        <v>866051.78</v>
      </c>
    </row>
    <row r="1452" spans="1:12" ht="71.400000000000006" hidden="1" x14ac:dyDescent="0.3">
      <c r="A1452" s="69" t="s">
        <v>162</v>
      </c>
      <c r="B1452" s="70" t="s">
        <v>1634</v>
      </c>
      <c r="C1452" s="70" t="s">
        <v>1638</v>
      </c>
      <c r="D1452" s="70" t="s">
        <v>1636</v>
      </c>
      <c r="E1452" s="71" t="s">
        <v>13</v>
      </c>
      <c r="F1452" s="76">
        <v>28417.4</v>
      </c>
      <c r="G1452" s="76"/>
      <c r="H1452" s="71" t="s">
        <v>457</v>
      </c>
      <c r="I1452" s="77" t="s">
        <v>30</v>
      </c>
      <c r="J1452" s="77"/>
      <c r="K1452" s="74" t="s">
        <v>8</v>
      </c>
      <c r="L1452" s="75">
        <v>894469.18</v>
      </c>
    </row>
    <row r="1453" spans="1:12" ht="61.2" hidden="1" x14ac:dyDescent="0.3">
      <c r="A1453" s="69" t="s">
        <v>162</v>
      </c>
      <c r="B1453" s="70" t="s">
        <v>1639</v>
      </c>
      <c r="C1453" s="70" t="s">
        <v>1640</v>
      </c>
      <c r="D1453" s="70" t="s">
        <v>1641</v>
      </c>
      <c r="E1453" s="71" t="s">
        <v>13</v>
      </c>
      <c r="F1453" s="76">
        <v>4013.52</v>
      </c>
      <c r="G1453" s="76"/>
      <c r="H1453" s="71" t="s">
        <v>457</v>
      </c>
      <c r="I1453" s="77" t="s">
        <v>30</v>
      </c>
      <c r="J1453" s="77"/>
      <c r="K1453" s="74" t="s">
        <v>8</v>
      </c>
      <c r="L1453" s="75">
        <v>898482.7</v>
      </c>
    </row>
    <row r="1454" spans="1:12" ht="71.400000000000006" hidden="1" x14ac:dyDescent="0.3">
      <c r="A1454" s="69" t="s">
        <v>1642</v>
      </c>
      <c r="B1454" s="70" t="s">
        <v>1643</v>
      </c>
      <c r="C1454" s="70" t="s">
        <v>1644</v>
      </c>
      <c r="D1454" s="70" t="s">
        <v>1424</v>
      </c>
      <c r="E1454" s="71" t="s">
        <v>319</v>
      </c>
      <c r="F1454" s="72" t="s">
        <v>30</v>
      </c>
      <c r="G1454" s="72"/>
      <c r="H1454" s="71" t="s">
        <v>13</v>
      </c>
      <c r="I1454" s="73">
        <v>1595.46</v>
      </c>
      <c r="J1454" s="73"/>
      <c r="K1454" s="74" t="s">
        <v>8</v>
      </c>
      <c r="L1454" s="75">
        <v>1795141.24</v>
      </c>
    </row>
    <row r="1455" spans="1:12" ht="61.2" hidden="1" x14ac:dyDescent="0.3">
      <c r="A1455" s="69" t="s">
        <v>1642</v>
      </c>
      <c r="B1455" s="70" t="s">
        <v>1643</v>
      </c>
      <c r="C1455" s="70" t="s">
        <v>1645</v>
      </c>
      <c r="D1455" s="70" t="s">
        <v>909</v>
      </c>
      <c r="E1455" s="71" t="s">
        <v>319</v>
      </c>
      <c r="F1455" s="72" t="s">
        <v>30</v>
      </c>
      <c r="G1455" s="72"/>
      <c r="H1455" s="71" t="s">
        <v>13</v>
      </c>
      <c r="I1455" s="73">
        <v>15954.58</v>
      </c>
      <c r="J1455" s="73"/>
      <c r="K1455" s="74" t="s">
        <v>8</v>
      </c>
      <c r="L1455" s="75">
        <v>1779186.66</v>
      </c>
    </row>
    <row r="1456" spans="1:12" ht="61.2" hidden="1" x14ac:dyDescent="0.3">
      <c r="A1456" s="69" t="s">
        <v>1642</v>
      </c>
      <c r="B1456" s="70" t="s">
        <v>1643</v>
      </c>
      <c r="C1456" s="70" t="s">
        <v>1645</v>
      </c>
      <c r="D1456" s="70" t="s">
        <v>1646</v>
      </c>
      <c r="E1456" s="71" t="s">
        <v>319</v>
      </c>
      <c r="F1456" s="72" t="s">
        <v>30</v>
      </c>
      <c r="G1456" s="72"/>
      <c r="H1456" s="71" t="s">
        <v>13</v>
      </c>
      <c r="I1456" s="73">
        <v>3014.37</v>
      </c>
      <c r="J1456" s="73"/>
      <c r="K1456" s="74" t="s">
        <v>8</v>
      </c>
      <c r="L1456" s="75">
        <v>1776172.29</v>
      </c>
    </row>
    <row r="1457" spans="1:12" ht="71.400000000000006" hidden="1" x14ac:dyDescent="0.3">
      <c r="A1457" s="69" t="s">
        <v>1642</v>
      </c>
      <c r="B1457" s="70" t="s">
        <v>1643</v>
      </c>
      <c r="C1457" s="70" t="s">
        <v>1647</v>
      </c>
      <c r="D1457" s="70" t="s">
        <v>337</v>
      </c>
      <c r="E1457" s="71" t="s">
        <v>319</v>
      </c>
      <c r="F1457" s="72" t="s">
        <v>30</v>
      </c>
      <c r="G1457" s="72"/>
      <c r="H1457" s="71" t="s">
        <v>13</v>
      </c>
      <c r="I1457" s="73">
        <v>1383.64</v>
      </c>
      <c r="J1457" s="73"/>
      <c r="K1457" s="74" t="s">
        <v>8</v>
      </c>
      <c r="L1457" s="75">
        <v>1774788.65</v>
      </c>
    </row>
    <row r="1458" spans="1:12" ht="71.400000000000006" hidden="1" x14ac:dyDescent="0.3">
      <c r="A1458" s="69" t="s">
        <v>1642</v>
      </c>
      <c r="B1458" s="70" t="s">
        <v>1643</v>
      </c>
      <c r="C1458" s="70" t="s">
        <v>1647</v>
      </c>
      <c r="D1458" s="70" t="s">
        <v>1362</v>
      </c>
      <c r="E1458" s="71" t="s">
        <v>319</v>
      </c>
      <c r="F1458" s="72" t="s">
        <v>30</v>
      </c>
      <c r="G1458" s="72"/>
      <c r="H1458" s="71" t="s">
        <v>13</v>
      </c>
      <c r="I1458" s="78">
        <v>90.43</v>
      </c>
      <c r="J1458" s="78"/>
      <c r="K1458" s="74" t="s">
        <v>8</v>
      </c>
      <c r="L1458" s="75">
        <v>1774698.22</v>
      </c>
    </row>
    <row r="1459" spans="1:12" ht="71.400000000000006" hidden="1" x14ac:dyDescent="0.3">
      <c r="A1459" s="69" t="s">
        <v>1642</v>
      </c>
      <c r="B1459" s="70" t="s">
        <v>1643</v>
      </c>
      <c r="C1459" s="70" t="s">
        <v>1648</v>
      </c>
      <c r="D1459" s="70" t="s">
        <v>1542</v>
      </c>
      <c r="E1459" s="71" t="s">
        <v>319</v>
      </c>
      <c r="F1459" s="72" t="s">
        <v>30</v>
      </c>
      <c r="G1459" s="72"/>
      <c r="H1459" s="71" t="s">
        <v>13</v>
      </c>
      <c r="I1459" s="78">
        <v>259.75</v>
      </c>
      <c r="J1459" s="78"/>
      <c r="K1459" s="74" t="s">
        <v>8</v>
      </c>
      <c r="L1459" s="75">
        <v>1774438.47</v>
      </c>
    </row>
    <row r="1460" spans="1:12" ht="71.400000000000006" hidden="1" x14ac:dyDescent="0.3">
      <c r="A1460" s="69" t="s">
        <v>1642</v>
      </c>
      <c r="B1460" s="70" t="s">
        <v>1643</v>
      </c>
      <c r="C1460" s="70" t="s">
        <v>1649</v>
      </c>
      <c r="D1460" s="70" t="s">
        <v>326</v>
      </c>
      <c r="E1460" s="71" t="s">
        <v>319</v>
      </c>
      <c r="F1460" s="72" t="s">
        <v>30</v>
      </c>
      <c r="G1460" s="72"/>
      <c r="H1460" s="71" t="s">
        <v>13</v>
      </c>
      <c r="I1460" s="73">
        <v>2021.6</v>
      </c>
      <c r="J1460" s="73"/>
      <c r="K1460" s="74" t="s">
        <v>8</v>
      </c>
      <c r="L1460" s="75">
        <v>1772416.87</v>
      </c>
    </row>
    <row r="1461" spans="1:12" ht="71.400000000000006" hidden="1" x14ac:dyDescent="0.3">
      <c r="A1461" s="69" t="s">
        <v>1642</v>
      </c>
      <c r="B1461" s="70" t="s">
        <v>1643</v>
      </c>
      <c r="C1461" s="70" t="s">
        <v>1649</v>
      </c>
      <c r="D1461" s="70" t="s">
        <v>1544</v>
      </c>
      <c r="E1461" s="71" t="s">
        <v>319</v>
      </c>
      <c r="F1461" s="72" t="s">
        <v>30</v>
      </c>
      <c r="G1461" s="72"/>
      <c r="H1461" s="71" t="s">
        <v>13</v>
      </c>
      <c r="I1461" s="78">
        <v>554.76</v>
      </c>
      <c r="J1461" s="78"/>
      <c r="K1461" s="74" t="s">
        <v>8</v>
      </c>
      <c r="L1461" s="75">
        <v>1771862.11</v>
      </c>
    </row>
    <row r="1462" spans="1:12" ht="61.2" hidden="1" x14ac:dyDescent="0.3">
      <c r="A1462" s="69" t="s">
        <v>1642</v>
      </c>
      <c r="B1462" s="70" t="s">
        <v>1643</v>
      </c>
      <c r="C1462" s="70" t="s">
        <v>1650</v>
      </c>
      <c r="D1462" s="70" t="s">
        <v>916</v>
      </c>
      <c r="E1462" s="71" t="s">
        <v>319</v>
      </c>
      <c r="F1462" s="72" t="s">
        <v>30</v>
      </c>
      <c r="G1462" s="72"/>
      <c r="H1462" s="71" t="s">
        <v>13</v>
      </c>
      <c r="I1462" s="73">
        <v>6526.66</v>
      </c>
      <c r="J1462" s="73"/>
      <c r="K1462" s="74" t="s">
        <v>8</v>
      </c>
      <c r="L1462" s="75">
        <v>1765335.45</v>
      </c>
    </row>
    <row r="1463" spans="1:12" ht="61.2" hidden="1" x14ac:dyDescent="0.3">
      <c r="A1463" s="69" t="s">
        <v>1642</v>
      </c>
      <c r="B1463" s="70" t="s">
        <v>1643</v>
      </c>
      <c r="C1463" s="70" t="s">
        <v>1651</v>
      </c>
      <c r="D1463" s="70" t="s">
        <v>1652</v>
      </c>
      <c r="E1463" s="71" t="s">
        <v>319</v>
      </c>
      <c r="F1463" s="72" t="s">
        <v>30</v>
      </c>
      <c r="G1463" s="72"/>
      <c r="H1463" s="71" t="s">
        <v>13</v>
      </c>
      <c r="I1463" s="73">
        <v>2515.98</v>
      </c>
      <c r="J1463" s="73"/>
      <c r="K1463" s="74" t="s">
        <v>8</v>
      </c>
      <c r="L1463" s="75">
        <v>1762819.47</v>
      </c>
    </row>
    <row r="1464" spans="1:12" ht="61.2" hidden="1" x14ac:dyDescent="0.3">
      <c r="A1464" s="69" t="s">
        <v>1642</v>
      </c>
      <c r="B1464" s="70" t="s">
        <v>1643</v>
      </c>
      <c r="C1464" s="70" t="s">
        <v>1651</v>
      </c>
      <c r="D1464" s="70" t="s">
        <v>1372</v>
      </c>
      <c r="E1464" s="71" t="s">
        <v>319</v>
      </c>
      <c r="F1464" s="72" t="s">
        <v>30</v>
      </c>
      <c r="G1464" s="72"/>
      <c r="H1464" s="71" t="s">
        <v>13</v>
      </c>
      <c r="I1464" s="73">
        <v>4017.56</v>
      </c>
      <c r="J1464" s="73"/>
      <c r="K1464" s="74" t="s">
        <v>8</v>
      </c>
      <c r="L1464" s="75">
        <v>1758801.91</v>
      </c>
    </row>
    <row r="1465" spans="1:12" ht="71.400000000000006" hidden="1" x14ac:dyDescent="0.3">
      <c r="A1465" s="69" t="s">
        <v>1642</v>
      </c>
      <c r="B1465" s="70" t="s">
        <v>1643</v>
      </c>
      <c r="C1465" s="70" t="s">
        <v>1653</v>
      </c>
      <c r="D1465" s="70" t="s">
        <v>746</v>
      </c>
      <c r="E1465" s="71" t="s">
        <v>319</v>
      </c>
      <c r="F1465" s="72" t="s">
        <v>30</v>
      </c>
      <c r="G1465" s="72"/>
      <c r="H1465" s="71" t="s">
        <v>13</v>
      </c>
      <c r="I1465" s="73">
        <v>4244.22</v>
      </c>
      <c r="J1465" s="73"/>
      <c r="K1465" s="74" t="s">
        <v>8</v>
      </c>
      <c r="L1465" s="75">
        <v>1754557.69</v>
      </c>
    </row>
    <row r="1466" spans="1:12" ht="61.2" hidden="1" x14ac:dyDescent="0.3">
      <c r="A1466" s="69" t="s">
        <v>1642</v>
      </c>
      <c r="B1466" s="70" t="s">
        <v>1643</v>
      </c>
      <c r="C1466" s="70" t="s">
        <v>1654</v>
      </c>
      <c r="D1466" s="70" t="s">
        <v>324</v>
      </c>
      <c r="E1466" s="71" t="s">
        <v>319</v>
      </c>
      <c r="F1466" s="72" t="s">
        <v>30</v>
      </c>
      <c r="G1466" s="72"/>
      <c r="H1466" s="71" t="s">
        <v>13</v>
      </c>
      <c r="I1466" s="73">
        <v>1448.88</v>
      </c>
      <c r="J1466" s="73"/>
      <c r="K1466" s="74" t="s">
        <v>8</v>
      </c>
      <c r="L1466" s="75">
        <v>1753108.81</v>
      </c>
    </row>
    <row r="1467" spans="1:12" ht="61.2" hidden="1" x14ac:dyDescent="0.3">
      <c r="A1467" s="69" t="s">
        <v>1642</v>
      </c>
      <c r="B1467" s="70" t="s">
        <v>1643</v>
      </c>
      <c r="C1467" s="70" t="s">
        <v>1654</v>
      </c>
      <c r="D1467" s="70" t="s">
        <v>936</v>
      </c>
      <c r="E1467" s="71" t="s">
        <v>319</v>
      </c>
      <c r="F1467" s="72" t="s">
        <v>30</v>
      </c>
      <c r="G1467" s="72"/>
      <c r="H1467" s="71" t="s">
        <v>13</v>
      </c>
      <c r="I1467" s="73">
        <v>24134.79</v>
      </c>
      <c r="J1467" s="73"/>
      <c r="K1467" s="74" t="s">
        <v>8</v>
      </c>
      <c r="L1467" s="75">
        <v>1728974.02</v>
      </c>
    </row>
    <row r="1468" spans="1:12" ht="61.2" hidden="1" x14ac:dyDescent="0.3">
      <c r="A1468" s="69" t="s">
        <v>1642</v>
      </c>
      <c r="B1468" s="70" t="s">
        <v>1643</v>
      </c>
      <c r="C1468" s="70" t="s">
        <v>1655</v>
      </c>
      <c r="D1468" s="70" t="s">
        <v>1434</v>
      </c>
      <c r="E1468" s="71" t="s">
        <v>319</v>
      </c>
      <c r="F1468" s="72" t="s">
        <v>30</v>
      </c>
      <c r="G1468" s="72"/>
      <c r="H1468" s="71" t="s">
        <v>13</v>
      </c>
      <c r="I1468" s="73">
        <v>1604.74</v>
      </c>
      <c r="J1468" s="73"/>
      <c r="K1468" s="74" t="s">
        <v>8</v>
      </c>
      <c r="L1468" s="75">
        <v>1727369.28</v>
      </c>
    </row>
    <row r="1469" spans="1:12" ht="61.2" hidden="1" x14ac:dyDescent="0.3">
      <c r="A1469" s="69" t="s">
        <v>1642</v>
      </c>
      <c r="B1469" s="70" t="s">
        <v>1656</v>
      </c>
      <c r="C1469" s="70" t="s">
        <v>1657</v>
      </c>
      <c r="D1469" s="70" t="s">
        <v>1658</v>
      </c>
      <c r="E1469" s="71" t="s">
        <v>319</v>
      </c>
      <c r="F1469" s="72" t="s">
        <v>30</v>
      </c>
      <c r="G1469" s="72"/>
      <c r="H1469" s="71" t="s">
        <v>13</v>
      </c>
      <c r="I1469" s="73">
        <v>14375.81</v>
      </c>
      <c r="J1469" s="73"/>
      <c r="K1469" s="74" t="s">
        <v>8</v>
      </c>
      <c r="L1469" s="75">
        <v>1712993.47</v>
      </c>
    </row>
    <row r="1470" spans="1:12" ht="61.2" hidden="1" x14ac:dyDescent="0.3">
      <c r="A1470" s="69" t="s">
        <v>1642</v>
      </c>
      <c r="B1470" s="70" t="s">
        <v>1656</v>
      </c>
      <c r="C1470" s="70" t="s">
        <v>1657</v>
      </c>
      <c r="D1470" s="70" t="s">
        <v>1659</v>
      </c>
      <c r="E1470" s="71" t="s">
        <v>319</v>
      </c>
      <c r="F1470" s="72" t="s">
        <v>30</v>
      </c>
      <c r="G1470" s="72"/>
      <c r="H1470" s="71" t="s">
        <v>13</v>
      </c>
      <c r="I1470" s="73">
        <v>14816.45</v>
      </c>
      <c r="J1470" s="73"/>
      <c r="K1470" s="74" t="s">
        <v>8</v>
      </c>
      <c r="L1470" s="75">
        <v>1698177.02</v>
      </c>
    </row>
    <row r="1471" spans="1:12" ht="61.2" hidden="1" x14ac:dyDescent="0.3">
      <c r="A1471" s="69" t="s">
        <v>1642</v>
      </c>
      <c r="B1471" s="70" t="s">
        <v>1656</v>
      </c>
      <c r="C1471" s="70" t="s">
        <v>1657</v>
      </c>
      <c r="D1471" s="70" t="s">
        <v>937</v>
      </c>
      <c r="E1471" s="71" t="s">
        <v>319</v>
      </c>
      <c r="F1471" s="72" t="s">
        <v>30</v>
      </c>
      <c r="G1471" s="72"/>
      <c r="H1471" s="71" t="s">
        <v>13</v>
      </c>
      <c r="I1471" s="73">
        <v>327125.07</v>
      </c>
      <c r="J1471" s="73"/>
      <c r="K1471" s="74" t="s">
        <v>8</v>
      </c>
      <c r="L1471" s="75">
        <v>1371051.95</v>
      </c>
    </row>
    <row r="1472" spans="1:12" ht="61.2" hidden="1" x14ac:dyDescent="0.3">
      <c r="A1472" s="69" t="s">
        <v>1642</v>
      </c>
      <c r="B1472" s="70" t="s">
        <v>1656</v>
      </c>
      <c r="C1472" s="70" t="s">
        <v>1660</v>
      </c>
      <c r="D1472" s="70" t="s">
        <v>936</v>
      </c>
      <c r="E1472" s="71" t="s">
        <v>319</v>
      </c>
      <c r="F1472" s="72" t="s">
        <v>30</v>
      </c>
      <c r="G1472" s="72"/>
      <c r="H1472" s="71" t="s">
        <v>13</v>
      </c>
      <c r="I1472" s="73">
        <v>32259.38</v>
      </c>
      <c r="J1472" s="73"/>
      <c r="K1472" s="74" t="s">
        <v>8</v>
      </c>
      <c r="L1472" s="75">
        <v>1338792.57</v>
      </c>
    </row>
    <row r="1473" spans="1:12" ht="61.2" hidden="1" x14ac:dyDescent="0.3">
      <c r="A1473" s="69" t="s">
        <v>1642</v>
      </c>
      <c r="B1473" s="70" t="s">
        <v>1656</v>
      </c>
      <c r="C1473" s="70" t="s">
        <v>1660</v>
      </c>
      <c r="D1473" s="70" t="s">
        <v>1376</v>
      </c>
      <c r="E1473" s="71" t="s">
        <v>319</v>
      </c>
      <c r="F1473" s="72" t="s">
        <v>30</v>
      </c>
      <c r="G1473" s="72"/>
      <c r="H1473" s="71" t="s">
        <v>13</v>
      </c>
      <c r="I1473" s="73">
        <v>8519.19</v>
      </c>
      <c r="J1473" s="73"/>
      <c r="K1473" s="74" t="s">
        <v>8</v>
      </c>
      <c r="L1473" s="75">
        <v>1330273.3799999999</v>
      </c>
    </row>
    <row r="1474" spans="1:12" ht="61.2" hidden="1" x14ac:dyDescent="0.3">
      <c r="A1474" s="69" t="s">
        <v>1661</v>
      </c>
      <c r="B1474" s="70" t="s">
        <v>1662</v>
      </c>
      <c r="C1474" s="70" t="s">
        <v>1663</v>
      </c>
      <c r="D1474" s="70" t="s">
        <v>1664</v>
      </c>
      <c r="E1474" s="71" t="s">
        <v>13</v>
      </c>
      <c r="F1474" s="76">
        <v>4080</v>
      </c>
      <c r="G1474" s="76"/>
      <c r="H1474" s="71" t="s">
        <v>457</v>
      </c>
      <c r="I1474" s="77" t="s">
        <v>30</v>
      </c>
      <c r="J1474" s="77"/>
      <c r="K1474" s="74" t="s">
        <v>8</v>
      </c>
      <c r="L1474" s="75">
        <v>3515433.47</v>
      </c>
    </row>
    <row r="1475" spans="1:12" ht="71.400000000000006" hidden="1" x14ac:dyDescent="0.3">
      <c r="A1475" s="69" t="s">
        <v>1661</v>
      </c>
      <c r="B1475" s="70" t="s">
        <v>1662</v>
      </c>
      <c r="C1475" s="70" t="s">
        <v>1665</v>
      </c>
      <c r="D1475" s="70" t="s">
        <v>1664</v>
      </c>
      <c r="E1475" s="71" t="s">
        <v>13</v>
      </c>
      <c r="F1475" s="76">
        <v>6400</v>
      </c>
      <c r="G1475" s="76"/>
      <c r="H1475" s="71" t="s">
        <v>457</v>
      </c>
      <c r="I1475" s="77" t="s">
        <v>30</v>
      </c>
      <c r="J1475" s="77"/>
      <c r="K1475" s="74" t="s">
        <v>8</v>
      </c>
      <c r="L1475" s="75">
        <v>3521833.47</v>
      </c>
    </row>
    <row r="1476" spans="1:12" ht="71.400000000000006" x14ac:dyDescent="0.3">
      <c r="A1476" s="69" t="s">
        <v>191</v>
      </c>
      <c r="B1476" s="70" t="s">
        <v>1666</v>
      </c>
      <c r="C1476" s="70" t="s">
        <v>518</v>
      </c>
      <c r="D1476" s="70" t="s">
        <v>1416</v>
      </c>
      <c r="E1476" s="71" t="s">
        <v>165</v>
      </c>
      <c r="F1476" s="72" t="s">
        <v>30</v>
      </c>
      <c r="G1476" s="72"/>
      <c r="H1476" s="71" t="s">
        <v>13</v>
      </c>
      <c r="I1476" s="73">
        <v>2295</v>
      </c>
      <c r="J1476" s="73"/>
      <c r="K1476" s="74" t="s">
        <v>8</v>
      </c>
      <c r="L1476" s="75">
        <v>86863.12</v>
      </c>
    </row>
    <row r="1477" spans="1:12" ht="71.400000000000006" x14ac:dyDescent="0.3">
      <c r="A1477" s="69" t="s">
        <v>191</v>
      </c>
      <c r="B1477" s="70" t="s">
        <v>1667</v>
      </c>
      <c r="C1477" s="70" t="s">
        <v>518</v>
      </c>
      <c r="D1477" s="70" t="s">
        <v>897</v>
      </c>
      <c r="E1477" s="71" t="s">
        <v>165</v>
      </c>
      <c r="F1477" s="72" t="s">
        <v>30</v>
      </c>
      <c r="G1477" s="72"/>
      <c r="H1477" s="71" t="s">
        <v>13</v>
      </c>
      <c r="I1477" s="73">
        <v>1144706.8</v>
      </c>
      <c r="J1477" s="73"/>
      <c r="K1477" s="74" t="s">
        <v>8</v>
      </c>
      <c r="L1477" s="75">
        <v>3523636.37</v>
      </c>
    </row>
    <row r="1478" spans="1:12" ht="71.400000000000006" x14ac:dyDescent="0.3">
      <c r="A1478" s="69" t="s">
        <v>191</v>
      </c>
      <c r="B1478" s="70" t="s">
        <v>1667</v>
      </c>
      <c r="C1478" s="70" t="s">
        <v>518</v>
      </c>
      <c r="D1478" s="70" t="s">
        <v>886</v>
      </c>
      <c r="E1478" s="71" t="s">
        <v>165</v>
      </c>
      <c r="F1478" s="72" t="s">
        <v>30</v>
      </c>
      <c r="G1478" s="72"/>
      <c r="H1478" s="71" t="s">
        <v>13</v>
      </c>
      <c r="I1478" s="73">
        <v>154759.81</v>
      </c>
      <c r="J1478" s="73"/>
      <c r="K1478" s="74" t="s">
        <v>8</v>
      </c>
      <c r="L1478" s="75">
        <v>3368876.56</v>
      </c>
    </row>
    <row r="1479" spans="1:12" ht="71.400000000000006" x14ac:dyDescent="0.3">
      <c r="A1479" s="69" t="s">
        <v>191</v>
      </c>
      <c r="B1479" s="70" t="s">
        <v>1667</v>
      </c>
      <c r="C1479" s="70" t="s">
        <v>518</v>
      </c>
      <c r="D1479" s="70" t="s">
        <v>890</v>
      </c>
      <c r="E1479" s="71" t="s">
        <v>165</v>
      </c>
      <c r="F1479" s="72" t="s">
        <v>30</v>
      </c>
      <c r="G1479" s="72"/>
      <c r="H1479" s="71" t="s">
        <v>13</v>
      </c>
      <c r="I1479" s="73">
        <v>605482.03</v>
      </c>
      <c r="J1479" s="73"/>
      <c r="K1479" s="74" t="s">
        <v>8</v>
      </c>
      <c r="L1479" s="75">
        <v>2763394.53</v>
      </c>
    </row>
    <row r="1480" spans="1:12" ht="71.400000000000006" x14ac:dyDescent="0.3">
      <c r="A1480" s="69" t="s">
        <v>191</v>
      </c>
      <c r="B1480" s="70" t="s">
        <v>1667</v>
      </c>
      <c r="C1480" s="70" t="s">
        <v>518</v>
      </c>
      <c r="D1480" s="70" t="s">
        <v>893</v>
      </c>
      <c r="E1480" s="71" t="s">
        <v>165</v>
      </c>
      <c r="F1480" s="72" t="s">
        <v>30</v>
      </c>
      <c r="G1480" s="72"/>
      <c r="H1480" s="71" t="s">
        <v>13</v>
      </c>
      <c r="I1480" s="73">
        <v>440607.63</v>
      </c>
      <c r="J1480" s="73"/>
      <c r="K1480" s="74" t="s">
        <v>8</v>
      </c>
      <c r="L1480" s="75">
        <v>2322786.9</v>
      </c>
    </row>
    <row r="1481" spans="1:12" ht="81.599999999999994" hidden="1" x14ac:dyDescent="0.3">
      <c r="A1481" s="69" t="s">
        <v>191</v>
      </c>
      <c r="B1481" s="70" t="s">
        <v>1668</v>
      </c>
      <c r="C1481" s="70" t="s">
        <v>1669</v>
      </c>
      <c r="D1481" s="70" t="s">
        <v>1670</v>
      </c>
      <c r="E1481" s="71" t="s">
        <v>13</v>
      </c>
      <c r="F1481" s="76">
        <v>1648.45</v>
      </c>
      <c r="G1481" s="76"/>
      <c r="H1481" s="71" t="s">
        <v>13</v>
      </c>
      <c r="I1481" s="77" t="s">
        <v>30</v>
      </c>
      <c r="J1481" s="77"/>
      <c r="K1481" s="74" t="s">
        <v>8</v>
      </c>
      <c r="L1481" s="75">
        <v>1479949.25</v>
      </c>
    </row>
    <row r="1482" spans="1:12" ht="81.599999999999994" hidden="1" x14ac:dyDescent="0.3">
      <c r="A1482" s="69" t="s">
        <v>191</v>
      </c>
      <c r="B1482" s="70" t="s">
        <v>1668</v>
      </c>
      <c r="C1482" s="70" t="s">
        <v>1669</v>
      </c>
      <c r="D1482" s="70" t="s">
        <v>1670</v>
      </c>
      <c r="E1482" s="71" t="s">
        <v>13</v>
      </c>
      <c r="F1482" s="72" t="s">
        <v>30</v>
      </c>
      <c r="G1482" s="72"/>
      <c r="H1482" s="71" t="s">
        <v>13</v>
      </c>
      <c r="I1482" s="73">
        <v>1648.45</v>
      </c>
      <c r="J1482" s="73"/>
      <c r="K1482" s="74" t="s">
        <v>8</v>
      </c>
      <c r="L1482" s="80">
        <v>831.1</v>
      </c>
    </row>
    <row r="1483" spans="1:12" ht="81.599999999999994" hidden="1" x14ac:dyDescent="0.3">
      <c r="A1483" s="69" t="s">
        <v>191</v>
      </c>
      <c r="B1483" s="70" t="s">
        <v>1671</v>
      </c>
      <c r="C1483" s="70" t="s">
        <v>1672</v>
      </c>
      <c r="D1483" s="70" t="s">
        <v>1673</v>
      </c>
      <c r="E1483" s="71" t="s">
        <v>13</v>
      </c>
      <c r="F1483" s="72" t="s">
        <v>30</v>
      </c>
      <c r="G1483" s="72"/>
      <c r="H1483" s="71" t="s">
        <v>13</v>
      </c>
      <c r="I1483" s="78">
        <v>988.46</v>
      </c>
      <c r="J1483" s="78"/>
      <c r="K1483" s="74" t="s">
        <v>8</v>
      </c>
      <c r="L1483" s="75">
        <v>85874.66</v>
      </c>
    </row>
    <row r="1484" spans="1:12" ht="81.599999999999994" hidden="1" x14ac:dyDescent="0.3">
      <c r="A1484" s="69" t="s">
        <v>191</v>
      </c>
      <c r="B1484" s="70" t="s">
        <v>1671</v>
      </c>
      <c r="C1484" s="70" t="s">
        <v>1672</v>
      </c>
      <c r="D1484" s="70" t="s">
        <v>1673</v>
      </c>
      <c r="E1484" s="71" t="s">
        <v>13</v>
      </c>
      <c r="F1484" s="79">
        <v>988.46</v>
      </c>
      <c r="G1484" s="79"/>
      <c r="H1484" s="71" t="s">
        <v>13</v>
      </c>
      <c r="I1484" s="77" t="s">
        <v>30</v>
      </c>
      <c r="J1484" s="77"/>
      <c r="K1484" s="74" t="s">
        <v>8</v>
      </c>
      <c r="L1484" s="75">
        <v>1480937.71</v>
      </c>
    </row>
    <row r="1485" spans="1:12" ht="81.599999999999994" hidden="1" x14ac:dyDescent="0.3">
      <c r="A1485" s="69" t="s">
        <v>191</v>
      </c>
      <c r="B1485" s="70" t="s">
        <v>1674</v>
      </c>
      <c r="C1485" s="70" t="s">
        <v>1675</v>
      </c>
      <c r="D1485" s="70" t="s">
        <v>1676</v>
      </c>
      <c r="E1485" s="71" t="s">
        <v>13</v>
      </c>
      <c r="F1485" s="72" t="s">
        <v>30</v>
      </c>
      <c r="G1485" s="72"/>
      <c r="H1485" s="71" t="s">
        <v>13</v>
      </c>
      <c r="I1485" s="78">
        <v>964.79</v>
      </c>
      <c r="J1485" s="78"/>
      <c r="K1485" s="74" t="s">
        <v>8</v>
      </c>
      <c r="L1485" s="75">
        <v>4962179.7300000004</v>
      </c>
    </row>
    <row r="1486" spans="1:12" ht="81.599999999999994" hidden="1" x14ac:dyDescent="0.3">
      <c r="A1486" s="69" t="s">
        <v>191</v>
      </c>
      <c r="B1486" s="70" t="s">
        <v>1674</v>
      </c>
      <c r="C1486" s="70" t="s">
        <v>1675</v>
      </c>
      <c r="D1486" s="70" t="s">
        <v>1676</v>
      </c>
      <c r="E1486" s="71" t="s">
        <v>13</v>
      </c>
      <c r="F1486" s="79">
        <v>964.79</v>
      </c>
      <c r="G1486" s="79"/>
      <c r="H1486" s="71" t="s">
        <v>13</v>
      </c>
      <c r="I1486" s="77" t="s">
        <v>30</v>
      </c>
      <c r="J1486" s="77"/>
      <c r="K1486" s="74" t="s">
        <v>8</v>
      </c>
      <c r="L1486" s="75">
        <v>1481902.5</v>
      </c>
    </row>
    <row r="1487" spans="1:12" ht="81.599999999999994" hidden="1" x14ac:dyDescent="0.3">
      <c r="A1487" s="69" t="s">
        <v>191</v>
      </c>
      <c r="B1487" s="70" t="s">
        <v>1677</v>
      </c>
      <c r="C1487" s="70" t="s">
        <v>1678</v>
      </c>
      <c r="D1487" s="70" t="s">
        <v>1443</v>
      </c>
      <c r="E1487" s="71" t="s">
        <v>13</v>
      </c>
      <c r="F1487" s="76">
        <v>6106.22</v>
      </c>
      <c r="G1487" s="76"/>
      <c r="H1487" s="71" t="s">
        <v>13</v>
      </c>
      <c r="I1487" s="77" t="s">
        <v>30</v>
      </c>
      <c r="J1487" s="77"/>
      <c r="K1487" s="74" t="s">
        <v>8</v>
      </c>
      <c r="L1487" s="75">
        <v>4968285.95</v>
      </c>
    </row>
    <row r="1488" spans="1:12" ht="81.599999999999994" hidden="1" x14ac:dyDescent="0.3">
      <c r="A1488" s="69" t="s">
        <v>191</v>
      </c>
      <c r="B1488" s="70" t="s">
        <v>1677</v>
      </c>
      <c r="C1488" s="70" t="s">
        <v>1678</v>
      </c>
      <c r="D1488" s="70" t="s">
        <v>1443</v>
      </c>
      <c r="E1488" s="71" t="s">
        <v>13</v>
      </c>
      <c r="F1488" s="72" t="s">
        <v>30</v>
      </c>
      <c r="G1488" s="72"/>
      <c r="H1488" s="71" t="s">
        <v>13</v>
      </c>
      <c r="I1488" s="73">
        <v>6106.22</v>
      </c>
      <c r="J1488" s="73"/>
      <c r="K1488" s="74" t="s">
        <v>8</v>
      </c>
      <c r="L1488" s="75">
        <v>277246.55</v>
      </c>
    </row>
    <row r="1489" spans="1:12" ht="71.400000000000006" hidden="1" x14ac:dyDescent="0.3">
      <c r="A1489" s="69" t="s">
        <v>191</v>
      </c>
      <c r="B1489" s="70" t="s">
        <v>1679</v>
      </c>
      <c r="C1489" s="70" t="s">
        <v>1680</v>
      </c>
      <c r="D1489" s="70" t="s">
        <v>1312</v>
      </c>
      <c r="E1489" s="71" t="s">
        <v>13</v>
      </c>
      <c r="F1489" s="76">
        <v>1968.75</v>
      </c>
      <c r="G1489" s="76"/>
      <c r="H1489" s="71" t="s">
        <v>342</v>
      </c>
      <c r="I1489" s="77" t="s">
        <v>30</v>
      </c>
      <c r="J1489" s="77"/>
      <c r="K1489" s="74" t="s">
        <v>8</v>
      </c>
      <c r="L1489" s="75">
        <v>3523802.22</v>
      </c>
    </row>
    <row r="1490" spans="1:12" ht="71.400000000000006" hidden="1" x14ac:dyDescent="0.3">
      <c r="A1490" s="69" t="s">
        <v>191</v>
      </c>
      <c r="B1490" s="70" t="s">
        <v>1679</v>
      </c>
      <c r="C1490" s="70" t="s">
        <v>1681</v>
      </c>
      <c r="D1490" s="70" t="s">
        <v>1682</v>
      </c>
      <c r="E1490" s="71" t="s">
        <v>13</v>
      </c>
      <c r="F1490" s="76">
        <v>1071.5999999999999</v>
      </c>
      <c r="G1490" s="76"/>
      <c r="H1490" s="71" t="s">
        <v>342</v>
      </c>
      <c r="I1490" s="77" t="s">
        <v>30</v>
      </c>
      <c r="J1490" s="77"/>
      <c r="K1490" s="74" t="s">
        <v>8</v>
      </c>
      <c r="L1490" s="75">
        <v>3524873.82</v>
      </c>
    </row>
    <row r="1491" spans="1:12" ht="81.599999999999994" hidden="1" x14ac:dyDescent="0.3">
      <c r="A1491" s="69" t="s">
        <v>191</v>
      </c>
      <c r="B1491" s="70" t="s">
        <v>1683</v>
      </c>
      <c r="C1491" s="70" t="s">
        <v>1684</v>
      </c>
      <c r="D1491" s="70" t="s">
        <v>1685</v>
      </c>
      <c r="E1491" s="71" t="s">
        <v>13</v>
      </c>
      <c r="F1491" s="76">
        <v>1350</v>
      </c>
      <c r="G1491" s="76"/>
      <c r="H1491" s="71" t="s">
        <v>13</v>
      </c>
      <c r="I1491" s="73">
        <v>1350</v>
      </c>
      <c r="J1491" s="73"/>
      <c r="K1491" s="74" t="s">
        <v>8</v>
      </c>
      <c r="L1491" s="75">
        <v>85874.66</v>
      </c>
    </row>
    <row r="1492" spans="1:12" ht="81.599999999999994" hidden="1" x14ac:dyDescent="0.3">
      <c r="A1492" s="69" t="s">
        <v>191</v>
      </c>
      <c r="B1492" s="70" t="s">
        <v>1686</v>
      </c>
      <c r="C1492" s="70" t="s">
        <v>1687</v>
      </c>
      <c r="D1492" s="70" t="s">
        <v>1688</v>
      </c>
      <c r="E1492" s="71" t="s">
        <v>13</v>
      </c>
      <c r="F1492" s="76">
        <v>8819.1299999999992</v>
      </c>
      <c r="G1492" s="76"/>
      <c r="H1492" s="71" t="s">
        <v>13</v>
      </c>
      <c r="I1492" s="73">
        <v>8819.1299999999992</v>
      </c>
      <c r="J1492" s="73"/>
      <c r="K1492" s="74" t="s">
        <v>8</v>
      </c>
      <c r="L1492" s="75">
        <v>1481902.5</v>
      </c>
    </row>
    <row r="1493" spans="1:12" ht="81.599999999999994" hidden="1" x14ac:dyDescent="0.3">
      <c r="A1493" s="69" t="s">
        <v>191</v>
      </c>
      <c r="B1493" s="70" t="s">
        <v>1686</v>
      </c>
      <c r="C1493" s="70" t="s">
        <v>1689</v>
      </c>
      <c r="D1493" s="70" t="s">
        <v>1690</v>
      </c>
      <c r="E1493" s="71" t="s">
        <v>13</v>
      </c>
      <c r="F1493" s="76">
        <v>1772.86</v>
      </c>
      <c r="G1493" s="76"/>
      <c r="H1493" s="71" t="s">
        <v>13</v>
      </c>
      <c r="I1493" s="73">
        <v>1772.86</v>
      </c>
      <c r="J1493" s="73"/>
      <c r="K1493" s="74" t="s">
        <v>8</v>
      </c>
      <c r="L1493" s="75">
        <v>1481902.5</v>
      </c>
    </row>
    <row r="1494" spans="1:12" ht="81.599999999999994" hidden="1" x14ac:dyDescent="0.3">
      <c r="A1494" s="69" t="s">
        <v>191</v>
      </c>
      <c r="B1494" s="70" t="s">
        <v>1686</v>
      </c>
      <c r="C1494" s="70" t="s">
        <v>1691</v>
      </c>
      <c r="D1494" s="70" t="s">
        <v>1326</v>
      </c>
      <c r="E1494" s="71" t="s">
        <v>13</v>
      </c>
      <c r="F1494" s="76">
        <v>3361.86</v>
      </c>
      <c r="G1494" s="76"/>
      <c r="H1494" s="71" t="s">
        <v>13</v>
      </c>
      <c r="I1494" s="73">
        <v>3361.86</v>
      </c>
      <c r="J1494" s="73"/>
      <c r="K1494" s="74" t="s">
        <v>8</v>
      </c>
      <c r="L1494" s="75">
        <v>1481902.5</v>
      </c>
    </row>
    <row r="1495" spans="1:12" ht="81.599999999999994" hidden="1" x14ac:dyDescent="0.3">
      <c r="A1495" s="69" t="s">
        <v>191</v>
      </c>
      <c r="B1495" s="70" t="s">
        <v>1686</v>
      </c>
      <c r="C1495" s="70" t="s">
        <v>1689</v>
      </c>
      <c r="D1495" s="70" t="s">
        <v>1669</v>
      </c>
      <c r="E1495" s="71" t="s">
        <v>13</v>
      </c>
      <c r="F1495" s="76">
        <v>1648.45</v>
      </c>
      <c r="G1495" s="76"/>
      <c r="H1495" s="71" t="s">
        <v>13</v>
      </c>
      <c r="I1495" s="73">
        <v>1648.45</v>
      </c>
      <c r="J1495" s="73"/>
      <c r="K1495" s="74" t="s">
        <v>8</v>
      </c>
      <c r="L1495" s="75">
        <v>1481902.5</v>
      </c>
    </row>
    <row r="1496" spans="1:12" ht="81.599999999999994" hidden="1" x14ac:dyDescent="0.3">
      <c r="A1496" s="69" t="s">
        <v>191</v>
      </c>
      <c r="B1496" s="70" t="s">
        <v>1686</v>
      </c>
      <c r="C1496" s="70" t="s">
        <v>1691</v>
      </c>
      <c r="D1496" s="70" t="s">
        <v>1672</v>
      </c>
      <c r="E1496" s="71" t="s">
        <v>13</v>
      </c>
      <c r="F1496" s="79">
        <v>988.46</v>
      </c>
      <c r="G1496" s="79"/>
      <c r="H1496" s="71" t="s">
        <v>13</v>
      </c>
      <c r="I1496" s="78">
        <v>988.46</v>
      </c>
      <c r="J1496" s="78"/>
      <c r="K1496" s="74" t="s">
        <v>8</v>
      </c>
      <c r="L1496" s="75">
        <v>1481902.5</v>
      </c>
    </row>
    <row r="1497" spans="1:12" ht="61.2" x14ac:dyDescent="0.3">
      <c r="A1497" s="69" t="s">
        <v>191</v>
      </c>
      <c r="B1497" s="70" t="s">
        <v>1692</v>
      </c>
      <c r="C1497" s="70" t="s">
        <v>518</v>
      </c>
      <c r="D1497" s="70" t="s">
        <v>1693</v>
      </c>
      <c r="E1497" s="71" t="s">
        <v>165</v>
      </c>
      <c r="F1497" s="72" t="s">
        <v>30</v>
      </c>
      <c r="G1497" s="72"/>
      <c r="H1497" s="71" t="s">
        <v>13</v>
      </c>
      <c r="I1497" s="78">
        <v>635.29</v>
      </c>
      <c r="J1497" s="78"/>
      <c r="K1497" s="74" t="s">
        <v>8</v>
      </c>
      <c r="L1497" s="75">
        <v>85239.37</v>
      </c>
    </row>
    <row r="1498" spans="1:12" ht="71.400000000000006" x14ac:dyDescent="0.3">
      <c r="A1498" s="69" t="s">
        <v>191</v>
      </c>
      <c r="B1498" s="70" t="s">
        <v>1694</v>
      </c>
      <c r="C1498" s="70" t="s">
        <v>518</v>
      </c>
      <c r="D1498" s="70" t="s">
        <v>1416</v>
      </c>
      <c r="E1498" s="71" t="s">
        <v>165</v>
      </c>
      <c r="F1498" s="72" t="s">
        <v>30</v>
      </c>
      <c r="G1498" s="72"/>
      <c r="H1498" s="71" t="s">
        <v>13</v>
      </c>
      <c r="I1498" s="73">
        <v>2295</v>
      </c>
      <c r="J1498" s="73"/>
      <c r="K1498" s="74" t="s">
        <v>8</v>
      </c>
      <c r="L1498" s="75">
        <v>82944.37</v>
      </c>
    </row>
    <row r="1499" spans="1:12" ht="81.599999999999994" x14ac:dyDescent="0.3">
      <c r="A1499" s="69" t="s">
        <v>191</v>
      </c>
      <c r="B1499" s="70" t="s">
        <v>1695</v>
      </c>
      <c r="C1499" s="70" t="s">
        <v>518</v>
      </c>
      <c r="D1499" s="70" t="s">
        <v>1684</v>
      </c>
      <c r="E1499" s="71" t="s">
        <v>165</v>
      </c>
      <c r="F1499" s="72" t="s">
        <v>30</v>
      </c>
      <c r="G1499" s="72"/>
      <c r="H1499" s="71" t="s">
        <v>13</v>
      </c>
      <c r="I1499" s="73">
        <v>1350</v>
      </c>
      <c r="J1499" s="73"/>
      <c r="K1499" s="74" t="s">
        <v>8</v>
      </c>
      <c r="L1499" s="75">
        <v>81594.37</v>
      </c>
    </row>
    <row r="1500" spans="1:12" ht="61.2" x14ac:dyDescent="0.3">
      <c r="A1500" s="69" t="s">
        <v>191</v>
      </c>
      <c r="B1500" s="70" t="s">
        <v>1695</v>
      </c>
      <c r="C1500" s="70" t="s">
        <v>518</v>
      </c>
      <c r="D1500" s="70" t="s">
        <v>1693</v>
      </c>
      <c r="E1500" s="71" t="s">
        <v>165</v>
      </c>
      <c r="F1500" s="72" t="s">
        <v>30</v>
      </c>
      <c r="G1500" s="72"/>
      <c r="H1500" s="71" t="s">
        <v>13</v>
      </c>
      <c r="I1500" s="78">
        <v>317.64999999999998</v>
      </c>
      <c r="J1500" s="78"/>
      <c r="K1500" s="74" t="s">
        <v>8</v>
      </c>
      <c r="L1500" s="75">
        <v>81276.72</v>
      </c>
    </row>
    <row r="1501" spans="1:12" ht="61.2" x14ac:dyDescent="0.3">
      <c r="A1501" s="69" t="s">
        <v>191</v>
      </c>
      <c r="B1501" s="70" t="s">
        <v>1695</v>
      </c>
      <c r="C1501" s="70" t="s">
        <v>518</v>
      </c>
      <c r="D1501" s="70" t="s">
        <v>1696</v>
      </c>
      <c r="E1501" s="71" t="s">
        <v>165</v>
      </c>
      <c r="F1501" s="72" t="s">
        <v>30</v>
      </c>
      <c r="G1501" s="72"/>
      <c r="H1501" s="71" t="s">
        <v>13</v>
      </c>
      <c r="I1501" s="73">
        <v>1400</v>
      </c>
      <c r="J1501" s="73"/>
      <c r="K1501" s="74" t="s">
        <v>8</v>
      </c>
      <c r="L1501" s="75">
        <v>79876.72</v>
      </c>
    </row>
    <row r="1502" spans="1:12" ht="61.2" x14ac:dyDescent="0.3">
      <c r="A1502" s="69" t="s">
        <v>191</v>
      </c>
      <c r="B1502" s="70" t="s">
        <v>1695</v>
      </c>
      <c r="C1502" s="70" t="s">
        <v>518</v>
      </c>
      <c r="D1502" s="70" t="s">
        <v>1696</v>
      </c>
      <c r="E1502" s="71" t="s">
        <v>165</v>
      </c>
      <c r="F1502" s="72" t="s">
        <v>30</v>
      </c>
      <c r="G1502" s="72"/>
      <c r="H1502" s="71" t="s">
        <v>13</v>
      </c>
      <c r="I1502" s="78">
        <v>700</v>
      </c>
      <c r="J1502" s="78"/>
      <c r="K1502" s="74" t="s">
        <v>8</v>
      </c>
      <c r="L1502" s="75">
        <v>79176.72</v>
      </c>
    </row>
    <row r="1503" spans="1:12" ht="71.400000000000006" x14ac:dyDescent="0.3">
      <c r="A1503" s="69" t="s">
        <v>191</v>
      </c>
      <c r="B1503" s="70" t="s">
        <v>1697</v>
      </c>
      <c r="C1503" s="70" t="s">
        <v>518</v>
      </c>
      <c r="D1503" s="70" t="s">
        <v>674</v>
      </c>
      <c r="E1503" s="71" t="s">
        <v>165</v>
      </c>
      <c r="F1503" s="72" t="s">
        <v>30</v>
      </c>
      <c r="G1503" s="72"/>
      <c r="H1503" s="71" t="s">
        <v>13</v>
      </c>
      <c r="I1503" s="73">
        <v>7757.37</v>
      </c>
      <c r="J1503" s="73"/>
      <c r="K1503" s="74" t="s">
        <v>8</v>
      </c>
      <c r="L1503" s="75">
        <v>4960528.58</v>
      </c>
    </row>
    <row r="1504" spans="1:12" ht="71.400000000000006" x14ac:dyDescent="0.3">
      <c r="A1504" s="69" t="s">
        <v>191</v>
      </c>
      <c r="B1504" s="70" t="s">
        <v>1697</v>
      </c>
      <c r="C1504" s="70" t="s">
        <v>518</v>
      </c>
      <c r="D1504" s="70" t="s">
        <v>1698</v>
      </c>
      <c r="E1504" s="71" t="s">
        <v>165</v>
      </c>
      <c r="F1504" s="72" t="s">
        <v>30</v>
      </c>
      <c r="G1504" s="72"/>
      <c r="H1504" s="71" t="s">
        <v>13</v>
      </c>
      <c r="I1504" s="73">
        <v>14449.5</v>
      </c>
      <c r="J1504" s="73"/>
      <c r="K1504" s="74" t="s">
        <v>8</v>
      </c>
      <c r="L1504" s="75">
        <v>4946079.08</v>
      </c>
    </row>
    <row r="1505" spans="1:12" ht="71.400000000000006" x14ac:dyDescent="0.3">
      <c r="A1505" s="69" t="s">
        <v>191</v>
      </c>
      <c r="B1505" s="70" t="s">
        <v>1697</v>
      </c>
      <c r="C1505" s="70" t="s">
        <v>518</v>
      </c>
      <c r="D1505" s="70" t="s">
        <v>652</v>
      </c>
      <c r="E1505" s="71" t="s">
        <v>165</v>
      </c>
      <c r="F1505" s="72" t="s">
        <v>30</v>
      </c>
      <c r="G1505" s="72"/>
      <c r="H1505" s="71" t="s">
        <v>13</v>
      </c>
      <c r="I1505" s="73">
        <v>8721</v>
      </c>
      <c r="J1505" s="73"/>
      <c r="K1505" s="74" t="s">
        <v>8</v>
      </c>
      <c r="L1505" s="75">
        <v>4937358.08</v>
      </c>
    </row>
    <row r="1506" spans="1:12" ht="61.2" x14ac:dyDescent="0.3">
      <c r="A1506" s="69" t="s">
        <v>191</v>
      </c>
      <c r="B1506" s="70" t="s">
        <v>1697</v>
      </c>
      <c r="C1506" s="70" t="s">
        <v>518</v>
      </c>
      <c r="D1506" s="70" t="s">
        <v>675</v>
      </c>
      <c r="E1506" s="71" t="s">
        <v>165</v>
      </c>
      <c r="F1506" s="72" t="s">
        <v>30</v>
      </c>
      <c r="G1506" s="72"/>
      <c r="H1506" s="71" t="s">
        <v>13</v>
      </c>
      <c r="I1506" s="73">
        <v>1616.4</v>
      </c>
      <c r="J1506" s="73"/>
      <c r="K1506" s="74" t="s">
        <v>8</v>
      </c>
      <c r="L1506" s="75">
        <v>4935741.68</v>
      </c>
    </row>
    <row r="1507" spans="1:12" ht="61.2" x14ac:dyDescent="0.3">
      <c r="A1507" s="69" t="s">
        <v>191</v>
      </c>
      <c r="B1507" s="70" t="s">
        <v>1697</v>
      </c>
      <c r="C1507" s="70" t="s">
        <v>518</v>
      </c>
      <c r="D1507" s="70" t="s">
        <v>353</v>
      </c>
      <c r="E1507" s="71" t="s">
        <v>165</v>
      </c>
      <c r="F1507" s="72" t="s">
        <v>30</v>
      </c>
      <c r="G1507" s="72"/>
      <c r="H1507" s="71" t="s">
        <v>13</v>
      </c>
      <c r="I1507" s="78">
        <v>884.3</v>
      </c>
      <c r="J1507" s="78"/>
      <c r="K1507" s="74" t="s">
        <v>8</v>
      </c>
      <c r="L1507" s="75">
        <v>4934857.38</v>
      </c>
    </row>
    <row r="1508" spans="1:12" ht="71.400000000000006" x14ac:dyDescent="0.3">
      <c r="A1508" s="69" t="s">
        <v>191</v>
      </c>
      <c r="B1508" s="70" t="s">
        <v>1697</v>
      </c>
      <c r="C1508" s="70" t="s">
        <v>518</v>
      </c>
      <c r="D1508" s="70" t="s">
        <v>1678</v>
      </c>
      <c r="E1508" s="71" t="s">
        <v>165</v>
      </c>
      <c r="F1508" s="72" t="s">
        <v>30</v>
      </c>
      <c r="G1508" s="72"/>
      <c r="H1508" s="71" t="s">
        <v>13</v>
      </c>
      <c r="I1508" s="73">
        <v>6106.22</v>
      </c>
      <c r="J1508" s="73"/>
      <c r="K1508" s="74" t="s">
        <v>8</v>
      </c>
      <c r="L1508" s="75">
        <v>4928751.16</v>
      </c>
    </row>
    <row r="1509" spans="1:12" ht="71.400000000000006" x14ac:dyDescent="0.3">
      <c r="A1509" s="69" t="s">
        <v>191</v>
      </c>
      <c r="B1509" s="70" t="s">
        <v>1699</v>
      </c>
      <c r="C1509" s="70" t="s">
        <v>518</v>
      </c>
      <c r="D1509" s="70" t="s">
        <v>1680</v>
      </c>
      <c r="E1509" s="71" t="s">
        <v>165</v>
      </c>
      <c r="F1509" s="72" t="s">
        <v>30</v>
      </c>
      <c r="G1509" s="72"/>
      <c r="H1509" s="71" t="s">
        <v>13</v>
      </c>
      <c r="I1509" s="73">
        <v>1968.75</v>
      </c>
      <c r="J1509" s="73"/>
      <c r="K1509" s="74" t="s">
        <v>8</v>
      </c>
      <c r="L1509" s="75">
        <v>3522905.07</v>
      </c>
    </row>
    <row r="1510" spans="1:12" ht="71.400000000000006" x14ac:dyDescent="0.3">
      <c r="A1510" s="69" t="s">
        <v>191</v>
      </c>
      <c r="B1510" s="70" t="s">
        <v>1699</v>
      </c>
      <c r="C1510" s="70" t="s">
        <v>518</v>
      </c>
      <c r="D1510" s="70" t="s">
        <v>1681</v>
      </c>
      <c r="E1510" s="71" t="s">
        <v>165</v>
      </c>
      <c r="F1510" s="72" t="s">
        <v>30</v>
      </c>
      <c r="G1510" s="72"/>
      <c r="H1510" s="71" t="s">
        <v>13</v>
      </c>
      <c r="I1510" s="73">
        <v>1071.5999999999999</v>
      </c>
      <c r="J1510" s="73"/>
      <c r="K1510" s="74" t="s">
        <v>8</v>
      </c>
      <c r="L1510" s="75">
        <v>3521833.47</v>
      </c>
    </row>
    <row r="1511" spans="1:12" ht="61.2" hidden="1" x14ac:dyDescent="0.3">
      <c r="A1511" s="69" t="s">
        <v>191</v>
      </c>
      <c r="B1511" s="70" t="s">
        <v>1700</v>
      </c>
      <c r="C1511" s="70" t="s">
        <v>1701</v>
      </c>
      <c r="D1511" s="70" t="s">
        <v>1702</v>
      </c>
      <c r="E1511" s="71" t="s">
        <v>13</v>
      </c>
      <c r="F1511" s="76">
        <v>20064</v>
      </c>
      <c r="G1511" s="76"/>
      <c r="H1511" s="71" t="s">
        <v>457</v>
      </c>
      <c r="I1511" s="77" t="s">
        <v>30</v>
      </c>
      <c r="J1511" s="77"/>
      <c r="K1511" s="74" t="s">
        <v>8</v>
      </c>
      <c r="L1511" s="75">
        <v>2342850.9</v>
      </c>
    </row>
    <row r="1512" spans="1:12" ht="71.400000000000006" hidden="1" x14ac:dyDescent="0.3">
      <c r="A1512" s="69" t="s">
        <v>191</v>
      </c>
      <c r="B1512" s="70" t="s">
        <v>1703</v>
      </c>
      <c r="C1512" s="70" t="s">
        <v>1704</v>
      </c>
      <c r="D1512" s="70" t="s">
        <v>1705</v>
      </c>
      <c r="E1512" s="71" t="s">
        <v>13</v>
      </c>
      <c r="F1512" s="76">
        <v>1266</v>
      </c>
      <c r="G1512" s="76"/>
      <c r="H1512" s="71" t="s">
        <v>457</v>
      </c>
      <c r="I1512" s="77" t="s">
        <v>30</v>
      </c>
      <c r="J1512" s="77"/>
      <c r="K1512" s="74" t="s">
        <v>8</v>
      </c>
      <c r="L1512" s="75">
        <v>4930017.16</v>
      </c>
    </row>
    <row r="1513" spans="1:12" ht="71.400000000000006" hidden="1" x14ac:dyDescent="0.3">
      <c r="A1513" s="69" t="s">
        <v>191</v>
      </c>
      <c r="B1513" s="70" t="s">
        <v>1706</v>
      </c>
      <c r="C1513" s="70" t="s">
        <v>1704</v>
      </c>
      <c r="D1513" s="70" t="s">
        <v>1705</v>
      </c>
      <c r="E1513" s="71" t="s">
        <v>13</v>
      </c>
      <c r="F1513" s="76">
        <v>30384</v>
      </c>
      <c r="G1513" s="76"/>
      <c r="H1513" s="71" t="s">
        <v>457</v>
      </c>
      <c r="I1513" s="77" t="s">
        <v>30</v>
      </c>
      <c r="J1513" s="77"/>
      <c r="K1513" s="74" t="s">
        <v>8</v>
      </c>
      <c r="L1513" s="75">
        <v>4960401.16</v>
      </c>
    </row>
    <row r="1514" spans="1:12" ht="122.4" x14ac:dyDescent="0.3">
      <c r="A1514" s="69" t="s">
        <v>191</v>
      </c>
      <c r="B1514" s="70" t="s">
        <v>1707</v>
      </c>
      <c r="C1514" s="70" t="s">
        <v>518</v>
      </c>
      <c r="D1514" s="70" t="s">
        <v>1708</v>
      </c>
      <c r="E1514" s="71" t="s">
        <v>165</v>
      </c>
      <c r="F1514" s="72" t="s">
        <v>30</v>
      </c>
      <c r="G1514" s="72"/>
      <c r="H1514" s="71" t="s">
        <v>13</v>
      </c>
      <c r="I1514" s="73">
        <v>365419.03</v>
      </c>
      <c r="J1514" s="73"/>
      <c r="K1514" s="74" t="s">
        <v>8</v>
      </c>
      <c r="L1514" s="75">
        <v>794115.79</v>
      </c>
    </row>
    <row r="1515" spans="1:12" ht="112.2" x14ac:dyDescent="0.3">
      <c r="A1515" s="69" t="s">
        <v>191</v>
      </c>
      <c r="B1515" s="70" t="s">
        <v>1707</v>
      </c>
      <c r="C1515" s="70" t="s">
        <v>518</v>
      </c>
      <c r="D1515" s="70" t="s">
        <v>1622</v>
      </c>
      <c r="E1515" s="71" t="s">
        <v>165</v>
      </c>
      <c r="F1515" s="72" t="s">
        <v>30</v>
      </c>
      <c r="G1515" s="72"/>
      <c r="H1515" s="71" t="s">
        <v>13</v>
      </c>
      <c r="I1515" s="73">
        <v>12180.63</v>
      </c>
      <c r="J1515" s="73"/>
      <c r="K1515" s="74" t="s">
        <v>8</v>
      </c>
      <c r="L1515" s="75">
        <v>781935.16</v>
      </c>
    </row>
    <row r="1516" spans="1:12" ht="91.8" x14ac:dyDescent="0.3">
      <c r="A1516" s="69" t="s">
        <v>191</v>
      </c>
      <c r="B1516" s="70" t="s">
        <v>1707</v>
      </c>
      <c r="C1516" s="70" t="s">
        <v>518</v>
      </c>
      <c r="D1516" s="70" t="s">
        <v>1321</v>
      </c>
      <c r="E1516" s="71" t="s">
        <v>165</v>
      </c>
      <c r="F1516" s="72" t="s">
        <v>30</v>
      </c>
      <c r="G1516" s="72"/>
      <c r="H1516" s="71" t="s">
        <v>13</v>
      </c>
      <c r="I1516" s="73">
        <v>1925</v>
      </c>
      <c r="J1516" s="73"/>
      <c r="K1516" s="74" t="s">
        <v>8</v>
      </c>
      <c r="L1516" s="75">
        <v>780010.16</v>
      </c>
    </row>
    <row r="1517" spans="1:12" ht="91.8" x14ac:dyDescent="0.3">
      <c r="A1517" s="69" t="s">
        <v>191</v>
      </c>
      <c r="B1517" s="70" t="s">
        <v>1707</v>
      </c>
      <c r="C1517" s="70" t="s">
        <v>518</v>
      </c>
      <c r="D1517" s="70" t="s">
        <v>1623</v>
      </c>
      <c r="E1517" s="71" t="s">
        <v>165</v>
      </c>
      <c r="F1517" s="72" t="s">
        <v>30</v>
      </c>
      <c r="G1517" s="72"/>
      <c r="H1517" s="71" t="s">
        <v>13</v>
      </c>
      <c r="I1517" s="73">
        <v>1125</v>
      </c>
      <c r="J1517" s="73"/>
      <c r="K1517" s="74" t="s">
        <v>8</v>
      </c>
      <c r="L1517" s="75">
        <v>778885.16</v>
      </c>
    </row>
    <row r="1518" spans="1:12" ht="102" x14ac:dyDescent="0.3">
      <c r="A1518" s="69" t="s">
        <v>191</v>
      </c>
      <c r="B1518" s="70" t="s">
        <v>1707</v>
      </c>
      <c r="C1518" s="70" t="s">
        <v>518</v>
      </c>
      <c r="D1518" s="70" t="s">
        <v>1620</v>
      </c>
      <c r="E1518" s="71" t="s">
        <v>165</v>
      </c>
      <c r="F1518" s="72" t="s">
        <v>30</v>
      </c>
      <c r="G1518" s="72"/>
      <c r="H1518" s="71" t="s">
        <v>13</v>
      </c>
      <c r="I1518" s="73">
        <v>3285.75</v>
      </c>
      <c r="J1518" s="73"/>
      <c r="K1518" s="74" t="s">
        <v>8</v>
      </c>
      <c r="L1518" s="75">
        <v>775599.41</v>
      </c>
    </row>
    <row r="1519" spans="1:12" ht="91.8" x14ac:dyDescent="0.3">
      <c r="A1519" s="69" t="s">
        <v>191</v>
      </c>
      <c r="B1519" s="70" t="s">
        <v>1707</v>
      </c>
      <c r="C1519" s="70" t="s">
        <v>518</v>
      </c>
      <c r="D1519" s="70" t="s">
        <v>1624</v>
      </c>
      <c r="E1519" s="71" t="s">
        <v>165</v>
      </c>
      <c r="F1519" s="72" t="s">
        <v>30</v>
      </c>
      <c r="G1519" s="72"/>
      <c r="H1519" s="71" t="s">
        <v>13</v>
      </c>
      <c r="I1519" s="78">
        <v>930</v>
      </c>
      <c r="J1519" s="78"/>
      <c r="K1519" s="74" t="s">
        <v>8</v>
      </c>
      <c r="L1519" s="75">
        <v>774669.41</v>
      </c>
    </row>
    <row r="1520" spans="1:12" ht="102" x14ac:dyDescent="0.3">
      <c r="A1520" s="69" t="s">
        <v>191</v>
      </c>
      <c r="B1520" s="70" t="s">
        <v>1707</v>
      </c>
      <c r="C1520" s="70" t="s">
        <v>518</v>
      </c>
      <c r="D1520" s="70" t="s">
        <v>1621</v>
      </c>
      <c r="E1520" s="71" t="s">
        <v>165</v>
      </c>
      <c r="F1520" s="72" t="s">
        <v>30</v>
      </c>
      <c r="G1520" s="72"/>
      <c r="H1520" s="71" t="s">
        <v>13</v>
      </c>
      <c r="I1520" s="73">
        <v>7866.88</v>
      </c>
      <c r="J1520" s="73"/>
      <c r="K1520" s="74" t="s">
        <v>8</v>
      </c>
      <c r="L1520" s="75">
        <v>766802.53</v>
      </c>
    </row>
    <row r="1521" spans="1:12" ht="102" x14ac:dyDescent="0.3">
      <c r="A1521" s="69" t="s">
        <v>191</v>
      </c>
      <c r="B1521" s="70" t="s">
        <v>1707</v>
      </c>
      <c r="C1521" s="70" t="s">
        <v>518</v>
      </c>
      <c r="D1521" s="70" t="s">
        <v>620</v>
      </c>
      <c r="E1521" s="71" t="s">
        <v>165</v>
      </c>
      <c r="F1521" s="72" t="s">
        <v>30</v>
      </c>
      <c r="G1521" s="72"/>
      <c r="H1521" s="71" t="s">
        <v>13</v>
      </c>
      <c r="I1521" s="73">
        <v>1598.43</v>
      </c>
      <c r="J1521" s="73"/>
      <c r="K1521" s="74" t="s">
        <v>8</v>
      </c>
      <c r="L1521" s="75">
        <v>765204.1</v>
      </c>
    </row>
    <row r="1522" spans="1:12" ht="102" x14ac:dyDescent="0.3">
      <c r="A1522" s="69" t="s">
        <v>191</v>
      </c>
      <c r="B1522" s="70" t="s">
        <v>1707</v>
      </c>
      <c r="C1522" s="70" t="s">
        <v>518</v>
      </c>
      <c r="D1522" s="70" t="s">
        <v>621</v>
      </c>
      <c r="E1522" s="71" t="s">
        <v>165</v>
      </c>
      <c r="F1522" s="72" t="s">
        <v>30</v>
      </c>
      <c r="G1522" s="72"/>
      <c r="H1522" s="71" t="s">
        <v>13</v>
      </c>
      <c r="I1522" s="78">
        <v>346.27</v>
      </c>
      <c r="J1522" s="78"/>
      <c r="K1522" s="74" t="s">
        <v>8</v>
      </c>
      <c r="L1522" s="75">
        <v>764857.83</v>
      </c>
    </row>
    <row r="1523" spans="1:12" ht="102" x14ac:dyDescent="0.3">
      <c r="A1523" s="69" t="s">
        <v>191</v>
      </c>
      <c r="B1523" s="70" t="s">
        <v>1707</v>
      </c>
      <c r="C1523" s="70" t="s">
        <v>518</v>
      </c>
      <c r="D1523" s="70" t="s">
        <v>1625</v>
      </c>
      <c r="E1523" s="71" t="s">
        <v>165</v>
      </c>
      <c r="F1523" s="72" t="s">
        <v>30</v>
      </c>
      <c r="G1523" s="72"/>
      <c r="H1523" s="71" t="s">
        <v>13</v>
      </c>
      <c r="I1523" s="78">
        <v>875</v>
      </c>
      <c r="J1523" s="78"/>
      <c r="K1523" s="74" t="s">
        <v>8</v>
      </c>
      <c r="L1523" s="75">
        <v>763982.83</v>
      </c>
    </row>
    <row r="1524" spans="1:12" ht="81.599999999999994" x14ac:dyDescent="0.3">
      <c r="A1524" s="69" t="s">
        <v>191</v>
      </c>
      <c r="B1524" s="70" t="s">
        <v>1709</v>
      </c>
      <c r="C1524" s="70" t="s">
        <v>518</v>
      </c>
      <c r="D1524" s="70" t="s">
        <v>1710</v>
      </c>
      <c r="E1524" s="71" t="s">
        <v>165</v>
      </c>
      <c r="F1524" s="72" t="s">
        <v>30</v>
      </c>
      <c r="G1524" s="72"/>
      <c r="H1524" s="71" t="s">
        <v>13</v>
      </c>
      <c r="I1524" s="73">
        <v>6528</v>
      </c>
      <c r="J1524" s="73"/>
      <c r="K1524" s="74" t="s">
        <v>8</v>
      </c>
      <c r="L1524" s="75">
        <v>891954.7</v>
      </c>
    </row>
    <row r="1525" spans="1:12" ht="81.599999999999994" x14ac:dyDescent="0.3">
      <c r="A1525" s="69" t="s">
        <v>191</v>
      </c>
      <c r="B1525" s="70" t="s">
        <v>1709</v>
      </c>
      <c r="C1525" s="70" t="s">
        <v>518</v>
      </c>
      <c r="D1525" s="70" t="s">
        <v>1711</v>
      </c>
      <c r="E1525" s="71" t="s">
        <v>165</v>
      </c>
      <c r="F1525" s="72" t="s">
        <v>30</v>
      </c>
      <c r="G1525" s="72"/>
      <c r="H1525" s="71" t="s">
        <v>13</v>
      </c>
      <c r="I1525" s="78">
        <v>640.5</v>
      </c>
      <c r="J1525" s="78"/>
      <c r="K1525" s="74" t="s">
        <v>8</v>
      </c>
      <c r="L1525" s="75">
        <v>891314.2</v>
      </c>
    </row>
    <row r="1526" spans="1:12" ht="71.400000000000006" x14ac:dyDescent="0.3">
      <c r="A1526" s="69" t="s">
        <v>191</v>
      </c>
      <c r="B1526" s="70" t="s">
        <v>1709</v>
      </c>
      <c r="C1526" s="70" t="s">
        <v>518</v>
      </c>
      <c r="D1526" s="70" t="s">
        <v>1712</v>
      </c>
      <c r="E1526" s="71" t="s">
        <v>165</v>
      </c>
      <c r="F1526" s="72" t="s">
        <v>30</v>
      </c>
      <c r="G1526" s="72"/>
      <c r="H1526" s="71" t="s">
        <v>13</v>
      </c>
      <c r="I1526" s="73">
        <v>8279.5</v>
      </c>
      <c r="J1526" s="73"/>
      <c r="K1526" s="74" t="s">
        <v>8</v>
      </c>
      <c r="L1526" s="75">
        <v>883034.7</v>
      </c>
    </row>
    <row r="1527" spans="1:12" ht="81.599999999999994" x14ac:dyDescent="0.3">
      <c r="A1527" s="69" t="s">
        <v>191</v>
      </c>
      <c r="B1527" s="70" t="s">
        <v>1709</v>
      </c>
      <c r="C1527" s="70" t="s">
        <v>518</v>
      </c>
      <c r="D1527" s="70" t="s">
        <v>1713</v>
      </c>
      <c r="E1527" s="71" t="s">
        <v>165</v>
      </c>
      <c r="F1527" s="72" t="s">
        <v>30</v>
      </c>
      <c r="G1527" s="72"/>
      <c r="H1527" s="71" t="s">
        <v>13</v>
      </c>
      <c r="I1527" s="73">
        <v>4467</v>
      </c>
      <c r="J1527" s="73"/>
      <c r="K1527" s="74" t="s">
        <v>8</v>
      </c>
      <c r="L1527" s="75">
        <v>878567.7</v>
      </c>
    </row>
    <row r="1528" spans="1:12" ht="71.400000000000006" x14ac:dyDescent="0.3">
      <c r="A1528" s="69" t="s">
        <v>191</v>
      </c>
      <c r="B1528" s="70" t="s">
        <v>1709</v>
      </c>
      <c r="C1528" s="70" t="s">
        <v>518</v>
      </c>
      <c r="D1528" s="70" t="s">
        <v>1714</v>
      </c>
      <c r="E1528" s="71" t="s">
        <v>165</v>
      </c>
      <c r="F1528" s="72" t="s">
        <v>30</v>
      </c>
      <c r="G1528" s="72"/>
      <c r="H1528" s="71" t="s">
        <v>13</v>
      </c>
      <c r="I1528" s="73">
        <v>3311.8</v>
      </c>
      <c r="J1528" s="73"/>
      <c r="K1528" s="74" t="s">
        <v>8</v>
      </c>
      <c r="L1528" s="75">
        <v>875255.9</v>
      </c>
    </row>
    <row r="1529" spans="1:12" ht="71.400000000000006" x14ac:dyDescent="0.3">
      <c r="A1529" s="69" t="s">
        <v>191</v>
      </c>
      <c r="B1529" s="70" t="s">
        <v>1709</v>
      </c>
      <c r="C1529" s="70" t="s">
        <v>518</v>
      </c>
      <c r="D1529" s="70" t="s">
        <v>1715</v>
      </c>
      <c r="E1529" s="71" t="s">
        <v>165</v>
      </c>
      <c r="F1529" s="72" t="s">
        <v>30</v>
      </c>
      <c r="G1529" s="72"/>
      <c r="H1529" s="71" t="s">
        <v>13</v>
      </c>
      <c r="I1529" s="78">
        <v>258.8</v>
      </c>
      <c r="J1529" s="78"/>
      <c r="K1529" s="74" t="s">
        <v>8</v>
      </c>
      <c r="L1529" s="75">
        <v>874997.1</v>
      </c>
    </row>
    <row r="1530" spans="1:12" ht="71.400000000000006" x14ac:dyDescent="0.3">
      <c r="A1530" s="69" t="s">
        <v>191</v>
      </c>
      <c r="B1530" s="70" t="s">
        <v>1709</v>
      </c>
      <c r="C1530" s="70" t="s">
        <v>518</v>
      </c>
      <c r="D1530" s="70" t="s">
        <v>1716</v>
      </c>
      <c r="E1530" s="71" t="s">
        <v>165</v>
      </c>
      <c r="F1530" s="72" t="s">
        <v>30</v>
      </c>
      <c r="G1530" s="72"/>
      <c r="H1530" s="71" t="s">
        <v>13</v>
      </c>
      <c r="I1530" s="73">
        <v>1207.5</v>
      </c>
      <c r="J1530" s="73"/>
      <c r="K1530" s="74" t="s">
        <v>8</v>
      </c>
      <c r="L1530" s="75">
        <v>873789.6</v>
      </c>
    </row>
    <row r="1531" spans="1:12" ht="81.599999999999994" x14ac:dyDescent="0.3">
      <c r="A1531" s="69" t="s">
        <v>191</v>
      </c>
      <c r="B1531" s="70" t="s">
        <v>1709</v>
      </c>
      <c r="C1531" s="70" t="s">
        <v>518</v>
      </c>
      <c r="D1531" s="70" t="s">
        <v>1717</v>
      </c>
      <c r="E1531" s="71" t="s">
        <v>165</v>
      </c>
      <c r="F1531" s="72" t="s">
        <v>30</v>
      </c>
      <c r="G1531" s="72"/>
      <c r="H1531" s="71" t="s">
        <v>13</v>
      </c>
      <c r="I1531" s="78">
        <v>65.099999999999994</v>
      </c>
      <c r="J1531" s="78"/>
      <c r="K1531" s="74" t="s">
        <v>8</v>
      </c>
      <c r="L1531" s="75">
        <v>873724.5</v>
      </c>
    </row>
    <row r="1532" spans="1:12" ht="91.8" x14ac:dyDescent="0.3">
      <c r="A1532" s="69" t="s">
        <v>191</v>
      </c>
      <c r="B1532" s="70" t="s">
        <v>1709</v>
      </c>
      <c r="C1532" s="70" t="s">
        <v>518</v>
      </c>
      <c r="D1532" s="70" t="s">
        <v>1718</v>
      </c>
      <c r="E1532" s="71" t="s">
        <v>165</v>
      </c>
      <c r="F1532" s="72" t="s">
        <v>30</v>
      </c>
      <c r="G1532" s="72"/>
      <c r="H1532" s="71" t="s">
        <v>13</v>
      </c>
      <c r="I1532" s="73">
        <v>13730</v>
      </c>
      <c r="J1532" s="73"/>
      <c r="K1532" s="74" t="s">
        <v>8</v>
      </c>
      <c r="L1532" s="75">
        <v>859994.5</v>
      </c>
    </row>
    <row r="1533" spans="1:12" ht="71.400000000000006" x14ac:dyDescent="0.3">
      <c r="A1533" s="69" t="s">
        <v>191</v>
      </c>
      <c r="B1533" s="70" t="s">
        <v>1709</v>
      </c>
      <c r="C1533" s="70" t="s">
        <v>518</v>
      </c>
      <c r="D1533" s="70" t="s">
        <v>1719</v>
      </c>
      <c r="E1533" s="71" t="s">
        <v>165</v>
      </c>
      <c r="F1533" s="72" t="s">
        <v>30</v>
      </c>
      <c r="G1533" s="72"/>
      <c r="H1533" s="71" t="s">
        <v>13</v>
      </c>
      <c r="I1533" s="78">
        <v>718.8</v>
      </c>
      <c r="J1533" s="78"/>
      <c r="K1533" s="74" t="s">
        <v>8</v>
      </c>
      <c r="L1533" s="75">
        <v>859275.7</v>
      </c>
    </row>
    <row r="1534" spans="1:12" ht="71.400000000000006" x14ac:dyDescent="0.3">
      <c r="A1534" s="69" t="s">
        <v>191</v>
      </c>
      <c r="B1534" s="70" t="s">
        <v>1709</v>
      </c>
      <c r="C1534" s="70" t="s">
        <v>518</v>
      </c>
      <c r="D1534" s="70" t="s">
        <v>1589</v>
      </c>
      <c r="E1534" s="71" t="s">
        <v>165</v>
      </c>
      <c r="F1534" s="72" t="s">
        <v>30</v>
      </c>
      <c r="G1534" s="72"/>
      <c r="H1534" s="71" t="s">
        <v>13</v>
      </c>
      <c r="I1534" s="73">
        <v>1188.5999999999999</v>
      </c>
      <c r="J1534" s="73"/>
      <c r="K1534" s="74" t="s">
        <v>8</v>
      </c>
      <c r="L1534" s="75">
        <v>858087.1</v>
      </c>
    </row>
    <row r="1535" spans="1:12" ht="81.599999999999994" x14ac:dyDescent="0.3">
      <c r="A1535" s="69" t="s">
        <v>191</v>
      </c>
      <c r="B1535" s="70" t="s">
        <v>1720</v>
      </c>
      <c r="C1535" s="70" t="s">
        <v>518</v>
      </c>
      <c r="D1535" s="70" t="s">
        <v>1687</v>
      </c>
      <c r="E1535" s="71" t="s">
        <v>165</v>
      </c>
      <c r="F1535" s="72" t="s">
        <v>30</v>
      </c>
      <c r="G1535" s="72"/>
      <c r="H1535" s="71" t="s">
        <v>13</v>
      </c>
      <c r="I1535" s="73">
        <v>8819.1299999999992</v>
      </c>
      <c r="J1535" s="73"/>
      <c r="K1535" s="74" t="s">
        <v>8</v>
      </c>
      <c r="L1535" s="75">
        <v>1473083.37</v>
      </c>
    </row>
    <row r="1536" spans="1:12" ht="81.599999999999994" x14ac:dyDescent="0.3">
      <c r="A1536" s="69" t="s">
        <v>191</v>
      </c>
      <c r="B1536" s="70" t="s">
        <v>1720</v>
      </c>
      <c r="C1536" s="70" t="s">
        <v>518</v>
      </c>
      <c r="D1536" s="70" t="s">
        <v>1689</v>
      </c>
      <c r="E1536" s="71" t="s">
        <v>165</v>
      </c>
      <c r="F1536" s="72" t="s">
        <v>30</v>
      </c>
      <c r="G1536" s="72"/>
      <c r="H1536" s="71" t="s">
        <v>13</v>
      </c>
      <c r="I1536" s="73">
        <v>1772.86</v>
      </c>
      <c r="J1536" s="73"/>
      <c r="K1536" s="74" t="s">
        <v>8</v>
      </c>
      <c r="L1536" s="75">
        <v>1471310.51</v>
      </c>
    </row>
    <row r="1537" spans="1:12" ht="81.599999999999994" x14ac:dyDescent="0.3">
      <c r="A1537" s="69" t="s">
        <v>191</v>
      </c>
      <c r="B1537" s="70" t="s">
        <v>1720</v>
      </c>
      <c r="C1537" s="70" t="s">
        <v>518</v>
      </c>
      <c r="D1537" s="70" t="s">
        <v>1691</v>
      </c>
      <c r="E1537" s="71" t="s">
        <v>165</v>
      </c>
      <c r="F1537" s="72" t="s">
        <v>30</v>
      </c>
      <c r="G1537" s="72"/>
      <c r="H1537" s="71" t="s">
        <v>13</v>
      </c>
      <c r="I1537" s="73">
        <v>3380.1</v>
      </c>
      <c r="J1537" s="73"/>
      <c r="K1537" s="74" t="s">
        <v>8</v>
      </c>
      <c r="L1537" s="75">
        <v>1467930.41</v>
      </c>
    </row>
    <row r="1538" spans="1:12" ht="81.599999999999994" x14ac:dyDescent="0.3">
      <c r="A1538" s="69" t="s">
        <v>191</v>
      </c>
      <c r="B1538" s="70" t="s">
        <v>1720</v>
      </c>
      <c r="C1538" s="70" t="s">
        <v>518</v>
      </c>
      <c r="D1538" s="70" t="s">
        <v>1689</v>
      </c>
      <c r="E1538" s="71" t="s">
        <v>165</v>
      </c>
      <c r="F1538" s="72" t="s">
        <v>30</v>
      </c>
      <c r="G1538" s="72"/>
      <c r="H1538" s="71" t="s">
        <v>13</v>
      </c>
      <c r="I1538" s="73">
        <v>1648.45</v>
      </c>
      <c r="J1538" s="73"/>
      <c r="K1538" s="74" t="s">
        <v>8</v>
      </c>
      <c r="L1538" s="75">
        <v>1466281.96</v>
      </c>
    </row>
    <row r="1539" spans="1:12" ht="81.599999999999994" x14ac:dyDescent="0.3">
      <c r="A1539" s="69" t="s">
        <v>191</v>
      </c>
      <c r="B1539" s="70" t="s">
        <v>1720</v>
      </c>
      <c r="C1539" s="70" t="s">
        <v>518</v>
      </c>
      <c r="D1539" s="70" t="s">
        <v>1691</v>
      </c>
      <c r="E1539" s="71" t="s">
        <v>165</v>
      </c>
      <c r="F1539" s="72" t="s">
        <v>30</v>
      </c>
      <c r="G1539" s="72"/>
      <c r="H1539" s="71" t="s">
        <v>13</v>
      </c>
      <c r="I1539" s="78">
        <v>970.22</v>
      </c>
      <c r="J1539" s="78"/>
      <c r="K1539" s="74" t="s">
        <v>8</v>
      </c>
      <c r="L1539" s="75">
        <v>1465311.74</v>
      </c>
    </row>
    <row r="1540" spans="1:12" ht="81.599999999999994" x14ac:dyDescent="0.3">
      <c r="A1540" s="69" t="s">
        <v>191</v>
      </c>
      <c r="B1540" s="70" t="s">
        <v>1720</v>
      </c>
      <c r="C1540" s="70" t="s">
        <v>518</v>
      </c>
      <c r="D1540" s="70" t="s">
        <v>1675</v>
      </c>
      <c r="E1540" s="71" t="s">
        <v>165</v>
      </c>
      <c r="F1540" s="72" t="s">
        <v>30</v>
      </c>
      <c r="G1540" s="72"/>
      <c r="H1540" s="71" t="s">
        <v>13</v>
      </c>
      <c r="I1540" s="78">
        <v>964.79</v>
      </c>
      <c r="J1540" s="78"/>
      <c r="K1540" s="74" t="s">
        <v>8</v>
      </c>
      <c r="L1540" s="75">
        <v>1464346.95</v>
      </c>
    </row>
    <row r="1541" spans="1:12" ht="81.599999999999994" x14ac:dyDescent="0.3">
      <c r="A1541" s="69" t="s">
        <v>191</v>
      </c>
      <c r="B1541" s="70" t="s">
        <v>1721</v>
      </c>
      <c r="C1541" s="70" t="s">
        <v>518</v>
      </c>
      <c r="D1541" s="70" t="s">
        <v>568</v>
      </c>
      <c r="E1541" s="71" t="s">
        <v>165</v>
      </c>
      <c r="F1541" s="72" t="s">
        <v>30</v>
      </c>
      <c r="G1541" s="72"/>
      <c r="H1541" s="71" t="s">
        <v>13</v>
      </c>
      <c r="I1541" s="78">
        <v>591.91999999999996</v>
      </c>
      <c r="J1541" s="78"/>
      <c r="K1541" s="74" t="s">
        <v>8</v>
      </c>
      <c r="L1541" s="75">
        <v>3521241.55</v>
      </c>
    </row>
    <row r="1542" spans="1:12" ht="81.599999999999994" x14ac:dyDescent="0.3">
      <c r="A1542" s="69" t="s">
        <v>191</v>
      </c>
      <c r="B1542" s="70" t="s">
        <v>1721</v>
      </c>
      <c r="C1542" s="70" t="s">
        <v>518</v>
      </c>
      <c r="D1542" s="70" t="s">
        <v>569</v>
      </c>
      <c r="E1542" s="71" t="s">
        <v>165</v>
      </c>
      <c r="F1542" s="72" t="s">
        <v>30</v>
      </c>
      <c r="G1542" s="72"/>
      <c r="H1542" s="71" t="s">
        <v>13</v>
      </c>
      <c r="I1542" s="78">
        <v>169.12</v>
      </c>
      <c r="J1542" s="78"/>
      <c r="K1542" s="74" t="s">
        <v>8</v>
      </c>
      <c r="L1542" s="75">
        <v>3521072.43</v>
      </c>
    </row>
    <row r="1543" spans="1:12" ht="61.2" x14ac:dyDescent="0.3">
      <c r="A1543" s="69" t="s">
        <v>191</v>
      </c>
      <c r="B1543" s="70" t="s">
        <v>1722</v>
      </c>
      <c r="C1543" s="70" t="s">
        <v>518</v>
      </c>
      <c r="D1543" s="70" t="s">
        <v>484</v>
      </c>
      <c r="E1543" s="71" t="s">
        <v>165</v>
      </c>
      <c r="F1543" s="72" t="s">
        <v>30</v>
      </c>
      <c r="G1543" s="72"/>
      <c r="H1543" s="71" t="s">
        <v>13</v>
      </c>
      <c r="I1543" s="73">
        <v>26247.64</v>
      </c>
      <c r="J1543" s="73"/>
      <c r="K1543" s="74" t="s">
        <v>8</v>
      </c>
      <c r="L1543" s="75">
        <v>2316603.2599999998</v>
      </c>
    </row>
    <row r="1544" spans="1:12" ht="71.400000000000006" x14ac:dyDescent="0.3">
      <c r="A1544" s="69" t="s">
        <v>191</v>
      </c>
      <c r="B1544" s="70" t="s">
        <v>1722</v>
      </c>
      <c r="C1544" s="70" t="s">
        <v>518</v>
      </c>
      <c r="D1544" s="70" t="s">
        <v>1628</v>
      </c>
      <c r="E1544" s="71" t="s">
        <v>165</v>
      </c>
      <c r="F1544" s="72" t="s">
        <v>30</v>
      </c>
      <c r="G1544" s="72"/>
      <c r="H1544" s="71" t="s">
        <v>13</v>
      </c>
      <c r="I1544" s="73">
        <v>1004.18</v>
      </c>
      <c r="J1544" s="73"/>
      <c r="K1544" s="74" t="s">
        <v>8</v>
      </c>
      <c r="L1544" s="75">
        <v>2315599.08</v>
      </c>
    </row>
    <row r="1545" spans="1:12" ht="71.400000000000006" x14ac:dyDescent="0.3">
      <c r="A1545" s="69" t="s">
        <v>191</v>
      </c>
      <c r="B1545" s="70" t="s">
        <v>1722</v>
      </c>
      <c r="C1545" s="70" t="s">
        <v>518</v>
      </c>
      <c r="D1545" s="70" t="s">
        <v>1723</v>
      </c>
      <c r="E1545" s="71" t="s">
        <v>165</v>
      </c>
      <c r="F1545" s="72" t="s">
        <v>30</v>
      </c>
      <c r="G1545" s="72"/>
      <c r="H1545" s="71" t="s">
        <v>13</v>
      </c>
      <c r="I1545" s="78">
        <v>321.08999999999997</v>
      </c>
      <c r="J1545" s="78"/>
      <c r="K1545" s="74" t="s">
        <v>8</v>
      </c>
      <c r="L1545" s="75">
        <v>2315277.9900000002</v>
      </c>
    </row>
    <row r="1546" spans="1:12" ht="61.2" x14ac:dyDescent="0.3">
      <c r="A1546" s="69" t="s">
        <v>191</v>
      </c>
      <c r="B1546" s="70" t="s">
        <v>1722</v>
      </c>
      <c r="C1546" s="70" t="s">
        <v>518</v>
      </c>
      <c r="D1546" s="70" t="s">
        <v>1724</v>
      </c>
      <c r="E1546" s="71" t="s">
        <v>165</v>
      </c>
      <c r="F1546" s="72" t="s">
        <v>30</v>
      </c>
      <c r="G1546" s="72"/>
      <c r="H1546" s="71" t="s">
        <v>13</v>
      </c>
      <c r="I1546" s="73">
        <v>5065</v>
      </c>
      <c r="J1546" s="73"/>
      <c r="K1546" s="74" t="s">
        <v>8</v>
      </c>
      <c r="L1546" s="75">
        <v>2310212.9900000002</v>
      </c>
    </row>
    <row r="1547" spans="1:12" ht="61.2" x14ac:dyDescent="0.3">
      <c r="A1547" s="69" t="s">
        <v>191</v>
      </c>
      <c r="B1547" s="70" t="s">
        <v>1722</v>
      </c>
      <c r="C1547" s="70" t="s">
        <v>518</v>
      </c>
      <c r="D1547" s="70" t="s">
        <v>772</v>
      </c>
      <c r="E1547" s="71" t="s">
        <v>165</v>
      </c>
      <c r="F1547" s="72" t="s">
        <v>30</v>
      </c>
      <c r="G1547" s="72"/>
      <c r="H1547" s="71" t="s">
        <v>13</v>
      </c>
      <c r="I1547" s="73">
        <v>4421.5600000000004</v>
      </c>
      <c r="J1547" s="73"/>
      <c r="K1547" s="74" t="s">
        <v>8</v>
      </c>
      <c r="L1547" s="75">
        <v>2305791.4300000002</v>
      </c>
    </row>
    <row r="1548" spans="1:12" ht="81.599999999999994" x14ac:dyDescent="0.3">
      <c r="A1548" s="69" t="s">
        <v>191</v>
      </c>
      <c r="B1548" s="70" t="s">
        <v>1722</v>
      </c>
      <c r="C1548" s="70" t="s">
        <v>518</v>
      </c>
      <c r="D1548" s="70" t="s">
        <v>773</v>
      </c>
      <c r="E1548" s="71" t="s">
        <v>165</v>
      </c>
      <c r="F1548" s="72" t="s">
        <v>30</v>
      </c>
      <c r="G1548" s="72"/>
      <c r="H1548" s="71" t="s">
        <v>13</v>
      </c>
      <c r="I1548" s="78">
        <v>660.8</v>
      </c>
      <c r="J1548" s="78"/>
      <c r="K1548" s="74" t="s">
        <v>8</v>
      </c>
      <c r="L1548" s="75">
        <v>2305130.63</v>
      </c>
    </row>
    <row r="1549" spans="1:12" ht="81.599999999999994" x14ac:dyDescent="0.3">
      <c r="A1549" s="69" t="s">
        <v>191</v>
      </c>
      <c r="B1549" s="70" t="s">
        <v>1722</v>
      </c>
      <c r="C1549" s="70" t="s">
        <v>518</v>
      </c>
      <c r="D1549" s="70" t="s">
        <v>551</v>
      </c>
      <c r="E1549" s="71" t="s">
        <v>165</v>
      </c>
      <c r="F1549" s="72" t="s">
        <v>30</v>
      </c>
      <c r="G1549" s="72"/>
      <c r="H1549" s="71" t="s">
        <v>13</v>
      </c>
      <c r="I1549" s="73">
        <v>7588.26</v>
      </c>
      <c r="J1549" s="73"/>
      <c r="K1549" s="74" t="s">
        <v>8</v>
      </c>
      <c r="L1549" s="75">
        <v>2297542.37</v>
      </c>
    </row>
    <row r="1550" spans="1:12" ht="81.599999999999994" x14ac:dyDescent="0.3">
      <c r="A1550" s="69" t="s">
        <v>191</v>
      </c>
      <c r="B1550" s="70" t="s">
        <v>1722</v>
      </c>
      <c r="C1550" s="70" t="s">
        <v>518</v>
      </c>
      <c r="D1550" s="70" t="s">
        <v>551</v>
      </c>
      <c r="E1550" s="71" t="s">
        <v>165</v>
      </c>
      <c r="F1550" s="72" t="s">
        <v>30</v>
      </c>
      <c r="G1550" s="72"/>
      <c r="H1550" s="71" t="s">
        <v>13</v>
      </c>
      <c r="I1550" s="78">
        <v>696.88</v>
      </c>
      <c r="J1550" s="78"/>
      <c r="K1550" s="74" t="s">
        <v>8</v>
      </c>
      <c r="L1550" s="75">
        <v>2296845.4900000002</v>
      </c>
    </row>
    <row r="1551" spans="1:12" ht="81.599999999999994" x14ac:dyDescent="0.3">
      <c r="A1551" s="69" t="s">
        <v>191</v>
      </c>
      <c r="B1551" s="70" t="s">
        <v>1722</v>
      </c>
      <c r="C1551" s="70" t="s">
        <v>518</v>
      </c>
      <c r="D1551" s="70" t="s">
        <v>555</v>
      </c>
      <c r="E1551" s="71" t="s">
        <v>165</v>
      </c>
      <c r="F1551" s="72" t="s">
        <v>30</v>
      </c>
      <c r="G1551" s="72"/>
      <c r="H1551" s="71" t="s">
        <v>13</v>
      </c>
      <c r="I1551" s="73">
        <v>9332.2999999999993</v>
      </c>
      <c r="J1551" s="73"/>
      <c r="K1551" s="74" t="s">
        <v>8</v>
      </c>
      <c r="L1551" s="75">
        <v>2287513.19</v>
      </c>
    </row>
    <row r="1552" spans="1:12" ht="81.599999999999994" x14ac:dyDescent="0.3">
      <c r="A1552" s="69" t="s">
        <v>191</v>
      </c>
      <c r="B1552" s="70" t="s">
        <v>1722</v>
      </c>
      <c r="C1552" s="70" t="s">
        <v>518</v>
      </c>
      <c r="D1552" s="70" t="s">
        <v>559</v>
      </c>
      <c r="E1552" s="71" t="s">
        <v>165</v>
      </c>
      <c r="F1552" s="72" t="s">
        <v>30</v>
      </c>
      <c r="G1552" s="72"/>
      <c r="H1552" s="71" t="s">
        <v>13</v>
      </c>
      <c r="I1552" s="78">
        <v>839.44</v>
      </c>
      <c r="J1552" s="78"/>
      <c r="K1552" s="74" t="s">
        <v>8</v>
      </c>
      <c r="L1552" s="75">
        <v>2286673.75</v>
      </c>
    </row>
    <row r="1553" spans="1:12" ht="71.400000000000006" x14ac:dyDescent="0.3">
      <c r="A1553" s="69" t="s">
        <v>191</v>
      </c>
      <c r="B1553" s="70" t="s">
        <v>1725</v>
      </c>
      <c r="C1553" s="70" t="s">
        <v>518</v>
      </c>
      <c r="D1553" s="70" t="s">
        <v>624</v>
      </c>
      <c r="E1553" s="71" t="s">
        <v>165</v>
      </c>
      <c r="F1553" s="72" t="s">
        <v>30</v>
      </c>
      <c r="G1553" s="72"/>
      <c r="H1553" s="71" t="s">
        <v>13</v>
      </c>
      <c r="I1553" s="73">
        <v>1210</v>
      </c>
      <c r="J1553" s="73"/>
      <c r="K1553" s="74" t="s">
        <v>8</v>
      </c>
      <c r="L1553" s="75">
        <v>3519862.43</v>
      </c>
    </row>
    <row r="1554" spans="1:12" ht="61.2" x14ac:dyDescent="0.3">
      <c r="A1554" s="69" t="s">
        <v>191</v>
      </c>
      <c r="B1554" s="70" t="s">
        <v>1725</v>
      </c>
      <c r="C1554" s="70" t="s">
        <v>518</v>
      </c>
      <c r="D1554" s="70" t="s">
        <v>1726</v>
      </c>
      <c r="E1554" s="71" t="s">
        <v>165</v>
      </c>
      <c r="F1554" s="72" t="s">
        <v>30</v>
      </c>
      <c r="G1554" s="72"/>
      <c r="H1554" s="71" t="s">
        <v>13</v>
      </c>
      <c r="I1554" s="73">
        <v>1450</v>
      </c>
      <c r="J1554" s="73"/>
      <c r="K1554" s="74" t="s">
        <v>8</v>
      </c>
      <c r="L1554" s="75">
        <v>3518412.43</v>
      </c>
    </row>
    <row r="1555" spans="1:12" ht="61.2" x14ac:dyDescent="0.3">
      <c r="A1555" s="69" t="s">
        <v>191</v>
      </c>
      <c r="B1555" s="70" t="s">
        <v>1725</v>
      </c>
      <c r="C1555" s="70" t="s">
        <v>518</v>
      </c>
      <c r="D1555" s="70" t="s">
        <v>626</v>
      </c>
      <c r="E1555" s="71" t="s">
        <v>165</v>
      </c>
      <c r="F1555" s="72" t="s">
        <v>30</v>
      </c>
      <c r="G1555" s="72"/>
      <c r="H1555" s="71" t="s">
        <v>13</v>
      </c>
      <c r="I1555" s="73">
        <v>8670</v>
      </c>
      <c r="J1555" s="73"/>
      <c r="K1555" s="74" t="s">
        <v>8</v>
      </c>
      <c r="L1555" s="75">
        <v>3509742.43</v>
      </c>
    </row>
    <row r="1556" spans="1:12" x14ac:dyDescent="0.3">
      <c r="A1556" s="81" t="s">
        <v>206</v>
      </c>
      <c r="B1556" s="81"/>
      <c r="C1556" s="81"/>
      <c r="D1556" s="81"/>
      <c r="E1556" s="82">
        <v>15352211.15</v>
      </c>
      <c r="F1556" s="82"/>
      <c r="G1556" s="82"/>
      <c r="H1556" s="82">
        <v>19272546.690000001</v>
      </c>
      <c r="I1556" s="82"/>
      <c r="J1556" s="82"/>
      <c r="K1556" s="83" t="s">
        <v>8</v>
      </c>
      <c r="L1556" s="84">
        <v>19138914.649999999</v>
      </c>
    </row>
    <row r="1558" spans="1:12" x14ac:dyDescent="0.3">
      <c r="J1558" s="28">
        <f>SUBTOTAL(9,I51:J1555)</f>
        <v>17393067.780000012</v>
      </c>
    </row>
    <row r="1559" spans="1:12" x14ac:dyDescent="0.3">
      <c r="J1559" s="28">
        <f>J1558*1.2</f>
        <v>20871681.336000014</v>
      </c>
    </row>
  </sheetData>
  <autoFilter ref="B1:D1556" xr:uid="{DE8DDB68-1B4A-4CFC-98B1-EFFF22C6AADD}">
    <filterColumn colId="0">
      <filters blank="1">
        <filter val="Вимога-накладна ІБ00-000074 від 06.02.2026 10:00:00_x000a_Списаны ТМЦ"/>
        <filter val="Вимога-накладна ІБ00-000082 від 06.02.2026 20:00:00_x000a_Списаны ТМЦ"/>
        <filter val="Вимога-накладна ІБ00-000083 від 06.02.2026 20:00:09_x000a_Списаны ТМЦ"/>
        <filter val="Вимога-накладна ІБ00-000084 від 06.02.2026 20:00:13_x000a_Списаны ТМЦ"/>
        <filter val="Вимога-накладна ІБ00-000085 від 06.02.2026 20:00:18_x000a_Списаны ТМЦ"/>
        <filter val="Вимога-накладна ІБ00-000086 від 06.02.2026 20:00:23_x000a_Списаны ТМЦ"/>
        <filter val="Вимога-накладна ІБ00-000087 від 06.02.2026 20:00:00_x000a_Списаны ТМЦ"/>
        <filter val="Вимога-накладна ІБ00-000088 від 06.02.2026 20:00:29_x000a_Списаны ТМЦ"/>
        <filter val="Вимога-накладна ІБ00-000102 від 10.02.2026 11:58:33_x000a_Списаны ТМЦ"/>
        <filter val="Вимога-накладна ІБ00-000103 від 10.02.2026 00:00:00_x000a_Списаны ТМЦ"/>
        <filter val="Вимога-накладна ІБ00-000104 від 10.02.2026 14:44:24_x000a_Списаны ТМЦ"/>
        <filter val="Вимога-накладна ІБ00-000105 від 10.02.2026 15:00:41_x000a_Списаны ТМЦ"/>
        <filter val="Вимога-накладна ІБ00-000106 від 10.02.2026 15:07:25_x000a_Списаны ТМЦ"/>
        <filter val="Вимога-накладна ІБ00-000107 від 10.02.2026 15:21:21_x000a_Списаны ТМЦ"/>
        <filter val="Вимога-накладна ІБ00-000108 від 10.02.2026 20:00:13_x000a_Списаны ТМЦ"/>
        <filter val="Вимога-накладна ІБ00-000109 від 10.02.2026 20:00:16_x000a_Списаны ТМЦ"/>
        <filter val="Вимога-накладна ІБ00-000111 від 11.02.2026 17:45:30_x000a_Списаны ТМЦ"/>
        <filter val="Вимога-накладна ІБ00-000140 від 18.02.2026 20:00:07_x000a_Списаны ТМЦ"/>
        <filter val="Вимога-накладна ІБ00-000141 від 18.02.2026 20:00:08_x000a_Списаны ТМЦ"/>
        <filter val="Вимога-накладна ІБ00-000142 від 19.02.2026 20:00:09_x000a_Списаны ТМЦ"/>
        <filter val="Вимога-накладна ІБ00-000143 від 19.02.2026 20:00:00_x000a_Списаны ТМЦ"/>
        <filter val="Вимога-накладна ІБ00-000144 від 20.02.2026 17:29:33_x000a_Списаны ТМЦ"/>
        <filter val="Вимога-накладна ІБ00-000157 від 23.02.2026 09:00:00_x000a_Списаны ТМЦ"/>
        <filter val="Вимога-накладна ІБ00-000158 від 23.02.2026 20:00:00_x000a_Списаны ТМЦ"/>
        <filter val="Вимога-накладна ІБ00-000159 від 23.02.2026 00:00:00_x000a_Списаны ТМЦ"/>
        <filter val="Вимога-накладна ІБ00-000160 від 23.02.2026 23:05:17_x000a_Списаны ТМЦ"/>
        <filter val="Вимога-накладна ІБ00-000161 від 23.02.2026 23:05:23_x000a_Списаны ТМЦ"/>
        <filter val="Вимога-накладна ІБ00-000162 від 23.02.2026 23:05:28_x000a_Списаны ТМЦ"/>
        <filter val="Вимога-накладна ІБ00-000170 від 27.02.2026 20:47:57_x000a_Списаны ТМЦ"/>
        <filter val="Вимога-накладна ІБ00-000171 від 27.02.2026 20:47:58_x000a_Списаны ТМЦ"/>
        <filter val="Вимога-накладна ІБ00-000180 від 27.02.2026 00:00:00_x000a_Списаны ТМЦ"/>
        <filter val="Вимога-накладна ІББП-000170 від 27.02.2026 20:48:01_x000a_Списаны ТМЦ"/>
        <filter val="Вимога-накладна ІББП-000171 від 27.02.2026 20:48:05_x000a_Списаны ТМЦ"/>
        <filter val="Вимога-накладна ІББП-000173 від 27.02.2026 10:00:00_x000a_Списаны ТМЦ"/>
        <filter val="Вимога-накладна ІББП-000174 від 27.02.2026 20:48:10_x000a_Списаны ТМЦ"/>
        <filter val="Вимога-накладна ІББП-000175 від 27.02.2026 10:00:00_x000a_Списаны ТМЦ"/>
        <filter val="Вимога-накладна ІББП-000176 від 27.02.2026 20:00:00_x000a_Списаны ТМЦ"/>
        <filter val="Реалізація товарів і послуг ІБ00-000022 від 02.02.2026 00:00:00_x000a_Списаны ТМЦ"/>
        <filter val="Реалізація товарів і послуг ІБ00-000023 від 02.02.2026 00:00:01_x000a_Списаны ТМЦ"/>
        <filter val="Реалізація товарів і послуг ІБ00-000024 від 02.02.2026 00:00:03_x000a_Списаны ТМЦ"/>
        <filter val="Реалізація товарів і послуг ІБ00-000025 від 02.02.2026 00:00:04_x000a_Списаны ТМЦ"/>
        <filter val="Реалізація товарів і послуг ІБ00-000026 від 02.02.2026 00:00:05_x000a_Списаны ТМЦ"/>
        <filter val="Реалізація товарів і послуг ІБ00-000032 від 11.02.2026 14:29:15_x000a_Списаны ТМЦ"/>
        <filter val="Реалізація товарів і послуг ІБ00-000033 від 11.02.2026 14:30:35_x000a_Списаны ТМЦ"/>
        <filter val="Реалізація товарів і послуг ІБ00-000034 від 12.02.2026 09:28:35_x000a_Списаны ТМЦ"/>
        <filter val="Реалізація товарів і послуг ІБ00-000035 від 12.02.2026 09:37:49_x000a_Списаны ТМЦ"/>
        <filter val="Реалізація товарів і послуг ІБ00-000037 від 12.02.2026 16:09:24_x000a_Списаны ТМЦ"/>
        <filter val="Списання товарів ІБ00-000038 від 06.02.2026 20:00:00_x000a_Списаны ТМЦ"/>
        <filter val="Списання товарів ІБ00-000042 від 06.02.2026 20:00:14_x000a_Списаны ТМЦ"/>
        <filter val="Списання товарів ІБ00-000043 від 06.02.2026 20:00:15_x000a_Списаны ТМЦ"/>
        <filter val="Списання товарів ІБ00-000044 від 06.02.2026 00:00:00_x000a_Списаны ТМЦ"/>
        <filter val="Списання товарів ІБ00-000046 від 06.02.2026 00:00:00_x000a_Списаны ТМЦ"/>
        <filter val="Списання товарів ІБ00-000047 від 06.02.2026 00:00:00_x000a_Списаны ТМЦ"/>
        <filter val="Списання товарів ІБ00-000051 від 10.02.2026 20:00:00_x000a_Списаны ТМЦ"/>
        <filter val="Списання товарів ІБ00-000053 від 10.02.2026 15:51:16_x000a_Списаны ТМЦ"/>
        <filter val="Списання товарів ІБ00-000060 від 18.02.2026 10:00:00_x000a_Списаны ТМЦ"/>
        <filter val="Списання товарів ІБ00-000061 від 20.02.2026 16:00:00_x000a_Списаны ТМЦ"/>
        <filter val="Списання товарів ІБ00-000062 від 20.02.2026 16:00:00_x000a_Списаны ТМЦ"/>
        <filter val="Списання товарів ІБ00-000063 від 20.02.2026 16:00:00_x000a_Списаны ТМЦ"/>
        <filter val="Списання товарів ІБ00-000069 від 23.02.2026 20:00:00_x000a_Списаны ТМЦ"/>
        <filter val="Списання товарів ІБ00-000070 від 23.02.2026 23:05:18_x000a_Списаны ТМЦ"/>
        <filter val="Списання товарів ІБ00-000071 від 23.02.2026 00:00:00_x000a_Списаны ТМЦ"/>
        <filter val="Списання товарів ІБ00-000072 від 27.02.2026 10:00:00_x000a_Списаны ТМЦ"/>
        <filter val="Списання товарів ІББП-000096 від 27.02.2026 00:00:00_x000a_Списаны ТМЦ"/>
        <filter val="Списання товарів ІББП-000097 від 27.02.2026 10:00:00_x000a_Списаны ТМЦ"/>
        <filter val="Списання товарів ІББП-000098 від 27.02.2026 10:00:00_x000a_Списаны ТМЦ"/>
      </filters>
    </filterColumn>
  </autoFilter>
  <mergeCells count="3118">
    <mergeCell ref="F1555:G1555"/>
    <mergeCell ref="I1555:J1555"/>
    <mergeCell ref="A1556:D1556"/>
    <mergeCell ref="E1556:G1556"/>
    <mergeCell ref="H1556:J1556"/>
    <mergeCell ref="F1552:G1552"/>
    <mergeCell ref="I1552:J1552"/>
    <mergeCell ref="F1553:G1553"/>
    <mergeCell ref="I1553:J1553"/>
    <mergeCell ref="F1554:G1554"/>
    <mergeCell ref="I1554:J1554"/>
    <mergeCell ref="F1549:G1549"/>
    <mergeCell ref="I1549:J1549"/>
    <mergeCell ref="F1550:G1550"/>
    <mergeCell ref="I1550:J1550"/>
    <mergeCell ref="F1551:G1551"/>
    <mergeCell ref="I1551:J1551"/>
    <mergeCell ref="F1546:G1546"/>
    <mergeCell ref="I1546:J1546"/>
    <mergeCell ref="F1547:G1547"/>
    <mergeCell ref="I1547:J1547"/>
    <mergeCell ref="F1548:G1548"/>
    <mergeCell ref="I1548:J1548"/>
    <mergeCell ref="F1543:G1543"/>
    <mergeCell ref="I1543:J1543"/>
    <mergeCell ref="F1544:G1544"/>
    <mergeCell ref="I1544:J1544"/>
    <mergeCell ref="F1545:G1545"/>
    <mergeCell ref="I1545:J1545"/>
    <mergeCell ref="F1540:G1540"/>
    <mergeCell ref="I1540:J1540"/>
    <mergeCell ref="F1541:G1541"/>
    <mergeCell ref="I1541:J1541"/>
    <mergeCell ref="F1542:G1542"/>
    <mergeCell ref="I1542:J1542"/>
    <mergeCell ref="F1537:G1537"/>
    <mergeCell ref="I1537:J1537"/>
    <mergeCell ref="F1538:G1538"/>
    <mergeCell ref="I1538:J1538"/>
    <mergeCell ref="F1539:G1539"/>
    <mergeCell ref="I1539:J1539"/>
    <mergeCell ref="F1534:G1534"/>
    <mergeCell ref="I1534:J1534"/>
    <mergeCell ref="F1535:G1535"/>
    <mergeCell ref="I1535:J1535"/>
    <mergeCell ref="F1536:G1536"/>
    <mergeCell ref="I1536:J1536"/>
    <mergeCell ref="F1531:G1531"/>
    <mergeCell ref="I1531:J1531"/>
    <mergeCell ref="F1532:G1532"/>
    <mergeCell ref="I1532:J1532"/>
    <mergeCell ref="F1533:G1533"/>
    <mergeCell ref="I1533:J1533"/>
    <mergeCell ref="F1528:G1528"/>
    <mergeCell ref="I1528:J1528"/>
    <mergeCell ref="F1529:G1529"/>
    <mergeCell ref="I1529:J1529"/>
    <mergeCell ref="F1530:G1530"/>
    <mergeCell ref="I1530:J1530"/>
    <mergeCell ref="F1525:G1525"/>
    <mergeCell ref="I1525:J1525"/>
    <mergeCell ref="F1526:G1526"/>
    <mergeCell ref="I1526:J1526"/>
    <mergeCell ref="F1527:G1527"/>
    <mergeCell ref="I1527:J1527"/>
    <mergeCell ref="F1522:G1522"/>
    <mergeCell ref="I1522:J1522"/>
    <mergeCell ref="F1523:G1523"/>
    <mergeCell ref="I1523:J1523"/>
    <mergeCell ref="F1524:G1524"/>
    <mergeCell ref="I1524:J1524"/>
    <mergeCell ref="F1519:G1519"/>
    <mergeCell ref="I1519:J1519"/>
    <mergeCell ref="F1520:G1520"/>
    <mergeCell ref="I1520:J1520"/>
    <mergeCell ref="F1521:G1521"/>
    <mergeCell ref="I1521:J1521"/>
    <mergeCell ref="F1516:G1516"/>
    <mergeCell ref="I1516:J1516"/>
    <mergeCell ref="F1517:G1517"/>
    <mergeCell ref="I1517:J1517"/>
    <mergeCell ref="F1518:G1518"/>
    <mergeCell ref="I1518:J1518"/>
    <mergeCell ref="F1513:G1513"/>
    <mergeCell ref="I1513:J1513"/>
    <mergeCell ref="F1514:G1514"/>
    <mergeCell ref="I1514:J1514"/>
    <mergeCell ref="F1515:G1515"/>
    <mergeCell ref="I1515:J1515"/>
    <mergeCell ref="F1510:G1510"/>
    <mergeCell ref="I1510:J1510"/>
    <mergeCell ref="F1511:G1511"/>
    <mergeCell ref="I1511:J1511"/>
    <mergeCell ref="F1512:G1512"/>
    <mergeCell ref="I1512:J1512"/>
    <mergeCell ref="F1507:G1507"/>
    <mergeCell ref="I1507:J1507"/>
    <mergeCell ref="F1508:G1508"/>
    <mergeCell ref="I1508:J1508"/>
    <mergeCell ref="F1509:G1509"/>
    <mergeCell ref="I1509:J1509"/>
    <mergeCell ref="F1504:G1504"/>
    <mergeCell ref="I1504:J1504"/>
    <mergeCell ref="F1505:G1505"/>
    <mergeCell ref="I1505:J1505"/>
    <mergeCell ref="F1506:G1506"/>
    <mergeCell ref="I1506:J1506"/>
    <mergeCell ref="F1501:G1501"/>
    <mergeCell ref="I1501:J1501"/>
    <mergeCell ref="F1502:G1502"/>
    <mergeCell ref="I1502:J1502"/>
    <mergeCell ref="F1503:G1503"/>
    <mergeCell ref="I1503:J1503"/>
    <mergeCell ref="F1498:G1498"/>
    <mergeCell ref="I1498:J1498"/>
    <mergeCell ref="F1499:G1499"/>
    <mergeCell ref="I1499:J1499"/>
    <mergeCell ref="F1500:G1500"/>
    <mergeCell ref="I1500:J1500"/>
    <mergeCell ref="F1495:G1495"/>
    <mergeCell ref="I1495:J1495"/>
    <mergeCell ref="F1496:G1496"/>
    <mergeCell ref="I1496:J1496"/>
    <mergeCell ref="F1497:G1497"/>
    <mergeCell ref="I1497:J1497"/>
    <mergeCell ref="F1492:G1492"/>
    <mergeCell ref="I1492:J1492"/>
    <mergeCell ref="F1493:G1493"/>
    <mergeCell ref="I1493:J1493"/>
    <mergeCell ref="F1494:G1494"/>
    <mergeCell ref="I1494:J1494"/>
    <mergeCell ref="F1489:G1489"/>
    <mergeCell ref="I1489:J1489"/>
    <mergeCell ref="F1490:G1490"/>
    <mergeCell ref="I1490:J1490"/>
    <mergeCell ref="F1491:G1491"/>
    <mergeCell ref="I1491:J1491"/>
    <mergeCell ref="F1486:G1486"/>
    <mergeCell ref="I1486:J1486"/>
    <mergeCell ref="F1487:G1487"/>
    <mergeCell ref="I1487:J1487"/>
    <mergeCell ref="F1488:G1488"/>
    <mergeCell ref="I1488:J1488"/>
    <mergeCell ref="F1483:G1483"/>
    <mergeCell ref="I1483:J1483"/>
    <mergeCell ref="F1484:G1484"/>
    <mergeCell ref="I1484:J1484"/>
    <mergeCell ref="F1485:G1485"/>
    <mergeCell ref="I1485:J1485"/>
    <mergeCell ref="F1480:G1480"/>
    <mergeCell ref="I1480:J1480"/>
    <mergeCell ref="F1481:G1481"/>
    <mergeCell ref="I1481:J1481"/>
    <mergeCell ref="F1482:G1482"/>
    <mergeCell ref="I1482:J1482"/>
    <mergeCell ref="F1477:G1477"/>
    <mergeCell ref="I1477:J1477"/>
    <mergeCell ref="F1478:G1478"/>
    <mergeCell ref="I1478:J1478"/>
    <mergeCell ref="F1479:G1479"/>
    <mergeCell ref="I1479:J1479"/>
    <mergeCell ref="F1474:G1474"/>
    <mergeCell ref="I1474:J1474"/>
    <mergeCell ref="F1475:G1475"/>
    <mergeCell ref="I1475:J1475"/>
    <mergeCell ref="F1476:G1476"/>
    <mergeCell ref="I1476:J1476"/>
    <mergeCell ref="F1471:G1471"/>
    <mergeCell ref="I1471:J1471"/>
    <mergeCell ref="F1472:G1472"/>
    <mergeCell ref="I1472:J1472"/>
    <mergeCell ref="F1473:G1473"/>
    <mergeCell ref="I1473:J1473"/>
    <mergeCell ref="F1468:G1468"/>
    <mergeCell ref="I1468:J1468"/>
    <mergeCell ref="F1469:G1469"/>
    <mergeCell ref="I1469:J1469"/>
    <mergeCell ref="F1470:G1470"/>
    <mergeCell ref="I1470:J1470"/>
    <mergeCell ref="F1465:G1465"/>
    <mergeCell ref="I1465:J1465"/>
    <mergeCell ref="F1466:G1466"/>
    <mergeCell ref="I1466:J1466"/>
    <mergeCell ref="F1467:G1467"/>
    <mergeCell ref="I1467:J1467"/>
    <mergeCell ref="F1462:G1462"/>
    <mergeCell ref="I1462:J1462"/>
    <mergeCell ref="F1463:G1463"/>
    <mergeCell ref="I1463:J1463"/>
    <mergeCell ref="F1464:G1464"/>
    <mergeCell ref="I1464:J1464"/>
    <mergeCell ref="F1459:G1459"/>
    <mergeCell ref="I1459:J1459"/>
    <mergeCell ref="F1460:G1460"/>
    <mergeCell ref="I1460:J1460"/>
    <mergeCell ref="F1461:G1461"/>
    <mergeCell ref="I1461:J1461"/>
    <mergeCell ref="F1456:G1456"/>
    <mergeCell ref="I1456:J1456"/>
    <mergeCell ref="F1457:G1457"/>
    <mergeCell ref="I1457:J1457"/>
    <mergeCell ref="F1458:G1458"/>
    <mergeCell ref="I1458:J1458"/>
    <mergeCell ref="F1453:G1453"/>
    <mergeCell ref="I1453:J1453"/>
    <mergeCell ref="F1454:G1454"/>
    <mergeCell ref="I1454:J1454"/>
    <mergeCell ref="F1455:G1455"/>
    <mergeCell ref="I1455:J1455"/>
    <mergeCell ref="F1450:G1450"/>
    <mergeCell ref="I1450:J1450"/>
    <mergeCell ref="F1451:G1451"/>
    <mergeCell ref="I1451:J1451"/>
    <mergeCell ref="F1452:G1452"/>
    <mergeCell ref="I1452:J1452"/>
    <mergeCell ref="F1447:G1447"/>
    <mergeCell ref="I1447:J1447"/>
    <mergeCell ref="F1448:G1448"/>
    <mergeCell ref="I1448:J1448"/>
    <mergeCell ref="F1449:G1449"/>
    <mergeCell ref="I1449:J1449"/>
    <mergeCell ref="F1444:G1444"/>
    <mergeCell ref="I1444:J1444"/>
    <mergeCell ref="F1445:G1445"/>
    <mergeCell ref="I1445:J1445"/>
    <mergeCell ref="F1446:G1446"/>
    <mergeCell ref="I1446:J1446"/>
    <mergeCell ref="F1441:G1441"/>
    <mergeCell ref="I1441:J1441"/>
    <mergeCell ref="F1442:G1442"/>
    <mergeCell ref="I1442:J1442"/>
    <mergeCell ref="F1443:G1443"/>
    <mergeCell ref="I1443:J1443"/>
    <mergeCell ref="F1438:G1438"/>
    <mergeCell ref="I1438:J1438"/>
    <mergeCell ref="F1439:G1439"/>
    <mergeCell ref="I1439:J1439"/>
    <mergeCell ref="F1440:G1440"/>
    <mergeCell ref="I1440:J1440"/>
    <mergeCell ref="F1435:G1435"/>
    <mergeCell ref="I1435:J1435"/>
    <mergeCell ref="F1436:G1436"/>
    <mergeCell ref="I1436:J1436"/>
    <mergeCell ref="F1437:G1437"/>
    <mergeCell ref="I1437:J1437"/>
    <mergeCell ref="F1432:G1432"/>
    <mergeCell ref="I1432:J1432"/>
    <mergeCell ref="F1433:G1433"/>
    <mergeCell ref="I1433:J1433"/>
    <mergeCell ref="F1434:G1434"/>
    <mergeCell ref="I1434:J1434"/>
    <mergeCell ref="F1429:G1429"/>
    <mergeCell ref="I1429:J1429"/>
    <mergeCell ref="F1430:G1430"/>
    <mergeCell ref="I1430:J1430"/>
    <mergeCell ref="F1431:G1431"/>
    <mergeCell ref="I1431:J1431"/>
    <mergeCell ref="F1426:G1426"/>
    <mergeCell ref="I1426:J1426"/>
    <mergeCell ref="F1427:G1427"/>
    <mergeCell ref="I1427:J1427"/>
    <mergeCell ref="F1428:G1428"/>
    <mergeCell ref="I1428:J1428"/>
    <mergeCell ref="F1423:G1423"/>
    <mergeCell ref="I1423:J1423"/>
    <mergeCell ref="F1424:G1424"/>
    <mergeCell ref="I1424:J1424"/>
    <mergeCell ref="F1425:G1425"/>
    <mergeCell ref="I1425:J1425"/>
    <mergeCell ref="F1420:G1420"/>
    <mergeCell ref="I1420:J1420"/>
    <mergeCell ref="F1421:G1421"/>
    <mergeCell ref="I1421:J1421"/>
    <mergeCell ref="F1422:G1422"/>
    <mergeCell ref="I1422:J1422"/>
    <mergeCell ref="F1417:G1417"/>
    <mergeCell ref="I1417:J1417"/>
    <mergeCell ref="F1418:G1418"/>
    <mergeCell ref="I1418:J1418"/>
    <mergeCell ref="F1419:G1419"/>
    <mergeCell ref="I1419:J1419"/>
    <mergeCell ref="F1414:G1414"/>
    <mergeCell ref="I1414:J1414"/>
    <mergeCell ref="F1415:G1415"/>
    <mergeCell ref="I1415:J1415"/>
    <mergeCell ref="F1416:G1416"/>
    <mergeCell ref="I1416:J1416"/>
    <mergeCell ref="F1411:G1411"/>
    <mergeCell ref="I1411:J1411"/>
    <mergeCell ref="F1412:G1412"/>
    <mergeCell ref="I1412:J1412"/>
    <mergeCell ref="F1413:G1413"/>
    <mergeCell ref="I1413:J1413"/>
    <mergeCell ref="F1408:G1408"/>
    <mergeCell ref="I1408:J1408"/>
    <mergeCell ref="F1409:G1409"/>
    <mergeCell ref="I1409:J1409"/>
    <mergeCell ref="F1410:G1410"/>
    <mergeCell ref="I1410:J1410"/>
    <mergeCell ref="F1405:G1405"/>
    <mergeCell ref="I1405:J1405"/>
    <mergeCell ref="F1406:G1406"/>
    <mergeCell ref="I1406:J1406"/>
    <mergeCell ref="F1407:G1407"/>
    <mergeCell ref="I1407:J1407"/>
    <mergeCell ref="F1402:G1402"/>
    <mergeCell ref="I1402:J1402"/>
    <mergeCell ref="F1403:G1403"/>
    <mergeCell ref="I1403:J1403"/>
    <mergeCell ref="F1404:G1404"/>
    <mergeCell ref="I1404:J1404"/>
    <mergeCell ref="F1399:G1399"/>
    <mergeCell ref="I1399:J1399"/>
    <mergeCell ref="F1400:G1400"/>
    <mergeCell ref="I1400:J1400"/>
    <mergeCell ref="F1401:G1401"/>
    <mergeCell ref="I1401:J1401"/>
    <mergeCell ref="F1396:G1396"/>
    <mergeCell ref="I1396:J1396"/>
    <mergeCell ref="F1397:G1397"/>
    <mergeCell ref="I1397:J1397"/>
    <mergeCell ref="F1398:G1398"/>
    <mergeCell ref="I1398:J1398"/>
    <mergeCell ref="F1393:G1393"/>
    <mergeCell ref="I1393:J1393"/>
    <mergeCell ref="F1394:G1394"/>
    <mergeCell ref="I1394:J1394"/>
    <mergeCell ref="F1395:G1395"/>
    <mergeCell ref="I1395:J1395"/>
    <mergeCell ref="F1390:G1390"/>
    <mergeCell ref="I1390:J1390"/>
    <mergeCell ref="F1391:G1391"/>
    <mergeCell ref="I1391:J1391"/>
    <mergeCell ref="F1392:G1392"/>
    <mergeCell ref="I1392:J1392"/>
    <mergeCell ref="F1387:G1387"/>
    <mergeCell ref="I1387:J1387"/>
    <mergeCell ref="F1388:G1388"/>
    <mergeCell ref="I1388:J1388"/>
    <mergeCell ref="F1389:G1389"/>
    <mergeCell ref="I1389:J1389"/>
    <mergeCell ref="F1384:G1384"/>
    <mergeCell ref="I1384:J1384"/>
    <mergeCell ref="F1385:G1385"/>
    <mergeCell ref="I1385:J1385"/>
    <mergeCell ref="F1386:G1386"/>
    <mergeCell ref="I1386:J1386"/>
    <mergeCell ref="F1381:G1381"/>
    <mergeCell ref="I1381:J1381"/>
    <mergeCell ref="F1382:G1382"/>
    <mergeCell ref="I1382:J1382"/>
    <mergeCell ref="F1383:G1383"/>
    <mergeCell ref="I1383:J1383"/>
    <mergeCell ref="F1378:G1378"/>
    <mergeCell ref="I1378:J1378"/>
    <mergeCell ref="F1379:G1379"/>
    <mergeCell ref="I1379:J1379"/>
    <mergeCell ref="F1380:G1380"/>
    <mergeCell ref="I1380:J1380"/>
    <mergeCell ref="F1375:G1375"/>
    <mergeCell ref="I1375:J1375"/>
    <mergeCell ref="F1376:G1376"/>
    <mergeCell ref="I1376:J1376"/>
    <mergeCell ref="F1377:G1377"/>
    <mergeCell ref="I1377:J1377"/>
    <mergeCell ref="F1372:G1372"/>
    <mergeCell ref="I1372:J1372"/>
    <mergeCell ref="F1373:G1373"/>
    <mergeCell ref="I1373:J1373"/>
    <mergeCell ref="F1374:G1374"/>
    <mergeCell ref="I1374:J1374"/>
    <mergeCell ref="F1369:G1369"/>
    <mergeCell ref="I1369:J1369"/>
    <mergeCell ref="F1370:G1370"/>
    <mergeCell ref="I1370:J1370"/>
    <mergeCell ref="F1371:G1371"/>
    <mergeCell ref="I1371:J1371"/>
    <mergeCell ref="F1366:G1366"/>
    <mergeCell ref="I1366:J1366"/>
    <mergeCell ref="F1367:G1367"/>
    <mergeCell ref="I1367:J1367"/>
    <mergeCell ref="F1368:G1368"/>
    <mergeCell ref="I1368:J1368"/>
    <mergeCell ref="F1363:G1363"/>
    <mergeCell ref="I1363:J1363"/>
    <mergeCell ref="F1364:G1364"/>
    <mergeCell ref="I1364:J1364"/>
    <mergeCell ref="F1365:G1365"/>
    <mergeCell ref="I1365:J1365"/>
    <mergeCell ref="F1360:G1360"/>
    <mergeCell ref="I1360:J1360"/>
    <mergeCell ref="F1361:G1361"/>
    <mergeCell ref="I1361:J1361"/>
    <mergeCell ref="F1362:G1362"/>
    <mergeCell ref="I1362:J1362"/>
    <mergeCell ref="F1357:G1357"/>
    <mergeCell ref="I1357:J1357"/>
    <mergeCell ref="F1358:G1358"/>
    <mergeCell ref="I1358:J1358"/>
    <mergeCell ref="F1359:G1359"/>
    <mergeCell ref="I1359:J1359"/>
    <mergeCell ref="F1354:G1354"/>
    <mergeCell ref="I1354:J1354"/>
    <mergeCell ref="F1355:G1355"/>
    <mergeCell ref="I1355:J1355"/>
    <mergeCell ref="F1356:G1356"/>
    <mergeCell ref="I1356:J1356"/>
    <mergeCell ref="F1351:G1351"/>
    <mergeCell ref="I1351:J1351"/>
    <mergeCell ref="F1352:G1352"/>
    <mergeCell ref="I1352:J1352"/>
    <mergeCell ref="F1353:G1353"/>
    <mergeCell ref="I1353:J1353"/>
    <mergeCell ref="F1348:G1348"/>
    <mergeCell ref="I1348:J1348"/>
    <mergeCell ref="F1349:G1349"/>
    <mergeCell ref="I1349:J1349"/>
    <mergeCell ref="F1350:G1350"/>
    <mergeCell ref="I1350:J1350"/>
    <mergeCell ref="F1345:G1345"/>
    <mergeCell ref="I1345:J1345"/>
    <mergeCell ref="F1346:G1346"/>
    <mergeCell ref="I1346:J1346"/>
    <mergeCell ref="F1347:G1347"/>
    <mergeCell ref="I1347:J1347"/>
    <mergeCell ref="F1342:G1342"/>
    <mergeCell ref="I1342:J1342"/>
    <mergeCell ref="F1343:G1343"/>
    <mergeCell ref="I1343:J1343"/>
    <mergeCell ref="F1344:G1344"/>
    <mergeCell ref="I1344:J1344"/>
    <mergeCell ref="F1339:G1339"/>
    <mergeCell ref="I1339:J1339"/>
    <mergeCell ref="F1340:G1340"/>
    <mergeCell ref="I1340:J1340"/>
    <mergeCell ref="F1341:G1341"/>
    <mergeCell ref="I1341:J1341"/>
    <mergeCell ref="F1336:G1336"/>
    <mergeCell ref="I1336:J1336"/>
    <mergeCell ref="F1337:G1337"/>
    <mergeCell ref="I1337:J1337"/>
    <mergeCell ref="F1338:G1338"/>
    <mergeCell ref="I1338:J1338"/>
    <mergeCell ref="F1333:G1333"/>
    <mergeCell ref="I1333:J1333"/>
    <mergeCell ref="F1334:G1334"/>
    <mergeCell ref="I1334:J1334"/>
    <mergeCell ref="F1335:G1335"/>
    <mergeCell ref="I1335:J1335"/>
    <mergeCell ref="F1330:G1330"/>
    <mergeCell ref="I1330:J1330"/>
    <mergeCell ref="F1331:G1331"/>
    <mergeCell ref="I1331:J1331"/>
    <mergeCell ref="F1332:G1332"/>
    <mergeCell ref="I1332:J1332"/>
    <mergeCell ref="F1327:G1327"/>
    <mergeCell ref="I1327:J1327"/>
    <mergeCell ref="F1328:G1328"/>
    <mergeCell ref="I1328:J1328"/>
    <mergeCell ref="F1329:G1329"/>
    <mergeCell ref="I1329:J1329"/>
    <mergeCell ref="F1324:G1324"/>
    <mergeCell ref="I1324:J1324"/>
    <mergeCell ref="F1325:G1325"/>
    <mergeCell ref="I1325:J1325"/>
    <mergeCell ref="F1326:G1326"/>
    <mergeCell ref="I1326:J1326"/>
    <mergeCell ref="F1321:G1321"/>
    <mergeCell ref="I1321:J1321"/>
    <mergeCell ref="F1322:G1322"/>
    <mergeCell ref="I1322:J1322"/>
    <mergeCell ref="F1323:G1323"/>
    <mergeCell ref="I1323:J1323"/>
    <mergeCell ref="F1318:G1318"/>
    <mergeCell ref="I1318:J1318"/>
    <mergeCell ref="F1319:G1319"/>
    <mergeCell ref="I1319:J1319"/>
    <mergeCell ref="F1320:G1320"/>
    <mergeCell ref="I1320:J1320"/>
    <mergeCell ref="F1315:G1315"/>
    <mergeCell ref="I1315:J1315"/>
    <mergeCell ref="F1316:G1316"/>
    <mergeCell ref="I1316:J1316"/>
    <mergeCell ref="F1317:G1317"/>
    <mergeCell ref="I1317:J1317"/>
    <mergeCell ref="F1312:G1312"/>
    <mergeCell ref="I1312:J1312"/>
    <mergeCell ref="F1313:G1313"/>
    <mergeCell ref="I1313:J1313"/>
    <mergeCell ref="F1314:G1314"/>
    <mergeCell ref="I1314:J1314"/>
    <mergeCell ref="F1309:G1309"/>
    <mergeCell ref="I1309:J1309"/>
    <mergeCell ref="F1310:G1310"/>
    <mergeCell ref="I1310:J1310"/>
    <mergeCell ref="F1311:G1311"/>
    <mergeCell ref="I1311:J1311"/>
    <mergeCell ref="F1306:G1306"/>
    <mergeCell ref="I1306:J1306"/>
    <mergeCell ref="F1307:G1307"/>
    <mergeCell ref="I1307:J1307"/>
    <mergeCell ref="F1308:G1308"/>
    <mergeCell ref="I1308:J1308"/>
    <mergeCell ref="F1303:G1303"/>
    <mergeCell ref="I1303:J1303"/>
    <mergeCell ref="F1304:G1304"/>
    <mergeCell ref="I1304:J1304"/>
    <mergeCell ref="F1305:G1305"/>
    <mergeCell ref="I1305:J1305"/>
    <mergeCell ref="F1300:G1300"/>
    <mergeCell ref="I1300:J1300"/>
    <mergeCell ref="F1301:G1301"/>
    <mergeCell ref="I1301:J1301"/>
    <mergeCell ref="F1302:G1302"/>
    <mergeCell ref="I1302:J1302"/>
    <mergeCell ref="F1297:G1297"/>
    <mergeCell ref="I1297:J1297"/>
    <mergeCell ref="F1298:G1298"/>
    <mergeCell ref="I1298:J1298"/>
    <mergeCell ref="F1299:G1299"/>
    <mergeCell ref="I1299:J1299"/>
    <mergeCell ref="F1294:G1294"/>
    <mergeCell ref="I1294:J1294"/>
    <mergeCell ref="F1295:G1295"/>
    <mergeCell ref="I1295:J1295"/>
    <mergeCell ref="F1296:G1296"/>
    <mergeCell ref="I1296:J1296"/>
    <mergeCell ref="F1291:G1291"/>
    <mergeCell ref="I1291:J1291"/>
    <mergeCell ref="F1292:G1292"/>
    <mergeCell ref="I1292:J1292"/>
    <mergeCell ref="F1293:G1293"/>
    <mergeCell ref="I1293:J1293"/>
    <mergeCell ref="F1288:G1288"/>
    <mergeCell ref="I1288:J1288"/>
    <mergeCell ref="F1289:G1289"/>
    <mergeCell ref="I1289:J1289"/>
    <mergeCell ref="F1290:G1290"/>
    <mergeCell ref="I1290:J1290"/>
    <mergeCell ref="F1285:G1285"/>
    <mergeCell ref="I1285:J1285"/>
    <mergeCell ref="F1286:G1286"/>
    <mergeCell ref="I1286:J1286"/>
    <mergeCell ref="F1287:G1287"/>
    <mergeCell ref="I1287:J1287"/>
    <mergeCell ref="F1282:G1282"/>
    <mergeCell ref="I1282:J1282"/>
    <mergeCell ref="F1283:G1283"/>
    <mergeCell ref="I1283:J1283"/>
    <mergeCell ref="F1284:G1284"/>
    <mergeCell ref="I1284:J1284"/>
    <mergeCell ref="F1279:G1279"/>
    <mergeCell ref="I1279:J1279"/>
    <mergeCell ref="F1280:G1280"/>
    <mergeCell ref="I1280:J1280"/>
    <mergeCell ref="F1281:G1281"/>
    <mergeCell ref="I1281:J1281"/>
    <mergeCell ref="F1276:G1276"/>
    <mergeCell ref="I1276:J1276"/>
    <mergeCell ref="F1277:G1277"/>
    <mergeCell ref="I1277:J1277"/>
    <mergeCell ref="F1278:G1278"/>
    <mergeCell ref="I1278:J1278"/>
    <mergeCell ref="F1273:G1273"/>
    <mergeCell ref="I1273:J1273"/>
    <mergeCell ref="F1274:G1274"/>
    <mergeCell ref="I1274:J1274"/>
    <mergeCell ref="F1275:G1275"/>
    <mergeCell ref="I1275:J1275"/>
    <mergeCell ref="F1270:G1270"/>
    <mergeCell ref="I1270:J1270"/>
    <mergeCell ref="F1271:G1271"/>
    <mergeCell ref="I1271:J1271"/>
    <mergeCell ref="F1272:G1272"/>
    <mergeCell ref="I1272:J1272"/>
    <mergeCell ref="F1267:G1267"/>
    <mergeCell ref="I1267:J1267"/>
    <mergeCell ref="F1268:G1268"/>
    <mergeCell ref="I1268:J1268"/>
    <mergeCell ref="F1269:G1269"/>
    <mergeCell ref="I1269:J1269"/>
    <mergeCell ref="F1264:G1264"/>
    <mergeCell ref="I1264:J1264"/>
    <mergeCell ref="F1265:G1265"/>
    <mergeCell ref="I1265:J1265"/>
    <mergeCell ref="F1266:G1266"/>
    <mergeCell ref="I1266:J1266"/>
    <mergeCell ref="F1261:G1261"/>
    <mergeCell ref="I1261:J1261"/>
    <mergeCell ref="F1262:G1262"/>
    <mergeCell ref="I1262:J1262"/>
    <mergeCell ref="F1263:G1263"/>
    <mergeCell ref="I1263:J1263"/>
    <mergeCell ref="F1258:G1258"/>
    <mergeCell ref="I1258:J1258"/>
    <mergeCell ref="F1259:G1259"/>
    <mergeCell ref="I1259:J1259"/>
    <mergeCell ref="F1260:G1260"/>
    <mergeCell ref="I1260:J1260"/>
    <mergeCell ref="F1255:G1255"/>
    <mergeCell ref="I1255:J1255"/>
    <mergeCell ref="F1256:G1256"/>
    <mergeCell ref="I1256:J1256"/>
    <mergeCell ref="F1257:G1257"/>
    <mergeCell ref="I1257:J1257"/>
    <mergeCell ref="F1252:G1252"/>
    <mergeCell ref="I1252:J1252"/>
    <mergeCell ref="F1253:G1253"/>
    <mergeCell ref="I1253:J1253"/>
    <mergeCell ref="F1254:G1254"/>
    <mergeCell ref="I1254:J1254"/>
    <mergeCell ref="F1249:G1249"/>
    <mergeCell ref="I1249:J1249"/>
    <mergeCell ref="F1250:G1250"/>
    <mergeCell ref="I1250:J1250"/>
    <mergeCell ref="F1251:G1251"/>
    <mergeCell ref="I1251:J1251"/>
    <mergeCell ref="F1246:G1246"/>
    <mergeCell ref="I1246:J1246"/>
    <mergeCell ref="F1247:G1247"/>
    <mergeCell ref="I1247:J1247"/>
    <mergeCell ref="F1248:G1248"/>
    <mergeCell ref="I1248:J1248"/>
    <mergeCell ref="F1243:G1243"/>
    <mergeCell ref="I1243:J1243"/>
    <mergeCell ref="F1244:G1244"/>
    <mergeCell ref="I1244:J1244"/>
    <mergeCell ref="F1245:G1245"/>
    <mergeCell ref="I1245:J1245"/>
    <mergeCell ref="F1240:G1240"/>
    <mergeCell ref="I1240:J1240"/>
    <mergeCell ref="F1241:G1241"/>
    <mergeCell ref="I1241:J1241"/>
    <mergeCell ref="F1242:G1242"/>
    <mergeCell ref="I1242:J1242"/>
    <mergeCell ref="F1237:G1237"/>
    <mergeCell ref="I1237:J1237"/>
    <mergeCell ref="F1238:G1238"/>
    <mergeCell ref="I1238:J1238"/>
    <mergeCell ref="F1239:G1239"/>
    <mergeCell ref="I1239:J1239"/>
    <mergeCell ref="F1234:G1234"/>
    <mergeCell ref="I1234:J1234"/>
    <mergeCell ref="F1235:G1235"/>
    <mergeCell ref="I1235:J1235"/>
    <mergeCell ref="F1236:G1236"/>
    <mergeCell ref="I1236:J1236"/>
    <mergeCell ref="F1231:G1231"/>
    <mergeCell ref="I1231:J1231"/>
    <mergeCell ref="F1232:G1232"/>
    <mergeCell ref="I1232:J1232"/>
    <mergeCell ref="F1233:G1233"/>
    <mergeCell ref="I1233:J1233"/>
    <mergeCell ref="F1228:G1228"/>
    <mergeCell ref="I1228:J1228"/>
    <mergeCell ref="F1229:G1229"/>
    <mergeCell ref="I1229:J1229"/>
    <mergeCell ref="F1230:G1230"/>
    <mergeCell ref="I1230:J1230"/>
    <mergeCell ref="F1225:G1225"/>
    <mergeCell ref="I1225:J1225"/>
    <mergeCell ref="F1226:G1226"/>
    <mergeCell ref="I1226:J1226"/>
    <mergeCell ref="F1227:G1227"/>
    <mergeCell ref="I1227:J1227"/>
    <mergeCell ref="F1222:G1222"/>
    <mergeCell ref="I1222:J1222"/>
    <mergeCell ref="F1223:G1223"/>
    <mergeCell ref="I1223:J1223"/>
    <mergeCell ref="F1224:G1224"/>
    <mergeCell ref="I1224:J1224"/>
    <mergeCell ref="F1219:G1219"/>
    <mergeCell ref="I1219:J1219"/>
    <mergeCell ref="F1220:G1220"/>
    <mergeCell ref="I1220:J1220"/>
    <mergeCell ref="F1221:G1221"/>
    <mergeCell ref="I1221:J1221"/>
    <mergeCell ref="F1216:G1216"/>
    <mergeCell ref="I1216:J1216"/>
    <mergeCell ref="F1217:G1217"/>
    <mergeCell ref="I1217:J1217"/>
    <mergeCell ref="F1218:G1218"/>
    <mergeCell ref="I1218:J1218"/>
    <mergeCell ref="F1213:G1213"/>
    <mergeCell ref="I1213:J1213"/>
    <mergeCell ref="F1214:G1214"/>
    <mergeCell ref="I1214:J1214"/>
    <mergeCell ref="F1215:G1215"/>
    <mergeCell ref="I1215:J1215"/>
    <mergeCell ref="F1210:G1210"/>
    <mergeCell ref="I1210:J1210"/>
    <mergeCell ref="F1211:G1211"/>
    <mergeCell ref="I1211:J1211"/>
    <mergeCell ref="F1212:G1212"/>
    <mergeCell ref="I1212:J1212"/>
    <mergeCell ref="F1207:G1207"/>
    <mergeCell ref="I1207:J1207"/>
    <mergeCell ref="F1208:G1208"/>
    <mergeCell ref="I1208:J1208"/>
    <mergeCell ref="F1209:G1209"/>
    <mergeCell ref="I1209:J1209"/>
    <mergeCell ref="F1204:G1204"/>
    <mergeCell ref="I1204:J1204"/>
    <mergeCell ref="F1205:G1205"/>
    <mergeCell ref="I1205:J1205"/>
    <mergeCell ref="F1206:G1206"/>
    <mergeCell ref="I1206:J1206"/>
    <mergeCell ref="F1201:G1201"/>
    <mergeCell ref="I1201:J1201"/>
    <mergeCell ref="F1202:G1202"/>
    <mergeCell ref="I1202:J1202"/>
    <mergeCell ref="F1203:G1203"/>
    <mergeCell ref="I1203:J1203"/>
    <mergeCell ref="F1198:G1198"/>
    <mergeCell ref="I1198:J1198"/>
    <mergeCell ref="F1199:G1199"/>
    <mergeCell ref="I1199:J1199"/>
    <mergeCell ref="F1200:G1200"/>
    <mergeCell ref="I1200:J1200"/>
    <mergeCell ref="F1195:G1195"/>
    <mergeCell ref="I1195:J1195"/>
    <mergeCell ref="F1196:G1196"/>
    <mergeCell ref="I1196:J1196"/>
    <mergeCell ref="F1197:G1197"/>
    <mergeCell ref="I1197:J1197"/>
    <mergeCell ref="F1192:G1192"/>
    <mergeCell ref="I1192:J1192"/>
    <mergeCell ref="F1193:G1193"/>
    <mergeCell ref="I1193:J1193"/>
    <mergeCell ref="F1194:G1194"/>
    <mergeCell ref="I1194:J1194"/>
    <mergeCell ref="F1189:G1189"/>
    <mergeCell ref="I1189:J1189"/>
    <mergeCell ref="F1190:G1190"/>
    <mergeCell ref="I1190:J1190"/>
    <mergeCell ref="F1191:G1191"/>
    <mergeCell ref="I1191:J1191"/>
    <mergeCell ref="F1186:G1186"/>
    <mergeCell ref="I1186:J1186"/>
    <mergeCell ref="F1187:G1187"/>
    <mergeCell ref="I1187:J1187"/>
    <mergeCell ref="F1188:G1188"/>
    <mergeCell ref="I1188:J1188"/>
    <mergeCell ref="F1183:G1183"/>
    <mergeCell ref="I1183:J1183"/>
    <mergeCell ref="F1184:G1184"/>
    <mergeCell ref="I1184:J1184"/>
    <mergeCell ref="F1185:G1185"/>
    <mergeCell ref="I1185:J1185"/>
    <mergeCell ref="F1180:G1180"/>
    <mergeCell ref="I1180:J1180"/>
    <mergeCell ref="F1181:G1181"/>
    <mergeCell ref="I1181:J1181"/>
    <mergeCell ref="F1182:G1182"/>
    <mergeCell ref="I1182:J1182"/>
    <mergeCell ref="F1177:G1177"/>
    <mergeCell ref="I1177:J1177"/>
    <mergeCell ref="F1178:G1178"/>
    <mergeCell ref="I1178:J1178"/>
    <mergeCell ref="F1179:G1179"/>
    <mergeCell ref="I1179:J1179"/>
    <mergeCell ref="F1174:G1174"/>
    <mergeCell ref="I1174:J1174"/>
    <mergeCell ref="F1175:G1175"/>
    <mergeCell ref="I1175:J1175"/>
    <mergeCell ref="F1176:G1176"/>
    <mergeCell ref="I1176:J1176"/>
    <mergeCell ref="F1171:G1171"/>
    <mergeCell ref="I1171:J1171"/>
    <mergeCell ref="F1172:G1172"/>
    <mergeCell ref="I1172:J1172"/>
    <mergeCell ref="F1173:G1173"/>
    <mergeCell ref="I1173:J1173"/>
    <mergeCell ref="F1168:G1168"/>
    <mergeCell ref="I1168:J1168"/>
    <mergeCell ref="F1169:G1169"/>
    <mergeCell ref="I1169:J1169"/>
    <mergeCell ref="F1170:G1170"/>
    <mergeCell ref="I1170:J1170"/>
    <mergeCell ref="F1165:G1165"/>
    <mergeCell ref="I1165:J1165"/>
    <mergeCell ref="F1166:G1166"/>
    <mergeCell ref="I1166:J1166"/>
    <mergeCell ref="F1167:G1167"/>
    <mergeCell ref="I1167:J1167"/>
    <mergeCell ref="F1162:G1162"/>
    <mergeCell ref="I1162:J1162"/>
    <mergeCell ref="F1163:G1163"/>
    <mergeCell ref="I1163:J1163"/>
    <mergeCell ref="F1164:G1164"/>
    <mergeCell ref="I1164:J1164"/>
    <mergeCell ref="F1159:G1159"/>
    <mergeCell ref="I1159:J1159"/>
    <mergeCell ref="F1160:G1160"/>
    <mergeCell ref="I1160:J1160"/>
    <mergeCell ref="F1161:G1161"/>
    <mergeCell ref="I1161:J1161"/>
    <mergeCell ref="F1156:G1156"/>
    <mergeCell ref="I1156:J1156"/>
    <mergeCell ref="F1157:G1157"/>
    <mergeCell ref="I1157:J1157"/>
    <mergeCell ref="F1158:G1158"/>
    <mergeCell ref="I1158:J1158"/>
    <mergeCell ref="F1153:G1153"/>
    <mergeCell ref="I1153:J1153"/>
    <mergeCell ref="F1154:G1154"/>
    <mergeCell ref="I1154:J1154"/>
    <mergeCell ref="F1155:G1155"/>
    <mergeCell ref="I1155:J1155"/>
    <mergeCell ref="F1150:G1150"/>
    <mergeCell ref="I1150:J1150"/>
    <mergeCell ref="F1151:G1151"/>
    <mergeCell ref="I1151:J1151"/>
    <mergeCell ref="F1152:G1152"/>
    <mergeCell ref="I1152:J1152"/>
    <mergeCell ref="F1147:G1147"/>
    <mergeCell ref="I1147:J1147"/>
    <mergeCell ref="F1148:G1148"/>
    <mergeCell ref="I1148:J1148"/>
    <mergeCell ref="F1149:G1149"/>
    <mergeCell ref="I1149:J1149"/>
    <mergeCell ref="F1144:G1144"/>
    <mergeCell ref="I1144:J1144"/>
    <mergeCell ref="F1145:G1145"/>
    <mergeCell ref="I1145:J1145"/>
    <mergeCell ref="F1146:G1146"/>
    <mergeCell ref="I1146:J1146"/>
    <mergeCell ref="F1141:G1141"/>
    <mergeCell ref="I1141:J1141"/>
    <mergeCell ref="F1142:G1142"/>
    <mergeCell ref="I1142:J1142"/>
    <mergeCell ref="F1143:G1143"/>
    <mergeCell ref="I1143:J1143"/>
    <mergeCell ref="F1138:G1138"/>
    <mergeCell ref="I1138:J1138"/>
    <mergeCell ref="F1139:G1139"/>
    <mergeCell ref="I1139:J1139"/>
    <mergeCell ref="F1140:G1140"/>
    <mergeCell ref="I1140:J1140"/>
    <mergeCell ref="F1135:G1135"/>
    <mergeCell ref="I1135:J1135"/>
    <mergeCell ref="F1136:G1136"/>
    <mergeCell ref="I1136:J1136"/>
    <mergeCell ref="F1137:G1137"/>
    <mergeCell ref="I1137:J1137"/>
    <mergeCell ref="F1132:G1132"/>
    <mergeCell ref="I1132:J1132"/>
    <mergeCell ref="F1133:G1133"/>
    <mergeCell ref="I1133:J1133"/>
    <mergeCell ref="F1134:G1134"/>
    <mergeCell ref="I1134:J1134"/>
    <mergeCell ref="F1129:G1129"/>
    <mergeCell ref="I1129:J1129"/>
    <mergeCell ref="F1130:G1130"/>
    <mergeCell ref="I1130:J1130"/>
    <mergeCell ref="F1131:G1131"/>
    <mergeCell ref="I1131:J1131"/>
    <mergeCell ref="F1126:G1126"/>
    <mergeCell ref="I1126:J1126"/>
    <mergeCell ref="F1127:G1127"/>
    <mergeCell ref="I1127:J1127"/>
    <mergeCell ref="F1128:G1128"/>
    <mergeCell ref="I1128:J1128"/>
    <mergeCell ref="F1123:G1123"/>
    <mergeCell ref="I1123:J1123"/>
    <mergeCell ref="F1124:G1124"/>
    <mergeCell ref="I1124:J1124"/>
    <mergeCell ref="F1125:G1125"/>
    <mergeCell ref="I1125:J1125"/>
    <mergeCell ref="F1120:G1120"/>
    <mergeCell ref="I1120:J1120"/>
    <mergeCell ref="F1121:G1121"/>
    <mergeCell ref="I1121:J1121"/>
    <mergeCell ref="F1122:G1122"/>
    <mergeCell ref="I1122:J1122"/>
    <mergeCell ref="F1117:G1117"/>
    <mergeCell ref="I1117:J1117"/>
    <mergeCell ref="F1118:G1118"/>
    <mergeCell ref="I1118:J1118"/>
    <mergeCell ref="F1119:G1119"/>
    <mergeCell ref="I1119:J1119"/>
    <mergeCell ref="F1114:G1114"/>
    <mergeCell ref="I1114:J1114"/>
    <mergeCell ref="F1115:G1115"/>
    <mergeCell ref="I1115:J1115"/>
    <mergeCell ref="F1116:G1116"/>
    <mergeCell ref="I1116:J1116"/>
    <mergeCell ref="F1111:G1111"/>
    <mergeCell ref="I1111:J1111"/>
    <mergeCell ref="F1112:G1112"/>
    <mergeCell ref="I1112:J1112"/>
    <mergeCell ref="F1113:G1113"/>
    <mergeCell ref="I1113:J1113"/>
    <mergeCell ref="F1108:G1108"/>
    <mergeCell ref="I1108:J1108"/>
    <mergeCell ref="F1109:G1109"/>
    <mergeCell ref="I1109:J1109"/>
    <mergeCell ref="F1110:G1110"/>
    <mergeCell ref="I1110:J1110"/>
    <mergeCell ref="F1105:G1105"/>
    <mergeCell ref="I1105:J1105"/>
    <mergeCell ref="F1106:G1106"/>
    <mergeCell ref="I1106:J1106"/>
    <mergeCell ref="F1107:G1107"/>
    <mergeCell ref="I1107:J1107"/>
    <mergeCell ref="F1102:G1102"/>
    <mergeCell ref="I1102:J1102"/>
    <mergeCell ref="F1103:G1103"/>
    <mergeCell ref="I1103:J1103"/>
    <mergeCell ref="F1104:G1104"/>
    <mergeCell ref="I1104:J1104"/>
    <mergeCell ref="F1099:G1099"/>
    <mergeCell ref="I1099:J1099"/>
    <mergeCell ref="F1100:G1100"/>
    <mergeCell ref="I1100:J1100"/>
    <mergeCell ref="F1101:G1101"/>
    <mergeCell ref="I1101:J1101"/>
    <mergeCell ref="F1096:G1096"/>
    <mergeCell ref="I1096:J1096"/>
    <mergeCell ref="F1097:G1097"/>
    <mergeCell ref="I1097:J1097"/>
    <mergeCell ref="F1098:G1098"/>
    <mergeCell ref="I1098:J1098"/>
    <mergeCell ref="F1093:G1093"/>
    <mergeCell ref="I1093:J1093"/>
    <mergeCell ref="F1094:G1094"/>
    <mergeCell ref="I1094:J1094"/>
    <mergeCell ref="F1095:G1095"/>
    <mergeCell ref="I1095:J1095"/>
    <mergeCell ref="F1090:G1090"/>
    <mergeCell ref="I1090:J1090"/>
    <mergeCell ref="F1091:G1091"/>
    <mergeCell ref="I1091:J1091"/>
    <mergeCell ref="F1092:G1092"/>
    <mergeCell ref="I1092:J1092"/>
    <mergeCell ref="F1087:G1087"/>
    <mergeCell ref="I1087:J1087"/>
    <mergeCell ref="F1088:G1088"/>
    <mergeCell ref="I1088:J1088"/>
    <mergeCell ref="F1089:G1089"/>
    <mergeCell ref="I1089:J1089"/>
    <mergeCell ref="F1084:G1084"/>
    <mergeCell ref="I1084:J1084"/>
    <mergeCell ref="F1085:G1085"/>
    <mergeCell ref="I1085:J1085"/>
    <mergeCell ref="F1086:G1086"/>
    <mergeCell ref="I1086:J1086"/>
    <mergeCell ref="F1081:G1081"/>
    <mergeCell ref="I1081:J1081"/>
    <mergeCell ref="F1082:G1082"/>
    <mergeCell ref="I1082:J1082"/>
    <mergeCell ref="F1083:G1083"/>
    <mergeCell ref="I1083:J1083"/>
    <mergeCell ref="F1078:G1078"/>
    <mergeCell ref="I1078:J1078"/>
    <mergeCell ref="F1079:G1079"/>
    <mergeCell ref="I1079:J1079"/>
    <mergeCell ref="F1080:G1080"/>
    <mergeCell ref="I1080:J1080"/>
    <mergeCell ref="F1075:G1075"/>
    <mergeCell ref="I1075:J1075"/>
    <mergeCell ref="F1076:G1076"/>
    <mergeCell ref="I1076:J1076"/>
    <mergeCell ref="F1077:G1077"/>
    <mergeCell ref="I1077:J1077"/>
    <mergeCell ref="F1072:G1072"/>
    <mergeCell ref="I1072:J1072"/>
    <mergeCell ref="F1073:G1073"/>
    <mergeCell ref="I1073:J1073"/>
    <mergeCell ref="F1074:G1074"/>
    <mergeCell ref="I1074:J1074"/>
    <mergeCell ref="F1069:G1069"/>
    <mergeCell ref="I1069:J1069"/>
    <mergeCell ref="F1070:G1070"/>
    <mergeCell ref="I1070:J1070"/>
    <mergeCell ref="F1071:G1071"/>
    <mergeCell ref="I1071:J1071"/>
    <mergeCell ref="F1066:G1066"/>
    <mergeCell ref="I1066:J1066"/>
    <mergeCell ref="F1067:G1067"/>
    <mergeCell ref="I1067:J1067"/>
    <mergeCell ref="F1068:G1068"/>
    <mergeCell ref="I1068:J1068"/>
    <mergeCell ref="F1063:G1063"/>
    <mergeCell ref="I1063:J1063"/>
    <mergeCell ref="F1064:G1064"/>
    <mergeCell ref="I1064:J1064"/>
    <mergeCell ref="F1065:G1065"/>
    <mergeCell ref="I1065:J1065"/>
    <mergeCell ref="F1060:G1060"/>
    <mergeCell ref="I1060:J1060"/>
    <mergeCell ref="F1061:G1061"/>
    <mergeCell ref="I1061:J1061"/>
    <mergeCell ref="F1062:G1062"/>
    <mergeCell ref="I1062:J1062"/>
    <mergeCell ref="F1057:G1057"/>
    <mergeCell ref="I1057:J1057"/>
    <mergeCell ref="F1058:G1058"/>
    <mergeCell ref="I1058:J1058"/>
    <mergeCell ref="F1059:G1059"/>
    <mergeCell ref="I1059:J1059"/>
    <mergeCell ref="F1054:G1054"/>
    <mergeCell ref="I1054:J1054"/>
    <mergeCell ref="F1055:G1055"/>
    <mergeCell ref="I1055:J1055"/>
    <mergeCell ref="F1056:G1056"/>
    <mergeCell ref="I1056:J1056"/>
    <mergeCell ref="F1051:G1051"/>
    <mergeCell ref="I1051:J1051"/>
    <mergeCell ref="F1052:G1052"/>
    <mergeCell ref="I1052:J1052"/>
    <mergeCell ref="F1053:G1053"/>
    <mergeCell ref="I1053:J1053"/>
    <mergeCell ref="F1048:G1048"/>
    <mergeCell ref="I1048:J1048"/>
    <mergeCell ref="F1049:G1049"/>
    <mergeCell ref="I1049:J1049"/>
    <mergeCell ref="F1050:G1050"/>
    <mergeCell ref="I1050:J1050"/>
    <mergeCell ref="F1045:G1045"/>
    <mergeCell ref="I1045:J1045"/>
    <mergeCell ref="F1046:G1046"/>
    <mergeCell ref="I1046:J1046"/>
    <mergeCell ref="F1047:G1047"/>
    <mergeCell ref="I1047:J1047"/>
    <mergeCell ref="F1042:G1042"/>
    <mergeCell ref="I1042:J1042"/>
    <mergeCell ref="F1043:G1043"/>
    <mergeCell ref="I1043:J1043"/>
    <mergeCell ref="F1044:G1044"/>
    <mergeCell ref="I1044:J1044"/>
    <mergeCell ref="F1039:G1039"/>
    <mergeCell ref="I1039:J1039"/>
    <mergeCell ref="F1040:G1040"/>
    <mergeCell ref="I1040:J1040"/>
    <mergeCell ref="F1041:G1041"/>
    <mergeCell ref="I1041:J1041"/>
    <mergeCell ref="F1036:G1036"/>
    <mergeCell ref="I1036:J1036"/>
    <mergeCell ref="F1037:G1037"/>
    <mergeCell ref="I1037:J1037"/>
    <mergeCell ref="F1038:G1038"/>
    <mergeCell ref="I1038:J1038"/>
    <mergeCell ref="F1033:G1033"/>
    <mergeCell ref="I1033:J1033"/>
    <mergeCell ref="F1034:G1034"/>
    <mergeCell ref="I1034:J1034"/>
    <mergeCell ref="F1035:G1035"/>
    <mergeCell ref="I1035:J1035"/>
    <mergeCell ref="F1030:G1030"/>
    <mergeCell ref="I1030:J1030"/>
    <mergeCell ref="F1031:G1031"/>
    <mergeCell ref="I1031:J1031"/>
    <mergeCell ref="F1032:G1032"/>
    <mergeCell ref="I1032:J1032"/>
    <mergeCell ref="F1027:G1027"/>
    <mergeCell ref="I1027:J1027"/>
    <mergeCell ref="F1028:G1028"/>
    <mergeCell ref="I1028:J1028"/>
    <mergeCell ref="F1029:G1029"/>
    <mergeCell ref="I1029:J1029"/>
    <mergeCell ref="F1024:G1024"/>
    <mergeCell ref="I1024:J1024"/>
    <mergeCell ref="F1025:G1025"/>
    <mergeCell ref="I1025:J1025"/>
    <mergeCell ref="F1026:G1026"/>
    <mergeCell ref="I1026:J1026"/>
    <mergeCell ref="F1021:G1021"/>
    <mergeCell ref="I1021:J1021"/>
    <mergeCell ref="F1022:G1022"/>
    <mergeCell ref="I1022:J1022"/>
    <mergeCell ref="F1023:G1023"/>
    <mergeCell ref="I1023:J1023"/>
    <mergeCell ref="F1018:G1018"/>
    <mergeCell ref="I1018:J1018"/>
    <mergeCell ref="F1019:G1019"/>
    <mergeCell ref="I1019:J1019"/>
    <mergeCell ref="F1020:G1020"/>
    <mergeCell ref="I1020:J1020"/>
    <mergeCell ref="F1015:G1015"/>
    <mergeCell ref="I1015:J1015"/>
    <mergeCell ref="F1016:G1016"/>
    <mergeCell ref="I1016:J1016"/>
    <mergeCell ref="F1017:G1017"/>
    <mergeCell ref="I1017:J1017"/>
    <mergeCell ref="F1012:G1012"/>
    <mergeCell ref="I1012:J1012"/>
    <mergeCell ref="F1013:G1013"/>
    <mergeCell ref="I1013:J1013"/>
    <mergeCell ref="F1014:G1014"/>
    <mergeCell ref="I1014:J1014"/>
    <mergeCell ref="F1009:G1009"/>
    <mergeCell ref="I1009:J1009"/>
    <mergeCell ref="F1010:G1010"/>
    <mergeCell ref="I1010:J1010"/>
    <mergeCell ref="F1011:G1011"/>
    <mergeCell ref="I1011:J1011"/>
    <mergeCell ref="F1006:G1006"/>
    <mergeCell ref="I1006:J1006"/>
    <mergeCell ref="F1007:G1007"/>
    <mergeCell ref="I1007:J1007"/>
    <mergeCell ref="F1008:G1008"/>
    <mergeCell ref="I1008:J1008"/>
    <mergeCell ref="F1003:G1003"/>
    <mergeCell ref="I1003:J1003"/>
    <mergeCell ref="F1004:G1004"/>
    <mergeCell ref="I1004:J1004"/>
    <mergeCell ref="F1005:G1005"/>
    <mergeCell ref="I1005:J1005"/>
    <mergeCell ref="F1000:G1000"/>
    <mergeCell ref="I1000:J1000"/>
    <mergeCell ref="F1001:G1001"/>
    <mergeCell ref="I1001:J1001"/>
    <mergeCell ref="F1002:G1002"/>
    <mergeCell ref="I1002:J1002"/>
    <mergeCell ref="F997:G997"/>
    <mergeCell ref="I997:J997"/>
    <mergeCell ref="F998:G998"/>
    <mergeCell ref="I998:J998"/>
    <mergeCell ref="F999:G999"/>
    <mergeCell ref="I999:J999"/>
    <mergeCell ref="F994:G994"/>
    <mergeCell ref="I994:J994"/>
    <mergeCell ref="F995:G995"/>
    <mergeCell ref="I995:J995"/>
    <mergeCell ref="F996:G996"/>
    <mergeCell ref="I996:J996"/>
    <mergeCell ref="F991:G991"/>
    <mergeCell ref="I991:J991"/>
    <mergeCell ref="F992:G992"/>
    <mergeCell ref="I992:J992"/>
    <mergeCell ref="F993:G993"/>
    <mergeCell ref="I993:J993"/>
    <mergeCell ref="F988:G988"/>
    <mergeCell ref="I988:J988"/>
    <mergeCell ref="F989:G989"/>
    <mergeCell ref="I989:J989"/>
    <mergeCell ref="F990:G990"/>
    <mergeCell ref="I990:J990"/>
    <mergeCell ref="F985:G985"/>
    <mergeCell ref="I985:J985"/>
    <mergeCell ref="F986:G986"/>
    <mergeCell ref="I986:J986"/>
    <mergeCell ref="F987:G987"/>
    <mergeCell ref="I987:J987"/>
    <mergeCell ref="F982:G982"/>
    <mergeCell ref="I982:J982"/>
    <mergeCell ref="F983:G983"/>
    <mergeCell ref="I983:J983"/>
    <mergeCell ref="F984:G984"/>
    <mergeCell ref="I984:J984"/>
    <mergeCell ref="F979:G979"/>
    <mergeCell ref="I979:J979"/>
    <mergeCell ref="F980:G980"/>
    <mergeCell ref="I980:J980"/>
    <mergeCell ref="F981:G981"/>
    <mergeCell ref="I981:J981"/>
    <mergeCell ref="F976:G976"/>
    <mergeCell ref="I976:J976"/>
    <mergeCell ref="F977:G977"/>
    <mergeCell ref="I977:J977"/>
    <mergeCell ref="F978:G978"/>
    <mergeCell ref="I978:J978"/>
    <mergeCell ref="F973:G973"/>
    <mergeCell ref="I973:J973"/>
    <mergeCell ref="F974:G974"/>
    <mergeCell ref="I974:J974"/>
    <mergeCell ref="F975:G975"/>
    <mergeCell ref="I975:J975"/>
    <mergeCell ref="F970:G970"/>
    <mergeCell ref="I970:J970"/>
    <mergeCell ref="F971:G971"/>
    <mergeCell ref="I971:J971"/>
    <mergeCell ref="F972:G972"/>
    <mergeCell ref="I972:J972"/>
    <mergeCell ref="F967:G967"/>
    <mergeCell ref="I967:J967"/>
    <mergeCell ref="F968:G968"/>
    <mergeCell ref="I968:J968"/>
    <mergeCell ref="F969:G969"/>
    <mergeCell ref="I969:J969"/>
    <mergeCell ref="F964:G964"/>
    <mergeCell ref="I964:J964"/>
    <mergeCell ref="F965:G965"/>
    <mergeCell ref="I965:J965"/>
    <mergeCell ref="F966:G966"/>
    <mergeCell ref="I966:J966"/>
    <mergeCell ref="F961:G961"/>
    <mergeCell ref="I961:J961"/>
    <mergeCell ref="F962:G962"/>
    <mergeCell ref="I962:J962"/>
    <mergeCell ref="F963:G963"/>
    <mergeCell ref="I963:J963"/>
    <mergeCell ref="F958:G958"/>
    <mergeCell ref="I958:J958"/>
    <mergeCell ref="F959:G959"/>
    <mergeCell ref="I959:J959"/>
    <mergeCell ref="F960:G960"/>
    <mergeCell ref="I960:J960"/>
    <mergeCell ref="F955:G955"/>
    <mergeCell ref="I955:J955"/>
    <mergeCell ref="F956:G956"/>
    <mergeCell ref="I956:J956"/>
    <mergeCell ref="F957:G957"/>
    <mergeCell ref="I957:J957"/>
    <mergeCell ref="F952:G952"/>
    <mergeCell ref="I952:J952"/>
    <mergeCell ref="F953:G953"/>
    <mergeCell ref="I953:J953"/>
    <mergeCell ref="F954:G954"/>
    <mergeCell ref="I954:J954"/>
    <mergeCell ref="F949:G949"/>
    <mergeCell ref="I949:J949"/>
    <mergeCell ref="F950:G950"/>
    <mergeCell ref="I950:J950"/>
    <mergeCell ref="F951:G951"/>
    <mergeCell ref="I951:J951"/>
    <mergeCell ref="F946:G946"/>
    <mergeCell ref="I946:J946"/>
    <mergeCell ref="F947:G947"/>
    <mergeCell ref="I947:J947"/>
    <mergeCell ref="F948:G948"/>
    <mergeCell ref="I948:J948"/>
    <mergeCell ref="F943:G943"/>
    <mergeCell ref="I943:J943"/>
    <mergeCell ref="F944:G944"/>
    <mergeCell ref="I944:J944"/>
    <mergeCell ref="F945:G945"/>
    <mergeCell ref="I945:J945"/>
    <mergeCell ref="F940:G940"/>
    <mergeCell ref="I940:J940"/>
    <mergeCell ref="F941:G941"/>
    <mergeCell ref="I941:J941"/>
    <mergeCell ref="F942:G942"/>
    <mergeCell ref="I942:J942"/>
    <mergeCell ref="F937:G937"/>
    <mergeCell ref="I937:J937"/>
    <mergeCell ref="F938:G938"/>
    <mergeCell ref="I938:J938"/>
    <mergeCell ref="F939:G939"/>
    <mergeCell ref="I939:J939"/>
    <mergeCell ref="F934:G934"/>
    <mergeCell ref="I934:J934"/>
    <mergeCell ref="F935:G935"/>
    <mergeCell ref="I935:J935"/>
    <mergeCell ref="F936:G936"/>
    <mergeCell ref="I936:J936"/>
    <mergeCell ref="F931:G931"/>
    <mergeCell ref="I931:J931"/>
    <mergeCell ref="F932:G932"/>
    <mergeCell ref="I932:J932"/>
    <mergeCell ref="F933:G933"/>
    <mergeCell ref="I933:J933"/>
    <mergeCell ref="F928:G928"/>
    <mergeCell ref="I928:J928"/>
    <mergeCell ref="F929:G929"/>
    <mergeCell ref="I929:J929"/>
    <mergeCell ref="F930:G930"/>
    <mergeCell ref="I930:J930"/>
    <mergeCell ref="F925:G925"/>
    <mergeCell ref="I925:J925"/>
    <mergeCell ref="F926:G926"/>
    <mergeCell ref="I926:J926"/>
    <mergeCell ref="F927:G927"/>
    <mergeCell ref="I927:J927"/>
    <mergeCell ref="F922:G922"/>
    <mergeCell ref="I922:J922"/>
    <mergeCell ref="F923:G923"/>
    <mergeCell ref="I923:J923"/>
    <mergeCell ref="F924:G924"/>
    <mergeCell ref="I924:J924"/>
    <mergeCell ref="F919:G919"/>
    <mergeCell ref="I919:J919"/>
    <mergeCell ref="F920:G920"/>
    <mergeCell ref="I920:J920"/>
    <mergeCell ref="F921:G921"/>
    <mergeCell ref="I921:J921"/>
    <mergeCell ref="F916:G916"/>
    <mergeCell ref="I916:J916"/>
    <mergeCell ref="F917:G917"/>
    <mergeCell ref="I917:J917"/>
    <mergeCell ref="F918:G918"/>
    <mergeCell ref="I918:J918"/>
    <mergeCell ref="F913:G913"/>
    <mergeCell ref="I913:J913"/>
    <mergeCell ref="F914:G914"/>
    <mergeCell ref="I914:J914"/>
    <mergeCell ref="F915:G915"/>
    <mergeCell ref="I915:J915"/>
    <mergeCell ref="F910:G910"/>
    <mergeCell ref="I910:J910"/>
    <mergeCell ref="F911:G911"/>
    <mergeCell ref="I911:J911"/>
    <mergeCell ref="F912:G912"/>
    <mergeCell ref="I912:J912"/>
    <mergeCell ref="F907:G907"/>
    <mergeCell ref="I907:J907"/>
    <mergeCell ref="F908:G908"/>
    <mergeCell ref="I908:J908"/>
    <mergeCell ref="F909:G909"/>
    <mergeCell ref="I909:J909"/>
    <mergeCell ref="F904:G904"/>
    <mergeCell ref="I904:J904"/>
    <mergeCell ref="F905:G905"/>
    <mergeCell ref="I905:J905"/>
    <mergeCell ref="F906:G906"/>
    <mergeCell ref="I906:J906"/>
    <mergeCell ref="F901:G901"/>
    <mergeCell ref="I901:J901"/>
    <mergeCell ref="F902:G902"/>
    <mergeCell ref="I902:J902"/>
    <mergeCell ref="F903:G903"/>
    <mergeCell ref="I903:J903"/>
    <mergeCell ref="F898:G898"/>
    <mergeCell ref="I898:J898"/>
    <mergeCell ref="F899:G899"/>
    <mergeCell ref="I899:J899"/>
    <mergeCell ref="F900:G900"/>
    <mergeCell ref="I900:J900"/>
    <mergeCell ref="F895:G895"/>
    <mergeCell ref="I895:J895"/>
    <mergeCell ref="F896:G896"/>
    <mergeCell ref="I896:J896"/>
    <mergeCell ref="F897:G897"/>
    <mergeCell ref="I897:J897"/>
    <mergeCell ref="F892:G892"/>
    <mergeCell ref="I892:J892"/>
    <mergeCell ref="F893:G893"/>
    <mergeCell ref="I893:J893"/>
    <mergeCell ref="F894:G894"/>
    <mergeCell ref="I894:J894"/>
    <mergeCell ref="F889:G889"/>
    <mergeCell ref="I889:J889"/>
    <mergeCell ref="F890:G890"/>
    <mergeCell ref="I890:J890"/>
    <mergeCell ref="F891:G891"/>
    <mergeCell ref="I891:J891"/>
    <mergeCell ref="F886:G886"/>
    <mergeCell ref="I886:J886"/>
    <mergeCell ref="F887:G887"/>
    <mergeCell ref="I887:J887"/>
    <mergeCell ref="F888:G888"/>
    <mergeCell ref="I888:J888"/>
    <mergeCell ref="F883:G883"/>
    <mergeCell ref="I883:J883"/>
    <mergeCell ref="F884:G884"/>
    <mergeCell ref="I884:J884"/>
    <mergeCell ref="F885:G885"/>
    <mergeCell ref="I885:J885"/>
    <mergeCell ref="F880:G880"/>
    <mergeCell ref="I880:J880"/>
    <mergeCell ref="F881:G881"/>
    <mergeCell ref="I881:J881"/>
    <mergeCell ref="F882:G882"/>
    <mergeCell ref="I882:J882"/>
    <mergeCell ref="F877:G877"/>
    <mergeCell ref="I877:J877"/>
    <mergeCell ref="F878:G878"/>
    <mergeCell ref="I878:J878"/>
    <mergeCell ref="F879:G879"/>
    <mergeCell ref="I879:J879"/>
    <mergeCell ref="F874:G874"/>
    <mergeCell ref="I874:J874"/>
    <mergeCell ref="F875:G875"/>
    <mergeCell ref="I875:J875"/>
    <mergeCell ref="F876:G876"/>
    <mergeCell ref="I876:J876"/>
    <mergeCell ref="F871:G871"/>
    <mergeCell ref="I871:J871"/>
    <mergeCell ref="F872:G872"/>
    <mergeCell ref="I872:J872"/>
    <mergeCell ref="F873:G873"/>
    <mergeCell ref="I873:J873"/>
    <mergeCell ref="F868:G868"/>
    <mergeCell ref="I868:J868"/>
    <mergeCell ref="F869:G869"/>
    <mergeCell ref="I869:J869"/>
    <mergeCell ref="F870:G870"/>
    <mergeCell ref="I870:J870"/>
    <mergeCell ref="F865:G865"/>
    <mergeCell ref="I865:J865"/>
    <mergeCell ref="F866:G866"/>
    <mergeCell ref="I866:J866"/>
    <mergeCell ref="F867:G867"/>
    <mergeCell ref="I867:J867"/>
    <mergeCell ref="F862:G862"/>
    <mergeCell ref="I862:J862"/>
    <mergeCell ref="F863:G863"/>
    <mergeCell ref="I863:J863"/>
    <mergeCell ref="F864:G864"/>
    <mergeCell ref="I864:J864"/>
    <mergeCell ref="F859:G859"/>
    <mergeCell ref="I859:J859"/>
    <mergeCell ref="F860:G860"/>
    <mergeCell ref="I860:J860"/>
    <mergeCell ref="F861:G861"/>
    <mergeCell ref="I861:J861"/>
    <mergeCell ref="F856:G856"/>
    <mergeCell ref="I856:J856"/>
    <mergeCell ref="F857:G857"/>
    <mergeCell ref="I857:J857"/>
    <mergeCell ref="F858:G858"/>
    <mergeCell ref="I858:J858"/>
    <mergeCell ref="F853:G853"/>
    <mergeCell ref="I853:J853"/>
    <mergeCell ref="F854:G854"/>
    <mergeCell ref="I854:J854"/>
    <mergeCell ref="F855:G855"/>
    <mergeCell ref="I855:J855"/>
    <mergeCell ref="F850:G850"/>
    <mergeCell ref="I850:J850"/>
    <mergeCell ref="F851:G851"/>
    <mergeCell ref="I851:J851"/>
    <mergeCell ref="F852:G852"/>
    <mergeCell ref="I852:J852"/>
    <mergeCell ref="F847:G847"/>
    <mergeCell ref="I847:J847"/>
    <mergeCell ref="F848:G848"/>
    <mergeCell ref="I848:J848"/>
    <mergeCell ref="F849:G849"/>
    <mergeCell ref="I849:J849"/>
    <mergeCell ref="F844:G844"/>
    <mergeCell ref="I844:J844"/>
    <mergeCell ref="F845:G845"/>
    <mergeCell ref="I845:J845"/>
    <mergeCell ref="F846:G846"/>
    <mergeCell ref="I846:J846"/>
    <mergeCell ref="F841:G841"/>
    <mergeCell ref="I841:J841"/>
    <mergeCell ref="F842:G842"/>
    <mergeCell ref="I842:J842"/>
    <mergeCell ref="F843:G843"/>
    <mergeCell ref="I843:J843"/>
    <mergeCell ref="F838:G838"/>
    <mergeCell ref="I838:J838"/>
    <mergeCell ref="F839:G839"/>
    <mergeCell ref="I839:J839"/>
    <mergeCell ref="F840:G840"/>
    <mergeCell ref="I840:J840"/>
    <mergeCell ref="F835:G835"/>
    <mergeCell ref="I835:J835"/>
    <mergeCell ref="F836:G836"/>
    <mergeCell ref="I836:J836"/>
    <mergeCell ref="F837:G837"/>
    <mergeCell ref="I837:J837"/>
    <mergeCell ref="F832:G832"/>
    <mergeCell ref="I832:J832"/>
    <mergeCell ref="F833:G833"/>
    <mergeCell ref="I833:J833"/>
    <mergeCell ref="F834:G834"/>
    <mergeCell ref="I834:J834"/>
    <mergeCell ref="F829:G829"/>
    <mergeCell ref="I829:J829"/>
    <mergeCell ref="F830:G830"/>
    <mergeCell ref="I830:J830"/>
    <mergeCell ref="F831:G831"/>
    <mergeCell ref="I831:J831"/>
    <mergeCell ref="F826:G826"/>
    <mergeCell ref="I826:J826"/>
    <mergeCell ref="F827:G827"/>
    <mergeCell ref="I827:J827"/>
    <mergeCell ref="F828:G828"/>
    <mergeCell ref="I828:J828"/>
    <mergeCell ref="F823:G823"/>
    <mergeCell ref="I823:J823"/>
    <mergeCell ref="F824:G824"/>
    <mergeCell ref="I824:J824"/>
    <mergeCell ref="F825:G825"/>
    <mergeCell ref="I825:J825"/>
    <mergeCell ref="F820:G820"/>
    <mergeCell ref="I820:J820"/>
    <mergeCell ref="F821:G821"/>
    <mergeCell ref="I821:J821"/>
    <mergeCell ref="F822:G822"/>
    <mergeCell ref="I822:J822"/>
    <mergeCell ref="F817:G817"/>
    <mergeCell ref="I817:J817"/>
    <mergeCell ref="F818:G818"/>
    <mergeCell ref="I818:J818"/>
    <mergeCell ref="F819:G819"/>
    <mergeCell ref="I819:J819"/>
    <mergeCell ref="F814:G814"/>
    <mergeCell ref="I814:J814"/>
    <mergeCell ref="F815:G815"/>
    <mergeCell ref="I815:J815"/>
    <mergeCell ref="F816:G816"/>
    <mergeCell ref="I816:J816"/>
    <mergeCell ref="F811:G811"/>
    <mergeCell ref="I811:J811"/>
    <mergeCell ref="F812:G812"/>
    <mergeCell ref="I812:J812"/>
    <mergeCell ref="F813:G813"/>
    <mergeCell ref="I813:J813"/>
    <mergeCell ref="F808:G808"/>
    <mergeCell ref="I808:J808"/>
    <mergeCell ref="F809:G809"/>
    <mergeCell ref="I809:J809"/>
    <mergeCell ref="F810:G810"/>
    <mergeCell ref="I810:J810"/>
    <mergeCell ref="F805:G805"/>
    <mergeCell ref="I805:J805"/>
    <mergeCell ref="F806:G806"/>
    <mergeCell ref="I806:J806"/>
    <mergeCell ref="F807:G807"/>
    <mergeCell ref="I807:J807"/>
    <mergeCell ref="F802:G802"/>
    <mergeCell ref="I802:J802"/>
    <mergeCell ref="F803:G803"/>
    <mergeCell ref="I803:J803"/>
    <mergeCell ref="F804:G804"/>
    <mergeCell ref="I804:J804"/>
    <mergeCell ref="F799:G799"/>
    <mergeCell ref="I799:J799"/>
    <mergeCell ref="F800:G800"/>
    <mergeCell ref="I800:J800"/>
    <mergeCell ref="F801:G801"/>
    <mergeCell ref="I801:J801"/>
    <mergeCell ref="F796:G796"/>
    <mergeCell ref="I796:J796"/>
    <mergeCell ref="F797:G797"/>
    <mergeCell ref="I797:J797"/>
    <mergeCell ref="F798:G798"/>
    <mergeCell ref="I798:J798"/>
    <mergeCell ref="F793:G793"/>
    <mergeCell ref="I793:J793"/>
    <mergeCell ref="F794:G794"/>
    <mergeCell ref="I794:J794"/>
    <mergeCell ref="F795:G795"/>
    <mergeCell ref="I795:J795"/>
    <mergeCell ref="F790:G790"/>
    <mergeCell ref="I790:J790"/>
    <mergeCell ref="F791:G791"/>
    <mergeCell ref="I791:J791"/>
    <mergeCell ref="F792:G792"/>
    <mergeCell ref="I792:J792"/>
    <mergeCell ref="F787:G787"/>
    <mergeCell ref="I787:J787"/>
    <mergeCell ref="F788:G788"/>
    <mergeCell ref="I788:J788"/>
    <mergeCell ref="F789:G789"/>
    <mergeCell ref="I789:J789"/>
    <mergeCell ref="F784:G784"/>
    <mergeCell ref="I784:J784"/>
    <mergeCell ref="F785:G785"/>
    <mergeCell ref="I785:J785"/>
    <mergeCell ref="F786:G786"/>
    <mergeCell ref="I786:J786"/>
    <mergeCell ref="F781:G781"/>
    <mergeCell ref="I781:J781"/>
    <mergeCell ref="F782:G782"/>
    <mergeCell ref="I782:J782"/>
    <mergeCell ref="F783:G783"/>
    <mergeCell ref="I783:J783"/>
    <mergeCell ref="F778:G778"/>
    <mergeCell ref="I778:J778"/>
    <mergeCell ref="F779:G779"/>
    <mergeCell ref="I779:J779"/>
    <mergeCell ref="F780:G780"/>
    <mergeCell ref="I780:J780"/>
    <mergeCell ref="F775:G775"/>
    <mergeCell ref="I775:J775"/>
    <mergeCell ref="F776:G776"/>
    <mergeCell ref="I776:J776"/>
    <mergeCell ref="F777:G777"/>
    <mergeCell ref="I777:J777"/>
    <mergeCell ref="F772:G772"/>
    <mergeCell ref="I772:J772"/>
    <mergeCell ref="F773:G773"/>
    <mergeCell ref="I773:J773"/>
    <mergeCell ref="F774:G774"/>
    <mergeCell ref="I774:J774"/>
    <mergeCell ref="F769:G769"/>
    <mergeCell ref="I769:J769"/>
    <mergeCell ref="F770:G770"/>
    <mergeCell ref="I770:J770"/>
    <mergeCell ref="F771:G771"/>
    <mergeCell ref="I771:J771"/>
    <mergeCell ref="F766:G766"/>
    <mergeCell ref="I766:J766"/>
    <mergeCell ref="F767:G767"/>
    <mergeCell ref="I767:J767"/>
    <mergeCell ref="F768:G768"/>
    <mergeCell ref="I768:J768"/>
    <mergeCell ref="F763:G763"/>
    <mergeCell ref="I763:J763"/>
    <mergeCell ref="F764:G764"/>
    <mergeCell ref="I764:J764"/>
    <mergeCell ref="F765:G765"/>
    <mergeCell ref="I765:J765"/>
    <mergeCell ref="F760:G760"/>
    <mergeCell ref="I760:J760"/>
    <mergeCell ref="F761:G761"/>
    <mergeCell ref="I761:J761"/>
    <mergeCell ref="F762:G762"/>
    <mergeCell ref="I762:J762"/>
    <mergeCell ref="F757:G757"/>
    <mergeCell ref="I757:J757"/>
    <mergeCell ref="F758:G758"/>
    <mergeCell ref="I758:J758"/>
    <mergeCell ref="F759:G759"/>
    <mergeCell ref="I759:J759"/>
    <mergeCell ref="F754:G754"/>
    <mergeCell ref="I754:J754"/>
    <mergeCell ref="F755:G755"/>
    <mergeCell ref="I755:J755"/>
    <mergeCell ref="F756:G756"/>
    <mergeCell ref="I756:J756"/>
    <mergeCell ref="F751:G751"/>
    <mergeCell ref="I751:J751"/>
    <mergeCell ref="F752:G752"/>
    <mergeCell ref="I752:J752"/>
    <mergeCell ref="F753:G753"/>
    <mergeCell ref="I753:J753"/>
    <mergeCell ref="F748:G748"/>
    <mergeCell ref="I748:J748"/>
    <mergeCell ref="F749:G749"/>
    <mergeCell ref="I749:J749"/>
    <mergeCell ref="F750:G750"/>
    <mergeCell ref="I750:J750"/>
    <mergeCell ref="F745:G745"/>
    <mergeCell ref="I745:J745"/>
    <mergeCell ref="F746:G746"/>
    <mergeCell ref="I746:J746"/>
    <mergeCell ref="F747:G747"/>
    <mergeCell ref="I747:J747"/>
    <mergeCell ref="F742:G742"/>
    <mergeCell ref="I742:J742"/>
    <mergeCell ref="F743:G743"/>
    <mergeCell ref="I743:J743"/>
    <mergeCell ref="F744:G744"/>
    <mergeCell ref="I744:J744"/>
    <mergeCell ref="F739:G739"/>
    <mergeCell ref="I739:J739"/>
    <mergeCell ref="F740:G740"/>
    <mergeCell ref="I740:J740"/>
    <mergeCell ref="F741:G741"/>
    <mergeCell ref="I741:J741"/>
    <mergeCell ref="F736:G736"/>
    <mergeCell ref="I736:J736"/>
    <mergeCell ref="F737:G737"/>
    <mergeCell ref="I737:J737"/>
    <mergeCell ref="F738:G738"/>
    <mergeCell ref="I738:J738"/>
    <mergeCell ref="F733:G733"/>
    <mergeCell ref="I733:J733"/>
    <mergeCell ref="F734:G734"/>
    <mergeCell ref="I734:J734"/>
    <mergeCell ref="F735:G735"/>
    <mergeCell ref="I735:J735"/>
    <mergeCell ref="F730:G730"/>
    <mergeCell ref="I730:J730"/>
    <mergeCell ref="F731:G731"/>
    <mergeCell ref="I731:J731"/>
    <mergeCell ref="F732:G732"/>
    <mergeCell ref="I732:J732"/>
    <mergeCell ref="F727:G727"/>
    <mergeCell ref="I727:J727"/>
    <mergeCell ref="F728:G728"/>
    <mergeCell ref="I728:J728"/>
    <mergeCell ref="F729:G729"/>
    <mergeCell ref="I729:J729"/>
    <mergeCell ref="F724:G724"/>
    <mergeCell ref="I724:J724"/>
    <mergeCell ref="F725:G725"/>
    <mergeCell ref="I725:J725"/>
    <mergeCell ref="F726:G726"/>
    <mergeCell ref="I726:J726"/>
    <mergeCell ref="F721:G721"/>
    <mergeCell ref="I721:J721"/>
    <mergeCell ref="F722:G722"/>
    <mergeCell ref="I722:J722"/>
    <mergeCell ref="F723:G723"/>
    <mergeCell ref="I723:J723"/>
    <mergeCell ref="F718:G718"/>
    <mergeCell ref="I718:J718"/>
    <mergeCell ref="F719:G719"/>
    <mergeCell ref="I719:J719"/>
    <mergeCell ref="F720:G720"/>
    <mergeCell ref="I720:J720"/>
    <mergeCell ref="F715:G715"/>
    <mergeCell ref="I715:J715"/>
    <mergeCell ref="F716:G716"/>
    <mergeCell ref="I716:J716"/>
    <mergeCell ref="F717:G717"/>
    <mergeCell ref="I717:J717"/>
    <mergeCell ref="F712:G712"/>
    <mergeCell ref="I712:J712"/>
    <mergeCell ref="F713:G713"/>
    <mergeCell ref="I713:J713"/>
    <mergeCell ref="F714:G714"/>
    <mergeCell ref="I714:J714"/>
    <mergeCell ref="F709:G709"/>
    <mergeCell ref="I709:J709"/>
    <mergeCell ref="F710:G710"/>
    <mergeCell ref="I710:J710"/>
    <mergeCell ref="F711:G711"/>
    <mergeCell ref="I711:J711"/>
    <mergeCell ref="F706:G706"/>
    <mergeCell ref="I706:J706"/>
    <mergeCell ref="F707:G707"/>
    <mergeCell ref="I707:J707"/>
    <mergeCell ref="F708:G708"/>
    <mergeCell ref="I708:J708"/>
    <mergeCell ref="F703:G703"/>
    <mergeCell ref="I703:J703"/>
    <mergeCell ref="F704:G704"/>
    <mergeCell ref="I704:J704"/>
    <mergeCell ref="F705:G705"/>
    <mergeCell ref="I705:J705"/>
    <mergeCell ref="F700:G700"/>
    <mergeCell ref="I700:J700"/>
    <mergeCell ref="F701:G701"/>
    <mergeCell ref="I701:J701"/>
    <mergeCell ref="F702:G702"/>
    <mergeCell ref="I702:J702"/>
    <mergeCell ref="F697:G697"/>
    <mergeCell ref="I697:J697"/>
    <mergeCell ref="F698:G698"/>
    <mergeCell ref="I698:J698"/>
    <mergeCell ref="F699:G699"/>
    <mergeCell ref="I699:J699"/>
    <mergeCell ref="F694:G694"/>
    <mergeCell ref="I694:J694"/>
    <mergeCell ref="F695:G695"/>
    <mergeCell ref="I695:J695"/>
    <mergeCell ref="F696:G696"/>
    <mergeCell ref="I696:J696"/>
    <mergeCell ref="F691:G691"/>
    <mergeCell ref="I691:J691"/>
    <mergeCell ref="F692:G692"/>
    <mergeCell ref="I692:J692"/>
    <mergeCell ref="F693:G693"/>
    <mergeCell ref="I693:J693"/>
    <mergeCell ref="F688:G688"/>
    <mergeCell ref="I688:J688"/>
    <mergeCell ref="F689:G689"/>
    <mergeCell ref="I689:J689"/>
    <mergeCell ref="F690:G690"/>
    <mergeCell ref="I690:J690"/>
    <mergeCell ref="F685:G685"/>
    <mergeCell ref="I685:J685"/>
    <mergeCell ref="F686:G686"/>
    <mergeCell ref="I686:J686"/>
    <mergeCell ref="F687:G687"/>
    <mergeCell ref="I687:J687"/>
    <mergeCell ref="F682:G682"/>
    <mergeCell ref="I682:J682"/>
    <mergeCell ref="F683:G683"/>
    <mergeCell ref="I683:J683"/>
    <mergeCell ref="F684:G684"/>
    <mergeCell ref="I684:J684"/>
    <mergeCell ref="F679:G679"/>
    <mergeCell ref="I679:J679"/>
    <mergeCell ref="F680:G680"/>
    <mergeCell ref="I680:J680"/>
    <mergeCell ref="F681:G681"/>
    <mergeCell ref="I681:J681"/>
    <mergeCell ref="F676:G676"/>
    <mergeCell ref="I676:J676"/>
    <mergeCell ref="F677:G677"/>
    <mergeCell ref="I677:J677"/>
    <mergeCell ref="F678:G678"/>
    <mergeCell ref="I678:J678"/>
    <mergeCell ref="F673:G673"/>
    <mergeCell ref="I673:J673"/>
    <mergeCell ref="F674:G674"/>
    <mergeCell ref="I674:J674"/>
    <mergeCell ref="F675:G675"/>
    <mergeCell ref="I675:J675"/>
    <mergeCell ref="F670:G670"/>
    <mergeCell ref="I670:J670"/>
    <mergeCell ref="F671:G671"/>
    <mergeCell ref="I671:J671"/>
    <mergeCell ref="F672:G672"/>
    <mergeCell ref="I672:J672"/>
    <mergeCell ref="F667:G667"/>
    <mergeCell ref="I667:J667"/>
    <mergeCell ref="F668:G668"/>
    <mergeCell ref="I668:J668"/>
    <mergeCell ref="F669:G669"/>
    <mergeCell ref="I669:J669"/>
    <mergeCell ref="F664:G664"/>
    <mergeCell ref="I664:J664"/>
    <mergeCell ref="F665:G665"/>
    <mergeCell ref="I665:J665"/>
    <mergeCell ref="F666:G666"/>
    <mergeCell ref="I666:J666"/>
    <mergeCell ref="F661:G661"/>
    <mergeCell ref="I661:J661"/>
    <mergeCell ref="F662:G662"/>
    <mergeCell ref="I662:J662"/>
    <mergeCell ref="F663:G663"/>
    <mergeCell ref="I663:J663"/>
    <mergeCell ref="F658:G658"/>
    <mergeCell ref="I658:J658"/>
    <mergeCell ref="F659:G659"/>
    <mergeCell ref="I659:J659"/>
    <mergeCell ref="F660:G660"/>
    <mergeCell ref="I660:J660"/>
    <mergeCell ref="F655:G655"/>
    <mergeCell ref="I655:J655"/>
    <mergeCell ref="F656:G656"/>
    <mergeCell ref="I656:J656"/>
    <mergeCell ref="F657:G657"/>
    <mergeCell ref="I657:J657"/>
    <mergeCell ref="F652:G652"/>
    <mergeCell ref="I652:J652"/>
    <mergeCell ref="F653:G653"/>
    <mergeCell ref="I653:J653"/>
    <mergeCell ref="F654:G654"/>
    <mergeCell ref="I654:J654"/>
    <mergeCell ref="F649:G649"/>
    <mergeCell ref="I649:J649"/>
    <mergeCell ref="F650:G650"/>
    <mergeCell ref="I650:J650"/>
    <mergeCell ref="F651:G651"/>
    <mergeCell ref="I651:J651"/>
    <mergeCell ref="F646:G646"/>
    <mergeCell ref="I646:J646"/>
    <mergeCell ref="F647:G647"/>
    <mergeCell ref="I647:J647"/>
    <mergeCell ref="F648:G648"/>
    <mergeCell ref="I648:J648"/>
    <mergeCell ref="F643:G643"/>
    <mergeCell ref="I643:J643"/>
    <mergeCell ref="F644:G644"/>
    <mergeCell ref="I644:J644"/>
    <mergeCell ref="F645:G645"/>
    <mergeCell ref="I645:J645"/>
    <mergeCell ref="F640:G640"/>
    <mergeCell ref="I640:J640"/>
    <mergeCell ref="F641:G641"/>
    <mergeCell ref="I641:J641"/>
    <mergeCell ref="F642:G642"/>
    <mergeCell ref="I642:J642"/>
    <mergeCell ref="F637:G637"/>
    <mergeCell ref="I637:J637"/>
    <mergeCell ref="F638:G638"/>
    <mergeCell ref="I638:J638"/>
    <mergeCell ref="F639:G639"/>
    <mergeCell ref="I639:J639"/>
    <mergeCell ref="F634:G634"/>
    <mergeCell ref="I634:J634"/>
    <mergeCell ref="F635:G635"/>
    <mergeCell ref="I635:J635"/>
    <mergeCell ref="F636:G636"/>
    <mergeCell ref="I636:J636"/>
    <mergeCell ref="F631:G631"/>
    <mergeCell ref="I631:J631"/>
    <mergeCell ref="F632:G632"/>
    <mergeCell ref="I632:J632"/>
    <mergeCell ref="F633:G633"/>
    <mergeCell ref="I633:J633"/>
    <mergeCell ref="F628:G628"/>
    <mergeCell ref="I628:J628"/>
    <mergeCell ref="F629:G629"/>
    <mergeCell ref="I629:J629"/>
    <mergeCell ref="F630:G630"/>
    <mergeCell ref="I630:J630"/>
    <mergeCell ref="F625:G625"/>
    <mergeCell ref="I625:J625"/>
    <mergeCell ref="F626:G626"/>
    <mergeCell ref="I626:J626"/>
    <mergeCell ref="F627:G627"/>
    <mergeCell ref="I627:J627"/>
    <mergeCell ref="F622:G622"/>
    <mergeCell ref="I622:J622"/>
    <mergeCell ref="F623:G623"/>
    <mergeCell ref="I623:J623"/>
    <mergeCell ref="F624:G624"/>
    <mergeCell ref="I624:J624"/>
    <mergeCell ref="F619:G619"/>
    <mergeCell ref="I619:J619"/>
    <mergeCell ref="F620:G620"/>
    <mergeCell ref="I620:J620"/>
    <mergeCell ref="F621:G621"/>
    <mergeCell ref="I621:J621"/>
    <mergeCell ref="F616:G616"/>
    <mergeCell ref="I616:J616"/>
    <mergeCell ref="F617:G617"/>
    <mergeCell ref="I617:J617"/>
    <mergeCell ref="F618:G618"/>
    <mergeCell ref="I618:J618"/>
    <mergeCell ref="F613:G613"/>
    <mergeCell ref="I613:J613"/>
    <mergeCell ref="F614:G614"/>
    <mergeCell ref="I614:J614"/>
    <mergeCell ref="F615:G615"/>
    <mergeCell ref="I615:J615"/>
    <mergeCell ref="F610:G610"/>
    <mergeCell ref="I610:J610"/>
    <mergeCell ref="F611:G611"/>
    <mergeCell ref="I611:J611"/>
    <mergeCell ref="F612:G612"/>
    <mergeCell ref="I612:J612"/>
    <mergeCell ref="F607:G607"/>
    <mergeCell ref="I607:J607"/>
    <mergeCell ref="F608:G608"/>
    <mergeCell ref="I608:J608"/>
    <mergeCell ref="F609:G609"/>
    <mergeCell ref="I609:J609"/>
    <mergeCell ref="F604:G604"/>
    <mergeCell ref="I604:J604"/>
    <mergeCell ref="F605:G605"/>
    <mergeCell ref="I605:J605"/>
    <mergeCell ref="F606:G606"/>
    <mergeCell ref="I606:J606"/>
    <mergeCell ref="F601:G601"/>
    <mergeCell ref="I601:J601"/>
    <mergeCell ref="F602:G602"/>
    <mergeCell ref="I602:J602"/>
    <mergeCell ref="F603:G603"/>
    <mergeCell ref="I603:J603"/>
    <mergeCell ref="F598:G598"/>
    <mergeCell ref="I598:J598"/>
    <mergeCell ref="F599:G599"/>
    <mergeCell ref="I599:J599"/>
    <mergeCell ref="F600:G600"/>
    <mergeCell ref="I600:J600"/>
    <mergeCell ref="F595:G595"/>
    <mergeCell ref="I595:J595"/>
    <mergeCell ref="F596:G596"/>
    <mergeCell ref="I596:J596"/>
    <mergeCell ref="F597:G597"/>
    <mergeCell ref="I597:J597"/>
    <mergeCell ref="F592:G592"/>
    <mergeCell ref="I592:J592"/>
    <mergeCell ref="F593:G593"/>
    <mergeCell ref="I593:J593"/>
    <mergeCell ref="F594:G594"/>
    <mergeCell ref="I594:J594"/>
    <mergeCell ref="F589:G589"/>
    <mergeCell ref="I589:J589"/>
    <mergeCell ref="F590:G590"/>
    <mergeCell ref="I590:J590"/>
    <mergeCell ref="F591:G591"/>
    <mergeCell ref="I591:J591"/>
    <mergeCell ref="F586:G586"/>
    <mergeCell ref="I586:J586"/>
    <mergeCell ref="F587:G587"/>
    <mergeCell ref="I587:J587"/>
    <mergeCell ref="F588:G588"/>
    <mergeCell ref="I588:J588"/>
    <mergeCell ref="F583:G583"/>
    <mergeCell ref="I583:J583"/>
    <mergeCell ref="F584:G584"/>
    <mergeCell ref="I584:J584"/>
    <mergeCell ref="F585:G585"/>
    <mergeCell ref="I585:J585"/>
    <mergeCell ref="F580:G580"/>
    <mergeCell ref="I580:J580"/>
    <mergeCell ref="F581:G581"/>
    <mergeCell ref="I581:J581"/>
    <mergeCell ref="F582:G582"/>
    <mergeCell ref="I582:J582"/>
    <mergeCell ref="F577:G577"/>
    <mergeCell ref="I577:J577"/>
    <mergeCell ref="F578:G578"/>
    <mergeCell ref="I578:J578"/>
    <mergeCell ref="F579:G579"/>
    <mergeCell ref="I579:J579"/>
    <mergeCell ref="F574:G574"/>
    <mergeCell ref="I574:J574"/>
    <mergeCell ref="F575:G575"/>
    <mergeCell ref="I575:J575"/>
    <mergeCell ref="F576:G576"/>
    <mergeCell ref="I576:J576"/>
    <mergeCell ref="F571:G571"/>
    <mergeCell ref="I571:J571"/>
    <mergeCell ref="F572:G572"/>
    <mergeCell ref="I572:J572"/>
    <mergeCell ref="F573:G573"/>
    <mergeCell ref="I573:J573"/>
    <mergeCell ref="F568:G568"/>
    <mergeCell ref="I568:J568"/>
    <mergeCell ref="F569:G569"/>
    <mergeCell ref="I569:J569"/>
    <mergeCell ref="F570:G570"/>
    <mergeCell ref="I570:J570"/>
    <mergeCell ref="F565:G565"/>
    <mergeCell ref="I565:J565"/>
    <mergeCell ref="F566:G566"/>
    <mergeCell ref="I566:J566"/>
    <mergeCell ref="F567:G567"/>
    <mergeCell ref="I567:J567"/>
    <mergeCell ref="F562:G562"/>
    <mergeCell ref="I562:J562"/>
    <mergeCell ref="F563:G563"/>
    <mergeCell ref="I563:J563"/>
    <mergeCell ref="F564:G564"/>
    <mergeCell ref="I564:J564"/>
    <mergeCell ref="F559:G559"/>
    <mergeCell ref="I559:J559"/>
    <mergeCell ref="F560:G560"/>
    <mergeCell ref="I560:J560"/>
    <mergeCell ref="F561:G561"/>
    <mergeCell ref="I561:J561"/>
    <mergeCell ref="F556:G556"/>
    <mergeCell ref="I556:J556"/>
    <mergeCell ref="F557:G557"/>
    <mergeCell ref="I557:J557"/>
    <mergeCell ref="F558:G558"/>
    <mergeCell ref="I558:J558"/>
    <mergeCell ref="F553:G553"/>
    <mergeCell ref="I553:J553"/>
    <mergeCell ref="F554:G554"/>
    <mergeCell ref="I554:J554"/>
    <mergeCell ref="F555:G555"/>
    <mergeCell ref="I555:J555"/>
    <mergeCell ref="F550:G550"/>
    <mergeCell ref="I550:J550"/>
    <mergeCell ref="F551:G551"/>
    <mergeCell ref="I551:J551"/>
    <mergeCell ref="F552:G552"/>
    <mergeCell ref="I552:J552"/>
    <mergeCell ref="F547:G547"/>
    <mergeCell ref="I547:J547"/>
    <mergeCell ref="F548:G548"/>
    <mergeCell ref="I548:J548"/>
    <mergeCell ref="F549:G549"/>
    <mergeCell ref="I549:J549"/>
    <mergeCell ref="F544:G544"/>
    <mergeCell ref="I544:J544"/>
    <mergeCell ref="F545:G545"/>
    <mergeCell ref="I545:J545"/>
    <mergeCell ref="F546:G546"/>
    <mergeCell ref="I546:J546"/>
    <mergeCell ref="F541:G541"/>
    <mergeCell ref="I541:J541"/>
    <mergeCell ref="F542:G542"/>
    <mergeCell ref="I542:J542"/>
    <mergeCell ref="F543:G543"/>
    <mergeCell ref="I543:J543"/>
    <mergeCell ref="F538:G538"/>
    <mergeCell ref="I538:J538"/>
    <mergeCell ref="F539:G539"/>
    <mergeCell ref="I539:J539"/>
    <mergeCell ref="F540:G540"/>
    <mergeCell ref="I540:J540"/>
    <mergeCell ref="F535:G535"/>
    <mergeCell ref="I535:J535"/>
    <mergeCell ref="F536:G536"/>
    <mergeCell ref="I536:J536"/>
    <mergeCell ref="F537:G537"/>
    <mergeCell ref="I537:J537"/>
    <mergeCell ref="F532:G532"/>
    <mergeCell ref="I532:J532"/>
    <mergeCell ref="F533:G533"/>
    <mergeCell ref="I533:J533"/>
    <mergeCell ref="F534:G534"/>
    <mergeCell ref="I534:J534"/>
    <mergeCell ref="F529:G529"/>
    <mergeCell ref="I529:J529"/>
    <mergeCell ref="F530:G530"/>
    <mergeCell ref="I530:J530"/>
    <mergeCell ref="F531:G531"/>
    <mergeCell ref="I531:J531"/>
    <mergeCell ref="F526:G526"/>
    <mergeCell ref="I526:J526"/>
    <mergeCell ref="F527:G527"/>
    <mergeCell ref="I527:J527"/>
    <mergeCell ref="F528:G528"/>
    <mergeCell ref="I528:J528"/>
    <mergeCell ref="F523:G523"/>
    <mergeCell ref="I523:J523"/>
    <mergeCell ref="F524:G524"/>
    <mergeCell ref="I524:J524"/>
    <mergeCell ref="F525:G525"/>
    <mergeCell ref="I525:J525"/>
    <mergeCell ref="F520:G520"/>
    <mergeCell ref="I520:J520"/>
    <mergeCell ref="F521:G521"/>
    <mergeCell ref="I521:J521"/>
    <mergeCell ref="F522:G522"/>
    <mergeCell ref="I522:J522"/>
    <mergeCell ref="F517:G517"/>
    <mergeCell ref="I517:J517"/>
    <mergeCell ref="F518:G518"/>
    <mergeCell ref="I518:J518"/>
    <mergeCell ref="F519:G519"/>
    <mergeCell ref="I519:J519"/>
    <mergeCell ref="F514:G514"/>
    <mergeCell ref="I514:J514"/>
    <mergeCell ref="F515:G515"/>
    <mergeCell ref="I515:J515"/>
    <mergeCell ref="F516:G516"/>
    <mergeCell ref="I516:J516"/>
    <mergeCell ref="F511:G511"/>
    <mergeCell ref="I511:J511"/>
    <mergeCell ref="F512:G512"/>
    <mergeCell ref="I512:J512"/>
    <mergeCell ref="F513:G513"/>
    <mergeCell ref="I513:J513"/>
    <mergeCell ref="F508:G508"/>
    <mergeCell ref="I508:J508"/>
    <mergeCell ref="F509:G509"/>
    <mergeCell ref="I509:J509"/>
    <mergeCell ref="F510:G510"/>
    <mergeCell ref="I510:J510"/>
    <mergeCell ref="F505:G505"/>
    <mergeCell ref="I505:J505"/>
    <mergeCell ref="F506:G506"/>
    <mergeCell ref="I506:J506"/>
    <mergeCell ref="F507:G507"/>
    <mergeCell ref="I507:J507"/>
    <mergeCell ref="F502:G502"/>
    <mergeCell ref="I502:J502"/>
    <mergeCell ref="F503:G503"/>
    <mergeCell ref="I503:J503"/>
    <mergeCell ref="F504:G504"/>
    <mergeCell ref="I504:J504"/>
    <mergeCell ref="F499:G499"/>
    <mergeCell ref="I499:J499"/>
    <mergeCell ref="F500:G500"/>
    <mergeCell ref="I500:J500"/>
    <mergeCell ref="F501:G501"/>
    <mergeCell ref="I501:J501"/>
    <mergeCell ref="F496:G496"/>
    <mergeCell ref="I496:J496"/>
    <mergeCell ref="F497:G497"/>
    <mergeCell ref="I497:J497"/>
    <mergeCell ref="F498:G498"/>
    <mergeCell ref="I498:J498"/>
    <mergeCell ref="F493:G493"/>
    <mergeCell ref="I493:J493"/>
    <mergeCell ref="F494:G494"/>
    <mergeCell ref="I494:J494"/>
    <mergeCell ref="F495:G495"/>
    <mergeCell ref="I495:J495"/>
    <mergeCell ref="F490:G490"/>
    <mergeCell ref="I490:J490"/>
    <mergeCell ref="F491:G491"/>
    <mergeCell ref="I491:J491"/>
    <mergeCell ref="F492:G492"/>
    <mergeCell ref="I492:J492"/>
    <mergeCell ref="F487:G487"/>
    <mergeCell ref="I487:J487"/>
    <mergeCell ref="F488:G488"/>
    <mergeCell ref="I488:J488"/>
    <mergeCell ref="F489:G489"/>
    <mergeCell ref="I489:J489"/>
    <mergeCell ref="F484:G484"/>
    <mergeCell ref="I484:J484"/>
    <mergeCell ref="F485:G485"/>
    <mergeCell ref="I485:J485"/>
    <mergeCell ref="F486:G486"/>
    <mergeCell ref="I486:J486"/>
    <mergeCell ref="F481:G481"/>
    <mergeCell ref="I481:J481"/>
    <mergeCell ref="F482:G482"/>
    <mergeCell ref="I482:J482"/>
    <mergeCell ref="F483:G483"/>
    <mergeCell ref="I483:J483"/>
    <mergeCell ref="F478:G478"/>
    <mergeCell ref="I478:J478"/>
    <mergeCell ref="F479:G479"/>
    <mergeCell ref="I479:J479"/>
    <mergeCell ref="F480:G480"/>
    <mergeCell ref="I480:J480"/>
    <mergeCell ref="F475:G475"/>
    <mergeCell ref="I475:J475"/>
    <mergeCell ref="F476:G476"/>
    <mergeCell ref="I476:J476"/>
    <mergeCell ref="F477:G477"/>
    <mergeCell ref="I477:J477"/>
    <mergeCell ref="F472:G472"/>
    <mergeCell ref="I472:J472"/>
    <mergeCell ref="F473:G473"/>
    <mergeCell ref="I473:J473"/>
    <mergeCell ref="F474:G474"/>
    <mergeCell ref="I474:J474"/>
    <mergeCell ref="F469:G469"/>
    <mergeCell ref="I469:J469"/>
    <mergeCell ref="F470:G470"/>
    <mergeCell ref="I470:J470"/>
    <mergeCell ref="F471:G471"/>
    <mergeCell ref="I471:J471"/>
    <mergeCell ref="F466:G466"/>
    <mergeCell ref="I466:J466"/>
    <mergeCell ref="F467:G467"/>
    <mergeCell ref="I467:J467"/>
    <mergeCell ref="F468:G468"/>
    <mergeCell ref="I468:J468"/>
    <mergeCell ref="F463:G463"/>
    <mergeCell ref="I463:J463"/>
    <mergeCell ref="F464:G464"/>
    <mergeCell ref="I464:J464"/>
    <mergeCell ref="F465:G465"/>
    <mergeCell ref="I465:J465"/>
    <mergeCell ref="F460:G460"/>
    <mergeCell ref="I460:J460"/>
    <mergeCell ref="F461:G461"/>
    <mergeCell ref="I461:J461"/>
    <mergeCell ref="F462:G462"/>
    <mergeCell ref="I462:J462"/>
    <mergeCell ref="F457:G457"/>
    <mergeCell ref="I457:J457"/>
    <mergeCell ref="F458:G458"/>
    <mergeCell ref="I458:J458"/>
    <mergeCell ref="F459:G459"/>
    <mergeCell ref="I459:J459"/>
    <mergeCell ref="F454:G454"/>
    <mergeCell ref="I454:J454"/>
    <mergeCell ref="F455:G455"/>
    <mergeCell ref="I455:J455"/>
    <mergeCell ref="F456:G456"/>
    <mergeCell ref="I456:J456"/>
    <mergeCell ref="F451:G451"/>
    <mergeCell ref="I451:J451"/>
    <mergeCell ref="F452:G452"/>
    <mergeCell ref="I452:J452"/>
    <mergeCell ref="F453:G453"/>
    <mergeCell ref="I453:J453"/>
    <mergeCell ref="F448:G448"/>
    <mergeCell ref="I448:J448"/>
    <mergeCell ref="F449:G449"/>
    <mergeCell ref="I449:J449"/>
    <mergeCell ref="F450:G450"/>
    <mergeCell ref="I450:J450"/>
    <mergeCell ref="F445:G445"/>
    <mergeCell ref="I445:J445"/>
    <mergeCell ref="F446:G446"/>
    <mergeCell ref="I446:J446"/>
    <mergeCell ref="F447:G447"/>
    <mergeCell ref="I447:J447"/>
    <mergeCell ref="F442:G442"/>
    <mergeCell ref="I442:J442"/>
    <mergeCell ref="F443:G443"/>
    <mergeCell ref="I443:J443"/>
    <mergeCell ref="F444:G444"/>
    <mergeCell ref="I444:J444"/>
    <mergeCell ref="F439:G439"/>
    <mergeCell ref="I439:J439"/>
    <mergeCell ref="F440:G440"/>
    <mergeCell ref="I440:J440"/>
    <mergeCell ref="F441:G441"/>
    <mergeCell ref="I441:J441"/>
    <mergeCell ref="F436:G436"/>
    <mergeCell ref="I436:J436"/>
    <mergeCell ref="F437:G437"/>
    <mergeCell ref="I437:J437"/>
    <mergeCell ref="F438:G438"/>
    <mergeCell ref="I438:J438"/>
    <mergeCell ref="F433:G433"/>
    <mergeCell ref="I433:J433"/>
    <mergeCell ref="F434:G434"/>
    <mergeCell ref="I434:J434"/>
    <mergeCell ref="F435:G435"/>
    <mergeCell ref="I435:J435"/>
    <mergeCell ref="F430:G430"/>
    <mergeCell ref="I430:J430"/>
    <mergeCell ref="F431:G431"/>
    <mergeCell ref="I431:J431"/>
    <mergeCell ref="F432:G432"/>
    <mergeCell ref="I432:J432"/>
    <mergeCell ref="F427:G427"/>
    <mergeCell ref="I427:J427"/>
    <mergeCell ref="F428:G428"/>
    <mergeCell ref="I428:J428"/>
    <mergeCell ref="F429:G429"/>
    <mergeCell ref="I429:J429"/>
    <mergeCell ref="F424:G424"/>
    <mergeCell ref="I424:J424"/>
    <mergeCell ref="F425:G425"/>
    <mergeCell ref="I425:J425"/>
    <mergeCell ref="F426:G426"/>
    <mergeCell ref="I426:J426"/>
    <mergeCell ref="F421:G421"/>
    <mergeCell ref="I421:J421"/>
    <mergeCell ref="F422:G422"/>
    <mergeCell ref="I422:J422"/>
    <mergeCell ref="F423:G423"/>
    <mergeCell ref="I423:J423"/>
    <mergeCell ref="F418:G418"/>
    <mergeCell ref="I418:J418"/>
    <mergeCell ref="F419:G419"/>
    <mergeCell ref="I419:J419"/>
    <mergeCell ref="F420:G420"/>
    <mergeCell ref="I420:J420"/>
    <mergeCell ref="F415:G415"/>
    <mergeCell ref="I415:J415"/>
    <mergeCell ref="F416:G416"/>
    <mergeCell ref="I416:J416"/>
    <mergeCell ref="F417:G417"/>
    <mergeCell ref="I417:J417"/>
    <mergeCell ref="F412:G412"/>
    <mergeCell ref="I412:J412"/>
    <mergeCell ref="F413:G413"/>
    <mergeCell ref="I413:J413"/>
    <mergeCell ref="F414:G414"/>
    <mergeCell ref="I414:J414"/>
    <mergeCell ref="F409:G409"/>
    <mergeCell ref="I409:J409"/>
    <mergeCell ref="F410:G410"/>
    <mergeCell ref="I410:J410"/>
    <mergeCell ref="F411:G411"/>
    <mergeCell ref="I411:J411"/>
    <mergeCell ref="F406:G406"/>
    <mergeCell ref="I406:J406"/>
    <mergeCell ref="F407:G407"/>
    <mergeCell ref="I407:J407"/>
    <mergeCell ref="F408:G408"/>
    <mergeCell ref="I408:J408"/>
    <mergeCell ref="F403:G403"/>
    <mergeCell ref="I403:J403"/>
    <mergeCell ref="F404:G404"/>
    <mergeCell ref="I404:J404"/>
    <mergeCell ref="F405:G405"/>
    <mergeCell ref="I405:J405"/>
    <mergeCell ref="F400:G400"/>
    <mergeCell ref="I400:J400"/>
    <mergeCell ref="F401:G401"/>
    <mergeCell ref="I401:J401"/>
    <mergeCell ref="F402:G402"/>
    <mergeCell ref="I402:J402"/>
    <mergeCell ref="F397:G397"/>
    <mergeCell ref="I397:J397"/>
    <mergeCell ref="F398:G398"/>
    <mergeCell ref="I398:J398"/>
    <mergeCell ref="F399:G399"/>
    <mergeCell ref="I399:J399"/>
    <mergeCell ref="F394:G394"/>
    <mergeCell ref="I394:J394"/>
    <mergeCell ref="F395:G395"/>
    <mergeCell ref="I395:J395"/>
    <mergeCell ref="F396:G396"/>
    <mergeCell ref="I396:J396"/>
    <mergeCell ref="F391:G391"/>
    <mergeCell ref="I391:J391"/>
    <mergeCell ref="F392:G392"/>
    <mergeCell ref="I392:J392"/>
    <mergeCell ref="F393:G393"/>
    <mergeCell ref="I393:J393"/>
    <mergeCell ref="F388:G388"/>
    <mergeCell ref="I388:J388"/>
    <mergeCell ref="F389:G389"/>
    <mergeCell ref="I389:J389"/>
    <mergeCell ref="F390:G390"/>
    <mergeCell ref="I390:J390"/>
    <mergeCell ref="F385:G385"/>
    <mergeCell ref="I385:J385"/>
    <mergeCell ref="F386:G386"/>
    <mergeCell ref="I386:J386"/>
    <mergeCell ref="F387:G387"/>
    <mergeCell ref="I387:J387"/>
    <mergeCell ref="F382:G382"/>
    <mergeCell ref="I382:J382"/>
    <mergeCell ref="F383:G383"/>
    <mergeCell ref="I383:J383"/>
    <mergeCell ref="F384:G384"/>
    <mergeCell ref="I384:J384"/>
    <mergeCell ref="F379:G379"/>
    <mergeCell ref="I379:J379"/>
    <mergeCell ref="F380:G380"/>
    <mergeCell ref="I380:J380"/>
    <mergeCell ref="F381:G381"/>
    <mergeCell ref="I381:J381"/>
    <mergeCell ref="F376:G376"/>
    <mergeCell ref="I376:J376"/>
    <mergeCell ref="F377:G377"/>
    <mergeCell ref="I377:J377"/>
    <mergeCell ref="F378:G378"/>
    <mergeCell ref="I378:J378"/>
    <mergeCell ref="F373:G373"/>
    <mergeCell ref="I373:J373"/>
    <mergeCell ref="F374:G374"/>
    <mergeCell ref="I374:J374"/>
    <mergeCell ref="F375:G375"/>
    <mergeCell ref="I375:J375"/>
    <mergeCell ref="F370:G370"/>
    <mergeCell ref="I370:J370"/>
    <mergeCell ref="F371:G371"/>
    <mergeCell ref="I371:J371"/>
    <mergeCell ref="F372:G372"/>
    <mergeCell ref="I372:J372"/>
    <mergeCell ref="F367:G367"/>
    <mergeCell ref="I367:J367"/>
    <mergeCell ref="F368:G368"/>
    <mergeCell ref="I368:J368"/>
    <mergeCell ref="F369:G369"/>
    <mergeCell ref="I369:J369"/>
    <mergeCell ref="F364:G364"/>
    <mergeCell ref="I364:J364"/>
    <mergeCell ref="F365:G365"/>
    <mergeCell ref="I365:J365"/>
    <mergeCell ref="F366:G366"/>
    <mergeCell ref="I366:J366"/>
    <mergeCell ref="F361:G361"/>
    <mergeCell ref="I361:J361"/>
    <mergeCell ref="F362:G362"/>
    <mergeCell ref="I362:J362"/>
    <mergeCell ref="F363:G363"/>
    <mergeCell ref="I363:J363"/>
    <mergeCell ref="F358:G358"/>
    <mergeCell ref="I358:J358"/>
    <mergeCell ref="F359:G359"/>
    <mergeCell ref="I359:J359"/>
    <mergeCell ref="F360:G360"/>
    <mergeCell ref="I360:J360"/>
    <mergeCell ref="F355:G355"/>
    <mergeCell ref="I355:J355"/>
    <mergeCell ref="F356:G356"/>
    <mergeCell ref="I356:J356"/>
    <mergeCell ref="F357:G357"/>
    <mergeCell ref="I357:J357"/>
    <mergeCell ref="F352:G352"/>
    <mergeCell ref="I352:J352"/>
    <mergeCell ref="F353:G353"/>
    <mergeCell ref="I353:J353"/>
    <mergeCell ref="F354:G354"/>
    <mergeCell ref="I354:J354"/>
    <mergeCell ref="F349:G349"/>
    <mergeCell ref="I349:J349"/>
    <mergeCell ref="F350:G350"/>
    <mergeCell ref="I350:J350"/>
    <mergeCell ref="F351:G351"/>
    <mergeCell ref="I351:J351"/>
    <mergeCell ref="F346:G346"/>
    <mergeCell ref="I346:J346"/>
    <mergeCell ref="F347:G347"/>
    <mergeCell ref="I347:J347"/>
    <mergeCell ref="F348:G348"/>
    <mergeCell ref="I348:J348"/>
    <mergeCell ref="F343:G343"/>
    <mergeCell ref="I343:J343"/>
    <mergeCell ref="F344:G344"/>
    <mergeCell ref="I344:J344"/>
    <mergeCell ref="F345:G345"/>
    <mergeCell ref="I345:J345"/>
    <mergeCell ref="F340:G340"/>
    <mergeCell ref="I340:J340"/>
    <mergeCell ref="F341:G341"/>
    <mergeCell ref="I341:J341"/>
    <mergeCell ref="F342:G342"/>
    <mergeCell ref="I342:J342"/>
    <mergeCell ref="F337:G337"/>
    <mergeCell ref="I337:J337"/>
    <mergeCell ref="F338:G338"/>
    <mergeCell ref="I338:J338"/>
    <mergeCell ref="F339:G339"/>
    <mergeCell ref="I339:J339"/>
    <mergeCell ref="F334:G334"/>
    <mergeCell ref="I334:J334"/>
    <mergeCell ref="F335:G335"/>
    <mergeCell ref="I335:J335"/>
    <mergeCell ref="F336:G336"/>
    <mergeCell ref="I336:J336"/>
    <mergeCell ref="F331:G331"/>
    <mergeCell ref="I331:J331"/>
    <mergeCell ref="F332:G332"/>
    <mergeCell ref="I332:J332"/>
    <mergeCell ref="F333:G333"/>
    <mergeCell ref="I333:J333"/>
    <mergeCell ref="F328:G328"/>
    <mergeCell ref="I328:J328"/>
    <mergeCell ref="F329:G329"/>
    <mergeCell ref="I329:J329"/>
    <mergeCell ref="F330:G330"/>
    <mergeCell ref="I330:J330"/>
    <mergeCell ref="F325:G325"/>
    <mergeCell ref="I325:J325"/>
    <mergeCell ref="F326:G326"/>
    <mergeCell ref="I326:J326"/>
    <mergeCell ref="F327:G327"/>
    <mergeCell ref="I327:J327"/>
    <mergeCell ref="F322:G322"/>
    <mergeCell ref="I322:J322"/>
    <mergeCell ref="F323:G323"/>
    <mergeCell ref="I323:J323"/>
    <mergeCell ref="F324:G324"/>
    <mergeCell ref="I324:J324"/>
    <mergeCell ref="F319:G319"/>
    <mergeCell ref="I319:J319"/>
    <mergeCell ref="F320:G320"/>
    <mergeCell ref="I320:J320"/>
    <mergeCell ref="F321:G321"/>
    <mergeCell ref="I321:J321"/>
    <mergeCell ref="F316:G316"/>
    <mergeCell ref="I316:J316"/>
    <mergeCell ref="F317:G317"/>
    <mergeCell ref="I317:J317"/>
    <mergeCell ref="F318:G318"/>
    <mergeCell ref="I318:J318"/>
    <mergeCell ref="F313:G313"/>
    <mergeCell ref="I313:J313"/>
    <mergeCell ref="F314:G314"/>
    <mergeCell ref="I314:J314"/>
    <mergeCell ref="F315:G315"/>
    <mergeCell ref="I315:J315"/>
    <mergeCell ref="F310:G310"/>
    <mergeCell ref="I310:J310"/>
    <mergeCell ref="F311:G311"/>
    <mergeCell ref="I311:J311"/>
    <mergeCell ref="F312:G312"/>
    <mergeCell ref="I312:J312"/>
    <mergeCell ref="F307:G307"/>
    <mergeCell ref="I307:J307"/>
    <mergeCell ref="F308:G308"/>
    <mergeCell ref="I308:J308"/>
    <mergeCell ref="F309:G309"/>
    <mergeCell ref="I309:J309"/>
    <mergeCell ref="F304:G304"/>
    <mergeCell ref="I304:J304"/>
    <mergeCell ref="F305:G305"/>
    <mergeCell ref="I305:J305"/>
    <mergeCell ref="F306:G306"/>
    <mergeCell ref="I306:J306"/>
    <mergeCell ref="F301:G301"/>
    <mergeCell ref="I301:J301"/>
    <mergeCell ref="F302:G302"/>
    <mergeCell ref="I302:J302"/>
    <mergeCell ref="F303:G303"/>
    <mergeCell ref="I303:J303"/>
    <mergeCell ref="F298:G298"/>
    <mergeCell ref="I298:J298"/>
    <mergeCell ref="F299:G299"/>
    <mergeCell ref="I299:J299"/>
    <mergeCell ref="F300:G300"/>
    <mergeCell ref="I300:J300"/>
    <mergeCell ref="F295:G295"/>
    <mergeCell ref="I295:J295"/>
    <mergeCell ref="F296:G296"/>
    <mergeCell ref="I296:J296"/>
    <mergeCell ref="F297:G297"/>
    <mergeCell ref="I297:J297"/>
    <mergeCell ref="F292:G292"/>
    <mergeCell ref="I292:J292"/>
    <mergeCell ref="F293:G293"/>
    <mergeCell ref="I293:J293"/>
    <mergeCell ref="F294:G294"/>
    <mergeCell ref="I294:J294"/>
    <mergeCell ref="F289:G289"/>
    <mergeCell ref="I289:J289"/>
    <mergeCell ref="F290:G290"/>
    <mergeCell ref="I290:J290"/>
    <mergeCell ref="F291:G291"/>
    <mergeCell ref="I291:J291"/>
    <mergeCell ref="F286:G286"/>
    <mergeCell ref="I286:J286"/>
    <mergeCell ref="F287:G287"/>
    <mergeCell ref="I287:J287"/>
    <mergeCell ref="F288:G288"/>
    <mergeCell ref="I288:J288"/>
    <mergeCell ref="F283:G283"/>
    <mergeCell ref="I283:J283"/>
    <mergeCell ref="F284:G284"/>
    <mergeCell ref="I284:J284"/>
    <mergeCell ref="F285:G285"/>
    <mergeCell ref="I285:J285"/>
    <mergeCell ref="F280:G280"/>
    <mergeCell ref="I280:J280"/>
    <mergeCell ref="F281:G281"/>
    <mergeCell ref="I281:J281"/>
    <mergeCell ref="F282:G282"/>
    <mergeCell ref="I282:J282"/>
    <mergeCell ref="F277:G277"/>
    <mergeCell ref="I277:J277"/>
    <mergeCell ref="F278:G278"/>
    <mergeCell ref="I278:J278"/>
    <mergeCell ref="F279:G279"/>
    <mergeCell ref="I279:J279"/>
    <mergeCell ref="F274:G274"/>
    <mergeCell ref="I274:J274"/>
    <mergeCell ref="F275:G275"/>
    <mergeCell ref="I275:J275"/>
    <mergeCell ref="F276:G276"/>
    <mergeCell ref="I276:J276"/>
    <mergeCell ref="F271:G271"/>
    <mergeCell ref="I271:J271"/>
    <mergeCell ref="F272:G272"/>
    <mergeCell ref="I272:J272"/>
    <mergeCell ref="F273:G273"/>
    <mergeCell ref="I273:J273"/>
    <mergeCell ref="F268:G268"/>
    <mergeCell ref="I268:J268"/>
    <mergeCell ref="F269:G269"/>
    <mergeCell ref="I269:J269"/>
    <mergeCell ref="F270:G270"/>
    <mergeCell ref="I270:J270"/>
    <mergeCell ref="F265:G265"/>
    <mergeCell ref="I265:J265"/>
    <mergeCell ref="F266:G266"/>
    <mergeCell ref="I266:J266"/>
    <mergeCell ref="F267:G267"/>
    <mergeCell ref="I267:J267"/>
    <mergeCell ref="F262:G262"/>
    <mergeCell ref="I262:J262"/>
    <mergeCell ref="F263:G263"/>
    <mergeCell ref="I263:J263"/>
    <mergeCell ref="F264:G264"/>
    <mergeCell ref="I264:J264"/>
    <mergeCell ref="F259:G259"/>
    <mergeCell ref="I259:J259"/>
    <mergeCell ref="F260:G260"/>
    <mergeCell ref="I260:J260"/>
    <mergeCell ref="F261:G261"/>
    <mergeCell ref="I261:J261"/>
    <mergeCell ref="F256:G256"/>
    <mergeCell ref="I256:J256"/>
    <mergeCell ref="F257:G257"/>
    <mergeCell ref="I257:J257"/>
    <mergeCell ref="F258:G258"/>
    <mergeCell ref="I258:J258"/>
    <mergeCell ref="F253:G253"/>
    <mergeCell ref="I253:J253"/>
    <mergeCell ref="F254:G254"/>
    <mergeCell ref="I254:J254"/>
    <mergeCell ref="F255:G255"/>
    <mergeCell ref="I255:J255"/>
    <mergeCell ref="F250:G250"/>
    <mergeCell ref="I250:J250"/>
    <mergeCell ref="F251:G251"/>
    <mergeCell ref="I251:J251"/>
    <mergeCell ref="F252:G252"/>
    <mergeCell ref="I252:J252"/>
    <mergeCell ref="F247:G247"/>
    <mergeCell ref="I247:J247"/>
    <mergeCell ref="F248:G248"/>
    <mergeCell ref="I248:J248"/>
    <mergeCell ref="F249:G249"/>
    <mergeCell ref="I249:J249"/>
    <mergeCell ref="F244:G244"/>
    <mergeCell ref="I244:J244"/>
    <mergeCell ref="F245:G245"/>
    <mergeCell ref="I245:J245"/>
    <mergeCell ref="F246:G246"/>
    <mergeCell ref="I246:J246"/>
    <mergeCell ref="F241:G241"/>
    <mergeCell ref="I241:J241"/>
    <mergeCell ref="F242:G242"/>
    <mergeCell ref="I242:J242"/>
    <mergeCell ref="F243:G243"/>
    <mergeCell ref="I243:J243"/>
    <mergeCell ref="F238:G238"/>
    <mergeCell ref="I238:J238"/>
    <mergeCell ref="F239:G239"/>
    <mergeCell ref="I239:J239"/>
    <mergeCell ref="F240:G240"/>
    <mergeCell ref="I240:J240"/>
    <mergeCell ref="F235:G235"/>
    <mergeCell ref="I235:J235"/>
    <mergeCell ref="F236:G236"/>
    <mergeCell ref="I236:J236"/>
    <mergeCell ref="F237:G237"/>
    <mergeCell ref="I237:J237"/>
    <mergeCell ref="F232:G232"/>
    <mergeCell ref="I232:J232"/>
    <mergeCell ref="F233:G233"/>
    <mergeCell ref="I233:J233"/>
    <mergeCell ref="F234:G234"/>
    <mergeCell ref="I234:J234"/>
    <mergeCell ref="F229:G229"/>
    <mergeCell ref="I229:J229"/>
    <mergeCell ref="F230:G230"/>
    <mergeCell ref="I230:J230"/>
    <mergeCell ref="F231:G231"/>
    <mergeCell ref="I231:J231"/>
    <mergeCell ref="F226:G226"/>
    <mergeCell ref="I226:J226"/>
    <mergeCell ref="F227:G227"/>
    <mergeCell ref="I227:J227"/>
    <mergeCell ref="F228:G228"/>
    <mergeCell ref="I228:J228"/>
    <mergeCell ref="F223:G223"/>
    <mergeCell ref="I223:J223"/>
    <mergeCell ref="F224:G224"/>
    <mergeCell ref="I224:J224"/>
    <mergeCell ref="F225:G225"/>
    <mergeCell ref="I225:J225"/>
    <mergeCell ref="F220:G220"/>
    <mergeCell ref="I220:J220"/>
    <mergeCell ref="F221:G221"/>
    <mergeCell ref="I221:J221"/>
    <mergeCell ref="F222:G222"/>
    <mergeCell ref="I222:J222"/>
    <mergeCell ref="F217:G217"/>
    <mergeCell ref="I217:J217"/>
    <mergeCell ref="F218:G218"/>
    <mergeCell ref="I218:J218"/>
    <mergeCell ref="F219:G219"/>
    <mergeCell ref="I219:J219"/>
    <mergeCell ref="F214:G214"/>
    <mergeCell ref="I214:J214"/>
    <mergeCell ref="F215:G215"/>
    <mergeCell ref="I215:J215"/>
    <mergeCell ref="F216:G216"/>
    <mergeCell ref="I216:J216"/>
    <mergeCell ref="F211:G211"/>
    <mergeCell ref="I211:J211"/>
    <mergeCell ref="F212:G212"/>
    <mergeCell ref="I212:J212"/>
    <mergeCell ref="F213:G213"/>
    <mergeCell ref="I213:J213"/>
    <mergeCell ref="F208:G208"/>
    <mergeCell ref="I208:J208"/>
    <mergeCell ref="F209:G209"/>
    <mergeCell ref="I209:J209"/>
    <mergeCell ref="F210:G210"/>
    <mergeCell ref="I210:J210"/>
    <mergeCell ref="F205:G205"/>
    <mergeCell ref="I205:J205"/>
    <mergeCell ref="F206:G206"/>
    <mergeCell ref="I206:J206"/>
    <mergeCell ref="F207:G207"/>
    <mergeCell ref="I207:J207"/>
    <mergeCell ref="F202:G202"/>
    <mergeCell ref="I202:J202"/>
    <mergeCell ref="F203:G203"/>
    <mergeCell ref="I203:J203"/>
    <mergeCell ref="F204:G204"/>
    <mergeCell ref="I204:J204"/>
    <mergeCell ref="F199:G199"/>
    <mergeCell ref="I199:J199"/>
    <mergeCell ref="F200:G200"/>
    <mergeCell ref="I200:J200"/>
    <mergeCell ref="F201:G201"/>
    <mergeCell ref="I201:J201"/>
    <mergeCell ref="F196:G196"/>
    <mergeCell ref="I196:J196"/>
    <mergeCell ref="F197:G197"/>
    <mergeCell ref="I197:J197"/>
    <mergeCell ref="F198:G198"/>
    <mergeCell ref="I198:J198"/>
    <mergeCell ref="F193:G193"/>
    <mergeCell ref="I193:J193"/>
    <mergeCell ref="F194:G194"/>
    <mergeCell ref="I194:J194"/>
    <mergeCell ref="F195:G195"/>
    <mergeCell ref="I195:J195"/>
    <mergeCell ref="F190:G190"/>
    <mergeCell ref="I190:J190"/>
    <mergeCell ref="F191:G191"/>
    <mergeCell ref="I191:J191"/>
    <mergeCell ref="F192:G192"/>
    <mergeCell ref="I192:J192"/>
    <mergeCell ref="F187:G187"/>
    <mergeCell ref="I187:J187"/>
    <mergeCell ref="F188:G188"/>
    <mergeCell ref="I188:J188"/>
    <mergeCell ref="F189:G189"/>
    <mergeCell ref="I189:J189"/>
    <mergeCell ref="F184:G184"/>
    <mergeCell ref="I184:J184"/>
    <mergeCell ref="F185:G185"/>
    <mergeCell ref="I185:J185"/>
    <mergeCell ref="F186:G186"/>
    <mergeCell ref="I186:J186"/>
    <mergeCell ref="F181:G181"/>
    <mergeCell ref="I181:J181"/>
    <mergeCell ref="F182:G182"/>
    <mergeCell ref="I182:J182"/>
    <mergeCell ref="F183:G183"/>
    <mergeCell ref="I183:J183"/>
    <mergeCell ref="F178:G178"/>
    <mergeCell ref="I178:J178"/>
    <mergeCell ref="F179:G179"/>
    <mergeCell ref="I179:J179"/>
    <mergeCell ref="F180:G180"/>
    <mergeCell ref="I180:J180"/>
    <mergeCell ref="F175:G175"/>
    <mergeCell ref="I175:J175"/>
    <mergeCell ref="F176:G176"/>
    <mergeCell ref="I176:J176"/>
    <mergeCell ref="F177:G177"/>
    <mergeCell ref="I177:J177"/>
    <mergeCell ref="F172:G172"/>
    <mergeCell ref="I172:J172"/>
    <mergeCell ref="F173:G173"/>
    <mergeCell ref="I173:J173"/>
    <mergeCell ref="F174:G174"/>
    <mergeCell ref="I174:J174"/>
    <mergeCell ref="F169:G169"/>
    <mergeCell ref="I169:J169"/>
    <mergeCell ref="F170:G170"/>
    <mergeCell ref="I170:J170"/>
    <mergeCell ref="F171:G171"/>
    <mergeCell ref="I171:J171"/>
    <mergeCell ref="F166:G166"/>
    <mergeCell ref="I166:J166"/>
    <mergeCell ref="F167:G167"/>
    <mergeCell ref="I167:J167"/>
    <mergeCell ref="F168:G168"/>
    <mergeCell ref="I168:J168"/>
    <mergeCell ref="F163:G163"/>
    <mergeCell ref="I163:J163"/>
    <mergeCell ref="F164:G164"/>
    <mergeCell ref="I164:J164"/>
    <mergeCell ref="F165:G165"/>
    <mergeCell ref="I165:J165"/>
    <mergeCell ref="F160:G160"/>
    <mergeCell ref="I160:J160"/>
    <mergeCell ref="F161:G161"/>
    <mergeCell ref="I161:J161"/>
    <mergeCell ref="F162:G162"/>
    <mergeCell ref="I162:J162"/>
    <mergeCell ref="F157:G157"/>
    <mergeCell ref="I157:J157"/>
    <mergeCell ref="F158:G158"/>
    <mergeCell ref="I158:J158"/>
    <mergeCell ref="F159:G159"/>
    <mergeCell ref="I159:J159"/>
    <mergeCell ref="F154:G154"/>
    <mergeCell ref="I154:J154"/>
    <mergeCell ref="F155:G155"/>
    <mergeCell ref="I155:J155"/>
    <mergeCell ref="F156:G156"/>
    <mergeCell ref="I156:J156"/>
    <mergeCell ref="F151:G151"/>
    <mergeCell ref="I151:J151"/>
    <mergeCell ref="F152:G152"/>
    <mergeCell ref="I152:J152"/>
    <mergeCell ref="F153:G153"/>
    <mergeCell ref="I153:J153"/>
    <mergeCell ref="F148:G148"/>
    <mergeCell ref="I148:J148"/>
    <mergeCell ref="F149:G149"/>
    <mergeCell ref="I149:J149"/>
    <mergeCell ref="F150:G150"/>
    <mergeCell ref="I150:J150"/>
    <mergeCell ref="F145:G145"/>
    <mergeCell ref="I145:J145"/>
    <mergeCell ref="F146:G146"/>
    <mergeCell ref="I146:J146"/>
    <mergeCell ref="F147:G147"/>
    <mergeCell ref="I147:J147"/>
    <mergeCell ref="F142:G142"/>
    <mergeCell ref="I142:J142"/>
    <mergeCell ref="F143:G143"/>
    <mergeCell ref="I143:J143"/>
    <mergeCell ref="F144:G144"/>
    <mergeCell ref="I144:J144"/>
    <mergeCell ref="F139:G139"/>
    <mergeCell ref="I139:J139"/>
    <mergeCell ref="F140:G140"/>
    <mergeCell ref="I140:J140"/>
    <mergeCell ref="F141:G141"/>
    <mergeCell ref="I141:J141"/>
    <mergeCell ref="F136:G136"/>
    <mergeCell ref="I136:J136"/>
    <mergeCell ref="F137:G137"/>
    <mergeCell ref="I137:J137"/>
    <mergeCell ref="F138:G138"/>
    <mergeCell ref="I138:J138"/>
    <mergeCell ref="F133:G133"/>
    <mergeCell ref="I133:J133"/>
    <mergeCell ref="F134:G134"/>
    <mergeCell ref="I134:J134"/>
    <mergeCell ref="F135:G135"/>
    <mergeCell ref="I135:J135"/>
    <mergeCell ref="F130:G130"/>
    <mergeCell ref="I130:J130"/>
    <mergeCell ref="F131:G131"/>
    <mergeCell ref="I131:J131"/>
    <mergeCell ref="F132:G132"/>
    <mergeCell ref="I132:J132"/>
    <mergeCell ref="F127:G127"/>
    <mergeCell ref="I127:J127"/>
    <mergeCell ref="F128:G128"/>
    <mergeCell ref="I128:J128"/>
    <mergeCell ref="F129:G129"/>
    <mergeCell ref="I129:J129"/>
    <mergeCell ref="F124:G124"/>
    <mergeCell ref="I124:J124"/>
    <mergeCell ref="F125:G125"/>
    <mergeCell ref="I125:J125"/>
    <mergeCell ref="F126:G126"/>
    <mergeCell ref="I126:J126"/>
    <mergeCell ref="F121:G121"/>
    <mergeCell ref="I121:J121"/>
    <mergeCell ref="F122:G122"/>
    <mergeCell ref="I122:J122"/>
    <mergeCell ref="F123:G123"/>
    <mergeCell ref="I123:J123"/>
    <mergeCell ref="F118:G118"/>
    <mergeCell ref="I118:J118"/>
    <mergeCell ref="F119:G119"/>
    <mergeCell ref="I119:J119"/>
    <mergeCell ref="F120:G120"/>
    <mergeCell ref="I120:J120"/>
    <mergeCell ref="F115:G115"/>
    <mergeCell ref="I115:J115"/>
    <mergeCell ref="F116:G116"/>
    <mergeCell ref="I116:J116"/>
    <mergeCell ref="F117:G117"/>
    <mergeCell ref="I117:J117"/>
    <mergeCell ref="F112:G112"/>
    <mergeCell ref="I112:J112"/>
    <mergeCell ref="F113:G113"/>
    <mergeCell ref="I113:J113"/>
    <mergeCell ref="F114:G114"/>
    <mergeCell ref="I114:J114"/>
    <mergeCell ref="F109:G109"/>
    <mergeCell ref="I109:J109"/>
    <mergeCell ref="F110:G110"/>
    <mergeCell ref="I110:J110"/>
    <mergeCell ref="F111:G111"/>
    <mergeCell ref="I111:J111"/>
    <mergeCell ref="F106:G106"/>
    <mergeCell ref="I106:J106"/>
    <mergeCell ref="F107:G107"/>
    <mergeCell ref="I107:J107"/>
    <mergeCell ref="F108:G108"/>
    <mergeCell ref="I108:J108"/>
    <mergeCell ref="F103:G103"/>
    <mergeCell ref="I103:J103"/>
    <mergeCell ref="F104:G104"/>
    <mergeCell ref="I104:J104"/>
    <mergeCell ref="F105:G105"/>
    <mergeCell ref="I105:J105"/>
    <mergeCell ref="F100:G100"/>
    <mergeCell ref="I100:J100"/>
    <mergeCell ref="F101:G101"/>
    <mergeCell ref="I101:J101"/>
    <mergeCell ref="F102:G102"/>
    <mergeCell ref="I102:J102"/>
    <mergeCell ref="F97:G97"/>
    <mergeCell ref="I97:J97"/>
    <mergeCell ref="F98:G98"/>
    <mergeCell ref="I98:J98"/>
    <mergeCell ref="F99:G99"/>
    <mergeCell ref="I99:J99"/>
    <mergeCell ref="F94:G94"/>
    <mergeCell ref="I94:J94"/>
    <mergeCell ref="F95:G95"/>
    <mergeCell ref="I95:J95"/>
    <mergeCell ref="F96:G96"/>
    <mergeCell ref="I96:J96"/>
    <mergeCell ref="F91:G91"/>
    <mergeCell ref="I91:J91"/>
    <mergeCell ref="F92:G92"/>
    <mergeCell ref="I92:J92"/>
    <mergeCell ref="F93:G93"/>
    <mergeCell ref="I93:J93"/>
    <mergeCell ref="F88:G88"/>
    <mergeCell ref="I88:J88"/>
    <mergeCell ref="F89:G89"/>
    <mergeCell ref="I89:J89"/>
    <mergeCell ref="F90:G90"/>
    <mergeCell ref="I90:J90"/>
    <mergeCell ref="F85:G85"/>
    <mergeCell ref="I85:J85"/>
    <mergeCell ref="F86:G86"/>
    <mergeCell ref="I86:J86"/>
    <mergeCell ref="F87:G87"/>
    <mergeCell ref="I87:J87"/>
    <mergeCell ref="F82:G82"/>
    <mergeCell ref="I82:J82"/>
    <mergeCell ref="F83:G83"/>
    <mergeCell ref="I83:J83"/>
    <mergeCell ref="F84:G84"/>
    <mergeCell ref="I84:J84"/>
    <mergeCell ref="F79:G79"/>
    <mergeCell ref="I79:J79"/>
    <mergeCell ref="F80:G80"/>
    <mergeCell ref="I80:J80"/>
    <mergeCell ref="F81:G81"/>
    <mergeCell ref="I81:J81"/>
    <mergeCell ref="F76:G76"/>
    <mergeCell ref="I76:J76"/>
    <mergeCell ref="F77:G77"/>
    <mergeCell ref="I77:J77"/>
    <mergeCell ref="F78:G78"/>
    <mergeCell ref="I78:J78"/>
    <mergeCell ref="F73:G73"/>
    <mergeCell ref="I73:J73"/>
    <mergeCell ref="F74:G74"/>
    <mergeCell ref="I74:J74"/>
    <mergeCell ref="F75:G75"/>
    <mergeCell ref="I75:J75"/>
    <mergeCell ref="F70:G70"/>
    <mergeCell ref="I70:J70"/>
    <mergeCell ref="F71:G71"/>
    <mergeCell ref="I71:J71"/>
    <mergeCell ref="F72:G72"/>
    <mergeCell ref="I72:J72"/>
    <mergeCell ref="F67:G67"/>
    <mergeCell ref="I67:J67"/>
    <mergeCell ref="F68:G68"/>
    <mergeCell ref="I68:J68"/>
    <mergeCell ref="F69:G69"/>
    <mergeCell ref="I69:J69"/>
    <mergeCell ref="F64:G64"/>
    <mergeCell ref="I64:J64"/>
    <mergeCell ref="F65:G65"/>
    <mergeCell ref="I65:J65"/>
    <mergeCell ref="F66:G66"/>
    <mergeCell ref="I66:J66"/>
    <mergeCell ref="F61:G61"/>
    <mergeCell ref="I61:J61"/>
    <mergeCell ref="F62:G62"/>
    <mergeCell ref="I62:J62"/>
    <mergeCell ref="F63:G63"/>
    <mergeCell ref="I63:J63"/>
    <mergeCell ref="F58:G58"/>
    <mergeCell ref="I58:J58"/>
    <mergeCell ref="F59:G59"/>
    <mergeCell ref="I59:J59"/>
    <mergeCell ref="F60:G60"/>
    <mergeCell ref="I60:J60"/>
    <mergeCell ref="F55:G55"/>
    <mergeCell ref="I55:J55"/>
    <mergeCell ref="F56:G56"/>
    <mergeCell ref="I56:J56"/>
    <mergeCell ref="F57:G57"/>
    <mergeCell ref="I57:J57"/>
    <mergeCell ref="F52:G52"/>
    <mergeCell ref="I52:J52"/>
    <mergeCell ref="F53:G53"/>
    <mergeCell ref="I53:J53"/>
    <mergeCell ref="F54:G54"/>
    <mergeCell ref="I54:J54"/>
    <mergeCell ref="F49:G49"/>
    <mergeCell ref="I49:J49"/>
    <mergeCell ref="F50:G50"/>
    <mergeCell ref="I50:J50"/>
    <mergeCell ref="F51:G51"/>
    <mergeCell ref="I51:J51"/>
    <mergeCell ref="F46:G46"/>
    <mergeCell ref="I46:J46"/>
    <mergeCell ref="F47:G47"/>
    <mergeCell ref="I47:J47"/>
    <mergeCell ref="F48:G48"/>
    <mergeCell ref="I48:J48"/>
    <mergeCell ref="F43:G43"/>
    <mergeCell ref="I43:J43"/>
    <mergeCell ref="F44:G44"/>
    <mergeCell ref="I44:J44"/>
    <mergeCell ref="F45:G45"/>
    <mergeCell ref="I45:J45"/>
    <mergeCell ref="F40:G40"/>
    <mergeCell ref="I40:J40"/>
    <mergeCell ref="F41:G41"/>
    <mergeCell ref="I41:J41"/>
    <mergeCell ref="F42:G42"/>
    <mergeCell ref="I42:J42"/>
    <mergeCell ref="F37:G37"/>
    <mergeCell ref="I37:J37"/>
    <mergeCell ref="F38:G38"/>
    <mergeCell ref="I38:J38"/>
    <mergeCell ref="F39:G39"/>
    <mergeCell ref="I39:J39"/>
    <mergeCell ref="F34:G34"/>
    <mergeCell ref="I34:J34"/>
    <mergeCell ref="F35:G35"/>
    <mergeCell ref="I35:J35"/>
    <mergeCell ref="F36:G36"/>
    <mergeCell ref="I36:J36"/>
    <mergeCell ref="F31:G31"/>
    <mergeCell ref="I31:J31"/>
    <mergeCell ref="F32:G32"/>
    <mergeCell ref="I32:J32"/>
    <mergeCell ref="F33:G33"/>
    <mergeCell ref="I33:J33"/>
    <mergeCell ref="F28:G28"/>
    <mergeCell ref="I28:J28"/>
    <mergeCell ref="F29:G29"/>
    <mergeCell ref="I29:J29"/>
    <mergeCell ref="F30:G30"/>
    <mergeCell ref="I30:J30"/>
    <mergeCell ref="F25:G25"/>
    <mergeCell ref="I25:J25"/>
    <mergeCell ref="F26:G26"/>
    <mergeCell ref="I26:J26"/>
    <mergeCell ref="F27:G27"/>
    <mergeCell ref="I27:J27"/>
    <mergeCell ref="F22:G22"/>
    <mergeCell ref="I22:J22"/>
    <mergeCell ref="F23:G23"/>
    <mergeCell ref="I23:J23"/>
    <mergeCell ref="F24:G24"/>
    <mergeCell ref="I24:J24"/>
    <mergeCell ref="F19:G19"/>
    <mergeCell ref="I19:J19"/>
    <mergeCell ref="F20:G20"/>
    <mergeCell ref="I20:J20"/>
    <mergeCell ref="F21:G21"/>
    <mergeCell ref="I21:J21"/>
    <mergeCell ref="F16:G16"/>
    <mergeCell ref="I16:J16"/>
    <mergeCell ref="F17:G17"/>
    <mergeCell ref="I17:J17"/>
    <mergeCell ref="F18:G18"/>
    <mergeCell ref="I18:J18"/>
    <mergeCell ref="F13:G13"/>
    <mergeCell ref="I13:J13"/>
    <mergeCell ref="F14:G14"/>
    <mergeCell ref="I14:J14"/>
    <mergeCell ref="F15:G15"/>
    <mergeCell ref="I15:J15"/>
    <mergeCell ref="F10:G10"/>
    <mergeCell ref="I10:J10"/>
    <mergeCell ref="F11:G11"/>
    <mergeCell ref="I11:J11"/>
    <mergeCell ref="F12:G12"/>
    <mergeCell ref="I12:J12"/>
    <mergeCell ref="F7:G7"/>
    <mergeCell ref="I7:J7"/>
    <mergeCell ref="F8:G8"/>
    <mergeCell ref="I8:J8"/>
    <mergeCell ref="F9:G9"/>
    <mergeCell ref="I9:J9"/>
    <mergeCell ref="F4:G4"/>
    <mergeCell ref="I4:J4"/>
    <mergeCell ref="F5:G5"/>
    <mergeCell ref="I5:J5"/>
    <mergeCell ref="F6:G6"/>
    <mergeCell ref="I6:J6"/>
    <mergeCell ref="K1:L2"/>
    <mergeCell ref="F2:G2"/>
    <mergeCell ref="I2:J2"/>
    <mergeCell ref="F3:G3"/>
    <mergeCell ref="I3:J3"/>
    <mergeCell ref="A1:A2"/>
    <mergeCell ref="B1:B2"/>
    <mergeCell ref="C1:C2"/>
    <mergeCell ref="D1:D2"/>
    <mergeCell ref="E1:G1"/>
    <mergeCell ref="H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7DA38-32C6-408C-A55F-8A1EA6129C33}">
  <sheetPr filterMode="1"/>
  <dimension ref="A1:L119"/>
  <sheetViews>
    <sheetView tabSelected="1" topLeftCell="A21" workbookViewId="0">
      <selection activeCell="L119" sqref="L119"/>
    </sheetView>
  </sheetViews>
  <sheetFormatPr defaultRowHeight="14.4" x14ac:dyDescent="0.3"/>
  <cols>
    <col min="2" max="4" width="22.33203125" customWidth="1"/>
    <col min="10" max="10" width="9.88671875" bestFit="1" customWidth="1"/>
  </cols>
  <sheetData>
    <row r="1" spans="1:12" x14ac:dyDescent="0.3">
      <c r="A1" s="85" t="s">
        <v>0</v>
      </c>
      <c r="B1" s="86" t="s">
        <v>1</v>
      </c>
      <c r="C1" s="86" t="s">
        <v>2</v>
      </c>
      <c r="D1" s="87" t="s">
        <v>3</v>
      </c>
      <c r="E1" s="88" t="s">
        <v>4</v>
      </c>
      <c r="F1" s="88"/>
      <c r="G1" s="88"/>
      <c r="H1" s="89" t="s">
        <v>5</v>
      </c>
      <c r="I1" s="89"/>
      <c r="J1" s="89"/>
      <c r="K1" s="86" t="s">
        <v>6</v>
      </c>
      <c r="L1" s="86"/>
    </row>
    <row r="2" spans="1:12" x14ac:dyDescent="0.3">
      <c r="A2" s="90"/>
      <c r="B2" s="91"/>
      <c r="C2" s="91"/>
      <c r="D2" s="92"/>
      <c r="E2" s="93" t="s">
        <v>7</v>
      </c>
      <c r="F2" s="94"/>
      <c r="G2" s="94"/>
      <c r="H2" s="95" t="s">
        <v>7</v>
      </c>
      <c r="I2" s="96"/>
      <c r="J2" s="96"/>
      <c r="K2" s="90"/>
      <c r="L2" s="97"/>
    </row>
    <row r="3" spans="1:12" ht="51" hidden="1" x14ac:dyDescent="0.3">
      <c r="A3" s="98" t="s">
        <v>9</v>
      </c>
      <c r="B3" s="99" t="s">
        <v>316</v>
      </c>
      <c r="C3" s="99" t="s">
        <v>317</v>
      </c>
      <c r="D3" s="99" t="s">
        <v>318</v>
      </c>
      <c r="E3" s="100" t="s">
        <v>319</v>
      </c>
      <c r="F3" s="101">
        <v>187239.29</v>
      </c>
      <c r="G3" s="101"/>
      <c r="H3" s="100" t="s">
        <v>13</v>
      </c>
      <c r="I3" s="102" t="s">
        <v>30</v>
      </c>
      <c r="J3" s="102"/>
      <c r="K3" s="103" t="s">
        <v>8</v>
      </c>
      <c r="L3" s="104">
        <v>187239.29</v>
      </c>
    </row>
    <row r="4" spans="1:12" ht="71.400000000000006" hidden="1" x14ac:dyDescent="0.3">
      <c r="A4" s="98" t="s">
        <v>9</v>
      </c>
      <c r="B4" s="99" t="s">
        <v>316</v>
      </c>
      <c r="C4" s="99" t="s">
        <v>320</v>
      </c>
      <c r="D4" s="99" t="s">
        <v>321</v>
      </c>
      <c r="E4" s="100" t="s">
        <v>319</v>
      </c>
      <c r="F4" s="101">
        <v>22817.34</v>
      </c>
      <c r="G4" s="101"/>
      <c r="H4" s="100" t="s">
        <v>13</v>
      </c>
      <c r="I4" s="102" t="s">
        <v>30</v>
      </c>
      <c r="J4" s="102"/>
      <c r="K4" s="103" t="s">
        <v>8</v>
      </c>
      <c r="L4" s="104">
        <v>210056.63</v>
      </c>
    </row>
    <row r="5" spans="1:12" ht="61.2" hidden="1" x14ac:dyDescent="0.3">
      <c r="A5" s="98" t="s">
        <v>9</v>
      </c>
      <c r="B5" s="99" t="s">
        <v>316</v>
      </c>
      <c r="C5" s="99" t="s">
        <v>322</v>
      </c>
      <c r="D5" s="99" t="s">
        <v>323</v>
      </c>
      <c r="E5" s="100" t="s">
        <v>319</v>
      </c>
      <c r="F5" s="101">
        <v>3315</v>
      </c>
      <c r="G5" s="101"/>
      <c r="H5" s="100" t="s">
        <v>13</v>
      </c>
      <c r="I5" s="102" t="s">
        <v>30</v>
      </c>
      <c r="J5" s="102"/>
      <c r="K5" s="103" t="s">
        <v>8</v>
      </c>
      <c r="L5" s="104">
        <v>213371.63</v>
      </c>
    </row>
    <row r="6" spans="1:12" ht="61.2" hidden="1" x14ac:dyDescent="0.3">
      <c r="A6" s="98" t="s">
        <v>9</v>
      </c>
      <c r="B6" s="99" t="s">
        <v>316</v>
      </c>
      <c r="C6" s="99" t="s">
        <v>322</v>
      </c>
      <c r="D6" s="99" t="s">
        <v>324</v>
      </c>
      <c r="E6" s="100" t="s">
        <v>319</v>
      </c>
      <c r="F6" s="101">
        <v>15606.51</v>
      </c>
      <c r="G6" s="101"/>
      <c r="H6" s="100" t="s">
        <v>13</v>
      </c>
      <c r="I6" s="102" t="s">
        <v>30</v>
      </c>
      <c r="J6" s="102"/>
      <c r="K6" s="103" t="s">
        <v>8</v>
      </c>
      <c r="L6" s="104">
        <v>228978.14</v>
      </c>
    </row>
    <row r="7" spans="1:12" ht="71.400000000000006" hidden="1" x14ac:dyDescent="0.3">
      <c r="A7" s="98" t="s">
        <v>9</v>
      </c>
      <c r="B7" s="99" t="s">
        <v>316</v>
      </c>
      <c r="C7" s="99" t="s">
        <v>325</v>
      </c>
      <c r="D7" s="99" t="s">
        <v>326</v>
      </c>
      <c r="E7" s="100" t="s">
        <v>319</v>
      </c>
      <c r="F7" s="105">
        <v>266</v>
      </c>
      <c r="G7" s="105"/>
      <c r="H7" s="100" t="s">
        <v>13</v>
      </c>
      <c r="I7" s="102" t="s">
        <v>30</v>
      </c>
      <c r="J7" s="102"/>
      <c r="K7" s="103" t="s">
        <v>8</v>
      </c>
      <c r="L7" s="104">
        <v>229244.14</v>
      </c>
    </row>
    <row r="8" spans="1:12" ht="61.2" hidden="1" x14ac:dyDescent="0.3">
      <c r="A8" s="98" t="s">
        <v>9</v>
      </c>
      <c r="B8" s="99" t="s">
        <v>327</v>
      </c>
      <c r="C8" s="99" t="s">
        <v>328</v>
      </c>
      <c r="D8" s="99" t="s">
        <v>329</v>
      </c>
      <c r="E8" s="100" t="s">
        <v>319</v>
      </c>
      <c r="F8" s="101">
        <v>11637.56</v>
      </c>
      <c r="G8" s="101"/>
      <c r="H8" s="100" t="s">
        <v>13</v>
      </c>
      <c r="I8" s="102" t="s">
        <v>30</v>
      </c>
      <c r="J8" s="102"/>
      <c r="K8" s="103" t="s">
        <v>8</v>
      </c>
      <c r="L8" s="104">
        <v>240881.7</v>
      </c>
    </row>
    <row r="9" spans="1:12" ht="61.2" hidden="1" x14ac:dyDescent="0.3">
      <c r="A9" s="98" t="s">
        <v>9</v>
      </c>
      <c r="B9" s="99" t="s">
        <v>327</v>
      </c>
      <c r="C9" s="99" t="s">
        <v>328</v>
      </c>
      <c r="D9" s="99" t="s">
        <v>330</v>
      </c>
      <c r="E9" s="100" t="s">
        <v>319</v>
      </c>
      <c r="F9" s="101">
        <v>5670</v>
      </c>
      <c r="G9" s="101"/>
      <c r="H9" s="100" t="s">
        <v>13</v>
      </c>
      <c r="I9" s="102" t="s">
        <v>30</v>
      </c>
      <c r="J9" s="102"/>
      <c r="K9" s="103" t="s">
        <v>8</v>
      </c>
      <c r="L9" s="104">
        <v>246551.7</v>
      </c>
    </row>
    <row r="10" spans="1:12" ht="61.2" hidden="1" x14ac:dyDescent="0.3">
      <c r="A10" s="98" t="s">
        <v>9</v>
      </c>
      <c r="B10" s="99" t="s">
        <v>327</v>
      </c>
      <c r="C10" s="99" t="s">
        <v>328</v>
      </c>
      <c r="D10" s="99" t="s">
        <v>331</v>
      </c>
      <c r="E10" s="100" t="s">
        <v>319</v>
      </c>
      <c r="F10" s="101">
        <v>55935.6</v>
      </c>
      <c r="G10" s="101"/>
      <c r="H10" s="100" t="s">
        <v>13</v>
      </c>
      <c r="I10" s="102" t="s">
        <v>30</v>
      </c>
      <c r="J10" s="102"/>
      <c r="K10" s="103" t="s">
        <v>8</v>
      </c>
      <c r="L10" s="104">
        <v>302487.3</v>
      </c>
    </row>
    <row r="11" spans="1:12" ht="61.2" hidden="1" x14ac:dyDescent="0.3">
      <c r="A11" s="98" t="s">
        <v>9</v>
      </c>
      <c r="B11" s="99" t="s">
        <v>327</v>
      </c>
      <c r="C11" s="99" t="s">
        <v>328</v>
      </c>
      <c r="D11" s="99" t="s">
        <v>332</v>
      </c>
      <c r="E11" s="100" t="s">
        <v>319</v>
      </c>
      <c r="F11" s="101">
        <v>11676.4</v>
      </c>
      <c r="G11" s="101"/>
      <c r="H11" s="100" t="s">
        <v>13</v>
      </c>
      <c r="I11" s="102" t="s">
        <v>30</v>
      </c>
      <c r="J11" s="102"/>
      <c r="K11" s="103" t="s">
        <v>8</v>
      </c>
      <c r="L11" s="104">
        <v>314163.7</v>
      </c>
    </row>
    <row r="12" spans="1:12" ht="61.2" hidden="1" x14ac:dyDescent="0.3">
      <c r="A12" s="98" t="s">
        <v>9</v>
      </c>
      <c r="B12" s="99" t="s">
        <v>327</v>
      </c>
      <c r="C12" s="99" t="s">
        <v>328</v>
      </c>
      <c r="D12" s="99" t="s">
        <v>332</v>
      </c>
      <c r="E12" s="100" t="s">
        <v>319</v>
      </c>
      <c r="F12" s="101">
        <v>16892.080000000002</v>
      </c>
      <c r="G12" s="101"/>
      <c r="H12" s="100" t="s">
        <v>13</v>
      </c>
      <c r="I12" s="102" t="s">
        <v>30</v>
      </c>
      <c r="J12" s="102"/>
      <c r="K12" s="103" t="s">
        <v>8</v>
      </c>
      <c r="L12" s="104">
        <v>331055.78000000003</v>
      </c>
    </row>
    <row r="13" spans="1:12" ht="71.400000000000006" hidden="1" x14ac:dyDescent="0.3">
      <c r="A13" s="98" t="s">
        <v>9</v>
      </c>
      <c r="B13" s="99" t="s">
        <v>327</v>
      </c>
      <c r="C13" s="99" t="s">
        <v>333</v>
      </c>
      <c r="D13" s="99" t="s">
        <v>334</v>
      </c>
      <c r="E13" s="100" t="s">
        <v>319</v>
      </c>
      <c r="F13" s="101">
        <v>1010.8</v>
      </c>
      <c r="G13" s="101"/>
      <c r="H13" s="100" t="s">
        <v>13</v>
      </c>
      <c r="I13" s="102" t="s">
        <v>30</v>
      </c>
      <c r="J13" s="102"/>
      <c r="K13" s="103" t="s">
        <v>8</v>
      </c>
      <c r="L13" s="104">
        <v>332066.58</v>
      </c>
    </row>
    <row r="14" spans="1:12" ht="71.400000000000006" hidden="1" x14ac:dyDescent="0.3">
      <c r="A14" s="98" t="s">
        <v>9</v>
      </c>
      <c r="B14" s="99" t="s">
        <v>327</v>
      </c>
      <c r="C14" s="99" t="s">
        <v>335</v>
      </c>
      <c r="D14" s="99" t="s">
        <v>336</v>
      </c>
      <c r="E14" s="100" t="s">
        <v>319</v>
      </c>
      <c r="F14" s="101">
        <v>6842.02</v>
      </c>
      <c r="G14" s="101"/>
      <c r="H14" s="100" t="s">
        <v>13</v>
      </c>
      <c r="I14" s="102" t="s">
        <v>30</v>
      </c>
      <c r="J14" s="102"/>
      <c r="K14" s="103" t="s">
        <v>8</v>
      </c>
      <c r="L14" s="104">
        <v>338908.6</v>
      </c>
    </row>
    <row r="15" spans="1:12" ht="71.400000000000006" hidden="1" x14ac:dyDescent="0.3">
      <c r="A15" s="98" t="s">
        <v>9</v>
      </c>
      <c r="B15" s="99" t="s">
        <v>327</v>
      </c>
      <c r="C15" s="99" t="s">
        <v>335</v>
      </c>
      <c r="D15" s="99" t="s">
        <v>337</v>
      </c>
      <c r="E15" s="100" t="s">
        <v>319</v>
      </c>
      <c r="F15" s="101">
        <v>28336.93</v>
      </c>
      <c r="G15" s="101"/>
      <c r="H15" s="100" t="s">
        <v>13</v>
      </c>
      <c r="I15" s="102" t="s">
        <v>30</v>
      </c>
      <c r="J15" s="102"/>
      <c r="K15" s="103" t="s">
        <v>8</v>
      </c>
      <c r="L15" s="104">
        <v>367245.53</v>
      </c>
    </row>
    <row r="16" spans="1:12" ht="71.400000000000006" hidden="1" x14ac:dyDescent="0.3">
      <c r="A16" s="98" t="s">
        <v>9</v>
      </c>
      <c r="B16" s="99" t="s">
        <v>327</v>
      </c>
      <c r="C16" s="99" t="s">
        <v>338</v>
      </c>
      <c r="D16" s="99" t="s">
        <v>326</v>
      </c>
      <c r="E16" s="100" t="s">
        <v>319</v>
      </c>
      <c r="F16" s="101">
        <v>4655</v>
      </c>
      <c r="G16" s="101"/>
      <c r="H16" s="100" t="s">
        <v>13</v>
      </c>
      <c r="I16" s="102" t="s">
        <v>30</v>
      </c>
      <c r="J16" s="102"/>
      <c r="K16" s="103" t="s">
        <v>8</v>
      </c>
      <c r="L16" s="104">
        <v>371900.53</v>
      </c>
    </row>
    <row r="17" spans="1:12" ht="51" x14ac:dyDescent="0.3">
      <c r="A17" s="98" t="s">
        <v>18</v>
      </c>
      <c r="B17" s="99" t="s">
        <v>1727</v>
      </c>
      <c r="C17" s="99" t="s">
        <v>1728</v>
      </c>
      <c r="D17" s="99" t="s">
        <v>328</v>
      </c>
      <c r="E17" s="100" t="s">
        <v>165</v>
      </c>
      <c r="F17" s="106" t="s">
        <v>30</v>
      </c>
      <c r="G17" s="106"/>
      <c r="H17" s="100" t="s">
        <v>319</v>
      </c>
      <c r="I17" s="107">
        <v>84865.54</v>
      </c>
      <c r="J17" s="107"/>
      <c r="K17" s="103" t="s">
        <v>8</v>
      </c>
      <c r="L17" s="104">
        <v>287034.99</v>
      </c>
    </row>
    <row r="18" spans="1:12" ht="51" x14ac:dyDescent="0.3">
      <c r="A18" s="98" t="s">
        <v>18</v>
      </c>
      <c r="B18" s="99" t="s">
        <v>1727</v>
      </c>
      <c r="C18" s="99" t="s">
        <v>1728</v>
      </c>
      <c r="D18" s="99" t="s">
        <v>328</v>
      </c>
      <c r="E18" s="100" t="s">
        <v>165</v>
      </c>
      <c r="F18" s="106" t="s">
        <v>30</v>
      </c>
      <c r="G18" s="106"/>
      <c r="H18" s="100" t="s">
        <v>319</v>
      </c>
      <c r="I18" s="107">
        <v>16946.099999999999</v>
      </c>
      <c r="J18" s="107"/>
      <c r="K18" s="103" t="s">
        <v>8</v>
      </c>
      <c r="L18" s="104">
        <v>270088.89</v>
      </c>
    </row>
    <row r="19" spans="1:12" ht="61.2" x14ac:dyDescent="0.3">
      <c r="A19" s="98" t="s">
        <v>18</v>
      </c>
      <c r="B19" s="99" t="s">
        <v>1727</v>
      </c>
      <c r="C19" s="99" t="s">
        <v>1728</v>
      </c>
      <c r="D19" s="99" t="s">
        <v>333</v>
      </c>
      <c r="E19" s="100" t="s">
        <v>165</v>
      </c>
      <c r="F19" s="106" t="s">
        <v>30</v>
      </c>
      <c r="G19" s="106"/>
      <c r="H19" s="100" t="s">
        <v>319</v>
      </c>
      <c r="I19" s="107">
        <v>1010.8</v>
      </c>
      <c r="J19" s="107"/>
      <c r="K19" s="103" t="s">
        <v>8</v>
      </c>
      <c r="L19" s="104">
        <v>269078.09000000003</v>
      </c>
    </row>
    <row r="20" spans="1:12" ht="61.2" x14ac:dyDescent="0.3">
      <c r="A20" s="98" t="s">
        <v>18</v>
      </c>
      <c r="B20" s="99" t="s">
        <v>1727</v>
      </c>
      <c r="C20" s="99" t="s">
        <v>1728</v>
      </c>
      <c r="D20" s="99" t="s">
        <v>335</v>
      </c>
      <c r="E20" s="100" t="s">
        <v>165</v>
      </c>
      <c r="F20" s="106" t="s">
        <v>30</v>
      </c>
      <c r="G20" s="106"/>
      <c r="H20" s="100" t="s">
        <v>319</v>
      </c>
      <c r="I20" s="107">
        <v>35178.949999999997</v>
      </c>
      <c r="J20" s="107"/>
      <c r="K20" s="103" t="s">
        <v>8</v>
      </c>
      <c r="L20" s="104">
        <v>233899.14</v>
      </c>
    </row>
    <row r="21" spans="1:12" ht="61.2" x14ac:dyDescent="0.3">
      <c r="A21" s="98" t="s">
        <v>18</v>
      </c>
      <c r="B21" s="99" t="s">
        <v>1727</v>
      </c>
      <c r="C21" s="99" t="s">
        <v>1728</v>
      </c>
      <c r="D21" s="99" t="s">
        <v>338</v>
      </c>
      <c r="E21" s="100" t="s">
        <v>165</v>
      </c>
      <c r="F21" s="106" t="s">
        <v>30</v>
      </c>
      <c r="G21" s="106"/>
      <c r="H21" s="100" t="s">
        <v>319</v>
      </c>
      <c r="I21" s="107">
        <v>4655</v>
      </c>
      <c r="J21" s="107"/>
      <c r="K21" s="103" t="s">
        <v>8</v>
      </c>
      <c r="L21" s="104">
        <v>229244.14</v>
      </c>
    </row>
    <row r="22" spans="1:12" ht="51" x14ac:dyDescent="0.3">
      <c r="A22" s="98" t="s">
        <v>18</v>
      </c>
      <c r="B22" s="99" t="s">
        <v>1729</v>
      </c>
      <c r="C22" s="99" t="s">
        <v>1728</v>
      </c>
      <c r="D22" s="99" t="s">
        <v>317</v>
      </c>
      <c r="E22" s="100" t="s">
        <v>165</v>
      </c>
      <c r="F22" s="106" t="s">
        <v>30</v>
      </c>
      <c r="G22" s="106"/>
      <c r="H22" s="100" t="s">
        <v>319</v>
      </c>
      <c r="I22" s="107">
        <v>187239.29</v>
      </c>
      <c r="J22" s="107"/>
      <c r="K22" s="103" t="s">
        <v>8</v>
      </c>
      <c r="L22" s="104">
        <v>42004.85</v>
      </c>
    </row>
    <row r="23" spans="1:12" ht="61.2" x14ac:dyDescent="0.3">
      <c r="A23" s="98" t="s">
        <v>18</v>
      </c>
      <c r="B23" s="99" t="s">
        <v>1729</v>
      </c>
      <c r="C23" s="99" t="s">
        <v>1728</v>
      </c>
      <c r="D23" s="99" t="s">
        <v>320</v>
      </c>
      <c r="E23" s="100" t="s">
        <v>165</v>
      </c>
      <c r="F23" s="106" t="s">
        <v>30</v>
      </c>
      <c r="G23" s="106"/>
      <c r="H23" s="100" t="s">
        <v>319</v>
      </c>
      <c r="I23" s="107">
        <v>22817.34</v>
      </c>
      <c r="J23" s="107"/>
      <c r="K23" s="103" t="s">
        <v>8</v>
      </c>
      <c r="L23" s="104">
        <v>19187.509999999998</v>
      </c>
    </row>
    <row r="24" spans="1:12" ht="51" x14ac:dyDescent="0.3">
      <c r="A24" s="98" t="s">
        <v>18</v>
      </c>
      <c r="B24" s="99" t="s">
        <v>1729</v>
      </c>
      <c r="C24" s="99" t="s">
        <v>1728</v>
      </c>
      <c r="D24" s="99" t="s">
        <v>322</v>
      </c>
      <c r="E24" s="100" t="s">
        <v>165</v>
      </c>
      <c r="F24" s="106" t="s">
        <v>30</v>
      </c>
      <c r="G24" s="106"/>
      <c r="H24" s="100" t="s">
        <v>319</v>
      </c>
      <c r="I24" s="107">
        <v>18921.509999999998</v>
      </c>
      <c r="J24" s="107"/>
      <c r="K24" s="103" t="s">
        <v>8</v>
      </c>
      <c r="L24" s="108">
        <v>266</v>
      </c>
    </row>
    <row r="25" spans="1:12" ht="61.2" x14ac:dyDescent="0.3">
      <c r="A25" s="98" t="s">
        <v>18</v>
      </c>
      <c r="B25" s="99" t="s">
        <v>1729</v>
      </c>
      <c r="C25" s="99" t="s">
        <v>1728</v>
      </c>
      <c r="D25" s="99" t="s">
        <v>325</v>
      </c>
      <c r="E25" s="100" t="s">
        <v>165</v>
      </c>
      <c r="F25" s="106" t="s">
        <v>30</v>
      </c>
      <c r="G25" s="106"/>
      <c r="H25" s="100" t="s">
        <v>319</v>
      </c>
      <c r="I25" s="109">
        <v>266</v>
      </c>
      <c r="J25" s="109"/>
      <c r="K25" s="103"/>
      <c r="L25" s="110"/>
    </row>
    <row r="26" spans="1:12" ht="61.2" hidden="1" x14ac:dyDescent="0.3">
      <c r="A26" s="98" t="s">
        <v>301</v>
      </c>
      <c r="B26" s="99" t="s">
        <v>741</v>
      </c>
      <c r="C26" s="99" t="s">
        <v>742</v>
      </c>
      <c r="D26" s="99" t="s">
        <v>743</v>
      </c>
      <c r="E26" s="100" t="s">
        <v>319</v>
      </c>
      <c r="F26" s="101">
        <v>1700.86</v>
      </c>
      <c r="G26" s="101"/>
      <c r="H26" s="100" t="s">
        <v>13</v>
      </c>
      <c r="I26" s="102" t="s">
        <v>30</v>
      </c>
      <c r="J26" s="102"/>
      <c r="K26" s="103" t="s">
        <v>8</v>
      </c>
      <c r="L26" s="104">
        <v>1700.86</v>
      </c>
    </row>
    <row r="27" spans="1:12" ht="61.2" hidden="1" x14ac:dyDescent="0.3">
      <c r="A27" s="98" t="s">
        <v>301</v>
      </c>
      <c r="B27" s="99" t="s">
        <v>741</v>
      </c>
      <c r="C27" s="99" t="s">
        <v>744</v>
      </c>
      <c r="D27" s="99" t="s">
        <v>332</v>
      </c>
      <c r="E27" s="100" t="s">
        <v>319</v>
      </c>
      <c r="F27" s="101">
        <v>24564.19</v>
      </c>
      <c r="G27" s="101"/>
      <c r="H27" s="100" t="s">
        <v>13</v>
      </c>
      <c r="I27" s="102" t="s">
        <v>30</v>
      </c>
      <c r="J27" s="102"/>
      <c r="K27" s="103" t="s">
        <v>8</v>
      </c>
      <c r="L27" s="104">
        <v>26265.05</v>
      </c>
    </row>
    <row r="28" spans="1:12" ht="61.2" hidden="1" x14ac:dyDescent="0.3">
      <c r="A28" s="98" t="s">
        <v>301</v>
      </c>
      <c r="B28" s="99" t="s">
        <v>741</v>
      </c>
      <c r="C28" s="99" t="s">
        <v>744</v>
      </c>
      <c r="D28" s="99" t="s">
        <v>745</v>
      </c>
      <c r="E28" s="100" t="s">
        <v>319</v>
      </c>
      <c r="F28" s="101">
        <v>4618.78</v>
      </c>
      <c r="G28" s="101"/>
      <c r="H28" s="100" t="s">
        <v>13</v>
      </c>
      <c r="I28" s="102" t="s">
        <v>30</v>
      </c>
      <c r="J28" s="102"/>
      <c r="K28" s="103" t="s">
        <v>8</v>
      </c>
      <c r="L28" s="104">
        <v>30883.83</v>
      </c>
    </row>
    <row r="29" spans="1:12" ht="61.2" hidden="1" x14ac:dyDescent="0.3">
      <c r="A29" s="98" t="s">
        <v>301</v>
      </c>
      <c r="B29" s="99" t="s">
        <v>741</v>
      </c>
      <c r="C29" s="99" t="s">
        <v>744</v>
      </c>
      <c r="D29" s="99" t="s">
        <v>746</v>
      </c>
      <c r="E29" s="100" t="s">
        <v>319</v>
      </c>
      <c r="F29" s="101">
        <v>10895.61</v>
      </c>
      <c r="G29" s="101"/>
      <c r="H29" s="100" t="s">
        <v>13</v>
      </c>
      <c r="I29" s="102" t="s">
        <v>30</v>
      </c>
      <c r="J29" s="102"/>
      <c r="K29" s="103" t="s">
        <v>8</v>
      </c>
      <c r="L29" s="104">
        <v>41779.440000000002</v>
      </c>
    </row>
    <row r="30" spans="1:12" ht="61.2" hidden="1" x14ac:dyDescent="0.3">
      <c r="A30" s="98" t="s">
        <v>301</v>
      </c>
      <c r="B30" s="99" t="s">
        <v>741</v>
      </c>
      <c r="C30" s="99" t="s">
        <v>747</v>
      </c>
      <c r="D30" s="99" t="s">
        <v>748</v>
      </c>
      <c r="E30" s="100" t="s">
        <v>319</v>
      </c>
      <c r="F30" s="101">
        <v>10768.92</v>
      </c>
      <c r="G30" s="101"/>
      <c r="H30" s="100" t="s">
        <v>13</v>
      </c>
      <c r="I30" s="102" t="s">
        <v>30</v>
      </c>
      <c r="J30" s="102"/>
      <c r="K30" s="103" t="s">
        <v>8</v>
      </c>
      <c r="L30" s="104">
        <v>52548.36</v>
      </c>
    </row>
    <row r="31" spans="1:12" ht="61.2" hidden="1" x14ac:dyDescent="0.3">
      <c r="A31" s="98" t="s">
        <v>301</v>
      </c>
      <c r="B31" s="99" t="s">
        <v>741</v>
      </c>
      <c r="C31" s="99" t="s">
        <v>749</v>
      </c>
      <c r="D31" s="99" t="s">
        <v>750</v>
      </c>
      <c r="E31" s="100" t="s">
        <v>319</v>
      </c>
      <c r="F31" s="101">
        <v>4443.33</v>
      </c>
      <c r="G31" s="101"/>
      <c r="H31" s="100" t="s">
        <v>13</v>
      </c>
      <c r="I31" s="102" t="s">
        <v>30</v>
      </c>
      <c r="J31" s="102"/>
      <c r="K31" s="103" t="s">
        <v>8</v>
      </c>
      <c r="L31" s="104">
        <v>56991.69</v>
      </c>
    </row>
    <row r="32" spans="1:12" ht="61.2" hidden="1" x14ac:dyDescent="0.3">
      <c r="A32" s="98" t="s">
        <v>301</v>
      </c>
      <c r="B32" s="99" t="s">
        <v>741</v>
      </c>
      <c r="C32" s="99" t="s">
        <v>749</v>
      </c>
      <c r="D32" s="99" t="s">
        <v>739</v>
      </c>
      <c r="E32" s="100" t="s">
        <v>319</v>
      </c>
      <c r="F32" s="101">
        <v>1901.25</v>
      </c>
      <c r="G32" s="101"/>
      <c r="H32" s="100" t="s">
        <v>13</v>
      </c>
      <c r="I32" s="102" t="s">
        <v>30</v>
      </c>
      <c r="J32" s="102"/>
      <c r="K32" s="103" t="s">
        <v>8</v>
      </c>
      <c r="L32" s="104">
        <v>58892.94</v>
      </c>
    </row>
    <row r="33" spans="1:12" ht="61.2" hidden="1" x14ac:dyDescent="0.3">
      <c r="A33" s="98" t="s">
        <v>301</v>
      </c>
      <c r="B33" s="99" t="s">
        <v>741</v>
      </c>
      <c r="C33" s="99" t="s">
        <v>751</v>
      </c>
      <c r="D33" s="99" t="s">
        <v>324</v>
      </c>
      <c r="E33" s="100" t="s">
        <v>319</v>
      </c>
      <c r="F33" s="101">
        <v>5878.31</v>
      </c>
      <c r="G33" s="101"/>
      <c r="H33" s="100" t="s">
        <v>13</v>
      </c>
      <c r="I33" s="102" t="s">
        <v>30</v>
      </c>
      <c r="J33" s="102"/>
      <c r="K33" s="103" t="s">
        <v>8</v>
      </c>
      <c r="L33" s="104">
        <v>64771.25</v>
      </c>
    </row>
    <row r="34" spans="1:12" ht="61.2" hidden="1" x14ac:dyDescent="0.3">
      <c r="A34" s="98" t="s">
        <v>301</v>
      </c>
      <c r="B34" s="99" t="s">
        <v>741</v>
      </c>
      <c r="C34" s="99" t="s">
        <v>752</v>
      </c>
      <c r="D34" s="99" t="s">
        <v>740</v>
      </c>
      <c r="E34" s="100" t="s">
        <v>319</v>
      </c>
      <c r="F34" s="101">
        <v>7147.88</v>
      </c>
      <c r="G34" s="101"/>
      <c r="H34" s="100" t="s">
        <v>13</v>
      </c>
      <c r="I34" s="102" t="s">
        <v>30</v>
      </c>
      <c r="J34" s="102"/>
      <c r="K34" s="103" t="s">
        <v>8</v>
      </c>
      <c r="L34" s="104">
        <v>71919.13</v>
      </c>
    </row>
    <row r="35" spans="1:12" ht="61.2" hidden="1" x14ac:dyDescent="0.3">
      <c r="A35" s="98" t="s">
        <v>301</v>
      </c>
      <c r="B35" s="99" t="s">
        <v>741</v>
      </c>
      <c r="C35" s="99" t="s">
        <v>753</v>
      </c>
      <c r="D35" s="99" t="s">
        <v>754</v>
      </c>
      <c r="E35" s="100" t="s">
        <v>319</v>
      </c>
      <c r="F35" s="101">
        <v>10787.62</v>
      </c>
      <c r="G35" s="101"/>
      <c r="H35" s="100" t="s">
        <v>13</v>
      </c>
      <c r="I35" s="102" t="s">
        <v>30</v>
      </c>
      <c r="J35" s="102"/>
      <c r="K35" s="103" t="s">
        <v>8</v>
      </c>
      <c r="L35" s="104">
        <v>82706.75</v>
      </c>
    </row>
    <row r="36" spans="1:12" ht="71.400000000000006" hidden="1" x14ac:dyDescent="0.3">
      <c r="A36" s="98" t="s">
        <v>879</v>
      </c>
      <c r="B36" s="99" t="s">
        <v>901</v>
      </c>
      <c r="C36" s="99" t="s">
        <v>902</v>
      </c>
      <c r="D36" s="99" t="s">
        <v>326</v>
      </c>
      <c r="E36" s="100" t="s">
        <v>319</v>
      </c>
      <c r="F36" s="101">
        <v>15694</v>
      </c>
      <c r="G36" s="101"/>
      <c r="H36" s="100" t="s">
        <v>13</v>
      </c>
      <c r="I36" s="102" t="s">
        <v>30</v>
      </c>
      <c r="J36" s="102"/>
      <c r="K36" s="103" t="s">
        <v>8</v>
      </c>
      <c r="L36" s="104">
        <v>98400.75</v>
      </c>
    </row>
    <row r="37" spans="1:12" ht="71.400000000000006" hidden="1" x14ac:dyDescent="0.3">
      <c r="A37" s="98" t="s">
        <v>879</v>
      </c>
      <c r="B37" s="99" t="s">
        <v>901</v>
      </c>
      <c r="C37" s="99" t="s">
        <v>903</v>
      </c>
      <c r="D37" s="99" t="s">
        <v>803</v>
      </c>
      <c r="E37" s="100" t="s">
        <v>319</v>
      </c>
      <c r="F37" s="101">
        <v>5466.93</v>
      </c>
      <c r="G37" s="101"/>
      <c r="H37" s="100" t="s">
        <v>13</v>
      </c>
      <c r="I37" s="102" t="s">
        <v>30</v>
      </c>
      <c r="J37" s="102"/>
      <c r="K37" s="103" t="s">
        <v>8</v>
      </c>
      <c r="L37" s="104">
        <v>103867.68</v>
      </c>
    </row>
    <row r="38" spans="1:12" ht="61.2" hidden="1" x14ac:dyDescent="0.3">
      <c r="A38" s="98" t="s">
        <v>879</v>
      </c>
      <c r="B38" s="99" t="s">
        <v>901</v>
      </c>
      <c r="C38" s="99" t="s">
        <v>904</v>
      </c>
      <c r="D38" s="99" t="s">
        <v>905</v>
      </c>
      <c r="E38" s="100" t="s">
        <v>319</v>
      </c>
      <c r="F38" s="105">
        <v>56.17</v>
      </c>
      <c r="G38" s="105"/>
      <c r="H38" s="100" t="s">
        <v>13</v>
      </c>
      <c r="I38" s="102" t="s">
        <v>30</v>
      </c>
      <c r="J38" s="102"/>
      <c r="K38" s="103" t="s">
        <v>8</v>
      </c>
      <c r="L38" s="104">
        <v>103923.85</v>
      </c>
    </row>
    <row r="39" spans="1:12" ht="71.400000000000006" hidden="1" x14ac:dyDescent="0.3">
      <c r="A39" s="98" t="s">
        <v>879</v>
      </c>
      <c r="B39" s="99" t="s">
        <v>901</v>
      </c>
      <c r="C39" s="99" t="s">
        <v>906</v>
      </c>
      <c r="D39" s="99" t="s">
        <v>907</v>
      </c>
      <c r="E39" s="100" t="s">
        <v>319</v>
      </c>
      <c r="F39" s="101">
        <v>3063.75</v>
      </c>
      <c r="G39" s="101"/>
      <c r="H39" s="100" t="s">
        <v>13</v>
      </c>
      <c r="I39" s="102" t="s">
        <v>30</v>
      </c>
      <c r="J39" s="102"/>
      <c r="K39" s="103" t="s">
        <v>8</v>
      </c>
      <c r="L39" s="104">
        <v>106987.6</v>
      </c>
    </row>
    <row r="40" spans="1:12" ht="71.400000000000006" hidden="1" x14ac:dyDescent="0.3">
      <c r="A40" s="98" t="s">
        <v>879</v>
      </c>
      <c r="B40" s="99" t="s">
        <v>901</v>
      </c>
      <c r="C40" s="99" t="s">
        <v>906</v>
      </c>
      <c r="D40" s="99" t="s">
        <v>798</v>
      </c>
      <c r="E40" s="100" t="s">
        <v>319</v>
      </c>
      <c r="F40" s="101">
        <v>175603.20000000001</v>
      </c>
      <c r="G40" s="101"/>
      <c r="H40" s="100" t="s">
        <v>13</v>
      </c>
      <c r="I40" s="102" t="s">
        <v>30</v>
      </c>
      <c r="J40" s="102"/>
      <c r="K40" s="103" t="s">
        <v>8</v>
      </c>
      <c r="L40" s="104">
        <v>282590.8</v>
      </c>
    </row>
    <row r="41" spans="1:12" ht="61.2" hidden="1" x14ac:dyDescent="0.3">
      <c r="A41" s="98" t="s">
        <v>879</v>
      </c>
      <c r="B41" s="99" t="s">
        <v>901</v>
      </c>
      <c r="C41" s="99" t="s">
        <v>908</v>
      </c>
      <c r="D41" s="99" t="s">
        <v>909</v>
      </c>
      <c r="E41" s="100" t="s">
        <v>319</v>
      </c>
      <c r="F41" s="101">
        <v>22444.59</v>
      </c>
      <c r="G41" s="101"/>
      <c r="H41" s="100" t="s">
        <v>13</v>
      </c>
      <c r="I41" s="102" t="s">
        <v>30</v>
      </c>
      <c r="J41" s="102"/>
      <c r="K41" s="103" t="s">
        <v>8</v>
      </c>
      <c r="L41" s="104">
        <v>305035.39</v>
      </c>
    </row>
    <row r="42" spans="1:12" ht="61.2" hidden="1" x14ac:dyDescent="0.3">
      <c r="A42" s="98" t="s">
        <v>879</v>
      </c>
      <c r="B42" s="99" t="s">
        <v>901</v>
      </c>
      <c r="C42" s="99" t="s">
        <v>910</v>
      </c>
      <c r="D42" s="99" t="s">
        <v>806</v>
      </c>
      <c r="E42" s="100" t="s">
        <v>319</v>
      </c>
      <c r="F42" s="101">
        <v>8944.5</v>
      </c>
      <c r="G42" s="101"/>
      <c r="H42" s="100" t="s">
        <v>13</v>
      </c>
      <c r="I42" s="102" t="s">
        <v>30</v>
      </c>
      <c r="J42" s="102"/>
      <c r="K42" s="103" t="s">
        <v>8</v>
      </c>
      <c r="L42" s="104">
        <v>313979.89</v>
      </c>
    </row>
    <row r="43" spans="1:12" ht="61.2" hidden="1" x14ac:dyDescent="0.3">
      <c r="A43" s="98" t="s">
        <v>879</v>
      </c>
      <c r="B43" s="99" t="s">
        <v>901</v>
      </c>
      <c r="C43" s="99" t="s">
        <v>911</v>
      </c>
      <c r="D43" s="99" t="s">
        <v>912</v>
      </c>
      <c r="E43" s="100" t="s">
        <v>319</v>
      </c>
      <c r="F43" s="101">
        <v>2610.34</v>
      </c>
      <c r="G43" s="101"/>
      <c r="H43" s="100" t="s">
        <v>13</v>
      </c>
      <c r="I43" s="102" t="s">
        <v>30</v>
      </c>
      <c r="J43" s="102"/>
      <c r="K43" s="103" t="s">
        <v>8</v>
      </c>
      <c r="L43" s="104">
        <v>316590.23</v>
      </c>
    </row>
    <row r="44" spans="1:12" ht="61.2" hidden="1" x14ac:dyDescent="0.3">
      <c r="A44" s="98" t="s">
        <v>879</v>
      </c>
      <c r="B44" s="99" t="s">
        <v>901</v>
      </c>
      <c r="C44" s="99" t="s">
        <v>911</v>
      </c>
      <c r="D44" s="99" t="s">
        <v>807</v>
      </c>
      <c r="E44" s="100" t="s">
        <v>319</v>
      </c>
      <c r="F44" s="101">
        <v>15178.42</v>
      </c>
      <c r="G44" s="101"/>
      <c r="H44" s="100" t="s">
        <v>13</v>
      </c>
      <c r="I44" s="102" t="s">
        <v>30</v>
      </c>
      <c r="J44" s="102"/>
      <c r="K44" s="103" t="s">
        <v>8</v>
      </c>
      <c r="L44" s="104">
        <v>331768.65000000002</v>
      </c>
    </row>
    <row r="45" spans="1:12" ht="61.2" hidden="1" x14ac:dyDescent="0.3">
      <c r="A45" s="98" t="s">
        <v>879</v>
      </c>
      <c r="B45" s="99" t="s">
        <v>901</v>
      </c>
      <c r="C45" s="99" t="s">
        <v>913</v>
      </c>
      <c r="D45" s="99" t="s">
        <v>739</v>
      </c>
      <c r="E45" s="100" t="s">
        <v>319</v>
      </c>
      <c r="F45" s="101">
        <v>79560</v>
      </c>
      <c r="G45" s="101"/>
      <c r="H45" s="100" t="s">
        <v>13</v>
      </c>
      <c r="I45" s="102" t="s">
        <v>30</v>
      </c>
      <c r="J45" s="102"/>
      <c r="K45" s="103" t="s">
        <v>8</v>
      </c>
      <c r="L45" s="104">
        <v>411328.65</v>
      </c>
    </row>
    <row r="46" spans="1:12" ht="71.400000000000006" hidden="1" x14ac:dyDescent="0.3">
      <c r="A46" s="98" t="s">
        <v>879</v>
      </c>
      <c r="B46" s="99" t="s">
        <v>901</v>
      </c>
      <c r="C46" s="99" t="s">
        <v>914</v>
      </c>
      <c r="D46" s="99" t="s">
        <v>808</v>
      </c>
      <c r="E46" s="100" t="s">
        <v>319</v>
      </c>
      <c r="F46" s="101">
        <v>86931.4</v>
      </c>
      <c r="G46" s="101"/>
      <c r="H46" s="100" t="s">
        <v>13</v>
      </c>
      <c r="I46" s="102" t="s">
        <v>30</v>
      </c>
      <c r="J46" s="102"/>
      <c r="K46" s="103" t="s">
        <v>8</v>
      </c>
      <c r="L46" s="104">
        <v>498260.05</v>
      </c>
    </row>
    <row r="47" spans="1:12" ht="61.2" hidden="1" x14ac:dyDescent="0.3">
      <c r="A47" s="98" t="s">
        <v>879</v>
      </c>
      <c r="B47" s="99" t="s">
        <v>901</v>
      </c>
      <c r="C47" s="99" t="s">
        <v>915</v>
      </c>
      <c r="D47" s="99" t="s">
        <v>916</v>
      </c>
      <c r="E47" s="100" t="s">
        <v>319</v>
      </c>
      <c r="F47" s="101">
        <v>2953.24</v>
      </c>
      <c r="G47" s="101"/>
      <c r="H47" s="100" t="s">
        <v>13</v>
      </c>
      <c r="I47" s="102" t="s">
        <v>30</v>
      </c>
      <c r="J47" s="102"/>
      <c r="K47" s="103" t="s">
        <v>8</v>
      </c>
      <c r="L47" s="104">
        <v>501213.29</v>
      </c>
    </row>
    <row r="48" spans="1:12" ht="61.2" hidden="1" x14ac:dyDescent="0.3">
      <c r="A48" s="98" t="s">
        <v>879</v>
      </c>
      <c r="B48" s="99" t="s">
        <v>901</v>
      </c>
      <c r="C48" s="99" t="s">
        <v>917</v>
      </c>
      <c r="D48" s="99" t="s">
        <v>754</v>
      </c>
      <c r="E48" s="100" t="s">
        <v>319</v>
      </c>
      <c r="F48" s="101">
        <v>21817.13</v>
      </c>
      <c r="G48" s="101"/>
      <c r="H48" s="100" t="s">
        <v>13</v>
      </c>
      <c r="I48" s="102" t="s">
        <v>30</v>
      </c>
      <c r="J48" s="102"/>
      <c r="K48" s="103" t="s">
        <v>8</v>
      </c>
      <c r="L48" s="104">
        <v>523030.42</v>
      </c>
    </row>
    <row r="49" spans="1:12" ht="61.2" hidden="1" x14ac:dyDescent="0.3">
      <c r="A49" s="98" t="s">
        <v>879</v>
      </c>
      <c r="B49" s="99" t="s">
        <v>901</v>
      </c>
      <c r="C49" s="99" t="s">
        <v>917</v>
      </c>
      <c r="D49" s="99" t="s">
        <v>918</v>
      </c>
      <c r="E49" s="100" t="s">
        <v>319</v>
      </c>
      <c r="F49" s="105">
        <v>51.34</v>
      </c>
      <c r="G49" s="105"/>
      <c r="H49" s="100" t="s">
        <v>13</v>
      </c>
      <c r="I49" s="102" t="s">
        <v>30</v>
      </c>
      <c r="J49" s="102"/>
      <c r="K49" s="103" t="s">
        <v>8</v>
      </c>
      <c r="L49" s="104">
        <v>523081.76</v>
      </c>
    </row>
    <row r="50" spans="1:12" ht="71.400000000000006" hidden="1" x14ac:dyDescent="0.3">
      <c r="A50" s="98" t="s">
        <v>1386</v>
      </c>
      <c r="B50" s="99" t="s">
        <v>1387</v>
      </c>
      <c r="C50" s="99" t="s">
        <v>1388</v>
      </c>
      <c r="D50" s="99" t="s">
        <v>326</v>
      </c>
      <c r="E50" s="100" t="s">
        <v>319</v>
      </c>
      <c r="F50" s="101">
        <v>1596</v>
      </c>
      <c r="G50" s="101"/>
      <c r="H50" s="100" t="s">
        <v>13</v>
      </c>
      <c r="I50" s="102" t="s">
        <v>30</v>
      </c>
      <c r="J50" s="102"/>
      <c r="K50" s="103" t="s">
        <v>8</v>
      </c>
      <c r="L50" s="104">
        <v>524677.76</v>
      </c>
    </row>
    <row r="51" spans="1:12" ht="61.2" hidden="1" x14ac:dyDescent="0.3">
      <c r="A51" s="98" t="s">
        <v>1386</v>
      </c>
      <c r="B51" s="99" t="s">
        <v>1387</v>
      </c>
      <c r="C51" s="99" t="s">
        <v>1389</v>
      </c>
      <c r="D51" s="99" t="s">
        <v>799</v>
      </c>
      <c r="E51" s="100" t="s">
        <v>319</v>
      </c>
      <c r="F51" s="101">
        <v>1057.3599999999999</v>
      </c>
      <c r="G51" s="101"/>
      <c r="H51" s="100" t="s">
        <v>13</v>
      </c>
      <c r="I51" s="102" t="s">
        <v>30</v>
      </c>
      <c r="J51" s="102"/>
      <c r="K51" s="103" t="s">
        <v>8</v>
      </c>
      <c r="L51" s="104">
        <v>525735.12</v>
      </c>
    </row>
    <row r="52" spans="1:12" ht="61.2" hidden="1" x14ac:dyDescent="0.3">
      <c r="A52" s="98" t="s">
        <v>1386</v>
      </c>
      <c r="B52" s="99" t="s">
        <v>1387</v>
      </c>
      <c r="C52" s="99" t="s">
        <v>1390</v>
      </c>
      <c r="D52" s="99" t="s">
        <v>1391</v>
      </c>
      <c r="E52" s="100" t="s">
        <v>319</v>
      </c>
      <c r="F52" s="105">
        <v>479.25</v>
      </c>
      <c r="G52" s="105"/>
      <c r="H52" s="100" t="s">
        <v>13</v>
      </c>
      <c r="I52" s="102" t="s">
        <v>30</v>
      </c>
      <c r="J52" s="102"/>
      <c r="K52" s="103" t="s">
        <v>8</v>
      </c>
      <c r="L52" s="104">
        <v>526214.37</v>
      </c>
    </row>
    <row r="53" spans="1:12" ht="61.2" hidden="1" x14ac:dyDescent="0.3">
      <c r="A53" s="98" t="s">
        <v>1386</v>
      </c>
      <c r="B53" s="99" t="s">
        <v>1387</v>
      </c>
      <c r="C53" s="99" t="s">
        <v>1390</v>
      </c>
      <c r="D53" s="99" t="s">
        <v>735</v>
      </c>
      <c r="E53" s="100" t="s">
        <v>319</v>
      </c>
      <c r="F53" s="101">
        <v>3212.07</v>
      </c>
      <c r="G53" s="101"/>
      <c r="H53" s="100" t="s">
        <v>13</v>
      </c>
      <c r="I53" s="102" t="s">
        <v>30</v>
      </c>
      <c r="J53" s="102"/>
      <c r="K53" s="103" t="s">
        <v>8</v>
      </c>
      <c r="L53" s="104">
        <v>529426.43999999994</v>
      </c>
    </row>
    <row r="54" spans="1:12" ht="61.2" hidden="1" x14ac:dyDescent="0.3">
      <c r="A54" s="98" t="s">
        <v>1386</v>
      </c>
      <c r="B54" s="99" t="s">
        <v>1387</v>
      </c>
      <c r="C54" s="99" t="s">
        <v>1392</v>
      </c>
      <c r="D54" s="99" t="s">
        <v>743</v>
      </c>
      <c r="E54" s="100" t="s">
        <v>319</v>
      </c>
      <c r="F54" s="101">
        <v>1729.21</v>
      </c>
      <c r="G54" s="101"/>
      <c r="H54" s="100" t="s">
        <v>13</v>
      </c>
      <c r="I54" s="102" t="s">
        <v>30</v>
      </c>
      <c r="J54" s="102"/>
      <c r="K54" s="103" t="s">
        <v>8</v>
      </c>
      <c r="L54" s="104">
        <v>531155.65</v>
      </c>
    </row>
    <row r="55" spans="1:12" ht="61.2" hidden="1" x14ac:dyDescent="0.3">
      <c r="A55" s="98" t="s">
        <v>1386</v>
      </c>
      <c r="B55" s="99" t="s">
        <v>1387</v>
      </c>
      <c r="C55" s="99" t="s">
        <v>1392</v>
      </c>
      <c r="D55" s="99" t="s">
        <v>734</v>
      </c>
      <c r="E55" s="100" t="s">
        <v>319</v>
      </c>
      <c r="F55" s="101">
        <v>4947.1099999999997</v>
      </c>
      <c r="G55" s="101"/>
      <c r="H55" s="100" t="s">
        <v>13</v>
      </c>
      <c r="I55" s="102" t="s">
        <v>30</v>
      </c>
      <c r="J55" s="102"/>
      <c r="K55" s="103" t="s">
        <v>8</v>
      </c>
      <c r="L55" s="104">
        <v>536102.76</v>
      </c>
    </row>
    <row r="56" spans="1:12" ht="61.2" hidden="1" x14ac:dyDescent="0.3">
      <c r="A56" s="98" t="s">
        <v>1386</v>
      </c>
      <c r="B56" s="99" t="s">
        <v>1387</v>
      </c>
      <c r="C56" s="99" t="s">
        <v>1393</v>
      </c>
      <c r="D56" s="99" t="s">
        <v>805</v>
      </c>
      <c r="E56" s="100" t="s">
        <v>319</v>
      </c>
      <c r="F56" s="101">
        <v>49198.6</v>
      </c>
      <c r="G56" s="101"/>
      <c r="H56" s="100" t="s">
        <v>13</v>
      </c>
      <c r="I56" s="102" t="s">
        <v>30</v>
      </c>
      <c r="J56" s="102"/>
      <c r="K56" s="103" t="s">
        <v>8</v>
      </c>
      <c r="L56" s="104">
        <v>585301.36</v>
      </c>
    </row>
    <row r="57" spans="1:12" ht="61.2" hidden="1" x14ac:dyDescent="0.3">
      <c r="A57" s="98" t="s">
        <v>1386</v>
      </c>
      <c r="B57" s="99" t="s">
        <v>1387</v>
      </c>
      <c r="C57" s="99" t="s">
        <v>1394</v>
      </c>
      <c r="D57" s="99" t="s">
        <v>1374</v>
      </c>
      <c r="E57" s="100" t="s">
        <v>319</v>
      </c>
      <c r="F57" s="101">
        <v>3887.25</v>
      </c>
      <c r="G57" s="101"/>
      <c r="H57" s="100" t="s">
        <v>13</v>
      </c>
      <c r="I57" s="102" t="s">
        <v>30</v>
      </c>
      <c r="J57" s="102"/>
      <c r="K57" s="103" t="s">
        <v>8</v>
      </c>
      <c r="L57" s="104">
        <v>589188.61</v>
      </c>
    </row>
    <row r="58" spans="1:12" ht="61.2" hidden="1" x14ac:dyDescent="0.3">
      <c r="A58" s="98" t="s">
        <v>1386</v>
      </c>
      <c r="B58" s="99" t="s">
        <v>1387</v>
      </c>
      <c r="C58" s="99" t="s">
        <v>1395</v>
      </c>
      <c r="D58" s="99" t="s">
        <v>748</v>
      </c>
      <c r="E58" s="100" t="s">
        <v>319</v>
      </c>
      <c r="F58" s="101">
        <v>7601.59</v>
      </c>
      <c r="G58" s="101"/>
      <c r="H58" s="100" t="s">
        <v>13</v>
      </c>
      <c r="I58" s="102" t="s">
        <v>30</v>
      </c>
      <c r="J58" s="102"/>
      <c r="K58" s="103" t="s">
        <v>8</v>
      </c>
      <c r="L58" s="104">
        <v>596790.19999999995</v>
      </c>
    </row>
    <row r="59" spans="1:12" ht="61.2" hidden="1" x14ac:dyDescent="0.3">
      <c r="A59" s="98" t="s">
        <v>1386</v>
      </c>
      <c r="B59" s="99" t="s">
        <v>1387</v>
      </c>
      <c r="C59" s="99" t="s">
        <v>1396</v>
      </c>
      <c r="D59" s="99" t="s">
        <v>324</v>
      </c>
      <c r="E59" s="100" t="s">
        <v>319</v>
      </c>
      <c r="F59" s="101">
        <v>12418.97</v>
      </c>
      <c r="G59" s="101"/>
      <c r="H59" s="100" t="s">
        <v>13</v>
      </c>
      <c r="I59" s="102" t="s">
        <v>30</v>
      </c>
      <c r="J59" s="102"/>
      <c r="K59" s="103" t="s">
        <v>8</v>
      </c>
      <c r="L59" s="104">
        <v>609209.17000000004</v>
      </c>
    </row>
    <row r="60" spans="1:12" ht="61.2" hidden="1" x14ac:dyDescent="0.3">
      <c r="A60" s="98" t="s">
        <v>1386</v>
      </c>
      <c r="B60" s="99" t="s">
        <v>1387</v>
      </c>
      <c r="C60" s="99" t="s">
        <v>1397</v>
      </c>
      <c r="D60" s="99" t="s">
        <v>740</v>
      </c>
      <c r="E60" s="100" t="s">
        <v>319</v>
      </c>
      <c r="F60" s="101">
        <v>29564</v>
      </c>
      <c r="G60" s="101"/>
      <c r="H60" s="100" t="s">
        <v>13</v>
      </c>
      <c r="I60" s="102" t="s">
        <v>30</v>
      </c>
      <c r="J60" s="102"/>
      <c r="K60" s="103" t="s">
        <v>8</v>
      </c>
      <c r="L60" s="104">
        <v>638773.17000000004</v>
      </c>
    </row>
    <row r="61" spans="1:12" ht="61.2" hidden="1" x14ac:dyDescent="0.3">
      <c r="A61" s="98" t="s">
        <v>1386</v>
      </c>
      <c r="B61" s="99" t="s">
        <v>1387</v>
      </c>
      <c r="C61" s="99" t="s">
        <v>1397</v>
      </c>
      <c r="D61" s="99" t="s">
        <v>1378</v>
      </c>
      <c r="E61" s="100" t="s">
        <v>319</v>
      </c>
      <c r="F61" s="101">
        <v>3712.12</v>
      </c>
      <c r="G61" s="101"/>
      <c r="H61" s="100" t="s">
        <v>13</v>
      </c>
      <c r="I61" s="102" t="s">
        <v>30</v>
      </c>
      <c r="J61" s="102"/>
      <c r="K61" s="103" t="s">
        <v>8</v>
      </c>
      <c r="L61" s="104">
        <v>642485.29</v>
      </c>
    </row>
    <row r="62" spans="1:12" ht="71.400000000000006" hidden="1" x14ac:dyDescent="0.3">
      <c r="A62" s="98" t="s">
        <v>1386</v>
      </c>
      <c r="B62" s="99" t="s">
        <v>1387</v>
      </c>
      <c r="C62" s="99" t="s">
        <v>1398</v>
      </c>
      <c r="D62" s="99" t="s">
        <v>732</v>
      </c>
      <c r="E62" s="100" t="s">
        <v>319</v>
      </c>
      <c r="F62" s="101">
        <v>15281</v>
      </c>
      <c r="G62" s="101"/>
      <c r="H62" s="100" t="s">
        <v>13</v>
      </c>
      <c r="I62" s="102" t="s">
        <v>30</v>
      </c>
      <c r="J62" s="102"/>
      <c r="K62" s="103" t="s">
        <v>8</v>
      </c>
      <c r="L62" s="104">
        <v>657766.29</v>
      </c>
    </row>
    <row r="63" spans="1:12" ht="71.400000000000006" hidden="1" x14ac:dyDescent="0.3">
      <c r="A63" s="98" t="s">
        <v>1386</v>
      </c>
      <c r="B63" s="99" t="s">
        <v>1421</v>
      </c>
      <c r="C63" s="99" t="s">
        <v>1422</v>
      </c>
      <c r="D63" s="99" t="s">
        <v>326</v>
      </c>
      <c r="E63" s="100" t="s">
        <v>319</v>
      </c>
      <c r="F63" s="101">
        <v>3138.8</v>
      </c>
      <c r="G63" s="101"/>
      <c r="H63" s="100" t="s">
        <v>13</v>
      </c>
      <c r="I63" s="102" t="s">
        <v>30</v>
      </c>
      <c r="J63" s="102"/>
      <c r="K63" s="103" t="s">
        <v>8</v>
      </c>
      <c r="L63" s="104">
        <v>660905.09</v>
      </c>
    </row>
    <row r="64" spans="1:12" ht="61.2" hidden="1" x14ac:dyDescent="0.3">
      <c r="A64" s="98" t="s">
        <v>1386</v>
      </c>
      <c r="B64" s="99" t="s">
        <v>1421</v>
      </c>
      <c r="C64" s="99" t="s">
        <v>1423</v>
      </c>
      <c r="D64" s="99" t="s">
        <v>1424</v>
      </c>
      <c r="E64" s="100" t="s">
        <v>319</v>
      </c>
      <c r="F64" s="101">
        <v>2866.41</v>
      </c>
      <c r="G64" s="101"/>
      <c r="H64" s="100" t="s">
        <v>13</v>
      </c>
      <c r="I64" s="102" t="s">
        <v>30</v>
      </c>
      <c r="J64" s="102"/>
      <c r="K64" s="103" t="s">
        <v>8</v>
      </c>
      <c r="L64" s="104">
        <v>663771.5</v>
      </c>
    </row>
    <row r="65" spans="1:12" ht="71.400000000000006" hidden="1" x14ac:dyDescent="0.3">
      <c r="A65" s="98" t="s">
        <v>1386</v>
      </c>
      <c r="B65" s="99" t="s">
        <v>1421</v>
      </c>
      <c r="C65" s="99" t="s">
        <v>1425</v>
      </c>
      <c r="D65" s="99" t="s">
        <v>334</v>
      </c>
      <c r="E65" s="100" t="s">
        <v>319</v>
      </c>
      <c r="F65" s="101">
        <v>3591</v>
      </c>
      <c r="G65" s="101"/>
      <c r="H65" s="100" t="s">
        <v>13</v>
      </c>
      <c r="I65" s="102" t="s">
        <v>30</v>
      </c>
      <c r="J65" s="102"/>
      <c r="K65" s="103" t="s">
        <v>8</v>
      </c>
      <c r="L65" s="104">
        <v>667362.5</v>
      </c>
    </row>
    <row r="66" spans="1:12" ht="61.2" hidden="1" x14ac:dyDescent="0.3">
      <c r="A66" s="98" t="s">
        <v>1386</v>
      </c>
      <c r="B66" s="99" t="s">
        <v>1421</v>
      </c>
      <c r="C66" s="99" t="s">
        <v>1426</v>
      </c>
      <c r="D66" s="99" t="s">
        <v>748</v>
      </c>
      <c r="E66" s="100" t="s">
        <v>319</v>
      </c>
      <c r="F66" s="105">
        <v>570.12</v>
      </c>
      <c r="G66" s="105"/>
      <c r="H66" s="100" t="s">
        <v>13</v>
      </c>
      <c r="I66" s="102" t="s">
        <v>30</v>
      </c>
      <c r="J66" s="102"/>
      <c r="K66" s="103" t="s">
        <v>8</v>
      </c>
      <c r="L66" s="104">
        <v>667932.62</v>
      </c>
    </row>
    <row r="67" spans="1:12" ht="61.2" hidden="1" x14ac:dyDescent="0.3">
      <c r="A67" s="98" t="s">
        <v>1386</v>
      </c>
      <c r="B67" s="99" t="s">
        <v>1421</v>
      </c>
      <c r="C67" s="99" t="s">
        <v>1427</v>
      </c>
      <c r="D67" s="99" t="s">
        <v>1428</v>
      </c>
      <c r="E67" s="100" t="s">
        <v>319</v>
      </c>
      <c r="F67" s="101">
        <v>1379.63</v>
      </c>
      <c r="G67" s="101"/>
      <c r="H67" s="100" t="s">
        <v>13</v>
      </c>
      <c r="I67" s="102" t="s">
        <v>30</v>
      </c>
      <c r="J67" s="102"/>
      <c r="K67" s="103" t="s">
        <v>8</v>
      </c>
      <c r="L67" s="104">
        <v>669312.25</v>
      </c>
    </row>
    <row r="68" spans="1:12" ht="61.2" hidden="1" x14ac:dyDescent="0.3">
      <c r="A68" s="98" t="s">
        <v>1386</v>
      </c>
      <c r="B68" s="99" t="s">
        <v>1421</v>
      </c>
      <c r="C68" s="99" t="s">
        <v>1427</v>
      </c>
      <c r="D68" s="99" t="s">
        <v>736</v>
      </c>
      <c r="E68" s="100" t="s">
        <v>319</v>
      </c>
      <c r="F68" s="105">
        <v>380.25</v>
      </c>
      <c r="G68" s="105"/>
      <c r="H68" s="100" t="s">
        <v>13</v>
      </c>
      <c r="I68" s="102" t="s">
        <v>30</v>
      </c>
      <c r="J68" s="102"/>
      <c r="K68" s="103" t="s">
        <v>8</v>
      </c>
      <c r="L68" s="104">
        <v>669692.5</v>
      </c>
    </row>
    <row r="69" spans="1:12" ht="61.2" hidden="1" x14ac:dyDescent="0.3">
      <c r="A69" s="98" t="s">
        <v>1386</v>
      </c>
      <c r="B69" s="99" t="s">
        <v>1421</v>
      </c>
      <c r="C69" s="99" t="s">
        <v>1429</v>
      </c>
      <c r="D69" s="99" t="s">
        <v>739</v>
      </c>
      <c r="E69" s="100" t="s">
        <v>319</v>
      </c>
      <c r="F69" s="101">
        <v>4446</v>
      </c>
      <c r="G69" s="101"/>
      <c r="H69" s="100" t="s">
        <v>13</v>
      </c>
      <c r="I69" s="102" t="s">
        <v>30</v>
      </c>
      <c r="J69" s="102"/>
      <c r="K69" s="103" t="s">
        <v>8</v>
      </c>
      <c r="L69" s="104">
        <v>674138.5</v>
      </c>
    </row>
    <row r="70" spans="1:12" ht="61.2" hidden="1" x14ac:dyDescent="0.3">
      <c r="A70" s="98" t="s">
        <v>1386</v>
      </c>
      <c r="B70" s="99" t="s">
        <v>1421</v>
      </c>
      <c r="C70" s="99" t="s">
        <v>1430</v>
      </c>
      <c r="D70" s="99" t="s">
        <v>809</v>
      </c>
      <c r="E70" s="100" t="s">
        <v>319</v>
      </c>
      <c r="F70" s="101">
        <v>3913.86</v>
      </c>
      <c r="G70" s="101"/>
      <c r="H70" s="100" t="s">
        <v>13</v>
      </c>
      <c r="I70" s="102" t="s">
        <v>30</v>
      </c>
      <c r="J70" s="102"/>
      <c r="K70" s="103" t="s">
        <v>8</v>
      </c>
      <c r="L70" s="104">
        <v>678052.36</v>
      </c>
    </row>
    <row r="71" spans="1:12" ht="71.400000000000006" hidden="1" x14ac:dyDescent="0.3">
      <c r="A71" s="98" t="s">
        <v>1386</v>
      </c>
      <c r="B71" s="99" t="s">
        <v>1421</v>
      </c>
      <c r="C71" s="99" t="s">
        <v>1431</v>
      </c>
      <c r="D71" s="99" t="s">
        <v>1375</v>
      </c>
      <c r="E71" s="100" t="s">
        <v>319</v>
      </c>
      <c r="F71" s="101">
        <v>11563.23</v>
      </c>
      <c r="G71" s="101"/>
      <c r="H71" s="100" t="s">
        <v>13</v>
      </c>
      <c r="I71" s="102" t="s">
        <v>30</v>
      </c>
      <c r="J71" s="102"/>
      <c r="K71" s="103" t="s">
        <v>8</v>
      </c>
      <c r="L71" s="104">
        <v>689615.59</v>
      </c>
    </row>
    <row r="72" spans="1:12" ht="61.2" hidden="1" x14ac:dyDescent="0.3">
      <c r="A72" s="98" t="s">
        <v>1386</v>
      </c>
      <c r="B72" s="99" t="s">
        <v>1421</v>
      </c>
      <c r="C72" s="99" t="s">
        <v>1432</v>
      </c>
      <c r="D72" s="99" t="s">
        <v>324</v>
      </c>
      <c r="E72" s="100" t="s">
        <v>319</v>
      </c>
      <c r="F72" s="101">
        <v>5795.52</v>
      </c>
      <c r="G72" s="101"/>
      <c r="H72" s="100" t="s">
        <v>13</v>
      </c>
      <c r="I72" s="102" t="s">
        <v>30</v>
      </c>
      <c r="J72" s="102"/>
      <c r="K72" s="103" t="s">
        <v>8</v>
      </c>
      <c r="L72" s="104">
        <v>695411.11</v>
      </c>
    </row>
    <row r="73" spans="1:12" ht="61.2" hidden="1" x14ac:dyDescent="0.3">
      <c r="A73" s="98" t="s">
        <v>1386</v>
      </c>
      <c r="B73" s="99" t="s">
        <v>1421</v>
      </c>
      <c r="C73" s="99" t="s">
        <v>1433</v>
      </c>
      <c r="D73" s="99" t="s">
        <v>1434</v>
      </c>
      <c r="E73" s="100" t="s">
        <v>319</v>
      </c>
      <c r="F73" s="101">
        <v>2072.79</v>
      </c>
      <c r="G73" s="101"/>
      <c r="H73" s="100" t="s">
        <v>13</v>
      </c>
      <c r="I73" s="102" t="s">
        <v>30</v>
      </c>
      <c r="J73" s="102"/>
      <c r="K73" s="103" t="s">
        <v>8</v>
      </c>
      <c r="L73" s="104">
        <v>697483.9</v>
      </c>
    </row>
    <row r="74" spans="1:12" ht="61.2" hidden="1" x14ac:dyDescent="0.3">
      <c r="A74" s="98" t="s">
        <v>1444</v>
      </c>
      <c r="B74" s="99" t="s">
        <v>1537</v>
      </c>
      <c r="C74" s="99" t="s">
        <v>1538</v>
      </c>
      <c r="D74" s="99" t="s">
        <v>1359</v>
      </c>
      <c r="E74" s="100" t="s">
        <v>319</v>
      </c>
      <c r="F74" s="101">
        <v>1550.63</v>
      </c>
      <c r="G74" s="101"/>
      <c r="H74" s="100" t="s">
        <v>13</v>
      </c>
      <c r="I74" s="102" t="s">
        <v>30</v>
      </c>
      <c r="J74" s="102"/>
      <c r="K74" s="103" t="s">
        <v>8</v>
      </c>
      <c r="L74" s="104">
        <v>699034.53</v>
      </c>
    </row>
    <row r="75" spans="1:12" ht="61.2" hidden="1" x14ac:dyDescent="0.3">
      <c r="A75" s="98" t="s">
        <v>1444</v>
      </c>
      <c r="B75" s="99" t="s">
        <v>1537</v>
      </c>
      <c r="C75" s="99" t="s">
        <v>1539</v>
      </c>
      <c r="D75" s="99" t="s">
        <v>1361</v>
      </c>
      <c r="E75" s="100" t="s">
        <v>319</v>
      </c>
      <c r="F75" s="105">
        <v>558.23</v>
      </c>
      <c r="G75" s="105"/>
      <c r="H75" s="100" t="s">
        <v>13</v>
      </c>
      <c r="I75" s="102" t="s">
        <v>30</v>
      </c>
      <c r="J75" s="102"/>
      <c r="K75" s="103" t="s">
        <v>8</v>
      </c>
      <c r="L75" s="104">
        <v>699592.76</v>
      </c>
    </row>
    <row r="76" spans="1:12" ht="71.400000000000006" hidden="1" x14ac:dyDescent="0.3">
      <c r="A76" s="98" t="s">
        <v>1444</v>
      </c>
      <c r="B76" s="99" t="s">
        <v>1537</v>
      </c>
      <c r="C76" s="99" t="s">
        <v>1540</v>
      </c>
      <c r="D76" s="99" t="s">
        <v>337</v>
      </c>
      <c r="E76" s="100" t="s">
        <v>319</v>
      </c>
      <c r="F76" s="101">
        <v>5423.87</v>
      </c>
      <c r="G76" s="101"/>
      <c r="H76" s="100" t="s">
        <v>13</v>
      </c>
      <c r="I76" s="102" t="s">
        <v>30</v>
      </c>
      <c r="J76" s="102"/>
      <c r="K76" s="103" t="s">
        <v>8</v>
      </c>
      <c r="L76" s="104">
        <v>705016.63</v>
      </c>
    </row>
    <row r="77" spans="1:12" ht="71.400000000000006" hidden="1" x14ac:dyDescent="0.3">
      <c r="A77" s="98" t="s">
        <v>1444</v>
      </c>
      <c r="B77" s="99" t="s">
        <v>1537</v>
      </c>
      <c r="C77" s="99" t="s">
        <v>1540</v>
      </c>
      <c r="D77" s="99" t="s">
        <v>1362</v>
      </c>
      <c r="E77" s="100" t="s">
        <v>319</v>
      </c>
      <c r="F77" s="101">
        <v>5456.03</v>
      </c>
      <c r="G77" s="101"/>
      <c r="H77" s="100" t="s">
        <v>13</v>
      </c>
      <c r="I77" s="102" t="s">
        <v>30</v>
      </c>
      <c r="J77" s="102"/>
      <c r="K77" s="103" t="s">
        <v>8</v>
      </c>
      <c r="L77" s="104">
        <v>710472.66</v>
      </c>
    </row>
    <row r="78" spans="1:12" ht="71.400000000000006" hidden="1" x14ac:dyDescent="0.3">
      <c r="A78" s="98" t="s">
        <v>1444</v>
      </c>
      <c r="B78" s="99" t="s">
        <v>1537</v>
      </c>
      <c r="C78" s="99" t="s">
        <v>1541</v>
      </c>
      <c r="D78" s="99" t="s">
        <v>1542</v>
      </c>
      <c r="E78" s="100" t="s">
        <v>319</v>
      </c>
      <c r="F78" s="101">
        <v>1356.45</v>
      </c>
      <c r="G78" s="101"/>
      <c r="H78" s="100" t="s">
        <v>13</v>
      </c>
      <c r="I78" s="102" t="s">
        <v>30</v>
      </c>
      <c r="J78" s="102"/>
      <c r="K78" s="103" t="s">
        <v>8</v>
      </c>
      <c r="L78" s="104">
        <v>711829.11</v>
      </c>
    </row>
    <row r="79" spans="1:12" ht="71.400000000000006" hidden="1" x14ac:dyDescent="0.3">
      <c r="A79" s="98" t="s">
        <v>1444</v>
      </c>
      <c r="B79" s="99" t="s">
        <v>1537</v>
      </c>
      <c r="C79" s="99" t="s">
        <v>1543</v>
      </c>
      <c r="D79" s="99" t="s">
        <v>1544</v>
      </c>
      <c r="E79" s="100" t="s">
        <v>319</v>
      </c>
      <c r="F79" s="101">
        <v>12697.8</v>
      </c>
      <c r="G79" s="101"/>
      <c r="H79" s="100" t="s">
        <v>13</v>
      </c>
      <c r="I79" s="102" t="s">
        <v>30</v>
      </c>
      <c r="J79" s="102"/>
      <c r="K79" s="103" t="s">
        <v>8</v>
      </c>
      <c r="L79" s="104">
        <v>724526.91</v>
      </c>
    </row>
    <row r="80" spans="1:12" ht="71.400000000000006" hidden="1" x14ac:dyDescent="0.3">
      <c r="A80" s="98" t="s">
        <v>1444</v>
      </c>
      <c r="B80" s="99" t="s">
        <v>1537</v>
      </c>
      <c r="C80" s="99" t="s">
        <v>1545</v>
      </c>
      <c r="D80" s="99" t="s">
        <v>1370</v>
      </c>
      <c r="E80" s="100" t="s">
        <v>319</v>
      </c>
      <c r="F80" s="101">
        <v>17335.990000000002</v>
      </c>
      <c r="G80" s="101"/>
      <c r="H80" s="100" t="s">
        <v>13</v>
      </c>
      <c r="I80" s="102" t="s">
        <v>30</v>
      </c>
      <c r="J80" s="102"/>
      <c r="K80" s="103" t="s">
        <v>8</v>
      </c>
      <c r="L80" s="104">
        <v>741862.9</v>
      </c>
    </row>
    <row r="81" spans="1:12" ht="61.2" hidden="1" x14ac:dyDescent="0.3">
      <c r="A81" s="98" t="s">
        <v>1444</v>
      </c>
      <c r="B81" s="99" t="s">
        <v>1537</v>
      </c>
      <c r="C81" s="99" t="s">
        <v>1546</v>
      </c>
      <c r="D81" s="99" t="s">
        <v>748</v>
      </c>
      <c r="E81" s="100" t="s">
        <v>319</v>
      </c>
      <c r="F81" s="101">
        <v>7126.49</v>
      </c>
      <c r="G81" s="101"/>
      <c r="H81" s="100" t="s">
        <v>13</v>
      </c>
      <c r="I81" s="102" t="s">
        <v>30</v>
      </c>
      <c r="J81" s="102"/>
      <c r="K81" s="103" t="s">
        <v>8</v>
      </c>
      <c r="L81" s="104">
        <v>748989.39</v>
      </c>
    </row>
    <row r="82" spans="1:12" ht="61.2" hidden="1" x14ac:dyDescent="0.3">
      <c r="A82" s="98" t="s">
        <v>1444</v>
      </c>
      <c r="B82" s="99" t="s">
        <v>1537</v>
      </c>
      <c r="C82" s="99" t="s">
        <v>1547</v>
      </c>
      <c r="D82" s="99" t="s">
        <v>746</v>
      </c>
      <c r="E82" s="100" t="s">
        <v>319</v>
      </c>
      <c r="F82" s="101">
        <v>29677.87</v>
      </c>
      <c r="G82" s="101"/>
      <c r="H82" s="100" t="s">
        <v>13</v>
      </c>
      <c r="I82" s="102" t="s">
        <v>30</v>
      </c>
      <c r="J82" s="102"/>
      <c r="K82" s="103" t="s">
        <v>8</v>
      </c>
      <c r="L82" s="104">
        <v>778667.26</v>
      </c>
    </row>
    <row r="83" spans="1:12" ht="61.2" hidden="1" x14ac:dyDescent="0.3">
      <c r="A83" s="98" t="s">
        <v>1444</v>
      </c>
      <c r="B83" s="99" t="s">
        <v>1537</v>
      </c>
      <c r="C83" s="99" t="s">
        <v>1548</v>
      </c>
      <c r="D83" s="99" t="s">
        <v>1549</v>
      </c>
      <c r="E83" s="100" t="s">
        <v>319</v>
      </c>
      <c r="F83" s="105">
        <v>992.25</v>
      </c>
      <c r="G83" s="105"/>
      <c r="H83" s="100" t="s">
        <v>13</v>
      </c>
      <c r="I83" s="102" t="s">
        <v>30</v>
      </c>
      <c r="J83" s="102"/>
      <c r="K83" s="103" t="s">
        <v>8</v>
      </c>
      <c r="L83" s="104">
        <v>779659.51</v>
      </c>
    </row>
    <row r="84" spans="1:12" ht="61.2" hidden="1" x14ac:dyDescent="0.3">
      <c r="A84" s="98" t="s">
        <v>1444</v>
      </c>
      <c r="B84" s="99" t="s">
        <v>1537</v>
      </c>
      <c r="C84" s="99" t="s">
        <v>1548</v>
      </c>
      <c r="D84" s="99" t="s">
        <v>1550</v>
      </c>
      <c r="E84" s="100" t="s">
        <v>319</v>
      </c>
      <c r="F84" s="105">
        <v>992.25</v>
      </c>
      <c r="G84" s="105"/>
      <c r="H84" s="100" t="s">
        <v>13</v>
      </c>
      <c r="I84" s="102" t="s">
        <v>30</v>
      </c>
      <c r="J84" s="102"/>
      <c r="K84" s="103" t="s">
        <v>8</v>
      </c>
      <c r="L84" s="104">
        <v>780651.76</v>
      </c>
    </row>
    <row r="85" spans="1:12" ht="61.2" hidden="1" x14ac:dyDescent="0.3">
      <c r="A85" s="98" t="s">
        <v>1444</v>
      </c>
      <c r="B85" s="99" t="s">
        <v>1537</v>
      </c>
      <c r="C85" s="99" t="s">
        <v>1548</v>
      </c>
      <c r="D85" s="99" t="s">
        <v>1551</v>
      </c>
      <c r="E85" s="100" t="s">
        <v>319</v>
      </c>
      <c r="F85" s="101">
        <v>3672.5</v>
      </c>
      <c r="G85" s="101"/>
      <c r="H85" s="100" t="s">
        <v>13</v>
      </c>
      <c r="I85" s="102" t="s">
        <v>30</v>
      </c>
      <c r="J85" s="102"/>
      <c r="K85" s="103" t="s">
        <v>8</v>
      </c>
      <c r="L85" s="104">
        <v>784324.26</v>
      </c>
    </row>
    <row r="86" spans="1:12" ht="61.2" hidden="1" x14ac:dyDescent="0.3">
      <c r="A86" s="98" t="s">
        <v>1444</v>
      </c>
      <c r="B86" s="99" t="s">
        <v>1537</v>
      </c>
      <c r="C86" s="99" t="s">
        <v>1552</v>
      </c>
      <c r="D86" s="99" t="s">
        <v>1374</v>
      </c>
      <c r="E86" s="100" t="s">
        <v>319</v>
      </c>
      <c r="F86" s="101">
        <v>8098.43</v>
      </c>
      <c r="G86" s="101"/>
      <c r="H86" s="100" t="s">
        <v>13</v>
      </c>
      <c r="I86" s="102" t="s">
        <v>30</v>
      </c>
      <c r="J86" s="102"/>
      <c r="K86" s="103" t="s">
        <v>8</v>
      </c>
      <c r="L86" s="104">
        <v>792422.69</v>
      </c>
    </row>
    <row r="87" spans="1:12" ht="71.400000000000006" hidden="1" x14ac:dyDescent="0.3">
      <c r="A87" s="98" t="s">
        <v>1444</v>
      </c>
      <c r="B87" s="99" t="s">
        <v>1537</v>
      </c>
      <c r="C87" s="99" t="s">
        <v>1553</v>
      </c>
      <c r="D87" s="99" t="s">
        <v>1554</v>
      </c>
      <c r="E87" s="100" t="s">
        <v>319</v>
      </c>
      <c r="F87" s="101">
        <v>1662.88</v>
      </c>
      <c r="G87" s="101"/>
      <c r="H87" s="100" t="s">
        <v>13</v>
      </c>
      <c r="I87" s="102" t="s">
        <v>30</v>
      </c>
      <c r="J87" s="102"/>
      <c r="K87" s="103" t="s">
        <v>8</v>
      </c>
      <c r="L87" s="104">
        <v>794085.57</v>
      </c>
    </row>
    <row r="88" spans="1:12" ht="61.2" hidden="1" x14ac:dyDescent="0.3">
      <c r="A88" s="98" t="s">
        <v>1444</v>
      </c>
      <c r="B88" s="99" t="s">
        <v>1537</v>
      </c>
      <c r="C88" s="99" t="s">
        <v>1555</v>
      </c>
      <c r="D88" s="99" t="s">
        <v>324</v>
      </c>
      <c r="E88" s="100" t="s">
        <v>319</v>
      </c>
      <c r="F88" s="101">
        <v>42017.52</v>
      </c>
      <c r="G88" s="101"/>
      <c r="H88" s="100" t="s">
        <v>13</v>
      </c>
      <c r="I88" s="102" t="s">
        <v>30</v>
      </c>
      <c r="J88" s="102"/>
      <c r="K88" s="103" t="s">
        <v>8</v>
      </c>
      <c r="L88" s="104">
        <v>836103.09</v>
      </c>
    </row>
    <row r="89" spans="1:12" ht="61.2" hidden="1" x14ac:dyDescent="0.3">
      <c r="A89" s="98" t="s">
        <v>1444</v>
      </c>
      <c r="B89" s="99" t="s">
        <v>1537</v>
      </c>
      <c r="C89" s="99" t="s">
        <v>1556</v>
      </c>
      <c r="D89" s="99" t="s">
        <v>1377</v>
      </c>
      <c r="E89" s="100" t="s">
        <v>319</v>
      </c>
      <c r="F89" s="101">
        <v>18333.68</v>
      </c>
      <c r="G89" s="101"/>
      <c r="H89" s="100" t="s">
        <v>13</v>
      </c>
      <c r="I89" s="102" t="s">
        <v>30</v>
      </c>
      <c r="J89" s="102"/>
      <c r="K89" s="103" t="s">
        <v>8</v>
      </c>
      <c r="L89" s="104">
        <v>854436.77</v>
      </c>
    </row>
    <row r="90" spans="1:12" ht="71.400000000000006" hidden="1" x14ac:dyDescent="0.3">
      <c r="A90" s="98" t="s">
        <v>1444</v>
      </c>
      <c r="B90" s="99" t="s">
        <v>1557</v>
      </c>
      <c r="C90" s="99" t="s">
        <v>1558</v>
      </c>
      <c r="D90" s="99" t="s">
        <v>1544</v>
      </c>
      <c r="E90" s="100" t="s">
        <v>319</v>
      </c>
      <c r="F90" s="101">
        <v>2280.67</v>
      </c>
      <c r="G90" s="101"/>
      <c r="H90" s="100" t="s">
        <v>13</v>
      </c>
      <c r="I90" s="102" t="s">
        <v>30</v>
      </c>
      <c r="J90" s="102"/>
      <c r="K90" s="103" t="s">
        <v>8</v>
      </c>
      <c r="L90" s="104">
        <v>856717.44</v>
      </c>
    </row>
    <row r="91" spans="1:12" ht="71.400000000000006" hidden="1" x14ac:dyDescent="0.3">
      <c r="A91" s="98" t="s">
        <v>1444</v>
      </c>
      <c r="B91" s="99" t="s">
        <v>1557</v>
      </c>
      <c r="C91" s="99" t="s">
        <v>1559</v>
      </c>
      <c r="D91" s="99" t="s">
        <v>1560</v>
      </c>
      <c r="E91" s="100" t="s">
        <v>319</v>
      </c>
      <c r="F91" s="101">
        <v>4156.59</v>
      </c>
      <c r="G91" s="101"/>
      <c r="H91" s="100" t="s">
        <v>13</v>
      </c>
      <c r="I91" s="102" t="s">
        <v>30</v>
      </c>
      <c r="J91" s="102"/>
      <c r="K91" s="103" t="s">
        <v>8</v>
      </c>
      <c r="L91" s="104">
        <v>860874.03</v>
      </c>
    </row>
    <row r="92" spans="1:12" ht="61.2" hidden="1" x14ac:dyDescent="0.3">
      <c r="A92" s="98" t="s">
        <v>1444</v>
      </c>
      <c r="B92" s="99" t="s">
        <v>1557</v>
      </c>
      <c r="C92" s="99" t="s">
        <v>1561</v>
      </c>
      <c r="D92" s="99" t="s">
        <v>1368</v>
      </c>
      <c r="E92" s="100" t="s">
        <v>319</v>
      </c>
      <c r="F92" s="101">
        <v>1772.58</v>
      </c>
      <c r="G92" s="101"/>
      <c r="H92" s="100" t="s">
        <v>13</v>
      </c>
      <c r="I92" s="102" t="s">
        <v>30</v>
      </c>
      <c r="J92" s="102"/>
      <c r="K92" s="103" t="s">
        <v>8</v>
      </c>
      <c r="L92" s="104">
        <v>862646.61</v>
      </c>
    </row>
    <row r="93" spans="1:12" ht="61.2" hidden="1" x14ac:dyDescent="0.3">
      <c r="A93" s="98" t="s">
        <v>1444</v>
      </c>
      <c r="B93" s="99" t="s">
        <v>1557</v>
      </c>
      <c r="C93" s="99" t="s">
        <v>1562</v>
      </c>
      <c r="D93" s="99" t="s">
        <v>324</v>
      </c>
      <c r="E93" s="100" t="s">
        <v>319</v>
      </c>
      <c r="F93" s="101">
        <v>8444.9</v>
      </c>
      <c r="G93" s="101"/>
      <c r="H93" s="100" t="s">
        <v>13</v>
      </c>
      <c r="I93" s="102" t="s">
        <v>30</v>
      </c>
      <c r="J93" s="102"/>
      <c r="K93" s="103" t="s">
        <v>8</v>
      </c>
      <c r="L93" s="104">
        <v>871091.51</v>
      </c>
    </row>
    <row r="94" spans="1:12" ht="71.400000000000006" hidden="1" x14ac:dyDescent="0.3">
      <c r="A94" s="98" t="s">
        <v>1444</v>
      </c>
      <c r="B94" s="99" t="s">
        <v>1557</v>
      </c>
      <c r="C94" s="99" t="s">
        <v>1563</v>
      </c>
      <c r="D94" s="99" t="s">
        <v>1375</v>
      </c>
      <c r="E94" s="100" t="s">
        <v>319</v>
      </c>
      <c r="F94" s="101">
        <v>22727.74</v>
      </c>
      <c r="G94" s="101"/>
      <c r="H94" s="100" t="s">
        <v>13</v>
      </c>
      <c r="I94" s="102" t="s">
        <v>30</v>
      </c>
      <c r="J94" s="102"/>
      <c r="K94" s="103" t="s">
        <v>8</v>
      </c>
      <c r="L94" s="104">
        <v>893819.25</v>
      </c>
    </row>
    <row r="95" spans="1:12" ht="71.400000000000006" hidden="1" x14ac:dyDescent="0.3">
      <c r="A95" s="98" t="s">
        <v>1444</v>
      </c>
      <c r="B95" s="99" t="s">
        <v>1557</v>
      </c>
      <c r="C95" s="99" t="s">
        <v>1564</v>
      </c>
      <c r="D95" s="99" t="s">
        <v>935</v>
      </c>
      <c r="E95" s="100" t="s">
        <v>319</v>
      </c>
      <c r="F95" s="101">
        <v>6325.13</v>
      </c>
      <c r="G95" s="101"/>
      <c r="H95" s="100" t="s">
        <v>13</v>
      </c>
      <c r="I95" s="102" t="s">
        <v>30</v>
      </c>
      <c r="J95" s="102"/>
      <c r="K95" s="103" t="s">
        <v>8</v>
      </c>
      <c r="L95" s="104">
        <v>900144.38</v>
      </c>
    </row>
    <row r="96" spans="1:12" ht="61.2" hidden="1" x14ac:dyDescent="0.3">
      <c r="A96" s="98" t="s">
        <v>1642</v>
      </c>
      <c r="B96" s="99" t="s">
        <v>1643</v>
      </c>
      <c r="C96" s="99" t="s">
        <v>1644</v>
      </c>
      <c r="D96" s="99" t="s">
        <v>1424</v>
      </c>
      <c r="E96" s="100" t="s">
        <v>319</v>
      </c>
      <c r="F96" s="101">
        <v>1595.46</v>
      </c>
      <c r="G96" s="101"/>
      <c r="H96" s="100" t="s">
        <v>13</v>
      </c>
      <c r="I96" s="102" t="s">
        <v>30</v>
      </c>
      <c r="J96" s="102"/>
      <c r="K96" s="103" t="s">
        <v>8</v>
      </c>
      <c r="L96" s="104">
        <v>901739.84</v>
      </c>
    </row>
    <row r="97" spans="1:12" ht="61.2" hidden="1" x14ac:dyDescent="0.3">
      <c r="A97" s="98" t="s">
        <v>1642</v>
      </c>
      <c r="B97" s="99" t="s">
        <v>1643</v>
      </c>
      <c r="C97" s="99" t="s">
        <v>1645</v>
      </c>
      <c r="D97" s="99" t="s">
        <v>909</v>
      </c>
      <c r="E97" s="100" t="s">
        <v>319</v>
      </c>
      <c r="F97" s="101">
        <v>15954.58</v>
      </c>
      <c r="G97" s="101"/>
      <c r="H97" s="100" t="s">
        <v>13</v>
      </c>
      <c r="I97" s="102" t="s">
        <v>30</v>
      </c>
      <c r="J97" s="102"/>
      <c r="K97" s="103" t="s">
        <v>8</v>
      </c>
      <c r="L97" s="104">
        <v>917694.42</v>
      </c>
    </row>
    <row r="98" spans="1:12" ht="61.2" hidden="1" x14ac:dyDescent="0.3">
      <c r="A98" s="98" t="s">
        <v>1642</v>
      </c>
      <c r="B98" s="99" t="s">
        <v>1643</v>
      </c>
      <c r="C98" s="99" t="s">
        <v>1645</v>
      </c>
      <c r="D98" s="99" t="s">
        <v>1646</v>
      </c>
      <c r="E98" s="100" t="s">
        <v>319</v>
      </c>
      <c r="F98" s="101">
        <v>3014.37</v>
      </c>
      <c r="G98" s="101"/>
      <c r="H98" s="100" t="s">
        <v>13</v>
      </c>
      <c r="I98" s="102" t="s">
        <v>30</v>
      </c>
      <c r="J98" s="102"/>
      <c r="K98" s="103" t="s">
        <v>8</v>
      </c>
      <c r="L98" s="104">
        <v>920708.79</v>
      </c>
    </row>
    <row r="99" spans="1:12" ht="71.400000000000006" hidden="1" x14ac:dyDescent="0.3">
      <c r="A99" s="98" t="s">
        <v>1642</v>
      </c>
      <c r="B99" s="99" t="s">
        <v>1643</v>
      </c>
      <c r="C99" s="99" t="s">
        <v>1647</v>
      </c>
      <c r="D99" s="99" t="s">
        <v>337</v>
      </c>
      <c r="E99" s="100" t="s">
        <v>319</v>
      </c>
      <c r="F99" s="101">
        <v>1383.64</v>
      </c>
      <c r="G99" s="101"/>
      <c r="H99" s="100" t="s">
        <v>13</v>
      </c>
      <c r="I99" s="102" t="s">
        <v>30</v>
      </c>
      <c r="J99" s="102"/>
      <c r="K99" s="103" t="s">
        <v>8</v>
      </c>
      <c r="L99" s="104">
        <v>922092.43</v>
      </c>
    </row>
    <row r="100" spans="1:12" ht="71.400000000000006" hidden="1" x14ac:dyDescent="0.3">
      <c r="A100" s="98" t="s">
        <v>1642</v>
      </c>
      <c r="B100" s="99" t="s">
        <v>1643</v>
      </c>
      <c r="C100" s="99" t="s">
        <v>1647</v>
      </c>
      <c r="D100" s="99" t="s">
        <v>1362</v>
      </c>
      <c r="E100" s="100" t="s">
        <v>319</v>
      </c>
      <c r="F100" s="105">
        <v>90.43</v>
      </c>
      <c r="G100" s="105"/>
      <c r="H100" s="100" t="s">
        <v>13</v>
      </c>
      <c r="I100" s="102" t="s">
        <v>30</v>
      </c>
      <c r="J100" s="102"/>
      <c r="K100" s="103" t="s">
        <v>8</v>
      </c>
      <c r="L100" s="104">
        <v>922182.86</v>
      </c>
    </row>
    <row r="101" spans="1:12" ht="71.400000000000006" hidden="1" x14ac:dyDescent="0.3">
      <c r="A101" s="98" t="s">
        <v>1642</v>
      </c>
      <c r="B101" s="99" t="s">
        <v>1643</v>
      </c>
      <c r="C101" s="99" t="s">
        <v>1648</v>
      </c>
      <c r="D101" s="99" t="s">
        <v>1542</v>
      </c>
      <c r="E101" s="100" t="s">
        <v>319</v>
      </c>
      <c r="F101" s="105">
        <v>259.75</v>
      </c>
      <c r="G101" s="105"/>
      <c r="H101" s="100" t="s">
        <v>13</v>
      </c>
      <c r="I101" s="102" t="s">
        <v>30</v>
      </c>
      <c r="J101" s="102"/>
      <c r="K101" s="103" t="s">
        <v>8</v>
      </c>
      <c r="L101" s="104">
        <v>922442.61</v>
      </c>
    </row>
    <row r="102" spans="1:12" ht="71.400000000000006" hidden="1" x14ac:dyDescent="0.3">
      <c r="A102" s="98" t="s">
        <v>1642</v>
      </c>
      <c r="B102" s="99" t="s">
        <v>1643</v>
      </c>
      <c r="C102" s="99" t="s">
        <v>1649</v>
      </c>
      <c r="D102" s="99" t="s">
        <v>326</v>
      </c>
      <c r="E102" s="100" t="s">
        <v>319</v>
      </c>
      <c r="F102" s="101">
        <v>2021.6</v>
      </c>
      <c r="G102" s="101"/>
      <c r="H102" s="100" t="s">
        <v>13</v>
      </c>
      <c r="I102" s="102" t="s">
        <v>30</v>
      </c>
      <c r="J102" s="102"/>
      <c r="K102" s="103" t="s">
        <v>8</v>
      </c>
      <c r="L102" s="104">
        <v>924464.21</v>
      </c>
    </row>
    <row r="103" spans="1:12" ht="71.400000000000006" hidden="1" x14ac:dyDescent="0.3">
      <c r="A103" s="98" t="s">
        <v>1642</v>
      </c>
      <c r="B103" s="99" t="s">
        <v>1643</v>
      </c>
      <c r="C103" s="99" t="s">
        <v>1649</v>
      </c>
      <c r="D103" s="99" t="s">
        <v>1544</v>
      </c>
      <c r="E103" s="100" t="s">
        <v>319</v>
      </c>
      <c r="F103" s="105">
        <v>554.76</v>
      </c>
      <c r="G103" s="105"/>
      <c r="H103" s="100" t="s">
        <v>13</v>
      </c>
      <c r="I103" s="102" t="s">
        <v>30</v>
      </c>
      <c r="J103" s="102"/>
      <c r="K103" s="103" t="s">
        <v>8</v>
      </c>
      <c r="L103" s="104">
        <v>925018.97</v>
      </c>
    </row>
    <row r="104" spans="1:12" ht="61.2" hidden="1" x14ac:dyDescent="0.3">
      <c r="A104" s="98" t="s">
        <v>1642</v>
      </c>
      <c r="B104" s="99" t="s">
        <v>1643</v>
      </c>
      <c r="C104" s="99" t="s">
        <v>1650</v>
      </c>
      <c r="D104" s="99" t="s">
        <v>916</v>
      </c>
      <c r="E104" s="100" t="s">
        <v>319</v>
      </c>
      <c r="F104" s="101">
        <v>6526.66</v>
      </c>
      <c r="G104" s="101"/>
      <c r="H104" s="100" t="s">
        <v>13</v>
      </c>
      <c r="I104" s="102" t="s">
        <v>30</v>
      </c>
      <c r="J104" s="102"/>
      <c r="K104" s="103" t="s">
        <v>8</v>
      </c>
      <c r="L104" s="104">
        <v>931545.63</v>
      </c>
    </row>
    <row r="105" spans="1:12" ht="61.2" hidden="1" x14ac:dyDescent="0.3">
      <c r="A105" s="98" t="s">
        <v>1642</v>
      </c>
      <c r="B105" s="99" t="s">
        <v>1643</v>
      </c>
      <c r="C105" s="99" t="s">
        <v>1651</v>
      </c>
      <c r="D105" s="99" t="s">
        <v>1652</v>
      </c>
      <c r="E105" s="100" t="s">
        <v>319</v>
      </c>
      <c r="F105" s="101">
        <v>2515.98</v>
      </c>
      <c r="G105" s="101"/>
      <c r="H105" s="100" t="s">
        <v>13</v>
      </c>
      <c r="I105" s="102" t="s">
        <v>30</v>
      </c>
      <c r="J105" s="102"/>
      <c r="K105" s="103" t="s">
        <v>8</v>
      </c>
      <c r="L105" s="104">
        <v>934061.61</v>
      </c>
    </row>
    <row r="106" spans="1:12" ht="61.2" hidden="1" x14ac:dyDescent="0.3">
      <c r="A106" s="98" t="s">
        <v>1642</v>
      </c>
      <c r="B106" s="99" t="s">
        <v>1643</v>
      </c>
      <c r="C106" s="99" t="s">
        <v>1651</v>
      </c>
      <c r="D106" s="99" t="s">
        <v>1372</v>
      </c>
      <c r="E106" s="100" t="s">
        <v>319</v>
      </c>
      <c r="F106" s="101">
        <v>4017.56</v>
      </c>
      <c r="G106" s="101"/>
      <c r="H106" s="100" t="s">
        <v>13</v>
      </c>
      <c r="I106" s="102" t="s">
        <v>30</v>
      </c>
      <c r="J106" s="102"/>
      <c r="K106" s="103" t="s">
        <v>8</v>
      </c>
      <c r="L106" s="104">
        <v>938079.17</v>
      </c>
    </row>
    <row r="107" spans="1:12" ht="61.2" hidden="1" x14ac:dyDescent="0.3">
      <c r="A107" s="98" t="s">
        <v>1642</v>
      </c>
      <c r="B107" s="99" t="s">
        <v>1643</v>
      </c>
      <c r="C107" s="99" t="s">
        <v>1653</v>
      </c>
      <c r="D107" s="99" t="s">
        <v>746</v>
      </c>
      <c r="E107" s="100" t="s">
        <v>319</v>
      </c>
      <c r="F107" s="101">
        <v>4244.22</v>
      </c>
      <c r="G107" s="101"/>
      <c r="H107" s="100" t="s">
        <v>13</v>
      </c>
      <c r="I107" s="102" t="s">
        <v>30</v>
      </c>
      <c r="J107" s="102"/>
      <c r="K107" s="103" t="s">
        <v>8</v>
      </c>
      <c r="L107" s="104">
        <v>942323.39</v>
      </c>
    </row>
    <row r="108" spans="1:12" ht="61.2" hidden="1" x14ac:dyDescent="0.3">
      <c r="A108" s="98" t="s">
        <v>1642</v>
      </c>
      <c r="B108" s="99" t="s">
        <v>1643</v>
      </c>
      <c r="C108" s="99" t="s">
        <v>1654</v>
      </c>
      <c r="D108" s="99" t="s">
        <v>324</v>
      </c>
      <c r="E108" s="100" t="s">
        <v>319</v>
      </c>
      <c r="F108" s="101">
        <v>1448.88</v>
      </c>
      <c r="G108" s="101"/>
      <c r="H108" s="100" t="s">
        <v>13</v>
      </c>
      <c r="I108" s="102" t="s">
        <v>30</v>
      </c>
      <c r="J108" s="102"/>
      <c r="K108" s="103" t="s">
        <v>8</v>
      </c>
      <c r="L108" s="104">
        <v>943772.27</v>
      </c>
    </row>
    <row r="109" spans="1:12" ht="61.2" hidden="1" x14ac:dyDescent="0.3">
      <c r="A109" s="98" t="s">
        <v>1642</v>
      </c>
      <c r="B109" s="99" t="s">
        <v>1643</v>
      </c>
      <c r="C109" s="99" t="s">
        <v>1654</v>
      </c>
      <c r="D109" s="99" t="s">
        <v>936</v>
      </c>
      <c r="E109" s="100" t="s">
        <v>319</v>
      </c>
      <c r="F109" s="101">
        <v>24134.79</v>
      </c>
      <c r="G109" s="101"/>
      <c r="H109" s="100" t="s">
        <v>13</v>
      </c>
      <c r="I109" s="102" t="s">
        <v>30</v>
      </c>
      <c r="J109" s="102"/>
      <c r="K109" s="103" t="s">
        <v>8</v>
      </c>
      <c r="L109" s="104">
        <v>967907.06</v>
      </c>
    </row>
    <row r="110" spans="1:12" ht="61.2" hidden="1" x14ac:dyDescent="0.3">
      <c r="A110" s="98" t="s">
        <v>1642</v>
      </c>
      <c r="B110" s="99" t="s">
        <v>1643</v>
      </c>
      <c r="C110" s="99" t="s">
        <v>1655</v>
      </c>
      <c r="D110" s="99" t="s">
        <v>1434</v>
      </c>
      <c r="E110" s="100" t="s">
        <v>319</v>
      </c>
      <c r="F110" s="101">
        <v>1604.74</v>
      </c>
      <c r="G110" s="101"/>
      <c r="H110" s="100" t="s">
        <v>13</v>
      </c>
      <c r="I110" s="102" t="s">
        <v>30</v>
      </c>
      <c r="J110" s="102"/>
      <c r="K110" s="103" t="s">
        <v>8</v>
      </c>
      <c r="L110" s="104">
        <v>969511.8</v>
      </c>
    </row>
    <row r="111" spans="1:12" ht="61.2" hidden="1" x14ac:dyDescent="0.3">
      <c r="A111" s="98" t="s">
        <v>1642</v>
      </c>
      <c r="B111" s="99" t="s">
        <v>1656</v>
      </c>
      <c r="C111" s="99" t="s">
        <v>1657</v>
      </c>
      <c r="D111" s="99" t="s">
        <v>1658</v>
      </c>
      <c r="E111" s="100" t="s">
        <v>319</v>
      </c>
      <c r="F111" s="101">
        <v>14375.81</v>
      </c>
      <c r="G111" s="101"/>
      <c r="H111" s="100" t="s">
        <v>13</v>
      </c>
      <c r="I111" s="102" t="s">
        <v>30</v>
      </c>
      <c r="J111" s="102"/>
      <c r="K111" s="103" t="s">
        <v>8</v>
      </c>
      <c r="L111" s="104">
        <v>983887.61</v>
      </c>
    </row>
    <row r="112" spans="1:12" ht="61.2" hidden="1" x14ac:dyDescent="0.3">
      <c r="A112" s="98" t="s">
        <v>1642</v>
      </c>
      <c r="B112" s="99" t="s">
        <v>1656</v>
      </c>
      <c r="C112" s="99" t="s">
        <v>1657</v>
      </c>
      <c r="D112" s="99" t="s">
        <v>1659</v>
      </c>
      <c r="E112" s="100" t="s">
        <v>319</v>
      </c>
      <c r="F112" s="101">
        <v>14816.45</v>
      </c>
      <c r="G112" s="101"/>
      <c r="H112" s="100" t="s">
        <v>13</v>
      </c>
      <c r="I112" s="102" t="s">
        <v>30</v>
      </c>
      <c r="J112" s="102"/>
      <c r="K112" s="103" t="s">
        <v>8</v>
      </c>
      <c r="L112" s="104">
        <v>998704.06</v>
      </c>
    </row>
    <row r="113" spans="1:12" ht="61.2" hidden="1" x14ac:dyDescent="0.3">
      <c r="A113" s="98" t="s">
        <v>1642</v>
      </c>
      <c r="B113" s="99" t="s">
        <v>1656</v>
      </c>
      <c r="C113" s="99" t="s">
        <v>1657</v>
      </c>
      <c r="D113" s="99" t="s">
        <v>937</v>
      </c>
      <c r="E113" s="100" t="s">
        <v>319</v>
      </c>
      <c r="F113" s="101">
        <v>327125.07</v>
      </c>
      <c r="G113" s="101"/>
      <c r="H113" s="100" t="s">
        <v>13</v>
      </c>
      <c r="I113" s="102" t="s">
        <v>30</v>
      </c>
      <c r="J113" s="102"/>
      <c r="K113" s="103" t="s">
        <v>8</v>
      </c>
      <c r="L113" s="104">
        <v>1325829.1299999999</v>
      </c>
    </row>
    <row r="114" spans="1:12" ht="61.2" hidden="1" x14ac:dyDescent="0.3">
      <c r="A114" s="98" t="s">
        <v>1642</v>
      </c>
      <c r="B114" s="99" t="s">
        <v>1656</v>
      </c>
      <c r="C114" s="99" t="s">
        <v>1660</v>
      </c>
      <c r="D114" s="99" t="s">
        <v>936</v>
      </c>
      <c r="E114" s="100" t="s">
        <v>319</v>
      </c>
      <c r="F114" s="101">
        <v>32259.38</v>
      </c>
      <c r="G114" s="101"/>
      <c r="H114" s="100" t="s">
        <v>13</v>
      </c>
      <c r="I114" s="102" t="s">
        <v>30</v>
      </c>
      <c r="J114" s="102"/>
      <c r="K114" s="103" t="s">
        <v>8</v>
      </c>
      <c r="L114" s="104">
        <v>1358088.51</v>
      </c>
    </row>
    <row r="115" spans="1:12" ht="61.2" hidden="1" x14ac:dyDescent="0.3">
      <c r="A115" s="98" t="s">
        <v>1642</v>
      </c>
      <c r="B115" s="99" t="s">
        <v>1656</v>
      </c>
      <c r="C115" s="99" t="s">
        <v>1660</v>
      </c>
      <c r="D115" s="99" t="s">
        <v>1376</v>
      </c>
      <c r="E115" s="100" t="s">
        <v>319</v>
      </c>
      <c r="F115" s="101">
        <v>8519.19</v>
      </c>
      <c r="G115" s="101"/>
      <c r="H115" s="100" t="s">
        <v>13</v>
      </c>
      <c r="I115" s="102" t="s">
        <v>30</v>
      </c>
      <c r="J115" s="102"/>
      <c r="K115" s="103" t="s">
        <v>8</v>
      </c>
      <c r="L115" s="104">
        <v>1366607.7</v>
      </c>
    </row>
    <row r="116" spans="1:12" x14ac:dyDescent="0.3">
      <c r="A116" s="111" t="s">
        <v>206</v>
      </c>
      <c r="B116" s="111"/>
      <c r="C116" s="111"/>
      <c r="D116" s="111"/>
      <c r="E116" s="112">
        <v>1738508.23</v>
      </c>
      <c r="F116" s="112"/>
      <c r="G116" s="112"/>
      <c r="H116" s="112">
        <v>371900.53</v>
      </c>
      <c r="I116" s="112"/>
      <c r="J116" s="112"/>
      <c r="K116" s="113" t="s">
        <v>8</v>
      </c>
      <c r="L116" s="114">
        <v>1366607.7</v>
      </c>
    </row>
    <row r="118" spans="1:12" x14ac:dyDescent="0.3">
      <c r="J118" s="28">
        <f>SUBTOTAL(9,I17:J25)</f>
        <v>371900.53</v>
      </c>
    </row>
    <row r="119" spans="1:12" x14ac:dyDescent="0.3">
      <c r="J119" s="28">
        <f>J118*1.2</f>
        <v>446280.636</v>
      </c>
    </row>
  </sheetData>
  <autoFilter ref="B1:D116" xr:uid="{03413DBD-4EE8-4AC0-AAFF-C7A5AEF4D7BC}">
    <filterColumn colId="0">
      <filters blank="1">
        <filter val="Вимога-накладна ІБ00-000075 від 02.02.2026 17:46:42_x000a_Списаны ТМЦ"/>
        <filter val="Вимога-накладна ІБ00-000076 від 02.02.2026 17:46:43_x000a_Списаны ТМЦ"/>
      </filters>
    </filterColumn>
  </autoFilter>
  <mergeCells count="238">
    <mergeCell ref="F115:G115"/>
    <mergeCell ref="I115:J115"/>
    <mergeCell ref="A116:D116"/>
    <mergeCell ref="E116:G116"/>
    <mergeCell ref="H116:J116"/>
    <mergeCell ref="F112:G112"/>
    <mergeCell ref="I112:J112"/>
    <mergeCell ref="F113:G113"/>
    <mergeCell ref="I113:J113"/>
    <mergeCell ref="F114:G114"/>
    <mergeCell ref="I114:J114"/>
    <mergeCell ref="F109:G109"/>
    <mergeCell ref="I109:J109"/>
    <mergeCell ref="F110:G110"/>
    <mergeCell ref="I110:J110"/>
    <mergeCell ref="F111:G111"/>
    <mergeCell ref="I111:J111"/>
    <mergeCell ref="F106:G106"/>
    <mergeCell ref="I106:J106"/>
    <mergeCell ref="F107:G107"/>
    <mergeCell ref="I107:J107"/>
    <mergeCell ref="F108:G108"/>
    <mergeCell ref="I108:J108"/>
    <mergeCell ref="F103:G103"/>
    <mergeCell ref="I103:J103"/>
    <mergeCell ref="F104:G104"/>
    <mergeCell ref="I104:J104"/>
    <mergeCell ref="F105:G105"/>
    <mergeCell ref="I105:J105"/>
    <mergeCell ref="F100:G100"/>
    <mergeCell ref="I100:J100"/>
    <mergeCell ref="F101:G101"/>
    <mergeCell ref="I101:J101"/>
    <mergeCell ref="F102:G102"/>
    <mergeCell ref="I102:J102"/>
    <mergeCell ref="F97:G97"/>
    <mergeCell ref="I97:J97"/>
    <mergeCell ref="F98:G98"/>
    <mergeCell ref="I98:J98"/>
    <mergeCell ref="F99:G99"/>
    <mergeCell ref="I99:J99"/>
    <mergeCell ref="F94:G94"/>
    <mergeCell ref="I94:J94"/>
    <mergeCell ref="F95:G95"/>
    <mergeCell ref="I95:J95"/>
    <mergeCell ref="F96:G96"/>
    <mergeCell ref="I96:J96"/>
    <mergeCell ref="F91:G91"/>
    <mergeCell ref="I91:J91"/>
    <mergeCell ref="F92:G92"/>
    <mergeCell ref="I92:J92"/>
    <mergeCell ref="F93:G93"/>
    <mergeCell ref="I93:J93"/>
    <mergeCell ref="F88:G88"/>
    <mergeCell ref="I88:J88"/>
    <mergeCell ref="F89:G89"/>
    <mergeCell ref="I89:J89"/>
    <mergeCell ref="F90:G90"/>
    <mergeCell ref="I90:J90"/>
    <mergeCell ref="F85:G85"/>
    <mergeCell ref="I85:J85"/>
    <mergeCell ref="F86:G86"/>
    <mergeCell ref="I86:J86"/>
    <mergeCell ref="F87:G87"/>
    <mergeCell ref="I87:J87"/>
    <mergeCell ref="F82:G82"/>
    <mergeCell ref="I82:J82"/>
    <mergeCell ref="F83:G83"/>
    <mergeCell ref="I83:J83"/>
    <mergeCell ref="F84:G84"/>
    <mergeCell ref="I84:J84"/>
    <mergeCell ref="F79:G79"/>
    <mergeCell ref="I79:J79"/>
    <mergeCell ref="F80:G80"/>
    <mergeCell ref="I80:J80"/>
    <mergeCell ref="F81:G81"/>
    <mergeCell ref="I81:J81"/>
    <mergeCell ref="F76:G76"/>
    <mergeCell ref="I76:J76"/>
    <mergeCell ref="F77:G77"/>
    <mergeCell ref="I77:J77"/>
    <mergeCell ref="F78:G78"/>
    <mergeCell ref="I78:J78"/>
    <mergeCell ref="F73:G73"/>
    <mergeCell ref="I73:J73"/>
    <mergeCell ref="F74:G74"/>
    <mergeCell ref="I74:J74"/>
    <mergeCell ref="F75:G75"/>
    <mergeCell ref="I75:J75"/>
    <mergeCell ref="F70:G70"/>
    <mergeCell ref="I70:J70"/>
    <mergeCell ref="F71:G71"/>
    <mergeCell ref="I71:J71"/>
    <mergeCell ref="F72:G72"/>
    <mergeCell ref="I72:J72"/>
    <mergeCell ref="F67:G67"/>
    <mergeCell ref="I67:J67"/>
    <mergeCell ref="F68:G68"/>
    <mergeCell ref="I68:J68"/>
    <mergeCell ref="F69:G69"/>
    <mergeCell ref="I69:J69"/>
    <mergeCell ref="F64:G64"/>
    <mergeCell ref="I64:J64"/>
    <mergeCell ref="F65:G65"/>
    <mergeCell ref="I65:J65"/>
    <mergeCell ref="F66:G66"/>
    <mergeCell ref="I66:J66"/>
    <mergeCell ref="F61:G61"/>
    <mergeCell ref="I61:J61"/>
    <mergeCell ref="F62:G62"/>
    <mergeCell ref="I62:J62"/>
    <mergeCell ref="F63:G63"/>
    <mergeCell ref="I63:J63"/>
    <mergeCell ref="F58:G58"/>
    <mergeCell ref="I58:J58"/>
    <mergeCell ref="F59:G59"/>
    <mergeCell ref="I59:J59"/>
    <mergeCell ref="F60:G60"/>
    <mergeCell ref="I60:J60"/>
    <mergeCell ref="F55:G55"/>
    <mergeCell ref="I55:J55"/>
    <mergeCell ref="F56:G56"/>
    <mergeCell ref="I56:J56"/>
    <mergeCell ref="F57:G57"/>
    <mergeCell ref="I57:J57"/>
    <mergeCell ref="F52:G52"/>
    <mergeCell ref="I52:J52"/>
    <mergeCell ref="F53:G53"/>
    <mergeCell ref="I53:J53"/>
    <mergeCell ref="F54:G54"/>
    <mergeCell ref="I54:J54"/>
    <mergeCell ref="F49:G49"/>
    <mergeCell ref="I49:J49"/>
    <mergeCell ref="F50:G50"/>
    <mergeCell ref="I50:J50"/>
    <mergeCell ref="F51:G51"/>
    <mergeCell ref="I51:J51"/>
    <mergeCell ref="F46:G46"/>
    <mergeCell ref="I46:J46"/>
    <mergeCell ref="F47:G47"/>
    <mergeCell ref="I47:J47"/>
    <mergeCell ref="F48:G48"/>
    <mergeCell ref="I48:J48"/>
    <mergeCell ref="F43:G43"/>
    <mergeCell ref="I43:J43"/>
    <mergeCell ref="F44:G44"/>
    <mergeCell ref="I44:J44"/>
    <mergeCell ref="F45:G45"/>
    <mergeCell ref="I45:J45"/>
    <mergeCell ref="F40:G40"/>
    <mergeCell ref="I40:J40"/>
    <mergeCell ref="F41:G41"/>
    <mergeCell ref="I41:J41"/>
    <mergeCell ref="F42:G42"/>
    <mergeCell ref="I42:J42"/>
    <mergeCell ref="F37:G37"/>
    <mergeCell ref="I37:J37"/>
    <mergeCell ref="F38:G38"/>
    <mergeCell ref="I38:J38"/>
    <mergeCell ref="F39:G39"/>
    <mergeCell ref="I39:J39"/>
    <mergeCell ref="F34:G34"/>
    <mergeCell ref="I34:J34"/>
    <mergeCell ref="F35:G35"/>
    <mergeCell ref="I35:J35"/>
    <mergeCell ref="F36:G36"/>
    <mergeCell ref="I36:J36"/>
    <mergeCell ref="F31:G31"/>
    <mergeCell ref="I31:J31"/>
    <mergeCell ref="F32:G32"/>
    <mergeCell ref="I32:J32"/>
    <mergeCell ref="F33:G33"/>
    <mergeCell ref="I33:J33"/>
    <mergeCell ref="F28:G28"/>
    <mergeCell ref="I28:J28"/>
    <mergeCell ref="F29:G29"/>
    <mergeCell ref="I29:J29"/>
    <mergeCell ref="F30:G30"/>
    <mergeCell ref="I30:J30"/>
    <mergeCell ref="F25:G25"/>
    <mergeCell ref="I25:J25"/>
    <mergeCell ref="F26:G26"/>
    <mergeCell ref="I26:J26"/>
    <mergeCell ref="F27:G27"/>
    <mergeCell ref="I27:J27"/>
    <mergeCell ref="F22:G22"/>
    <mergeCell ref="I22:J22"/>
    <mergeCell ref="F23:G23"/>
    <mergeCell ref="I23:J23"/>
    <mergeCell ref="F24:G24"/>
    <mergeCell ref="I24:J24"/>
    <mergeCell ref="F19:G19"/>
    <mergeCell ref="I19:J19"/>
    <mergeCell ref="F20:G20"/>
    <mergeCell ref="I20:J20"/>
    <mergeCell ref="F21:G21"/>
    <mergeCell ref="I21:J21"/>
    <mergeCell ref="F16:G16"/>
    <mergeCell ref="I16:J16"/>
    <mergeCell ref="F17:G17"/>
    <mergeCell ref="I17:J17"/>
    <mergeCell ref="F18:G18"/>
    <mergeCell ref="I18:J18"/>
    <mergeCell ref="F13:G13"/>
    <mergeCell ref="I13:J13"/>
    <mergeCell ref="F14:G14"/>
    <mergeCell ref="I14:J14"/>
    <mergeCell ref="F15:G15"/>
    <mergeCell ref="I15:J15"/>
    <mergeCell ref="F10:G10"/>
    <mergeCell ref="I10:J10"/>
    <mergeCell ref="F11:G11"/>
    <mergeCell ref="I11:J11"/>
    <mergeCell ref="F12:G12"/>
    <mergeCell ref="I12:J12"/>
    <mergeCell ref="F7:G7"/>
    <mergeCell ref="I7:J7"/>
    <mergeCell ref="F8:G8"/>
    <mergeCell ref="I8:J8"/>
    <mergeCell ref="F9:G9"/>
    <mergeCell ref="I9:J9"/>
    <mergeCell ref="F4:G4"/>
    <mergeCell ref="I4:J4"/>
    <mergeCell ref="F5:G5"/>
    <mergeCell ref="I5:J5"/>
    <mergeCell ref="F6:G6"/>
    <mergeCell ref="I6:J6"/>
    <mergeCell ref="K1:L2"/>
    <mergeCell ref="F2:G2"/>
    <mergeCell ref="I2:J2"/>
    <mergeCell ref="F3:G3"/>
    <mergeCell ref="I3:J3"/>
    <mergeCell ref="A1:A2"/>
    <mergeCell ref="B1:B2"/>
    <mergeCell ref="C1:C2"/>
    <mergeCell ref="D1:D2"/>
    <mergeCell ref="E1:G1"/>
    <mergeCell ref="H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Тищенки</vt:lpstr>
      <vt:lpstr>МХП</vt:lpstr>
      <vt:lpstr>Глобино-2</vt:lpstr>
      <vt:lpstr>Глобино-2_2051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i.steblianko</dc:creator>
  <cp:lastModifiedBy>i.steblianko</cp:lastModifiedBy>
  <dcterms:created xsi:type="dcterms:W3CDTF">2015-06-05T18:17:20Z</dcterms:created>
  <dcterms:modified xsi:type="dcterms:W3CDTF">2026-03-23T16:12:07Z</dcterms:modified>
</cp:coreProperties>
</file>
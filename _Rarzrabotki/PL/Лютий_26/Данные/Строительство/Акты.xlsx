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Лютий_26\Данные\Строительство\"/>
    </mc:Choice>
  </mc:AlternateContent>
  <xr:revisionPtr revIDLastSave="0" documentId="13_ncr:1_{39E51D9C-BA99-47EB-BA86-21B1047949BB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4" i="1" l="1"/>
  <c r="E88" i="1" l="1"/>
  <c r="E87" i="1"/>
  <c r="E85" i="1"/>
  <c r="E70" i="1"/>
  <c r="E69" i="1"/>
  <c r="E68" i="1"/>
  <c r="E66" i="1"/>
  <c r="E67" i="1" s="1"/>
</calcChain>
</file>

<file path=xl/sharedStrings.xml><?xml version="1.0" encoding="utf-8"?>
<sst xmlns="http://schemas.openxmlformats.org/spreadsheetml/2006/main" count="722" uniqueCount="246">
  <si>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</si>
  <si>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</si>
  <si>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</si>
  <si>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</si>
  <si>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</si>
  <si>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</si>
  <si>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</si>
  <si>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</si>
  <si>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</si>
  <si>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</si>
  <si>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Так</t>
  </si>
  <si>
    <t>02.02.2026 11:03:04</t>
  </si>
  <si>
    <t>ІБ00-000045</t>
  </si>
  <si>
    <t>АСТАРТА АГРО ПРОТЕЇН ТОВ</t>
  </si>
  <si>
    <t>грн</t>
  </si>
  <si>
    <t>Виробничий (Глобине-2)</t>
  </si>
  <si>
    <t>ТОВ "ІНДАСТРІАЛБУД"</t>
  </si>
  <si>
    <t>Хлань Елена</t>
  </si>
  <si>
    <t xml:space="preserve"> Акт 22/1.26_Б</t>
  </si>
  <si>
    <t>02.02.2026 11:04:26</t>
  </si>
  <si>
    <t>ІБ00-000047</t>
  </si>
  <si>
    <t xml:space="preserve"> Акт 8/1.3-АР</t>
  </si>
  <si>
    <t>02.02.2026 11:05:42</t>
  </si>
  <si>
    <t>ІБ00-000048</t>
  </si>
  <si>
    <t xml:space="preserve"> Акт 35/1.9-КМ (СПК)</t>
  </si>
  <si>
    <t>02.02.2026 11:06:33</t>
  </si>
  <si>
    <t>ІБ00-000049</t>
  </si>
  <si>
    <t>Акт 7/1.5-ТХ (Насосна пожежогасіння поз.7 по ГП)</t>
  </si>
  <si>
    <t>02.02.2026 11:07:10</t>
  </si>
  <si>
    <t>ІБ00-000050</t>
  </si>
  <si>
    <t>Акт 3/1.6-КМ (транспортна галерея)</t>
  </si>
  <si>
    <t>02.02.2026 11:07:50</t>
  </si>
  <si>
    <t>ІБ00-000051</t>
  </si>
  <si>
    <t>Акт 49/1.3-ТХ (Цех екстракції поз. 3 ГБ) (була сума 543 625,25)</t>
  </si>
  <si>
    <t>02.02.2026 11:08:43</t>
  </si>
  <si>
    <t>ІБ00-000052</t>
  </si>
  <si>
    <t>Акт 105/1.3-КМ(Цех екстракції поз. 3 ГБ)</t>
  </si>
  <si>
    <t>02.02.2026 11:09:24</t>
  </si>
  <si>
    <t>ІБ00-000053</t>
  </si>
  <si>
    <t xml:space="preserve"> Акт 2/1.18-АР ГРП (Газорегуляторний пункт)</t>
  </si>
  <si>
    <t>02.02.2026 11:10:11</t>
  </si>
  <si>
    <t>ІБ00-000054</t>
  </si>
  <si>
    <t xml:space="preserve"> Акт 6/1.10-АР</t>
  </si>
  <si>
    <t>02.02.2026 11:10:40</t>
  </si>
  <si>
    <t>ІБ00-000055</t>
  </si>
  <si>
    <t xml:space="preserve"> Акт 6/1.10-КМ</t>
  </si>
  <si>
    <t>02.02.2026 11:14:32</t>
  </si>
  <si>
    <t>ІБ00-000056</t>
  </si>
  <si>
    <t>Акт 51/1.3-ТХ (Цех екстракції поз. 3 ГБ)</t>
  </si>
  <si>
    <t>02.02.2026 11:15:06</t>
  </si>
  <si>
    <t>ІБ00-000057</t>
  </si>
  <si>
    <t xml:space="preserve"> Акт 23/1.26_Б</t>
  </si>
  <si>
    <t>Ні</t>
  </si>
  <si>
    <t>05.02.2026 16:35:29</t>
  </si>
  <si>
    <t>ІБ00-000061</t>
  </si>
  <si>
    <t>Акт 39/1.3-КБ(Цех екстракції поз. 3 ГБ)</t>
  </si>
  <si>
    <t>05.02.2026 16:36:11</t>
  </si>
  <si>
    <t>ІБ00-000062</t>
  </si>
  <si>
    <t xml:space="preserve"> Акт 36/1.9-КМ (СПК)</t>
  </si>
  <si>
    <t>05.02.2026 16:36:47</t>
  </si>
  <si>
    <t>ІБ00-000063</t>
  </si>
  <si>
    <t>Акт 4/1.6-КМ (транспортна галерея)</t>
  </si>
  <si>
    <t>05.02.2026 16:38:11</t>
  </si>
  <si>
    <t>ІБ00-000065</t>
  </si>
  <si>
    <t xml:space="preserve"> Акт 7/1.10-АР</t>
  </si>
  <si>
    <t>05.02.2026 16:38:50</t>
  </si>
  <si>
    <t>ІБ00-000066</t>
  </si>
  <si>
    <t xml:space="preserve"> Акт 4/1.12-КМ меляса</t>
  </si>
  <si>
    <t>05.02.2026 16:39:52</t>
  </si>
  <si>
    <t>ІБ00-000067</t>
  </si>
  <si>
    <t xml:space="preserve"> Акт 9/1.3-АР</t>
  </si>
  <si>
    <t>05.02.2026 16:56:49</t>
  </si>
  <si>
    <t>ІБ00-000071</t>
  </si>
  <si>
    <t>Акт 52/1.3-ТХ (Цех екстракції поз. 3 ГБ)</t>
  </si>
  <si>
    <t>06.02.2026 16:41:24</t>
  </si>
  <si>
    <t>ІБ00-000069</t>
  </si>
  <si>
    <t>ГЛОБИНСЬКИЙ ПЕРЕРОБНИЙ ЗАВОД ТОВ</t>
  </si>
  <si>
    <t>Акт 19/ГПЗ</t>
  </si>
  <si>
    <t>09.02.2026 13:20:42</t>
  </si>
  <si>
    <t>ІБ00-000074</t>
  </si>
  <si>
    <t xml:space="preserve"> Акт 8/1.10-АР</t>
  </si>
  <si>
    <t>Акт 54/1.3-ТХ (Цех екстракції поз. 3 ГБ)</t>
  </si>
  <si>
    <t>09.02.2026 13:22:04</t>
  </si>
  <si>
    <t>ІБ00-000076</t>
  </si>
  <si>
    <t>Акт 108/1.3-КМ(Цех екстракції поз. 3 ГБ)</t>
  </si>
  <si>
    <t>09.02.2026 13:22:51</t>
  </si>
  <si>
    <t>ІБ00-000077</t>
  </si>
  <si>
    <t>Акт 53/1.3-ТХ (Цех екстракції поз. 3 ГБ)</t>
  </si>
  <si>
    <t>09.02.2026 14:01:40</t>
  </si>
  <si>
    <t>ІБ00-000079</t>
  </si>
  <si>
    <t xml:space="preserve"> Акт 24/1.1-АР</t>
  </si>
  <si>
    <t>09.02.2026 14:03:11</t>
  </si>
  <si>
    <t>ІБ00-000080</t>
  </si>
  <si>
    <t xml:space="preserve"> Акт 25/1.1-АР</t>
  </si>
  <si>
    <t>09.02.2026 14:03:48</t>
  </si>
  <si>
    <t>ІБ00-000081</t>
  </si>
  <si>
    <t xml:space="preserve"> Акт 26/1.1-АР</t>
  </si>
  <si>
    <t>09.02.2026 16:37:28</t>
  </si>
  <si>
    <t>ІБ00-000064</t>
  </si>
  <si>
    <t>Акт 106/1.3-КМ(Цех екстракції поз. 3 ГБ)</t>
  </si>
  <si>
    <t>09.02.2026 16:40:34</t>
  </si>
  <si>
    <t>ІБ00-000068</t>
  </si>
  <si>
    <t xml:space="preserve"> Акт 34/1.14-АР (Котельня)</t>
  </si>
  <si>
    <t>09.02.2026 16:44:26</t>
  </si>
  <si>
    <t>ІБ00-000070</t>
  </si>
  <si>
    <t>Акт 107/1.3-КМ(Цех екстракції поз. 3 ГБ)</t>
  </si>
  <si>
    <t>09.02.2026 17:48:23</t>
  </si>
  <si>
    <t>ІБ00-000082</t>
  </si>
  <si>
    <t>КАТЕРИНОПІЛЬСЬКИЙ ЕЛЕВАТОР ТОВ</t>
  </si>
  <si>
    <t>Виробничий (Катеринопіль МХП)</t>
  </si>
  <si>
    <t>Акт 1 № 09/05/2025ВО від 09.05.2025</t>
  </si>
  <si>
    <t>10.02.2026 13:23:36</t>
  </si>
  <si>
    <t>ІБ00-000078</t>
  </si>
  <si>
    <t>Акт 20/ГПЗ</t>
  </si>
  <si>
    <t>12.02.2026 12:35:15</t>
  </si>
  <si>
    <t>ІБ00-000084</t>
  </si>
  <si>
    <t>АГРОФІРМА ІМ. ДОВЖЕНКА ТОВ</t>
  </si>
  <si>
    <t>Виробничий (Астарта_Тищенки)</t>
  </si>
  <si>
    <t>Аулова Маргарита</t>
  </si>
  <si>
    <t>Корівник №7 АВР № 2-22</t>
  </si>
  <si>
    <t>12.02.2026 12:38:20</t>
  </si>
  <si>
    <t>ІБ00-000085</t>
  </si>
  <si>
    <t>Корівник №6 АВР № 1/16</t>
  </si>
  <si>
    <t>13.02.2026 12:40:43</t>
  </si>
  <si>
    <t>ІБ00-000086</t>
  </si>
  <si>
    <t>Доїльно-молочний блок Акт 4-19</t>
  </si>
  <si>
    <t>13.02.2026 15:29:40</t>
  </si>
  <si>
    <t>ІБ00-000087</t>
  </si>
  <si>
    <t>Доїльно-молочний блок Акт 4-20</t>
  </si>
  <si>
    <t>16.02.2026 12:54:22</t>
  </si>
  <si>
    <t>ІБ00-000091</t>
  </si>
  <si>
    <t>16.02.2026 12:56:24</t>
  </si>
  <si>
    <t>ІБ00-000092</t>
  </si>
  <si>
    <t xml:space="preserve"> Акт 1/1.14-ВК (Котельня)</t>
  </si>
  <si>
    <t>16.02.2026 12:57:21</t>
  </si>
  <si>
    <t>ІБ00-000093</t>
  </si>
  <si>
    <t xml:space="preserve"> Акт 27/1.1-АР</t>
  </si>
  <si>
    <t>16.02.2026 12:57:59</t>
  </si>
  <si>
    <t>ІБ00-000094</t>
  </si>
  <si>
    <t xml:space="preserve"> Акт 37/1.9-КМ (СПК)</t>
  </si>
  <si>
    <t>16.02.2026 12:58:41</t>
  </si>
  <si>
    <t>ІБ00-000095</t>
  </si>
  <si>
    <t xml:space="preserve"> Акт 9/1.10-АР</t>
  </si>
  <si>
    <t>16.02.2026 12:59:43</t>
  </si>
  <si>
    <t>ІБ00-000096</t>
  </si>
  <si>
    <t xml:space="preserve"> Акт 10/1.3-АР</t>
  </si>
  <si>
    <t>16.02.2026 13:00:15</t>
  </si>
  <si>
    <t>ІБ00-000097</t>
  </si>
  <si>
    <t>Акт 109/1.3-КМ(Цех екстракції поз. 3 ГБ)</t>
  </si>
  <si>
    <t>16.02.2026 13:00:53</t>
  </si>
  <si>
    <t>ІБ00-000098</t>
  </si>
  <si>
    <t>Акт 110/1.3-КМ(Цех екстракції поз. 3 ГБ)</t>
  </si>
  <si>
    <t>16.02.2026 13:01:42</t>
  </si>
  <si>
    <t>ІБ00-000099</t>
  </si>
  <si>
    <t xml:space="preserve"> Акт 31/1.14-АР (Котельня)</t>
  </si>
  <si>
    <t>17.02.2026 13:03:14</t>
  </si>
  <si>
    <t>ІБ00-000101</t>
  </si>
  <si>
    <t>Акт 21/ГПЗ</t>
  </si>
  <si>
    <t>23.02.2026 14:37:47</t>
  </si>
  <si>
    <t>ІБ00-000104</t>
  </si>
  <si>
    <t xml:space="preserve"> Акт 24/1.26_Б</t>
  </si>
  <si>
    <t>23.02.2026 14:38:10</t>
  </si>
  <si>
    <t>ІБ00-000105</t>
  </si>
  <si>
    <t xml:space="preserve"> Акт 25/1.26_Б</t>
  </si>
  <si>
    <t>23.02.2026 14:38:51</t>
  </si>
  <si>
    <t>ІБ00-000106</t>
  </si>
  <si>
    <t xml:space="preserve"> Акт 10/1.10-АР</t>
  </si>
  <si>
    <t>23.02.2026 14:39:29</t>
  </si>
  <si>
    <t>ІБ00-000107</t>
  </si>
  <si>
    <t xml:space="preserve"> Акт 38/1.9-КМ (СПК)</t>
  </si>
  <si>
    <t>23.02.2026 14:40:18</t>
  </si>
  <si>
    <t>ІБ00-000108</t>
  </si>
  <si>
    <t>Акт 112/1.3-КМ(Цех екстракції поз. 3 ГБ)</t>
  </si>
  <si>
    <t>23.02.2026 14:40:43</t>
  </si>
  <si>
    <t>ІБ00-000109</t>
  </si>
  <si>
    <t>Акт 111/1.3-КМ(Цех екстракції поз. 3 ГБ)</t>
  </si>
  <si>
    <t>23.02.2026 14:43:46</t>
  </si>
  <si>
    <t>ІБ00-000111</t>
  </si>
  <si>
    <t>Акт 55/1.3-ТХ(Цех екстракції поз. 3 ГБ)</t>
  </si>
  <si>
    <t>23.02.2026 15:31:09</t>
  </si>
  <si>
    <t>ІБ00-000112</t>
  </si>
  <si>
    <t xml:space="preserve"> Акт 2/1.14-ВК (Котельня)</t>
  </si>
  <si>
    <t>23.02.2026 15:34:57</t>
  </si>
  <si>
    <t>ІБ00-000113</t>
  </si>
  <si>
    <t xml:space="preserve"> Акт 5/1.12-КМ меляса</t>
  </si>
  <si>
    <t>23.02.2026 15:35:53</t>
  </si>
  <si>
    <t>ІБ00-000114</t>
  </si>
  <si>
    <t xml:space="preserve"> Акт 11/1.3-АР</t>
  </si>
  <si>
    <t>23.02.2026 15:37:15</t>
  </si>
  <si>
    <t>ІБ00-000115</t>
  </si>
  <si>
    <t xml:space="preserve"> Акт 28/1.1-АР</t>
  </si>
  <si>
    <t>27.02.2026 00:00:00</t>
  </si>
  <si>
    <t>ІБ00-000037</t>
  </si>
  <si>
    <t>Корівник №7 АВР № 2/6 (зміна дати)</t>
  </si>
  <si>
    <t>ІБ00-000036</t>
  </si>
  <si>
    <t>Корівник №6 АВР № 1/6 (зміна дати)</t>
  </si>
  <si>
    <t>ІБ00-000013</t>
  </si>
  <si>
    <t>Корівник №7 АВР № 2/7</t>
  </si>
  <si>
    <t>ІБ00-000014</t>
  </si>
  <si>
    <t>Корівник №6 АВР № 1/7</t>
  </si>
  <si>
    <t>27.02.2026 16:01:32</t>
  </si>
  <si>
    <t>ІБ00-000134</t>
  </si>
  <si>
    <t>Доїльно-молочний блок Акт 4-21</t>
  </si>
  <si>
    <t>27.02.2026 16:11:07</t>
  </si>
  <si>
    <t>ІБ00-000135</t>
  </si>
  <si>
    <t>Корівник №7 АВР № 2-23</t>
  </si>
  <si>
    <t>27.02.2026 16:28:41</t>
  </si>
  <si>
    <t>ІБ00-000118</t>
  </si>
  <si>
    <t>Корівник №6 АВР № 1/17</t>
  </si>
  <si>
    <t>27.02.2026 17:00:21</t>
  </si>
  <si>
    <t>ІБ00-000103</t>
  </si>
  <si>
    <t>Доїльно-молочний блок Акт 4-2</t>
  </si>
  <si>
    <t>Астарта.Тищенки</t>
  </si>
  <si>
    <t>Глобино-2</t>
  </si>
  <si>
    <t>МХП Катеринополь</t>
  </si>
  <si>
    <t>Вид операції</t>
  </si>
  <si>
    <t>Склад</t>
  </si>
  <si>
    <t>Продаж, комісія</t>
  </si>
  <si>
    <t>Астарта_Тищенки</t>
  </si>
  <si>
    <t>02.02.2026 00:00:00</t>
  </si>
  <si>
    <t>ІБ00-000022</t>
  </si>
  <si>
    <t>Цех екстракції (Глобине)</t>
  </si>
  <si>
    <t>спец 3</t>
  </si>
  <si>
    <t>02.02.2026 00:00:01</t>
  </si>
  <si>
    <t>ІБ00-000023</t>
  </si>
  <si>
    <t>02.02.2026 00:00:03</t>
  </si>
  <si>
    <t>ІБ00-000024</t>
  </si>
  <si>
    <t>02.02.2026 00:00:04</t>
  </si>
  <si>
    <t>ІБ00-000025</t>
  </si>
  <si>
    <t>спец 6</t>
  </si>
  <si>
    <t>02.02.2026 00:00:05</t>
  </si>
  <si>
    <t>ІБ00-000026</t>
  </si>
  <si>
    <t>11.02.2026 14:29:15</t>
  </si>
  <si>
    <t>ІБ00-000032</t>
  </si>
  <si>
    <t>спец 12</t>
  </si>
  <si>
    <t>11.02.2026 14:30:35</t>
  </si>
  <si>
    <t>ІБ00-000033</t>
  </si>
  <si>
    <t>12.02.2026 09:28:35</t>
  </si>
  <si>
    <t>ІБ00-000034</t>
  </si>
  <si>
    <t>12.02.2026 09:37:49</t>
  </si>
  <si>
    <t>ІБ00-000035</t>
  </si>
  <si>
    <t>12.02.2026 16:09:24</t>
  </si>
  <si>
    <t>16.02.2026 00:00:00</t>
  </si>
  <si>
    <t>17.02.2026 08:52:49</t>
  </si>
  <si>
    <t>ІБ00-000038</t>
  </si>
  <si>
    <t>* перенесена на 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</si>
</sst>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8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0" fontId="3" fillId="3" borderId="1" xfId="1" applyNumberFormat="1" applyFont="1" applyFill="1" applyBorder="1" applyAlignment="1">
      <alignment horizontal="left" vertical="top"/>
    </xf>
    <xf numFmtId="4" fontId="3" fillId="3" borderId="1" xfId="1" applyNumberFormat="1" applyFont="1" applyFill="1" applyBorder="1" applyAlignment="1">
      <alignment horizontal="right" vertical="top"/>
    </xf>
    <xf numFmtId="0" fontId="4" fillId="0" borderId="2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Sheet1" xfId="1" xr:uid="{B803CB3A-D9C6-4338-B1F1-6D269481D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70" workbookViewId="0">
      <selection activeCell="H82" sqref="H82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8.77734375" bestFit="1" customWidth="1"/>
    <col min="4" max="4" width="31.33203125" bestFit="1" customWidth="1"/>
    <col min="5" max="5" width="12.33203125" bestFit="1" customWidth="1"/>
    <col min="6" max="6" width="7.6640625" bestFit="1" customWidth="1"/>
    <col min="7" max="7" width="22.6640625" bestFit="1" customWidth="1"/>
    <col min="8" max="8" width="16.6640625" bestFit="1" customWidth="1"/>
    <col min="9" max="9" width="14.5546875" bestFit="1" customWidth="1"/>
    <col min="10" max="10" width="43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70158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10</v>
      </c>
      <c r="B3" s="2" t="s">
        <v>19</v>
      </c>
      <c r="C3" s="2" t="s">
        <v>20</v>
      </c>
      <c r="D3" s="2" t="s">
        <v>13</v>
      </c>
      <c r="E3" s="3">
        <v>204642.04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21</v>
      </c>
    </row>
    <row r="4" spans="1:10" x14ac:dyDescent="0.3">
      <c r="A4" s="2" t="s">
        <v>10</v>
      </c>
      <c r="B4" s="2" t="s">
        <v>22</v>
      </c>
      <c r="C4" s="2" t="s">
        <v>23</v>
      </c>
      <c r="D4" s="2" t="s">
        <v>13</v>
      </c>
      <c r="E4" s="3">
        <v>880665.66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24</v>
      </c>
    </row>
    <row r="5" spans="1:10" x14ac:dyDescent="0.3">
      <c r="A5" s="2" t="s">
        <v>10</v>
      </c>
      <c r="B5" s="2" t="s">
        <v>25</v>
      </c>
      <c r="C5" s="2" t="s">
        <v>26</v>
      </c>
      <c r="D5" s="2" t="s">
        <v>13</v>
      </c>
      <c r="E5" s="3">
        <v>215055.07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27</v>
      </c>
    </row>
    <row r="6" spans="1:10" x14ac:dyDescent="0.3">
      <c r="A6" s="2" t="s">
        <v>10</v>
      </c>
      <c r="B6" s="2" t="s">
        <v>28</v>
      </c>
      <c r="C6" s="2" t="s">
        <v>29</v>
      </c>
      <c r="D6" s="2" t="s">
        <v>13</v>
      </c>
      <c r="E6" s="3">
        <v>358441.6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30</v>
      </c>
    </row>
    <row r="7" spans="1:10" x14ac:dyDescent="0.3">
      <c r="A7" s="2" t="s">
        <v>10</v>
      </c>
      <c r="B7" s="2" t="s">
        <v>31</v>
      </c>
      <c r="C7" s="2" t="s">
        <v>32</v>
      </c>
      <c r="D7" s="2" t="s">
        <v>13</v>
      </c>
      <c r="E7" s="3">
        <v>554317.25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33</v>
      </c>
    </row>
    <row r="8" spans="1:10" x14ac:dyDescent="0.3">
      <c r="A8" s="2" t="s">
        <v>10</v>
      </c>
      <c r="B8" s="2" t="s">
        <v>34</v>
      </c>
      <c r="C8" s="2" t="s">
        <v>35</v>
      </c>
      <c r="D8" s="2" t="s">
        <v>13</v>
      </c>
      <c r="E8" s="3">
        <v>77133.91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36</v>
      </c>
    </row>
    <row r="9" spans="1:10" x14ac:dyDescent="0.3">
      <c r="A9" s="2" t="s">
        <v>10</v>
      </c>
      <c r="B9" s="2" t="s">
        <v>37</v>
      </c>
      <c r="C9" s="2" t="s">
        <v>38</v>
      </c>
      <c r="D9" s="2" t="s">
        <v>13</v>
      </c>
      <c r="E9" s="3">
        <v>174172.31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39</v>
      </c>
    </row>
    <row r="10" spans="1:10" x14ac:dyDescent="0.3">
      <c r="A10" s="2" t="s">
        <v>10</v>
      </c>
      <c r="B10" s="2" t="s">
        <v>40</v>
      </c>
      <c r="C10" s="2" t="s">
        <v>41</v>
      </c>
      <c r="D10" s="2" t="s">
        <v>13</v>
      </c>
      <c r="E10" s="3">
        <v>421404.47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42</v>
      </c>
    </row>
    <row r="11" spans="1:10" x14ac:dyDescent="0.3">
      <c r="A11" s="2" t="s">
        <v>10</v>
      </c>
      <c r="B11" s="2" t="s">
        <v>43</v>
      </c>
      <c r="C11" s="2" t="s">
        <v>44</v>
      </c>
      <c r="D11" s="2" t="s">
        <v>13</v>
      </c>
      <c r="E11" s="3">
        <v>84784.27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45</v>
      </c>
    </row>
    <row r="12" spans="1:10" x14ac:dyDescent="0.3">
      <c r="A12" s="2" t="s">
        <v>10</v>
      </c>
      <c r="B12" s="2" t="s">
        <v>46</v>
      </c>
      <c r="C12" s="2" t="s">
        <v>47</v>
      </c>
      <c r="D12" s="2" t="s">
        <v>13</v>
      </c>
      <c r="E12" s="3">
        <v>2798739.08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48</v>
      </c>
    </row>
    <row r="13" spans="1:10" x14ac:dyDescent="0.3">
      <c r="A13" s="2" t="s">
        <v>10</v>
      </c>
      <c r="B13" s="2" t="s">
        <v>49</v>
      </c>
      <c r="C13" s="2" t="s">
        <v>50</v>
      </c>
      <c r="D13" s="2" t="s">
        <v>13</v>
      </c>
      <c r="E13" s="3">
        <v>256651.32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51</v>
      </c>
    </row>
    <row r="14" spans="1:10" x14ac:dyDescent="0.3">
      <c r="A14" s="2" t="s">
        <v>10</v>
      </c>
      <c r="B14" s="2" t="s">
        <v>53</v>
      </c>
      <c r="C14" s="2" t="s">
        <v>54</v>
      </c>
      <c r="D14" s="2" t="s">
        <v>13</v>
      </c>
      <c r="E14" s="3">
        <v>175474.19</v>
      </c>
      <c r="F14" s="2" t="s">
        <v>14</v>
      </c>
      <c r="G14" s="2" t="s">
        <v>15</v>
      </c>
      <c r="H14" s="2" t="s">
        <v>16</v>
      </c>
      <c r="I14" s="2" t="s">
        <v>17</v>
      </c>
      <c r="J14" s="2" t="s">
        <v>55</v>
      </c>
    </row>
    <row r="15" spans="1:10" x14ac:dyDescent="0.3">
      <c r="A15" s="2" t="s">
        <v>10</v>
      </c>
      <c r="B15" s="2" t="s">
        <v>56</v>
      </c>
      <c r="C15" s="2" t="s">
        <v>57</v>
      </c>
      <c r="D15" s="2" t="s">
        <v>13</v>
      </c>
      <c r="E15" s="3">
        <v>262338.24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58</v>
      </c>
    </row>
    <row r="16" spans="1:10" x14ac:dyDescent="0.3">
      <c r="A16" s="2" t="s">
        <v>10</v>
      </c>
      <c r="B16" s="2" t="s">
        <v>59</v>
      </c>
      <c r="C16" s="2" t="s">
        <v>60</v>
      </c>
      <c r="D16" s="2" t="s">
        <v>13</v>
      </c>
      <c r="E16" s="3">
        <v>28687.16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61</v>
      </c>
    </row>
    <row r="17" spans="1:10" x14ac:dyDescent="0.3">
      <c r="A17" s="2" t="s">
        <v>10</v>
      </c>
      <c r="B17" s="2" t="s">
        <v>62</v>
      </c>
      <c r="C17" s="2" t="s">
        <v>63</v>
      </c>
      <c r="D17" s="2" t="s">
        <v>13</v>
      </c>
      <c r="E17" s="3">
        <v>936063.55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64</v>
      </c>
    </row>
    <row r="18" spans="1:10" x14ac:dyDescent="0.3">
      <c r="A18" s="2" t="s">
        <v>10</v>
      </c>
      <c r="B18" s="2" t="s">
        <v>65</v>
      </c>
      <c r="C18" s="2" t="s">
        <v>66</v>
      </c>
      <c r="D18" s="2" t="s">
        <v>13</v>
      </c>
      <c r="E18" s="3">
        <v>315589.71999999997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67</v>
      </c>
    </row>
    <row r="19" spans="1:10" x14ac:dyDescent="0.3">
      <c r="A19" s="2" t="s">
        <v>10</v>
      </c>
      <c r="B19" s="2" t="s">
        <v>68</v>
      </c>
      <c r="C19" s="2" t="s">
        <v>69</v>
      </c>
      <c r="D19" s="2" t="s">
        <v>13</v>
      </c>
      <c r="E19" s="3">
        <v>183899.95</v>
      </c>
      <c r="F19" s="2" t="s">
        <v>14</v>
      </c>
      <c r="G19" s="2" t="s">
        <v>15</v>
      </c>
      <c r="H19" s="2" t="s">
        <v>16</v>
      </c>
      <c r="I19" s="2" t="s">
        <v>17</v>
      </c>
      <c r="J19" s="2" t="s">
        <v>70</v>
      </c>
    </row>
    <row r="20" spans="1:10" x14ac:dyDescent="0.3">
      <c r="A20" s="2" t="s">
        <v>10</v>
      </c>
      <c r="B20" s="2" t="s">
        <v>71</v>
      </c>
      <c r="C20" s="2" t="s">
        <v>72</v>
      </c>
      <c r="D20" s="2" t="s">
        <v>13</v>
      </c>
      <c r="E20" s="3">
        <v>136482.98000000001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73</v>
      </c>
    </row>
    <row r="21" spans="1:10" x14ac:dyDescent="0.3">
      <c r="A21" s="2" t="s">
        <v>10</v>
      </c>
      <c r="B21" s="2" t="s">
        <v>74</v>
      </c>
      <c r="C21" s="2" t="s">
        <v>75</v>
      </c>
      <c r="D21" s="2" t="s">
        <v>76</v>
      </c>
      <c r="E21" s="3">
        <v>72883.7</v>
      </c>
      <c r="F21" s="2" t="s">
        <v>14</v>
      </c>
      <c r="G21" s="2" t="s">
        <v>15</v>
      </c>
      <c r="H21" s="2" t="s">
        <v>16</v>
      </c>
      <c r="I21" s="2" t="s">
        <v>17</v>
      </c>
      <c r="J21" s="2" t="s">
        <v>77</v>
      </c>
    </row>
    <row r="22" spans="1:10" x14ac:dyDescent="0.3">
      <c r="A22" s="2" t="s">
        <v>10</v>
      </c>
      <c r="B22" s="2" t="s">
        <v>78</v>
      </c>
      <c r="C22" s="2" t="s">
        <v>79</v>
      </c>
      <c r="D22" s="2" t="s">
        <v>13</v>
      </c>
      <c r="E22" s="3">
        <v>273650.86</v>
      </c>
      <c r="F22" s="2" t="s">
        <v>14</v>
      </c>
      <c r="G22" s="2" t="s">
        <v>15</v>
      </c>
      <c r="H22" s="2" t="s">
        <v>16</v>
      </c>
      <c r="I22" s="2" t="s">
        <v>17</v>
      </c>
      <c r="J22" s="2" t="s">
        <v>80</v>
      </c>
    </row>
    <row r="23" spans="1:10" x14ac:dyDescent="0.3">
      <c r="A23" s="2" t="s">
        <v>10</v>
      </c>
      <c r="B23" s="2" t="s">
        <v>82</v>
      </c>
      <c r="C23" s="2" t="s">
        <v>83</v>
      </c>
      <c r="D23" s="2" t="s">
        <v>13</v>
      </c>
      <c r="E23" s="3">
        <v>128481.95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84</v>
      </c>
    </row>
    <row r="24" spans="1:10" x14ac:dyDescent="0.3">
      <c r="A24" s="2" t="s">
        <v>10</v>
      </c>
      <c r="B24" s="2" t="s">
        <v>85</v>
      </c>
      <c r="C24" s="2" t="s">
        <v>86</v>
      </c>
      <c r="D24" s="2" t="s">
        <v>13</v>
      </c>
      <c r="E24" s="3">
        <v>533235.67000000004</v>
      </c>
      <c r="F24" s="2" t="s">
        <v>14</v>
      </c>
      <c r="G24" s="2" t="s">
        <v>15</v>
      </c>
      <c r="H24" s="2" t="s">
        <v>16</v>
      </c>
      <c r="I24" s="2" t="s">
        <v>17</v>
      </c>
      <c r="J24" s="2" t="s">
        <v>87</v>
      </c>
    </row>
    <row r="25" spans="1:10" x14ac:dyDescent="0.3">
      <c r="A25" s="2" t="s">
        <v>10</v>
      </c>
      <c r="B25" s="2" t="s">
        <v>88</v>
      </c>
      <c r="C25" s="2" t="s">
        <v>89</v>
      </c>
      <c r="D25" s="2" t="s">
        <v>13</v>
      </c>
      <c r="E25" s="3">
        <v>649054.57999999996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90</v>
      </c>
    </row>
    <row r="26" spans="1:10" x14ac:dyDescent="0.3">
      <c r="A26" s="2" t="s">
        <v>10</v>
      </c>
      <c r="B26" s="2" t="s">
        <v>91</v>
      </c>
      <c r="C26" s="2" t="s">
        <v>92</v>
      </c>
      <c r="D26" s="2" t="s">
        <v>13</v>
      </c>
      <c r="E26" s="3">
        <v>454552.82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93</v>
      </c>
    </row>
    <row r="27" spans="1:10" x14ac:dyDescent="0.3">
      <c r="A27" s="2" t="s">
        <v>10</v>
      </c>
      <c r="B27" s="2" t="s">
        <v>94</v>
      </c>
      <c r="C27" s="2" t="s">
        <v>95</v>
      </c>
      <c r="D27" s="2" t="s">
        <v>13</v>
      </c>
      <c r="E27" s="3">
        <v>116725.38</v>
      </c>
      <c r="F27" s="2" t="s">
        <v>14</v>
      </c>
      <c r="G27" s="2" t="s">
        <v>15</v>
      </c>
      <c r="H27" s="2" t="s">
        <v>16</v>
      </c>
      <c r="I27" s="2" t="s">
        <v>17</v>
      </c>
      <c r="J27" s="2" t="s">
        <v>96</v>
      </c>
    </row>
    <row r="28" spans="1:10" x14ac:dyDescent="0.3">
      <c r="A28" s="2" t="s">
        <v>10</v>
      </c>
      <c r="B28" s="2" t="s">
        <v>97</v>
      </c>
      <c r="C28" s="2" t="s">
        <v>98</v>
      </c>
      <c r="D28" s="2" t="s">
        <v>13</v>
      </c>
      <c r="E28" s="3">
        <v>652230.06000000006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99</v>
      </c>
    </row>
    <row r="29" spans="1:10" x14ac:dyDescent="0.3">
      <c r="A29" s="2" t="s">
        <v>10</v>
      </c>
      <c r="B29" s="2" t="s">
        <v>100</v>
      </c>
      <c r="C29" s="2" t="s">
        <v>101</v>
      </c>
      <c r="D29" s="2" t="s">
        <v>13</v>
      </c>
      <c r="E29" s="3">
        <v>179400</v>
      </c>
      <c r="F29" s="2" t="s">
        <v>14</v>
      </c>
      <c r="G29" s="2" t="s">
        <v>15</v>
      </c>
      <c r="H29" s="2" t="s">
        <v>16</v>
      </c>
      <c r="I29" s="2" t="s">
        <v>17</v>
      </c>
      <c r="J29" s="2" t="s">
        <v>102</v>
      </c>
    </row>
    <row r="30" spans="1:10" x14ac:dyDescent="0.3">
      <c r="A30" s="2" t="s">
        <v>10</v>
      </c>
      <c r="B30" s="2" t="s">
        <v>103</v>
      </c>
      <c r="C30" s="2" t="s">
        <v>104</v>
      </c>
      <c r="D30" s="2" t="s">
        <v>13</v>
      </c>
      <c r="E30" s="3">
        <v>365374.43</v>
      </c>
      <c r="F30" s="2" t="s">
        <v>14</v>
      </c>
      <c r="G30" s="2" t="s">
        <v>15</v>
      </c>
      <c r="H30" s="2" t="s">
        <v>16</v>
      </c>
      <c r="I30" s="2" t="s">
        <v>17</v>
      </c>
      <c r="J30" s="2" t="s">
        <v>105</v>
      </c>
    </row>
    <row r="31" spans="1:10" x14ac:dyDescent="0.3">
      <c r="A31" s="2" t="s">
        <v>10</v>
      </c>
      <c r="B31" s="2" t="s">
        <v>106</v>
      </c>
      <c r="C31" s="2" t="s">
        <v>107</v>
      </c>
      <c r="D31" s="2" t="s">
        <v>108</v>
      </c>
      <c r="E31" s="3">
        <v>127233.04</v>
      </c>
      <c r="F31" s="2" t="s">
        <v>14</v>
      </c>
      <c r="G31" s="2" t="s">
        <v>109</v>
      </c>
      <c r="H31" s="2" t="s">
        <v>16</v>
      </c>
      <c r="I31" s="2" t="s">
        <v>17</v>
      </c>
      <c r="J31" s="2" t="s">
        <v>110</v>
      </c>
    </row>
    <row r="32" spans="1:10" x14ac:dyDescent="0.3">
      <c r="A32" s="2" t="s">
        <v>10</v>
      </c>
      <c r="B32" s="2" t="s">
        <v>111</v>
      </c>
      <c r="C32" s="2" t="s">
        <v>112</v>
      </c>
      <c r="D32" s="2" t="s">
        <v>76</v>
      </c>
      <c r="E32" s="3">
        <v>198829.25</v>
      </c>
      <c r="F32" s="2" t="s">
        <v>14</v>
      </c>
      <c r="G32" s="2" t="s">
        <v>15</v>
      </c>
      <c r="H32" s="2" t="s">
        <v>16</v>
      </c>
      <c r="I32" s="2" t="s">
        <v>17</v>
      </c>
      <c r="J32" s="2" t="s">
        <v>113</v>
      </c>
    </row>
    <row r="33" spans="1:10" x14ac:dyDescent="0.3">
      <c r="A33" s="2" t="s">
        <v>10</v>
      </c>
      <c r="B33" s="2" t="s">
        <v>114</v>
      </c>
      <c r="C33" s="2" t="s">
        <v>115</v>
      </c>
      <c r="D33" s="2" t="s">
        <v>116</v>
      </c>
      <c r="E33" s="3">
        <v>217515.79</v>
      </c>
      <c r="F33" s="2" t="s">
        <v>14</v>
      </c>
      <c r="G33" s="2" t="s">
        <v>117</v>
      </c>
      <c r="H33" s="2" t="s">
        <v>16</v>
      </c>
      <c r="I33" s="2" t="s">
        <v>118</v>
      </c>
      <c r="J33" s="2" t="s">
        <v>119</v>
      </c>
    </row>
    <row r="34" spans="1:10" x14ac:dyDescent="0.3">
      <c r="A34" s="2" t="s">
        <v>10</v>
      </c>
      <c r="B34" s="2" t="s">
        <v>120</v>
      </c>
      <c r="C34" s="2" t="s">
        <v>121</v>
      </c>
      <c r="D34" s="2" t="s">
        <v>116</v>
      </c>
      <c r="E34" s="3">
        <v>122197.68</v>
      </c>
      <c r="F34" s="2" t="s">
        <v>14</v>
      </c>
      <c r="G34" s="2" t="s">
        <v>117</v>
      </c>
      <c r="H34" s="2" t="s">
        <v>16</v>
      </c>
      <c r="I34" s="2" t="s">
        <v>118</v>
      </c>
      <c r="J34" s="2" t="s">
        <v>122</v>
      </c>
    </row>
    <row r="35" spans="1:10" x14ac:dyDescent="0.3">
      <c r="A35" s="2" t="s">
        <v>10</v>
      </c>
      <c r="B35" s="2" t="s">
        <v>123</v>
      </c>
      <c r="C35" s="2" t="s">
        <v>124</v>
      </c>
      <c r="D35" s="2" t="s">
        <v>116</v>
      </c>
      <c r="E35" s="3">
        <v>245948.66</v>
      </c>
      <c r="F35" s="2" t="s">
        <v>14</v>
      </c>
      <c r="G35" s="2" t="s">
        <v>117</v>
      </c>
      <c r="H35" s="2" t="s">
        <v>16</v>
      </c>
      <c r="I35" s="2" t="s">
        <v>118</v>
      </c>
      <c r="J35" s="2" t="s">
        <v>125</v>
      </c>
    </row>
    <row r="36" spans="1:10" x14ac:dyDescent="0.3">
      <c r="A36" s="2" t="s">
        <v>10</v>
      </c>
      <c r="B36" s="2" t="s">
        <v>126</v>
      </c>
      <c r="C36" s="2" t="s">
        <v>127</v>
      </c>
      <c r="D36" s="2" t="s">
        <v>116</v>
      </c>
      <c r="E36" s="3">
        <v>29277.8</v>
      </c>
      <c r="F36" s="2" t="s">
        <v>14</v>
      </c>
      <c r="G36" s="2" t="s">
        <v>117</v>
      </c>
      <c r="H36" s="2" t="s">
        <v>16</v>
      </c>
      <c r="I36" s="2" t="s">
        <v>118</v>
      </c>
      <c r="J36" s="2" t="s">
        <v>128</v>
      </c>
    </row>
    <row r="37" spans="1:10" x14ac:dyDescent="0.3">
      <c r="A37" s="2" t="s">
        <v>10</v>
      </c>
      <c r="B37" s="2" t="s">
        <v>129</v>
      </c>
      <c r="C37" s="2" t="s">
        <v>130</v>
      </c>
      <c r="D37" s="2" t="s">
        <v>13</v>
      </c>
      <c r="E37" s="3">
        <v>295498.93</v>
      </c>
      <c r="F37" s="2" t="s">
        <v>14</v>
      </c>
      <c r="G37" s="2" t="s">
        <v>15</v>
      </c>
      <c r="H37" s="2" t="s">
        <v>16</v>
      </c>
      <c r="I37" s="2" t="s">
        <v>17</v>
      </c>
      <c r="J37" s="2" t="s">
        <v>81</v>
      </c>
    </row>
    <row r="38" spans="1:10" x14ac:dyDescent="0.3">
      <c r="A38" s="2" t="s">
        <v>10</v>
      </c>
      <c r="B38" s="2" t="s">
        <v>131</v>
      </c>
      <c r="C38" s="2" t="s">
        <v>132</v>
      </c>
      <c r="D38" s="2" t="s">
        <v>13</v>
      </c>
      <c r="E38" s="3">
        <v>157601.62</v>
      </c>
      <c r="F38" s="2" t="s">
        <v>14</v>
      </c>
      <c r="G38" s="2" t="s">
        <v>15</v>
      </c>
      <c r="H38" s="2" t="s">
        <v>16</v>
      </c>
      <c r="I38" s="2" t="s">
        <v>17</v>
      </c>
      <c r="J38" s="2" t="s">
        <v>133</v>
      </c>
    </row>
    <row r="39" spans="1:10" x14ac:dyDescent="0.3">
      <c r="A39" s="2" t="s">
        <v>10</v>
      </c>
      <c r="B39" s="2" t="s">
        <v>134</v>
      </c>
      <c r="C39" s="2" t="s">
        <v>135</v>
      </c>
      <c r="D39" s="2" t="s">
        <v>13</v>
      </c>
      <c r="E39" s="3">
        <v>381376.4</v>
      </c>
      <c r="F39" s="2" t="s">
        <v>14</v>
      </c>
      <c r="G39" s="2" t="s">
        <v>15</v>
      </c>
      <c r="H39" s="2" t="s">
        <v>16</v>
      </c>
      <c r="I39" s="2" t="s">
        <v>17</v>
      </c>
      <c r="J39" s="2" t="s">
        <v>136</v>
      </c>
    </row>
    <row r="40" spans="1:10" x14ac:dyDescent="0.3">
      <c r="A40" s="2" t="s">
        <v>10</v>
      </c>
      <c r="B40" s="2" t="s">
        <v>137</v>
      </c>
      <c r="C40" s="2" t="s">
        <v>138</v>
      </c>
      <c r="D40" s="2" t="s">
        <v>13</v>
      </c>
      <c r="E40" s="3">
        <v>648454.67000000004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139</v>
      </c>
    </row>
    <row r="41" spans="1:10" x14ac:dyDescent="0.3">
      <c r="A41" s="2" t="s">
        <v>10</v>
      </c>
      <c r="B41" s="2" t="s">
        <v>140</v>
      </c>
      <c r="C41" s="2" t="s">
        <v>141</v>
      </c>
      <c r="D41" s="2" t="s">
        <v>13</v>
      </c>
      <c r="E41" s="3">
        <v>1846254.92</v>
      </c>
      <c r="F41" s="2" t="s">
        <v>14</v>
      </c>
      <c r="G41" s="2" t="s">
        <v>15</v>
      </c>
      <c r="H41" s="2" t="s">
        <v>16</v>
      </c>
      <c r="I41" s="2" t="s">
        <v>17</v>
      </c>
      <c r="J41" s="2" t="s">
        <v>142</v>
      </c>
    </row>
    <row r="42" spans="1:10" x14ac:dyDescent="0.3">
      <c r="A42" s="2" t="s">
        <v>10</v>
      </c>
      <c r="B42" s="2" t="s">
        <v>143</v>
      </c>
      <c r="C42" s="2" t="s">
        <v>144</v>
      </c>
      <c r="D42" s="2" t="s">
        <v>13</v>
      </c>
      <c r="E42" s="3">
        <v>1080140.02</v>
      </c>
      <c r="F42" s="2" t="s">
        <v>14</v>
      </c>
      <c r="G42" s="2" t="s">
        <v>15</v>
      </c>
      <c r="H42" s="2" t="s">
        <v>16</v>
      </c>
      <c r="I42" s="2" t="s">
        <v>17</v>
      </c>
      <c r="J42" s="2" t="s">
        <v>145</v>
      </c>
    </row>
    <row r="43" spans="1:10" x14ac:dyDescent="0.3">
      <c r="A43" s="2" t="s">
        <v>10</v>
      </c>
      <c r="B43" s="2" t="s">
        <v>146</v>
      </c>
      <c r="C43" s="2" t="s">
        <v>147</v>
      </c>
      <c r="D43" s="2" t="s">
        <v>13</v>
      </c>
      <c r="E43" s="3">
        <v>230343.42</v>
      </c>
      <c r="F43" s="2" t="s">
        <v>14</v>
      </c>
      <c r="G43" s="2" t="s">
        <v>15</v>
      </c>
      <c r="H43" s="2" t="s">
        <v>16</v>
      </c>
      <c r="I43" s="2" t="s">
        <v>17</v>
      </c>
      <c r="J43" s="2" t="s">
        <v>148</v>
      </c>
    </row>
    <row r="44" spans="1:10" x14ac:dyDescent="0.3">
      <c r="A44" s="2" t="s">
        <v>10</v>
      </c>
      <c r="B44" s="2" t="s">
        <v>149</v>
      </c>
      <c r="C44" s="2" t="s">
        <v>150</v>
      </c>
      <c r="D44" s="2" t="s">
        <v>13</v>
      </c>
      <c r="E44" s="3">
        <v>194130.37</v>
      </c>
      <c r="F44" s="2" t="s">
        <v>14</v>
      </c>
      <c r="G44" s="2" t="s">
        <v>15</v>
      </c>
      <c r="H44" s="2" t="s">
        <v>16</v>
      </c>
      <c r="I44" s="2" t="s">
        <v>17</v>
      </c>
      <c r="J44" s="2" t="s">
        <v>151</v>
      </c>
    </row>
    <row r="45" spans="1:10" x14ac:dyDescent="0.3">
      <c r="A45" s="2" t="s">
        <v>10</v>
      </c>
      <c r="B45" s="2" t="s">
        <v>152</v>
      </c>
      <c r="C45" s="2" t="s">
        <v>153</v>
      </c>
      <c r="D45" s="2" t="s">
        <v>13</v>
      </c>
      <c r="E45" s="3">
        <v>33414.160000000003</v>
      </c>
      <c r="F45" s="2" t="s">
        <v>14</v>
      </c>
      <c r="G45" s="2" t="s">
        <v>15</v>
      </c>
      <c r="H45" s="2" t="s">
        <v>16</v>
      </c>
      <c r="I45" s="2" t="s">
        <v>17</v>
      </c>
      <c r="J45" s="2" t="s">
        <v>154</v>
      </c>
    </row>
    <row r="46" spans="1:10" x14ac:dyDescent="0.3">
      <c r="A46" s="2" t="s">
        <v>10</v>
      </c>
      <c r="B46" s="2" t="s">
        <v>155</v>
      </c>
      <c r="C46" s="2" t="s">
        <v>156</v>
      </c>
      <c r="D46" s="2" t="s">
        <v>76</v>
      </c>
      <c r="E46" s="3">
        <v>88801.27</v>
      </c>
      <c r="F46" s="2" t="s">
        <v>14</v>
      </c>
      <c r="G46" s="2" t="s">
        <v>15</v>
      </c>
      <c r="H46" s="2" t="s">
        <v>16</v>
      </c>
      <c r="I46" s="2" t="s">
        <v>17</v>
      </c>
      <c r="J46" s="2" t="s">
        <v>157</v>
      </c>
    </row>
    <row r="47" spans="1:10" x14ac:dyDescent="0.3">
      <c r="A47" s="2" t="s">
        <v>10</v>
      </c>
      <c r="B47" s="2" t="s">
        <v>158</v>
      </c>
      <c r="C47" s="2" t="s">
        <v>159</v>
      </c>
      <c r="D47" s="2" t="s">
        <v>13</v>
      </c>
      <c r="E47" s="3">
        <v>191714.78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160</v>
      </c>
    </row>
    <row r="48" spans="1:10" x14ac:dyDescent="0.3">
      <c r="A48" s="2" t="s">
        <v>10</v>
      </c>
      <c r="B48" s="2" t="s">
        <v>161</v>
      </c>
      <c r="C48" s="2" t="s">
        <v>162</v>
      </c>
      <c r="D48" s="2" t="s">
        <v>13</v>
      </c>
      <c r="E48" s="3">
        <v>36000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163</v>
      </c>
    </row>
    <row r="49" spans="1:10" x14ac:dyDescent="0.3">
      <c r="A49" s="2" t="s">
        <v>10</v>
      </c>
      <c r="B49" s="2" t="s">
        <v>164</v>
      </c>
      <c r="C49" s="2" t="s">
        <v>165</v>
      </c>
      <c r="D49" s="2" t="s">
        <v>13</v>
      </c>
      <c r="E49" s="3">
        <v>1067993.6399999999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166</v>
      </c>
    </row>
    <row r="50" spans="1:10" x14ac:dyDescent="0.3">
      <c r="A50" s="2" t="s">
        <v>10</v>
      </c>
      <c r="B50" s="2" t="s">
        <v>167</v>
      </c>
      <c r="C50" s="2" t="s">
        <v>168</v>
      </c>
      <c r="D50" s="2" t="s">
        <v>13</v>
      </c>
      <c r="E50" s="3">
        <v>96657.19</v>
      </c>
      <c r="F50" s="2" t="s">
        <v>14</v>
      </c>
      <c r="G50" s="2" t="s">
        <v>15</v>
      </c>
      <c r="H50" s="2" t="s">
        <v>16</v>
      </c>
      <c r="I50" s="2" t="s">
        <v>17</v>
      </c>
      <c r="J50" s="2" t="s">
        <v>169</v>
      </c>
    </row>
    <row r="51" spans="1:10" x14ac:dyDescent="0.3">
      <c r="A51" s="2" t="s">
        <v>10</v>
      </c>
      <c r="B51" s="2" t="s">
        <v>170</v>
      </c>
      <c r="C51" s="2" t="s">
        <v>171</v>
      </c>
      <c r="D51" s="2" t="s">
        <v>13</v>
      </c>
      <c r="E51" s="3">
        <v>214864.4</v>
      </c>
      <c r="F51" s="2" t="s">
        <v>14</v>
      </c>
      <c r="G51" s="2" t="s">
        <v>15</v>
      </c>
      <c r="H51" s="2" t="s">
        <v>16</v>
      </c>
      <c r="I51" s="2" t="s">
        <v>17</v>
      </c>
      <c r="J51" s="2" t="s">
        <v>172</v>
      </c>
    </row>
    <row r="52" spans="1:10" x14ac:dyDescent="0.3">
      <c r="A52" s="2" t="s">
        <v>10</v>
      </c>
      <c r="B52" s="2" t="s">
        <v>173</v>
      </c>
      <c r="C52" s="2" t="s">
        <v>174</v>
      </c>
      <c r="D52" s="2" t="s">
        <v>13</v>
      </c>
      <c r="E52" s="3">
        <v>238885.1</v>
      </c>
      <c r="F52" s="2" t="s">
        <v>14</v>
      </c>
      <c r="G52" s="2" t="s">
        <v>15</v>
      </c>
      <c r="H52" s="2" t="s">
        <v>16</v>
      </c>
      <c r="I52" s="2" t="s">
        <v>17</v>
      </c>
      <c r="J52" s="2" t="s">
        <v>175</v>
      </c>
    </row>
    <row r="53" spans="1:10" x14ac:dyDescent="0.3">
      <c r="A53" s="2" t="s">
        <v>10</v>
      </c>
      <c r="B53" s="2" t="s">
        <v>176</v>
      </c>
      <c r="C53" s="2" t="s">
        <v>177</v>
      </c>
      <c r="D53" s="2" t="s">
        <v>13</v>
      </c>
      <c r="E53" s="3">
        <v>74210.240000000005</v>
      </c>
      <c r="F53" s="2" t="s">
        <v>14</v>
      </c>
      <c r="G53" s="2" t="s">
        <v>15</v>
      </c>
      <c r="H53" s="2" t="s">
        <v>16</v>
      </c>
      <c r="I53" s="2" t="s">
        <v>17</v>
      </c>
      <c r="J53" s="2" t="s">
        <v>178</v>
      </c>
    </row>
    <row r="54" spans="1:10" x14ac:dyDescent="0.3">
      <c r="A54" s="2" t="s">
        <v>10</v>
      </c>
      <c r="B54" s="2" t="s">
        <v>179</v>
      </c>
      <c r="C54" s="2" t="s">
        <v>180</v>
      </c>
      <c r="D54" s="2" t="s">
        <v>13</v>
      </c>
      <c r="E54" s="3">
        <v>84556.54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181</v>
      </c>
    </row>
    <row r="55" spans="1:10" x14ac:dyDescent="0.3">
      <c r="A55" s="2" t="s">
        <v>10</v>
      </c>
      <c r="B55" s="2" t="s">
        <v>182</v>
      </c>
      <c r="C55" s="2" t="s">
        <v>183</v>
      </c>
      <c r="D55" s="2" t="s">
        <v>13</v>
      </c>
      <c r="E55" s="3">
        <v>79626.8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184</v>
      </c>
    </row>
    <row r="56" spans="1:10" x14ac:dyDescent="0.3">
      <c r="A56" s="2" t="s">
        <v>10</v>
      </c>
      <c r="B56" s="2" t="s">
        <v>185</v>
      </c>
      <c r="C56" s="2" t="s">
        <v>186</v>
      </c>
      <c r="D56" s="2" t="s">
        <v>13</v>
      </c>
      <c r="E56" s="3">
        <v>570623.56999999995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187</v>
      </c>
    </row>
    <row r="57" spans="1:10" x14ac:dyDescent="0.3">
      <c r="A57" s="2" t="s">
        <v>10</v>
      </c>
      <c r="B57" s="2" t="s">
        <v>188</v>
      </c>
      <c r="C57" s="2" t="s">
        <v>189</v>
      </c>
      <c r="D57" s="2" t="s">
        <v>13</v>
      </c>
      <c r="E57" s="3">
        <v>312843.78000000003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190</v>
      </c>
    </row>
    <row r="58" spans="1:10" x14ac:dyDescent="0.3">
      <c r="A58" s="2" t="s">
        <v>10</v>
      </c>
      <c r="B58" s="2" t="s">
        <v>191</v>
      </c>
      <c r="C58" s="2" t="s">
        <v>192</v>
      </c>
      <c r="D58" s="2" t="s">
        <v>116</v>
      </c>
      <c r="E58" s="3">
        <v>495540.35</v>
      </c>
      <c r="F58" s="2" t="s">
        <v>14</v>
      </c>
      <c r="G58" s="2" t="s">
        <v>117</v>
      </c>
      <c r="H58" s="2" t="s">
        <v>16</v>
      </c>
      <c r="I58" s="2" t="s">
        <v>118</v>
      </c>
      <c r="J58" s="2" t="s">
        <v>193</v>
      </c>
    </row>
    <row r="59" spans="1:10" x14ac:dyDescent="0.3">
      <c r="A59" s="2" t="s">
        <v>10</v>
      </c>
      <c r="B59" s="2" t="s">
        <v>191</v>
      </c>
      <c r="C59" s="2" t="s">
        <v>194</v>
      </c>
      <c r="D59" s="2" t="s">
        <v>116</v>
      </c>
      <c r="E59" s="3">
        <v>275825.46999999997</v>
      </c>
      <c r="F59" s="2" t="s">
        <v>14</v>
      </c>
      <c r="G59" s="2" t="s">
        <v>117</v>
      </c>
      <c r="H59" s="2" t="s">
        <v>16</v>
      </c>
      <c r="I59" s="2" t="s">
        <v>118</v>
      </c>
      <c r="J59" s="2" t="s">
        <v>195</v>
      </c>
    </row>
    <row r="60" spans="1:10" x14ac:dyDescent="0.3">
      <c r="A60" s="2" t="s">
        <v>10</v>
      </c>
      <c r="B60" s="2" t="s">
        <v>191</v>
      </c>
      <c r="C60" s="2" t="s">
        <v>196</v>
      </c>
      <c r="D60" s="2" t="s">
        <v>116</v>
      </c>
      <c r="E60" s="3">
        <v>135756</v>
      </c>
      <c r="F60" s="2" t="s">
        <v>14</v>
      </c>
      <c r="G60" s="2" t="s">
        <v>117</v>
      </c>
      <c r="H60" s="2" t="s">
        <v>16</v>
      </c>
      <c r="I60" s="2" t="s">
        <v>118</v>
      </c>
      <c r="J60" s="2" t="s">
        <v>197</v>
      </c>
    </row>
    <row r="61" spans="1:10" x14ac:dyDescent="0.3">
      <c r="A61" s="2" t="s">
        <v>10</v>
      </c>
      <c r="B61" s="2" t="s">
        <v>191</v>
      </c>
      <c r="C61" s="2" t="s">
        <v>198</v>
      </c>
      <c r="D61" s="2" t="s">
        <v>116</v>
      </c>
      <c r="E61" s="3">
        <v>74665.8</v>
      </c>
      <c r="F61" s="2" t="s">
        <v>14</v>
      </c>
      <c r="G61" s="2" t="s">
        <v>117</v>
      </c>
      <c r="H61" s="2" t="s">
        <v>16</v>
      </c>
      <c r="I61" s="2" t="s">
        <v>118</v>
      </c>
      <c r="J61" s="2" t="s">
        <v>199</v>
      </c>
    </row>
    <row r="62" spans="1:10" x14ac:dyDescent="0.3">
      <c r="A62" s="2" t="s">
        <v>10</v>
      </c>
      <c r="B62" s="2" t="s">
        <v>200</v>
      </c>
      <c r="C62" s="2" t="s">
        <v>201</v>
      </c>
      <c r="D62" s="2" t="s">
        <v>116</v>
      </c>
      <c r="E62" s="3">
        <v>221499.6</v>
      </c>
      <c r="F62" s="2" t="s">
        <v>14</v>
      </c>
      <c r="G62" s="2" t="s">
        <v>117</v>
      </c>
      <c r="H62" s="2" t="s">
        <v>16</v>
      </c>
      <c r="I62" s="2" t="s">
        <v>118</v>
      </c>
      <c r="J62" s="2" t="s">
        <v>202</v>
      </c>
    </row>
    <row r="63" spans="1:10" x14ac:dyDescent="0.3">
      <c r="A63" s="2" t="s">
        <v>10</v>
      </c>
      <c r="B63" s="2" t="s">
        <v>203</v>
      </c>
      <c r="C63" s="2" t="s">
        <v>204</v>
      </c>
      <c r="D63" s="2" t="s">
        <v>116</v>
      </c>
      <c r="E63" s="3">
        <v>5012.1400000000003</v>
      </c>
      <c r="F63" s="2" t="s">
        <v>14</v>
      </c>
      <c r="G63" s="2" t="s">
        <v>117</v>
      </c>
      <c r="H63" s="2" t="s">
        <v>16</v>
      </c>
      <c r="I63" s="2" t="s">
        <v>118</v>
      </c>
      <c r="J63" s="2" t="s">
        <v>205</v>
      </c>
    </row>
    <row r="64" spans="1:10" x14ac:dyDescent="0.3">
      <c r="A64" s="2" t="s">
        <v>10</v>
      </c>
      <c r="B64" s="2" t="s">
        <v>206</v>
      </c>
      <c r="C64" s="2" t="s">
        <v>207</v>
      </c>
      <c r="D64" s="2" t="s">
        <v>116</v>
      </c>
      <c r="E64" s="3">
        <v>398260.63</v>
      </c>
      <c r="F64" s="2" t="s">
        <v>14</v>
      </c>
      <c r="G64" s="2" t="s">
        <v>117</v>
      </c>
      <c r="H64" s="2" t="s">
        <v>16</v>
      </c>
      <c r="I64" s="2" t="s">
        <v>118</v>
      </c>
      <c r="J64" s="2" t="s">
        <v>208</v>
      </c>
    </row>
    <row r="65" spans="1:11" x14ac:dyDescent="0.3">
      <c r="A65" s="2" t="s">
        <v>10</v>
      </c>
      <c r="B65" s="2" t="s">
        <v>209</v>
      </c>
      <c r="C65" s="2" t="s">
        <v>210</v>
      </c>
      <c r="D65" s="2" t="s">
        <v>116</v>
      </c>
      <c r="E65" s="3">
        <v>393195.94</v>
      </c>
      <c r="F65" s="2" t="s">
        <v>14</v>
      </c>
      <c r="G65" s="2" t="s">
        <v>117</v>
      </c>
      <c r="H65" s="2" t="s">
        <v>16</v>
      </c>
      <c r="I65" s="2" t="s">
        <v>118</v>
      </c>
      <c r="J65" s="2" t="s">
        <v>211</v>
      </c>
    </row>
    <row r="66" spans="1:11" x14ac:dyDescent="0.3">
      <c r="E66" s="4">
        <f>SUM(E2:E65)</f>
        <v>22425040.190000009</v>
      </c>
    </row>
    <row r="67" spans="1:11" x14ac:dyDescent="0.3">
      <c r="E67" s="4">
        <f>E66-E68-E69-E70</f>
        <v>6.5629137679934502E-9</v>
      </c>
    </row>
    <row r="68" spans="1:11" x14ac:dyDescent="0.3">
      <c r="E68" s="4">
        <f>E33+E34+E35+E36+E58+E59+E60+E62+E61+E63+E64+E65</f>
        <v>2614695.86</v>
      </c>
      <c r="G68" t="s">
        <v>212</v>
      </c>
    </row>
    <row r="69" spans="1:11" x14ac:dyDescent="0.3">
      <c r="E69" s="4">
        <f>E2+E3+E4+E5+E6+E7+E8+E9+E10+E11+E12+E13+E14+E15+E16+E17+E18+E19+E20+E21+E23+E22+E24+E25+E26+E27+E28+E29+E30+E32+E37+E38+E39+E40+E41+E42+E43+E44+E45+E46+E47+E48+E49+E50+E51+E52+E53+E54+E55+E56+E57</f>
        <v>19683111.290000003</v>
      </c>
      <c r="G69" t="s">
        <v>213</v>
      </c>
    </row>
    <row r="70" spans="1:11" x14ac:dyDescent="0.3">
      <c r="E70" s="4">
        <f>E31</f>
        <v>127233.04</v>
      </c>
      <c r="G70" t="s">
        <v>214</v>
      </c>
    </row>
    <row r="72" spans="1:11" x14ac:dyDescent="0.3">
      <c r="A72" s="1" t="s">
        <v>0</v>
      </c>
      <c r="B72" s="1" t="s">
        <v>1</v>
      </c>
      <c r="C72" s="1" t="s">
        <v>2</v>
      </c>
      <c r="D72" s="1" t="s">
        <v>215</v>
      </c>
      <c r="E72" s="1" t="s">
        <v>4</v>
      </c>
      <c r="F72" s="1" t="s">
        <v>5</v>
      </c>
      <c r="G72" s="1" t="s">
        <v>3</v>
      </c>
      <c r="H72" s="1" t="s">
        <v>216</v>
      </c>
      <c r="I72" s="1" t="s">
        <v>7</v>
      </c>
      <c r="J72" s="1" t="s">
        <v>8</v>
      </c>
      <c r="K72" s="1" t="s">
        <v>9</v>
      </c>
    </row>
    <row r="73" spans="1:11" x14ac:dyDescent="0.3">
      <c r="A73" s="2" t="s">
        <v>10</v>
      </c>
      <c r="B73" s="2" t="s">
        <v>219</v>
      </c>
      <c r="C73" s="2" t="s">
        <v>220</v>
      </c>
      <c r="D73" s="2" t="s">
        <v>217</v>
      </c>
      <c r="E73" s="3">
        <v>760933.1</v>
      </c>
      <c r="F73" s="2" t="s">
        <v>14</v>
      </c>
      <c r="G73" s="2" t="s">
        <v>13</v>
      </c>
      <c r="H73" s="2" t="s">
        <v>221</v>
      </c>
      <c r="I73" s="2" t="s">
        <v>16</v>
      </c>
      <c r="J73" s="2" t="s">
        <v>118</v>
      </c>
      <c r="K73" s="2" t="s">
        <v>222</v>
      </c>
    </row>
    <row r="74" spans="1:11" x14ac:dyDescent="0.3">
      <c r="A74" s="2" t="s">
        <v>10</v>
      </c>
      <c r="B74" s="2" t="s">
        <v>223</v>
      </c>
      <c r="C74" s="2" t="s">
        <v>224</v>
      </c>
      <c r="D74" s="2" t="s">
        <v>217</v>
      </c>
      <c r="E74" s="3">
        <v>101323.01</v>
      </c>
      <c r="F74" s="2" t="s">
        <v>14</v>
      </c>
      <c r="G74" s="2" t="s">
        <v>13</v>
      </c>
      <c r="H74" s="2" t="s">
        <v>221</v>
      </c>
      <c r="I74" s="2" t="s">
        <v>16</v>
      </c>
      <c r="J74" s="2" t="s">
        <v>118</v>
      </c>
      <c r="K74" s="2" t="s">
        <v>222</v>
      </c>
    </row>
    <row r="75" spans="1:11" x14ac:dyDescent="0.3">
      <c r="A75" s="2" t="s">
        <v>10</v>
      </c>
      <c r="B75" s="2" t="s">
        <v>225</v>
      </c>
      <c r="C75" s="2" t="s">
        <v>226</v>
      </c>
      <c r="D75" s="2" t="s">
        <v>217</v>
      </c>
      <c r="E75" s="3">
        <v>175248.68</v>
      </c>
      <c r="F75" s="2" t="s">
        <v>14</v>
      </c>
      <c r="G75" s="2" t="s">
        <v>13</v>
      </c>
      <c r="H75" s="2" t="s">
        <v>221</v>
      </c>
      <c r="I75" s="2" t="s">
        <v>16</v>
      </c>
      <c r="J75" s="2" t="s">
        <v>118</v>
      </c>
      <c r="K75" s="2" t="s">
        <v>222</v>
      </c>
    </row>
    <row r="76" spans="1:11" x14ac:dyDescent="0.3">
      <c r="A76" s="2" t="s">
        <v>10</v>
      </c>
      <c r="B76" s="2" t="s">
        <v>227</v>
      </c>
      <c r="C76" s="2" t="s">
        <v>228</v>
      </c>
      <c r="D76" s="2" t="s">
        <v>217</v>
      </c>
      <c r="E76" s="3">
        <v>6064291.5199999996</v>
      </c>
      <c r="F76" s="2" t="s">
        <v>14</v>
      </c>
      <c r="G76" s="2" t="s">
        <v>13</v>
      </c>
      <c r="H76" s="2" t="s">
        <v>221</v>
      </c>
      <c r="I76" s="2" t="s">
        <v>16</v>
      </c>
      <c r="J76" s="2" t="s">
        <v>118</v>
      </c>
      <c r="K76" s="2" t="s">
        <v>229</v>
      </c>
    </row>
    <row r="77" spans="1:11" x14ac:dyDescent="0.3">
      <c r="A77" s="2" t="s">
        <v>10</v>
      </c>
      <c r="B77" s="2" t="s">
        <v>230</v>
      </c>
      <c r="C77" s="2" t="s">
        <v>231</v>
      </c>
      <c r="D77" s="2" t="s">
        <v>217</v>
      </c>
      <c r="E77" s="3">
        <v>2025186.88</v>
      </c>
      <c r="F77" s="2" t="s">
        <v>14</v>
      </c>
      <c r="G77" s="2" t="s">
        <v>13</v>
      </c>
      <c r="H77" s="2" t="s">
        <v>221</v>
      </c>
      <c r="I77" s="2" t="s">
        <v>16</v>
      </c>
      <c r="J77" s="2" t="s">
        <v>118</v>
      </c>
      <c r="K77" s="2" t="s">
        <v>229</v>
      </c>
    </row>
    <row r="78" spans="1:11" x14ac:dyDescent="0.3">
      <c r="A78" s="2" t="s">
        <v>10</v>
      </c>
      <c r="B78" s="2" t="s">
        <v>232</v>
      </c>
      <c r="C78" s="2" t="s">
        <v>233</v>
      </c>
      <c r="D78" s="2" t="s">
        <v>217</v>
      </c>
      <c r="E78" s="3">
        <v>948000.72</v>
      </c>
      <c r="F78" s="2" t="s">
        <v>14</v>
      </c>
      <c r="G78" s="2" t="s">
        <v>13</v>
      </c>
      <c r="H78" s="2" t="s">
        <v>221</v>
      </c>
      <c r="I78" s="2" t="s">
        <v>16</v>
      </c>
      <c r="J78" s="2" t="s">
        <v>118</v>
      </c>
      <c r="K78" s="2" t="s">
        <v>234</v>
      </c>
    </row>
    <row r="79" spans="1:11" x14ac:dyDescent="0.3">
      <c r="A79" s="2" t="s">
        <v>10</v>
      </c>
      <c r="B79" s="2" t="s">
        <v>235</v>
      </c>
      <c r="C79" s="2" t="s">
        <v>236</v>
      </c>
      <c r="D79" s="2" t="s">
        <v>217</v>
      </c>
      <c r="E79" s="3">
        <v>128778.91</v>
      </c>
      <c r="F79" s="2" t="s">
        <v>14</v>
      </c>
      <c r="G79" s="2" t="s">
        <v>13</v>
      </c>
      <c r="H79" s="2" t="s">
        <v>221</v>
      </c>
      <c r="I79" s="2" t="s">
        <v>16</v>
      </c>
      <c r="J79" s="2" t="s">
        <v>118</v>
      </c>
      <c r="K79" s="2" t="s">
        <v>234</v>
      </c>
    </row>
    <row r="80" spans="1:11" x14ac:dyDescent="0.3">
      <c r="A80" s="2" t="s">
        <v>10</v>
      </c>
      <c r="B80" s="2" t="s">
        <v>237</v>
      </c>
      <c r="C80" s="2" t="s">
        <v>238</v>
      </c>
      <c r="D80" s="2" t="s">
        <v>217</v>
      </c>
      <c r="E80" s="3">
        <v>4877249.58</v>
      </c>
      <c r="F80" s="2" t="s">
        <v>14</v>
      </c>
      <c r="G80" s="2" t="s">
        <v>13</v>
      </c>
      <c r="H80" s="2" t="s">
        <v>221</v>
      </c>
      <c r="I80" s="2" t="s">
        <v>16</v>
      </c>
      <c r="J80" s="2" t="s">
        <v>118</v>
      </c>
      <c r="K80" s="2" t="s">
        <v>229</v>
      </c>
    </row>
    <row r="81" spans="1:12" x14ac:dyDescent="0.3">
      <c r="A81" s="2" t="s">
        <v>10</v>
      </c>
      <c r="B81" s="2" t="s">
        <v>239</v>
      </c>
      <c r="C81" s="2" t="s">
        <v>240</v>
      </c>
      <c r="D81" s="2" t="s">
        <v>217</v>
      </c>
      <c r="E81" s="3">
        <v>263397.67</v>
      </c>
      <c r="F81" s="2" t="s">
        <v>14</v>
      </c>
      <c r="G81" s="2" t="s">
        <v>13</v>
      </c>
      <c r="H81" s="2" t="s">
        <v>221</v>
      </c>
      <c r="I81" s="2" t="s">
        <v>16</v>
      </c>
      <c r="J81" s="2" t="s">
        <v>118</v>
      </c>
      <c r="K81" s="2" t="s">
        <v>222</v>
      </c>
    </row>
    <row r="82" spans="1:12" x14ac:dyDescent="0.3">
      <c r="A82" s="2" t="s">
        <v>10</v>
      </c>
      <c r="B82" s="2" t="s">
        <v>241</v>
      </c>
      <c r="C82" s="2" t="s">
        <v>192</v>
      </c>
      <c r="D82" s="2" t="s">
        <v>217</v>
      </c>
      <c r="E82" s="3">
        <v>3405447.3</v>
      </c>
      <c r="F82" s="2" t="s">
        <v>14</v>
      </c>
      <c r="G82" s="2" t="s">
        <v>13</v>
      </c>
      <c r="H82" s="2" t="s">
        <v>221</v>
      </c>
      <c r="I82" s="2" t="s">
        <v>16</v>
      </c>
      <c r="J82" s="2" t="s">
        <v>118</v>
      </c>
      <c r="K82" s="2" t="s">
        <v>229</v>
      </c>
    </row>
    <row r="83" spans="1:12" x14ac:dyDescent="0.3">
      <c r="A83" s="2" t="s">
        <v>10</v>
      </c>
      <c r="B83" s="2" t="s">
        <v>242</v>
      </c>
      <c r="C83" s="2" t="s">
        <v>194</v>
      </c>
      <c r="D83" s="2" t="s">
        <v>217</v>
      </c>
      <c r="E83" s="3">
        <v>5496975.1900000004</v>
      </c>
      <c r="F83" s="2" t="s">
        <v>14</v>
      </c>
      <c r="G83" s="2" t="s">
        <v>116</v>
      </c>
      <c r="H83" s="2" t="s">
        <v>218</v>
      </c>
      <c r="I83" s="2" t="s">
        <v>16</v>
      </c>
      <c r="J83" s="2" t="s">
        <v>17</v>
      </c>
      <c r="K83" s="2"/>
    </row>
    <row r="84" spans="1:12" x14ac:dyDescent="0.3">
      <c r="A84" s="5" t="s">
        <v>52</v>
      </c>
      <c r="B84" s="5" t="s">
        <v>243</v>
      </c>
      <c r="C84" s="5" t="s">
        <v>244</v>
      </c>
      <c r="D84" s="5" t="s">
        <v>217</v>
      </c>
      <c r="E84" s="6">
        <f>188494.61*0</f>
        <v>0</v>
      </c>
      <c r="F84" s="5" t="s">
        <v>14</v>
      </c>
      <c r="G84" s="5" t="s">
        <v>13</v>
      </c>
      <c r="H84" s="5" t="s">
        <v>221</v>
      </c>
      <c r="I84" s="5" t="s">
        <v>16</v>
      </c>
      <c r="J84" s="5" t="s">
        <v>118</v>
      </c>
      <c r="K84" s="5" t="s">
        <v>234</v>
      </c>
      <c r="L84" s="7" t="s">
        <v>245</v>
      </c>
    </row>
    <row r="85" spans="1:12" x14ac:dyDescent="0.3">
      <c r="E85" s="4">
        <f>SUM(E73:E84)</f>
        <v>24246832.560000002</v>
      </c>
    </row>
    <row r="87" spans="1:12" x14ac:dyDescent="0.3">
      <c r="E87" s="4">
        <f>E83</f>
        <v>5496975.1900000004</v>
      </c>
      <c r="G87" t="s">
        <v>212</v>
      </c>
    </row>
    <row r="88" spans="1:12" x14ac:dyDescent="0.3">
      <c r="E88" s="4">
        <f>E73+E74+E75+E76+E77+E78+E79+E80+E81+E82+E84</f>
        <v>18749857.370000001</v>
      </c>
      <c r="G88" t="s">
        <v>213</v>
      </c>
    </row>
  </sheetData>
  <autoFilter ref="A1:J66" xr:uid="{03EAE5C7-1C84-4873-B8B6-A8A1C56695D5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2026-03-23T05:55:55Z</dcterms:modified>
</cp:coreProperties>
</file>
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tabRatio="736"/>
  </bookViews>
  <sheets>
    <sheet name="СВОД" sheetId="1" r:id="rId1"/>
    <sheet name="Глобине-2" sheetId="2" r:id="rId2"/>
    <sheet name="Котельна (Глобине)" sheetId="3" r:id="rId3"/>
    <sheet name="Насосна Градирня (Глобине)" sheetId="4" r:id="rId4"/>
    <sheet name="Р-р для зб. розч.(Глобине)" sheetId="8" r:id="rId5"/>
    <sheet name="СПК (Глобине)" sheetId="5" r:id="rId6"/>
    <sheet name="Цех екстракції (Глобине)" sheetId="6" r:id="rId7"/>
    <sheet name="Цех_Глобино" sheetId="7" r:id="rId8"/>
  </sheets>
  <definedNames>
    <definedName name="_xlnm._FilterDatabase" localSheetId="1" hidden="1">'Глобине-2'!$A$8:$L$360</definedName>
    <definedName name="_xlnm._FilterDatabase" localSheetId="2" hidden="1">'Котельна (Глобине)'!$A$8:$L$295</definedName>
    <definedName name="_xlnm._FilterDatabase" localSheetId="3" hidden="1">'Насосна Градирня (Глобине)'!$A$8:$L$49</definedName>
    <definedName name="_xlnm._FilterDatabase" localSheetId="4" hidden="1">'Р-р для зб. розч.(Глобине)'!$A$8:$L$41</definedName>
    <definedName name="_xlnm._FilterDatabase" localSheetId="5" hidden="1">'СПК (Глобине)'!$A$8:$L$144</definedName>
    <definedName name="_xlnm._FilterDatabase" localSheetId="6" hidden="1">'Цех екстракції (Глобине)'!$A$8:$L$616</definedName>
    <definedName name="_xlnm._FilterDatabase" localSheetId="7" hidden="1">Цех_Глобино!$A$8:$L$177</definedName>
  </definedNames>
  <calcPr calcId="145621"/>
</workbook>
</file>

<file path=xl/calcChain.xml><?xml version="1.0" encoding="utf-8"?>
<calcChain xmlns="http://schemas.openxmlformats.org/spreadsheetml/2006/main">
  <c r="M26" i="6" l="1"/>
  <c r="F8" i="1" s="1"/>
  <c r="M254" i="6"/>
  <c r="G8" i="1" s="1"/>
  <c r="G10" i="1" s="1"/>
  <c r="G12" i="1" s="1"/>
  <c r="G15" i="1" s="1"/>
  <c r="M615" i="6"/>
  <c r="H8" i="1" s="1"/>
  <c r="H9" i="1"/>
  <c r="I9" i="1" s="1"/>
  <c r="M176" i="7"/>
  <c r="H7" i="1"/>
  <c r="G7" i="1"/>
  <c r="M47" i="5"/>
  <c r="M143" i="5"/>
  <c r="G6" i="1"/>
  <c r="I6" i="1" s="1"/>
  <c r="M40" i="8"/>
  <c r="H5" i="1"/>
  <c r="G5" i="1"/>
  <c r="F5" i="1"/>
  <c r="M15" i="4"/>
  <c r="M27" i="4"/>
  <c r="M47" i="4"/>
  <c r="H4" i="1"/>
  <c r="G4" i="1"/>
  <c r="F4" i="1"/>
  <c r="M26" i="3"/>
  <c r="M216" i="3"/>
  <c r="M292" i="3"/>
  <c r="I4" i="1"/>
  <c r="I5" i="1"/>
  <c r="I7" i="1"/>
  <c r="I3" i="1"/>
  <c r="H3" i="1"/>
  <c r="G3" i="1"/>
  <c r="M359" i="2"/>
  <c r="M273" i="2"/>
  <c r="F10" i="1" l="1"/>
  <c r="F12" i="1" s="1"/>
  <c r="F15" i="1" s="1"/>
  <c r="H10" i="1"/>
  <c r="H12" i="1" s="1"/>
  <c r="H15" i="1" s="1"/>
  <c r="C9" i="1" l="1"/>
  <c r="D9" i="1" s="1"/>
  <c r="J179" i="7"/>
  <c r="J618" i="6"/>
  <c r="C8" i="1" s="1"/>
  <c r="C7" i="1"/>
  <c r="D7" i="1" s="1"/>
  <c r="J146" i="5"/>
  <c r="C6" i="1"/>
  <c r="J43" i="8"/>
  <c r="C5" i="1"/>
  <c r="J51" i="4"/>
  <c r="C4" i="1"/>
  <c r="J297" i="3"/>
  <c r="C3" i="1"/>
  <c r="J362" i="2"/>
  <c r="D6" i="1"/>
  <c r="D5" i="1"/>
  <c r="D4" i="1"/>
  <c r="I8" i="1" l="1"/>
  <c r="D8" i="1"/>
  <c r="C10" i="1"/>
  <c r="D3" i="1"/>
  <c r="D10" i="1" s="1"/>
</calcChain>
</file>

<file path=xl/sharedStrings.xml><?xml version="1.0" encoding="utf-8"?>
<sst xmlns="http://schemas.openxmlformats.org/spreadsheetml/2006/main" count="13048" uniqueCount="1481">
  <si>
    <t>Глобине-2</t>
  </si>
  <si>
    <t>Котельна (Глобине)</t>
  </si>
  <si>
    <t>Насосна Градирня (Глобине)</t>
  </si>
  <si>
    <t>СПК (Глобине)</t>
  </si>
  <si>
    <t>Цех екстракції (Глобине)</t>
  </si>
  <si>
    <t>Цех_Глобино</t>
  </si>
  <si>
    <t>Резервуар для зберігання розчинника(Глобине)</t>
  </si>
  <si>
    <t>Наименование склада</t>
  </si>
  <si>
    <t>ТОВ "ІНДАСТРІАЛБУД"</t>
  </si>
  <si>
    <t>Картка рахунку 205 за ... - 2024 р.</t>
  </si>
  <si>
    <t>Виведені дані:</t>
  </si>
  <si>
    <t>БО (дані бухгалтерського обліку)</t>
  </si>
  <si>
    <t>Відбір:</t>
  </si>
  <si>
    <t>Склади Дорівнює "Глобине-2" и Склади.Найменування містить "гло"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</si>
  <si>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</si>
  <si>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</si>
  <si>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</si>
  <si>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</si>
  <si>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</si>
  <si>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</si>
  <si>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</si>
  <si>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</si>
  <si>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20.09.2024</t>
  </si>
  <si>
    <t>Надходження товарів і послуг ІБ00-004375 від 20.09.2024 18:19:18
Оприходованы ТМЦ</t>
  </si>
  <si>
    <t>Обл. НДС
Дріт 1,2 мм Н-О-Ч
Надходження товарів і послуг ІБ00-004375 від 20.09.2024 18:19:18
Глобине-2</t>
  </si>
  <si>
    <t>МЕТІНВЕСТ-СМЦ ТОВ
№1778403/01/2023-С от 11.01.2023 РАХУНКИ_Глобино-2
Рахунок на оплату постачальника ІБ00-003425 від 19.09.2024 00:00:00</t>
  </si>
  <si>
    <t>205</t>
  </si>
  <si>
    <t>631</t>
  </si>
  <si>
    <t xml:space="preserve"> </t>
  </si>
  <si>
    <t>Д</t>
  </si>
  <si>
    <t>Надходження товарів і послуг ІБ00-004380 від 20.09.2024 18:19:30
Оприходованы ТМЦ</t>
  </si>
  <si>
    <t>Обл. НДС
Провід ПВ-1нгLs 6 білий 
Надходження товарів і послуг ІБ00-004380 від 20.09.2024 18:19:30
Глобине-2</t>
  </si>
  <si>
    <t>ЕЛЕКТРОКОМПЛЕКТ ЕК  ТОВ
РАХУНКИ_Глобине 2
Рахунок на оплату постачальника ІБ00-003600 від 20.09.2024 18:19:21</t>
  </si>
  <si>
    <t>21.09.2024</t>
  </si>
  <si>
    <t>Надходження товарів і послуг ІБ00-004377 від 21.09.2024 23:45:37
Оприходованы ТМЦ</t>
  </si>
  <si>
    <t>Обл. НДС
Арматура №14  А500С L=12000 мм
Надходження товарів і послуг ІБ00-004377 від 21.09.2024 23:45:37
Глобине-2</t>
  </si>
  <si>
    <t>Надходження товарів і послуг ІБ00-004378 від 21.09.2024 23:45:38
Оприходованы ТМЦ</t>
  </si>
  <si>
    <t>Обл. НДС
Арматура №10  А240С L=6000 мм
Надходження товарів і послуг ІБ00-004378 від 21.09.2024 23:45:38
Глобине-2</t>
  </si>
  <si>
    <t>Обл. НДС
Арматура №12  А240С L=6000 мм
Надходження товарів і послуг ІБ00-004378 від 21.09.2024 23:45:38
Глобине-2</t>
  </si>
  <si>
    <t>Обл. НДС
Арматура №12  А500С L=12000 мм
Надходження товарів і послуг ІБ00-004378 від 21.09.2024 23:45:38
Глобине-2</t>
  </si>
  <si>
    <t>Обл. НДС
Арматура №16  А500С L=12000 мм
Надходження товарів і послуг ІБ00-004378 від 21.09.2024 23:45:38
Глобине-2</t>
  </si>
  <si>
    <t>24.09.2024</t>
  </si>
  <si>
    <t>Надходження товарів і послуг ІБ00-004740 від 24.09.2024 23:00:02
Оприходованы ТМЦ</t>
  </si>
  <si>
    <t>Обл. НДС
Шафа тимчас ел/забезпеч ЯРП ІР54
Надходження товарів і послуг ІБ00-004740 від 24.09.2024 23:00:02
Глобине-2</t>
  </si>
  <si>
    <t>ТЕХЕЛЕКТРОМОНТАЖ ТОВ
 Договір 29/04-1 від 29.04.2024_Глобине 2
Рахунок на оплату постачальника ІБ00-003717 від 06.09.2024 17:46:24</t>
  </si>
  <si>
    <t>25.09.2024</t>
  </si>
  <si>
    <t>Надходження товарів і послуг ІБ00-004376 від 25.09.2024 18:38:35
Оприходованы ТМЦ</t>
  </si>
  <si>
    <t>Обл. НДС
Арматура №12  А500С L=12000 мм
Надходження товарів і послуг ІБ00-004376 від 25.09.2024 18:38:35
Глобине-2</t>
  </si>
  <si>
    <t>Надходження товарів і послуг ІБ00-004397 від 25.09.2024 18:38:36
Оприходованы ТМЦ</t>
  </si>
  <si>
    <t>Обл. НДС
Арматура №12  А500С L=12000 мм
Надходження товарів і послуг ІБ00-004397 від 25.09.2024 18:38:36
Глобине-2</t>
  </si>
  <si>
    <t>Надходження товарів і послуг ІБ00-004600 від 25.09.2024 23:00:14
Оприходованы ТМЦ</t>
  </si>
  <si>
    <t>Обл. НДС
Брус 50х40 4м
Надходження товарів і послуг ІБ00-004600 від 25.09.2024 23:00:14
Глобине-2</t>
  </si>
  <si>
    <t>Мошинець Ю.П. ФОП
Рахунки_Глобине-2
Рахунок на оплату постачальника ІБ00-003808 від 25.09.2024 23:00:13</t>
  </si>
  <si>
    <t>Обл. НДС
Брус 75*50 мм 6,0 м
Надходження товарів і послуг ІБ00-004600 від 25.09.2024 23:00:14
Глобине-2</t>
  </si>
  <si>
    <t>Обл. НДС
Брус 100*100 мм 4,5 м
Надходження товарів і послуг ІБ00-004600 від 25.09.2024 23:00:14
Глобине-2</t>
  </si>
  <si>
    <t>Обл. НДС
дошка 25*150 4,5 шт
Надходження товарів і послуг ІБ00-004600 від 25.09.2024 23:00:14
Глобине-2</t>
  </si>
  <si>
    <t>Обл. НДС
дошка 25*120 4,5 м  шт
Надходження товарів і послуг ІБ00-004600 від 25.09.2024 23:00:14
Глобине-2</t>
  </si>
  <si>
    <t>27.09.2024</t>
  </si>
  <si>
    <t>Надходження товарів і послуг ІБ00-004496 від 27.09.2024 17:56:09
Оприходованы ТМЦ</t>
  </si>
  <si>
    <t>Обл. НДС
Шуруп 4,2х90 самонар.для г/к в дерево
Надходження товарів і послуг ІБ00-004496 від 27.09.2024 17:56:09
Глобине-2</t>
  </si>
  <si>
    <t>Лук'ян Михайло Федорович ФОП
22/08-24-1 от 22.08.2024 (РАХУНКИ)_Глобине-2
Рахунок на оплату постачальника ІБ00-003504 від 06.09.2024 17:46:13</t>
  </si>
  <si>
    <t>01.10.2024</t>
  </si>
  <si>
    <t>Надходження товарів і послуг ІБ00-004643 від 01.10.2024 18:35:04
Оприходованы ТМЦ</t>
  </si>
  <si>
    <t>Обл. НДС
Арматура №14  А500С L=12000 мм
Надходження товарів і послуг ІБ00-004643 від 01.10.2024 18:35:04
Глобине-2</t>
  </si>
  <si>
    <t>Переміщення товарів ІБ00-000070 від 01.10.2024 18:35:33
Перемещение ТМЦ</t>
  </si>
  <si>
    <t>Обл. НДС
Арматура №10  А240С L=6000 мм
Надходження товарів і послуг ІБ00-004378 від 21.09.2024 23:45:38
Цех екстракції (Глобине)</t>
  </si>
  <si>
    <t>Обл. НДС
Арматура №12  А500С L=12000 мм
Надходження товарів і послуг ІБ00-004378 від 21.09.2024 23:45:38
Цех екстракції (Глобине)</t>
  </si>
  <si>
    <t>Переміщення товарів ІБ00-000071 від 01.10.2024 18:35:34
Перемещение ТМЦ</t>
  </si>
  <si>
    <t>Обл. НДС
Арматура №10  А240С L=6000 мм
Надходження товарів і послуг ІБ00-004378 від 21.09.2024 23:45:38
Резервуар для зберігання розчинника(Глобине)</t>
  </si>
  <si>
    <t>Обл. НДС
Арматура №12  А500С L=12000 мм
Надходження товарів і послуг ІБ00-004378 від 21.09.2024 23:45:38
Резервуар для зберігання розчинника(Глобине)</t>
  </si>
  <si>
    <t>Обл. НДС
Арматура №14  А500С L=12000 мм
Надходження товарів і послуг ІБ00-004377 від 21.09.2024 23:45:37
Резервуар для зберігання розчинника(Глобине)</t>
  </si>
  <si>
    <t>Обл. НДС
Арматура №16  А500С L=12000 мм
Надходження товарів і послуг ІБ00-004378 від 21.09.2024 23:45:38
Резервуар для зберігання розчинника(Глобине)</t>
  </si>
  <si>
    <t>Переміщення товарів ІБ00-000072 від 01.10.2024 18:35:35
Перемещение ТМЦ</t>
  </si>
  <si>
    <t>Обл. НДС
Арматура №10  А240С L=6000 мм
Надходження товарів і послуг ІБ00-004378 від 21.09.2024 23:45:38
Котельна (Глобине)</t>
  </si>
  <si>
    <t>Обл. НДС
Арматура №12  А500С L=12000 мм
Надходження товарів і послуг ІБ00-004378 від 21.09.2024 23:45:38
Котельна (Глобине)</t>
  </si>
  <si>
    <t>Переміщення товарів ІБ00-000073 від 01.10.2024 18:35:36
Перемещение ТМЦ</t>
  </si>
  <si>
    <t>Обл. НДС
Арматура №16  А500С L=12000 мм
Надходження товарів і послуг ІБ00-004378 від 21.09.2024 23:45:38
Насосна Градирня (Глобине)</t>
  </si>
  <si>
    <t>Переміщення товарів ІБ00-000076 від 01.10.2024 18:35:53
Перемещение ТМЦ</t>
  </si>
  <si>
    <t>Обл. НДС
дошка 25*150 4,5 шт
Надходження товарів і послуг ІБ00-004600 від 25.09.2024 23:00:14
Цех екстракції (Глобине)</t>
  </si>
  <si>
    <t>Переміщення товарів ІБ00-000077 від 01.10.2024 18:35:54
Перемещение ТМЦ</t>
  </si>
  <si>
    <t>Обл. НДС
дошка 25*120 4,5 м  шт
Надходження товарів і послуг ІБ00-004600 від 25.09.2024 23:00:14
Котельна (Глобине)</t>
  </si>
  <si>
    <t>Переміщення товарів ІБ00-000078 від 01.10.2024 18:35:55
Перемещение ТМЦ</t>
  </si>
  <si>
    <t>Обл. НДС
Арматура №12  А500С L=12000 мм
Надходження товарів і послуг ІБ00-004376 від 25.09.2024 18:38:35
Цех екстракції (Глобине)</t>
  </si>
  <si>
    <t>Переміщення товарів ІБ00-000079 від 01.10.2024 18:35:56
Перемещение ТМЦ</t>
  </si>
  <si>
    <t>Обл. НДС
Арматура №12  А500С L=12000 мм
Надходження товарів і послуг ІБ00-004397 від 25.09.2024 18:38:36
Цех екстракції (Глобине)</t>
  </si>
  <si>
    <t>Переміщення товарів ІБ00-000087 від 01.10.2024 18:35:57
Перемещение ТМЦ</t>
  </si>
  <si>
    <t>Обл. НДС
Арматура №14  А500С L=12000 мм
Надходження товарів і послуг ІБ00-004643 від 01.10.2024 18:35:04
Насосна Градирня (Глобине)</t>
  </si>
  <si>
    <t>Переміщення товарів ІБ00-000088 від 01.10.2024 18:35:58
Перемещение ТМЦ</t>
  </si>
  <si>
    <t>Обл. НДС
Арматура №12  А240С L=6000 мм
Надходження товарів і послуг ІБ00-004378 від 21.09.2024 23:45:38
Цех екстракції (Глобине)</t>
  </si>
  <si>
    <t>02.10.2024</t>
  </si>
  <si>
    <t>Переміщення товарів ІБ00-000086 від 02.10.2024 00:00:00
Перемещение ТМЦ</t>
  </si>
  <si>
    <t>Обл. НДС
Арматура №14  А500С L=12000 мм
Надходження товарів і послуг ІБ00-004643 від 01.10.2024 18:35:04
Цех екстракції (Глобине)</t>
  </si>
  <si>
    <t>Надходження товарів і послуг ІБ00-004644 від 02.10.2024 17:19:53
Оприходованы ТМЦ</t>
  </si>
  <si>
    <t>Обл. НДС
Арматура №14  А500С L=12000 мм
Надходження товарів і послуг ІБ00-004644 від 02.10.2024 17:19:53
Глобине-2</t>
  </si>
  <si>
    <t>Надходження товарів і послуг ІБ00-004646 від 02.10.2024 17:19:54
Оприходованы ТМЦ</t>
  </si>
  <si>
    <t>Обл. НДС
Арматура №12  А240С L=6000 мм
Надходження товарів і послуг ІБ00-004646 від 02.10.2024 17:19:54
Глобине-2</t>
  </si>
  <si>
    <t>Обл. НДС
Арматура №12  А500С L=12000 мм
Надходження товарів і послуг ІБ00-004646 від 02.10.2024 17:19:54
Глобине-2</t>
  </si>
  <si>
    <t>Обл. НДС
Арматура №14  А500С L=12000 мм
Надходження товарів і послуг ІБ00-004646 від 02.10.2024 17:19:54
Глобине-2</t>
  </si>
  <si>
    <t>Обл. НДС
Арматура №16  А500С L=12000 мм
Надходження товарів і послуг ІБ00-004646 від 02.10.2024 17:19:54
Глобине-2</t>
  </si>
  <si>
    <t>Переміщення товарів ІБ00-000085 від 02.10.2024 17:20:12
Перемещение ТМЦ</t>
  </si>
  <si>
    <t>Обл. НДС
Арматура №14  А500С L=12000 мм
Надходження товарів і послуг ІБ00-004643 від 01.10.2024 18:35:04
Резервуар для зберігання розчинника(Глобине)</t>
  </si>
  <si>
    <t>03.10.2024</t>
  </si>
  <si>
    <t>Переміщення товарів ІБ00-000080 від 03.10.2024 17:50:17
Перемещение ТМЦ</t>
  </si>
  <si>
    <t>Обл. НДС
Арматура №14  А500С L=12000 мм
Надходження товарів і послуг ІБ00-004644 від 02.10.2024 17:19:53
Резервуар для зберігання розчинника(Глобине)</t>
  </si>
  <si>
    <t>Переміщення товарів ІБ00-000081 від 03.10.2024 17:50:18
Перемещение ТМЦ</t>
  </si>
  <si>
    <t>Обл. НДС
Арматура №16  А500С L=12000 мм
Надходження товарів і послуг ІБ00-004646 від 02.10.2024 17:19:54
Резервуар для зберігання розчинника(Глобине)</t>
  </si>
  <si>
    <t>Переміщення товарів ІБ00-000082 від 03.10.2024 17:50:19
Перемещение ТМЦ</t>
  </si>
  <si>
    <t>Обл. НДС
Арматура №12  А240С L=6000 мм
Надходження товарів і послуг ІБ00-004646 від 02.10.2024 17:19:54
Котельна (Глобине)</t>
  </si>
  <si>
    <t>Обл. НДС
Арматура №12  А500С L=12000 мм
Надходження товарів і послуг ІБ00-004397 від 25.09.2024 18:38:36
Котельна (Глобине)</t>
  </si>
  <si>
    <t>Обл. НДС
Арматура №12  А500С L=12000 мм
Надходження товарів і послуг ІБ00-004646 від 02.10.2024 17:19:54
Котельна (Глобине)</t>
  </si>
  <si>
    <t>Обл. НДС
Арматура №14  А500С L=12000 мм
Надходження товарів і послуг ІБ00-004646 від 02.10.2024 17:19:54
Котельна (Глобине)</t>
  </si>
  <si>
    <t>Переміщення товарів ІБ00-000083 від 03.10.2024 17:50:20
Перемещение ТМЦ</t>
  </si>
  <si>
    <t>Обл. НДС
Арматура №12  А240С L=6000 мм
Надходження товарів і послуг ІБ00-004646 від 02.10.2024 17:19:54
Резервуар для зберігання розчинника(Глобине)</t>
  </si>
  <si>
    <t>Переміщення товарів ІБ00-000084 від 03.10.2024 17:50:21
Перемещение ТМЦ</t>
  </si>
  <si>
    <t>Обл. НДС
Арматура №12  А240С L=6000 мм
Надходження товарів і послуг ІБ00-004646 від 02.10.2024 17:19:54
Насосна Градирня (Глобине)</t>
  </si>
  <si>
    <t>04.10.2024</t>
  </si>
  <si>
    <t>Надходження товарів і послуг ІБ00-004709 від 04.10.2024 18:40:29
Оприходованы ТМЦ</t>
  </si>
  <si>
    <t>Обл. НДС
Піна монтажна  750 мл 
Надходження товарів і послуг ІБ00-004709 від 04.10.2024 18:40:29
Глобине-2</t>
  </si>
  <si>
    <t>Лук'ян Михайло Федорович ФОП
22/08-24-1 от 22.08.2024 (РАХУНКИ)_Глобине-2
Рахунок на оплату постачальника ІБ00-003884 від 04.10.2024 18:40:28</t>
  </si>
  <si>
    <t>Обл. НДС
Очисник для піни С45 450 мл укр
Надходження товарів і послуг ІБ00-004709 від 04.10.2024 18:40:29
Глобине-2</t>
  </si>
  <si>
    <t>Обл. НДС
Розчинник УС Нефрас 0,94 л/ 0,70 кг
Надходження товарів і послуг ІБ00-004709 від 04.10.2024 18:40:29
Глобине-2</t>
  </si>
  <si>
    <t>Переміщення товарів ІБ00-000074 від 04.10.2024 18:40:54
Перемещение ТМЦ</t>
  </si>
  <si>
    <t>Обл. НДС
Пароніт ПОН-Б 3 мм
Надходження товарів і послуг ІБ00-001500 від 22.04.2024 16:54:29
Глобине-2</t>
  </si>
  <si>
    <t>Обл. НДС
Пароніт ПОН-Б 3 мм
Надходження товарів і послуг ІБ00-001500 від 22.04.2024 16:54:29
Молоко Вітчизни</t>
  </si>
  <si>
    <t>Обл. НДС
Анкер М 20х160/45 цб одноконус
Надходження товарів і послуг ІБ00-001481 від 19.04.2024 18:43:45
Глобине-2</t>
  </si>
  <si>
    <t>Обл. НДС
Анкер М 20х160/45 цб одноконус
Надходження товарів і послуг ІБ00-001481 від 19.04.2024 18:43:45
Молоко Вітчизни</t>
  </si>
  <si>
    <t>Обл. НДС
Анкер хімічний 585 мл EРОХ
Надходження товарів і послуг ІБ00-000723 від 29.02.2024 23:00:01
Глобине-2</t>
  </si>
  <si>
    <t>Обл. НДС
Анкер хімічний 585 мл EРОХ
Надходження товарів і послуг ІБ00-000723 від 29.02.2024 23:00:01
Молоко Вітчизни</t>
  </si>
  <si>
    <t>Обл. НДС
Піна монтаж SOMAFIX 750 мл
Надходження товарів і послуг ІБ00-001328 від 04.04.2024 18:24:33
Глобине-2</t>
  </si>
  <si>
    <t>Обл. НДС
Піна монтаж SOMAFIX 750 мл
Надходження товарів і послуг ІБ00-001328 від 04.04.2024 18:24:33
Молоко Вітчизни</t>
  </si>
  <si>
    <t>Обл. НДС
Шпилька М10х1000
Надходження товарів і послуг ІБ00-002265 від 26.12.2023 18:15:16
Глобине-2</t>
  </si>
  <si>
    <t>Обл. НДС
Шпилька М10х1000
Надходження товарів і послуг ІБ00-002265 від 26.12.2023 18:15:16
Молоко Вітчизни</t>
  </si>
  <si>
    <t>Обл. НДС
Шпонка гідроізоляційна ВР 200  20м п
Надходження товарів і послуг ІБ00-002091 від 21.12.2023 18:14:00
Глобине-2</t>
  </si>
  <si>
    <t>Обл. НДС
Шпонка гідроізоляційна ВР 200  20м п
Надходження товарів і послуг ІБ00-002091 від 21.12.2023 18:14:00
Молоко Вітчизни</t>
  </si>
  <si>
    <t>Обл. НДС
Стрічка ущільнювальна 150мм рулон 10м сірий
Надходження товарів і послуг ІБ00-000001 від 04.01.2024 16:47:01
Глобине-2</t>
  </si>
  <si>
    <t>Обл. НДС
Стрічка ущільнювальна 150мм рулон 10м сірий
Надходження товарів і послуг ІБ00-000001 від 04.01.2024 16:47:01
Молоко Вітчизни</t>
  </si>
  <si>
    <t>Обл. НДС
Стрічка ущільнювальна 150мм рулон 10м сірий
Надходження товарів і послуг ІБ00-000184 від 15.01.2024 17:10:38
Глобине-2</t>
  </si>
  <si>
    <t>Обл. НДС
Стрічка ущільнювальна 150мм рулон 10м сірий
Надходження товарів і послуг ІБ00-000184 від 15.01.2024 17:10:38
Молоко Вітчизни</t>
  </si>
  <si>
    <t>Обл. НДС
Рідке скло 7кг/5л
Надходження товарів і послуг ІБ00-000348 від 08.01.2024 20:00:04
Глобине-2</t>
  </si>
  <si>
    <t>Обл. НДС
Рідке скло 7кг/5л
Надходження товарів і послуг ІБ00-000348 від 08.01.2024 20:00:04
Молоко Вітчизни</t>
  </si>
  <si>
    <t>Обл. НДС
Розчинник Уайт-спіріт 4 л (шт) 
Надходження товарів і послуг ІБ00-000929 від 05.10.2023 18:32:13
Глобине-2</t>
  </si>
  <si>
    <t>Обл. НДС
Розчинник Уайт-спіріт 4 л (шт) 
Надходження товарів і послуг ІБ00-000929 від 05.10.2023 18:32:13
Молоко Вітчизни</t>
  </si>
  <si>
    <t>Надходження товарів і послуг ІБ00-005012 від 04.10.2024 18:41:13
Оприходованы ТМЦ</t>
  </si>
  <si>
    <t>Обл. НДС
Бетон М-150 (Р-3)
Надходження товарів і послуг ІБ00-005012 від 04.10.2024 18:41:13
Глобине-2</t>
  </si>
  <si>
    <t>Завод Залізобетонних Виробів №1 ПП
Договір №30/08-24-2  від 30.08.2024_Глобине 2
Рахунок на оплату постачальника ІБ00-004043 від 04.10.2024 18:41:04</t>
  </si>
  <si>
    <t>Переміщення товарів ІБ00-000094 від 04.10.2024 20:00:00
Перемещение ТМЦ</t>
  </si>
  <si>
    <t>Обл. НДС
Бетон М-150 (Р-3)
Надходження товарів і послуг ІБ00-005012 від 04.10.2024 18:41:13
Котельна (Глобине)</t>
  </si>
  <si>
    <t>Переміщення товарів ІБ00-000095 від 04.10.2024 20:00:00
Перемещение ТМЦ</t>
  </si>
  <si>
    <t>09.10.2024</t>
  </si>
  <si>
    <t>Надходження товарів і послуг ІБ00-005013 від 09.10.2024 18:37:38
Оприходованы ТМЦ (Зачет аванса поставщику)</t>
  </si>
  <si>
    <t>Обл. НДС
Бетон М-350 (Р-4)
Надходження товарів і послуг ІБ00-005013 від 09.10.2024 18:37:38
Глобине-2</t>
  </si>
  <si>
    <t>Завод Залізобетонних Виробів №1 ПП
Договір №30/08-24-2  від 30.08.2024_Глобине 2
Рахунок на оплату постачальника ІБ00-003973 від 08.10.2024 18:03:23</t>
  </si>
  <si>
    <t>Переміщення товарів ІБ00-000096 від 09.10.2024 19:00:00
Перемещение ТМЦ</t>
  </si>
  <si>
    <t>Обл. НДС
Бетон М-350 (Р-4)
Надходження товарів і послуг ІБ00-005013 від 09.10.2024 18:37:38
Цех екстракції (Глобине)</t>
  </si>
  <si>
    <t>Переміщення товарів ІБ00-000097 від 09.10.2024 19:00:00
Перемещение ТМЦ</t>
  </si>
  <si>
    <t>Обл. НДС
Бетон М-350 (Р-4)
Надходження товарів і послуг ІБ00-005013 від 09.10.2024 18:37:38
Котельна (Глобине)</t>
  </si>
  <si>
    <t>10.10.2024</t>
  </si>
  <si>
    <t>Надходження товарів і послуг ІБ00-005014 від 10.10.2024 18:57:57
Оприходованы ТМЦ (Зачет аванса поставщику)</t>
  </si>
  <si>
    <t>Обл. НДС
Бетон М-150 (Р-4)
Надходження товарів і послуг ІБ00-005014 від 10.10.2024 18:57:57
Глобине-2</t>
  </si>
  <si>
    <t>Обл. НДС
Бетон М-350 (Р-4)
Надходження товарів і послуг ІБ00-005014 від 10.10.2024 18:57:57
Глобине-2</t>
  </si>
  <si>
    <t>11.10.2024</t>
  </si>
  <si>
    <t>Переміщення товарів ІБ00-000098 від 11.10.2024 18:06:38
Перемещение ТМЦ</t>
  </si>
  <si>
    <t>Обл. НДС
Бетон М-350 (Р-4)
Надходження товарів і послуг ІБ00-005014 від 10.10.2024 18:57:57
Цех екстракції (Глобине)</t>
  </si>
  <si>
    <t>Переміщення товарів ІБ00-000099 від 11.10.2024 18:06:39
Перемещение ТМЦ</t>
  </si>
  <si>
    <t>Обл. НДС
Бетон М-150 (Р-4)
Надходження товарів і послуг ІБ00-005014 від 10.10.2024 18:57:57
Цех екстракції (Глобине)</t>
  </si>
  <si>
    <t>Переміщення товарів ІБ00-000100 від 11.10.2024 18:06:40
Перемещение ТМЦ</t>
  </si>
  <si>
    <t>Обл. НДС
Бетон М-150 (Р-4)
Надходження товарів і послуг ІБ00-005014 від 10.10.2024 18:57:57
Котельна (Глобине)</t>
  </si>
  <si>
    <t>15.10.2024</t>
  </si>
  <si>
    <t>Надходження товарів і послуг ІБ00-005226 від 15.10.2024 18:37:02
Оприходованы ТМЦ (Зачет аванса поставщику)</t>
  </si>
  <si>
    <t>Обл. НДС
Бетон С 20/25  F75 W6 Р4
Надходження товарів і послуг ІБ00-005226 від 15.10.2024 18:37:02
Глобине-2</t>
  </si>
  <si>
    <t>Кременчуцький річковий порт ПРАТ
Договір 112/Б від 15.10.2024_Глобине-2
Списання з банківського рахунку 00000018830 від 15.10.2024 12:42:42</t>
  </si>
  <si>
    <t>Надходження дод. витрат ІБ00-000437 від 15.10.2024 18:37:03
Доп. расходы при поступлении товаров (Зачет аванса поставщику)</t>
  </si>
  <si>
    <t>Переміщення товарів ІБ00-000108 від 15.10.2024 18:37:04
Перемещение ТМЦ</t>
  </si>
  <si>
    <t>Обл. НДС
Бетон С 20/25  F75 W6 Р4
Надходження товарів і послуг ІБ00-005226 від 15.10.2024 18:37:02
Котельна (Глобине)</t>
  </si>
  <si>
    <t>Переміщення товарів ІБ00-000109 від 15.10.2024 18:37:05
Перемещение ТМЦ</t>
  </si>
  <si>
    <t>Обл. НДС
Бетон С 20/25  F75 W6 Р4
Надходження товарів і послуг ІБ00-005226 від 15.10.2024 18:37:02
Цех екстракції (Глобине)</t>
  </si>
  <si>
    <t>16.10.2024</t>
  </si>
  <si>
    <t>Надходження товарів і послуг ІБ00-005211 від 16.10.2024 18:38:24
Оприходованы ТМЦ</t>
  </si>
  <si>
    <t>Обл. НДС
Шуруп г/к по дереву 3,5*45 мм
Надходження товарів і послуг ІБ00-005211 від 16.10.2024 18:38:24
Глобине-2</t>
  </si>
  <si>
    <t>Лук'ян Михайло Федорович ФОП
22/08-24-1 от 22.08.2024 (РАХУНКИ)_Глобине-2
Рахунок на оплату постачальника ІБ00-004303 від 15.10.2024 18:37:00</t>
  </si>
  <si>
    <t>Переміщення товарів ІБ00-000133 від 16.10.2024 18:38:44
Перемещение ТМЦ</t>
  </si>
  <si>
    <t>Обл. НДС
Шуруп г/к по дереву 3,5*45 мм
Надходження товарів і послуг ІБ00-005211 від 16.10.2024 18:38:24
Цех екстракції (Глобине)</t>
  </si>
  <si>
    <t>17.10.2024</t>
  </si>
  <si>
    <t>Надходження товарів і послуг ІБ00-005227 від 17.10.2024 18:07:52
Оприходованы ТМЦ</t>
  </si>
  <si>
    <t>Обл. НДС
Бетон С  8/10 Р4
Надходження товарів і послуг ІБ00-005227 від 17.10.2024 18:07:52
Глобине-2</t>
  </si>
  <si>
    <t>Кременчуцький річковий порт ПРАТ
Договір 112/Б від 15.10.2024_Глобине-2
Надходження товарів і послуг ІБ00-005227 від 17.10.2024 18:07:52</t>
  </si>
  <si>
    <t>Обл. НДС
Бетон С 20/25  F75 W6 Р4
Надходження товарів і послуг ІБ00-005227 від 17.10.2024 18:07:52
Глобине-2</t>
  </si>
  <si>
    <t>Надходження дод. витрат ІБ00-000438 від 17.10.2024 18:07:53
Доп. расходы при поступлении товаров</t>
  </si>
  <si>
    <t>Кременчуцький річковий порт ПРАТ
Договір 112/Б від 15.10.2024_Глобине-2
Надходження дод. витрат ІБ00-000438 від 17.10.2024 18:07:53</t>
  </si>
  <si>
    <t>Переміщення товарів ІБ00-000110 від 17.10.2024 18:07:54
Перемещение ТМЦ</t>
  </si>
  <si>
    <t>Обл. НДС
Бетон С  8/10 Р4
Надходження товарів і послуг ІБ00-005227 від 17.10.2024 18:07:52
Котельна (Глобине)</t>
  </si>
  <si>
    <t>Обл. НДС
Бетон С 20/25  F75 W6 Р4
Надходження товарів і послуг ІБ00-005227 від 17.10.2024 18:07:52
Котельна (Глобине)</t>
  </si>
  <si>
    <t>Переміщення товарів ІБ00-000111 від 17.10.2024 18:07:55
Перемещение ТМЦ</t>
  </si>
  <si>
    <t>Обл. НДС
Бетон С  8/10 Р4
Надходження товарів і послуг ІБ00-005227 від 17.10.2024 18:07:52
Цех екстракції (Глобине)</t>
  </si>
  <si>
    <t>Обл. НДС
Бетон С 20/25  F75 W6 Р4
Надходження товарів і послуг ІБ00-005227 від 17.10.2024 18:07:52
Цех екстракції (Глобине)</t>
  </si>
  <si>
    <t>19.10.2024</t>
  </si>
  <si>
    <t>Надходження товарів і послуг ІБ00-005228 від 19.10.2024 14:00:03
Оприходованы ТМЦ (Зачет аванса поставщику)</t>
  </si>
  <si>
    <t>Обл. НДС
Бетон С 20/25  F75 W6 Р4
Надходження товарів і послуг ІБ00-005228 від 19.10.2024 14:00:03
Глобине-2</t>
  </si>
  <si>
    <t>Кременчуцький річковий порт ПРАТ
Договір 112/Б від 15.10.2024_Глобине-2
Списання з банківського рахунку 00000019096 від 17.10.2024 19:38:31</t>
  </si>
  <si>
    <t>Надходження дод. витрат ІБ00-000439 від 19.10.2024 14:00:04
Доп. расходы при поступлении товаров (Зачет аванса поставщику)</t>
  </si>
  <si>
    <t>Переміщення товарів ІБ00-000112 від 19.10.2024 14:00:05
Перемещение ТМЦ</t>
  </si>
  <si>
    <t>Обл. НДС
Бетон С 20/25  F75 W6 Р4
Надходження товарів і послуг ІБ00-005228 від 19.10.2024 14:00:03
Котельна (Глобине)</t>
  </si>
  <si>
    <t>Переміщення товарів ІБ00-000113 від 19.10.2024 14:00:06
Перемещение ТМЦ</t>
  </si>
  <si>
    <t>Обл. НДС
Бетон С 20/25  F75 W6 Р4
Надходження товарів і послуг ІБ00-005228 від 19.10.2024 14:00:03
Цех екстракції (Глобине)</t>
  </si>
  <si>
    <t>21.10.2024</t>
  </si>
  <si>
    <t>Надходження товарів і послуг ІБ00-005229 від 21.10.2024 17:44:06
Оприходованы ТМЦ (Зачет аванса поставщику)</t>
  </si>
  <si>
    <t>Обл. НДС
Бетон С 20/25  F75 W6 Р4
Надходження товарів і послуг ІБ00-005229 від 21.10.2024 17:44:06
Глобине-2</t>
  </si>
  <si>
    <t>Обл. НДС
Бетон С  8/10 Р4
Надходження товарів і послуг ІБ00-005229 від 21.10.2024 17:44:06
Глобине-2</t>
  </si>
  <si>
    <t>Надходження дод. витрат ІБ00-000440 від 21.10.2024 17:44:07
Доп. расходы при поступлении товаров (Зачет аванса поставщику)</t>
  </si>
  <si>
    <t>Переміщення товарів ІБ00-000114 від 21.10.2024 17:44:08
Перемещение ТМЦ</t>
  </si>
  <si>
    <t>Обл. НДС
Бетон С  8/10 Р4
Надходження товарів і послуг ІБ00-005229 від 21.10.2024 17:44:06
Котельна (Глобине)</t>
  </si>
  <si>
    <t>Переміщення товарів ІБ00-000115 від 21.10.2024 17:44:09
Перемещение ТМЦ</t>
  </si>
  <si>
    <t>Обл. НДС
Бетон С 20/25  F75 W6 Р4
Надходження товарів і послуг ІБ00-005229 від 21.10.2024 17:44:06
Цех екстракції (Глобине)</t>
  </si>
  <si>
    <t>Обл. НДС
Бетон С  8/10 Р4
Надходження товарів і послуг ІБ00-005229 від 21.10.2024 17:44:06
Цех екстракції (Глобине)</t>
  </si>
  <si>
    <t>23.10.2024</t>
  </si>
  <si>
    <t>Надходження товарів і послуг ІБ00-005221 від 23.10.2024 18:16:38
Оприходованы ТМЦ (Зачет аванса поставщику)</t>
  </si>
  <si>
    <t>Обл. НДС
Бетон С 20/25  F75 W6 Р4
Надходження товарів і послуг ІБ00-005221 від 23.10.2024 18:16:38
Глобине-2</t>
  </si>
  <si>
    <t>Кременчуцький річковий порт ПРАТ
Договір 112/Б від 15.10.2024_Глобине-2
Списання з банківського рахунку 00000019361 від 22.10.2024 15:57:29</t>
  </si>
  <si>
    <t>Надходження дод. витрат ІБ00-000436 від 23.10.2024 18:16:39
Доп. расходы при поступлении товаров (Зачет аванса поставщику)</t>
  </si>
  <si>
    <t>Переміщення товарів ІБ00-000106 від 23.10.2024 18:16:41
Перемещение ТМЦ</t>
  </si>
  <si>
    <t>Обл. НДС
Бетон С 20/25  F75 W6 Р4
Надходження товарів і послуг ІБ00-005221 від 23.10.2024 18:16:38
Цех екстракції (Глобине)</t>
  </si>
  <si>
    <t>Переміщення товарів ІБ00-000107 від 23.10.2024 18:16:42
Перемещение ТМЦ</t>
  </si>
  <si>
    <t>Обл. НДС
Бетон С 20/25  F75 W6 Р4
Надходження товарів і послуг ІБ00-005221 від 23.10.2024 18:16:38
Котельна (Глобине)</t>
  </si>
  <si>
    <t>24.10.2024</t>
  </si>
  <si>
    <t>Надходження товарів і послуг ІБ00-005295 від 24.10.2024 17:54:50
Оприходованы ТМЦ (Зачет аванса поставщику)</t>
  </si>
  <si>
    <t>Обл. НДС
Бетон С 20/25  F75 W6 Р4
Надходження товарів і послуг ІБ00-005295 від 24.10.2024 17:54:50
Глобине-2</t>
  </si>
  <si>
    <t>Надходження дод. витрат ІБ00-000452 від 24.10.2024 17:54:51
Доп. расходы при поступлении товаров (Зачет аванса поставщику)</t>
  </si>
  <si>
    <t>Переміщення товарів ІБ00-000119 від 24.10.2024 20:00:00
Перемещение ТМЦ</t>
  </si>
  <si>
    <t>Обл. НДС
Бетон С 20/25  F75 W6 Р4
Надходження товарів і послуг ІБ00-005295 від 24.10.2024 17:54:50
Котельна (Глобине)</t>
  </si>
  <si>
    <t>Переміщення товарів ІБ00-000120 від 24.10.2024 20:00:01
Перемещение ТМЦ</t>
  </si>
  <si>
    <t>Обл. НДС
Бетон С 20/25  F75 W6 Р4
Надходження товарів і послуг ІБ00-005295 від 24.10.2024 17:54:50
Цех екстракції (Глобине)</t>
  </si>
  <si>
    <t>26.10.2024</t>
  </si>
  <si>
    <t>Надходження товарів і послуг ІБ00-005235 від 26.10.2024 12:00:00
Оприходованы ТМЦ</t>
  </si>
  <si>
    <t>Обл. НДС
Бетон С 20/25  F75 W6 Р4
Надходження товарів і послуг ІБ00-005235 від 26.10.2024 12:00:00
Глобине-2</t>
  </si>
  <si>
    <t>Кременчуцький річковий порт ПРАТ
Договір 112/Б від 15.10.2024_Глобине-2
Надходження товарів і послуг ІБ00-005235 від 26.10.2024 12:00:00</t>
  </si>
  <si>
    <t>Надходження товарів і послуг ІБ00-005235 від 26.10.2024 12:00:00
Оприходованы ТМЦ (Зачет аванса поставщику)</t>
  </si>
  <si>
    <t>Обл. НДС
Бетон С  8/10 Р4
Надходження товарів і послуг ІБ00-005235 від 26.10.2024 12:00:00
Глобине-2</t>
  </si>
  <si>
    <t>Надходження дод. витрат ІБ00-000442 від 26.10.2024 12:00:01
Доп. расходы при поступлении товаров</t>
  </si>
  <si>
    <t>Кременчуцький річковий порт ПРАТ
Договір 112/Б від 15.10.2024_Глобине-2
Надходження дод. витрат ІБ00-000442 від 26.10.2024 12:00:01</t>
  </si>
  <si>
    <t>Переміщення товарів ІБ00-000117 від 26.10.2024 12:00:02
Перемещение ТМЦ</t>
  </si>
  <si>
    <t>Обл. НДС
Бетон С 20/25  F75 W6 Р4
Надходження товарів і послуг ІБ00-005235 від 26.10.2024 12:00:00
Котельна (Глобине)</t>
  </si>
  <si>
    <t>Переміщення товарів ІБ00-000118 від 26.10.2024 12:00:03
Перемещение ТМЦ</t>
  </si>
  <si>
    <t>Обл. НДС
Бетон С 20/25  F75 W6 Р4
Надходження товарів і послуг ІБ00-005235 від 26.10.2024 12:00:00
Цех екстракції (Глобине)</t>
  </si>
  <si>
    <t>Обл. НДС
Бетон С  8/10 Р4
Надходження товарів і послуг ІБ00-005235 від 26.10.2024 12:00:00
Цех екстракції (Глобине)</t>
  </si>
  <si>
    <t>29.10.2024</t>
  </si>
  <si>
    <t>Надходження товарів і послуг ІБ00-005326 від 29.10.2024 21:53:22
Оприходованы ТМЦ (Зачет аванса поставщику)</t>
  </si>
  <si>
    <t>Обл. НДС
Бетон С 20/25  F75 W6 Р4
Надходження товарів і послуг ІБ00-005326 від 29.10.2024 21:53:22
Глобине-2</t>
  </si>
  <si>
    <t>Кременчуцький річковий порт ПРАТ
Договір 112/Б від 15.10.2024_Глобине-2
Списання з банківського рахунку 00000019672 від 29.10.2024 16:44:49</t>
  </si>
  <si>
    <t>Надходження дод. витрат ІБ00-000457 від 29.10.2024 21:53:23
Доп. расходы при поступлении товаров (Зачет аванса поставщику)</t>
  </si>
  <si>
    <t>Переміщення товарів ІБ00-000122 від 29.10.2024 22:00:00
Перемещение ТМЦ</t>
  </si>
  <si>
    <t>Обл. НДС
Бетон С 20/25  F75 W6 Р4
Надходження товарів і послуг ІБ00-005326 від 29.10.2024 21:53:22
Котельна (Глобине)</t>
  </si>
  <si>
    <t>Переміщення товарів ІБ00-000123 від 29.10.2024 22:00:00
Перемещение ТМЦ</t>
  </si>
  <si>
    <t>Обл. НДС
Бетон С 20/25  F75 W6 Р4
Надходження товарів і послуг ІБ00-005326 від 29.10.2024 21:53:22
Цех екстракції (Глобине)</t>
  </si>
  <si>
    <t>30.10.2024</t>
  </si>
  <si>
    <t>Надходження товарів і послуг ІБ00-005405 від 30.10.2024 00:00:00
Оприходованы ТМЦ</t>
  </si>
  <si>
    <t>Обл. НДС
Шуруп для г/к по дереву 3,9*75 мм
Надходження товарів і послуг ІБ00-005405 від 30.10.2024 00:00:00
Глобине-2</t>
  </si>
  <si>
    <t>ПРОФІЦЕНТР КВІТКА ТОВ
№ПК-7165 від 31.05.2024р._Глобине-2
Рахунок на оплату постачальника ІБ00-004426 від 29.10.2024 22:00:18</t>
  </si>
  <si>
    <t>Обл. НДС
Шуруп г/к по дереву 3,5*45 мм
Надходження товарів і послуг ІБ00-005405 від 30.10.2024 00:00:00
Глобине-2</t>
  </si>
  <si>
    <t>Надходження товарів і послуг ІБ00-005444 від 30.10.2024 20:04:38
Оприходованы ТМЦ (Зачет аванса поставщику)</t>
  </si>
  <si>
    <t>Обл. НДС
Бетон С 20/25  F75 W6 Р4
Надходження товарів і послуг ІБ00-005444 від 30.10.2024 20:04:38
Глобине-2</t>
  </si>
  <si>
    <t>Надходження дод. витрат ІБ00-000465 від 30.10.2024 20:04:39
Доп. расходы при поступлении товаров (Зачет аванса поставщику)</t>
  </si>
  <si>
    <t>Переміщення товарів ІБ00-000128 від 30.10.2024 20:04:40
Перемещение ТМЦ</t>
  </si>
  <si>
    <t>Обл. НДС
Шуруп для г/к по дереву 3,9*75 мм
Надходження товарів і послуг ІБ00-005405 від 30.10.2024 00:00:00
Цех екстракції (Глобине)</t>
  </si>
  <si>
    <t>Обл. НДС
Шуруп г/к по дереву 3,5*45 мм
Надходження товарів і послуг ІБ00-005405 від 30.10.2024 00:00:00
Цех екстракції (Глобине)</t>
  </si>
  <si>
    <t>Переміщення товарів ІБ00-000129 від 30.10.2024 20:04:41
Перемещение ТМЦ</t>
  </si>
  <si>
    <t>Обл. НДС
Шуруп для г/к по дереву 3,9*75 мм
Надходження товарів і послуг ІБ00-005405 від 30.10.2024 00:00:00
Котельна (Глобине)</t>
  </si>
  <si>
    <t>Обл. НДС
Шуруп г/к по дереву 3,5*45 мм
Надходження товарів і послуг ІБ00-005405 від 30.10.2024 00:00:00
Котельна (Глобине)</t>
  </si>
  <si>
    <t>Переміщення товарів ІБ00-000140 від 30.10.2024 20:30:00
Перемещение ТМЦ</t>
  </si>
  <si>
    <t>Обл. НДС
Бетон С 20/25  F75 W6 Р4
Надходження товарів і послуг ІБ00-005444 від 30.10.2024 20:04:38
Цех екстракції (Глобине)</t>
  </si>
  <si>
    <t>Переміщення товарів ІБ00-000141 від 30.10.2024 21:00:00
Перемещение ТМЦ</t>
  </si>
  <si>
    <t>Обл. НДС
Бетон С 20/25  F75 W6 Р4
Надходження товарів і послуг ІБ00-005444 від 30.10.2024 20:04:38
Котельна (Глобине)</t>
  </si>
  <si>
    <t>Надходження товарів і послуг ІБ00-005520 від 30.10.2024 21:00:06
Оприходованы ТМЦ</t>
  </si>
  <si>
    <t>Обл. НДС
Фіксатор зірочка 50
Надходження товарів і послуг ІБ00-005520 від 30.10.2024 21:00:06
Глобине-2</t>
  </si>
  <si>
    <t>ПРОТЕКС УКРАЇНА
Договір 9  від 11.12.2023_Глобіно2
Рахунок на оплату постачальника ІБ00-004475 від 30.10.2024 21:00:05</t>
  </si>
  <si>
    <t>Переміщення товарів ІБ00-000145 від 30.10.2024 21:00:07
Перемещение ТМЦ</t>
  </si>
  <si>
    <t>Обл. НДС
Фіксатор зірочка 50
Надходження товарів і послуг ІБ00-005520 від 30.10.2024 21:00:06
Цех екстракції (Глобине)</t>
  </si>
  <si>
    <t>Переміщення товарів ІБ00-000146 від 30.10.2024 21:00:08
Перемещение ТМЦ</t>
  </si>
  <si>
    <t>Обл. НДС
Фіксатор зірочка 50
Надходження товарів і послуг ІБ00-005520 від 30.10.2024 21:00:06
Котельна (Глобине)</t>
  </si>
  <si>
    <t>Переміщення товарів ІБ00-000147 від 30.10.2024 21:00:09
Перемещение ТМЦ</t>
  </si>
  <si>
    <t>Обл. НДС
Фіксатор зірочка 50
Надходження товарів і послуг ІБ00-005520 від 30.10.2024 21:00:06
СПК (Глобине)</t>
  </si>
  <si>
    <t>01.11.2024</t>
  </si>
  <si>
    <t>Надходження товарів і послуг ІБ00-005822 від 01.11.2024 20:00:30
Оприходованы ТМЦ</t>
  </si>
  <si>
    <t>Обл. НДС
Щебінь 40-70
Надходження товарів і послуг ІБ00-005822 від 01.11.2024 20:00:30
Глобине-2</t>
  </si>
  <si>
    <t>Венкрас Авто ПП
Договір 05/09/2024 від 05.09.2024_Глобине-2
Рахунок на оплату постачальника ІБ00-004752 від 30.10.2024 20:00:29</t>
  </si>
  <si>
    <t>Обл. НДС
Пісок з відсіву дроблення щебеню фр. 0-5мм.
Надходження товарів і послуг ІБ00-005822 від 01.11.2024 20:00:30
Глобине-2</t>
  </si>
  <si>
    <t>Надходження товарів і послуг ІБ00-005871 від 01.11.2024 20:00:42
Оприходованы ТМЦ</t>
  </si>
  <si>
    <t>Обл. НДС
Щебінь 40-70
Надходження товарів і послуг ІБ00-005871 від 01.11.2024 20:00:42
Глобине-2</t>
  </si>
  <si>
    <t>Венкрас Авто ПП
Договір 05/09/2024 від 05.09.2024_Глобине-2
Рахунок на оплату постачальника ІБ00-004773 від 31.10.2024 20:00:41</t>
  </si>
  <si>
    <t>Обл. НДС
Пісок з відсіву дроблення щебеню фр. 0-5мм.
Надходження товарів і послуг ІБ00-005871 від 01.11.2024 20:00:42
Глобине-2</t>
  </si>
  <si>
    <t>Надходження дод. витрат ІБ00-000525 від 01.11.2024 20:10:00
Доп. расходы при поступлении товаров</t>
  </si>
  <si>
    <t>Надходження дод. витрат ІБ00-000530 від 01.11.2024 20:10:00
Доп. расходы при поступлении товаров</t>
  </si>
  <si>
    <t>Переміщення товарів ІБ00-000200 від 01.11.2024 20:15:31
Перемещение ТМЦ</t>
  </si>
  <si>
    <t>Обл. НДС
Щебінь 40-70
Надходження товарів і послуг ІБ00-005822 від 01.11.2024 20:00:30
Котельна (Глобине)</t>
  </si>
  <si>
    <t>Обл. НДС
Пісок з відсіву дроблення щебеню фр. 0-5мм.
Надходження товарів і послуг ІБ00-005822 від 01.11.2024 20:00:30
Котельна (Глобине)</t>
  </si>
  <si>
    <t>Переміщення товарів ІБ00-000201 від 01.11.2024 20:15:32
Перемещение ТМЦ</t>
  </si>
  <si>
    <t>Обл. НДС
Пісок з відсіву дроблення щебеню фр. 0-5мм.
Надходження товарів і послуг ІБ00-005822 від 01.11.2024 20:00:30
Цех екстракції (Глобине)</t>
  </si>
  <si>
    <t>Переміщення товарів ІБ00-000210 від 01.11.2024 20:15:43
Перемещение ТМЦ</t>
  </si>
  <si>
    <t>Обл. НДС
Щебінь 40-70
Надходження товарів і послуг ІБ00-005871 від 01.11.2024 20:00:42
Котельна (Глобине)</t>
  </si>
  <si>
    <t>Обл. НДС
Пісок з відсіву дроблення щебеню фр. 0-5мм.
Надходження товарів і послуг ІБ00-005871 від 01.11.2024 20:00:42
Котельна (Глобине)</t>
  </si>
  <si>
    <t>Переміщення товарів ІБ00-000211 від 01.11.2024 20:15:44
Перемещение ТМЦ</t>
  </si>
  <si>
    <t>Обл. НДС
Пісок з відсіву дроблення щебеню фр. 0-5мм.
Надходження товарів і послуг ІБ00-005871 від 01.11.2024 20:00:42
Цех екстракції (Глобине)</t>
  </si>
  <si>
    <t>04.11.2024</t>
  </si>
  <si>
    <t>Надходження товарів і послуг ІБ00-005521 від 04.11.2024 17:13:08
Оприходованы ТМЦ</t>
  </si>
  <si>
    <t>Обл. НДС
Цвяхи будівельні 3,0*70 
Надходження товарів і послуг ІБ00-005521 від 04.11.2024 17:13:08
Глобине-2</t>
  </si>
  <si>
    <t>Лук'ян Михайло Федорович ФОП
22/08-24-1 от 22.08.2024 (РАХУНКИ)_Глобине-2
Рахунок на оплату постачальника ІБ00-004476 від 04.11.2024 17:13:07</t>
  </si>
  <si>
    <t>Обл. НДС
Шуруп г/к по дереву 4,2*76 мм
Надходження товарів і послуг ІБ00-005521 від 04.11.2024 17:13:08
Глобине-2</t>
  </si>
  <si>
    <t>Переміщення товарів ІБ00-000148 від 04.11.2024 17:13:09
Перемещение ТМЦ</t>
  </si>
  <si>
    <t>Обл. НДС
Цвяхи будівельні 3,0*70 
Надходження товарів і послуг ІБ00-005521 від 04.11.2024 17:13:08
Котельна (Глобине)</t>
  </si>
  <si>
    <t>Обл. НДС
Шуруп г/к по дереву 4,2*76 мм
Надходження товарів і послуг ІБ00-005521 від 04.11.2024 17:13:08
Котельна (Глобине)</t>
  </si>
  <si>
    <t>Переміщення товарів ІБ00-000149 від 04.11.2024 17:13:10
Перемещение ТМЦ</t>
  </si>
  <si>
    <t>Обл. НДС
Цвяхи будівельні 3,0*70 
Надходження товарів і послуг ІБ00-005521 від 04.11.2024 17:13:08
Цех екстракції (Глобине)</t>
  </si>
  <si>
    <t>Обл. НДС
Шуруп г/к по дереву 4,2*76 мм
Надходження товарів і послуг ІБ00-005521 від 04.11.2024 17:13:08
Цех екстракції (Глобине)</t>
  </si>
  <si>
    <t>Надходження товарів і послуг ІБ00-005577 від 04.11.2024 17:13:15
Оприходованы ТМЦ</t>
  </si>
  <si>
    <t>Обл. НДС
Пісок з відсівів дробл.фр.0-5мм.
Надходження товарів і послуг ІБ00-005577 від 04.11.2024 17:13:15
Глобине-2</t>
  </si>
  <si>
    <t>Венкрас Авто ПП
Договір 05/09/2024 від 05.09.2024_Глобине-2
Рахунок на оплату постачальника ІБ00-004525 від 04.11.2024 17:13:14</t>
  </si>
  <si>
    <t>Обл. НДС
Щебінь 40-70
Надходження товарів і послуг ІБ00-005577 від 04.11.2024 17:13:15
Глобине-2</t>
  </si>
  <si>
    <t>Надходження дод. витрат ІБ00-000484 від 04.11.2024 17:15:00
Доп. расходы при поступлении товаров</t>
  </si>
  <si>
    <t>Переміщення товарів ІБ00-000152 від 04.11.2024 18:13:16
Перемещение ТМЦ</t>
  </si>
  <si>
    <t>Обл. НДС
Пісок з відсівів дробл.фр.0-5мм.
Надходження товарів і послуг ІБ00-005577 від 04.11.2024 17:13:15
Цех екстракції (Глобине)</t>
  </si>
  <si>
    <t>Переміщення товарів ІБ00-000153 від 04.11.2024 18:13:17
Перемещение ТМЦ</t>
  </si>
  <si>
    <t>Обл. НДС
Щебінь 40-70
Надходження товарів і послуг ІБ00-005577 від 04.11.2024 17:13:15
Котельна (Глобине)</t>
  </si>
  <si>
    <t>05.11.2024</t>
  </si>
  <si>
    <t>Надходження товарів і послуг ІБ00-005516 від 05.11.2024 17:28:14
Оприходованы ТМЦ</t>
  </si>
  <si>
    <t>Обл. НДС
Труба п/е 25- (2 м)
Надходження товарів і послуг ІБ00-005516 від 05.11.2024 17:28:14
Глобине-2</t>
  </si>
  <si>
    <t>ПРОТЕКС УКРАЇНА
Договір 9  від 11.12.2023_Глобіно2
Рахунок на оплату постачальника ІБ00-004472 від 31.10.2024 23:59:59</t>
  </si>
  <si>
    <t>Обл. НДС
Фіксатор конус
Надходження товарів і послуг ІБ00-005516 від 05.11.2024 17:28:14
Глобине-2</t>
  </si>
  <si>
    <t>Надходження товарів і послуг ІБ00-005517 від 05.11.2024 17:28:15
Оприходованы ТМЦ</t>
  </si>
  <si>
    <t>Обл. НДС
Анкер хімічний 410 мл 
Надходження товарів і послуг ІБ00-005517 від 05.11.2024 17:28:15
Глобине-2</t>
  </si>
  <si>
    <t>Солді і Ко ПАТ
Дог № 378542-55/19 від 21.01.2019 р. РАХ_Глобине-2
Рахунок на оплату постачальника ІБ00-004473 від 04.11.2024 17:13:04</t>
  </si>
  <si>
    <t>Обл. НДС
Змішувач д/ EPOFIX (хім.анкера)
Надходження товарів і послуг ІБ00-005517 від 05.11.2024 17:28:15
Глобине-2</t>
  </si>
  <si>
    <t>Обл. НДС
Пістолет для хім.анкера 380/410мл
Надходження товарів і послуг ІБ00-005517 від 05.11.2024 17:28:15
Глобине-2</t>
  </si>
  <si>
    <t>Переміщення товарів ІБ00-000279 від 05.11.2024 20:00:15
Перемещение ТМЦ</t>
  </si>
  <si>
    <t>Обл. НДС
Пістолет для хім.анкера 380/410мл
Надходження товарів і послуг ІБ00-005517 від 05.11.2024 17:28:15
Котельна (Глобине)</t>
  </si>
  <si>
    <t>Обл. НДС
Анкер хімічний 410 мл 
Надходження товарів і послуг ІБ00-005517 від 05.11.2024 17:28:15
Котельна (Глобине)</t>
  </si>
  <si>
    <t>06.11.2024</t>
  </si>
  <si>
    <t>Надходження товарів і послуг ІБ00-005549 від 06.11.2024 17:20:19
Оприходованы ТМЦ (Зачет аванса поставщику)</t>
  </si>
  <si>
    <t>Обл. НДС
Бетон С  8/10 Р4
Надходження товарів і послуг ІБ00-005549 від 06.11.2024 17:20:19
Глобине-2</t>
  </si>
  <si>
    <t>Гірник ПрАТ
Договір 105  від 22.10.2024_Глобине-2
Списання з банківського рахунку 00000019972 від 01.11.2024 16:19:39</t>
  </si>
  <si>
    <t>Надходження дод. витрат ІБ00-000499 від 06.11.2024 17:32:00
Доп. расходы при поступлении товаров (Зачет аванса поставщику)</t>
  </si>
  <si>
    <t>Переміщення товарів ІБ00-000150 від 06.11.2024 18:00:00
Перемещение ТМЦ</t>
  </si>
  <si>
    <t>Обл. НДС
Бетон С  8/10 Р4
Надходження товарів і послуг ІБ00-005549 від 06.11.2024 17:20:19
Котельна (Глобине)</t>
  </si>
  <si>
    <t>Переміщення товарів ІБ00-000151 від 06.11.2024 18:20:20
Перемещение ТМЦ</t>
  </si>
  <si>
    <t>Обл. НДС
Бетон С  8/10 Р4
Надходження товарів і послуг ІБ00-005549 від 06.11.2024 17:20:19
СПК (Глобине)</t>
  </si>
  <si>
    <t>08.11.2024</t>
  </si>
  <si>
    <t>Надходження товарів і послуг ІБ00-005855 від 08.11.2024 20:00:19
Оприходованы ТМЦ</t>
  </si>
  <si>
    <t>Обл. НДС
Пісок з відсіву дроблення щебеню фр. 0-5мм.
Надходження товарів і послуг ІБ00-005855 від 08.11.2024 20:00:19
Глобине-2</t>
  </si>
  <si>
    <t>Венкрас Авто ПП
Договір 05/09/2024 від 05.09.2024_Глобине-2
Рахунок на оплату постачальника ІБ00-004763 від 08.11.2024 20:00:18</t>
  </si>
  <si>
    <t>Надходження дод. витрат ІБ00-000528 від 08.11.2024 20:10:00
Доп. расходы при поступлении товаров</t>
  </si>
  <si>
    <t>Переміщення товарів ІБ00-000204 від 08.11.2024 20:15:20
Перемещение ТМЦ</t>
  </si>
  <si>
    <t>Обл. НДС
Пісок з відсіву дроблення щебеню фр. 0-5мм.
Надходження товарів і послуг ІБ00-005855 від 08.11.2024 20:00:19
Котельна (Глобине)</t>
  </si>
  <si>
    <t>Переміщення товарів ІБ00-000205 від 08.11.2024 20:15:21
Перемещение ТМЦ</t>
  </si>
  <si>
    <t>Обл. НДС
Пісок з відсіву дроблення щебеню фр. 0-5мм.
Надходження товарів і послуг ІБ00-005855 від 08.11.2024 20:00:19
Цех екстракції (Глобине)</t>
  </si>
  <si>
    <t>09.11.2024</t>
  </si>
  <si>
    <t>Надходження товарів і послуг ІБ00-005599 від 09.11.2024 12:00:00
Оприходованы ТМЦ (Зачет аванса поставщику)</t>
  </si>
  <si>
    <t>Обл. НДС
Бетон С  8/10 Р4
Надходження товарів і послуг ІБ00-005599 від 09.11.2024 12:00:00
Глобине-2</t>
  </si>
  <si>
    <t>Кременчуцький річковий порт ПРАТ
Договір 112/Б від 15.10.2024_Глобине-2
Надходження товарів і послуг ІБ00-005487 від 05.11.2024 17:00:00</t>
  </si>
  <si>
    <t>Надходження дод. витрат ІБ00-000477 від 09.11.2024 12:00:01
Доп. расходы при поступлении товаров</t>
  </si>
  <si>
    <t>Кременчуцький річковий порт ПРАТ
Договір 112/Б від 15.10.2024_Глобине-2
Надходження дод. витрат ІБ00-000477 від 09.11.2024 12:00:01</t>
  </si>
  <si>
    <t>Надходження дод. витрат ІБ00-000477 від 09.11.2024 12:00:01
Доп. расходы при поступлении товаров (Зачет аванса поставщику)</t>
  </si>
  <si>
    <t>Переміщення товарів ІБ00-000156 від 09.11.2024 12:00:02
Перемещение ТМЦ</t>
  </si>
  <si>
    <t>Обл. НДС
Бетон С  8/10 Р4
Надходження товарів і послуг ІБ00-005599 від 09.11.2024 12:00:00
Котельна (Глобине)</t>
  </si>
  <si>
    <t>Переміщення товарів ІБ00-000157 від 09.11.2024 12:00:03
Перемещение ТМЦ</t>
  </si>
  <si>
    <t>Обл. НДС
Бетон С  8/10 Р4
Надходження товарів і послуг ІБ00-005599 від 09.11.2024 12:00:00
Цех екстракції (Глобине)</t>
  </si>
  <si>
    <t>11.11.2024</t>
  </si>
  <si>
    <t>Надходження товарів і послуг ІБ00-005854 від 11.11.2024 18:00:22
Оприходованы ТМЦ</t>
  </si>
  <si>
    <t>Обл. НДС
Пісок з відсіву дроблення щебеню фр. 0-5мм.
Надходження товарів і послуг ІБ00-005854 від 11.11.2024 18:00:22
Глобине-2</t>
  </si>
  <si>
    <t>Венкрас Авто ПП
Договір 05/09/2024 від 05.09.2024_Глобине-2
Рахунок на оплату постачальника ІБ00-004762 від 11.11.2024 18:00:21</t>
  </si>
  <si>
    <t>Обл. НДС
Щебінь 40-70
Надходження товарів і послуг ІБ00-005854 від 11.11.2024 18:00:22
Глобине-2</t>
  </si>
  <si>
    <t>Надходження дод. витрат ІБ00-000524 від 11.11.2024 18:10:00
Доп. расходы при поступлении товаров</t>
  </si>
  <si>
    <t>Переміщення товарів ІБ00-000203 від 11.11.2024 18:30:24
Перемещение ТМЦ</t>
  </si>
  <si>
    <t>Обл. НДС
Пісок з відсіву дроблення щебеню фр. 0-5мм.
Надходження товарів і послуг ІБ00-005854 від 11.11.2024 18:00:22
Цех екстракції (Глобине)</t>
  </si>
  <si>
    <t>Переміщення товарів ІБ00-000202 від 11.11.2024 18:31:23
Перемещение ТМЦ</t>
  </si>
  <si>
    <t>Обл. НДС
Пісок з відсіву дроблення щебеню фр. 0-5мм.
Надходження товарів і послуг ІБ00-005854 від 11.11.2024 18:00:22
Котельна (Глобине)</t>
  </si>
  <si>
    <t>Обл. НДС
Щебінь 40-70
Надходження товарів і послуг ІБ00-005854 від 11.11.2024 18:00:22
Котельна (Глобине)</t>
  </si>
  <si>
    <t>12.11.2024</t>
  </si>
  <si>
    <t>Надходження товарів і послуг ІБ00-005588 від 12.11.2024 18:12:31
Оприходованы ТМЦ (Зачет аванса поставщику)</t>
  </si>
  <si>
    <t>Обл. НДС
Бетон С  8/10 Р4
Надходження товарів і послуг ІБ00-005588 від 12.11.2024 18:12:31
Глобине-2</t>
  </si>
  <si>
    <t>Кременчуцький річковий порт ПРАТ
Договір 112/Б від 15.10.2024_Глобине-2
Списання з банківського рахунку 00000020236 від 12.11.2024 17:10:47</t>
  </si>
  <si>
    <t>Надходження дод. витрат ІБ00-000476 від 12.11.2024 18:12:32
Доп. расходы при поступлении товаров (Зачет аванса поставщику)</t>
  </si>
  <si>
    <t>Переміщення товарів ІБ00-000154 від 12.11.2024 18:12:33
Перемещение ТМЦ</t>
  </si>
  <si>
    <t>Обл. НДС
Бетон С  8/10 Р4
Надходження товарів і послуг ІБ00-005588 від 12.11.2024 18:12:31
Котельна (Глобине)</t>
  </si>
  <si>
    <t>Переміщення товарів ІБ00-000155 від 12.11.2024 18:12:34
Перемещение ТМЦ</t>
  </si>
  <si>
    <t>Обл. НДС
Бетон С  8/10 Р4
Надходження товарів і послуг ІБ00-005588 від 12.11.2024 18:12:31
СПК (Глобине)</t>
  </si>
  <si>
    <t>13.11.2024</t>
  </si>
  <si>
    <t>Надходження товарів і послуг ІБ00-005686 від 13.11.2024 17:47:31
Оприходованы ТМЦ</t>
  </si>
  <si>
    <t>Обл. НДС
Бетон С 20/25  F75 W6 Р4
Надходження товарів і послуг ІБ00-005686 від 13.11.2024 17:47:31
Глобине-2</t>
  </si>
  <si>
    <t>Кременчуцький річковий порт ПРАТ
Договір 112/Б від 15.10.2024_Глобине-2
Надходження товарів і послуг ІБ00-005686 від 13.11.2024 17:47:31</t>
  </si>
  <si>
    <t>Надходження товарів і послуг ІБ00-005686 від 13.11.2024 17:47:31
Оприходованы ТМЦ (Зачет аванса поставщику)</t>
  </si>
  <si>
    <t>Надходження дод. витрат ІБ00-000486 від 13.11.2024 17:47:32
Доп. расходы при поступлении товаров</t>
  </si>
  <si>
    <t>Кременчуцький річковий порт ПРАТ
Договір 112/Б від 15.10.2024_Глобине-2
Надходження дод. витрат ІБ00-000486 від 13.11.2024 17:47:32</t>
  </si>
  <si>
    <t>Переміщення товарів ІБ00-000168 від 13.11.2024 17:47:33
Перемещение ТМЦ</t>
  </si>
  <si>
    <t>Обл. НДС
Бетон С 20/25  F75 W6 Р4
Надходження товарів і послуг ІБ00-005686 від 13.11.2024 17:47:31
Цех екстракції (Глобине)</t>
  </si>
  <si>
    <t>Переміщення товарів ІБ00-000169 від 13.11.2024 17:47:34
Перемещение ТМЦ</t>
  </si>
  <si>
    <t>Обл. НДС
Бетон С 20/25  F75 W6 Р4
Надходження товарів і послуг ІБ00-005686 від 13.11.2024 17:47:31
Котельна (Глобине)</t>
  </si>
  <si>
    <t>14.11.2024</t>
  </si>
  <si>
    <t>Надходження товарів і послуг ІБ00-005688 від 14.11.2024 23:01:12
Оприходованы ТМЦ (Зачет аванса поставщику)</t>
  </si>
  <si>
    <t>Обл. НДС
Бетон С 20/25  F75 W6 Р4
Надходження товарів і послуг ІБ00-005688 від 14.11.2024 23:01:12
Глобине-2</t>
  </si>
  <si>
    <t>Кременчуцький річковий порт ПРАТ
Договір 112/Б від 15.10.2024_Глобине-2
Списання з банківського рахунку 00000020377 від 14.11.2024 16:51:55</t>
  </si>
  <si>
    <t>Обл. НДС
Бетон С  8/10 Р4
Надходження товарів і послуг ІБ00-005688 від 14.11.2024 23:01:12
Глобине-2</t>
  </si>
  <si>
    <t>Надходження дод. витрат ІБ00-000488 від 14.11.2024 23:01:13
Доп. расходы при поступлении товаров (Зачет аванса поставщику)</t>
  </si>
  <si>
    <t>Переміщення товарів ІБ00-000172 від 14.11.2024 23:01:14
Перемещение ТМЦ</t>
  </si>
  <si>
    <t>Обл. НДС
Бетон С  8/10 Р4
Надходження товарів і послуг ІБ00-005688 від 14.11.2024 23:01:12
Цех екстракції (Глобине)</t>
  </si>
  <si>
    <t>Переміщення товарів ІБ00-000173 від 14.11.2024 23:01:15
Перемещение ТМЦ</t>
  </si>
  <si>
    <t>Обл. НДС
Бетон С  8/10 Р4
Надходження товарів і послуг ІБ00-005688 від 14.11.2024 23:01:12
Котельна (Глобине)</t>
  </si>
  <si>
    <t>Переміщення товарів ІБ00-000174 від 14.11.2024 23:01:16
Перемещение ТМЦ</t>
  </si>
  <si>
    <t>Обл. НДС
Бетон С 20/25  F75 W6 Р4
Надходження товарів і послуг ІБ00-005688 від 14.11.2024 23:01:12
СПК (Глобине)</t>
  </si>
  <si>
    <t>Обл. НДС
Бетон С  8/10 Р4
Надходження товарів і послуг ІБ00-005688 від 14.11.2024 23:01:12
СПК (Глобине)</t>
  </si>
  <si>
    <t>16.11.2024</t>
  </si>
  <si>
    <t>Надходження товарів і послуг ІБ00-005687 від 16.11.2024 12:00:01
Оприходованы ТМЦ (Зачет аванса поставщику)</t>
  </si>
  <si>
    <t>Обл. НДС
Бетон С 20/25  F75 W6 Р4
Надходження товарів і послуг ІБ00-005687 від 16.11.2024 12:00:01
Глобине-2</t>
  </si>
  <si>
    <t>Надходження дод. витрат ІБ00-000487 від 16.11.2024 12:00:02
Доп. расходы при поступлении товаров (Зачет аванса поставщику)</t>
  </si>
  <si>
    <t>Переміщення товарів ІБ00-000170 від 16.11.2024 12:00:03
Перемещение ТМЦ</t>
  </si>
  <si>
    <t>Обл. НДС
Бетон С 20/25  F75 W6 Р4
Надходження товарів і послуг ІБ00-005687 від 16.11.2024 12:00:01
Котельна (Глобине)</t>
  </si>
  <si>
    <t>Переміщення товарів ІБ00-000171 від 16.11.2024 12:00:04
Перемещение ТМЦ</t>
  </si>
  <si>
    <t>Обл. НДС
Бетон С 20/25  F75 W6 Р4
Надходження товарів і послуг ІБ00-005687 від 16.11.2024 12:00:01
Цех екстракції (Глобине)</t>
  </si>
  <si>
    <t>Надходження товарів і послуг ІБ00-005704 від 16.11.2024 12:00:06
Оприходованы ТМЦ</t>
  </si>
  <si>
    <t>Обл. НДС
Щебінь 40-70
Надходження товарів і послуг ІБ00-005704 від 16.11.2024 12:00:06
Глобине-2</t>
  </si>
  <si>
    <t>Гірник ПрАТ
Договір 45 від 11.11.2024_Глобине-2
Надходження товарів і послуг ІБ00-005704 від 16.11.2024 12:00:06</t>
  </si>
  <si>
    <t>Обл. НДС
Відсів гранітний фр.0-5 мм
Надходження товарів і послуг ІБ00-005704 від 16.11.2024 12:00:06
Глобине-2</t>
  </si>
  <si>
    <t>Переміщення товарів ІБ00-000176 від 16.11.2024 12:00:07
Перемещение ТМЦ</t>
  </si>
  <si>
    <t>Обл. НДС
Щебінь 40-70
Надходження товарів і послуг ІБ00-005704 від 16.11.2024 12:00:06
Насосна Градирня (Глобине)</t>
  </si>
  <si>
    <t>Переміщення товарів ІБ00-000177 від 16.11.2024 12:00:08
Перемещение ТМЦ</t>
  </si>
  <si>
    <t>Обл. НДС
Відсів гранітний фр.0-5 мм
Надходження товарів і послуг ІБ00-005704 від 16.11.2024 12:00:06
Цех екстракції (Глобине)</t>
  </si>
  <si>
    <t>18.11.2024</t>
  </si>
  <si>
    <t>Надходження товарів і послуг ІБ00-005706 від 18.11.2024 17:48:41
Оприходованы ТМЦ</t>
  </si>
  <si>
    <t>Обл. НДС
Щебінь 40-70
Надходження товарів і послуг ІБ00-005706 від 18.11.2024 17:48:41
Глобине-2</t>
  </si>
  <si>
    <t>Гірник ПрАТ
Договір 45 від 11.11.2024_Глобине-2
Надходження товарів і послуг ІБ00-005706 від 18.11.2024 17:48:41</t>
  </si>
  <si>
    <t>Обл. НДС
Відсів гранітний фр.0-5 мм
Надходження товарів і послуг ІБ00-005706 від 18.11.2024 17:48:41
Глобине-2</t>
  </si>
  <si>
    <t>Переміщення товарів ІБ00-000178 від 18.11.2024 17:48:42
Перемещение ТМЦ</t>
  </si>
  <si>
    <t>Обл. НДС
Щебінь 40-70
Надходження товарів і послуг ІБ00-005706 від 18.11.2024 17:48:41
Насосна Градирня (Глобине)</t>
  </si>
  <si>
    <t>Переміщення товарів ІБ00-000179 від 18.11.2024 17:48:43
Перемещение ТМЦ</t>
  </si>
  <si>
    <t>Обл. НДС
Відсів гранітний фр.0-5 мм
Надходження товарів і послуг ІБ00-005706 від 18.11.2024 17:48:41
Цех екстракції (Глобине)</t>
  </si>
  <si>
    <t>19.11.2024</t>
  </si>
  <si>
    <t>Надходження товарів і послуг ІБ00-005731 від 19.11.2024 17:51:24
Оприходованы ТМЦ</t>
  </si>
  <si>
    <t>Обл. НДС
Бетон С 20/25  F75 W6 Р4
Надходження товарів і послуг ІБ00-005731 від 19.11.2024 17:51:24
Глобине-2</t>
  </si>
  <si>
    <t>Кременчуцький річковий порт ПРАТ
Договір 112/Б від 15.10.2024_Глобине-2
Надходження товарів і послуг ІБ00-005731 від 19.11.2024 17:51:24</t>
  </si>
  <si>
    <t>Обл. НДС
Бетон С  8/10 Р4
Надходження товарів і послуг ІБ00-005731 від 19.11.2024 17:51:24
Глобине-2</t>
  </si>
  <si>
    <t>Надходження дод. витрат ІБ00-000493 від 19.11.2024 17:51:25
Доп. расходы при поступлении товаров</t>
  </si>
  <si>
    <t>Кременчуцький річковий порт ПРАТ
Договір 112/Б від 15.10.2024_Глобине-2
Надходження дод. витрат ІБ00-000493 від 19.11.2024 17:51:25</t>
  </si>
  <si>
    <t>Переміщення товарів ІБ00-000182 від 19.11.2024 17:51:26
Перемещение ТМЦ</t>
  </si>
  <si>
    <t>Обл. НДС
Бетон С 20/25  F75 W6 Р4
Надходження товарів і послуг ІБ00-005731 від 19.11.2024 17:51:24
Цех екстракції (Глобине)</t>
  </si>
  <si>
    <t>Обл. НДС
Бетон С  8/10 Р4
Надходження товарів і послуг ІБ00-005731 від 19.11.2024 17:51:24
Цех екстракції (Глобине)</t>
  </si>
  <si>
    <t>Переміщення товарів ІБ00-000183 від 19.11.2024 17:51:27
Перемещение ТМЦ</t>
  </si>
  <si>
    <t>Обл. НДС
Бетон С 20/25  F75 W6 Р4
Надходження товарів і послуг ІБ00-005731 від 19.11.2024 17:51:24
Котельна (Глобине)</t>
  </si>
  <si>
    <t>Надходження товарів і послуг ІБ00-005739 від 19.11.2024 17:51:28
Оприходованы ТМЦ</t>
  </si>
  <si>
    <t>Обл. НДС
Щебінь 20-40
Надходження товарів і послуг ІБ00-005739 від 19.11.2024 17:51:28
Глобине-2</t>
  </si>
  <si>
    <t>Гірник ПрАТ
Договір 45 від 11.11.2024_Глобине-2
Надходження товарів і послуг ІБ00-005739 від 19.11.2024 17:51:28</t>
  </si>
  <si>
    <t>Обл. НДС
Відсів гранітний фр.0-5 мм
Надходження товарів і послуг ІБ00-005739 від 19.11.2024 17:51:28
Глобине-2</t>
  </si>
  <si>
    <t>Переміщення товарів ІБ00-000184 від 19.11.2024 17:51:29
Перемещение ТМЦ</t>
  </si>
  <si>
    <t>Обл. НДС
Щебінь 20-40
Надходження товарів і послуг ІБ00-005739 від 19.11.2024 17:51:28
Котельна (Глобине)</t>
  </si>
  <si>
    <t>Переміщення товарів ІБ00-000185 від 19.11.2024 17:51:30
Перемещение ТМЦ</t>
  </si>
  <si>
    <t>Обл. НДС
Відсів гранітний фр.0-5 мм
Надходження товарів і послуг ІБ00-005739 від 19.11.2024 17:51:28
Цех екстракції (Глобине)</t>
  </si>
  <si>
    <t>20.11.2024</t>
  </si>
  <si>
    <t>Надходження товарів і послуг ІБ00-005773 від 20.11.2024 18:11:19
Оприходованы ТМЦ</t>
  </si>
  <si>
    <t>Обл. НДС
Плита OSB 10 мм
Надходження товарів і послуг ІБ00-005773 від 20.11.2024 18:11:19
Глобине-2</t>
  </si>
  <si>
    <t>Мошинець Ю.П. ФОП
Рахунки_Глобине-2
Рахунок на оплату постачальника ІБ00-004700 від 20.11.2024 18:11:18</t>
  </si>
  <si>
    <t>Переміщення товарів ІБ00-000195 від 20.11.2024 18:11:20
Перемещение ТМЦ</t>
  </si>
  <si>
    <t>Обл. НДС
Плита OSB 10 мм
Надходження товарів і послуг ІБ00-005773 від 20.11.2024 18:11:19
Цех екстракції (Глобине)</t>
  </si>
  <si>
    <t>Переміщення товарів ІБ00-000196 від 20.11.2024 18:11:21
Перемещение ТМЦ</t>
  </si>
  <si>
    <t>Обл. НДС
Плита OSB 10 мм
Надходження товарів і послуг ІБ00-005773 від 20.11.2024 18:11:19
Котельна (Глобине)</t>
  </si>
  <si>
    <t>21.11.2024</t>
  </si>
  <si>
    <t>Надходження товарів і послуг ІБ00-005893 від 21.11.2024 19:12:44
Оприходованы ТМЦ</t>
  </si>
  <si>
    <t>Обл. НДС
Бетон С 20/25  F75 W6 Р4
Надходження товарів і послуг ІБ00-005893 від 21.11.2024 19:12:44
Глобине-2</t>
  </si>
  <si>
    <t>Кременчуцький річковий порт ПРАТ
Договір 112/Б від 15.10.2024_Глобине-2
Надходження товарів і послуг ІБ00-005893 від 21.11.2024 19:12:44</t>
  </si>
  <si>
    <t>Надходження дод. витрат ІБ00-000520 від 21.11.2024 19:12:48
Доп. расходы при поступлении товаров</t>
  </si>
  <si>
    <t>Кременчуцький річковий порт ПРАТ
Договір 112/Б від 15.10.2024_Глобине-2
Надходження дод. витрат ІБ00-000520 від 21.11.2024 19:12:48</t>
  </si>
  <si>
    <t>Переміщення товарів ІБ00-000219 від 21.11.2024 19:50:45
Перемещение ТМЦ</t>
  </si>
  <si>
    <t>Обл. НДС
Бетон С 20/25  F75 W6 Р4
Надходження товарів і послуг ІБ00-005893 від 21.11.2024 19:12:44
Цех екстракції (Глобине)</t>
  </si>
  <si>
    <t>Переміщення товарів ІБ00-000220 від 21.11.2024 19:52:46
Перемещение ТМЦ</t>
  </si>
  <si>
    <t>Обл. НДС
Бетон С 20/25  F75 W6 Р4
Надходження товарів і послуг ІБ00-005893 від 21.11.2024 19:12:44
Котельна (Глобине)</t>
  </si>
  <si>
    <t>Переміщення товарів ІБ00-000221 від 21.11.2024 19:54:47
Перемещение ТМЦ</t>
  </si>
  <si>
    <t>Обл. НДС
Бетон С 20/25  F75 W6 Р4
Надходження товарів і послуг ІБ00-005893 від 21.11.2024 19:12:44
СПК (Глобине)</t>
  </si>
  <si>
    <t>25.11.2024</t>
  </si>
  <si>
    <t>Надходження товарів і послуг ІБ00-005896 від 25.11.2024 17:50:09
Оприходованы ТМЦ (Зачет аванса поставщику)</t>
  </si>
  <si>
    <t>Обл. НДС
Бетон С 20/25  F75 W6 Р4
Надходження товарів і послуг ІБ00-005896 від 25.11.2024 17:50:09
Глобине-2</t>
  </si>
  <si>
    <t>Надходження дод. витрат ІБ00-000521 від 25.11.2024 17:50:10
Доп. расходы при поступлении товаров (Зачет аванса поставщику)</t>
  </si>
  <si>
    <t>Кременчуцький річковий порт ПРАТ
Договір 112/Б від 15.10.2024_Глобине-2
Списання з банківського рахунку 00000020852 від 22.11.2024 16:53:29</t>
  </si>
  <si>
    <t>Переміщення товарів ІБ00-000222 від 25.11.2024 17:50:11
Перемещение ТМЦ</t>
  </si>
  <si>
    <t>Обл. НДС
Бетон С 20/25  F75 W6 Р4
Надходження товарів і послуг ІБ00-005896 від 25.11.2024 17:50:09
Цех екстракції (Глобине)</t>
  </si>
  <si>
    <t>Переміщення товарів ІБ00-000223 від 25.11.2024 17:50:12
Перемещение ТМЦ</t>
  </si>
  <si>
    <t>Обл. НДС
Бетон С 20/25  F75 W6 Р4
Надходження товарів і послуг ІБ00-005896 від 25.11.2024 17:50:09
Котельна (Глобине)</t>
  </si>
  <si>
    <t>26.11.2024</t>
  </si>
  <si>
    <t>Надходження товарів і послуг ІБ00-006071 від 26.11.2024 01:10:00
Оприходованы ТМЦ</t>
  </si>
  <si>
    <t>Обл. НДС
Пісок з відсіву дроблення граніту фр. 0-5мм.
Надходження товарів і послуг ІБ00-006071 від 26.11.2024 01:10:00
Глобине-2</t>
  </si>
  <si>
    <t>Енергія Логістик ТОВ
№28/10-2024 ВІД 28/10/24_Глобине-2
Рахунок на оплату постачальника ІБ00-004971 від 26.11.2024 20:00:58</t>
  </si>
  <si>
    <t>Обл. НДС
Щебінь гранітний 5-20
Надходження товарів і послуг ІБ00-006071 від 26.11.2024 01:10:00
Глобине-2</t>
  </si>
  <si>
    <t>Надходження дод. витрат ІБ00-000563 від 26.11.2024 20:00:59
Доп. расходы при поступлении товаров</t>
  </si>
  <si>
    <t>Переміщення товарів ІБ00-000238 від 26.11.2024 20:01:00
Перемещение ТМЦ</t>
  </si>
  <si>
    <t>Обл. НДС
Пісок з відсіву дроблення граніту фр. 0-5мм.
Надходження товарів і послуг ІБ00-006071 від 26.11.2024 01:10:00
Цех екстракції (Глобине)</t>
  </si>
  <si>
    <t>Переміщення товарів ІБ00-000239 від 26.11.2024 20:01:01
Перемещение ТМЦ</t>
  </si>
  <si>
    <t>Обл. НДС
Щебінь гранітний 5-20
Надходження товарів і послуг ІБ00-006071 від 26.11.2024 01:10:00
Котельна (Глобине)</t>
  </si>
  <si>
    <t>27.11.2024</t>
  </si>
  <si>
    <t>Надходження товарів і послуг ІБ00-005899 від 27.11.2024 18:37:16
Оприходованы ТМЦ</t>
  </si>
  <si>
    <t>Обл. НДС
Бетон С20/25 W6 F75 P4 доб-10
Надходження товарів і послуг ІБ00-005899 від 27.11.2024 18:37:16
Глобине-2</t>
  </si>
  <si>
    <t>Кременчуцький річковий порт ПРАТ
Договір 112/Б від 15.10.2024_Глобине-2
Надходження товарів і послуг ІБ00-005899 від 27.11.2024 18:37:16</t>
  </si>
  <si>
    <t>Надходження товарів і послуг ІБ00-005899 від 27.11.2024 18:37:16
Оприходованы ТМЦ (Зачет аванса поставщику)</t>
  </si>
  <si>
    <t>Обл. НДС
Бетон С  8/10 доб-10
Надходження товарів і послуг ІБ00-005899 від 27.11.2024 18:37:16
Глобине-2</t>
  </si>
  <si>
    <t>Надходження дод. витрат ІБ00-000534 від 27.11.2024 18:37:17
Доп. расходы при поступлении товаров</t>
  </si>
  <si>
    <t>Кременчуцький річковий порт ПРАТ
Договір 112/Б від 15.10.2024_Глобине-2
Надходження дод. витрат ІБ00-000534 від 27.11.2024 18:37:17</t>
  </si>
  <si>
    <t>Переміщення товарів ІБ00-000225 від 27.11.2024 18:37:18
Перемещение ТМЦ</t>
  </si>
  <si>
    <t>Обл. НДС
Бетон С20/25 W6 F75 P4 доб-10
Надходження товарів і послуг ІБ00-005899 від 27.11.2024 18:37:16
СПК (Глобине)</t>
  </si>
  <si>
    <t>Обл. НДС
Бетон С  8/10 доб-10
Надходження товарів і послуг ІБ00-005899 від 27.11.2024 18:37:16
СПК (Глобине)</t>
  </si>
  <si>
    <t>Переміщення товарів ІБ00-000226 від 27.11.2024 18:37:19
Перемещение ТМЦ</t>
  </si>
  <si>
    <t>Обл. НДС
Бетон С20/25 W6 F75 P4 доб-10
Надходження товарів і послуг ІБ00-005899 від 27.11.2024 18:37:16
Цех екстракції (Глобине)</t>
  </si>
  <si>
    <t>Обл. НДС
Бетон С  8/10 доб-10
Надходження товарів і послуг ІБ00-005899 від 27.11.2024 18:37:16
Цех екстракції (Глобине)</t>
  </si>
  <si>
    <t>29.11.2024</t>
  </si>
  <si>
    <t>Надходження товарів і послуг ІБ00-005917 від 29.11.2024 12:58:33
Оприходованы ТМЦ</t>
  </si>
  <si>
    <t>Обл. НДС
Бетон С20/25 W6 F75 P4 доб-5
Надходження товарів і послуг ІБ00-005917 від 29.11.2024 12:58:33
Глобине-2</t>
  </si>
  <si>
    <t>Кременчуцький річковий порт ПРАТ
Договір 112/Б від 15.10.2024_Глобине-2
Надходження товарів і послуг ІБ00-005917 від 29.11.2024 12:58:33</t>
  </si>
  <si>
    <t>Обл. НДС
Бетон С  8/10 Р4  (-5*)
Надходження товарів і послуг ІБ00-005917 від 29.11.2024 12:58:33
Глобине-2</t>
  </si>
  <si>
    <t>Надходження дод. витрат ІБ00-000539 від 29.11.2024 13:58:35
Доп. расходы при поступлении товаров</t>
  </si>
  <si>
    <t>Кременчуцький річковий порт ПРАТ
Договір 112/Б від 15.10.2024_Глобине-2
Надходження дод. витрат ІБ00-000539 від 29.11.2024 13:58:35</t>
  </si>
  <si>
    <t>Переміщення товарів ІБ00-000228 від 29.11.2024 14:58:37
Перемещение ТМЦ</t>
  </si>
  <si>
    <t>Обл. НДС
Бетон С20/25 W6 F75 P4 доб-5
Надходження товарів і послуг ІБ00-005917 від 29.11.2024 12:58:33
СПК (Глобине)</t>
  </si>
  <si>
    <t>Переміщення товарів ІБ00-000229 від 29.11.2024 14:58:38
Перемещение ТМЦ</t>
  </si>
  <si>
    <t>Обл. НДС
Бетон С20/25 W6 F75 P4 доб-5
Надходження товарів і послуг ІБ00-005917 від 29.11.2024 12:58:33
Котельна (Глобине)</t>
  </si>
  <si>
    <t>Обл. НДС
Бетон С  8/10 Р4  (-5*)
Надходження товарів і послуг ІБ00-005917 від 29.11.2024 12:58:33
Котельна (Глобине)</t>
  </si>
  <si>
    <t>Переміщення товарів ІБ00-000230 від 29.11.2024 14:58:39
Перемещение ТМЦ</t>
  </si>
  <si>
    <t>Обл. НДС
Бетон С20/25 W6 F75 P4 доб-5
Надходження товарів і послуг ІБ00-005917 від 29.11.2024 12:58:33
Цех екстракції (Глобине)</t>
  </si>
  <si>
    <t>Обл. НДС
Бетон С  8/10 Р4  (-5*)
Надходження товарів і послуг ІБ00-005917 від 29.11.2024 12:58:33
Цех екстракції (Глобине)</t>
  </si>
  <si>
    <t>30.11.2024</t>
  </si>
  <si>
    <t>Списання товарів ІБ00-000647 від 30.11.2024 20:00:00
Списаны ТМЦ</t>
  </si>
  <si>
    <t>Обл. НДС
Виробничий (Глобине-2)
Глобине-2
Прямі материальні виробничі витрати крім зворотніх відходів</t>
  </si>
  <si>
    <t>231</t>
  </si>
  <si>
    <t>01.12.2024</t>
  </si>
  <si>
    <t>Переміщення товарів ІБ00-000278 від 01.12.2024 18:00:52
Перемещение ТМЦ</t>
  </si>
  <si>
    <t>Обл. НДС
Дріт 1,2 мм Н-О-Ч
Надходження товарів і послуг ІБ00-004375 від 20.09.2024 18:19:18
СПК (Глобине)</t>
  </si>
  <si>
    <t>02.12.2024</t>
  </si>
  <si>
    <t>Надходження товарів і послуг ІБ00-006122 від 02.12.2024 18:39:27
Оприходованы ТМЦ (Зачет аванса поставщику)</t>
  </si>
  <si>
    <t>Обл. НДС
Бетон С20/25 W6 F75 P4 доб-5
Надходження товарів і послуг ІБ00-006122 від 02.12.2024 18:39:27
Глобине-2</t>
  </si>
  <si>
    <t>Кременчуцький річковий порт ПРАТ
Договір 112/Б від 15.10.2024_Глобине-2
Списання з банківського рахунку 00000021216 від 29.11.2024 17:43:49</t>
  </si>
  <si>
    <t>Надходження товарів і послуг ІБ00-006122 від 02.12.2024 18:39:27
Оприходованы ТМЦ</t>
  </si>
  <si>
    <t>Обл. НДС
Бетон С  8/10 Р4  (-5*)
Надходження товарів і послуг ІБ00-006122 від 02.12.2024 18:39:27
Глобине-2</t>
  </si>
  <si>
    <t>Кременчуцький річковий порт ПРАТ
Договір 112/Б від 15.10.2024_Глобине-2
Надходження товарів і послуг ІБ00-006122 від 02.12.2024 18:39:27</t>
  </si>
  <si>
    <t>Надходження дод. витрат ІБ00-000578 від 02.12.2024 18:39:28
Доп. расходы при поступлении товаров</t>
  </si>
  <si>
    <t>Кременчуцький річковий порт ПРАТ
Договір 112/Б від 15.10.2024_Глобине-2
Надходження дод. витрат ІБ00-000578 від 02.12.2024 18:39:28</t>
  </si>
  <si>
    <t>Переміщення товарів ІБ00-000253 від 02.12.2024 18:39:29
Перемещение ТМЦ</t>
  </si>
  <si>
    <t>Обл. НДС
Бетон С20/25 W6 F75 P4 доб-5
Надходження товарів і послуг ІБ00-006122 від 02.12.2024 18:39:27
Цех екстракції (Глобине)</t>
  </si>
  <si>
    <t>Обл. НДС
Бетон С  8/10 Р4  (-5*)
Надходження товарів і послуг ІБ00-006122 від 02.12.2024 18:39:27
Цех екстракції (Глобине)</t>
  </si>
  <si>
    <t>Переміщення товарів ІБ00-000254 від 02.12.2024 18:39:30
Перемещение ТМЦ</t>
  </si>
  <si>
    <t>Обл. НДС
Бетон С20/25 W6 F75 P4 доб-5
Надходження товарів і послуг ІБ00-006122 від 02.12.2024 18:39:27
Котельна (Глобине)</t>
  </si>
  <si>
    <t>Переміщення товарів ІБ00-000255 від 02.12.2024 18:39:31
Перемещение ТМЦ</t>
  </si>
  <si>
    <t>Обл. НДС
Бетон С20/25 W6 F75 P4 доб-5
Надходження товарів і послуг ІБ00-006122 від 02.12.2024 18:39:27
СПК (Глобине)</t>
  </si>
  <si>
    <t>04.12.2024</t>
  </si>
  <si>
    <t>Надходження товарів і послуг ІБ00-006121 від 04.12.2024 18:00:20
Оприходованы ТМЦ</t>
  </si>
  <si>
    <t>Обл. НДС
Бетон С20/25 W6 F75 P4 доб-5
Надходження товарів і послуг ІБ00-006121 від 04.12.2024 18:00:20
Глобине-2</t>
  </si>
  <si>
    <t>Кременчуцький річковий порт ПРАТ
Договір 112/Б від 15.10.2024_Глобине-2
Надходження товарів і послуг ІБ00-006121 від 04.12.2024 18:00:20</t>
  </si>
  <si>
    <t>Обл. НДС
Бетон С  8/10 Р4  (-5*)
Надходження товарів і послуг ІБ00-006121 від 04.12.2024 18:00:20
Глобине-2</t>
  </si>
  <si>
    <t>Надходження дод. витрат ІБ00-000577 від 04.12.2024 18:00:21
Доп. расходы при поступлении товаров</t>
  </si>
  <si>
    <t>Кременчуцький річковий порт ПРАТ
Договір 112/Б від 15.10.2024_Глобине-2
Надходження дод. витрат ІБ00-000577 від 04.12.2024 18:00:21</t>
  </si>
  <si>
    <t>Переміщення товарів ІБ00-000250 від 04.12.2024 18:00:22
Перемещение ТМЦ</t>
  </si>
  <si>
    <t>Обл. НДС
Бетон С  8/10 Р4  (-5*)
Надходження товарів і послуг ІБ00-006121 від 04.12.2024 18:00:20
Цех екстракції (Глобине)</t>
  </si>
  <si>
    <t>Переміщення товарів ІБ00-000251 від 04.12.2024 18:00:23
Перемещение ТМЦ</t>
  </si>
  <si>
    <t>Обл. НДС
Бетон С20/25 W6 F75 P4 доб-5
Надходження товарів і послуг ІБ00-006121 від 04.12.2024 18:00:20
Котельна (Глобине)</t>
  </si>
  <si>
    <t>Обл. НДС
Бетон С  8/10 Р4  (-5*)
Надходження товарів і послуг ІБ00-006121 від 04.12.2024 18:00:20
Котельна (Глобине)</t>
  </si>
  <si>
    <t>Переміщення товарів ІБ00-000252 від 04.12.2024 18:00:24
Перемещение ТМЦ</t>
  </si>
  <si>
    <t>Обл. НДС
Бетон С20/25 W6 F75 P4 доб-5
Надходження товарів і послуг ІБ00-006121 від 04.12.2024 18:00:20
СПК (Глобине)</t>
  </si>
  <si>
    <t>Списання товарів ІБ00-000730 від 04.12.2024 22:01:04
Списаны ТМЦ</t>
  </si>
  <si>
    <t>05.12.2024</t>
  </si>
  <si>
    <t>Надходження товарів і послуг ІБ00-006118 від 05.12.2024 19:00:21
Оприходованы ТМЦ</t>
  </si>
  <si>
    <t>Обл. НДС
Бетон С20/25 W6 F75 P4 доб-5
Надходження товарів і послуг ІБ00-006118 від 05.12.2024 19:00:21
Глобине-2</t>
  </si>
  <si>
    <t>Кременчуцький річковий порт ПРАТ
Договір 112/Б від 15.10.2024_Глобине-2
Надходження товарів і послуг ІБ00-006118 від 05.12.2024 19:00:21</t>
  </si>
  <si>
    <t>Обл. НДС
Бетон С  8/10 Р4  (-5*)
Надходження товарів і послуг ІБ00-006118 від 05.12.2024 19:00:21
Глобине-2</t>
  </si>
  <si>
    <t>Надходження дод. витрат ІБ00-000576 від 05.12.2024 19:22:22
Доп. расходы при поступлении товаров</t>
  </si>
  <si>
    <t>Кременчуцький річковий порт ПРАТ
Договір 112/Б від 15.10.2024_Глобине-2
Надходження дод. витрат ІБ00-000576 від 05.12.2024 19:22:22</t>
  </si>
  <si>
    <t>Переміщення товарів ІБ00-000247 від 05.12.2024 19:22:23
Перемещение ТМЦ</t>
  </si>
  <si>
    <t>Обл. НДС
Бетон С  8/10 Р4  (-5*)
Надходження товарів і послуг ІБ00-006118 від 05.12.2024 19:00:21
Насосна Градирня (Глобине)</t>
  </si>
  <si>
    <t>Переміщення товарів ІБ00-000248 від 05.12.2024 19:22:24
Перемещение ТМЦ</t>
  </si>
  <si>
    <t>Обл. НДС
Бетон С20/25 W6 F75 P4 доб-5
Надходження товарів і послуг ІБ00-006118 від 05.12.2024 19:00:21
Котельна (Глобине)</t>
  </si>
  <si>
    <t>Переміщення товарів ІБ00-000249 від 05.12.2024 19:22:25
Перемещение ТМЦ</t>
  </si>
  <si>
    <t>Обл. НДС
Бетон С20/25 W6 F75 P4 доб-5
Надходження товарів і послуг ІБ00-006118 від 05.12.2024 19:00:21
СПК (Глобине)</t>
  </si>
  <si>
    <t>06.12.2024</t>
  </si>
  <si>
    <t>Надходження товарів і послуг ІБ00-006112 від 06.12.2024 18:14:57
Оприходованы ТМЦ</t>
  </si>
  <si>
    <t>Обл. НДС
Бетон С20/25 W6 F75 P4 доб-5
Надходження товарів і послуг ІБ00-006112 від 06.12.2024 18:14:57
Глобине-2</t>
  </si>
  <si>
    <t>Кременчуцький річковий порт ПРАТ
Договір 112/Б від 15.10.2024_Глобине-2
Надходження товарів і послуг ІБ00-006112 від 06.12.2024 18:14:57</t>
  </si>
  <si>
    <t>Обл. НДС
Бетон С  8/10 Р4  (-5*)
Надходження товарів і послуг ІБ00-006112 від 06.12.2024 18:14:57
Глобине-2</t>
  </si>
  <si>
    <t>Надходження дод. витрат ІБ00-000575 від 06.12.2024 19:25:00
Доп. расходы при поступлении товаров</t>
  </si>
  <si>
    <t>Кременчуцький річковий порт ПРАТ
Договір 112/Б від 15.10.2024_Глобине-2
Надходження дод. витрат ІБ00-000575 від 06.12.2024 19:25:00</t>
  </si>
  <si>
    <t>Переміщення товарів ІБ00-000242 від 06.12.2024 19:25:01
Перемещение ТМЦ</t>
  </si>
  <si>
    <t>Обл. НДС
Бетон С20/25 W6 F75 P4 доб-5
Надходження товарів і послуг ІБ00-006112 від 06.12.2024 18:14:57
Цех екстракції (Глобине)</t>
  </si>
  <si>
    <t>Переміщення товарів ІБ00-000243 від 06.12.2024 19:25:02
Перемещение ТМЦ</t>
  </si>
  <si>
    <t>Обл. НДС
Бетон С20/25 W6 F75 P4 доб-5
Надходження товарів і послуг ІБ00-006112 від 06.12.2024 18:14:57
Котельна (Глобине)</t>
  </si>
  <si>
    <t>Переміщення товарів ІБ00-000244 від 06.12.2024 19:25:03
Перемещение ТМЦ</t>
  </si>
  <si>
    <t>Обл. НДС
Бетон С20/25 W6 F75 P4 доб-5
Надходження товарів і послуг ІБ00-006112 від 06.12.2024 18:14:57
СПК (Глобине)</t>
  </si>
  <si>
    <t>Переміщення товарів ІБ00-000245 від 06.12.2024 19:25:04
Перемещение ТМЦ</t>
  </si>
  <si>
    <t>Обл. НДС
Бетон С  8/10 Р4  (-5*)
Надходження товарів і послуг ІБ00-006112 від 06.12.2024 18:14:57
Цех екстракції (Глобине)</t>
  </si>
  <si>
    <t>Переміщення товарів ІБ00-000246 від 06.12.2024 19:25:05
Перемещение ТМЦ</t>
  </si>
  <si>
    <t>Обл. НДС
Бетон С  8/10 Р4  (-5*)
Надходження товарів і послуг ІБ00-006112 від 06.12.2024 18:14:57
СПК (Глобине)</t>
  </si>
  <si>
    <t>09.12.2024</t>
  </si>
  <si>
    <t>Переміщення товарів ІБ00-000257 від 09.12.2024 12:00:00
Перемещение ТМЦ</t>
  </si>
  <si>
    <t>Обл. НДС
Фанера ламінована 1250*2500*21 мм гл/гл
Надходження товарів і послуг ІБ00-004394 від 20.09.2024 18:19:40
Глобине-2</t>
  </si>
  <si>
    <t>Обл. НДС
Фанера ламінована 1250*2500*21 мм гл/гл
Надходження товарів і послуг ІБ00-004394 від 20.09.2024 18:19:40
Молоко Вітчизни</t>
  </si>
  <si>
    <t>Надходження товарів і послуг ІБ00-006220 від 09.12.2024 18:22:09
Оприходованы ТМЦ (Зачет аванса поставщику)</t>
  </si>
  <si>
    <t>Обл. НДС
Бетон С20/25 W6 F75 P4 доб-5
Надходження товарів і послуг ІБ00-006220 від 09.12.2024 18:22:09
Глобине-2</t>
  </si>
  <si>
    <t>Кременчуцький річковий порт ПРАТ
Договір 112/Б від 15.10.2024_Глобине-2
Списання з банківського рахунку 00000021494 від 06.12.2024 20:41:29</t>
  </si>
  <si>
    <t>Надходження дод. витрат ІБ00-000593 від 09.12.2024 18:22:10
Доп. расходы при поступлении товаров</t>
  </si>
  <si>
    <t>Кременчуцький річковий порт ПРАТ
Договір 112/Б від 15.10.2024_Глобине-2
Надходження дод. витрат ІБ00-000593 від 09.12.2024 18:22:10</t>
  </si>
  <si>
    <t>Надходження дод. витрат ІБ00-000593 від 09.12.2024 18:22:10
Доп. расходы при поступлении товаров (Зачет аванса поставщику)</t>
  </si>
  <si>
    <t>Переміщення товарів ІБ00-000261 від 09.12.2024 18:22:11
Перемещение ТМЦ</t>
  </si>
  <si>
    <t>Обл. НДС
Бетон С20/25 W6 F75 P4 доб-5
Надходження товарів і послуг ІБ00-006220 від 09.12.2024 18:22:09
СПК (Глобине)</t>
  </si>
  <si>
    <t>Переміщення товарів ІБ00-000262 від 09.12.2024 18:22:12
Перемещение ТМЦ</t>
  </si>
  <si>
    <t>Обл. НДС
Бетон С20/25 W6 F75 P4 доб-5
Надходження товарів і послуг ІБ00-006220 від 09.12.2024 18:22:09
Цех екстракції (Глобине)</t>
  </si>
  <si>
    <t>Переміщення товарів ІБ00-000263 від 09.12.2024 18:22:13
Перемещение ТМЦ</t>
  </si>
  <si>
    <t>Обл. НДС
Бетон С20/25 W6 F75 P4 доб-5
Надходження товарів і послуг ІБ00-006220 від 09.12.2024 18:22:09
Котельна (Глобине)</t>
  </si>
  <si>
    <t>11.12.2024</t>
  </si>
  <si>
    <t>Надходження товарів і послуг ІБ00-006201 від 11.12.2024 18:00:22
Оприходованы ТМЦ</t>
  </si>
  <si>
    <t>Обл. НДС
Щебінь 20-40
Надходження товарів і послуг ІБ00-006201 від 11.12.2024 18:00:22
Глобине-2</t>
  </si>
  <si>
    <t>Енергія Логістик ТОВ
№28/10-2024 ВІД 28/10/24_Глобине-2
Рахунок на оплату постачальника ІБ00-005049 від 11.12.2024 18:00:21</t>
  </si>
  <si>
    <t>Обл. НДС
Пісок з відсіву дроблення щебеню фр. 0-5мм.
Надходження товарів і послуг ІБ00-006201 від 11.12.2024 18:00:22
Глобине-2</t>
  </si>
  <si>
    <t>Надходження дод. витрат ІБ00-000591 від 11.12.2024 18:00:23
Доп. расходы при поступлении товаров</t>
  </si>
  <si>
    <t>Переміщення товарів ІБ00-000259 від 11.12.2024 18:00:24
Перемещение ТМЦ</t>
  </si>
  <si>
    <t>Обл. НДС
Щебінь 20-40
Надходження товарів і послуг ІБ00-006201 від 11.12.2024 18:00:22
Цех екстракції (Глобине)</t>
  </si>
  <si>
    <t>Переміщення товарів ІБ00-000260 від 11.12.2024 18:00:25
Перемещение ТМЦ</t>
  </si>
  <si>
    <t>Обл. НДС
Пісок з відсіву дроблення щебеню фр. 0-5мм.
Надходження товарів і послуг ІБ00-006201 від 11.12.2024 18:00:22
СПК (Глобине)</t>
  </si>
  <si>
    <t>12.12.2024</t>
  </si>
  <si>
    <t>Надходження товарів і послуг ІБ00-006223 від 12.12.2024 18:00:26
Оприходованы ТМЦ</t>
  </si>
  <si>
    <t>Обл. НДС
Бетон С20/25 W6 F75 P4 доб-5
Надходження товарів і послуг ІБ00-006223 від 12.12.2024 18:00:26
Глобине-2</t>
  </si>
  <si>
    <t>Кременчуцький річковий порт ПРАТ
Договір 112/Б від 15.10.2024_Глобине-2
Надходження товарів і послуг ІБ00-006223 від 12.12.2024 18:00:26</t>
  </si>
  <si>
    <t>Надходження дод. витрат ІБ00-000596 від 12.12.2024 18:00:27
Доп. расходы при поступлении товаров</t>
  </si>
  <si>
    <t>Кременчуцький річковий порт ПРАТ
Договір 112/Б від 15.10.2024_Глобине-2
Надходження дод. витрат ІБ00-000596 від 12.12.2024 18:00:27</t>
  </si>
  <si>
    <t>Переміщення товарів ІБ00-000264 від 12.12.2024 18:00:28
Перемещение ТМЦ</t>
  </si>
  <si>
    <t>Обл. НДС
Бетон С20/25 W6 F75 P4 доб-5
Надходження товарів і послуг ІБ00-006223 від 12.12.2024 18:00:26
Цех екстракції (Глобине)</t>
  </si>
  <si>
    <t>Переміщення товарів ІБ00-000265 від 12.12.2024 18:00:29
Перемещение ТМЦ</t>
  </si>
  <si>
    <t>Обл. НДС
Бетон С20/25 W6 F75 P4 доб-5
Надходження товарів і послуг ІБ00-006223 від 12.12.2024 18:00:26
СПК (Глобине)</t>
  </si>
  <si>
    <t>Переміщення товарів ІБ00-000266 від 12.12.2024 18:00:30
Перемещение ТМЦ</t>
  </si>
  <si>
    <t>Обл. НДС
Бетон С20/25 W6 F75 P4 доб-5
Надходження товарів і послуг ІБ00-006223 від 12.12.2024 18:00:26
Насосна Градирня (Глобине)</t>
  </si>
  <si>
    <t>Надходження товарів і послуг ІБ00-006224 від 12.12.2024 18:00:32
Оприходованы ТМЦ</t>
  </si>
  <si>
    <t>Обл. НДС
Щебінь 20-40
Надходження товарів і послуг ІБ00-006224 від 12.12.2024 18:00:32
Глобине-2</t>
  </si>
  <si>
    <t>Енергія Логістик ТОВ
№28/10-2024 ВІД 28/10/24_Глобине-2
Рахунок на оплату постачальника ІБ00-005058 від 12.12.2024 18:00:31</t>
  </si>
  <si>
    <t>Обл. НДС
Пісок з відсіву дроблення щебеню фр. 0-5мм.
Надходження товарів і послуг ІБ00-006224 від 12.12.2024 18:00:32
Глобине-2</t>
  </si>
  <si>
    <t>Надходження дод. витрат ІБ00-000597 від 12.12.2024 18:00:33
Доп. расходы при поступлении товаров</t>
  </si>
  <si>
    <t>Переміщення товарів ІБ00-000267 від 12.12.2024 18:00:34
Перемещение ТМЦ</t>
  </si>
  <si>
    <t>Обл. НДС
Щебінь 20-40
Надходження товарів і послуг ІБ00-006224 від 12.12.2024 18:00:32
Цех екстракції (Глобине)</t>
  </si>
  <si>
    <t>Переміщення товарів ІБ00-000268 від 12.12.2024 18:00:35
Перемещение ТМЦ</t>
  </si>
  <si>
    <t>Обл. НДС
Пісок з відсіву дроблення щебеню фр. 0-5мм.
Надходження товарів і послуг ІБ00-006224 від 12.12.2024 18:00:32
СПК (Глобине)</t>
  </si>
  <si>
    <t>14.12.2024</t>
  </si>
  <si>
    <t>Надходження товарів і послуг ІБ00-006233 від 14.12.2024 17:00:01
Оприходованы ТМЦ</t>
  </si>
  <si>
    <t>Обл. НДС
Піна монтажна  860 мл 
Надходження товарів і послуг ІБ00-006233 від 14.12.2024 17:00:01
Глобине-2</t>
  </si>
  <si>
    <t>Лук'ян Михайло Федорович ФОП
03062024-1 от 03.06.2024 (РАХУНКИ)_Глобине-2
Рахунок на оплату постачальника ІБ00-005062 від 09.12.2024 18:22:16</t>
  </si>
  <si>
    <t>Переміщення товарів ІБ00-000271 від 14.12.2024 17:00:02
Перемещение ТМЦ</t>
  </si>
  <si>
    <t>Обл. НДС
Піна монтажна  860 мл 
Надходження товарів і послуг ІБ00-006233 від 14.12.2024 17:00:01
СПК (Глобине)</t>
  </si>
  <si>
    <t>16.12.2024</t>
  </si>
  <si>
    <t>Надходження товарів і послуг ІБ00-006282 від 16.12.2024 18:00:45
Оприходованы ТМЦ (Зачет аванса поставщику)</t>
  </si>
  <si>
    <t>Обл. НДС
Бетон С20/25 W6 F75 P4
Надходження товарів і послуг ІБ00-006282 від 16.12.2024 18:00:45
Глобине-2</t>
  </si>
  <si>
    <t>Кременчуцький річковий порт ПРАТ
Договір 112/Б від 15.10.2024_Глобине-2
Списання з банківського рахунку 00000021969 від 13.12.2024 18:40:30</t>
  </si>
  <si>
    <t>Обл. НДС
Бетон С  8/10 Р4
Надходження товарів і послуг ІБ00-006282 від 16.12.2024 18:00:45
Глобине-2</t>
  </si>
  <si>
    <t>Переміщення товарів ІБ00-000274 від 16.12.2024 18:00:47
Перемещение ТМЦ</t>
  </si>
  <si>
    <t>Обл. НДС
Бетон С  8/10 Р4
Надходження товарів і послуг ІБ00-006282 від 16.12.2024 18:00:45
Котельна (Глобине)</t>
  </si>
  <si>
    <t>Надходження дод. витрат ІБ00-000608 від 16.12.2024 18:05:46
Доп. расходы при поступлении товаров (Зачет аванса поставщику)</t>
  </si>
  <si>
    <t>Переміщення товарів ІБ00-000276 від 16.12.2024 18:07:49
Перемещение ТМЦ</t>
  </si>
  <si>
    <t>Обл. НДС
Бетон С20/25 W6 F75 P4
Надходження товарів і послуг ІБ00-006282 від 16.12.2024 18:00:45
Цех екстракції (Глобине)</t>
  </si>
  <si>
    <t>Переміщення товарів ІБ00-000275 від 16.12.2024 18:10:48
Перемещение ТМЦ</t>
  </si>
  <si>
    <t>Обл. НДС
Бетон С20/25 W6 F75 P4
Надходження товарів і послуг ІБ00-006282 від 16.12.2024 18:00:45
СПК (Глобине)</t>
  </si>
  <si>
    <t>18.12.2024</t>
  </si>
  <si>
    <t>Надходження товарів і послуг ІБ00-006358 від 18.12.2024 10:12:15
Оприходованы ТМЦ (Зачет аванса поставщику)</t>
  </si>
  <si>
    <t>Обл. НДС
Бетон С20/25 W6 F75 P4 доб-5
Надходження товарів і послуг ІБ00-006358 від 18.12.2024 10:12:15
Глобине-2</t>
  </si>
  <si>
    <t>Надходження дод. витрат ІБ00-000619 від 18.12.2024 12:16:17
Доп. расходы при поступлении товаров (Зачет аванса поставщику)</t>
  </si>
  <si>
    <t>Переміщення товарів ІБ00-000286 від 18.12.2024 16:25:12
Перемещение ТМЦ</t>
  </si>
  <si>
    <t>Обл. НДС
Бетон С20/25 W6 F75 P4 доб-5
Надходження товарів і послуг ІБ00-006358 від 18.12.2024 10:12:15
Цех екстракції (Глобине)</t>
  </si>
  <si>
    <t>Переміщення товарів ІБ00-000287 від 18.12.2024 18:12:26
Перемещение ТМЦ</t>
  </si>
  <si>
    <t>Обл. НДС
Бетон С20/25 W6 F75 P4 доб-5
Надходження товарів і послуг ІБ00-006358 від 18.12.2024 10:12:15
СПК (Глобине)</t>
  </si>
  <si>
    <t>20.12.2024</t>
  </si>
  <si>
    <t>Надходження товарів і послуг ІБ00-006462 від 20.12.2024 18:18:14
Оприходованы ТМЦ (Зачет аванса поставщику)</t>
  </si>
  <si>
    <t>Обл. НДС
Труба 168*6
Надходження товарів і послуг ІБ00-006462 від 20.12.2024 18:18:14
Глобине-2</t>
  </si>
  <si>
    <t>ТД Паритет"ТОВ 
Договір 06-09/1 від 06.09.2024_Глобино-2
Рахунок на оплату постачальника ІБ00-005147 від 05.12.2024 19:22:40</t>
  </si>
  <si>
    <t>Обл. НДС
Труба 325х8,0 
Надходження товарів і послуг ІБ00-006462 від 20.12.2024 18:18:14
Глобине-2</t>
  </si>
  <si>
    <t>30.12.2024</t>
  </si>
  <si>
    <t>Переміщення товарів ІБ00-000294 від 30.12.2024 08:00:00
Перемещение ТМЦ</t>
  </si>
  <si>
    <t>Обл. НДС
Фіксатор конус
Надходження товарів і послуг ІБ00-005516 від 05.11.2024 17:28:14
Насосна Градирня (Глобине)</t>
  </si>
  <si>
    <t>Обл. НДС
Очисник для піни С45 450 мл укр
Надходження товарів і послуг ІБ00-004709 від 04.10.2024 18:40:29
Насосна Градирня (Глобине)</t>
  </si>
  <si>
    <t>Обл. НДС
Піна монтажна  750 мл 
Надходження товарів і послуг ІБ00-004709 від 04.10.2024 18:40:29
Насосна Градирня (Глобине)</t>
  </si>
  <si>
    <t>Обл. НДС
Фанера ламінована 1250*2500*21 мм гл/гл
Надходження товарів і послуг ІБ00-004394 від 20.09.2024 18:19:40
Насосна Градирня (Глобине)</t>
  </si>
  <si>
    <t>Переміщення товарів ІБ00-000298 від 30.12.2024 08:00:00
Перемещение ТМЦ</t>
  </si>
  <si>
    <t>Обл. НДС
Арматура №12  А500С L=12000 мм
Надходження товарів і послуг ІБ00-004646 від 02.10.2024 17:19:54
Цех екстракції (Глобине)</t>
  </si>
  <si>
    <t>Переміщення товарів ІБ00-000295 від 30.12.2024 10:00:00
Перемещение ТМЦ</t>
  </si>
  <si>
    <t>Переміщення товарів ІБ00-000299 від 30.12.2024 20:10:00
Перемещение ТМЦ</t>
  </si>
  <si>
    <t>Обл. НДС
Анкер хімічний 410 мл 
Надходження товарів і послуг ІБ00-005517 від 05.11.2024 17:28:15
Цех екстракції (Глобине)</t>
  </si>
  <si>
    <t>Обл. НДС
Пістолет для хім.анкера 380/410мл
Надходження товарів і послуг ІБ00-005517 від 05.11.2024 17:28:15
Цех екстракції (Глобине)</t>
  </si>
  <si>
    <t>Списання товарів ІБ00-000741 від 30.12.2024 21:00:00
Списаны ТМЦ</t>
  </si>
  <si>
    <t>Списання товарів ІБ00-000742 від 30.12.2024 22:10:06
Списаны ТМЦ</t>
  </si>
  <si>
    <t>Списання товарів ІБ00-000787 від 30.12.2024 23:00:52
Списаны ТМЦ</t>
  </si>
  <si>
    <t>Обороти за період та сальдо на кінець</t>
  </si>
  <si>
    <t>Склади Дорівнює "Котельна (Глобине)" и Склади.Найменування містить "гло"</t>
  </si>
  <si>
    <t>Надходження товарів і послуг ІБ00-005299 від 03.10.2024 17:50:40
Оприходованы ТМЦ</t>
  </si>
  <si>
    <t>Обл. НДС
Бетон  М-150
Надходження товарів і послуг ІБ00-005299 від 03.10.2024 17:50:40
Котельна (Глобине)</t>
  </si>
  <si>
    <t>Глобинський свинокомплекс НВП ТОВ
Глобіне2_рахунки
Рахунок на оплату постачальника ІБ00-004352 від 03.10.2024 17:50:39</t>
  </si>
  <si>
    <t>08.10.2024</t>
  </si>
  <si>
    <t>Вимога-накладна ІБ00-000535 від 08.10.2024 22:00:14
Списаны ТМЦ</t>
  </si>
  <si>
    <t>Надходження товарів і послуг ІБ00-005265 від 09.10.2024 22:00:04
Оприходованы ТМЦ (Зачет аванса поставщику)</t>
  </si>
  <si>
    <t>Обл. НДС
Анкерний блок БФБ-1
Надходження товарів і послуг ІБ00-005265 від 09.10.2024 22:00:04
Котельна (Глобине)</t>
  </si>
  <si>
    <t>МАЛИН МЕТАЛ ТОВ
2709-П от 27.09.2023від 27.09.2023_Глобине 2
Рахунок на оплату постачальника ІБ00-003594 від 19.09.2024 18:10:28</t>
  </si>
  <si>
    <t>Обл. НДС
Анкерний блок БФБ-2
Надходження товарів і послуг ІБ00-005265 від 09.10.2024 22:00:04
Котельна (Глобине)</t>
  </si>
  <si>
    <t>Надходження товарів і послуг ІБ00-005216 від 16.10.2024 18:38:25
Оприходованы ТМЦ</t>
  </si>
  <si>
    <t>Обл. НДС
Бетон С 20/25  F75 W6 Р4
Надходження товарів і послуг ІБ00-005216 від 16.10.2024 18:38:25
Котельна (Глобине)</t>
  </si>
  <si>
    <t>Кременчуцький річковий порт ПРАТ
Договір 112/Б від 15.10.2024_Глобине-2
Надходження товарів і послуг ІБ00-005216 від 16.10.2024 18:38:25</t>
  </si>
  <si>
    <t>Надходження дод. витрат ІБ00-000435 від 16.10.2024 18:38:26
Доп. расходы при поступлении товаров</t>
  </si>
  <si>
    <t>Кременчуцький річковий порт ПРАТ
Договір 112/Б від 15.10.2024_Глобине-2
Надходження дод. витрат ІБ00-000435 від 16.10.2024 18:38:26</t>
  </si>
  <si>
    <t>Надходження товарів і послуг ІБ00-005215 від 17.10.2024 18:07:50
Оприходованы ТМЦ</t>
  </si>
  <si>
    <t>Обл. НДС
Анкерний блок БФБ-1
Надходження товарів і послуг ІБ00-005215 від 17.10.2024 18:07:50
Котельна (Глобине)</t>
  </si>
  <si>
    <t>Надходження товарів і послуг ІБ00-005215 від 17.10.2024 18:07:50
Оприходованы ТМЦ (Зачет аванса поставщику)</t>
  </si>
  <si>
    <t>Надходження товарів і послуг ІБ00-005682 від 17.10.2024 19:38:55
Оприходованы ТМЦ</t>
  </si>
  <si>
    <t>Обл. НДС
Анкерний блок БФБ-1
Надходження товарів і послуг ІБ00-005682 від 17.10.2024 19:38:55
Котельна (Глобине)</t>
  </si>
  <si>
    <t>МАЛИН МЕТАЛ ТОВ
2709-П от 27.09.2023від 27.09.2023_Глобине 2
Рахунок на оплату постачальника ІБ00-004544 від 01.11.2024 19:56:51</t>
  </si>
  <si>
    <t>28.10.2024</t>
  </si>
  <si>
    <t>Надходження товарів і послуг ІБ00-005293 від 28.10.2024 17:55:06
Оприходованы ТМЦ</t>
  </si>
  <si>
    <t>Обл. НДС
Бетон С 20/25  F75 W6 Р4
Надходження товарів і послуг ІБ00-005293 від 28.10.2024 17:55:06
Котельна (Глобине)</t>
  </si>
  <si>
    <t>Кременчуцький річковий порт ПРАТ
Договір 112/Б від 15.10.2024_Глобине-2
Надходження товарів і послуг ІБ00-005293 від 28.10.2024 17:55:06</t>
  </si>
  <si>
    <t>Надходження дод. витрат ІБ00-000451 від 28.10.2024 17:55:07
Доп. расходы при поступлении товаров</t>
  </si>
  <si>
    <t>Кременчуцький річковий порт ПРАТ
Договір 112/Б від 15.10.2024_Глобине-2
Надходження дод. витрат ІБ00-000451 від 28.10.2024 17:55:07</t>
  </si>
  <si>
    <t>31.10.2024</t>
  </si>
  <si>
    <t>Надходження товарів і послуг ІБ00-005372 від 31.10.2024 10:00:00
Оприходованы ТМЦ</t>
  </si>
  <si>
    <t>Обл. НДС
Бетон С 20/25  F75 W6 Р4
Надходження товарів і послуг ІБ00-005372 від 31.10.2024 10:00:00
Котельна (Глобине)</t>
  </si>
  <si>
    <t>Гірник ПрАТ
Договір 105  від 22.10.2024_Глобине-2
Надходження товарів і послуг ІБ00-005372 від 31.10.2024 10:00:00</t>
  </si>
  <si>
    <t>Надходження дод. витрат ІБ00-000481 від 31.10.2024 22:59:59
Доп. расходы при поступлении товаров</t>
  </si>
  <si>
    <t>Гірник ПрАТ
Договір 105  від 22.10.2024_Глобине-2
Надходження дод. витрат ІБ00-000481 від 31.10.2024 22:59:59</t>
  </si>
  <si>
    <t>02.11.2024</t>
  </si>
  <si>
    <t>Надходження товарів і послуг ІБ00-005820 від 02.11.2024 12:00:15
Оприходованы ТМЦ</t>
  </si>
  <si>
    <t>Обл. НДС
Пісок з відсіву дроблення щебеню фр. 0-5мм.
Надходження товарів і послуг ІБ00-005820 від 02.11.2024 12:00:15
Котельна (Глобине)</t>
  </si>
  <si>
    <t>Венкрас Авто ПП
Договір 05/09/2024 від 05.09.2024_Глобине-2
Рахунок на оплату постачальника ІБ00-004747 від 02.11.2024 12:00:14</t>
  </si>
  <si>
    <t>Обл. НДС
Щебінь 40-70
Надходження товарів і послуг ІБ00-005820 від 02.11.2024 12:00:15
Котельна (Глобине)</t>
  </si>
  <si>
    <t>Надходження дод. витрат ІБ00-000532 від 02.11.2024 12:00:17
Доп. расходы при поступлении товаров</t>
  </si>
  <si>
    <t>Надходження товарів і послуг ІБ00-005821 від 05.11.2024 20:00:09
Оприходованы ТМЦ</t>
  </si>
  <si>
    <t>Обл. НДС
Пісок з відсіву дроблення щебеню фр. 0-5мм.
Надходження товарів і послуг ІБ00-005821 від 05.11.2024 20:00:09
Котельна (Глобине)</t>
  </si>
  <si>
    <t>Венкрас Авто ПП
Договір 05/09/2024 від 05.09.2024_Глобине-2
Рахунок на оплату постачальника ІБ00-004750 від 05.11.2024 20:00:08</t>
  </si>
  <si>
    <t>Обл. НДС
Щебінь 40-70
Надходження товарів і послуг ІБ00-005821 від 05.11.2024 20:00:09
Котельна (Глобине)</t>
  </si>
  <si>
    <t>Надходження товарів і послуг ІБ00-005861 від 05.11.2024 20:00:11
Оприходованы ТМЦ</t>
  </si>
  <si>
    <t>Обл. НДС
Пісок з відсіву дроблення щебеню фр. 0-5мм.
Надходження товарів і послуг ІБ00-005861 від 05.11.2024 20:00:11
Котельна (Глобине)</t>
  </si>
  <si>
    <t>Венкрас Авто ПП
Договір 05/09/2024 від 05.09.2024_Глобине-2
Рахунок на оплату постачальника ІБ00-004769 від 05.11.2024 20:00:10</t>
  </si>
  <si>
    <t>Надходження дод. витрат ІБ00-000523 від 05.11.2024 20:00:12
Доп. расходы при поступлении товаров</t>
  </si>
  <si>
    <t>Надходження дод. витрат ІБ00-000531 від 05.11.2024 20:00:13
Доп. расходы при поступлении товаров</t>
  </si>
  <si>
    <t>Надходження товарів і послуг ІБ00-005708 від 06.11.2024 20:00:10
Оприходованы ТМЦ</t>
  </si>
  <si>
    <t>Обл. НДС
Відсів гранітний фр.0-5 мм
Надходження товарів і послуг ІБ00-005708 від 06.11.2024 20:00:10
Котельна (Глобине)</t>
  </si>
  <si>
    <t>ДІОРИТ ТОВ
№06/04-11 від 04.11.2024 Глобине-2
Рахунок на оплату постачальника ІБ00-004644 від 06.11.2024 20:00:09</t>
  </si>
  <si>
    <t>Надходження товарів і послуг ІБ00-005728 від 06.11.2024 20:00:17
Оприходованы ТМЦ</t>
  </si>
  <si>
    <t>Обл. НДС
Пісок з відсіву дроблення щебеню фр. 0-5мм.
Надходження товарів і послуг ІБ00-005728 від 06.11.2024 20:00:17
Котельна (Глобине)</t>
  </si>
  <si>
    <t>Венкрас Авто ПП
Договір 05/09/2024 від 05.09.2024_Глобине-2
Рахунок на оплату постачальника ІБ00-004659 від 06.11.2024 20:00:16</t>
  </si>
  <si>
    <t>Надходження дод. витрат ІБ00-000500 від 06.11.2024 20:00:19
Доп. расходы при поступлении товаров</t>
  </si>
  <si>
    <t>Надходження товарів і послуг ІБ00-005857 від 06.11.2024 20:00:26
Оприходованы ТМЦ</t>
  </si>
  <si>
    <t>Обл. НДС
Пісок з відсіву дроблення щебеню фр. 0-5мм.
Надходження товарів і послуг ІБ00-005857 від 06.11.2024 20:00:26
Котельна (Глобине)</t>
  </si>
  <si>
    <t>Венкрас Авто ПП
Договір 05/09/2024 від 05.09.2024_Глобине-2
Рахунок на оплату постачальника ІБ00-004765 від 06.11.2024 20:00:25</t>
  </si>
  <si>
    <t>Надходження дод. витрат ІБ00-000533 від 06.11.2024 20:00:28
Доп. расходы при поступлении товаров</t>
  </si>
  <si>
    <t>07.11.2024</t>
  </si>
  <si>
    <t>Надходження товарів і послуг ІБ00-005709 від 07.11.2024 17:17:49
Оприходованы ТМЦ</t>
  </si>
  <si>
    <t>Обл. НДС
Відсів гранітний фр.0-5 мм
Надходження товарів і послуг ІБ00-005709 від 07.11.2024 17:17:49
Котельна (Глобине)</t>
  </si>
  <si>
    <t>ДІОРИТ ТОВ
№06/04-11 від 04.11.2024 Глобине-2
Рахунок на оплату постачальника ІБ00-004645 від 07.11.2024 17:17:48</t>
  </si>
  <si>
    <t>Надходження товарів і послуг ІБ00-005859 від 07.11.2024 17:17:54
Оприходованы ТМЦ</t>
  </si>
  <si>
    <t>Обл. НДС
Пісок з відсіву дроблення щебеню фр. 0-5мм.
Надходження товарів і послуг ІБ00-005859 від 07.11.2024 17:17:54
Котельна (Глобине)</t>
  </si>
  <si>
    <t>Венкрас Авто ПП
Договір 05/09/2024 від 05.09.2024_Глобине-2
Рахунок на оплату постачальника ІБ00-004767 від 07.11.2024 17:17:53</t>
  </si>
  <si>
    <t>Надходження товарів і послуг ІБ00-005860 від 07.11.2024 17:17:56
Оприходованы ТМЦ</t>
  </si>
  <si>
    <t>Обл. НДС
Пісок з відсіву дроблення щебеню фр. 0-5мм.
Надходження товарів і послуг ІБ00-005860 від 07.11.2024 17:17:56
Котельна (Глобине)</t>
  </si>
  <si>
    <t>Венкрас Авто ПП
Договір 05/09/2024 від 05.09.2024_Глобине-2
Рахунок на оплату постачальника ІБ00-004768 від 07.11.2024 17:17:55</t>
  </si>
  <si>
    <t>Надходження дод. витрат ІБ00-000522 від 07.11.2024 17:17:58
Доп. расходы при поступлении товаров</t>
  </si>
  <si>
    <t>Надходження дод. витрат ІБ00-000526 від 07.11.2024 17:17:59
Доп. расходы при поступлении товаров</t>
  </si>
  <si>
    <t>Надходження товарів і послуг ІБ00-005594 від 08.11.2024 17:54:19
Оприходованы ТМЦ</t>
  </si>
  <si>
    <t>Обл. НДС
Бетон С 20/25  F75 W6 Р4
Надходження товарів і послуг ІБ00-005594 від 08.11.2024 17:54:19
Котельна (Глобине)</t>
  </si>
  <si>
    <t>Гірник ПрАТ
Договір 105  від 22.10.2024_Глобине-2
Надходження товарів і послуг ІБ00-005594 від 08.11.2024 17:54:19</t>
  </si>
  <si>
    <t>Надходження дод. витрат ІБ00-000507 від 08.11.2024 20:00:16
Доп. расходы при поступлении товаров</t>
  </si>
  <si>
    <t>Гірник ПрАТ
Договір 105  від 22.10.2024_Глобине-2
Надходження дод. витрат ІБ00-000507 від 08.11.2024 20:00:16</t>
  </si>
  <si>
    <t>Надходження товарів і послуг ІБ00-005597 від 11.11.2024 17:23:32
Оприходованы ТМЦ</t>
  </si>
  <si>
    <t>Обл. НДС
Бетон С 20/25  F75 W6 Р4
Надходження товарів і послуг ІБ00-005597 від 11.11.2024 17:23:32
Котельна (Глобине)</t>
  </si>
  <si>
    <t>Гірник ПрАТ
Договір 105  від 22.10.2024_Глобине-2
Надходження товарів і послуг ІБ00-005597 від 11.11.2024 17:23:32</t>
  </si>
  <si>
    <t>Надходження дод. витрат ІБ00-000510 від 11.11.2024 18:00:00
Доп. расходы при поступлении товаров</t>
  </si>
  <si>
    <t>Гірник ПрАТ
Договір 105  від 22.10.2024_Глобине-2
Надходження дод. витрат ІБ00-000510 від 11.11.2024 18:00:00</t>
  </si>
  <si>
    <t>15.11.2024</t>
  </si>
  <si>
    <t>Надходження товарів і послуг ІБ00-005707 від 15.11.2024 18:00:23
Оприходованы ТМЦ (Зачет аванса поставщику)</t>
  </si>
  <si>
    <t>Обл. НДС
Бетон С 20/25  F75 W6 Р4
Надходження товарів і послуг ІБ00-005707 від 15.11.2024 18:00:23
Котельна (Глобине)</t>
  </si>
  <si>
    <t>Надходження дод. витрат ІБ00-000489 від 15.11.2024 18:00:24
Доп. расходы при поступлении товаров (Зачет аванса поставщику)</t>
  </si>
  <si>
    <t>Надходження товарів і послуг ІБ00-006024 від 15.11.2024 22:00:02
Оприходованы ТМЦ</t>
  </si>
  <si>
    <t>Обл. НДС
Клей-піна, 750 мл
Надходження товарів і послуг ІБ00-006024 від 15.11.2024 22:00:02
Котельна (Глобине)</t>
  </si>
  <si>
    <t>Будівельний двір"ТОВ
Дог № БА-2020/040 від 26.03.2020_Глобино_2
Рахунок на оплату постачальника ІБ00-004937 від 15.11.2024 22:00:01</t>
  </si>
  <si>
    <t>Обл. НДС
Плити XPS PNP 150 W 50*585*1185 T-15
Надходження товарів і послуг ІБ00-006024 від 15.11.2024 22:00:02
Котельна (Глобине)</t>
  </si>
  <si>
    <t>Надходження дод. витрат ІБ00-000574 від 15.11.2024 22:00:03
Доп. расходы при поступлении товаров</t>
  </si>
  <si>
    <t>Надходження товарів і послуг ІБ00-005732 від 18.11.2024 17:48:48
Оприходованы ТМЦ</t>
  </si>
  <si>
    <t>Обл. НДС
Бетон С 20/25  F75 W6 Р4
Надходження товарів і послуг ІБ00-005732 від 18.11.2024 17:48:48
Котельна (Глобине)</t>
  </si>
  <si>
    <t>Кременчуцький річковий порт ПРАТ
Договір 112/Б від 15.10.2024_Глобине-2
Надходження товарів і послуг ІБ00-005732 від 18.11.2024 17:48:48</t>
  </si>
  <si>
    <t>Надходження товарів і послуг ІБ00-005732 від 18.11.2024 17:48:48
Оприходованы ТМЦ (Зачет аванса поставщику)</t>
  </si>
  <si>
    <t>Надходження дод. витрат ІБ00-000494 від 18.11.2024 17:48:49
Доп. расходы при поступлении товаров</t>
  </si>
  <si>
    <t>Кременчуцький річковий порт ПРАТ
Договір 112/Б від 15.10.2024_Глобине-2
Надходження дод. витрат ІБ00-000494 від 18.11.2024 17:48:49</t>
  </si>
  <si>
    <t>Надходження товарів і послуг ІБ00-005781 від 19.11.2024 17:51:41
Оприходованы ТМЦ</t>
  </si>
  <si>
    <t>Обл. НДС
Плівка п/е рукав 1500*100
Надходження товарів і послуг ІБ00-005781 від 19.11.2024 17:51:41
Котельна (Глобине)</t>
  </si>
  <si>
    <t>ПРОТЕКС УКРАЇНА
Договір 9  від 11.12.2023_Глобіно2
Рахунок на оплату постачальника ІБ00-004702 від 15.11.2024 18:00:36</t>
  </si>
  <si>
    <t>22.11.2024</t>
  </si>
  <si>
    <t>Надходження товарів і послуг ІБ00-005761 від 22.11.2024 18:16:01
Оприходованы ТМЦ</t>
  </si>
  <si>
    <t>Обл. НДС
Болт М12*35 DIN 933 
Надходження товарів і послуг ІБ00-005761 від 22.11.2024 18:16:01
Котельна (Глобине)</t>
  </si>
  <si>
    <t>Солді і Ко ПАТ
Дог № 378542-55/19 від 21.01.2019 р. РАХ_Глобине-2
Рахунок на оплату постачальника ІБ00-004692 від 15.11.2024 18:00:34</t>
  </si>
  <si>
    <t>Обл. НДС
Болти DIN 933 12х110 - 5,8  ОЦ.
Надходження товарів і послуг ІБ00-005761 від 22.11.2024 18:16:01
Котельна (Глобине)</t>
  </si>
  <si>
    <t>Обл. НДС
Болти DIN 931 12х120 - 8,8  ОЦ.
Надходження товарів і послуг ІБ00-005761 від 22.11.2024 18:16:01
Котельна (Глобине)</t>
  </si>
  <si>
    <t>Обл. НДС
Болт М16*40  DIN 933
Надходження товарів і послуг ІБ00-005761 від 22.11.2024 18:16:01
Котельна (Глобине)</t>
  </si>
  <si>
    <t>Обл. НДС
Болт М16*45  DIN 933
Надходження товарів і послуг ІБ00-005761 від 22.11.2024 18:16:01
Котельна (Глобине)</t>
  </si>
  <si>
    <t>Обл. НДС
Болт М16*50  DIN 933
Надходження товарів і послуг ІБ00-005761 від 22.11.2024 18:16:01
Котельна (Глобине)</t>
  </si>
  <si>
    <t>Обл. НДС
Болт М16*55  DIN 933 8,8 цб пр
Надходження товарів і послуг ІБ00-005761 від 22.11.2024 18:16:01
Котельна (Глобине)</t>
  </si>
  <si>
    <t>Обл. НДС
Болт М16*60  DIN 933 оц.
Надходження товарів і послуг ІБ00-005761 від 22.11.2024 18:16:01
Котельна (Глобине)</t>
  </si>
  <si>
    <t>Обл. НДС
Болт М20*65  DIN 931
Надходження товарів і послуг ІБ00-005761 від 22.11.2024 18:16:01
Котельна (Глобине)</t>
  </si>
  <si>
    <t>Обл. НДС
Болт М20*70  DIN 931
Надходження товарів і послуг ІБ00-005761 від 22.11.2024 18:16:01
Котельна (Глобине)</t>
  </si>
  <si>
    <t>Обл. НДС
Болт М20*100  DIN 933 з шест.голівкою цб
Надходження товарів і послуг ІБ00-005761 від 22.11.2024 18:16:01
Котельна (Глобине)</t>
  </si>
  <si>
    <t>Обл. НДС
Гайка М12  DIN 934
Надходження товарів і послуг ІБ00-005761 від 22.11.2024 18:16:01
Котельна (Глобине)</t>
  </si>
  <si>
    <t>Обл. НДС
Гайка М16 DIN 934 ЦБ
Надходження товарів і послуг ІБ00-005761 від 22.11.2024 18:16:01
Котельна (Глобине)</t>
  </si>
  <si>
    <t>Обл. НДС
Гайка М20  DIN 934
Надходження товарів і послуг ІБ00-005761 від 22.11.2024 18:16:01
Котельна (Глобине)</t>
  </si>
  <si>
    <t>Обл. НДС
Шайба 12  DIN125 цб
Надходження товарів і послуг ІБ00-005761 від 22.11.2024 18:16:01
Котельна (Глобине)</t>
  </si>
  <si>
    <t>Обл. НДС
Шайба 16  DIN125
Надходження товарів і послуг ІБ00-005761 від 22.11.2024 18:16:01
Котельна (Глобине)</t>
  </si>
  <si>
    <t>Обл. НДС
Шайба 20  DIN125 цб
Надходження товарів і послуг ІБ00-005761 від 22.11.2024 18:16:01
Котельна (Глобине)</t>
  </si>
  <si>
    <t>Надходження товарів і послуг ІБ00-005762 від 22.11.2024 18:16:02
Оприходованы ТМЦ</t>
  </si>
  <si>
    <t>Обл. НДС
Гайка М36 DIN 934  
Надходження товарів і послуг ІБ00-005762 від 22.11.2024 18:16:02
Котельна (Глобине)</t>
  </si>
  <si>
    <t>Солді і Ко ПАТ
Дог № 378542-55/19 від 21.01.2019 р. РАХ_Глобине-2
Рахунок на оплату постачальника ІБ00-004693 від 21.11.2024 19:12:23</t>
  </si>
  <si>
    <t>Обл. НДС
DIN 125 Шайба 36 цб 
Надходження товарів і послуг ІБ00-005762 від 22.11.2024 18:16:02
Котельна (Глобине)</t>
  </si>
  <si>
    <t>Надходження товарів і послуг ІБ00-006020 від 26.11.2024 20:00:53
Оприходованы ТМЦ</t>
  </si>
  <si>
    <t>Обл. НДС
Болт М20*130 10.9 БП ЧР
Надходження товарів і послуг ІБ00-006020 від 26.11.2024 20:00:53
Котельна (Глобине)</t>
  </si>
  <si>
    <t>Списання товарів ІБ00-000728 від 30.11.2024 00:00:00
Списаны ТМЦ</t>
  </si>
  <si>
    <t>Списання товарів ІБ00-000649 від 30.11.2024 20:00:00
Списаны ТМЦ</t>
  </si>
  <si>
    <t>Вимога-накладна ІБ00-000576 від 30.11.2024 20:00:00
Списаны ТМЦ</t>
  </si>
  <si>
    <t>Вимога-накладна ІБ00-000577 від 30.11.2024 20:00:00
Списаны ТМЦ</t>
  </si>
  <si>
    <t>Вимога-накладна ІБ00-000582 від 30.11.2024 20:00:00
Списаны ТМЦ</t>
  </si>
  <si>
    <t>Списання товарів ІБ00-000726 від 30.11.2024 23:00:00
Списаны ТМЦ</t>
  </si>
  <si>
    <t>Вимога-накладна ІБ00-000583 від 30.11.2024 23:00:00
Списаны ТМЦ</t>
  </si>
  <si>
    <t>Вимога-накладна ІБ00-000658 від 30.11.2024 23:50:44
Списаны ТМЦ</t>
  </si>
  <si>
    <t>Вимога-накладна ІБ00-000659 від 30.11.2024 23:52:00
Списаны ТМЦ</t>
  </si>
  <si>
    <t>Вимога-накладна ІБ00-000660 від 30.11.2024 23:52:00
Списаны ТМЦ</t>
  </si>
  <si>
    <t>Вимога-накладна ІБ00-000661 від 30.11.2024 23:52:00
Списаны ТМЦ</t>
  </si>
  <si>
    <t>03.12.2024</t>
  </si>
  <si>
    <t>Надходження товарів і послуг ІБ00-006080 від 03.12.2024 17:24:19
Оприходованы ТМЦ</t>
  </si>
  <si>
    <t>Обл. НДС
Пісок з відсіву дроблення щебеню фр. 0-5мм.
Надходження товарів і послуг ІБ00-006080 від 03.12.2024 17:24:19
Котельна (Глобине)</t>
  </si>
  <si>
    <t>Енергія Логістик ТОВ
№28/10-2024 ВІД 28/10/24_Глобине-2
Рахунок на оплату постачальника ІБ00-004972 від 03.12.2024 17:24:18</t>
  </si>
  <si>
    <t>Надходження товарів і послуг ІБ00-006081 від 03.12.2024 17:24:21
Оприходованы ТМЦ</t>
  </si>
  <si>
    <t>Обл. НДС
Пісок з відсіву дроблення щебеню фр. 0-5мм.
Надходження товарів і послуг ІБ00-006081 від 03.12.2024 17:24:21
Котельна (Глобине)</t>
  </si>
  <si>
    <t>Енергія Логістик ТОВ
№28/10-2024 ВІД 28/10/24_Глобине-2
Рахунок на оплату постачальника ІБ00-004973 від 03.12.2024 17:24:20</t>
  </si>
  <si>
    <t>Надходження дод. витрат ІБ00-000571 від 03.12.2024 17:24:22
Доп. расходы при поступлении товаров</t>
  </si>
  <si>
    <t>Списання товарів ІБ00-000729 від 04.12.2024 20:00:00
Списаны ТМЦ</t>
  </si>
  <si>
    <t>Вимога-накладна ІБ00-000662 від 04.12.2024 20:00:00
Списаны ТМЦ</t>
  </si>
  <si>
    <t>Надходження товарів і послуг ІБ00-006087 від 06.12.2024 18:14:39
Оприходованы ТМЦ</t>
  </si>
  <si>
    <t>Обл. НДС
Пісок з відсіву дроблення щебеню фр. 0-5мм.
Надходження товарів і послуг ІБ00-006087 від 06.12.2024 18:14:39
Котельна (Глобине)</t>
  </si>
  <si>
    <t>Енергія Логістик ТОВ
№28/10-2024 ВІД 28/10/24_Глобине-2
Рахунок на оплату постачальника ІБ00-004977 від 06.12.2024 18:14:38</t>
  </si>
  <si>
    <t>Надходження товарів і послуг ІБ00-006222 від 11.12.2024 18:00:34
Оприходованы ТМЦ</t>
  </si>
  <si>
    <t>Обл. НДС
Бетон С20/25 W6 F75 P4 доб-5
Надходження товарів і послуг ІБ00-006222 від 11.12.2024 18:00:34
Котельна (Глобине)</t>
  </si>
  <si>
    <t>Кременчуцький річковий порт ПРАТ
Договір 112/Б від 15.10.2024_Глобине-2
Надходження товарів і послуг ІБ00-006222 від 11.12.2024 18:00:34</t>
  </si>
  <si>
    <t>Надходження дод. витрат ІБ00-000595 від 11.12.2024 18:00:35
Доп. расходы при поступлении товаров</t>
  </si>
  <si>
    <t>Кременчуцький річковий порт ПРАТ
Договір 112/Б від 15.10.2024_Глобине-2
Надходження дод. витрат ІБ00-000595 від 11.12.2024 18:00:35</t>
  </si>
  <si>
    <t>19.12.2024</t>
  </si>
  <si>
    <t>Надходження товарів і послуг ІБ00-006359 від 19.12.2024 10:16:20
Оприходованы ТМЦ (Зачет аванса поставщику)</t>
  </si>
  <si>
    <t>Обл. НДС
Бетон С20/25 W6 F75 P4 доб-5
Надходження товарів і послуг ІБ00-006359 від 19.12.2024 10:16:20
Котельна (Глобине)</t>
  </si>
  <si>
    <t>Надходження дод. витрат ІБ00-000620 від 19.12.2024 10:20:00
Доп. расходы при поступлении товаров (Зачет аванса поставщику)</t>
  </si>
  <si>
    <t>Надходження товарів і послуг ІБ00-006606 від 20.12.2024 12:00:00
Оприходованы ТМЦ (Зачет аванса поставщику)</t>
  </si>
  <si>
    <t>Обл. НДС
Сітка тканна 5*5 НВ
Надходження товарів і послуг ІБ00-006606 від 20.12.2024 12:00:00
Котельна (Глобине)</t>
  </si>
  <si>
    <t>АЛНАТОН ПЛЮС
Рахунки_Глобино-2
Рахунок на оплату постачальника ІБ00-005148 від 10.12.2024 00:00:00</t>
  </si>
  <si>
    <t>23.12.2024</t>
  </si>
  <si>
    <t>Надходження товарів і послуг ІБ00-006410 від 23.12.2024 17:16:14
Оприходованы ТМЦ</t>
  </si>
  <si>
    <t>Обл. НДС
Кутник 40*40*4,0 мм  6 м
Надходження товарів і послуг ІБ00-006410 від 23.12.2024 17:16:14
Котельна (Глобине)</t>
  </si>
  <si>
    <t>АВ МЕТАЛ ГРУП ТОВ
Дог 2420/Р от 05.10.2023від 05.10.2023_Глобино-2
Рахунок на оплату постачальника ІБ00-005202 від 19.12.2024 18:26:28</t>
  </si>
  <si>
    <t>Обл. НДС
Кутник 75*75 мм  12 м
Надходження товарів і послуг ІБ00-006410 від 23.12.2024 17:16:14
Котельна (Глобине)</t>
  </si>
  <si>
    <t>Обл. НДС
Труба ДСТУ 8943 108 мм 3,5 мм, 12 м
Надходження товарів і послуг ІБ00-006410 від 23.12.2024 17:16:14
Котельна (Глобине)</t>
  </si>
  <si>
    <t>Обл. НДС
Швелер 10 (UREAA 100) S275 JR, 12 м
Надходження товарів і послуг ІБ00-006410 від 23.12.2024 17:16:14
Котельна (Глобине)</t>
  </si>
  <si>
    <t>Обл. НДС
Швелер 14 (UREAA 140) S275 JR, 12 м
Надходження товарів і послуг ІБ00-006410 від 23.12.2024 17:16:14
Котельна (Глобине)</t>
  </si>
  <si>
    <t>26.12.2024</t>
  </si>
  <si>
    <t>Надходження товарів і послуг ІБ00-006545 від 26.12.2024 12:00:00
Оприходованы ТМЦ</t>
  </si>
  <si>
    <t>Обл. НДС
Щебінь 20-40
Надходження товарів і послуг ІБ00-006545 від 26.12.2024 12:00:00
Котельна (Глобине)</t>
  </si>
  <si>
    <t>Енергія Логістик ТОВ
№28/10-2024 ВІД 28/10/24_Глобине-2
Рахунок на оплату постачальника ІБ00-005297 від 26.12.2024 11:00:00</t>
  </si>
  <si>
    <t>Вимога-накладна ІБ00-000714 від 30.12.2024 00:00:00
Списаны ТМЦ</t>
  </si>
  <si>
    <t>Переміщення товарів ІБ00-000300 від 30.12.2024 12:00:00
Перемещение ТМЦ</t>
  </si>
  <si>
    <t>Обл. НДС
Бетон С  8/10 доб-10
Надходження товарів і послуг ІБ00-005899 від 27.11.2024 18:37:16
Котельна (Глобине)</t>
  </si>
  <si>
    <t>Вимога-накладна ІБ00-000694 від 30.12.2024 20:00:00
Списаны ТМЦ</t>
  </si>
  <si>
    <t>Обл. НДС
Виробничий (Глобине-2)
Глобине-2
Прямі матеріальні виробничі витрати крім зворотних відходів</t>
  </si>
  <si>
    <t>Вимога-накладна ІБ00-000695 від 30.12.2024 20:00:00
Списаны ТМЦ</t>
  </si>
  <si>
    <t>Вимога-накладна ІБ00-000711 від 30.12.2024 21:00:50
Списаны ТМЦ</t>
  </si>
  <si>
    <t>Списання товарів ІБ00-000740 від 30.12.2024 21:00:51
Списаны ТМЦ</t>
  </si>
  <si>
    <t>Вимога-накладна ІБ00-000730 від 30.12.2024 23:20:05
Списаны ТМЦ</t>
  </si>
  <si>
    <t>Переміщення товарів ІБ00-000301 від 30.12.2024 23:20:07
Перемещение ТМЦ</t>
  </si>
  <si>
    <t>Обл. НДС
Пісок з відсіву дроблення щебеню фр. 0-5мм.
Надходження товарів і послуг ІБ00-006081 від 03.12.2024 17:24:21
Цех екстракції (Глобине)</t>
  </si>
  <si>
    <t>Обл. НДС
Пісок з відсіву дроблення щебеню фр. 0-5мм.
Надходження товарів і послуг ІБ00-006087 від 06.12.2024 18:14:39
Цех екстракції (Глобине)</t>
  </si>
  <si>
    <t>Склади Дорівнює "Насосна Градирня (Глобине)" и Склади.Найменування містить "гло"</t>
  </si>
  <si>
    <t>Вимога-накладна ІБ00-000534 від 08.10.2024 22:00:11
Списаны ТМЦ</t>
  </si>
  <si>
    <t>Надходження товарів і послуг ІБ00-005729 від 11.11.2024 18:00:18
Оприходованы ТМЦ</t>
  </si>
  <si>
    <t>Обл. НДС
Пісок з відсіву дроблення щебеню фр. 0-5мм.
Надходження товарів і послуг ІБ00-005729 від 11.11.2024 18:00:18
Насосна Градирня (Глобине)</t>
  </si>
  <si>
    <t>Венкрас Авто ПП
Договір 05/09/2024 від 05.09.2024_Глобине-2
Рахунок на оплату постачальника ІБ00-004660 від 11.11.2024 18:00:17</t>
  </si>
  <si>
    <t>Обл. НДС
Щебінь 40-70
Надходження товарів і послуг ІБ00-005729 від 11.11.2024 18:00:18
Насосна Градирня (Глобине)</t>
  </si>
  <si>
    <t>Надходження дод. витрат ІБ00-000501 від 11.11.2024 18:00:20
Доп. расходы при поступлении товаров</t>
  </si>
  <si>
    <t>Надходження товарів і послуг ІБ00-005730 від 12.11.2024 18:12:59
Оприходованы ТМЦ</t>
  </si>
  <si>
    <t>Обл. НДС
Щебінь 40-70
Надходження товарів і послуг ІБ00-005730 від 12.11.2024 18:12:59
Насосна Градирня (Глобине)</t>
  </si>
  <si>
    <t>Венкрас Авто ПП
Договір 05/09/2024 від 05.09.2024_Глобине-2
Рахунок на оплату постачальника ІБ00-004661 від 12.11.2024 18:12:58</t>
  </si>
  <si>
    <t>Надходження дод. витрат ІБ00-000502 від 12.11.2024 18:13:00
Доп. расходы при поступлении товаров</t>
  </si>
  <si>
    <t>Надходження товарів і послуг ІБ00-005605 від 13.11.2024 10:00:00
Оприходованы ТМЦ</t>
  </si>
  <si>
    <t>Обл. НДС
Щебінь 40-70
Надходження товарів і послуг ІБ00-005605 від 13.11.2024 10:00:00
Насосна Градирня (Глобине)</t>
  </si>
  <si>
    <t>Гірник ПрАТ
Договір 45 від 11.11.2024_Глобине-2
Надходження товарів і послуг ІБ00-005605 від 13.11.2024 10:00:00</t>
  </si>
  <si>
    <t>28.11.2024</t>
  </si>
  <si>
    <t>Вимога-накладна ІБ00-000657 від 28.11.2024 23:00:02
Списаны ТМЦ</t>
  </si>
  <si>
    <t>Надходження товарів і послуг ІБ00-006411 від 23.12.2024 17:16:15
Оприходованы ТМЦ</t>
  </si>
  <si>
    <t>Обл. НДС
Кутник 50х50 мм 5,0 мм, 6 м
Надходження товарів і послуг ІБ00-006411 від 23.12.2024 17:16:15
Насосна Градирня (Глобине)</t>
  </si>
  <si>
    <t>24.12.2024</t>
  </si>
  <si>
    <t>Надходження товарів і послуг ІБ00-006541 від 24.12.2024 12:00:00
Оприходованы ТМЦ (Зачет аванса поставщику)</t>
  </si>
  <si>
    <t>Обл. НДС
Бетон С20/25 W6 F75 P4 доб-5
Надходження товарів і послуг ІБ00-006541 від 24.12.2024 12:00:00
Насосна Градирня (Глобине)</t>
  </si>
  <si>
    <t>Кременчуцький річковий порт ПРАТ
Договір 112/Б від 15.10.2024_Глобине-2
Списання з банківського рахунку 00000022328 від 20.12.2024 19:27:44</t>
  </si>
  <si>
    <t>Надходження дод. витрат ІБ00-000636 від 24.12.2024 12:01:00
Доп. расходы при поступлении товаров (Зачет аванса поставщику)</t>
  </si>
  <si>
    <t>Вимога-накладна ІБ00-000691 від 30.12.2024 20:00:00
Списаны ТМЦ</t>
  </si>
  <si>
    <t>Вимога-накладна ІБ00-000690 від 30.12.2024 21:00:06
Списаны ТМЦ</t>
  </si>
  <si>
    <t>Вимога-накладна ІБ00-000708 від 30.12.2024 21:00:38
Списаны ТМЦ</t>
  </si>
  <si>
    <t>Переміщення товарів ІБ00-000302 від 30.12.2024 23:20:08
Перемещение ТМЦ</t>
  </si>
  <si>
    <t>Обл. НДС
Пісок з відсіву дроблення щебеню фр. 0-5мм.
Надходження товарів і послуг ІБ00-005729 від 11.11.2024 18:00:18
Цех екстракції (Глобине)</t>
  </si>
  <si>
    <t>Склади Дорівнює "Резервуар для зберігання розчинника(Глобине)" и Склади.Найменування містить "гло"</t>
  </si>
  <si>
    <t>Надходження товарів і послуг ІБ00-005212 від 23.10.2024 18:16:34
Оприходованы ТМЦ</t>
  </si>
  <si>
    <t>Обл. НДС
Анкерний блок БФБ-1
Надходження товарів і послуг ІБ00-005212 від 23.10.2024 18:16:34
Резервуар для зберігання розчинника(Глобине)</t>
  </si>
  <si>
    <t>МАЛИН МЕТАЛ ТОВ
2709-П от 27.09.2023від 27.09.2023_Глобине 2
Рахунок на оплату постачальника ІБ00-003596 від 19.09.2024 18:10:30</t>
  </si>
  <si>
    <t>Надходження товарів і послуг ІБ00-005212 від 23.10.2024 18:16:34
Оприходованы ТМЦ (Зачет аванса поставщику)</t>
  </si>
  <si>
    <t>Переміщення товарів ІБ00-000124 від 02.11.2024 12:00:00
Перемещение ТМЦ</t>
  </si>
  <si>
    <t>Обл. НДС
Арматура №10  А240С L=6000 мм
Надходження товарів і послуг ІБ00-004378 від 21.09.2024 23:45:38
СПК (Глобине)</t>
  </si>
  <si>
    <t>Обл. НДС
Арматура №12  А240С L=6000 мм
Надходження товарів і послуг ІБ00-004646 від 02.10.2024 17:19:54
СПК (Глобине)</t>
  </si>
  <si>
    <t>Обл. НДС
Арматура №12  А500С L=12000 мм
Надходження товарів і послуг ІБ00-004378 від 21.09.2024 23:45:38
СПК (Глобине)</t>
  </si>
  <si>
    <t>Обл. НДС
Арматура №14  А500С L=12000 мм
Надходження товарів і послуг ІБ00-004377 від 21.09.2024 23:45:37
СПК (Глобине)</t>
  </si>
  <si>
    <t>Обл. НДС
Арматура №14  А500С L=12000 мм
Надходження товарів і послуг ІБ00-004643 від 01.10.2024 18:35:04
СПК (Глобине)</t>
  </si>
  <si>
    <t>Обл. НДС
Арматура №14  А500С L=12000 мм
Надходження товарів і послуг ІБ00-004644 від 02.10.2024 17:19:53
СПК (Глобине)</t>
  </si>
  <si>
    <t>Переміщення товарів ІБ00-000161 від 08.11.2024 17:54:24
Перемещение ТМЦ</t>
  </si>
  <si>
    <t>Вимога-накладна ІБ00-000533 від 08.11.2024 20:00:00
Списаны ТМЦ</t>
  </si>
  <si>
    <t>Склади Дорівнює "СПК (Глобине)" и Склади.Найменування містить "гло"</t>
  </si>
  <si>
    <t>Надходження товарів і послуг ІБ00-005525 від 06.11.2024 17:20:10
Оприходованы ТМЦ (Зачет аванса поставщику)</t>
  </si>
  <si>
    <t>Обл. НДС
Бетон С 20/25  F75 W6 Р4
Надходження товарів і послуг ІБ00-005525 від 06.11.2024 17:20:10
СПК (Глобине)</t>
  </si>
  <si>
    <t>Кременчуцький річковий порт ПРАТ
Договір 112/Б від 15.10.2024_Глобине-2
Списання з банківського рахунку 00000019973 від 01.11.2024 16:43:04</t>
  </si>
  <si>
    <t>Надходження дод. витрат ІБ00-000472 від 06.11.2024 17:20:11
Доп. расходы при поступлении товаров (Зачет аванса поставщику)</t>
  </si>
  <si>
    <t>Надходження товарів і послуг ІБ00-005548 від 06.11.2024 17:20:18
Оприходованы ТМЦ (Зачет аванса поставщику)</t>
  </si>
  <si>
    <t>Обл. НДС
Бетон С  8/10 Р4
Надходження товарів і послуг ІБ00-005548 від 06.11.2024 17:20:18
СПК (Глобине)</t>
  </si>
  <si>
    <t>Надходження дод. витрат ІБ00-000498 від 06.11.2024 17:30:00
Доп. расходы при поступлении товаров (Зачет аванса поставщику)</t>
  </si>
  <si>
    <t>Надходження товарів і послуг ІБ00-005513 від 07.11.2024 17:17:16
Оприходованы ТМЦ</t>
  </si>
  <si>
    <t>Обл. НДС
Лист г/к  3 х1,0х2,0 мм,ст.3ПС/СП 
Надходження товарів і послуг ІБ00-005513 від 07.11.2024 17:17:16
СПК (Глобине)</t>
  </si>
  <si>
    <t>ВІКАНТ фірма ТОВ
10/04-1 від 10.04.2022_Глобине-2 
Рахунок на оплату постачальника ІБ00-004461 від 07.11.2024 14:05:35</t>
  </si>
  <si>
    <t>Надходження товарів і послуг ІБ00-005514 від 07.11.2024 17:17:17
Оприходованы ТМЦ</t>
  </si>
  <si>
    <t>Обл. НДС
Прокат стальний гарячекатаний круглий ф 10 мм А240 ст3пс
Надходження товарів і послуг ІБ00-005514 від 07.11.2024 17:17:17
СПК (Глобине)</t>
  </si>
  <si>
    <t>ВІКАНТ фірма ТОВ
10/04-1 від 10.04.2022_Глобине-2 
Рахунок на оплату постачальника ІБ00-004437 від 29.10.2024 22:00:20</t>
  </si>
  <si>
    <t>Обл. НДС
Прокат стальний гарячекатаний круглий ф 12 мм А240 ст3пс 6м
Надходження товарів і послуг ІБ00-005514 від 07.11.2024 17:17:17
СПК (Глобине)</t>
  </si>
  <si>
    <t>Обл. НДС
Прокат арматурний №12 мм  А500С  12м
Надходження товарів і послуг ІБ00-005514 від 07.11.2024 17:17:17
СПК (Глобине)</t>
  </si>
  <si>
    <t>Обл. НДС
Прокат арматурний №14 мм  А500С, 12 м
Надходження товарів і послуг ІБ00-005514 від 07.11.2024 17:17:17
СПК (Глобине)</t>
  </si>
  <si>
    <t>Вимога-накладна ІБ00-000646 від 15.11.2024 17:52:31
Списаны ТМЦ</t>
  </si>
  <si>
    <t>Вимога-накладна ІБ00-000649 від 15.11.2024 22:00:00
Списаны ТМЦ</t>
  </si>
  <si>
    <t>Списання товарів ІБ00-000722 від 26.11.2024 22:00:04
Списаны ТМЦ</t>
  </si>
  <si>
    <t>Вимога-накладна ІБ00-000651 від 28.11.2024 23:00:01
Списаны ТМЦ</t>
  </si>
  <si>
    <t>Вимога-накладна ІБ00-000650 від 03.12.2024 22:00:00
Списаны ТМЦ</t>
  </si>
  <si>
    <t>Вимога-накладна ІБ00-000652 від 04.12.2024 22:01:00
Списаны ТМЦ</t>
  </si>
  <si>
    <t>Вимога-накладна ІБ00-000655 від 04.12.2024 22:01:01
Списаны ТМЦ</t>
  </si>
  <si>
    <t>Надходження товарів і послуг ІБ00-006239 від 05.12.2024 19:22:34
Оприходованы ТМЦ</t>
  </si>
  <si>
    <t>Обл. НДС
Піна монтажна  860 мл 
Надходження товарів і послуг ІБ00-006239 від 05.12.2024 19:22:34
СПК (Глобине)</t>
  </si>
  <si>
    <t>Адаменко Юрій Андрійович ФОП
РАХУНКИ_Глобине-2
Рахунок на оплату постачальника ІБ00-005068 від 04.12.2024 20:00:03</t>
  </si>
  <si>
    <t>Вимога-накладна ІБ00-000647 від 06.12.2024 20:41:51
Списаны ТМЦ</t>
  </si>
  <si>
    <t>Надходження товарів і послуг ІБ00-006202 від 09.12.2024 18:22:02
Оприходованы ТМЦ</t>
  </si>
  <si>
    <t>Обл. НДС
Пісок з відсіву дроблення щебеню фр. 0-5мм.
Надходження товарів і послуг ІБ00-006202 від 09.12.2024 18:22:02
СПК (Глобине)</t>
  </si>
  <si>
    <t>Енергія Логістик ТОВ
№28/10-2024 ВІД 28/10/24_Глобине-2
Рахунок на оплату постачальника ІБ00-005050 від 09.12.2024 18:22:01</t>
  </si>
  <si>
    <t>10.12.2024</t>
  </si>
  <si>
    <t>Надходження товарів і послуг ІБ00-006204 від 10.12.2024 18:00:22
Оприходованы ТМЦ</t>
  </si>
  <si>
    <t>Обл. НДС
Пісок з відсіву дроблення щебеню фр. 0-5мм.
Надходження товарів і послуг ІБ00-006204 від 10.12.2024 18:00:22
СПК (Глобине)</t>
  </si>
  <si>
    <t>Енергія Логістик ТОВ
№28/10-2024 ВІД 28/10/24_Глобине-2
Рахунок на оплату постачальника ІБ00-005052 від 10.12.2024 18:00:21</t>
  </si>
  <si>
    <t>Надходження товарів і послуг ІБ00-006221 від 10.12.2024 18:00:25
Оприходованы ТМЦ</t>
  </si>
  <si>
    <t>Обл. НДС
Бетон С20/25 W6 F75 P4 доб-5
Надходження товарів і послуг ІБ00-006221 від 10.12.2024 18:00:25
СПК (Глобине)</t>
  </si>
  <si>
    <t>Кременчуцький річковий порт ПРАТ
Договір 112/Б від 15.10.2024_Глобине-2
Надходження товарів і послуг ІБ00-006221 від 10.12.2024 18:00:25</t>
  </si>
  <si>
    <t>Надходження дод. витрат ІБ00-000594 від 10.12.2024 18:00:26
Доп. расходы при поступлении товаров</t>
  </si>
  <si>
    <t>Кременчуцький річковий порт ПРАТ
Договір 112/Б від 15.10.2024_Глобине-2
Надходження дод. витрат ІБ00-000594 від 10.12.2024 18:00:26</t>
  </si>
  <si>
    <t>Надходження товарів і послуг ІБ00-006237 від 11.12.2024 18:00:37
Оприходованы ТМЦ</t>
  </si>
  <si>
    <t>Обл. НДС
Пісок з відсіву дроблення щебеню фр. 0-5мм.
Надходження товарів і послуг ІБ00-006237 від 11.12.2024 18:00:37
СПК (Глобине)</t>
  </si>
  <si>
    <t>Енергія Логістик ТОВ
№28/10-2024 ВІД 28/10/24_Глобине-2
Рахунок на оплату постачальника ІБ00-005066 від 11.12.2024 18:00:36</t>
  </si>
  <si>
    <t>Надходження товарів і послуг ІБ00-006240 від 12.12.2024 18:00:38
Оприходованы ТМЦ</t>
  </si>
  <si>
    <t>Обл. НДС
Пісок з відсіву дроблення щебеню фр. 0-5мм.
Надходження товарів і послуг ІБ00-006240 від 12.12.2024 18:00:38
СПК (Глобине)</t>
  </si>
  <si>
    <t>Енергія Логістик ТОВ
№28/10-2024 ВІД 28/10/24_Глобине-2
Рахунок на оплату постачальника ІБ00-005069 від 12.12.2024 18:00:37</t>
  </si>
  <si>
    <t>13.12.2024</t>
  </si>
  <si>
    <t>Надходження товарів і послуг ІБ00-006234 від 13.12.2024 19:00:46
Оприходованы ТМЦ</t>
  </si>
  <si>
    <t>Обл. НДС
Пісок з відсіву дроблення щебеню фр. 0-5мм.
Надходження товарів і послуг ІБ00-006234 від 13.12.2024 19:00:46
СПК (Глобине)</t>
  </si>
  <si>
    <t>Енергія Логістик ТОВ
№28/10-2024 ВІД 28/10/24_Глобине-2
Рахунок на оплату постачальника ІБ00-005063 від 13.12.2024 19:00:45</t>
  </si>
  <si>
    <t>Надходження дод. витрат ІБ00-000599 від 13.12.2024 19:00:47
Доп. расходы при поступлении товаров</t>
  </si>
  <si>
    <t>Надходження товарів і послуг ІБ00-006235 від 13.12.2024 19:00:49
Оприходованы ТМЦ</t>
  </si>
  <si>
    <t>Обл. НДС
Пісок з відсіву дроблення щебеню фр. 0-5мм.
Надходження товарів і послуг ІБ00-006235 від 13.12.2024 19:00:49
СПК (Глобине)</t>
  </si>
  <si>
    <t>Енергія Логістик ТОВ
№28/10-2024 ВІД 28/10/24_Глобине-2
Рахунок на оплату постачальника ІБ00-005064 від 13.12.2024 19:00:48</t>
  </si>
  <si>
    <t>Надходження товарів і послуг ІБ00-006236 від 14.12.2024 17:00:05
Оприходованы ТМЦ</t>
  </si>
  <si>
    <t>Обл. НДС
Пісок з відсіву дроблення щебеню фр. 0-5мм.
Надходження товарів і послуг ІБ00-006236 від 14.12.2024 17:00:05
СПК (Глобине)</t>
  </si>
  <si>
    <t>Енергія Логістик ТОВ
№28/10-2024 ВІД 28/10/24_Глобине-2
Рахунок на оплату постачальника ІБ00-005065 від 14.12.2024 17:00:04</t>
  </si>
  <si>
    <t>Надходження товарів і послуг ІБ00-006258 від 16.12.2024 18:00:25
Оприходованы ТМЦ</t>
  </si>
  <si>
    <t>Обл. НДС
Пісок з відсіву дроблення щебеню фр. 0-5мм.
Надходження товарів і послуг ІБ00-006258 від 16.12.2024 18:00:25
СПК (Глобине)</t>
  </si>
  <si>
    <t>Енергія Логістик ТОВ
№28/10-2024 ВІД 28/10/24_Глобине-2
Рахунок на оплату постачальника ІБ00-005074 від 16.12.2024 18:00:24</t>
  </si>
  <si>
    <t>Надходження товарів і послуг ІБ00-006259 від 16.12.2024 18:00:27
Оприходованы ТМЦ</t>
  </si>
  <si>
    <t>Обл. НДС
Пісок з відсіву дроблення щебеню фр. 0-5мм.
Надходження товарів і послуг ІБ00-006259 від 16.12.2024 18:00:27
СПК (Глобине)</t>
  </si>
  <si>
    <t>Енергія Логістик ТОВ
№28/10-2024 ВІД 28/10/24_Глобине-2
Рахунок на оплату постачальника ІБ00-005075 від 16.12.2024 18:00:26</t>
  </si>
  <si>
    <t>Надходження дод. витрат ІБ00-000607 від 16.12.2024 18:00:28
Доп. расходы при поступлении товаров</t>
  </si>
  <si>
    <t>17.12.2024</t>
  </si>
  <si>
    <t>Надходження товарів і послуг ІБ00-006250 від 17.12.2024 16:17:26
Оприходованы ТМЦ</t>
  </si>
  <si>
    <t>Обл. НДС
Анкерний блок БФБ-1
Надходження товарів і послуг ІБ00-006250 від 17.12.2024 16:17:26
СПК (Глобине)</t>
  </si>
  <si>
    <t>МАЛИН МЕТАЛ ТОВ
2709-П от 27.09.2023від 27.09.2023_Глобине 2
Рахунок на оплату постачальника ІБ00-005071 від 01.11.2024 23:16:47</t>
  </si>
  <si>
    <t>Обл. НДС
Анкерний блок БФБ-2
Надходження товарів і послуг ІБ00-006250 від 17.12.2024 16:17:26
СПК (Глобине)</t>
  </si>
  <si>
    <t>Надходження товарів і послуг ІБ00-006313 від 17.12.2024 18:00:22
Оприходованы ТМЦ</t>
  </si>
  <si>
    <t>Обл. НДС
Пісок з відсіву дроблення щебеню фр. 0-5мм.
Надходження товарів і послуг ІБ00-006313 від 17.12.2024 18:00:22
СПК (Глобине)</t>
  </si>
  <si>
    <t>Енергія Логістик ТОВ
№28/10-2024 ВІД 28/10/24_Глобине-2
Рахунок на оплату постачальника ІБ00-005141 від 17.12.2024 18:00:21</t>
  </si>
  <si>
    <t>Надходження дод. витрат ІБ00-000610 від 17.12.2024 18:00:23
Доп. расходы при поступлении товаров</t>
  </si>
  <si>
    <t>Надходження товарів і послуг ІБ00-006314 від 17.12.2024 18:00:25
Оприходованы ТМЦ</t>
  </si>
  <si>
    <t>Обл. НДС
Пісок з відсіву дроблення щебеню фр. 0-5мм.
Надходження товарів і послуг ІБ00-006314 від 17.12.2024 18:00:25
СПК (Глобине)</t>
  </si>
  <si>
    <t>Енергія Логістик ТОВ
№28/10-2024 ВІД 28/10/24_Глобине-2
Рахунок на оплату постачальника ІБ00-005142 від 17.12.2024 18:00:24</t>
  </si>
  <si>
    <t>Надходження товарів і послуг ІБ00-006315 від 18.12.2024 18:00:23
Оприходованы ТМЦ</t>
  </si>
  <si>
    <t>Обл. НДС
Пісок з відсіву дроблення щебеню фр. 0-5мм.
Надходження товарів і послуг ІБ00-006315 від 18.12.2024 18:00:23
СПК (Глобине)</t>
  </si>
  <si>
    <t>Енергія Логістик ТОВ
№28/10-2024 ВІД 28/10/24_Глобине-2
Рахунок на оплату постачальника ІБ00-005143 від 18.12.2024 18:00:22</t>
  </si>
  <si>
    <t>Надходження товарів і послуг ІБ00-006355 від 19.12.2024 18:26:23
Оприходованы ТМЦ</t>
  </si>
  <si>
    <t>Обл. НДС
Пісок з відсіву дроблення щебеню фр. 0-5мм.
Надходження товарів і послуг ІБ00-006355 від 19.12.2024 18:26:23
СПК (Глобине)</t>
  </si>
  <si>
    <t>Енергія Логістик ТОВ
№28/10-2024 ВІД 28/10/24_Глобине-2
Рахунок на оплату постачальника ІБ00-005170 від 19.12.2024 18:26:22</t>
  </si>
  <si>
    <t>Надходження товарів і послуг ІБ00-006362 від 20.12.2024 12:00:00
Оприходованы ТМЦ</t>
  </si>
  <si>
    <t>Обл. НДС
Пісок з відсіву дроблення щебеню фр. 0-5мм.
Надходження товарів і послуг ІБ00-006362 від 20.12.2024 12:00:00
СПК (Глобине)</t>
  </si>
  <si>
    <t>Енергія Логістик ТОВ
№28/10-2024 ВІД 28/10/24_Глобине-2
Рахунок на оплату постачальника ІБ00-005174 від 20.12.2024 18:17:49</t>
  </si>
  <si>
    <t>Надходження товарів і послуг ІБ00-006461 від 20.12.2024 18:18:13
Оприходованы ТМЦ</t>
  </si>
  <si>
    <t>Обл. НДС
Мастика бітумно-каучукова 18 кг
Надходження товарів і послуг ІБ00-006461 від 20.12.2024 18:18:13
СПК (Глобине)</t>
  </si>
  <si>
    <t>Будівельна Гільдія КАПІТАЛ ТОВ
Договір 07/11/24 від 07.11.2024_Глобине-2
Рахунок на оплату постачальника ІБ00-005243 від 20.12.2024 18:18:11</t>
  </si>
  <si>
    <t>Обл. НДС
Розріджувач лакофарб універс 4л (2,8кг)
Надходження товарів і послуг ІБ00-006461 від 20.12.2024 18:18:13
СПК (Глобине)</t>
  </si>
  <si>
    <t>Обл. НДС
Пінополістирол екструдований  20х600х1200мм
Надходження товарів і послуг ІБ00-006461 від 20.12.2024 18:18:13
СПК (Глобине)</t>
  </si>
  <si>
    <t>Надходження товарів і послуг ІБ00-006482 від 20.12.2024 18:18:15
Оприходованы ТМЦ</t>
  </si>
  <si>
    <t>Обл. НДС
Бетон С20/25 W6 F75 P4
Надходження товарів і послуг ІБ00-006482 від 20.12.2024 18:18:15
СПК (Глобине)</t>
  </si>
  <si>
    <t>Кременчуцький річковий порт ПРАТ
Договір 112/Б від 15.10.2024_Глобине-2
Надходження товарів і послуг ІБ00-006482 від 20.12.2024 18:18:15</t>
  </si>
  <si>
    <t>Надходження товарів і послуг ІБ00-006482 від 20.12.2024 18:18:15
Оприходованы ТМЦ (Зачет аванса поставщику)</t>
  </si>
  <si>
    <t>Надходження дод. витрат ІБ00-000630 від 20.12.2024 18:18:16
Доп. расходы при поступлении товаров</t>
  </si>
  <si>
    <t>Кременчуцький річковий порт ПРАТ
Договір 112/Б від 15.10.2024_Глобине-2
Надходження дод. витрат ІБ00-000630 від 20.12.2024 18:18:16</t>
  </si>
  <si>
    <t>21.12.2024</t>
  </si>
  <si>
    <t>Надходження товарів і послуг ІБ00-006472 від 21.12.2024 16:00:04
Оприходованы ТМЦ (Зачет аванса поставщику)</t>
  </si>
  <si>
    <t>Обл. НДС
Бетон С20/25 W6 F75 P4
Надходження товарів і послуг ІБ00-006472 від 21.12.2024 16:00:04
СПК (Глобине)</t>
  </si>
  <si>
    <t>Надходження дод. витрат ІБ00-000629 від 21.12.2024 16:15:00
Доп. расходы при поступлении товаров (Зачет аванса поставщику)</t>
  </si>
  <si>
    <t>Надходження товарів і послуг ІБ00-006542 від 23.12.2024 12:00:00
Оприходованы ТМЦ (Зачет аванса поставщику)</t>
  </si>
  <si>
    <t>Обл. НДС
Бетон С20/25 W6 F75 P4
Надходження товарів і послуг ІБ00-006542 від 23.12.2024 12:00:00
СПК (Глобине)</t>
  </si>
  <si>
    <t>Надходження дод. витрат ІБ00-000637 від 23.12.2024 12:01:00
Доп. расходы при поступлении товаров (Зачет аванса поставщику)</t>
  </si>
  <si>
    <t>Надходження товарів і послуг ІБ00-006614 від 26.12.2024 12:00:00
Оприходованы ТМЦ (Зачет аванса поставщику)</t>
  </si>
  <si>
    <t>Обл. НДС
Бетон М-350 (Р-4) доб- 5 
Надходження товарів і послуг ІБ00-006614 від 26.12.2024 12:00:00
СПК (Глобине)</t>
  </si>
  <si>
    <t>Завод Залізобетонних Виробів №1 ПП
Договір №30/08-24-2  від 30.08.2024_Глобине 2
Рахунок на оплату постачальника ІБ00-005186 від 24.12.2024 09:00:00</t>
  </si>
  <si>
    <t>Надходження дод. витрат ІБ00-000643 від 26.12.2024 12:15:00
Доп. расходы при поступлении товаров (Зачет аванса поставщику)</t>
  </si>
  <si>
    <t>Вимога-накладна ІБ00-000692 від 30.12.2024 20:00:00
Списаны ТМЦ</t>
  </si>
  <si>
    <t>Вимога-накладна ІБ00-000693 від 30.12.2024 20:00:00
Списаны ТМЦ</t>
  </si>
  <si>
    <t>Вимога-накладна ІБ00-000709 від 30.12.2024 21:00:00
Списаны ТМЦ</t>
  </si>
  <si>
    <t>Списання товарів ІБ00-000738 від 30.12.2024 21:00:43
Списаны ТМЦ</t>
  </si>
  <si>
    <t>Вимога-накладна ІБ00-000710 від 30.12.2024 21:00:46
Списаны ТМЦ</t>
  </si>
  <si>
    <t>Вимога-накладна ІБ00-000731 від 30.12.2024 23:20:06
Списаны ТМЦ</t>
  </si>
  <si>
    <t>Склади Дорівнює "Цех екстракції (Глобине)" и Склади.Найменування містить "гло"</t>
  </si>
  <si>
    <t>Вимога-накладна ІБ00-000531 від 08.10.2024 00:00:00
Списаны ТМЦ</t>
  </si>
  <si>
    <t>Обл. НДС
Виробничий (Глобино)
Глобине-2
Прямі материальні виробничі витрати крім зворотніх відходів</t>
  </si>
  <si>
    <t>Надходження товарів і послуг ІБ00-005264 від 09.10.2024 22:00:03
Оприходованы ТМЦ (Зачет аванса поставщику)</t>
  </si>
  <si>
    <t>Обл. НДС
Анкерний блок БФБ-1
Надходження товарів і послуг ІБ00-005264 від 09.10.2024 22:00:03
Цех екстракції (Глобине)</t>
  </si>
  <si>
    <t>МАЛИН МЕТАЛ ТОВ
2709-П от 27.09.2023від 27.09.2023_Глобине 2
Рахунок на оплату постачальника ІБ00-003595 від 19.09.2024 18:10:29</t>
  </si>
  <si>
    <t>Надходження товарів і послуг ІБ00-005589 від 11.10.2024 18:07:12
Оприходованы ТМЦ (Зачет аванса поставщику)</t>
  </si>
  <si>
    <t>Обл. НДС
Бетон М-150 (Р-4)
Надходження товарів і послуг ІБ00-005589 від 11.10.2024 18:07:12
Цех екстракції (Глобине)</t>
  </si>
  <si>
    <t>Обл. НДС
Бетон М-350 (Р-4)
Надходження товарів і послуг ІБ00-005589 від 11.10.2024 18:07:12
Цех екстракції (Глобине)</t>
  </si>
  <si>
    <t>Надходження товарів і послуг ІБ00-005214 від 17.10.2024 18:07:49
Оприходованы ТМЦ (Зачет аванса поставщику)</t>
  </si>
  <si>
    <t>Обл. НДС
Анкерний блок БФБ-1
Надходження товарів і послуг ІБ00-005214 від 17.10.2024 18:07:49
Цех екстракції (Глобине)</t>
  </si>
  <si>
    <t>Надходження товарів і послуг ІБ00-005214 від 17.10.2024 18:07:49
Оприходованы ТМЦ</t>
  </si>
  <si>
    <t>Обл. НДС
Анкерний блок БФБ-2
Надходження товарів і послуг ІБ00-005214 від 17.10.2024 18:07:49
Цех екстракції (Глобине)</t>
  </si>
  <si>
    <t>Обл. НДС
Анкерний блок БФБ-4
Надходження товарів і послуг ІБ00-005214 від 17.10.2024 18:07:49
Цех екстракції (Глобине)</t>
  </si>
  <si>
    <t>22.10.2024</t>
  </si>
  <si>
    <t>Надходження товарів і послуг ІБ00-005230 від 22.10.2024 18:10:51
Оприходованы ТМЦ (Зачет аванса поставщику)</t>
  </si>
  <si>
    <t>Обл. НДС
Бетон С  8/10 Р4
Надходження товарів і послуг ІБ00-005230 від 22.10.2024 18:10:51
Цех екстракції (Глобине)</t>
  </si>
  <si>
    <t>Надходження дод. витрат ІБ00-000441 від 22.10.2024 18:10:52
Доп. расходы при поступлении товаров (Зачет аванса поставщику)</t>
  </si>
  <si>
    <t>Надходження товарів і послуг ІБ00-005213 від 23.10.2024 18:16:35
Оприходованы ТМЦ</t>
  </si>
  <si>
    <t>Обл. НДС
Анкерний блок БФБ-3
Надходження товарів і послуг ІБ00-005213 від 23.10.2024 18:16:35
Цех екстракції (Глобине)</t>
  </si>
  <si>
    <t>Надходження товарів і послуг ІБ00-005333 від 28.10.2024 17:55:20
Оприходованы ТМЦ</t>
  </si>
  <si>
    <t>Обл. НДС
Балка 16 IPE160 12м S275JR
Надходження товарів і послуг ІБ00-005333 від 28.10.2024 17:55:20
Цех екстракції (Глобине)</t>
  </si>
  <si>
    <t>АВ МЕТАЛ ГРУП ТОВ
№6234/Р от 05.09.2024_Глобине-2
Рахунок на оплату постачальника ІБ00-004292 від 23.10.2024 18:16:25</t>
  </si>
  <si>
    <t>Обл. НДС
Балка 20 ІРЕ200 12м S275JR
Надходження товарів і послуг ІБ00-005333 від 28.10.2024 17:55:20
Цех екстракції (Глобине)</t>
  </si>
  <si>
    <t>Обл. НДС
Балка 36 ІРЕ360 12м S275JR
Надходження товарів і послуг ІБ00-005333 від 28.10.2024 17:55:20
Цех екстракції (Глобине)</t>
  </si>
  <si>
    <t>Обл. НДС
Труба профільна 100*100*5
Надходження товарів і послуг ІБ00-005333 від 28.10.2024 17:55:20
Цех екстракції (Глобине)</t>
  </si>
  <si>
    <t>Надходження товарів і послуг ІБ00-005336 від 28.10.2024 17:55:21
Оприходованы ТМЦ</t>
  </si>
  <si>
    <t>Обл. НДС
Лист г/к 20*2000*6000 мм
Надходження товарів і послуг ІБ00-005336 від 28.10.2024 17:55:21
Цех екстракції (Глобине)</t>
  </si>
  <si>
    <t>МЕТІНВЕСТ-СМЦ ТОВ
№1778403/01/2023-С от 11.01.2023 РАХУНКИ_Глобино-2
Рахунок на оплату постачальника ІБ00-004280 від 15.10.2024 18:36:58</t>
  </si>
  <si>
    <t>Надходження товарів і послуг ІБ00-005330 від 29.10.2024 22:00:05
Оприходованы ТМЦ</t>
  </si>
  <si>
    <t>Обл. НДС
Лист г/к 18*1500*6000, S235 JR
Надходження товарів і послуг ІБ00-005330 від 29.10.2024 22:00:05
Цех екстракції (Глобине)</t>
  </si>
  <si>
    <t>Обл. НДС
Лист г/к 18*2000*6000, S235 JR
Надходження товарів і послуг ІБ00-005330 від 29.10.2024 22:00:05
Цех екстракції (Глобине)</t>
  </si>
  <si>
    <t>Обл. НДС
Лист г/к 16*1500*6000, S235 JR
Надходження товарів і послуг ІБ00-005330 від 29.10.2024 22:00:05
Цех екстракції (Глобине)</t>
  </si>
  <si>
    <t>Обл. НДС
Балка 16 IPE160 12м S275JR
Надходження товарів і послуг ІБ00-005330 від 29.10.2024 22:00:05
Цех екстракції (Глобине)</t>
  </si>
  <si>
    <t>Надходження товарів і послуг ІБ00-005332 від 29.10.2024 22:00:06
Оприходованы ТМЦ</t>
  </si>
  <si>
    <t>Обл. НДС
Лист г/к 16*1500*6000, S235 JR
Надходження товарів і послуг ІБ00-005332 від 29.10.2024 22:00:06
Цех екстракції (Глобине)</t>
  </si>
  <si>
    <t>Надходження товарів і послуг ІБ00-005335 від 29.10.2024 22:00:09
Оприходованы ТМЦ</t>
  </si>
  <si>
    <t>Обл. НДС
Лист г/к  4*1500*6000 мм
Надходження товарів і послуг ІБ00-005335 від 29.10.2024 22:00:09
Цех екстракції (Глобине)</t>
  </si>
  <si>
    <t>Обл. НДС
Лист г/к  6*1500*6000 1-3 сп/пс
Надходження товарів і послуг ІБ00-005335 від 29.10.2024 22:00:09
Цех екстракції (Глобине)</t>
  </si>
  <si>
    <t>Обл. НДС
Лист г/к  8*1500*6000 1-3 сп/пс
Надходження товарів і послуг ІБ00-005335 від 29.10.2024 22:00:09
Цех екстракції (Глобине)</t>
  </si>
  <si>
    <t>Обл. НДС
Лист г/к 30*1500*6000 мм необр кромка
Надходження товарів і послуг ІБ00-005335 від 29.10.2024 22:00:09
Цех екстракції (Глобине)</t>
  </si>
  <si>
    <t>Обл. НДС
Лист г/к 20*2000*6000 мм
Надходження товарів і послуг ІБ00-005335 від 29.10.2024 22:00:09
Цех екстракції (Глобине)</t>
  </si>
  <si>
    <t>Обл. НДС
Лист г/к 30*1500*6000 мм обр кромка
Надходження товарів і послуг ІБ00-005335 від 29.10.2024 22:00:09
Цех екстракції (Глобине)</t>
  </si>
  <si>
    <t>Надходження товарів і послуг ІБ00-005351 від 30.10.2024 20:04:11
Оприходованы ТМЦ</t>
  </si>
  <si>
    <t>Обл. НДС
Балка 36 ІРЕ360 12м S275JR
Надходження товарів і послуг ІБ00-005351 від 30.10.2024 20:04:11
Цех екстракції (Глобине)</t>
  </si>
  <si>
    <t>Обл. НДС
Швелер 16П  7216
Надходження товарів і послуг ІБ00-005351 від 30.10.2024 20:04:11
Цех екстракції (Глобине)</t>
  </si>
  <si>
    <t>Обл. НДС
Швелер № 30П/У; ст. 3пс5; 12 м
Надходження товарів і послуг ІБ00-005351 від 30.10.2024 20:04:11
Цех екстракції (Глобине)</t>
  </si>
  <si>
    <t>Надходження товарів і послуг ІБ00-005352 від 30.10.2024 20:04:12
Оприходованы ТМЦ</t>
  </si>
  <si>
    <t>Обл. НДС
Швелер 16П  7216
Надходження товарів і послуг ІБ00-005352 від 30.10.2024 20:04:12
Цех екстракції (Глобине)</t>
  </si>
  <si>
    <t>Обл. НДС
Швелер 24П/У ст.1-3сп/пс 5, 12м
Надходження товарів і послуг ІБ00-005352 від 30.10.2024 20:04:12
Цех екстракції (Глобине)</t>
  </si>
  <si>
    <t>Надходження товарів і послуг ІБ00-005371 від 31.10.2024 10:00:00
Оприходованы ТМЦ</t>
  </si>
  <si>
    <t>Обл. НДС
Бетон С 20/25  F75 W6 Р4
Надходження товарів і послуг ІБ00-005371 від 31.10.2024 10:00:00
Цех екстракції (Глобине)</t>
  </si>
  <si>
    <t>Гірник ПрАТ
Договір 105  від 22.10.2024_Глобине-2
Надходження товарів і послуг ІБ00-005371 від 31.10.2024 10:00:00</t>
  </si>
  <si>
    <t>Надходження товарів і послуг ІБ00-005505 від 31.10.2024 10:59:59
Оприходованы ТМЦ</t>
  </si>
  <si>
    <t>Обл. НДС
Лист г/к 20*2000*6000 мм
Надходження товарів і послуг ІБ00-005505 від 31.10.2024 10:59:59
Цех екстракції (Глобине)</t>
  </si>
  <si>
    <t>Надходження дод. витрат ІБ00-000480 від 31.10.2024 22:59:59
Доп. расходы при поступлении товаров</t>
  </si>
  <si>
    <t>Гірник ПрАТ
Договір 105  від 22.10.2024_Глобине-2
Надходження дод. витрат ІБ00-000480 від 31.10.2024 22:59:59</t>
  </si>
  <si>
    <t>Надходження дод. витрат ІБ00-000480 від 31.10.2024 22:59:59
Доп. расходы при поступлении товаров (Зачет аванса поставщику)</t>
  </si>
  <si>
    <t>Гірник ПрАТ
Договір 105  від 22.10.2024_Глобине-2
Списання з банківського рахунку 00000019851 від 31.10.2024 14:25:05</t>
  </si>
  <si>
    <t>Надходження товарів і послуг ІБ00-005506 від 01.11.2024 19:56:31
Оприходованы ТМЦ</t>
  </si>
  <si>
    <t>Обл. НДС
Лист г/к 14*2000*6000, 1-3 пс/сп 5 кат.
Надходження товарів і послуг ІБ00-005506 від 01.11.2024 19:56:31
Цех екстракції (Глобине)</t>
  </si>
  <si>
    <t>Надходження товарів і послуг ІБ00-005564 від 01.11.2024 19:56:42
Оприходованы ТМЦ</t>
  </si>
  <si>
    <t>Обл. НДС
Пісок з відсівів дробл.фр.0-5мм.
Надходження товарів і послуг ІБ00-005564 від 01.11.2024 19:56:42
Цех екстракції (Глобине)</t>
  </si>
  <si>
    <t>Венкрас Авто ПП
Договір 05/09/2024 від 05.09.2024_Глобине-2
Рахунок на оплату постачальника ІБ00-004520 від 01.11.2024 19:56:41</t>
  </si>
  <si>
    <t>Надходження дод. витрат ІБ00-000475 від 01.11.2024 19:56:43
Доп. расходы при поступлении товаров</t>
  </si>
  <si>
    <t>Надходження товарів і послуг ІБ00-005443 від 02.11.2024 12:00:03
Оприходованы ТМЦ (Зачет аванса поставщику)</t>
  </si>
  <si>
    <t>Обл. НДС
Бетон С 20/25  F75 W6 Р4
Надходження товарів і послуг ІБ00-005443 від 02.11.2024 12:00:03
Цех екстракції (Глобине)</t>
  </si>
  <si>
    <t>Надходження дод. витрат ІБ00-000464 від 02.11.2024 12:00:04
Доп. расходы при поступлении товаров (Зачет аванса поставщику)</t>
  </si>
  <si>
    <t>Надходження товарів і послуг ІБ00-005487 від 05.11.2024 17:00:00
Оприходованы ТМЦ</t>
  </si>
  <si>
    <t>Обл. НДС
Бетон С 20/25  F75 W6 Р4
Надходження товарів і послуг ІБ00-005487 від 05.11.2024 17:00:00
Цех екстракції (Глобине)</t>
  </si>
  <si>
    <t>Кременчуцький річковий порт ПРАТ
Договір 112/Б від 15.10.2024_Глобине-2
Рахунок на оплату постачальника ІБ00-004421 від 29.10.2024 22:00:17</t>
  </si>
  <si>
    <t>Надходження дод. витрат ІБ00-000471 від 05.11.2024 17:28:08
Доп. расходы при поступлении товаров (Зачет аванса поставщику)</t>
  </si>
  <si>
    <t>Надходження товарів і послуг ІБ00-005507 від 05.11.2024 17:28:11
Оприходованы ТМЦ</t>
  </si>
  <si>
    <t>Обл. НДС
Труба профільна 160*160*5
Надходження товарів і послуг ІБ00-005507 від 05.11.2024 17:28:11
Цех екстракції (Глобине)</t>
  </si>
  <si>
    <t>Надходження товарів і послуг ІБ00-005547 від 05.11.2024 17:28:27
Оприходованы ТМЦ</t>
  </si>
  <si>
    <t>Обл. НДС
Кутик 75*75*6мм ст.3ПС МІРА 12 м
Надходження товарів і послуг ІБ00-005547 від 05.11.2024 17:28:27
Цех екстракції (Глобине)</t>
  </si>
  <si>
    <t>Обл. НДС
Швелер 20П міра L=12000.00мм 1-3 сп/пс 5 категорія
Надходження товарів і послуг ІБ00-005547 від 05.11.2024 17:28:27
Цех екстракції (Глобине)</t>
  </si>
  <si>
    <t>Обл. НДС
Швелер 22П ст.1-3сп/пс 5, L= 12м
Надходження товарів і послуг ІБ00-005547 від 05.11.2024 17:28:27
Цех екстракції (Глобине)</t>
  </si>
  <si>
    <t>Обл. НДС
Лист г/к 20*2000*6000 09Г2С, 14 кат,обр.кромка
Надходження товарів і послуг ІБ00-005547 від 05.11.2024 17:28:27
Цех екстракції (Глобине)</t>
  </si>
  <si>
    <t>Обл. НДС
Лист г/к 40*2000*6000, 3 сп 5 кат.
Надходження товарів і послуг ІБ00-005547 від 05.11.2024 17:28:27
Цех екстракції (Глобине)</t>
  </si>
  <si>
    <t>Надходження товарів і послуг ІБ00-005546 від 06.11.2024 17:20:16
Оприходованы ТМЦ</t>
  </si>
  <si>
    <t>Обл. НДС
Лист 16*1500*6000 3 сп/пс5
Надходження товарів і послуг ІБ00-005546 від 06.11.2024 17:20:16
Цех екстракції (Глобине)</t>
  </si>
  <si>
    <t>Обл. НДС
Лист 12*1590*12000 необр кромка
Надходження товарів і послуг ІБ00-005546 від 06.11.2024 17:20:16
Цех екстракції (Глобине)</t>
  </si>
  <si>
    <t>Надходження товарів і послуг ІБ00-005543 від 07.11.2024 17:17:33
Оприходованы ТМЦ</t>
  </si>
  <si>
    <t>Обл. НДС
Труба профільна 80*80*4 L=12 м
Надходження товарів і послуг ІБ00-005543 від 07.11.2024 17:17:33
Цех екстракції (Глобине)</t>
  </si>
  <si>
    <t>Надходження товарів і послуг ІБ00-005544 від 07.11.2024 17:17:34
Оприходованы ТМЦ</t>
  </si>
  <si>
    <t>Обл. НДС
Лист г/к  6*1500*6000 1-3 сп/пс
Надходження товарів і послуг ІБ00-005544 від 07.11.2024 17:17:34
Цех екстракції (Глобине)</t>
  </si>
  <si>
    <t>Обл. НДС
Лист г/к  8*1500*6000 мм; ст.3 сп/пс 5 кат.необр.кромка
Надходження товарів і послуг ІБ00-005544 від 07.11.2024 17:17:34
Цех екстракції (Глобине)</t>
  </si>
  <si>
    <t>Обл. НДС
Лист г/к 10*1500*6000 мм
Надходження товарів і послуг ІБ00-005544 від 07.11.2024 17:17:34
Цех екстракції (Глобине)</t>
  </si>
  <si>
    <t>Обл. НДС
Лист г/к 30*2000*6000, 1-3пс/сп 5 кат.
Надходження товарів і послуг ІБ00-005544 від 07.11.2024 17:17:34
Цех екстракції (Глобине)</t>
  </si>
  <si>
    <t>Надходження товарів і послуг ІБ00-005545 від 07.11.2024 17:17:36
Оприходованы ТМЦ</t>
  </si>
  <si>
    <t>Обл. НДС
Лист г/к  10*1280*12000 необр кромка
Надходження товарів і послуг ІБ00-005545 від 07.11.2024 17:17:36
Цех екстракції (Глобине)</t>
  </si>
  <si>
    <t>МЕТІНВЕСТ-СМЦ ТОВ
№1778403/01/2023-С от 11.01.2023 РАХУНКИ_Глобино-2
Рахунок на оплату постачальника ІБ00-004506 від 07.11.2024 17:17:35</t>
  </si>
  <si>
    <t>Надходження товарів і послуг ІБ00-005592 від 08.11.2024 17:54:17
Оприходованы ТМЦ</t>
  </si>
  <si>
    <t>Обл. НДС
Бетон С 20/25  F75 W6 Р4
Надходження товарів і послуг ІБ00-005592 від 08.11.2024 17:54:17
Цех екстракції (Глобине)</t>
  </si>
  <si>
    <t>Гірник ПрАТ
Договір 105  від 22.10.2024_Глобине-2
Надходження товарів і послуг ІБ00-005592 від 08.11.2024 17:54:17</t>
  </si>
  <si>
    <t>Надходження товарів і послуг ІБ00-005592 від 08.11.2024 17:54:17
Оприходованы ТМЦ (Зачет аванса поставщику)</t>
  </si>
  <si>
    <t>Надходження товарів і послуг ІБ00-005593 від 08.11.2024 17:54:18
Оприходованы ТМЦ</t>
  </si>
  <si>
    <t>Обл. НДС
Бетон С 20/25  F75 W6 Р4
Надходження товарів і послуг ІБ00-005593 від 08.11.2024 17:54:18
Цех екстракції (Глобине)</t>
  </si>
  <si>
    <t>Гірник ПрАТ
Договір 105  від 22.10.2024_Глобине-2
Надходження товарів і послуг ІБ00-005593 від 08.11.2024 17:54:18</t>
  </si>
  <si>
    <t>Надходження дод. витрат ІБ00-000505 від 08.11.2024 18:00:00
Доп. расходы при поступлении товаров</t>
  </si>
  <si>
    <t>Гірник ПрАТ
Договір 105  від 22.10.2024_Глобине-2
Надходження дод. витрат ІБ00-000505 від 08.11.2024 18:00:00</t>
  </si>
  <si>
    <t>Надходження дод. витрат ІБ00-000506 від 08.11.2024 20:00:15
Доп. расходы при поступлении товаров</t>
  </si>
  <si>
    <t>Гірник ПрАТ
Договір 105  від 22.10.2024_Глобине-2
Надходження дод. витрат ІБ00-000506 від 08.11.2024 20:00:15</t>
  </si>
  <si>
    <t>Надходження товарів і послуг ІБ00-005858 від 08.11.2024 20:00:23
Оприходованы ТМЦ</t>
  </si>
  <si>
    <t>Обл. НДС
Пісок з відсіву дроблення щебеню фр. 0-5мм.
Надходження товарів і послуг ІБ00-005858 від 08.11.2024 20:00:23
Цех екстракції (Глобине)</t>
  </si>
  <si>
    <t>Венкрас Авто ПП
Договір 05/09/2024 від 05.09.2024_Глобине-2
Рахунок на оплату постачальника ІБ00-004766 від 08.11.2024 20:00:22</t>
  </si>
  <si>
    <t>Надходження дод. витрат ІБ00-000527 від 08.11.2024 20:00:25
Доп. расходы при поступлении товаров</t>
  </si>
  <si>
    <t>Надходження товарів і послуг ІБ00-005856 від 09.11.2024 12:00:07
Оприходованы ТМЦ</t>
  </si>
  <si>
    <t>Обл. НДС
Пісок з відсіву дроблення щебеню фр. 0-5мм.
Надходження товарів і послуг ІБ00-005856 від 09.11.2024 12:00:07
Цех екстракції (Глобине)</t>
  </si>
  <si>
    <t>Венкрас Авто ПП
Договір 05/09/2024 від 05.09.2024_Глобине-2
Рахунок на оплату постачальника ІБ00-004764 від 09.11.2024 12:00:06</t>
  </si>
  <si>
    <t>Надходження дод. витрат ІБ00-000529 від 09.11.2024 12:00:08
Доп. расходы при поступлении товаров</t>
  </si>
  <si>
    <t>Надходження товарів і послуг ІБ00-005595 від 11.11.2024 17:23:30
Оприходованы ТМЦ</t>
  </si>
  <si>
    <t>Обл. НДС
Бетон С 20/25  F75 W6 Р4
Надходження товарів і послуг ІБ00-005595 від 11.11.2024 17:23:30
Цех екстракції (Глобине)</t>
  </si>
  <si>
    <t>Гірник ПрАТ
Договір 105  від 22.10.2024_Глобине-2
Надходження товарів і послуг ІБ00-005595 від 11.11.2024 17:23:30</t>
  </si>
  <si>
    <t>Надходження товарів і послуг ІБ00-005595 від 11.11.2024 17:23:30
Оприходованы ТМЦ (Зачет аванса поставщику)</t>
  </si>
  <si>
    <t>Гірник ПрАТ
Договір 105  від 22.10.2024_Глобине-2
Надходження товарів і послуг ІБ00-005549 від 06.11.2024 17:20:19</t>
  </si>
  <si>
    <t>Надходження товарів і послуг ІБ00-005596 від 11.11.2024 17:23:31
Оприходованы ТМЦ</t>
  </si>
  <si>
    <t>Обл. НДС
Бетон С 20/25  F75 W6 Р4
Надходження товарів і послуг ІБ00-005596 від 11.11.2024 17:23:31
Цех екстракції (Глобине)</t>
  </si>
  <si>
    <t>Гірник ПрАТ
Договір 105  від 22.10.2024_Глобине-2
Надходження товарів і послуг ІБ00-005596 від 11.11.2024 17:23:31</t>
  </si>
  <si>
    <t>Надходження дод. витрат ІБ00-000508 від 11.11.2024 18:00:00
Доп. расходы при поступлении товаров (Зачет аванса поставщику)</t>
  </si>
  <si>
    <t>Надходження дод. витрат ІБ00-000509 від 11.11.2024 18:00:00
Доп. расходы при поступлении товаров</t>
  </si>
  <si>
    <t>Гірник ПрАТ
Договір 105  від 22.10.2024_Глобине-2
Надходження дод. витрат ІБ00-000509 від 11.11.2024 18:00:00</t>
  </si>
  <si>
    <t>Надходження дод. витрат ІБ00-000509 від 11.11.2024 18:00:00
Доп. расходы при поступлении товаров (Зачет аванса поставщику)</t>
  </si>
  <si>
    <t>Надходження товарів і послуг ІБ00-005743 від 20.11.2024 18:10:55
Оприходованы ТМЦ</t>
  </si>
  <si>
    <t>Обл. НДС
Анкерний блок БФБ-4
Надходження товарів і послуг ІБ00-005743 від 20.11.2024 18:10:55
Цех екстракції (Глобине)</t>
  </si>
  <si>
    <t>МАЛИН МЕТАЛ ТОВ
2709-П от 27.09.2023від 27.09.2023_Глобине 2
Рахунок на оплату постачальника ІБ00-004545 від 22.10.2024 18:11:14</t>
  </si>
  <si>
    <t>Надходження товарів і послуг ІБ00-005743 від 20.11.2024 18:10:55
Оприходованы ТМЦ (Зачет аванса поставщику)</t>
  </si>
  <si>
    <t>Надходження товарів і послуг ІБ00-005752 від 20.11.2024 18:11:07
Оприходованы ТМЦ</t>
  </si>
  <si>
    <t>Обл. НДС
Відсів гранітний фр.0-5 мм
Надходження товарів і послуг ІБ00-005752 від 20.11.2024 18:11:07
Цех екстракції (Глобине)</t>
  </si>
  <si>
    <t>Гірник ПрАТ
Договір 45 від 11.11.2024_Глобине-2
Надходження товарів і послуг ІБ00-005752 від 20.11.2024 18:11:07</t>
  </si>
  <si>
    <t>Надходження товарів і послуг ІБ00-005760 від 21.11.2024 19:12:21
Оприходованы ТМЦ</t>
  </si>
  <si>
    <t>Обл. НДС
Пісок з відсіву дроблення щебеню фр. 0-5мм.
Надходження товарів і послуг ІБ00-005760 від 21.11.2024 19:12:21
Цех екстракції (Глобине)</t>
  </si>
  <si>
    <t>Енергія Логістик ТОВ
№28/10-2024 ВІД 28/10/24_Глобине-2
Рахунок на оплату постачальника ІБ00-004691 від 21.11.2024 19:12:20</t>
  </si>
  <si>
    <t>Надходження дод. витрат ІБ00-000497 від 21.11.2024 19:12:22
Доп. расходы при поступлении товаров</t>
  </si>
  <si>
    <t>Надходження товарів і послуг ІБ00-005907 від 21.11.2024 19:56:50
Оприходованы ТМЦ</t>
  </si>
  <si>
    <t>Обл. НДС
Болт 1.1 М42*1320
Надходження товарів і послуг ІБ00-005907 від 21.11.2024 19:56:50
Цех екстракції (Глобине)</t>
  </si>
  <si>
    <t>МАЛИН МЕТАЛ ТОВ
2709-П от 27.09.2023від 27.09.2023_Глобине 2
Рахунок на оплату постачальника ІБ00-004566 від 13.11.2024 17:47:08</t>
  </si>
  <si>
    <t>Надходження товарів і послуг ІБ00-005907 від 21.11.2024 19:56:50
Оприходованы ТМЦ (Зачет аванса поставщику)</t>
  </si>
  <si>
    <t>Надходження товарів і послуг ІБ00-005901 від 22.11.2024 18:00:00
Оприходованы ТМЦ</t>
  </si>
  <si>
    <t>Обл. НДС
Пісок з відсівів дробл.фр.0-5мм.
Надходження товарів і послуг ІБ00-005901 від 22.11.2024 18:00:00
Цех екстракції (Глобине)</t>
  </si>
  <si>
    <t>Енергія Логістик ТОВ
№28/10-2024 ВІД 28/10/24_Глобине-2
Рахунок на оплату постачальника ІБ00-004804 від 22.11.2024 18:16:16</t>
  </si>
  <si>
    <t>Надходження дод. витрат ІБ00-000535 від 22.11.2024 18:16:17
Доп. расходы при поступлении товаров</t>
  </si>
  <si>
    <t>Надходження товарів і послуг ІБ00-005985 від 22.11.2024 18:16:20
Оприходованы ТМЦ</t>
  </si>
  <si>
    <t>Обл. НДС
Гранвідсів 0-5 мм
Надходження товарів і послуг ІБ00-005985 від 22.11.2024 18:16:20
Цех екстракції (Глобине)</t>
  </si>
  <si>
    <t>ДІОРИТ ТОВ
№06/04-11 від 04.11.2024 Глобине-2
Рахунок на оплату постачальника ІБ00-004887 від 22.11.2024 00:00:00</t>
  </si>
  <si>
    <t>23.11.2024</t>
  </si>
  <si>
    <t>Надходження товарів і послуг ІБ00-005789 від 23.11.2024 16:00:02
Оприходованы ТМЦ</t>
  </si>
  <si>
    <t>Обл. НДС
Пісок з відсіву дроблення щебеню фр. 0-5мм.
Надходження товарів і послуг ІБ00-005789 від 23.11.2024 16:00:02
Цех екстракції (Глобине)</t>
  </si>
  <si>
    <t>Енергія Логістик ТОВ
№28/10-2024 ВІД 28/10/24_Глобине-2
Рахунок на оплату постачальника ІБ00-004704 від 23.11.2024 16:00:01</t>
  </si>
  <si>
    <t>Надходження дод. витрат ІБ00-000504 від 23.11.2024 16:00:03
Доп. расходы при поступлении товаров</t>
  </si>
  <si>
    <t>Надходження товарів і послуг ІБ00-005817 від 25.11.2024 17:49:53
Оприходованы ТМЦ</t>
  </si>
  <si>
    <t>Обл. НДС
Пісок з відсіву дроблення граніту фр. 0-5мм.
Надходження товарів і послуг ІБ00-005817 від 25.11.2024 17:49:53
Цех екстракції (Глобине)</t>
  </si>
  <si>
    <t>Енергія Логістик ТОВ
№28/10-2024 ВІД 28/10/24_Глобине-2
Рахунок на оплату постачальника ІБ00-004720 від 25.11.2024 17:49:52</t>
  </si>
  <si>
    <t>Надходження дод. витрат ІБ00-000513 від 25.11.2024 17:49:54
Доп. расходы при поступлении товаров</t>
  </si>
  <si>
    <t>Надходження товарів і послуг ІБ00-005927 від 27.11.2024 18:37:23
Оприходованы ТМЦ</t>
  </si>
  <si>
    <t>Обл. НДС
Пісок з відсівів дроблення щебню 0-5мм./Глобине
Надходження товарів і послуг ІБ00-005927 від 27.11.2024 18:37:23
Цех екстракції (Глобине)</t>
  </si>
  <si>
    <t>Енергія Логістик ТОВ
№28/10-2024 ВІД 28/10/24_Глобине-2
Рахунок на оплату постачальника ІБ00-004863 від 27.11.2024 18:37:22</t>
  </si>
  <si>
    <t>Надходження дод. витрат ІБ00-000542 від 27.11.2024 19:00:00
Доп. расходы при поступлении товаров</t>
  </si>
  <si>
    <t>Списання товарів ІБ00-000676 від 30.11.2024 20:00:00
Списаны ТМЦ</t>
  </si>
  <si>
    <t>Вимога-накладна ІБ00-000572 від 30.11.2024 20:00:00
Списаны ТМЦ</t>
  </si>
  <si>
    <t>Вимога-накладна ІБ00-000573 від 30.11.2024 20:00:00
Списаны ТМЦ</t>
  </si>
  <si>
    <t>Вимога-накладна ІБ00-000579 від 30.11.2024 20:00:00
Списаны ТМЦ</t>
  </si>
  <si>
    <t>Вимога-накладна ІБ00-000580 від 30.11.2024 20:00:00
Списаны ТМЦ</t>
  </si>
  <si>
    <t>Вимога-накладна ІБ00-000581 від 30.11.2024 20:00:00
Списаны ТМЦ</t>
  </si>
  <si>
    <t>Вимога-накладна ІБ00-000615 від 30.11.2024 20:00:00
Списаны ТМЦ</t>
  </si>
  <si>
    <t>Вимога-накладна ІБ00-000616 від 30.11.2024 20:00:00
Списаны ТМЦ</t>
  </si>
  <si>
    <t>Вимога-накладна ІБ00-000617 від 30.11.2024 20:00:00
Списаны ТМЦ</t>
  </si>
  <si>
    <t>Списання товарів ІБ00-000674 від 30.11.2024 21:00:00
Списаны ТМЦ</t>
  </si>
  <si>
    <t>Списання товарів ІБ00-000675 від 30.11.2024 21:00:00
Списаны ТМЦ</t>
  </si>
  <si>
    <t>Списання товарів ІБ00-000677 від 30.11.2024 21:00:00
Списаны ТМЦ</t>
  </si>
  <si>
    <t>Вимога-накладна ІБ00-000618 від 30.11.2024 21:00:00
Списаны ТМЦ</t>
  </si>
  <si>
    <t>Надходження товарів і послуг ІБ00-006167 від 01.12.2024 12:45:15
Оприходованы ТМЦ (Зачет аванса поставщику)</t>
  </si>
  <si>
    <t>Обл. НДС
Кутник 50х50 мм 5,0 мм, 6 м
Надходження товарів і послуг ІБ00-006167 від 01.12.2024 12:45:15
Цех екстракції (Глобине)</t>
  </si>
  <si>
    <t>АВ МЕТАЛ ГРУП ТОВ
№6234/Р от 05.09.2024_Глобине-2
Рахунок на оплату постачальника ІБ00-004554 від 13.11.2024 00:00:00</t>
  </si>
  <si>
    <t>Надходження товарів і послуг ІБ00-006238 від 02.12.2024 22:00:07
Оприходованы ТМЦ</t>
  </si>
  <si>
    <t>Обл. НДС
Пісок з відсіву дроблення щебеню фр. 0-5мм.
Надходження товарів і послуг ІБ00-006238 від 02.12.2024 22:00:07
Цех екстракції (Глобине)</t>
  </si>
  <si>
    <t>Енергія Логістик ТОВ
№28/10-2024 ВІД 28/10/24_Глобине-2
Рахунок на оплату постачальника ІБ00-005067 від 02.12.2024 22:00:06</t>
  </si>
  <si>
    <t>Надходження дод. витрат ІБ00-000600 від 02.12.2024 22:00:08
Доп. расходы при поступлении товаров</t>
  </si>
  <si>
    <t>Надходження товарів і послуг ІБ00-006017 від 03.12.2024 17:23:57
Оприходованы ТМЦ</t>
  </si>
  <si>
    <t>Обл. НДС
Бетон С20/25 W6 F75 P4 доб-5
Надходження товарів і послуг ІБ00-006017 від 03.12.2024 17:23:57
Цех екстракції (Глобине)</t>
  </si>
  <si>
    <t>Кременчуцький річковий порт ПРАТ
Договір 112/Б від 15.10.2024_Глобине-2
Надходження товарів і послуг ІБ00-006017 від 03.12.2024 17:23:57</t>
  </si>
  <si>
    <t>Надходження дод. витрат ІБ00-000555 від 03.12.2024 17:23:58
Доп. расходы при поступлении товаров</t>
  </si>
  <si>
    <t>Кременчуцький річковий порт ПРАТ
Договір 112/Б від 15.10.2024_Глобине-2
Надходження дод. витрат ІБ00-000555 від 03.12.2024 17:23:58</t>
  </si>
  <si>
    <t>Вимога-накладна ІБ00-000663 від 04.12.2024 00:00:00
Списаны ТМЦ</t>
  </si>
  <si>
    <t>Надходження товарів і послуг ІБ00-006082 від 04.12.2024 18:00:17
Оприходованы ТМЦ</t>
  </si>
  <si>
    <t>Обл. НДС
Пісок з відсіву дроблення щебеню фр. 0-5мм.
Надходження товарів і послуг ІБ00-006082 від 04.12.2024 18:00:17
Цех екстракції (Глобине)</t>
  </si>
  <si>
    <t>Енергія Логістик ТОВ
№28/10-2024 ВІД 28/10/24_Глобине-2
Рахунок на оплату постачальника ІБ00-004974 від 04.12.2024 18:00:16</t>
  </si>
  <si>
    <t>Надходження товарів і послуг ІБ00-006085 від 05.12.2024 19:00:13
Оприходованы ТМЦ</t>
  </si>
  <si>
    <t>Обл. НДС
Пісок з відсіву дроблення щебеню фр. 0-5мм.
Надходження товарів і послуг ІБ00-006085 від 05.12.2024 19:00:13
Цех екстракції (Глобине)</t>
  </si>
  <si>
    <t>Енергія Логістик ТОВ
№28/10-2024 ВІД 28/10/24_Глобине-2
Рахунок на оплату постачальника ІБ00-004975 від 05.12.2024 19:00:12</t>
  </si>
  <si>
    <t>Надходження товарів і послуг ІБ00-006086 від 05.12.2024 19:00:15
Оприходованы ТМЦ</t>
  </si>
  <si>
    <t>Обл. НДС
Пісок з відсівів дроблення щебню 0-5мм./Глобине
Надходження товарів і послуг ІБ00-006086 від 05.12.2024 19:00:15
Цех екстракції (Глобине)</t>
  </si>
  <si>
    <t>Енергія Логістик ТОВ
№28/10-2024 ВІД 28/10/24_Глобине-2
Рахунок на оплату постачальника ІБ00-004976 від 05.12.2024 19:00:14</t>
  </si>
  <si>
    <t>Надходження дод. витрат ІБ00-000573 від 05.12.2024 19:00:16
Доп. расходы при поступлении товаров</t>
  </si>
  <si>
    <t>Надходження товарів і послуг ІБ00-006056 від 06.12.2024 18:14:28
Оприходованы ТМЦ</t>
  </si>
  <si>
    <t>Обл. НДС
Гайка М24 6 цб DIN934
Надходження товарів і послуг ІБ00-006056 від 06.12.2024 18:14:28
Цех екстракції (Глобине)</t>
  </si>
  <si>
    <t>Солді і Ко ПАТ
Дог № 378542-55/19 від 21.01.2019 р. РАХ_Глобине-2
Рахунок на оплату постачальника ІБ00-004946 від 03.12.2024 17:24:06</t>
  </si>
  <si>
    <t>Обл. НДС
Гайка М30 6 цб DIN934
Надходження товарів і послуг ІБ00-006056 від 06.12.2024 18:14:28
Цех екстракції (Глобине)</t>
  </si>
  <si>
    <t>Обл. НДС
Гайка М42 6 цб DIN934
Надходження товарів і послуг ІБ00-006056 від 06.12.2024 18:14:28
Цех екстракції (Глобине)</t>
  </si>
  <si>
    <t>Обл. НДС
DIN125-1 Шайба 24 цб 140HV до кл.м. 4.6-8.8
Надходження товарів і послуг ІБ00-006056 від 06.12.2024 18:14:28
Цех екстракції (Глобине)</t>
  </si>
  <si>
    <t>Обл. НДС
DIN125-1 Шайба 30 цб 140HV до кл.м. 4.6-8.8
Надходження товарів і послуг ІБ00-006056 від 06.12.2024 18:14:28
Цех екстракції (Глобине)</t>
  </si>
  <si>
    <t>Обл. НДС
DIN125-1 Шайба 42 цб 140HV до кл.м. 4.6-8.8
Надходження товарів і послуг ІБ00-006056 від 06.12.2024 18:14:28
Цех екстракції (Глобине)</t>
  </si>
  <si>
    <t>Надходження товарів і послуг ІБ00-006203 від 09.12.2024 18:22:05
Оприходованы ТМЦ</t>
  </si>
  <si>
    <t>Обл. НДС
Щебінь 20-40
Надходження товарів і послуг ІБ00-006203 від 09.12.2024 18:22:05
Цех екстракції (Глобине)</t>
  </si>
  <si>
    <t>Енергія Логістик ТОВ
№28/10-2024 ВІД 28/10/24_Глобине-2
Рахунок на оплату постачальника ІБ00-005051 від 09.12.2024 18:22:04</t>
  </si>
  <si>
    <t>Надходження дод. витрат ІБ00-000592 від 09.12.2024 18:22:06
Доп. расходы при поступлении товаров</t>
  </si>
  <si>
    <t>Надходження товарів і послуг ІБ00-006196 від 10.12.2024 18:00:19
Оприходованы ТМЦ</t>
  </si>
  <si>
    <t>Обл. НДС
Щебінь 20-40
Надходження товарів і послуг ІБ00-006196 від 10.12.2024 18:00:19
Цех екстракції (Глобине)</t>
  </si>
  <si>
    <t>Енергія Логістик ТОВ
№28/10-2024 ВІД 28/10/24_Глобине-2
Рахунок на оплату постачальника ІБ00-005048 від 10.12.2024 18:00:18</t>
  </si>
  <si>
    <t>Надходження дод. витрат ІБ00-000590 від 10.12.2024 18:00:20
Доп. расходы при поступлении товаров</t>
  </si>
  <si>
    <t>Надходження товарів і послуг ІБ00-006307 від 13.12.2024 16:58:58
Оприходованы ТМЦ (Зачет аванса поставщику)</t>
  </si>
  <si>
    <t>Обл. НДС
Кондуктор Р-7
Надходження товарів і послуг ІБ00-006307 від 13.12.2024 16:58:58
Цех екстракції (Глобине)</t>
  </si>
  <si>
    <t>ЕЛМАШ ТОВ
Договору №031224П від 03.12.2024_Глобино 2
Рахунок на оплату постачальника ІБ00-004936 від 05.12.2024 00:00:00</t>
  </si>
  <si>
    <t>Обл. НДС
Кондуктор Р-9
Надходження товарів і послуг ІБ00-006307 від 13.12.2024 16:58:58
Цех екстракції (Глобине)</t>
  </si>
  <si>
    <t>Надходження товарів і послуг ІБ00-006307 від 13.12.2024 16:58:58
Оприходованы ТМЦ</t>
  </si>
  <si>
    <t>Обл. НДС
Кондуктор Р-10
Надходження товарів і послуг ІБ00-006307 від 13.12.2024 16:58:58
Цех екстракції (Глобине)</t>
  </si>
  <si>
    <t>Надходження товарів і послуг ІБ00-006316 від 17.12.2024 18:00:26
Оприходованы ТМЦ (Зачет аванса поставщику)</t>
  </si>
  <si>
    <t>Обл. НДС
Бетон С  8/10 Р4
Надходження товарів і послуг ІБ00-006316 від 17.12.2024 18:00:26
Цех екстракції (Глобине)</t>
  </si>
  <si>
    <t>Надходження дод. витрат ІБ00-000611 від 17.12.2024 18:00:27
Доп. расходы при поступлении товаров (Зачет аванса поставщику)</t>
  </si>
  <si>
    <t>Надходження товарів і послуг ІБ00-006413 від 17.12.2024 18:00:33
Оприходованы ТМЦ</t>
  </si>
  <si>
    <t>Обл. НДС
Анкерний болт А1
Надходження товарів і послуг ІБ00-006413 від 17.12.2024 18:00:33
Цех екстракції (Глобине)</t>
  </si>
  <si>
    <t>МАЛИН МЕТАЛ ТОВ
0512-П от 05.12.2024від 05.12.2024_Глобине 2
Рахунок на оплату постачальника ІБ00-004909 від 26.11.2024 00:00:00</t>
  </si>
  <si>
    <t>Надходження товарів і послуг ІБ00-006413 від 17.12.2024 18:00:33
Оприходованы ТМЦ (Зачет аванса поставщику)</t>
  </si>
  <si>
    <t>Обл. НДС
Анкерний блок А2
Надходження товарів і послуг ІБ00-006413 від 17.12.2024 18:00:33
Цех екстракції (Глобине)</t>
  </si>
  <si>
    <t>Обл. НДС
Анкерний болт А3
Надходження товарів і послуг ІБ00-006413 від 17.12.2024 18:00:33
Цех екстракції (Глобине)</t>
  </si>
  <si>
    <t>Обл. НДС
Анкерний блок А3
Надходження товарів і послуг ІБ00-006413 від 17.12.2024 18:00:33
Цех екстракції (Глобине)</t>
  </si>
  <si>
    <t>Обл. НДС
Анкерний болт А4
Надходження товарів і послуг ІБ00-006413 від 17.12.2024 18:00:33
Цех екстракції (Глобине)</t>
  </si>
  <si>
    <t>Надходження товарів і послуг ІБ00-006317 від 18.12.2024 18:00:25
Оприходованы ТМЦ</t>
  </si>
  <si>
    <t>Обл. НДС
Щебінь 20-40
Надходження товарів і послуг ІБ00-006317 від 18.12.2024 18:00:25
Цех екстракції (Глобине)</t>
  </si>
  <si>
    <t>Енергія Логістик ТОВ
№28/10-2024 ВІД 28/10/24_Глобине-2
Рахунок на оплату постачальника ІБ00-005144 від 18.12.2024 18:00:24</t>
  </si>
  <si>
    <t>Надходження дод. витрат ІБ00-000612 від 18.12.2024 18:00:26
Доп. расходы при поступлении товаров</t>
  </si>
  <si>
    <t>Надходження товарів і послуг ІБ00-006356 від 19.12.2024 12:14:15
Оприходованы ТМЦ</t>
  </si>
  <si>
    <t>Обл. НДС
Щебінь 20-40
Надходження товарів і послуг ІБ00-006356 від 19.12.2024 12:14:15
Цех екстракції (Глобине)</t>
  </si>
  <si>
    <t>Енергія Логістик ТОВ
№28/10-2024 ВІД 28/10/24_Глобине-2
Рахунок на оплату постачальника ІБ00-005171 від 19.12.2024 18:26:24</t>
  </si>
  <si>
    <t>Надходження дод. витрат ІБ00-000618 від 19.12.2024 18:26:25
Доп. расходы при поступлении товаров</t>
  </si>
  <si>
    <t>Надходження товарів і послуг ІБ00-006554 від 23.12.2024 12:00:00
Оприходованы ТМЦ</t>
  </si>
  <si>
    <t>Обл. НДС
Пісок з відсіву дроблення щебеню фр. 0-5мм.
Надходження товарів і послуг ІБ00-006554 від 23.12.2024 12:00:00
Цех екстракції (Глобине)</t>
  </si>
  <si>
    <t>Енергія Логістик ТОВ
№28/10-2024 ВІД 28/10/24_Глобине-2
Рахунок на оплату постачальника ІБ00-005301 від 23.12.2024 11:00:00</t>
  </si>
  <si>
    <t>Надходження товарів і послуг ІБ00-006403 від 23.12.2024 17:16:09
Оприходованы ТМЦ</t>
  </si>
  <si>
    <t>Обл. НДС
балка №30 (ІРЕ 300); S235/S275JR; L=12 м
Надходження товарів і послуг ІБ00-006403 від 23.12.2024 17:16:09
Цех екстракції (Глобине)</t>
  </si>
  <si>
    <t>АВ МЕТАЛ ГРУП ТОВ
Дог 2420/Р от 05.10.2023від 05.10.2023_Глобино-2
Рахунок на оплату постачальника ІБ00-005137 від 19.12.2024 18:26:00</t>
  </si>
  <si>
    <t>Обл. НДС
Лист г/к 20,0мм 2000*6000, S235JR
Надходження товарів і послуг ІБ00-006403 від 23.12.2024 17:16:09
Цех екстракції (Глобине)</t>
  </si>
  <si>
    <t>Надходження товарів і послуг ІБ00-006404 від 23.12.2024 17:16:10
Оприходованы ТМЦ</t>
  </si>
  <si>
    <t>Обл. НДС
Балка № 16 (ІПЕ 160); S235JR 12 м
Надходження товарів і послуг ІБ00-006404 від 23.12.2024 17:16:10
Цех екстракції (Глобине)</t>
  </si>
  <si>
    <t>Обл. НДС
Лист г/к  4,0 мм 1500х6000, S235JR
Надходження товарів і послуг ІБ00-006404 від 23.12.2024 17:16:10
Цех екстракції (Глобине)</t>
  </si>
  <si>
    <t>Обл. НДС
Лист г/к 8,0 мм 1500х6000, S235 JR 
Надходження товарів і послуг ІБ00-006404 від 23.12.2024 17:16:10
Цех екстракції (Глобине)</t>
  </si>
  <si>
    <t>Обл. НДС
Лист г/к 12,0 мм 1500х6000, S235JR
Надходження товарів і послуг ІБ00-006404 від 23.12.2024 17:16:10
Цех екстракції (Глобине)</t>
  </si>
  <si>
    <t>Обл. НДС
Лист г/к 14,0 мм 1500х6000, S235JR (7208519800)
Надходження товарів і послуг ІБ00-006404 від 23.12.2024 17:16:10
Цех екстракції (Глобине)</t>
  </si>
  <si>
    <t>Обл. НДС
Лист г/к 16,0 мм 1500х6000, S235JR
Надходження товарів і послуг ІБ00-006404 від 23.12.2024 17:16:10
Цех екстракції (Глобине)</t>
  </si>
  <si>
    <t>Обл. НДС
Лист г/к 16,0 мм 1500х6000, S355J2С+N 
Надходження товарів і послуг ІБ00-006404 від 23.12.2024 17:16:10
Цех екстракції (Глобине)</t>
  </si>
  <si>
    <t>Обл. НДС
Лист г/к 30,0 мм 2000х6000, S235JR
Надходження товарів і послуг ІБ00-006404 від 23.12.2024 17:16:10
Цех екстракції (Глобине)</t>
  </si>
  <si>
    <t>Обл. НДС
Труба профільна 80х80 мм 4,0 мм, 12 м
Надходження товарів і послуг ІБ00-006404 від 23.12.2024 17:16:10
Цех екстракції (Глобине)</t>
  </si>
  <si>
    <t>Обл. НДС
Труба профільна100х100 мм 5,0 мм, 12 м
Надходження товарів і послуг ІБ00-006404 від 23.12.2024 17:16:10
Цех екстракції (Глобине)</t>
  </si>
  <si>
    <t>Обл. НДС
Швелер 16П міра  12,00 м
Надходження товарів і послуг ІБ00-006404 від 23.12.2024 17:16:10
Цех екстракції (Глобине)</t>
  </si>
  <si>
    <t>Обл. НДС
Швелер 20П міра 12,00 м 
Надходження товарів і послуг ІБ00-006404 від 23.12.2024 17:16:10
Цех екстракції (Глобине)</t>
  </si>
  <si>
    <t>Обл. НДС
Швелер 24П міра 12,00 м 
Надходження товарів і послуг ІБ00-006404 від 23.12.2024 17:16:10
Цех екстракції (Глобине)</t>
  </si>
  <si>
    <t>Обл. НДС
Швелер 30П міра 12,00 м 
Надходження товарів і послуг ІБ00-006404 від 23.12.2024 17:16:10
Цех екстракції (Глобине)</t>
  </si>
  <si>
    <t>Надходження товарів і послуг ІБ00-006418 від 23.12.2024 17:16:18
Оприходованы ТМЦ</t>
  </si>
  <si>
    <t>Обл. НДС
Болт М12*50 8,8 цб ЧР 
Надходження товарів і послуг ІБ00-006418 від 23.12.2024 17:16:18
Цех екстракції (Глобине)</t>
  </si>
  <si>
    <t>Солді і Ко ПАТ
Дог № 378542-55/19 від 21.01.2019 р. РАХ_Глобине-2
Рахунок на оплату постачальника ІБ00-005204 від 09.12.2024 18:22:20</t>
  </si>
  <si>
    <t>Обл. НДС
Болт М16*55 8,8 цб пр 
Надходження товарів і послуг ІБ00-006418 від 23.12.2024 17:16:18
Цех екстракції (Глобине)</t>
  </si>
  <si>
    <t>Обл. НДС
Болт М16*55 8,8 цб ЧР 
Надходження товарів і послуг ІБ00-006418 від 23.12.2024 17:16:18
Цех екстракції (Глобине)</t>
  </si>
  <si>
    <t>Обл. НДС
Болт М16*60 8,8 цб ЧР 
Надходження товарів і послуг ІБ00-006418 від 23.12.2024 17:16:18
Цех екстракції (Глобине)</t>
  </si>
  <si>
    <t>Обл. НДС
Болт М16*65 8,8 цб ЧР 
Надходження товарів і послуг ІБ00-006418 від 23.12.2024 17:16:18
Цех екстракції (Глобине)</t>
  </si>
  <si>
    <t>Обл. НДС
Болт М20*60 8,8 цб пр 
Надходження товарів і послуг ІБ00-006418 від 23.12.2024 17:16:18
Цех екстракції (Глобине)</t>
  </si>
  <si>
    <t>Обл. НДС
Болт М20*65 8,8 цб ЧР 
Надходження товарів і послуг ІБ00-006418 від 23.12.2024 17:16:18
Цех екстракції (Глобине)</t>
  </si>
  <si>
    <t>Обл. НДС
Болт М20*70 8,8 цб ЧР 
Надходження товарів і послуг ІБ00-006418 від 23.12.2024 17:16:18
Цех екстракції (Глобине)</t>
  </si>
  <si>
    <t>Обл. НДС
Болт М20-85 8,8 цб ЧР 
Надходження товарів і послуг ІБ00-006418 від 23.12.2024 17:16:18
Цех екстракції (Глобине)</t>
  </si>
  <si>
    <t>Обл. НДС
Гайка М12 8 цб  S18 до кл.м.8.8
Надходження товарів і послуг ІБ00-006418 від 23.12.2024 17:16:18
Цех екстракції (Глобине)</t>
  </si>
  <si>
    <t>Обл. НДС
Гайка М16 8 цб до кл.м.8.8
Надходження товарів і послуг ІБ00-006418 від 23.12.2024 17:16:18
Цех екстракції (Глобине)</t>
  </si>
  <si>
    <t>Обл. НДС
Гайка М20 8 цб до кл.м.8.8
Надходження товарів і послуг ІБ00-006418 від 23.12.2024 17:16:18
Цех екстракції (Глобине)</t>
  </si>
  <si>
    <t>Обл. НДС
Шайба 12 цб 140 HVдо кл.м.4.6-8.8
Надходження товарів і послуг ІБ00-006418 від 23.12.2024 17:16:18
Цех екстракції (Глобине)</t>
  </si>
  <si>
    <t>Обл. НДС
Шайба 16 цб 140HV до кл.м.4.6-8.8
Надходження товарів і послуг ІБ00-006418 від 23.12.2024 17:16:18
Цех екстракції (Глобине)</t>
  </si>
  <si>
    <t>Обл. НДС
Шайба 20 цб 140HV до кл.м.4.6-8.8
Надходження товарів і послуг ІБ00-006418 від 23.12.2024 17:16:18
Цех екстракції (Глобине)</t>
  </si>
  <si>
    <t>Обл. НДС
Стрижень М 12 8.8 1м цб 
Надходження товарів і послуг ІБ00-006418 від 23.12.2024 17:16:18
Цех екстракції (Глобине)</t>
  </si>
  <si>
    <t>Обл. НДС
Болт М24*100 HV БП VARVIT
Надходження товарів і послуг ІБ00-006418 від 23.12.2024 17:16:18
Цех екстракції (Глобине)</t>
  </si>
  <si>
    <t>Обл. НДС
Гайка М24 HV БП VARVIT
Надходження товарів і послуг ІБ00-006418 від 23.12.2024 17:16:18
Цех екстракції (Глобине)</t>
  </si>
  <si>
    <t>Обл. НДС
Шайба М24  БП VARVIT 300HV
Надходження товарів і послуг ІБ00-006418 від 23.12.2024 17:16:18
Цех екстракції (Глобине)</t>
  </si>
  <si>
    <t>Обл. НДС
Болт М24*120 HV БП Fram
Надходження товарів і послуг ІБ00-006418 від 23.12.2024 17:16:18
Цех екстракції (Глобине)</t>
  </si>
  <si>
    <t>Обл. НДС
Гайка М24 HV БП Fram
Надходження товарів і послуг ІБ00-006418 від 23.12.2024 17:16:18
Цех екстракції (Глобине)</t>
  </si>
  <si>
    <t>Обл. НДС
Шайба М24 БП Fram 300HV
Надходження товарів і послуг ІБ00-006418 від 23.12.2024 17:16:18
Цех екстракції (Глобине)</t>
  </si>
  <si>
    <t>Вимога-накладна ІБ00-000684 від 23.12.2024 18:01:06
Списаны ТМЦ</t>
  </si>
  <si>
    <t>Надходження товарів і послуг ІБ00-006547 від 24.12.2024 12:00:00
Оприходованы ТМЦ</t>
  </si>
  <si>
    <t>Обл. НДС
Пісок з відсіву дроблення щебеню фр. 0-5мм.
Надходження товарів і послуг ІБ00-006547 від 24.12.2024 12:00:00
Цех екстракції (Глобине)</t>
  </si>
  <si>
    <t>Енергія Логістик ТОВ
№28/10-2024 ВІД 28/10/24_Глобине-2
Рахунок на оплату постачальника ІБ00-005299 від 24.12.2024 11:00:00</t>
  </si>
  <si>
    <t>25.12.2024</t>
  </si>
  <si>
    <t>Надходження товарів і послуг ІБ00-006546 від 25.12.2024 12:00:00
Оприходованы ТМЦ</t>
  </si>
  <si>
    <t>Обл. НДС
Щебінь 20-40
Надходження товарів і послуг ІБ00-006546 від 25.12.2024 12:00:00
Цех екстракції (Глобине)</t>
  </si>
  <si>
    <t>Енергія Логістик ТОВ
№28/10-2024 ВІД 28/10/24_Глобине-2
Рахунок на оплату постачальника ІБ00-005298 від 25.12.2024 11:00:00</t>
  </si>
  <si>
    <t>27.12.2024</t>
  </si>
  <si>
    <t>Надходження товарів і послуг ІБ00-006502 від 27.12.2024 12:00:00
Оприходованы ТМЦ</t>
  </si>
  <si>
    <t>Обл. НДС
Труба профільна 80*80 мм 4,0 мм,12 м
Надходження товарів і послуг ІБ00-006502 від 27.12.2024 12:00:00
Цех екстракції (Глобине)</t>
  </si>
  <si>
    <t>АВ МЕТАЛ ГРУП ТОВ
Дог 2420/Р от 05.10.2023від 05.10.2023_Глобино-2
Рахунок на оплату постачальника ІБ00-005221 від 26.12.2024 16:24:26</t>
  </si>
  <si>
    <t>Обл. НДС
Швелер № 22 П міра 12,00 м
Надходження товарів і послуг ІБ00-006502 від 27.12.2024 12:00:00
Цех екстракції (Глобине)</t>
  </si>
  <si>
    <t>Обл. НДС
Швелер № 24 П міра 12,00 м
Надходження товарів і послуг ІБ00-006502 від 27.12.2024 12:00:00
Цех екстракції (Глобине)</t>
  </si>
  <si>
    <t>Надходження товарів і послуг ІБ00-006500 від 30.12.2024 12:00:00
Оприходованы ТМЦ</t>
  </si>
  <si>
    <t>Обл. НДС
Балка 16  (IPE160) S275 JR, 12м 
Надходження товарів і послуг ІБ00-006500 від 30.12.2024 12:00:00
Цех екстракції (Глобине)</t>
  </si>
  <si>
    <t>АВ МЕТАЛ ГРУП ТОВ
Дог 2420/Р от 05.10.2023від 05.10.2023_Глобино-2
Рахунок на оплату постачальника ІБ00-005225 від 26.12.2024 16:47:01</t>
  </si>
  <si>
    <t>Обл. НДС
Балка 30 (ІРЕ 300) S275 JR, 12 м
Надходження товарів і послуг ІБ00-006500 від 30.12.2024 12:00:00
Цех екстракції (Глобине)</t>
  </si>
  <si>
    <t>Обл. НДС
Кутник 75*75 мм  6,0 мм, S235 JR 12 м
Надходження товарів і послуг ІБ00-006500 від 30.12.2024 12:00:00
Цех екстракції (Глобине)</t>
  </si>
  <si>
    <t>Обл. НДС
Лист г/к 20,0 мм 2000*6000, S235 JR
Надходження товарів і послуг ІБ00-006500 від 30.12.2024 12:00:00
Цех екстракції (Глобине)</t>
  </si>
  <si>
    <t>Обл. НДС
Лист г/к 30,0 мм 1500*6000, S235 JR
Надходження товарів і послуг ІБ00-006500 від 30.12.2024 12:00:00
Цех екстракції (Глобине)</t>
  </si>
  <si>
    <t>Обл. НДС
Швелер 16П  S275JR,12 м
Надходження товарів і послуг ІБ00-006500 від 30.12.2024 12:00:00
Цех екстракції (Глобине)</t>
  </si>
  <si>
    <t>Обл. НДС
Швелер 20П  S275JR,12 м
Надходження товарів і послуг ІБ00-006500 від 30.12.2024 12:00:00
Цех екстракції (Глобине)</t>
  </si>
  <si>
    <t>Надходження товарів і послуг ІБ00-006501 від 30.12.2024 12:00:00
Оприходованы ТМЦ</t>
  </si>
  <si>
    <t>Обл. НДС
Лист г/к 20,0 мм 2000*6000, S235 JR
Надходження товарів і послуг ІБ00-006501 від 30.12.2024 12:00:00
Цех екстракції (Глобине)</t>
  </si>
  <si>
    <t>Надходження товарів і послуг ІБ00-006503 від 30.12.2024 12:00:00
Оприходованы ТМЦ</t>
  </si>
  <si>
    <t>Обл. НДС
Лист г/к 4,0 мм 1500*6000, S235 JR
Надходження товарів і послуг ІБ00-006503 від 30.12.2024 12:00:00
Цех екстракції (Глобине)</t>
  </si>
  <si>
    <t>Обл. НДС
Лист г/к 8,0 мм 1500х6000, S235 JR 
Надходження товарів і послуг ІБ00-006503 від 30.12.2024 12:00:00
Цех екстракції (Глобине)</t>
  </si>
  <si>
    <t>Обл. НДС
Лист г/к 10,0 мм 1500*6000, S235 JR
Надходження товарів і послуг ІБ00-006503 від 30.12.2024 12:00:00
Цех екстракції (Глобине)</t>
  </si>
  <si>
    <t>Обл. НДС
Лист г/к 12,0 мм 1500*6000, S235 JR
Надходження товарів і послуг ІБ00-006503 від 30.12.2024 12:00:00
Цех екстракції (Глобине)</t>
  </si>
  <si>
    <t>Обл. НДС
Лист г/к 14,0 мм 1500*6000, S235 JR
Надходження товарів і послуг ІБ00-006503 від 30.12.2024 12:00:00
Цех екстракції (Глобине)</t>
  </si>
  <si>
    <t>Обл. НДС
Лист г/к 16,0 мм 1500*6000, S235 JR
Надходження товарів і послуг ІБ00-006503 від 30.12.2024 12:00:00
Цех екстракції (Глобине)</t>
  </si>
  <si>
    <t>Обл. НДС
Труба ДСТУ 8943 159 мм 6,0 S235 JRH, 12 м
Надходження товарів і послуг ІБ00-006503 від 30.12.2024 12:00:00
Цех екстракції (Глобине)</t>
  </si>
  <si>
    <t>Обл. НДС
Труба профільна 160*160  мм 5 мм, S235JR, 12 м
Надходження товарів і послуг ІБ00-006503 від 30.12.2024 12:00:00
Цех екстракції (Глобине)</t>
  </si>
  <si>
    <t>Надходження товарів і послуг ІБ00-006504 від 30.12.2024 12:00:00
Оприходованы ТМЦ</t>
  </si>
  <si>
    <t>Обл. НДС
Балка 20 ІРЕ200 12м S275JR
Надходження товарів і послуг ІБ00-006504 від 30.12.2024 12:00:00
Цех екстракції (Глобине)</t>
  </si>
  <si>
    <t>АВ МЕТАЛ ГРУП ТОВ
Дог 2420/Р от 05.10.2023від 05.10.2023_Глобино-2
Рахунок на оплату постачальника ІБ00-005292 від 20.12.2024 12:00:00</t>
  </si>
  <si>
    <t>Вимога-накладна ІБ00-000685 від 30.12.2024 19:00:00
Списаны ТМЦ</t>
  </si>
  <si>
    <t>Вимога-накладна ІБ00-000686 від 30.12.2024 19:00:03
Списаны ТМЦ</t>
  </si>
  <si>
    <t>Вимога-накладна ІБ00-000687 від 30.12.2024 19:00:06
Списаны ТМЦ</t>
  </si>
  <si>
    <t>Вимога-накладна ІБ00-000697 від 30.12.2024 20:00:00
Списаны ТМЦ</t>
  </si>
  <si>
    <t>Вимога-накладна ІБ00-000712 від 30.12.2024 22:10:00
Списаны ТМЦ</t>
  </si>
  <si>
    <t>Вимога-накладна ІБ00-000713 від 30.12.2024 22:10:05
Списаны ТМЦ</t>
  </si>
  <si>
    <t>Вимога-накладна ІБ00-000721 від 30.12.2024 22:15:00
Списаны ТМЦ</t>
  </si>
  <si>
    <t>Вимога-накладна ІБ00-000722 від 30.12.2024 23:16:00
Списаны ТМЦ</t>
  </si>
  <si>
    <t>Вимога-накладна ІБ00-000723 від 30.12.2024 23:16:03
Списаны ТМЦ</t>
  </si>
  <si>
    <t>Вимога-накладна ІБ00-000724 від 30.12.2024 23:17:00
Списаны ТМЦ</t>
  </si>
  <si>
    <t>Вимога-накладна ІБ00-000727 від 30.12.2024 23:17:02
Списаны ТМЦ</t>
  </si>
  <si>
    <t>Вимога-накладна ІБ00-000728 від 30.12.2024 23:20:00
Списаны ТМЦ</t>
  </si>
  <si>
    <t>Вимога-накладна ІБ00-000729 від 30.12.2024 23:20:03
Списаны ТМЦ</t>
  </si>
  <si>
    <t>Вимога-накладна ІБ00-000733 від 30.12.2024 23:20:09
Списаны ТМЦ</t>
  </si>
  <si>
    <t>Вимога-накладна ІБ00-000732 від 30.12.2024 23:30:00
Списаны ТМЦ</t>
  </si>
  <si>
    <t>Вимога-накладна ІБ00-000696 від 30.12.2024 23:31:00
Списаны ТМЦ</t>
  </si>
  <si>
    <t>Надходження товарів і послуг ІБ00-005198 від 01.10.2024 18:37:00
Оприходованы ТМЦ (Зачет аванса поставщику)</t>
  </si>
  <si>
    <t>Обл. НДС
Труби ДСТУ  8936 ду 40 3,0 мм , 6м (7306)
Надходження товарів і послуг ІБ00-005198 від 01.10.2024 18:37:00
Цех_Глобино</t>
  </si>
  <si>
    <t>АВ МЕТАЛ ГРУП ТОВ
№6234/Р от 05.09.2024_Глобине-2
Рахунок на оплату постачальника ІБ00-003598 від 19.09.2024 18:10:31</t>
  </si>
  <si>
    <t>Надходження товарів і послуг ІБ00-005186 від 23.10.2024 18:16:23
Оприходованы ТМЦ</t>
  </si>
  <si>
    <t>Обл. НДС
Лист 4 (г.к)  (1,5х6) ((1,5*6,0) 14637 3сп5)
Надходження товарів і послуг ІБ00-005186 від 23.10.2024 18:16:23
Цех_Глобино</t>
  </si>
  <si>
    <t>МЕТАЛ ХОЛДІНГ ТРЕЙД ТОВ
Дог поставки № 1506/21 від 15.06.2021 р.Глобино-2
Надходження товарів і послуг ІБ00-005186 від 23.10.2024 18:16:23</t>
  </si>
  <si>
    <t>Обл. НДС
Лист 8 (г.к)  (1,5х6) ((1,5*6,0) 14637 3сп5)
Надходження товарів і послуг ІБ00-005186 від 23.10.2024 18:16:23
Цех_Глобино</t>
  </si>
  <si>
    <t>Обл. НДС
Лист 14 (г.к.) (1,5х6) imp ((1,5*6,0) S235JR)
Надходження товарів і послуг ІБ00-005186 від 23.10.2024 18:16:23
Цех_Глобино</t>
  </si>
  <si>
    <t>Обл. НДС
Лист 30 С255 
Надходження товарів і послуг ІБ00-005186 від 23.10.2024 18:16:23
Цех_Глобино</t>
  </si>
  <si>
    <t>Обл. НДС
Лист г/к 40*1500*6000, S355JR
Надходження товарів і послуг ІБ00-005186 від 23.10.2024 18:16:23
Цех_Глобино</t>
  </si>
  <si>
    <t>Обл. НДС
Лист г/к 10 мм, 1500*6000, S355 J2
Надходження товарів і послуг ІБ00-005186 від 23.10.2024 18:16:23
Цех_Глобино</t>
  </si>
  <si>
    <t>Обл. НДС
Лист г/к 20*1500*6000, S355J2
Надходження товарів і послуг ІБ00-005186 від 23.10.2024 18:16:23
Цех_Глобино</t>
  </si>
  <si>
    <t>Обл. НДС
Лист г/к 30, S355J2
Надходження товарів і послуг ІБ00-005186 від 23.10.2024 18:16:23
Цех_Глобино</t>
  </si>
  <si>
    <t>Обл. НДС
Лист г/к 10 мм, ст.3ПС/СП 2,0х6,0 м
Надходження товарів і послуг ІБ00-005186 від 23.10.2024 18:16:23
Цех_Глобино</t>
  </si>
  <si>
    <t>Обл. НДС
Лист г/к 20*2000*6000 мм
Надходження товарів і послуг ІБ00-005186 від 23.10.2024 18:16:23
Цех_Глобино</t>
  </si>
  <si>
    <t>Обл. НДС
Лист г/к 10 мм, 1500*6000, S235 JR
Надходження товарів і послуг ІБ00-005186 від 23.10.2024 18:16:23
Цех_Глобино</t>
  </si>
  <si>
    <t>Обл. НДС
Лист г/к 10*2000*6000, 1-3пс/сп 5 кат.
Надходження товарів і послуг ІБ00-005186 від 23.10.2024 18:16:23
Цех_Глобино</t>
  </si>
  <si>
    <t>25.10.2024</t>
  </si>
  <si>
    <t>Надходження товарів і послуг ІБ00-005244 від 25.10.2024 18:28:01
Оприходованы ТМЦ</t>
  </si>
  <si>
    <t>Обл. НДС
Лист 16 (г.к)  (1,5х6) imp ((1,5*6,0) S235JR)
Надходження товарів і послуг ІБ00-005244 від 25.10.2024 18:28:01
Цех_Глобино</t>
  </si>
  <si>
    <t>МЕТАЛ ХОЛДІНГ ТРЕЙД ТОВ
Дог поставки № 1506/21 від 15.06.2021 р.Глобино-2
Надходження товарів і послуг ІБ00-005244 від 25.10.2024 18:28:01</t>
  </si>
  <si>
    <t>Надходження дод. витрат ІБ00-000463 від 28.10.2024 00:00:00
Доп. расходы при поступлении товаров</t>
  </si>
  <si>
    <t>Обл. НДС
Швелер 18П  (180 12,05 8240 3пс5)
Надходження товарів і послуг ІБ00-005428 від 28.10.2024 17:55:34
Цех_Глобино</t>
  </si>
  <si>
    <t>МЕТАЛ ХОЛДІНГ ТРЕЙД ТОВ
Дог поставки № 1506/21 від 15.06.2021 р.Глобино-2
Надходження дод. витрат ІБ00-000463 від 28.10.2024 00:00:00</t>
  </si>
  <si>
    <t>Обл. НДС
Швелер 24П ст.3сп/пс 5, 12 м
Надходження товарів і послуг ІБ00-005428 від 28.10.2024 17:55:34
Цех_Глобино</t>
  </si>
  <si>
    <t>Обл. НДС
Балка 16 IPE160 12м S275JR
Надходження товарів і послуг ІБ00-005428 від 28.10.2024 17:55:34
Цех_Глобино</t>
  </si>
  <si>
    <t>Обл. НДС
Лист 3 (рифл) ((1,0*6,0) 8568-77 3пс)
Надходження товарів і послуг ІБ00-005428 від 28.10.2024 17:55:34
Цех_Глобино</t>
  </si>
  <si>
    <t>Обл. НДС
Лист рифлений г/к 5*1250*6000 
Надходження товарів і послуг ІБ00-005428 від 28.10.2024 17:55:34
Цех_Глобино</t>
  </si>
  <si>
    <t>Обл. НДС
Лист г/к 10 мм, 1500*6000, S235 JR
Надходження товарів і послуг ІБ00-005428 від 28.10.2024 17:55:34
Цех_Глобино</t>
  </si>
  <si>
    <t>Надходження товарів і послуг ІБ00-005292 від 28.10.2024 17:55:04
Оприходованы ТМЦ</t>
  </si>
  <si>
    <t>Обл. НДС
Труба 80х80х4 (12,05- 8940:2019 08кп/1-3пс)
Надходження товарів і послуг ІБ00-005292 від 28.10.2024 17:55:04
Цех_Глобино</t>
  </si>
  <si>
    <t>МЕТАЛ ХОЛДІНГ ТРЕЙД ТОВ
Дог поставки № 1506/21 від 15.06.2021 р.Глобино-2
Надходження товарів і послуг ІБ00-005292 від 28.10.2024 17:55:04</t>
  </si>
  <si>
    <t>Обл. НДС
труба 100*100*4,0мм 12м
Надходження товарів і послуг ІБ00-005292 від 28.10.2024 17:55:04
Цех_Глобино</t>
  </si>
  <si>
    <t>Обл. НДС
Лист 16 (г.к)  (1,5х6) imp ((1,5*6,0) S235JR)
Надходження товарів і послуг ІБ00-005292 від 28.10.2024 17:55:04
Цех_Глобино</t>
  </si>
  <si>
    <t>Надходження товарів і послуг ІБ00-005428 від 28.10.2024 17:55:34
Оприходованы ТМЦ</t>
  </si>
  <si>
    <t>МЕТАЛ ХОЛДІНГ ТРЕЙД ТОВ
Дог поставки № 1506/21 від 15.06.2021 р.Глобино-2
Надходження товарів і послуг ІБ00-005428 від 28.10.2024 17:55:34</t>
  </si>
  <si>
    <t>Надходження товарів і послуг ІБ00-005324 від 30.10.2024 16:40:21
Оприходованы ТМЦ</t>
  </si>
  <si>
    <t>Обл. НДС
Балка 30
Надходження товарів і послуг ІБ00-005324 від 30.10.2024 16:40:21
Цех_Глобино</t>
  </si>
  <si>
    <t>МЕТАЛ ХОЛДІНГ ТРЕЙД ТОВ
Дог поставки № 1506/21 від 15.06.2021 р.Глобино-2
Надходження товарів і послуг ІБ00-005324 від 30.10.2024 16:40:21</t>
  </si>
  <si>
    <t>Надходження товарів і послуг ІБ00-005357 від 31.10.2024 10:00:00
Оприходованы ТМЦ</t>
  </si>
  <si>
    <t>Обл. НДС
Кутник 50х50х5
Надходження товарів і послуг ІБ00-005357 від 31.10.2024 10:00:00
Цех_Глобино</t>
  </si>
  <si>
    <t>МЕТАЛ ХОЛДІНГ ТРЕЙД ТОВ
Дог поставки № 1506/21 від 15.06.2021 р.Глобино-2
Надходження товарів і послуг ІБ00-005357 від 31.10.2024 10:00:00</t>
  </si>
  <si>
    <t>Обл. НДС
Балка 20
Надходження товарів і послуг ІБ00-005357 від 31.10.2024 10:00:00
Цех_Глобино</t>
  </si>
  <si>
    <t>Обл. НДС
Балка №36
Надходження товарів і послуг ІБ00-005357 від 31.10.2024 10:00:00
Цех_Глобино</t>
  </si>
  <si>
    <t>Обл. НДС
Кутник 75х75х6 (12,05 8509 3пс)
Надходження товарів і послуг ІБ00-005357 від 31.10.2024 10:00:00
Цех_Глобино</t>
  </si>
  <si>
    <t>Обл. НДС
Лист 16 (г.к)  (1,5х6) imp ((1,5*6,0) S235JR)
Надходження товарів і послуг ІБ00-005357 від 31.10.2024 10:00:00
Цех_Глобино</t>
  </si>
  <si>
    <t>Обл. НДС
Труба 40х20х2
Надходження товарів і послуг ІБ00-005357 від 31.10.2024 10:00:00
Цех_Глобино</t>
  </si>
  <si>
    <t>Обл. НДС
Труба 40*40*3 мм ст.1-3пс, 6 м
Надходження товарів і послуг ІБ00-005357 від 31.10.2024 10:00:00
Цех_Глобино</t>
  </si>
  <si>
    <t>Обл. НДС
Труба 60х60х3 мм; ст. 1-3пс; 6 м
Надходження товарів і послуг ІБ00-005357 від 31.10.2024 10:00:00
Цех_Глобино</t>
  </si>
  <si>
    <t>Надходження товарів і послуг ІБ00-005383 від 01.11.2024 19:55:33
Оприходованы ТМЦ</t>
  </si>
  <si>
    <t>Обл. НДС
Лист 14 (г.к.) (1,5х6) imp ((1,5*6,0) S235JR)
Надходження товарів і послуг ІБ00-005383 від 01.11.2024 19:55:33
Цех_Глобино</t>
  </si>
  <si>
    <t>МЕТАЛ ХОЛДІНГ ТРЕЙД ТОВ
Дог поставки № 1506/21 від 15.06.2021 р.Глобино-2
Надходження товарів і послуг ІБ00-005383 від 01.11.2024 19:55:33</t>
  </si>
  <si>
    <t>Надходження товарів і послуг ІБ00-005450 від 05.11.2024 10:00:00
Оприходованы ТМЦ</t>
  </si>
  <si>
    <t>Обл. НДС
Лист 3 (рифл) ((1,0*6,0) 8568-77 3пс)
Надходження товарів і послуг ІБ00-005450 від 05.11.2024 10:00:00
Цех_Глобино</t>
  </si>
  <si>
    <t>МЕТАЛ ХОЛДІНГ ТРЕЙД ТОВ
Дог поставки № 1506/21 від 15.06.2021 р.Глобино-2
Надходження товарів і послуг ІБ00-005450 від 05.11.2024 10:00:00</t>
  </si>
  <si>
    <t>Обл. НДС
Кутник 75х75х6 (12,05 8509 3пс)
Надходження товарів і послуг ІБ00-005450 від 05.11.2024 10:00:00
Цех_Глобино</t>
  </si>
  <si>
    <t>Надходження товарів і послуг ІБ00-005449 від 05.11.2024 17:28:01
Оприходованы ТМЦ</t>
  </si>
  <si>
    <t>Обл. НДС
Балка 30
Надходження товарів і послуг ІБ00-005449 від 05.11.2024 17:28:01
Цех_Глобино</t>
  </si>
  <si>
    <t>МЕТАЛ ХОЛДІНГ ТРЕЙД ТОВ
Дог поставки № 1506/21 від 15.06.2021 р.Глобино-2
Надходження товарів і послуг ІБ00-005449 від 05.11.2024 17:28:01</t>
  </si>
  <si>
    <t>Обл. НДС
Швелер 16У (160 12,05- 8240 3пс)
Надходження товарів і послуг ІБ00-005449 від 05.11.2024 17:28:01
Цех_Глобино</t>
  </si>
  <si>
    <t>Обл. НДС
Круг 18 (6,05 3760 3пс/А240с)
Надходження товарів і послуг ІБ00-005449 від 05.11.2024 17:28:01
Цех_Глобино</t>
  </si>
  <si>
    <t>Обл. НДС
Швелер 18П  (180 12,05 8240 3пс5)
Надходження товарів і послуг ІБ00-005449 від 05.11.2024 17:28:01
Цех_Глобино</t>
  </si>
  <si>
    <t>Надходження товарів і послуг ІБ00-006117 від 02.12.2024 18:39:25
Оприходованы ТМЦ</t>
  </si>
  <si>
    <t>Обл. НДС
Грунт ГФ-021 червоно-коричневий
Надходження товарів і послуг ІБ00-006117 від 02.12.2024 18:39:25
Цех_Глобино</t>
  </si>
  <si>
    <t>ТСПЛ ТОВ
Договір поставки № 26/04-21 від 26.04.2021 р._Глоб
Надходження товарів і послуг ІБ00-006117 від 02.12.2024 18:39:25</t>
  </si>
  <si>
    <t>Обл. НДС
Грунт-емаль ПФ-012 Р сірий (кг)
Надходження товарів і послуг ІБ00-006117 від 02.12.2024 18:39:25
Цех_Глобино</t>
  </si>
  <si>
    <t>Вимога-накладна ІБ00-000667 від 02.12.2024 23:00:00
Списаны ТМЦ</t>
  </si>
  <si>
    <t>Обл. НДС
Виробничий (Глобине-2)
Цех Глобино
Прямі матеріальні виробничі витрати крім зворотних відходів</t>
  </si>
  <si>
    <t>Надходження товарів і послуг ІБ00-005963 від 03.12.2024 16:07:22
Оприходованы ТМЦ</t>
  </si>
  <si>
    <t>Обл. НДС
Кутник 50х50х5
Надходження товарів і послуг ІБ00-005963 від 03.12.2024 16:07:22
Цех_Глобино</t>
  </si>
  <si>
    <t>МЕТАЛ ХОЛДІНГ ТРЕЙД ТОВ
Дог поставки № 1506/21 від 15.06.2021 р.Глобино-2
Надходження товарів і послуг ІБ00-005963 від 03.12.2024 16:07:22</t>
  </si>
  <si>
    <t>Обл. НДС
Швелер 18П  (180 12,05 8240 3пс5)
Надходження товарів і послуг ІБ00-005963 від 03.12.2024 16:07:22
Цех_Глобино</t>
  </si>
  <si>
    <t>Обл. НДС
Круг 18 (6,05 3760 3пс/А240с)
Надходження товарів і послуг ІБ00-005963 від 03.12.2024 16:07:22
Цех_Глобино</t>
  </si>
  <si>
    <t>Обл. НДС
Труба 80х80х4 (12,05- 8940:2019 08кп/1-3пс)
Надходження товарів і послуг ІБ00-005963 від 03.12.2024 16:07:22
Цех_Глобино</t>
  </si>
  <si>
    <t>Обл. НДС
Кутник 75х75х6 (12,05 8509 3пс)
Надходження товарів і послуг ІБ00-005963 від 03.12.2024 16:07:22
Цех_Глобино</t>
  </si>
  <si>
    <t>Обл. НДС
Лист г/к 20*2000*6000 мм
Надходження товарів і послуг ІБ00-005963 від 03.12.2024 16:07:22
Цех_Глобино</t>
  </si>
  <si>
    <t>Обл. НДС
Лист г/к 30, S355J2
Надходження товарів і послуг ІБ00-005963 від 03.12.2024 16:07:22
Цех_Глобино</t>
  </si>
  <si>
    <t>Обл. НДС
Лист г/к 10*2000*6000, 1-3пс/сп 5 кат.
Надходження товарів і послуг ІБ00-005963 від 03.12.2024 16:07:22
Цех_Глобино</t>
  </si>
  <si>
    <t>Вимога-накладна ІБ00-000669 від 06.12.2024 20:41:52
Списаны ТМЦ</t>
  </si>
  <si>
    <t>Надходження товарів і послуг ІБ00-006155 від 11.12.2024 21:00:00
Оприходованы ТМЦ</t>
  </si>
  <si>
    <t>Обл. НДС
Балка 30
Надходження товарів і послуг ІБ00-006155 від 11.12.2024 21:00:00
Цех_Глобино</t>
  </si>
  <si>
    <t>МЕТАЛ ХОЛДІНГ ТРЕЙД ТОВ
Дог поставки № 1506/21 від 15.06.2021 р.Глобино-2
Надходження товарів і послуг ІБ00-006155 від 11.12.2024 21:00:00</t>
  </si>
  <si>
    <t>Обл. НДС
Лист 3 (рифл) ((1,0*6,0) 8568-77 3пс)
Надходження товарів і послуг ІБ00-006155 від 11.12.2024 21:00:00
Цех_Глобино</t>
  </si>
  <si>
    <t>15.12.2024</t>
  </si>
  <si>
    <t>Вимога-накладна ІБ00-000672 від 15.12.2024 23:00:02
Списаны ТМЦ</t>
  </si>
  <si>
    <t>Вимога-накладна ІБ00-000678 від 15.12.2024 23:00:09
Списаны ТМЦ</t>
  </si>
  <si>
    <t>Вимога-накладна ІБ00-000679 від 23.12.2024 17:16:03
Списаны ТМЦ</t>
  </si>
  <si>
    <t>Надходження товарів і послуг ІБ00-006577 від 30.12.2024 21:00:07
Оприходованы ТМЦ</t>
  </si>
  <si>
    <t>Обл. НДС
Кутник 50х50х5
Надходження товарів і послуг ІБ00-006577 від 30.12.2024 21:00:07
Цех_Глобино</t>
  </si>
  <si>
    <t>МЕТАЛ ХОЛДІНГ ТРЕЙД ТОВ
Дог поставки № 1506/21 від 15.06.2021 р.Глобино-2
Надходження товарів і послуг ІБ00-006577 від 30.12.2024 21:00:07</t>
  </si>
  <si>
    <t>Надходження товарів і послуг ІБ00-006577 від 30.12.2024 21:00:07
Оприходованы ТМЦ (Зачет аванса поставщику)</t>
  </si>
  <si>
    <t>МЕТАЛ ХОЛДІНГ ТРЕЙД ТОВ
Дог поставки № 1506/21 від 15.06.2021 р.Глобино-2
Списання з банківського рахунку 00000022521 від 24.12.2024 17:49:56</t>
  </si>
  <si>
    <t>Обл. НДС
Швелер № 14П; ст. 3пс5; 12 м
Надходження товарів і послуг ІБ00-006577 від 30.12.2024 21:00:07
Цех_Глобино</t>
  </si>
  <si>
    <t>Обл. НДС
Швелер 16У (160 12,05- 8240 3пс)
Надходження товарів і послуг ІБ00-006577 від 30.12.2024 21:00:07
Цех_Глобино</t>
  </si>
  <si>
    <t>Обл. НДС
Балка 20
Надходження товарів і послуг ІБ00-006577 від 30.12.2024 21:00:07
Цех_Глобино</t>
  </si>
  <si>
    <t>Обл. НДС
труба 140х140х4 мм; ст. 3пс5; 12 м
Надходження товарів і послуг ІБ00-006577 від 30.12.2024 21:00:07
Цех_Глобино</t>
  </si>
  <si>
    <t>Обл. НДС
Труба 80х80х4 (12,05- 8940:2019 08кп/1-3пс)
Надходження товарів і послуг ІБ00-006577 від 30.12.2024 21:00:07
Цех_Глобино</t>
  </si>
  <si>
    <t>Обл. НДС
труба 100х100х3 мм; ст. 1-3 пс; 12 м
Надходження товарів і послуг ІБ00-006577 від 30.12.2024 21:00:07
Цех_Глобино</t>
  </si>
  <si>
    <t>Обл. НДС
труба 100*100*4,0мм 12м
Надходження товарів і послуг ІБ00-006577 від 30.12.2024 21:00:07
Цех_Глобино</t>
  </si>
  <si>
    <t>Обл. НДС
Труба 40х20х2
Надходження товарів і послуг ІБ00-006577 від 30.12.2024 21:00:07
Цех_Глобино</t>
  </si>
  <si>
    <t>Обл. НДС
Труба 40*40*3 мм ст.1-3пс, 6 м
Надходження товарів і послуг ІБ00-006577 від 30.12.2024 21:00:07
Цех_Глобино</t>
  </si>
  <si>
    <t>Обл. НДС
Труба 50х30х3 (6,05- S235/S275)
Надходження товарів і послуг ІБ00-006577 від 30.12.2024 21:00:07
Цех_Глобино</t>
  </si>
  <si>
    <t>Обл. НДС
Труба 100х100х7 мм; ст. 3пс5; 12 м
Надходження товарів і послуг ІБ00-006577 від 30.12.2024 21:00:07
Цех_Глобино</t>
  </si>
  <si>
    <t>Обл. НДС
Лист 4 (г.к)  (1,5х6) ((1,5*6,0) 14637 3сп5)
Надходження товарів і послуг ІБ00-006577 від 30.12.2024 21:00:07
Цех_Глобино</t>
  </si>
  <si>
    <t>Обл. НДС
Лист 8 (г.к)  (1,5х6) ((1,5*6,0) 14637 3сп5)
Надходження товарів і послуг ІБ00-006577 від 30.12.2024 21:00:07
Цех_Глобино</t>
  </si>
  <si>
    <t>Обл. НДС
Лист г/к 20*1500*6000, S355J2
Надходження товарів і послуг ІБ00-006577 від 30.12.2024 21:00:07
Цех_Глобино</t>
  </si>
  <si>
    <t>Обл. НДС
Лист г/к 10*2000*6000, 1-3пс/сп 5 кат.
Надходження товарів і послуг ІБ00-006577 від 30.12.2024 21:00:07
Цех_Глобино</t>
  </si>
  <si>
    <t>Надходження дод. витрат ІБ00-000641 від 30.12.2024 21:00:08
Доп. расходы при поступлении товаров</t>
  </si>
  <si>
    <t>МЕТАЛ ХОЛДІНГ ТРЕЙД ТОВ
Дог поставки № 1506/21 від 15.06.2021 р.Глобино-2
Надходження дод. витрат ІБ00-000641 від 30.12.2024 21:00:08</t>
  </si>
  <si>
    <t>Вимога-накладна ІБ00-000704 від 30.12.2024 21:00:27
Списаны ТМЦ</t>
  </si>
  <si>
    <t>Склади Дорівнює "Цех_Глобино" и Склади.Найменування містить "гло"</t>
  </si>
  <si>
    <t>Списание, грн. без НДС</t>
  </si>
  <si>
    <t>Списание, грн. с НДС</t>
  </si>
  <si>
    <t>ВСЕГО</t>
  </si>
  <si>
    <t>ноябрь</t>
  </si>
  <si>
    <t>декабрь</t>
  </si>
  <si>
    <t>Октябрь 24</t>
  </si>
  <si>
    <t>Ноябрь 24</t>
  </si>
  <si>
    <t>Декабрь 24</t>
  </si>
  <si>
    <t>ГРН без НДС</t>
  </si>
  <si>
    <t>октябрь</t>
  </si>
  <si>
    <t>НП</t>
  </si>
  <si>
    <t>* ГРН С НДС</t>
  </si>
  <si>
    <t>* в отчете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</si>
</sst>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indexed="21"/>
      <name val="Arial"/>
      <family val="2"/>
      <charset val="204"/>
    </font>
    <font>
      <b/>
      <sz val="10"/>
      <color indexed="21"/>
      <name val="Arial"/>
      <family val="2"/>
      <charset val="204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7">
    <xf numFmtId="0" fontId="0" fillId="0" borderId="0" xfId="0"/>
    <xf numFmtId="0" fontId="2" fillId="0" borderId="2" xfId="0" applyFont="1" applyBorder="1"/>
    <xf numFmtId="0" fontId="0" fillId="0" borderId="2" xfId="0" applyBorder="1"/>
    <xf numFmtId="0" fontId="3" fillId="0" borderId="0" xfId="1" applyNumberFormat="1" applyFont="1" applyAlignment="1">
      <alignment wrapText="1"/>
    </xf>
    <xf numFmtId="0" fontId="1" fillId="0" borderId="0" xfId="1"/>
    <xf numFmtId="0" fontId="4" fillId="0" borderId="0" xfId="1" applyNumberFormat="1" applyFont="1" applyAlignment="1">
      <alignment wrapText="1"/>
    </xf>
    <xf numFmtId="0" fontId="5" fillId="0" borderId="0" xfId="1" applyNumberFormat="1" applyFont="1" applyAlignment="1">
      <alignment vertical="top" wrapText="1"/>
    </xf>
    <xf numFmtId="0" fontId="6" fillId="2" borderId="6" xfId="1" applyNumberFormat="1" applyFont="1" applyFill="1" applyBorder="1" applyAlignment="1">
      <alignment vertical="top"/>
    </xf>
    <xf numFmtId="0" fontId="6" fillId="2" borderId="10" xfId="1" applyNumberFormat="1" applyFont="1" applyFill="1" applyBorder="1" applyAlignment="1">
      <alignment vertical="top"/>
    </xf>
    <xf numFmtId="0" fontId="5" fillId="0" borderId="1" xfId="1" applyNumberFormat="1" applyFont="1" applyBorder="1" applyAlignment="1">
      <alignment vertical="top"/>
    </xf>
    <xf numFmtId="0" fontId="5" fillId="0" borderId="1" xfId="1" applyNumberFormat="1" applyFont="1" applyBorder="1" applyAlignment="1">
      <alignment vertical="top" wrapText="1"/>
    </xf>
    <xf numFmtId="0" fontId="5" fillId="0" borderId="1" xfId="1" applyNumberFormat="1" applyFont="1" applyBorder="1" applyAlignment="1">
      <alignment horizontal="left" vertical="top"/>
    </xf>
    <xf numFmtId="0" fontId="5" fillId="0" borderId="13" xfId="1" applyNumberFormat="1" applyFont="1" applyBorder="1" applyAlignment="1">
      <alignment horizontal="center" vertical="top"/>
    </xf>
    <xf numFmtId="4" fontId="5" fillId="0" borderId="14" xfId="1" applyNumberFormat="1" applyFont="1" applyBorder="1" applyAlignment="1">
      <alignment horizontal="right" vertical="top" wrapText="1"/>
    </xf>
    <xf numFmtId="0" fontId="7" fillId="2" borderId="13" xfId="1" applyNumberFormat="1" applyFont="1" applyFill="1" applyBorder="1" applyAlignment="1">
      <alignment horizontal="center" vertical="top"/>
    </xf>
    <xf numFmtId="4" fontId="7" fillId="2" borderId="14" xfId="1" applyNumberFormat="1" applyFont="1" applyFill="1" applyBorder="1" applyAlignment="1">
      <alignment horizontal="right" vertical="top" wrapText="1"/>
    </xf>
    <xf numFmtId="0" fontId="3" fillId="0" borderId="0" xfId="2" applyNumberFormat="1" applyFont="1" applyAlignment="1">
      <alignment wrapText="1"/>
    </xf>
    <xf numFmtId="0" fontId="1" fillId="0" borderId="0" xfId="2"/>
    <xf numFmtId="0" fontId="4" fillId="0" borderId="0" xfId="2" applyNumberFormat="1" applyFont="1" applyAlignment="1">
      <alignment wrapText="1"/>
    </xf>
    <xf numFmtId="0" fontId="5" fillId="0" borderId="0" xfId="2" applyNumberFormat="1" applyFont="1" applyAlignment="1">
      <alignment vertical="top" wrapText="1"/>
    </xf>
    <xf numFmtId="0" fontId="6" fillId="2" borderId="6" xfId="2" applyNumberFormat="1" applyFont="1" applyFill="1" applyBorder="1" applyAlignment="1">
      <alignment vertical="top"/>
    </xf>
    <xf numFmtId="0" fontId="6" fillId="2" borderId="10" xfId="2" applyNumberFormat="1" applyFont="1" applyFill="1" applyBorder="1" applyAlignment="1">
      <alignment vertical="top"/>
    </xf>
    <xf numFmtId="0" fontId="5" fillId="0" borderId="1" xfId="2" applyNumberFormat="1" applyFont="1" applyBorder="1" applyAlignment="1">
      <alignment vertical="top"/>
    </xf>
    <xf numFmtId="0" fontId="5" fillId="0" borderId="1" xfId="2" applyNumberFormat="1" applyFont="1" applyBorder="1" applyAlignment="1">
      <alignment vertical="top" wrapText="1"/>
    </xf>
    <xf numFmtId="0" fontId="5" fillId="0" borderId="1" xfId="2" applyNumberFormat="1" applyFont="1" applyBorder="1" applyAlignment="1">
      <alignment horizontal="left" vertical="top"/>
    </xf>
    <xf numFmtId="0" fontId="5" fillId="0" borderId="13" xfId="2" applyNumberFormat="1" applyFont="1" applyBorder="1" applyAlignment="1">
      <alignment horizontal="center" vertical="top"/>
    </xf>
    <xf numFmtId="4" fontId="5" fillId="0" borderId="14" xfId="2" applyNumberFormat="1" applyFont="1" applyBorder="1" applyAlignment="1">
      <alignment horizontal="right" vertical="top" wrapText="1"/>
    </xf>
    <xf numFmtId="0" fontId="7" fillId="2" borderId="13" xfId="2" applyNumberFormat="1" applyFont="1" applyFill="1" applyBorder="1" applyAlignment="1">
      <alignment horizontal="center" vertical="top"/>
    </xf>
    <xf numFmtId="4" fontId="7" fillId="2" borderId="14" xfId="2" applyNumberFormat="1" applyFont="1" applyFill="1" applyBorder="1" applyAlignment="1">
      <alignment horizontal="right" vertical="top" wrapText="1"/>
    </xf>
    <xf numFmtId="0" fontId="3" fillId="0" borderId="0" xfId="3" applyNumberFormat="1" applyFont="1" applyAlignment="1">
      <alignment wrapText="1"/>
    </xf>
    <xf numFmtId="0" fontId="1" fillId="0" borderId="0" xfId="3"/>
    <xf numFmtId="0" fontId="4" fillId="0" borderId="0" xfId="3" applyNumberFormat="1" applyFont="1" applyAlignment="1">
      <alignment wrapText="1"/>
    </xf>
    <xf numFmtId="0" fontId="5" fillId="0" borderId="0" xfId="3" applyNumberFormat="1" applyFont="1" applyAlignment="1">
      <alignment vertical="top" wrapText="1"/>
    </xf>
    <xf numFmtId="0" fontId="6" fillId="2" borderId="6" xfId="3" applyNumberFormat="1" applyFont="1" applyFill="1" applyBorder="1" applyAlignment="1">
      <alignment vertical="top"/>
    </xf>
    <xf numFmtId="0" fontId="6" fillId="2" borderId="10" xfId="3" applyNumberFormat="1" applyFont="1" applyFill="1" applyBorder="1" applyAlignment="1">
      <alignment vertical="top"/>
    </xf>
    <xf numFmtId="0" fontId="5" fillId="0" borderId="1" xfId="3" applyNumberFormat="1" applyFont="1" applyBorder="1" applyAlignment="1">
      <alignment vertical="top"/>
    </xf>
    <xf numFmtId="0" fontId="5" fillId="0" borderId="1" xfId="3" applyNumberFormat="1" applyFont="1" applyBorder="1" applyAlignment="1">
      <alignment vertical="top" wrapText="1"/>
    </xf>
    <xf numFmtId="0" fontId="5" fillId="0" borderId="1" xfId="3" applyNumberFormat="1" applyFont="1" applyBorder="1" applyAlignment="1">
      <alignment horizontal="left" vertical="top"/>
    </xf>
    <xf numFmtId="0" fontId="5" fillId="0" borderId="13" xfId="3" applyNumberFormat="1" applyFont="1" applyBorder="1" applyAlignment="1">
      <alignment horizontal="center" vertical="top"/>
    </xf>
    <xf numFmtId="4" fontId="5" fillId="0" borderId="14" xfId="3" applyNumberFormat="1" applyFont="1" applyBorder="1" applyAlignment="1">
      <alignment horizontal="right" vertical="top" wrapText="1"/>
    </xf>
    <xf numFmtId="0" fontId="7" fillId="2" borderId="13" xfId="3" applyNumberFormat="1" applyFont="1" applyFill="1" applyBorder="1" applyAlignment="1">
      <alignment horizontal="center" vertical="top"/>
    </xf>
    <xf numFmtId="4" fontId="7" fillId="2" borderId="14" xfId="3" applyNumberFormat="1" applyFont="1" applyFill="1" applyBorder="1" applyAlignment="1">
      <alignment horizontal="right" vertical="top" wrapText="1"/>
    </xf>
    <xf numFmtId="0" fontId="3" fillId="0" borderId="0" xfId="4" applyNumberFormat="1" applyFont="1" applyAlignment="1">
      <alignment wrapText="1"/>
    </xf>
    <xf numFmtId="0" fontId="1" fillId="0" borderId="0" xfId="4"/>
    <xf numFmtId="0" fontId="4" fillId="0" borderId="0" xfId="4" applyNumberFormat="1" applyFont="1" applyAlignment="1">
      <alignment wrapText="1"/>
    </xf>
    <xf numFmtId="0" fontId="5" fillId="0" borderId="0" xfId="4" applyNumberFormat="1" applyFont="1" applyAlignment="1">
      <alignment vertical="top" wrapText="1"/>
    </xf>
    <xf numFmtId="0" fontId="6" fillId="2" borderId="6" xfId="4" applyNumberFormat="1" applyFont="1" applyFill="1" applyBorder="1" applyAlignment="1">
      <alignment vertical="top"/>
    </xf>
    <xf numFmtId="0" fontId="6" fillId="2" borderId="10" xfId="4" applyNumberFormat="1" applyFont="1" applyFill="1" applyBorder="1" applyAlignment="1">
      <alignment vertical="top"/>
    </xf>
    <xf numFmtId="0" fontId="5" fillId="0" borderId="1" xfId="4" applyNumberFormat="1" applyFont="1" applyBorder="1" applyAlignment="1">
      <alignment vertical="top"/>
    </xf>
    <xf numFmtId="0" fontId="5" fillId="0" borderId="1" xfId="4" applyNumberFormat="1" applyFont="1" applyBorder="1" applyAlignment="1">
      <alignment vertical="top" wrapText="1"/>
    </xf>
    <xf numFmtId="0" fontId="5" fillId="0" borderId="1" xfId="4" applyNumberFormat="1" applyFont="1" applyBorder="1" applyAlignment="1">
      <alignment horizontal="left" vertical="top"/>
    </xf>
    <xf numFmtId="0" fontId="5" fillId="0" borderId="13" xfId="4" applyNumberFormat="1" applyFont="1" applyBorder="1" applyAlignment="1">
      <alignment horizontal="center" vertical="top"/>
    </xf>
    <xf numFmtId="4" fontId="5" fillId="0" borderId="14" xfId="4" applyNumberFormat="1" applyFont="1" applyBorder="1" applyAlignment="1">
      <alignment horizontal="right" vertical="top" wrapText="1"/>
    </xf>
    <xf numFmtId="0" fontId="7" fillId="2" borderId="13" xfId="4" applyNumberFormat="1" applyFont="1" applyFill="1" applyBorder="1" applyAlignment="1">
      <alignment horizontal="center" vertical="top"/>
    </xf>
    <xf numFmtId="4" fontId="7" fillId="2" borderId="14" xfId="4" applyNumberFormat="1" applyFont="1" applyFill="1" applyBorder="1" applyAlignment="1">
      <alignment horizontal="right" vertical="top" wrapText="1"/>
    </xf>
    <xf numFmtId="0" fontId="3" fillId="0" borderId="0" xfId="5" applyNumberFormat="1" applyFont="1" applyAlignment="1">
      <alignment wrapText="1"/>
    </xf>
    <xf numFmtId="0" fontId="1" fillId="0" borderId="0" xfId="5"/>
    <xf numFmtId="0" fontId="4" fillId="0" borderId="0" xfId="5" applyNumberFormat="1" applyFont="1" applyAlignment="1">
      <alignment wrapText="1"/>
    </xf>
    <xf numFmtId="0" fontId="5" fillId="0" borderId="0" xfId="5" applyNumberFormat="1" applyFont="1" applyAlignment="1">
      <alignment vertical="top" wrapText="1"/>
    </xf>
    <xf numFmtId="0" fontId="6" fillId="2" borderId="6" xfId="5" applyNumberFormat="1" applyFont="1" applyFill="1" applyBorder="1" applyAlignment="1">
      <alignment vertical="top"/>
    </xf>
    <xf numFmtId="0" fontId="6" fillId="2" borderId="10" xfId="5" applyNumberFormat="1" applyFont="1" applyFill="1" applyBorder="1" applyAlignment="1">
      <alignment vertical="top"/>
    </xf>
    <xf numFmtId="0" fontId="5" fillId="0" borderId="1" xfId="5" applyNumberFormat="1" applyFont="1" applyBorder="1" applyAlignment="1">
      <alignment vertical="top"/>
    </xf>
    <xf numFmtId="0" fontId="5" fillId="0" borderId="1" xfId="5" applyNumberFormat="1" applyFont="1" applyBorder="1" applyAlignment="1">
      <alignment vertical="top" wrapText="1"/>
    </xf>
    <xf numFmtId="0" fontId="5" fillId="0" borderId="1" xfId="5" applyNumberFormat="1" applyFont="1" applyBorder="1" applyAlignment="1">
      <alignment horizontal="left" vertical="top"/>
    </xf>
    <xf numFmtId="0" fontId="5" fillId="0" borderId="13" xfId="5" applyNumberFormat="1" applyFont="1" applyBorder="1" applyAlignment="1">
      <alignment horizontal="center" vertical="top"/>
    </xf>
    <xf numFmtId="2" fontId="5" fillId="0" borderId="14" xfId="5" applyNumberFormat="1" applyFont="1" applyBorder="1" applyAlignment="1">
      <alignment horizontal="right" vertical="top" wrapText="1"/>
    </xf>
    <xf numFmtId="4" fontId="5" fillId="0" borderId="14" xfId="5" applyNumberFormat="1" applyFont="1" applyBorder="1" applyAlignment="1">
      <alignment horizontal="right" vertical="top" wrapText="1"/>
    </xf>
    <xf numFmtId="0" fontId="7" fillId="2" borderId="13" xfId="5" applyNumberFormat="1" applyFont="1" applyFill="1" applyBorder="1" applyAlignment="1">
      <alignment horizontal="center" vertical="top"/>
    </xf>
    <xf numFmtId="4" fontId="7" fillId="2" borderId="14" xfId="5" applyNumberFormat="1" applyFont="1" applyFill="1" applyBorder="1" applyAlignment="1">
      <alignment horizontal="right" vertical="top" wrapText="1"/>
    </xf>
    <xf numFmtId="0" fontId="3" fillId="0" borderId="0" xfId="6" applyNumberFormat="1" applyFont="1" applyAlignment="1">
      <alignment wrapText="1"/>
    </xf>
    <xf numFmtId="0" fontId="1" fillId="0" borderId="0" xfId="6"/>
    <xf numFmtId="0" fontId="4" fillId="0" borderId="0" xfId="6" applyNumberFormat="1" applyFont="1" applyAlignment="1">
      <alignment wrapText="1"/>
    </xf>
    <xf numFmtId="0" fontId="5" fillId="0" borderId="0" xfId="6" applyNumberFormat="1" applyFont="1" applyAlignment="1">
      <alignment vertical="top" wrapText="1"/>
    </xf>
    <xf numFmtId="0" fontId="6" fillId="2" borderId="6" xfId="6" applyNumberFormat="1" applyFont="1" applyFill="1" applyBorder="1" applyAlignment="1">
      <alignment vertical="top"/>
    </xf>
    <xf numFmtId="0" fontId="6" fillId="2" borderId="10" xfId="6" applyNumberFormat="1" applyFont="1" applyFill="1" applyBorder="1" applyAlignment="1">
      <alignment vertical="top"/>
    </xf>
    <xf numFmtId="0" fontId="5" fillId="0" borderId="1" xfId="6" applyNumberFormat="1" applyFont="1" applyBorder="1" applyAlignment="1">
      <alignment vertical="top"/>
    </xf>
    <xf numFmtId="0" fontId="5" fillId="0" borderId="1" xfId="6" applyNumberFormat="1" applyFont="1" applyBorder="1" applyAlignment="1">
      <alignment vertical="top" wrapText="1"/>
    </xf>
    <xf numFmtId="0" fontId="5" fillId="0" borderId="1" xfId="6" applyNumberFormat="1" applyFont="1" applyBorder="1" applyAlignment="1">
      <alignment horizontal="left" vertical="top"/>
    </xf>
    <xf numFmtId="0" fontId="5" fillId="0" borderId="13" xfId="6" applyNumberFormat="1" applyFont="1" applyBorder="1" applyAlignment="1">
      <alignment horizontal="center" vertical="top"/>
    </xf>
    <xf numFmtId="4" fontId="5" fillId="0" borderId="14" xfId="6" applyNumberFormat="1" applyFont="1" applyBorder="1" applyAlignment="1">
      <alignment horizontal="right" vertical="top" wrapText="1"/>
    </xf>
    <xf numFmtId="0" fontId="7" fillId="2" borderId="13" xfId="6" applyNumberFormat="1" applyFont="1" applyFill="1" applyBorder="1" applyAlignment="1">
      <alignment horizontal="center" vertical="top"/>
    </xf>
    <xf numFmtId="4" fontId="7" fillId="2" borderId="14" xfId="6" applyNumberFormat="1" applyFont="1" applyFill="1" applyBorder="1" applyAlignment="1">
      <alignment horizontal="right" vertical="top" wrapText="1"/>
    </xf>
    <xf numFmtId="0" fontId="6" fillId="2" borderId="6" xfId="7" applyNumberFormat="1" applyFont="1" applyFill="1" applyBorder="1" applyAlignment="1">
      <alignment vertical="top"/>
    </xf>
    <xf numFmtId="0" fontId="6" fillId="2" borderId="10" xfId="7" applyNumberFormat="1" applyFont="1" applyFill="1" applyBorder="1" applyAlignment="1">
      <alignment vertical="top"/>
    </xf>
    <xf numFmtId="0" fontId="5" fillId="0" borderId="1" xfId="7" applyNumberFormat="1" applyFont="1" applyBorder="1" applyAlignment="1">
      <alignment vertical="top"/>
    </xf>
    <xf numFmtId="0" fontId="5" fillId="0" borderId="1" xfId="7" applyNumberFormat="1" applyFont="1" applyBorder="1" applyAlignment="1">
      <alignment vertical="top" wrapText="1"/>
    </xf>
    <xf numFmtId="0" fontId="5" fillId="0" borderId="1" xfId="7" applyNumberFormat="1" applyFont="1" applyBorder="1" applyAlignment="1">
      <alignment horizontal="left" vertical="top"/>
    </xf>
    <xf numFmtId="0" fontId="5" fillId="0" borderId="13" xfId="7" applyNumberFormat="1" applyFont="1" applyBorder="1" applyAlignment="1">
      <alignment horizontal="center" vertical="top"/>
    </xf>
    <xf numFmtId="4" fontId="5" fillId="0" borderId="14" xfId="7" applyNumberFormat="1" applyFont="1" applyBorder="1" applyAlignment="1">
      <alignment horizontal="right" vertical="top" wrapText="1"/>
    </xf>
    <xf numFmtId="0" fontId="7" fillId="2" borderId="13" xfId="7" applyNumberFormat="1" applyFont="1" applyFill="1" applyBorder="1" applyAlignment="1">
      <alignment horizontal="center" vertical="top"/>
    </xf>
    <xf numFmtId="4" fontId="7" fillId="2" borderId="14" xfId="7" applyNumberFormat="1" applyFont="1" applyFill="1" applyBorder="1" applyAlignment="1">
      <alignment horizontal="right" vertical="top" wrapText="1"/>
    </xf>
    <xf numFmtId="0" fontId="3" fillId="0" borderId="0" xfId="7" applyNumberFormat="1" applyFont="1" applyAlignment="1">
      <alignment wrapText="1"/>
    </xf>
    <xf numFmtId="0" fontId="1" fillId="0" borderId="0" xfId="7"/>
    <xf numFmtId="0" fontId="4" fillId="0" borderId="0" xfId="7" applyNumberFormat="1" applyFont="1" applyAlignment="1">
      <alignment wrapText="1"/>
    </xf>
    <xf numFmtId="0" fontId="5" fillId="0" borderId="0" xfId="7" applyNumberFormat="1" applyFont="1" applyAlignment="1">
      <alignment vertical="top" wrapText="1"/>
    </xf>
    <xf numFmtId="4" fontId="0" fillId="0" borderId="0" xfId="0" applyNumberFormat="1"/>
    <xf numFmtId="4" fontId="0" fillId="0" borderId="2" xfId="0" applyNumberForma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" fontId="8" fillId="0" borderId="0" xfId="0" applyNumberFormat="1" applyFont="1"/>
    <xf numFmtId="0" fontId="2" fillId="0" borderId="16" xfId="0" applyFont="1" applyBorder="1" applyAlignment="1"/>
    <xf numFmtId="0" fontId="2" fillId="0" borderId="0" xfId="0" applyFont="1" applyBorder="1" applyAlignment="1"/>
    <xf numFmtId="0" fontId="2" fillId="0" borderId="15" xfId="0" applyFont="1" applyBorder="1" applyAlignment="1">
      <alignment horizontal="center"/>
    </xf>
    <xf numFmtId="0" fontId="5" fillId="0" borderId="1" xfId="1" applyNumberFormat="1" applyFont="1" applyBorder="1" applyAlignment="1">
      <alignment horizontal="right" vertical="top" wrapText="1"/>
    </xf>
    <xf numFmtId="4" fontId="5" fillId="0" borderId="14" xfId="1" applyNumberFormat="1" applyFont="1" applyBorder="1" applyAlignment="1">
      <alignment horizontal="right" vertical="top" wrapText="1"/>
    </xf>
    <xf numFmtId="0" fontId="7" fillId="2" borderId="1" xfId="1" applyNumberFormat="1" applyFont="1" applyFill="1" applyBorder="1" applyAlignment="1">
      <alignment vertical="top"/>
    </xf>
    <xf numFmtId="4" fontId="7" fillId="2" borderId="1" xfId="1" applyNumberFormat="1" applyFont="1" applyFill="1" applyBorder="1" applyAlignment="1">
      <alignment horizontal="right" vertical="top" wrapText="1"/>
    </xf>
    <xf numFmtId="2" fontId="5" fillId="0" borderId="14" xfId="1" applyNumberFormat="1" applyFont="1" applyBorder="1" applyAlignment="1">
      <alignment horizontal="right" vertical="top" wrapText="1"/>
    </xf>
    <xf numFmtId="4" fontId="5" fillId="0" borderId="1" xfId="1" applyNumberFormat="1" applyFont="1" applyBorder="1" applyAlignment="1">
      <alignment horizontal="right" vertical="top" wrapText="1"/>
    </xf>
    <xf numFmtId="0" fontId="5" fillId="0" borderId="14" xfId="1" applyNumberFormat="1" applyFont="1" applyBorder="1" applyAlignment="1">
      <alignment horizontal="right" vertical="top" wrapText="1"/>
    </xf>
    <xf numFmtId="2" fontId="5" fillId="0" borderId="1" xfId="1" applyNumberFormat="1" applyFont="1" applyBorder="1" applyAlignment="1">
      <alignment horizontal="right" vertical="top" wrapText="1"/>
    </xf>
    <xf numFmtId="0" fontId="6" fillId="2" borderId="4" xfId="1" applyNumberFormat="1" applyFont="1" applyFill="1" applyBorder="1" applyAlignment="1">
      <alignment vertical="top"/>
    </xf>
    <xf numFmtId="0" fontId="6" fillId="2" borderId="7" xfId="1" applyNumberFormat="1" applyFont="1" applyFill="1" applyBorder="1" applyAlignment="1">
      <alignment vertical="top"/>
    </xf>
    <xf numFmtId="0" fontId="6" fillId="2" borderId="12" xfId="1" applyNumberFormat="1" applyFont="1" applyFill="1" applyBorder="1" applyAlignment="1">
      <alignment vertical="top"/>
    </xf>
    <xf numFmtId="0" fontId="6" fillId="2" borderId="10" xfId="1" applyNumberFormat="1" applyFont="1" applyFill="1" applyBorder="1" applyAlignment="1">
      <alignment vertical="top"/>
    </xf>
    <xf numFmtId="0" fontId="6" fillId="2" borderId="11" xfId="1" applyNumberFormat="1" applyFont="1" applyFill="1" applyBorder="1" applyAlignment="1">
      <alignment vertical="top"/>
    </xf>
    <xf numFmtId="0" fontId="6" fillId="2" borderId="3" xfId="1" applyNumberFormat="1" applyFont="1" applyFill="1" applyBorder="1" applyAlignment="1">
      <alignment vertical="top"/>
    </xf>
    <xf numFmtId="0" fontId="6" fillId="2" borderId="8" xfId="1" applyNumberFormat="1" applyFont="1" applyFill="1" applyBorder="1" applyAlignment="1">
      <alignment vertical="top"/>
    </xf>
    <xf numFmtId="0" fontId="6" fillId="2" borderId="5" xfId="1" applyNumberFormat="1" applyFont="1" applyFill="1" applyBorder="1" applyAlignment="1">
      <alignment vertical="top"/>
    </xf>
    <xf numFmtId="0" fontId="6" fillId="2" borderId="9" xfId="1" applyNumberFormat="1" applyFont="1" applyFill="1" applyBorder="1" applyAlignment="1">
      <alignment vertical="top"/>
    </xf>
    <xf numFmtId="0" fontId="6" fillId="2" borderId="4" xfId="1" applyNumberFormat="1" applyFont="1" applyFill="1" applyBorder="1" applyAlignment="1">
      <alignment horizontal="center" vertical="top"/>
    </xf>
    <xf numFmtId="0" fontId="6" fillId="2" borderId="6" xfId="1" applyNumberFormat="1" applyFont="1" applyFill="1" applyBorder="1" applyAlignment="1">
      <alignment horizontal="center" vertical="top"/>
    </xf>
    <xf numFmtId="0" fontId="5" fillId="0" borderId="1" xfId="2" applyNumberFormat="1" applyFont="1" applyBorder="1" applyAlignment="1">
      <alignment horizontal="right" vertical="top" wrapText="1"/>
    </xf>
    <xf numFmtId="4" fontId="5" fillId="0" borderId="14" xfId="2" applyNumberFormat="1" applyFont="1" applyBorder="1" applyAlignment="1">
      <alignment horizontal="right" vertical="top" wrapText="1"/>
    </xf>
    <xf numFmtId="0" fontId="7" fillId="2" borderId="1" xfId="2" applyNumberFormat="1" applyFont="1" applyFill="1" applyBorder="1" applyAlignment="1">
      <alignment vertical="top"/>
    </xf>
    <xf numFmtId="4" fontId="7" fillId="2" borderId="1" xfId="2" applyNumberFormat="1" applyFont="1" applyFill="1" applyBorder="1" applyAlignment="1">
      <alignment horizontal="right" vertical="top" wrapText="1"/>
    </xf>
    <xf numFmtId="2" fontId="5" fillId="0" borderId="14" xfId="2" applyNumberFormat="1" applyFont="1" applyBorder="1" applyAlignment="1">
      <alignment horizontal="right" vertical="top" wrapText="1"/>
    </xf>
    <xf numFmtId="4" fontId="5" fillId="0" borderId="1" xfId="2" applyNumberFormat="1" applyFont="1" applyBorder="1" applyAlignment="1">
      <alignment horizontal="right" vertical="top" wrapText="1"/>
    </xf>
    <xf numFmtId="0" fontId="5" fillId="0" borderId="14" xfId="2" applyNumberFormat="1" applyFont="1" applyBorder="1" applyAlignment="1">
      <alignment horizontal="right" vertical="top" wrapText="1"/>
    </xf>
    <xf numFmtId="2" fontId="5" fillId="0" borderId="1" xfId="2" applyNumberFormat="1" applyFont="1" applyBorder="1" applyAlignment="1">
      <alignment horizontal="right" vertical="top" wrapText="1"/>
    </xf>
    <xf numFmtId="0" fontId="6" fillId="2" borderId="4" xfId="2" applyNumberFormat="1" applyFont="1" applyFill="1" applyBorder="1" applyAlignment="1">
      <alignment vertical="top"/>
    </xf>
    <xf numFmtId="0" fontId="6" fillId="2" borderId="7" xfId="2" applyNumberFormat="1" applyFont="1" applyFill="1" applyBorder="1" applyAlignment="1">
      <alignment vertical="top"/>
    </xf>
    <xf numFmtId="0" fontId="6" fillId="2" borderId="12" xfId="2" applyNumberFormat="1" applyFont="1" applyFill="1" applyBorder="1" applyAlignment="1">
      <alignment vertical="top"/>
    </xf>
    <xf numFmtId="0" fontId="6" fillId="2" borderId="10" xfId="2" applyNumberFormat="1" applyFont="1" applyFill="1" applyBorder="1" applyAlignment="1">
      <alignment vertical="top"/>
    </xf>
    <xf numFmtId="0" fontId="6" fillId="2" borderId="11" xfId="2" applyNumberFormat="1" applyFont="1" applyFill="1" applyBorder="1" applyAlignment="1">
      <alignment vertical="top"/>
    </xf>
    <xf numFmtId="0" fontId="6" fillId="2" borderId="3" xfId="2" applyNumberFormat="1" applyFont="1" applyFill="1" applyBorder="1" applyAlignment="1">
      <alignment vertical="top"/>
    </xf>
    <xf numFmtId="0" fontId="6" fillId="2" borderId="8" xfId="2" applyNumberFormat="1" applyFont="1" applyFill="1" applyBorder="1" applyAlignment="1">
      <alignment vertical="top"/>
    </xf>
    <xf numFmtId="0" fontId="6" fillId="2" borderId="5" xfId="2" applyNumberFormat="1" applyFont="1" applyFill="1" applyBorder="1" applyAlignment="1">
      <alignment vertical="top"/>
    </xf>
    <xf numFmtId="0" fontId="6" fillId="2" borderId="9" xfId="2" applyNumberFormat="1" applyFont="1" applyFill="1" applyBorder="1" applyAlignment="1">
      <alignment vertical="top"/>
    </xf>
    <xf numFmtId="0" fontId="6" fillId="2" borderId="4" xfId="2" applyNumberFormat="1" applyFont="1" applyFill="1" applyBorder="1" applyAlignment="1">
      <alignment horizontal="center" vertical="top"/>
    </xf>
    <xf numFmtId="0" fontId="6" fillId="2" borderId="6" xfId="2" applyNumberFormat="1" applyFont="1" applyFill="1" applyBorder="1" applyAlignment="1">
      <alignment horizontal="center" vertical="top"/>
    </xf>
    <xf numFmtId="0" fontId="5" fillId="0" borderId="1" xfId="3" applyNumberFormat="1" applyFont="1" applyBorder="1" applyAlignment="1">
      <alignment horizontal="right" vertical="top" wrapText="1"/>
    </xf>
    <xf numFmtId="4" fontId="5" fillId="0" borderId="14" xfId="3" applyNumberFormat="1" applyFont="1" applyBorder="1" applyAlignment="1">
      <alignment horizontal="right" vertical="top" wrapText="1"/>
    </xf>
    <xf numFmtId="0" fontId="7" fillId="2" borderId="1" xfId="3" applyNumberFormat="1" applyFont="1" applyFill="1" applyBorder="1" applyAlignment="1">
      <alignment vertical="top"/>
    </xf>
    <xf numFmtId="4" fontId="7" fillId="2" borderId="1" xfId="3" applyNumberFormat="1" applyFont="1" applyFill="1" applyBorder="1" applyAlignment="1">
      <alignment horizontal="right" vertical="top" wrapText="1"/>
    </xf>
    <xf numFmtId="2" fontId="5" fillId="0" borderId="14" xfId="3" applyNumberFormat="1" applyFont="1" applyBorder="1" applyAlignment="1">
      <alignment horizontal="right" vertical="top" wrapText="1"/>
    </xf>
    <xf numFmtId="4" fontId="5" fillId="0" borderId="1" xfId="3" applyNumberFormat="1" applyFont="1" applyBorder="1" applyAlignment="1">
      <alignment horizontal="right" vertical="top" wrapText="1"/>
    </xf>
    <xf numFmtId="0" fontId="5" fillId="0" borderId="14" xfId="3" applyNumberFormat="1" applyFont="1" applyBorder="1" applyAlignment="1">
      <alignment horizontal="right" vertical="top" wrapText="1"/>
    </xf>
    <xf numFmtId="2" fontId="5" fillId="0" borderId="1" xfId="3" applyNumberFormat="1" applyFont="1" applyBorder="1" applyAlignment="1">
      <alignment horizontal="right" vertical="top" wrapText="1"/>
    </xf>
    <xf numFmtId="0" fontId="6" fillId="2" borderId="4" xfId="3" applyNumberFormat="1" applyFont="1" applyFill="1" applyBorder="1" applyAlignment="1">
      <alignment vertical="top"/>
    </xf>
    <xf numFmtId="0" fontId="6" fillId="2" borderId="7" xfId="3" applyNumberFormat="1" applyFont="1" applyFill="1" applyBorder="1" applyAlignment="1">
      <alignment vertical="top"/>
    </xf>
    <xf numFmtId="0" fontId="6" fillId="2" borderId="12" xfId="3" applyNumberFormat="1" applyFont="1" applyFill="1" applyBorder="1" applyAlignment="1">
      <alignment vertical="top"/>
    </xf>
    <xf numFmtId="0" fontId="6" fillId="2" borderId="10" xfId="3" applyNumberFormat="1" applyFont="1" applyFill="1" applyBorder="1" applyAlignment="1">
      <alignment vertical="top"/>
    </xf>
    <xf numFmtId="0" fontId="6" fillId="2" borderId="11" xfId="3" applyNumberFormat="1" applyFont="1" applyFill="1" applyBorder="1" applyAlignment="1">
      <alignment vertical="top"/>
    </xf>
    <xf numFmtId="0" fontId="6" fillId="2" borderId="3" xfId="3" applyNumberFormat="1" applyFont="1" applyFill="1" applyBorder="1" applyAlignment="1">
      <alignment vertical="top"/>
    </xf>
    <xf numFmtId="0" fontId="6" fillId="2" borderId="8" xfId="3" applyNumberFormat="1" applyFont="1" applyFill="1" applyBorder="1" applyAlignment="1">
      <alignment vertical="top"/>
    </xf>
    <xf numFmtId="0" fontId="6" fillId="2" borderId="5" xfId="3" applyNumberFormat="1" applyFont="1" applyFill="1" applyBorder="1" applyAlignment="1">
      <alignment vertical="top"/>
    </xf>
    <xf numFmtId="0" fontId="6" fillId="2" borderId="9" xfId="3" applyNumberFormat="1" applyFont="1" applyFill="1" applyBorder="1" applyAlignment="1">
      <alignment vertical="top"/>
    </xf>
    <xf numFmtId="0" fontId="6" fillId="2" borderId="4" xfId="3" applyNumberFormat="1" applyFont="1" applyFill="1" applyBorder="1" applyAlignment="1">
      <alignment horizontal="center" vertical="top"/>
    </xf>
    <xf numFmtId="0" fontId="6" fillId="2" borderId="6" xfId="3" applyNumberFormat="1" applyFont="1" applyFill="1" applyBorder="1" applyAlignment="1">
      <alignment horizontal="center" vertical="top"/>
    </xf>
    <xf numFmtId="0" fontId="7" fillId="2" borderId="1" xfId="4" applyNumberFormat="1" applyFont="1" applyFill="1" applyBorder="1" applyAlignment="1">
      <alignment vertical="top"/>
    </xf>
    <xf numFmtId="4" fontId="7" fillId="2" borderId="1" xfId="4" applyNumberFormat="1" applyFont="1" applyFill="1" applyBorder="1" applyAlignment="1">
      <alignment horizontal="right" vertical="top" wrapText="1"/>
    </xf>
    <xf numFmtId="0" fontId="5" fillId="0" borderId="1" xfId="4" applyNumberFormat="1" applyFont="1" applyBorder="1" applyAlignment="1">
      <alignment horizontal="right" vertical="top" wrapText="1"/>
    </xf>
    <xf numFmtId="4" fontId="5" fillId="0" borderId="14" xfId="4" applyNumberFormat="1" applyFont="1" applyBorder="1" applyAlignment="1">
      <alignment horizontal="right" vertical="top" wrapText="1"/>
    </xf>
    <xf numFmtId="4" fontId="5" fillId="0" borderId="1" xfId="4" applyNumberFormat="1" applyFont="1" applyBorder="1" applyAlignment="1">
      <alignment horizontal="right" vertical="top" wrapText="1"/>
    </xf>
    <xf numFmtId="0" fontId="5" fillId="0" borderId="14" xfId="4" applyNumberFormat="1" applyFont="1" applyBorder="1" applyAlignment="1">
      <alignment horizontal="right" vertical="top" wrapText="1"/>
    </xf>
    <xf numFmtId="0" fontId="6" fillId="2" borderId="4" xfId="4" applyNumberFormat="1" applyFont="1" applyFill="1" applyBorder="1" applyAlignment="1">
      <alignment vertical="top"/>
    </xf>
    <xf numFmtId="0" fontId="6" fillId="2" borderId="7" xfId="4" applyNumberFormat="1" applyFont="1" applyFill="1" applyBorder="1" applyAlignment="1">
      <alignment vertical="top"/>
    </xf>
    <xf numFmtId="0" fontId="6" fillId="2" borderId="12" xfId="4" applyNumberFormat="1" applyFont="1" applyFill="1" applyBorder="1" applyAlignment="1">
      <alignment vertical="top"/>
    </xf>
    <xf numFmtId="0" fontId="6" fillId="2" borderId="10" xfId="4" applyNumberFormat="1" applyFont="1" applyFill="1" applyBorder="1" applyAlignment="1">
      <alignment vertical="top"/>
    </xf>
    <xf numFmtId="0" fontId="6" fillId="2" borderId="11" xfId="4" applyNumberFormat="1" applyFont="1" applyFill="1" applyBorder="1" applyAlignment="1">
      <alignment vertical="top"/>
    </xf>
    <xf numFmtId="0" fontId="6" fillId="2" borderId="3" xfId="4" applyNumberFormat="1" applyFont="1" applyFill="1" applyBorder="1" applyAlignment="1">
      <alignment vertical="top"/>
    </xf>
    <xf numFmtId="0" fontId="6" fillId="2" borderId="8" xfId="4" applyNumberFormat="1" applyFont="1" applyFill="1" applyBorder="1" applyAlignment="1">
      <alignment vertical="top"/>
    </xf>
    <xf numFmtId="0" fontId="6" fillId="2" borderId="5" xfId="4" applyNumberFormat="1" applyFont="1" applyFill="1" applyBorder="1" applyAlignment="1">
      <alignment vertical="top"/>
    </xf>
    <xf numFmtId="0" fontId="6" fillId="2" borderId="9" xfId="4" applyNumberFormat="1" applyFont="1" applyFill="1" applyBorder="1" applyAlignment="1">
      <alignment vertical="top"/>
    </xf>
    <xf numFmtId="0" fontId="6" fillId="2" borderId="4" xfId="4" applyNumberFormat="1" applyFont="1" applyFill="1" applyBorder="1" applyAlignment="1">
      <alignment horizontal="center" vertical="top"/>
    </xf>
    <xf numFmtId="0" fontId="6" fillId="2" borderId="6" xfId="4" applyNumberFormat="1" applyFont="1" applyFill="1" applyBorder="1" applyAlignment="1">
      <alignment horizontal="center" vertical="top"/>
    </xf>
    <xf numFmtId="0" fontId="5" fillId="0" borderId="1" xfId="5" applyNumberFormat="1" applyFont="1" applyBorder="1" applyAlignment="1">
      <alignment horizontal="right" vertical="top" wrapText="1"/>
    </xf>
    <xf numFmtId="4" fontId="5" fillId="0" borderId="14" xfId="5" applyNumberFormat="1" applyFont="1" applyBorder="1" applyAlignment="1">
      <alignment horizontal="right" vertical="top" wrapText="1"/>
    </xf>
    <xf numFmtId="0" fontId="7" fillId="2" borderId="1" xfId="5" applyNumberFormat="1" applyFont="1" applyFill="1" applyBorder="1" applyAlignment="1">
      <alignment vertical="top"/>
    </xf>
    <xf numFmtId="4" fontId="7" fillId="2" borderId="1" xfId="5" applyNumberFormat="1" applyFont="1" applyFill="1" applyBorder="1" applyAlignment="1">
      <alignment horizontal="right" vertical="top" wrapText="1"/>
    </xf>
    <xf numFmtId="2" fontId="5" fillId="0" borderId="14" xfId="5" applyNumberFormat="1" applyFont="1" applyBorder="1" applyAlignment="1">
      <alignment horizontal="right" vertical="top" wrapText="1"/>
    </xf>
    <xf numFmtId="4" fontId="5" fillId="0" borderId="1" xfId="5" applyNumberFormat="1" applyFont="1" applyBorder="1" applyAlignment="1">
      <alignment horizontal="right" vertical="top" wrapText="1"/>
    </xf>
    <xf numFmtId="0" fontId="5" fillId="0" borderId="14" xfId="5" applyNumberFormat="1" applyFont="1" applyBorder="1" applyAlignment="1">
      <alignment horizontal="right" vertical="top" wrapText="1"/>
    </xf>
    <xf numFmtId="0" fontId="6" fillId="2" borderId="4" xfId="5" applyNumberFormat="1" applyFont="1" applyFill="1" applyBorder="1" applyAlignment="1">
      <alignment vertical="top"/>
    </xf>
    <xf numFmtId="0" fontId="6" fillId="2" borderId="7" xfId="5" applyNumberFormat="1" applyFont="1" applyFill="1" applyBorder="1" applyAlignment="1">
      <alignment vertical="top"/>
    </xf>
    <xf numFmtId="0" fontId="6" fillId="2" borderId="12" xfId="5" applyNumberFormat="1" applyFont="1" applyFill="1" applyBorder="1" applyAlignment="1">
      <alignment vertical="top"/>
    </xf>
    <xf numFmtId="0" fontId="6" fillId="2" borderId="10" xfId="5" applyNumberFormat="1" applyFont="1" applyFill="1" applyBorder="1" applyAlignment="1">
      <alignment vertical="top"/>
    </xf>
    <xf numFmtId="0" fontId="6" fillId="2" borderId="11" xfId="5" applyNumberFormat="1" applyFont="1" applyFill="1" applyBorder="1" applyAlignment="1">
      <alignment vertical="top"/>
    </xf>
    <xf numFmtId="2" fontId="5" fillId="0" borderId="1" xfId="5" applyNumberFormat="1" applyFont="1" applyBorder="1" applyAlignment="1">
      <alignment horizontal="right" vertical="top" wrapText="1"/>
    </xf>
    <xf numFmtId="0" fontId="6" fillId="2" borderId="3" xfId="5" applyNumberFormat="1" applyFont="1" applyFill="1" applyBorder="1" applyAlignment="1">
      <alignment vertical="top"/>
    </xf>
    <xf numFmtId="0" fontId="6" fillId="2" borderId="8" xfId="5" applyNumberFormat="1" applyFont="1" applyFill="1" applyBorder="1" applyAlignment="1">
      <alignment vertical="top"/>
    </xf>
    <xf numFmtId="0" fontId="6" fillId="2" borderId="5" xfId="5" applyNumberFormat="1" applyFont="1" applyFill="1" applyBorder="1" applyAlignment="1">
      <alignment vertical="top"/>
    </xf>
    <xf numFmtId="0" fontId="6" fillId="2" borderId="9" xfId="5" applyNumberFormat="1" applyFont="1" applyFill="1" applyBorder="1" applyAlignment="1">
      <alignment vertical="top"/>
    </xf>
    <xf numFmtId="0" fontId="6" fillId="2" borderId="4" xfId="5" applyNumberFormat="1" applyFont="1" applyFill="1" applyBorder="1" applyAlignment="1">
      <alignment horizontal="center" vertical="top"/>
    </xf>
    <xf numFmtId="0" fontId="6" fillId="2" borderId="6" xfId="5" applyNumberFormat="1" applyFont="1" applyFill="1" applyBorder="1" applyAlignment="1">
      <alignment horizontal="center" vertical="top"/>
    </xf>
    <xf numFmtId="0" fontId="5" fillId="0" borderId="1" xfId="6" applyNumberFormat="1" applyFont="1" applyBorder="1" applyAlignment="1">
      <alignment horizontal="right" vertical="top" wrapText="1"/>
    </xf>
    <xf numFmtId="4" fontId="5" fillId="0" borderId="14" xfId="6" applyNumberFormat="1" applyFont="1" applyBorder="1" applyAlignment="1">
      <alignment horizontal="right" vertical="top" wrapText="1"/>
    </xf>
    <xf numFmtId="0" fontId="7" fillId="2" borderId="1" xfId="6" applyNumberFormat="1" applyFont="1" applyFill="1" applyBorder="1" applyAlignment="1">
      <alignment vertical="top"/>
    </xf>
    <xf numFmtId="4" fontId="7" fillId="2" borderId="1" xfId="6" applyNumberFormat="1" applyFont="1" applyFill="1" applyBorder="1" applyAlignment="1">
      <alignment horizontal="right" vertical="top" wrapText="1"/>
    </xf>
    <xf numFmtId="4" fontId="5" fillId="0" borderId="1" xfId="6" applyNumberFormat="1" applyFont="1" applyBorder="1" applyAlignment="1">
      <alignment horizontal="right" vertical="top" wrapText="1"/>
    </xf>
    <xf numFmtId="0" fontId="5" fillId="0" borderId="14" xfId="6" applyNumberFormat="1" applyFont="1" applyBorder="1" applyAlignment="1">
      <alignment horizontal="right" vertical="top" wrapText="1"/>
    </xf>
    <xf numFmtId="2" fontId="5" fillId="0" borderId="14" xfId="6" applyNumberFormat="1" applyFont="1" applyBorder="1" applyAlignment="1">
      <alignment horizontal="right" vertical="top" wrapText="1"/>
    </xf>
    <xf numFmtId="2" fontId="5" fillId="0" borderId="1" xfId="6" applyNumberFormat="1" applyFont="1" applyBorder="1" applyAlignment="1">
      <alignment horizontal="right" vertical="top" wrapText="1"/>
    </xf>
    <xf numFmtId="0" fontId="6" fillId="2" borderId="4" xfId="6" applyNumberFormat="1" applyFont="1" applyFill="1" applyBorder="1" applyAlignment="1">
      <alignment vertical="top"/>
    </xf>
    <xf numFmtId="0" fontId="6" fillId="2" borderId="7" xfId="6" applyNumberFormat="1" applyFont="1" applyFill="1" applyBorder="1" applyAlignment="1">
      <alignment vertical="top"/>
    </xf>
    <xf numFmtId="0" fontId="6" fillId="2" borderId="12" xfId="6" applyNumberFormat="1" applyFont="1" applyFill="1" applyBorder="1" applyAlignment="1">
      <alignment vertical="top"/>
    </xf>
    <xf numFmtId="0" fontId="6" fillId="2" borderId="10" xfId="6" applyNumberFormat="1" applyFont="1" applyFill="1" applyBorder="1" applyAlignment="1">
      <alignment vertical="top"/>
    </xf>
    <xf numFmtId="0" fontId="6" fillId="2" borderId="11" xfId="6" applyNumberFormat="1" applyFont="1" applyFill="1" applyBorder="1" applyAlignment="1">
      <alignment vertical="top"/>
    </xf>
    <xf numFmtId="0" fontId="6" fillId="2" borderId="3" xfId="6" applyNumberFormat="1" applyFont="1" applyFill="1" applyBorder="1" applyAlignment="1">
      <alignment vertical="top"/>
    </xf>
    <xf numFmtId="0" fontId="6" fillId="2" borderId="8" xfId="6" applyNumberFormat="1" applyFont="1" applyFill="1" applyBorder="1" applyAlignment="1">
      <alignment vertical="top"/>
    </xf>
    <xf numFmtId="0" fontId="6" fillId="2" borderId="5" xfId="6" applyNumberFormat="1" applyFont="1" applyFill="1" applyBorder="1" applyAlignment="1">
      <alignment vertical="top"/>
    </xf>
    <xf numFmtId="0" fontId="6" fillId="2" borderId="9" xfId="6" applyNumberFormat="1" applyFont="1" applyFill="1" applyBorder="1" applyAlignment="1">
      <alignment vertical="top"/>
    </xf>
    <xf numFmtId="0" fontId="6" fillId="2" borderId="4" xfId="6" applyNumberFormat="1" applyFont="1" applyFill="1" applyBorder="1" applyAlignment="1">
      <alignment horizontal="center" vertical="top"/>
    </xf>
    <xf numFmtId="0" fontId="6" fillId="2" borderId="6" xfId="6" applyNumberFormat="1" applyFont="1" applyFill="1" applyBorder="1" applyAlignment="1">
      <alignment horizontal="center" vertical="top"/>
    </xf>
    <xf numFmtId="0" fontId="5" fillId="0" borderId="1" xfId="7" applyNumberFormat="1" applyFont="1" applyBorder="1" applyAlignment="1">
      <alignment horizontal="right" vertical="top" wrapText="1"/>
    </xf>
    <xf numFmtId="4" fontId="5" fillId="0" borderId="14" xfId="7" applyNumberFormat="1" applyFont="1" applyBorder="1" applyAlignment="1">
      <alignment horizontal="right" vertical="top" wrapText="1"/>
    </xf>
    <xf numFmtId="0" fontId="7" fillId="2" borderId="1" xfId="7" applyNumberFormat="1" applyFont="1" applyFill="1" applyBorder="1" applyAlignment="1">
      <alignment vertical="top"/>
    </xf>
    <xf numFmtId="4" fontId="7" fillId="2" borderId="1" xfId="7" applyNumberFormat="1" applyFont="1" applyFill="1" applyBorder="1" applyAlignment="1">
      <alignment horizontal="right" vertical="top" wrapText="1"/>
    </xf>
    <xf numFmtId="2" fontId="5" fillId="0" borderId="14" xfId="7" applyNumberFormat="1" applyFont="1" applyBorder="1" applyAlignment="1">
      <alignment horizontal="right" vertical="top" wrapText="1"/>
    </xf>
    <xf numFmtId="4" fontId="5" fillId="0" borderId="1" xfId="7" applyNumberFormat="1" applyFont="1" applyBorder="1" applyAlignment="1">
      <alignment horizontal="right" vertical="top" wrapText="1"/>
    </xf>
    <xf numFmtId="0" fontId="5" fillId="0" borderId="14" xfId="7" applyNumberFormat="1" applyFont="1" applyBorder="1" applyAlignment="1">
      <alignment horizontal="right" vertical="top" wrapText="1"/>
    </xf>
    <xf numFmtId="2" fontId="5" fillId="0" borderId="1" xfId="7" applyNumberFormat="1" applyFont="1" applyBorder="1" applyAlignment="1">
      <alignment horizontal="right" vertical="top" wrapText="1"/>
    </xf>
    <xf numFmtId="0" fontId="6" fillId="2" borderId="4" xfId="7" applyNumberFormat="1" applyFont="1" applyFill="1" applyBorder="1" applyAlignment="1">
      <alignment vertical="top"/>
    </xf>
    <xf numFmtId="0" fontId="6" fillId="2" borderId="7" xfId="7" applyNumberFormat="1" applyFont="1" applyFill="1" applyBorder="1" applyAlignment="1">
      <alignment vertical="top"/>
    </xf>
    <xf numFmtId="0" fontId="6" fillId="2" borderId="12" xfId="7" applyNumberFormat="1" applyFont="1" applyFill="1" applyBorder="1" applyAlignment="1">
      <alignment vertical="top"/>
    </xf>
    <xf numFmtId="0" fontId="6" fillId="2" borderId="10" xfId="7" applyNumberFormat="1" applyFont="1" applyFill="1" applyBorder="1" applyAlignment="1">
      <alignment vertical="top"/>
    </xf>
    <xf numFmtId="0" fontId="6" fillId="2" borderId="11" xfId="7" applyNumberFormat="1" applyFont="1" applyFill="1" applyBorder="1" applyAlignment="1">
      <alignment vertical="top"/>
    </xf>
    <xf numFmtId="0" fontId="6" fillId="2" borderId="3" xfId="7" applyNumberFormat="1" applyFont="1" applyFill="1" applyBorder="1" applyAlignment="1">
      <alignment vertical="top"/>
    </xf>
    <xf numFmtId="0" fontId="6" fillId="2" borderId="8" xfId="7" applyNumberFormat="1" applyFont="1" applyFill="1" applyBorder="1" applyAlignment="1">
      <alignment vertical="top"/>
    </xf>
    <xf numFmtId="0" fontId="6" fillId="2" borderId="5" xfId="7" applyNumberFormat="1" applyFont="1" applyFill="1" applyBorder="1" applyAlignment="1">
      <alignment vertical="top"/>
    </xf>
    <xf numFmtId="0" fontId="6" fillId="2" borderId="9" xfId="7" applyNumberFormat="1" applyFont="1" applyFill="1" applyBorder="1" applyAlignment="1">
      <alignment vertical="top"/>
    </xf>
    <xf numFmtId="0" fontId="6" fillId="2" borderId="4" xfId="7" applyNumberFormat="1" applyFont="1" applyFill="1" applyBorder="1" applyAlignment="1">
      <alignment horizontal="center" vertical="top"/>
    </xf>
    <xf numFmtId="0" fontId="6" fillId="2" borderId="6" xfId="7" applyNumberFormat="1" applyFont="1" applyFill="1" applyBorder="1" applyAlignment="1">
      <alignment horizontal="center" vertical="top"/>
    </xf>
  </cellXfs>
  <cellStyles count="8">
    <cellStyle name="Обычный" xfId="0" builtinId="0"/>
    <cellStyle name="Обычный_Глобине-2" xfId="1"/>
    <cellStyle name="Обычный_Котельна (Глобине)" xfId="2"/>
    <cellStyle name="Обычный_Насосна Градирня (Глобине)" xfId="3"/>
    <cellStyle name="Обычный_Р-р для зб. розч.(Глобине)" xfId="4"/>
    <cellStyle name="Обычный_СПК (Глобине)" xfId="5"/>
    <cellStyle name="Обычный_Цех екстракції (Глобине)" xfId="6"/>
    <cellStyle name="Обычный_Цех_Глобино" xfId="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tabSelected="1" workbookViewId="0">
      <selection activeCell="H12" sqref="H12"/>
    </sheetView>
  </sheetViews>
  <sheetFormatPr defaultRowHeight="14.4" x14ac:dyDescent="0.3"/>
  <cols>
    <col min="1" max="1" width="2.6640625" customWidth="1"/>
    <col min="2" max="2" width="43.109375" bestFit="1" customWidth="1"/>
    <col min="3" max="4" width="13.88671875" style="98" customWidth="1"/>
    <col min="5" max="5" width="2.6640625" customWidth="1"/>
    <col min="6" max="6" width="11.5546875" customWidth="1"/>
    <col min="7" max="7" width="12" bestFit="1" customWidth="1"/>
    <col min="8" max="8" width="12.44140625" bestFit="1" customWidth="1"/>
    <col min="9" max="9" width="4.44140625" bestFit="1" customWidth="1"/>
    <col min="11" max="11" width="12.33203125" bestFit="1" customWidth="1"/>
    <col min="12" max="12" width="43.109375" bestFit="1" customWidth="1"/>
    <col min="13" max="13" width="11.33203125" bestFit="1" customWidth="1"/>
    <col min="14" max="14" width="12.33203125" bestFit="1" customWidth="1"/>
  </cols>
  <sheetData>
    <row r="1" spans="2:11" x14ac:dyDescent="0.3">
      <c r="F1" s="105" t="s">
        <v>1476</v>
      </c>
      <c r="G1" s="105"/>
      <c r="H1" s="105"/>
    </row>
    <row r="2" spans="2:11" ht="28.8" x14ac:dyDescent="0.3">
      <c r="B2" s="100" t="s">
        <v>7</v>
      </c>
      <c r="C2" s="99" t="s">
        <v>1468</v>
      </c>
      <c r="D2" s="99" t="s">
        <v>1469</v>
      </c>
      <c r="F2" s="101" t="s">
        <v>1473</v>
      </c>
      <c r="G2" s="101" t="s">
        <v>1474</v>
      </c>
      <c r="H2" s="101" t="s">
        <v>1475</v>
      </c>
    </row>
    <row r="3" spans="2:11" x14ac:dyDescent="0.3">
      <c r="B3" s="2" t="s">
        <v>0</v>
      </c>
      <c r="C3" s="96">
        <f>'Глобине-2'!J362</f>
        <v>21742.48</v>
      </c>
      <c r="D3" s="96">
        <f>C3*1.2</f>
        <v>26090.975999999999</v>
      </c>
      <c r="F3" s="96"/>
      <c r="G3" s="96">
        <f>'Глобине-2'!M273</f>
        <v>1000</v>
      </c>
      <c r="H3" s="96">
        <f>'Глобине-2'!M359</f>
        <v>20742.48</v>
      </c>
      <c r="I3" s="102">
        <f>C3-F3-G3-H3</f>
        <v>0</v>
      </c>
    </row>
    <row r="4" spans="2:11" x14ac:dyDescent="0.3">
      <c r="B4" s="2" t="s">
        <v>1</v>
      </c>
      <c r="C4" s="96">
        <f>'Котельна (Глобине)'!J297</f>
        <v>2562806.75</v>
      </c>
      <c r="D4" s="96">
        <f t="shared" ref="D4:D9" si="0">C4*1.2</f>
        <v>3075368.1</v>
      </c>
      <c r="F4" s="96">
        <f>'Котельна (Глобине)'!M26</f>
        <v>529703.60000000009</v>
      </c>
      <c r="G4" s="96">
        <f>'Котельна (Глобине)'!M216</f>
        <v>1376069.7200000002</v>
      </c>
      <c r="H4" s="96">
        <f>'Котельна (Глобине)'!M292</f>
        <v>657033.43000000005</v>
      </c>
      <c r="I4" s="102">
        <f t="shared" ref="I4:I9" si="1">C4-F4-G4-H4</f>
        <v>0</v>
      </c>
    </row>
    <row r="5" spans="2:11" x14ac:dyDescent="0.3">
      <c r="B5" s="2" t="s">
        <v>2</v>
      </c>
      <c r="C5" s="96">
        <f>'Насосна Градирня (Глобине)'!J51</f>
        <v>982966.73</v>
      </c>
      <c r="D5" s="96">
        <f t="shared" si="0"/>
        <v>1179560.0759999999</v>
      </c>
      <c r="F5" s="96">
        <f>'Насосна Градирня (Глобине)'!M15</f>
        <v>225602.62</v>
      </c>
      <c r="G5" s="96">
        <f>'Насосна Градирня (Глобине)'!M27</f>
        <v>202007.62</v>
      </c>
      <c r="H5" s="96">
        <f>'Насосна Градирня (Глобине)'!M47</f>
        <v>555356.49</v>
      </c>
      <c r="I5" s="102">
        <f t="shared" si="1"/>
        <v>0</v>
      </c>
    </row>
    <row r="6" spans="2:11" x14ac:dyDescent="0.3">
      <c r="B6" s="2" t="s">
        <v>6</v>
      </c>
      <c r="C6" s="96">
        <f>'Р-р для зб. розч.(Глобине)'!J43</f>
        <v>670974.92000000004</v>
      </c>
      <c r="D6" s="96">
        <f t="shared" si="0"/>
        <v>805169.90399999998</v>
      </c>
      <c r="F6" s="96"/>
      <c r="G6" s="96">
        <f>'Р-р для зб. розч.(Глобине)'!M40</f>
        <v>670974.92000000004</v>
      </c>
      <c r="H6" s="96"/>
      <c r="I6" s="102">
        <f t="shared" si="1"/>
        <v>0</v>
      </c>
    </row>
    <row r="7" spans="2:11" x14ac:dyDescent="0.3">
      <c r="B7" s="2" t="s">
        <v>3</v>
      </c>
      <c r="C7" s="96">
        <f>'СПК (Глобине)'!J146</f>
        <v>1364638.19</v>
      </c>
      <c r="D7" s="96">
        <f t="shared" si="0"/>
        <v>1637565.828</v>
      </c>
      <c r="F7" s="96"/>
      <c r="G7" s="96">
        <f>'СПК (Глобине)'!M47</f>
        <v>245996.94999999998</v>
      </c>
      <c r="H7" s="96">
        <f>'СПК (Глобине)'!M143</f>
        <v>1118641.2399999998</v>
      </c>
      <c r="I7" s="102">
        <f t="shared" si="1"/>
        <v>0</v>
      </c>
    </row>
    <row r="8" spans="2:11" x14ac:dyDescent="0.3">
      <c r="B8" s="2" t="s">
        <v>4</v>
      </c>
      <c r="C8" s="96">
        <f>'Цех екстракції (Глобине)'!J618</f>
        <v>12423243.040000001</v>
      </c>
      <c r="D8" s="96">
        <f t="shared" si="0"/>
        <v>14907891.648</v>
      </c>
      <c r="F8" s="96">
        <f>'Цех екстракції (Глобине)'!M26</f>
        <v>1652430.78</v>
      </c>
      <c r="G8" s="96">
        <f>'Цех екстракції (Глобине)'!M254</f>
        <v>2104295.9000000004</v>
      </c>
      <c r="H8" s="96">
        <f>'Цех екстракції (Глобине)'!M615</f>
        <v>8666516.3600000031</v>
      </c>
      <c r="I8" s="102">
        <f t="shared" si="1"/>
        <v>0</v>
      </c>
    </row>
    <row r="9" spans="2:11" x14ac:dyDescent="0.3">
      <c r="B9" s="2" t="s">
        <v>5</v>
      </c>
      <c r="C9" s="96">
        <f>Цех_Глобино!J179</f>
        <v>4480857.2299999977</v>
      </c>
      <c r="D9" s="96">
        <f t="shared" si="0"/>
        <v>5377028.6759999972</v>
      </c>
      <c r="F9" s="96"/>
      <c r="G9" s="96"/>
      <c r="H9" s="96">
        <f>Цех_Глобино!M176</f>
        <v>4480857.2299999977</v>
      </c>
      <c r="I9" s="102">
        <f t="shared" si="1"/>
        <v>0</v>
      </c>
    </row>
    <row r="10" spans="2:11" x14ac:dyDescent="0.3">
      <c r="B10" s="1" t="s">
        <v>1470</v>
      </c>
      <c r="C10" s="97">
        <f>SUM(C3:C9)</f>
        <v>22507229.339999996</v>
      </c>
      <c r="D10" s="97">
        <f>SUM(D3:D9)</f>
        <v>27008675.207999997</v>
      </c>
      <c r="F10" s="97">
        <f t="shared" ref="F10:H10" si="2">SUM(F3:F9)</f>
        <v>2407737</v>
      </c>
      <c r="G10" s="97">
        <f t="shared" si="2"/>
        <v>4600345.1100000013</v>
      </c>
      <c r="H10" s="97">
        <f t="shared" si="2"/>
        <v>15499147.23</v>
      </c>
    </row>
    <row r="12" spans="2:11" x14ac:dyDescent="0.3">
      <c r="F12" s="97">
        <f>F10*1.2</f>
        <v>2889284.4</v>
      </c>
      <c r="G12" s="97">
        <f>G10*1.2</f>
        <v>5520414.1320000011</v>
      </c>
      <c r="H12" s="97">
        <f>H10*1.2</f>
        <v>18598976.675999999</v>
      </c>
      <c r="I12" s="103" t="s">
        <v>1479</v>
      </c>
      <c r="J12" s="104"/>
      <c r="K12" s="104"/>
    </row>
    <row r="14" spans="2:11" x14ac:dyDescent="0.3">
      <c r="F14" s="97">
        <v>2901051.2399999998</v>
      </c>
      <c r="G14" s="97">
        <v>5520874.129999999</v>
      </c>
      <c r="H14" s="97">
        <v>18599291.68</v>
      </c>
      <c r="I14" s="103" t="s">
        <v>1480</v>
      </c>
    </row>
    <row r="15" spans="2:11" x14ac:dyDescent="0.3">
      <c r="F15" s="95">
        <f>F14-F12</f>
        <v>11766.839999999851</v>
      </c>
      <c r="G15" s="95">
        <f>G14-G12</f>
        <v>459.99799999780953</v>
      </c>
      <c r="H15" s="95">
        <f>H14-H12</f>
        <v>315.00400000065565</v>
      </c>
      <c r="I15" t="s">
        <v>1478</v>
      </c>
    </row>
  </sheetData>
  <mergeCells count="1">
    <mergeCell ref="F1:H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62"/>
  <sheetViews>
    <sheetView topLeftCell="A8" workbookViewId="0">
      <selection activeCell="N361" sqref="N361"/>
    </sheetView>
  </sheetViews>
  <sheetFormatPr defaultRowHeight="14.4" x14ac:dyDescent="0.3"/>
  <cols>
    <col min="2" max="4" width="20.44140625" customWidth="1"/>
  </cols>
  <sheetData>
    <row r="1" spans="1:12" ht="53.4" x14ac:dyDescent="0.3">
      <c r="A1" s="3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78" x14ac:dyDescent="0.3">
      <c r="A2" s="5" t="s">
        <v>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0.399999999999999" x14ac:dyDescent="0.3">
      <c r="A4" s="6" t="s">
        <v>10</v>
      </c>
      <c r="B4" s="6" t="s">
        <v>11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30.6" x14ac:dyDescent="0.3">
      <c r="A6" s="6" t="s">
        <v>12</v>
      </c>
      <c r="B6" s="6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A8" s="119" t="s">
        <v>14</v>
      </c>
      <c r="B8" s="114" t="s">
        <v>15</v>
      </c>
      <c r="C8" s="114" t="s">
        <v>16</v>
      </c>
      <c r="D8" s="121" t="s">
        <v>17</v>
      </c>
      <c r="E8" s="123" t="s">
        <v>18</v>
      </c>
      <c r="F8" s="123"/>
      <c r="G8" s="123"/>
      <c r="H8" s="124" t="s">
        <v>19</v>
      </c>
      <c r="I8" s="124"/>
      <c r="J8" s="124"/>
      <c r="K8" s="114" t="s">
        <v>20</v>
      </c>
      <c r="L8" s="114"/>
    </row>
    <row r="9" spans="1:12" hidden="1" x14ac:dyDescent="0.3">
      <c r="A9" s="115"/>
      <c r="B9" s="120"/>
      <c r="C9" s="120"/>
      <c r="D9" s="122"/>
      <c r="E9" s="7" t="s">
        <v>21</v>
      </c>
      <c r="F9" s="117"/>
      <c r="G9" s="117"/>
      <c r="H9" s="8" t="s">
        <v>21</v>
      </c>
      <c r="I9" s="118"/>
      <c r="J9" s="118"/>
      <c r="K9" s="115"/>
      <c r="L9" s="116"/>
    </row>
    <row r="10" spans="1:12" ht="71.400000000000006" hidden="1" x14ac:dyDescent="0.3">
      <c r="A10" s="9" t="s">
        <v>22</v>
      </c>
      <c r="B10" s="10" t="s">
        <v>23</v>
      </c>
      <c r="C10" s="10" t="s">
        <v>24</v>
      </c>
      <c r="D10" s="10" t="s">
        <v>25</v>
      </c>
      <c r="E10" s="11" t="s">
        <v>26</v>
      </c>
      <c r="F10" s="111">
        <v>13720</v>
      </c>
      <c r="G10" s="111"/>
      <c r="H10" s="11" t="s">
        <v>27</v>
      </c>
      <c r="I10" s="112" t="s">
        <v>28</v>
      </c>
      <c r="J10" s="112"/>
      <c r="K10" s="12" t="s">
        <v>29</v>
      </c>
      <c r="L10" s="13">
        <v>13720</v>
      </c>
    </row>
    <row r="11" spans="1:12" ht="61.2" hidden="1" x14ac:dyDescent="0.3">
      <c r="A11" s="9" t="s">
        <v>22</v>
      </c>
      <c r="B11" s="10" t="s">
        <v>30</v>
      </c>
      <c r="C11" s="10" t="s">
        <v>31</v>
      </c>
      <c r="D11" s="10" t="s">
        <v>32</v>
      </c>
      <c r="E11" s="11" t="s">
        <v>26</v>
      </c>
      <c r="F11" s="113">
        <v>699.79</v>
      </c>
      <c r="G11" s="113"/>
      <c r="H11" s="11" t="s">
        <v>27</v>
      </c>
      <c r="I11" s="112" t="s">
        <v>28</v>
      </c>
      <c r="J11" s="112"/>
      <c r="K11" s="12" t="s">
        <v>29</v>
      </c>
      <c r="L11" s="13">
        <v>14419.79</v>
      </c>
    </row>
    <row r="12" spans="1:12" ht="71.400000000000006" hidden="1" x14ac:dyDescent="0.3">
      <c r="A12" s="9" t="s">
        <v>33</v>
      </c>
      <c r="B12" s="10" t="s">
        <v>34</v>
      </c>
      <c r="C12" s="10" t="s">
        <v>35</v>
      </c>
      <c r="D12" s="10" t="s">
        <v>25</v>
      </c>
      <c r="E12" s="11" t="s">
        <v>26</v>
      </c>
      <c r="F12" s="111">
        <v>24320</v>
      </c>
      <c r="G12" s="111"/>
      <c r="H12" s="11" t="s">
        <v>27</v>
      </c>
      <c r="I12" s="112" t="s">
        <v>28</v>
      </c>
      <c r="J12" s="112"/>
      <c r="K12" s="12" t="s">
        <v>29</v>
      </c>
      <c r="L12" s="13">
        <v>38739.79</v>
      </c>
    </row>
    <row r="13" spans="1:12" ht="71.400000000000006" hidden="1" x14ac:dyDescent="0.3">
      <c r="A13" s="9" t="s">
        <v>33</v>
      </c>
      <c r="B13" s="10" t="s">
        <v>36</v>
      </c>
      <c r="C13" s="10" t="s">
        <v>37</v>
      </c>
      <c r="D13" s="10" t="s">
        <v>25</v>
      </c>
      <c r="E13" s="11" t="s">
        <v>26</v>
      </c>
      <c r="F13" s="111">
        <v>48979.99</v>
      </c>
      <c r="G13" s="111"/>
      <c r="H13" s="11" t="s">
        <v>27</v>
      </c>
      <c r="I13" s="112" t="s">
        <v>28</v>
      </c>
      <c r="J13" s="112"/>
      <c r="K13" s="12" t="s">
        <v>29</v>
      </c>
      <c r="L13" s="13">
        <v>87719.78</v>
      </c>
    </row>
    <row r="14" spans="1:12" ht="71.400000000000006" hidden="1" x14ac:dyDescent="0.3">
      <c r="A14" s="9" t="s">
        <v>33</v>
      </c>
      <c r="B14" s="10" t="s">
        <v>36</v>
      </c>
      <c r="C14" s="10" t="s">
        <v>38</v>
      </c>
      <c r="D14" s="10" t="s">
        <v>25</v>
      </c>
      <c r="E14" s="11" t="s">
        <v>26</v>
      </c>
      <c r="F14" s="111">
        <v>124556.65</v>
      </c>
      <c r="G14" s="111"/>
      <c r="H14" s="11" t="s">
        <v>27</v>
      </c>
      <c r="I14" s="112" t="s">
        <v>28</v>
      </c>
      <c r="J14" s="112"/>
      <c r="K14" s="12" t="s">
        <v>29</v>
      </c>
      <c r="L14" s="13">
        <v>212276.43</v>
      </c>
    </row>
    <row r="15" spans="1:12" ht="71.400000000000006" hidden="1" x14ac:dyDescent="0.3">
      <c r="A15" s="9" t="s">
        <v>33</v>
      </c>
      <c r="B15" s="10" t="s">
        <v>36</v>
      </c>
      <c r="C15" s="10" t="s">
        <v>39</v>
      </c>
      <c r="D15" s="10" t="s">
        <v>25</v>
      </c>
      <c r="E15" s="11" t="s">
        <v>26</v>
      </c>
      <c r="F15" s="111">
        <v>208746.64</v>
      </c>
      <c r="G15" s="111"/>
      <c r="H15" s="11" t="s">
        <v>27</v>
      </c>
      <c r="I15" s="112" t="s">
        <v>28</v>
      </c>
      <c r="J15" s="112"/>
      <c r="K15" s="12" t="s">
        <v>29</v>
      </c>
      <c r="L15" s="13">
        <v>421023.07</v>
      </c>
    </row>
    <row r="16" spans="1:12" ht="71.400000000000006" hidden="1" x14ac:dyDescent="0.3">
      <c r="A16" s="9" t="s">
        <v>33</v>
      </c>
      <c r="B16" s="10" t="s">
        <v>36</v>
      </c>
      <c r="C16" s="10" t="s">
        <v>40</v>
      </c>
      <c r="D16" s="10" t="s">
        <v>25</v>
      </c>
      <c r="E16" s="11" t="s">
        <v>26</v>
      </c>
      <c r="F16" s="111">
        <v>118306.65</v>
      </c>
      <c r="G16" s="111"/>
      <c r="H16" s="11" t="s">
        <v>27</v>
      </c>
      <c r="I16" s="112" t="s">
        <v>28</v>
      </c>
      <c r="J16" s="112"/>
      <c r="K16" s="12" t="s">
        <v>29</v>
      </c>
      <c r="L16" s="13">
        <v>539329.72</v>
      </c>
    </row>
    <row r="17" spans="1:12" ht="71.400000000000006" hidden="1" x14ac:dyDescent="0.3">
      <c r="A17" s="9" t="s">
        <v>41</v>
      </c>
      <c r="B17" s="10" t="s">
        <v>42</v>
      </c>
      <c r="C17" s="10" t="s">
        <v>43</v>
      </c>
      <c r="D17" s="10" t="s">
        <v>44</v>
      </c>
      <c r="E17" s="11" t="s">
        <v>26</v>
      </c>
      <c r="F17" s="111">
        <v>10519.1</v>
      </c>
      <c r="G17" s="111"/>
      <c r="H17" s="11" t="s">
        <v>27</v>
      </c>
      <c r="I17" s="112" t="s">
        <v>28</v>
      </c>
      <c r="J17" s="112"/>
      <c r="K17" s="12" t="s">
        <v>29</v>
      </c>
      <c r="L17" s="13">
        <v>549848.81999999995</v>
      </c>
    </row>
    <row r="18" spans="1:12" ht="71.400000000000006" hidden="1" x14ac:dyDescent="0.3">
      <c r="A18" s="9" t="s">
        <v>45</v>
      </c>
      <c r="B18" s="10" t="s">
        <v>46</v>
      </c>
      <c r="C18" s="10" t="s">
        <v>47</v>
      </c>
      <c r="D18" s="10" t="s">
        <v>25</v>
      </c>
      <c r="E18" s="11" t="s">
        <v>26</v>
      </c>
      <c r="F18" s="111">
        <v>511606.6</v>
      </c>
      <c r="G18" s="111"/>
      <c r="H18" s="11" t="s">
        <v>27</v>
      </c>
      <c r="I18" s="112" t="s">
        <v>28</v>
      </c>
      <c r="J18" s="112"/>
      <c r="K18" s="12" t="s">
        <v>29</v>
      </c>
      <c r="L18" s="13">
        <v>1061455.42</v>
      </c>
    </row>
    <row r="19" spans="1:12" ht="71.400000000000006" hidden="1" x14ac:dyDescent="0.3">
      <c r="A19" s="9" t="s">
        <v>45</v>
      </c>
      <c r="B19" s="10" t="s">
        <v>48</v>
      </c>
      <c r="C19" s="10" t="s">
        <v>49</v>
      </c>
      <c r="D19" s="10" t="s">
        <v>25</v>
      </c>
      <c r="E19" s="11" t="s">
        <v>26</v>
      </c>
      <c r="F19" s="111">
        <v>551506.59</v>
      </c>
      <c r="G19" s="111"/>
      <c r="H19" s="11" t="s">
        <v>27</v>
      </c>
      <c r="I19" s="112" t="s">
        <v>28</v>
      </c>
      <c r="J19" s="112"/>
      <c r="K19" s="12" t="s">
        <v>29</v>
      </c>
      <c r="L19" s="13">
        <v>1612962.01</v>
      </c>
    </row>
    <row r="20" spans="1:12" ht="61.2" hidden="1" x14ac:dyDescent="0.3">
      <c r="A20" s="9" t="s">
        <v>45</v>
      </c>
      <c r="B20" s="10" t="s">
        <v>50</v>
      </c>
      <c r="C20" s="10" t="s">
        <v>51</v>
      </c>
      <c r="D20" s="10" t="s">
        <v>52</v>
      </c>
      <c r="E20" s="11" t="s">
        <v>26</v>
      </c>
      <c r="F20" s="111">
        <v>14212</v>
      </c>
      <c r="G20" s="111"/>
      <c r="H20" s="11" t="s">
        <v>27</v>
      </c>
      <c r="I20" s="112" t="s">
        <v>28</v>
      </c>
      <c r="J20" s="112"/>
      <c r="K20" s="12" t="s">
        <v>29</v>
      </c>
      <c r="L20" s="13">
        <v>1627174.01</v>
      </c>
    </row>
    <row r="21" spans="1:12" ht="61.2" hidden="1" x14ac:dyDescent="0.3">
      <c r="A21" s="9" t="s">
        <v>45</v>
      </c>
      <c r="B21" s="10" t="s">
        <v>50</v>
      </c>
      <c r="C21" s="10" t="s">
        <v>53</v>
      </c>
      <c r="D21" s="10" t="s">
        <v>52</v>
      </c>
      <c r="E21" s="11" t="s">
        <v>26</v>
      </c>
      <c r="F21" s="111">
        <v>3424</v>
      </c>
      <c r="G21" s="111"/>
      <c r="H21" s="11" t="s">
        <v>27</v>
      </c>
      <c r="I21" s="112" t="s">
        <v>28</v>
      </c>
      <c r="J21" s="112"/>
      <c r="K21" s="12" t="s">
        <v>29</v>
      </c>
      <c r="L21" s="13">
        <v>1630598.01</v>
      </c>
    </row>
    <row r="22" spans="1:12" ht="61.2" hidden="1" x14ac:dyDescent="0.3">
      <c r="A22" s="9" t="s">
        <v>45</v>
      </c>
      <c r="B22" s="10" t="s">
        <v>50</v>
      </c>
      <c r="C22" s="10" t="s">
        <v>54</v>
      </c>
      <c r="D22" s="10" t="s">
        <v>52</v>
      </c>
      <c r="E22" s="11" t="s">
        <v>26</v>
      </c>
      <c r="F22" s="111">
        <v>3830</v>
      </c>
      <c r="G22" s="111"/>
      <c r="H22" s="11" t="s">
        <v>27</v>
      </c>
      <c r="I22" s="112" t="s">
        <v>28</v>
      </c>
      <c r="J22" s="112"/>
      <c r="K22" s="12" t="s">
        <v>29</v>
      </c>
      <c r="L22" s="13">
        <v>1634428.01</v>
      </c>
    </row>
    <row r="23" spans="1:12" ht="61.2" hidden="1" x14ac:dyDescent="0.3">
      <c r="A23" s="9" t="s">
        <v>45</v>
      </c>
      <c r="B23" s="10" t="s">
        <v>50</v>
      </c>
      <c r="C23" s="10" t="s">
        <v>55</v>
      </c>
      <c r="D23" s="10" t="s">
        <v>52</v>
      </c>
      <c r="E23" s="11" t="s">
        <v>26</v>
      </c>
      <c r="F23" s="111">
        <v>19668</v>
      </c>
      <c r="G23" s="111"/>
      <c r="H23" s="11" t="s">
        <v>27</v>
      </c>
      <c r="I23" s="112" t="s">
        <v>28</v>
      </c>
      <c r="J23" s="112"/>
      <c r="K23" s="12" t="s">
        <v>29</v>
      </c>
      <c r="L23" s="13">
        <v>1654096.01</v>
      </c>
    </row>
    <row r="24" spans="1:12" ht="61.2" hidden="1" x14ac:dyDescent="0.3">
      <c r="A24" s="9" t="s">
        <v>45</v>
      </c>
      <c r="B24" s="10" t="s">
        <v>50</v>
      </c>
      <c r="C24" s="10" t="s">
        <v>56</v>
      </c>
      <c r="D24" s="10" t="s">
        <v>52</v>
      </c>
      <c r="E24" s="11" t="s">
        <v>26</v>
      </c>
      <c r="F24" s="111">
        <v>8260</v>
      </c>
      <c r="G24" s="111"/>
      <c r="H24" s="11" t="s">
        <v>27</v>
      </c>
      <c r="I24" s="112" t="s">
        <v>28</v>
      </c>
      <c r="J24" s="112"/>
      <c r="K24" s="12" t="s">
        <v>29</v>
      </c>
      <c r="L24" s="13">
        <v>1662356.01</v>
      </c>
    </row>
    <row r="25" spans="1:12" ht="71.400000000000006" hidden="1" x14ac:dyDescent="0.3">
      <c r="A25" s="9" t="s">
        <v>57</v>
      </c>
      <c r="B25" s="10" t="s">
        <v>58</v>
      </c>
      <c r="C25" s="10" t="s">
        <v>59</v>
      </c>
      <c r="D25" s="10" t="s">
        <v>60</v>
      </c>
      <c r="E25" s="11" t="s">
        <v>26</v>
      </c>
      <c r="F25" s="111">
        <v>1000</v>
      </c>
      <c r="G25" s="111"/>
      <c r="H25" s="11" t="s">
        <v>27</v>
      </c>
      <c r="I25" s="112" t="s">
        <v>28</v>
      </c>
      <c r="J25" s="112"/>
      <c r="K25" s="12" t="s">
        <v>29</v>
      </c>
      <c r="L25" s="13">
        <v>1663356.01</v>
      </c>
    </row>
    <row r="26" spans="1:12" ht="71.400000000000006" hidden="1" x14ac:dyDescent="0.3">
      <c r="A26" s="9" t="s">
        <v>61</v>
      </c>
      <c r="B26" s="10" t="s">
        <v>62</v>
      </c>
      <c r="C26" s="10" t="s">
        <v>63</v>
      </c>
      <c r="D26" s="10" t="s">
        <v>25</v>
      </c>
      <c r="E26" s="11" t="s">
        <v>26</v>
      </c>
      <c r="F26" s="111">
        <v>516039.93</v>
      </c>
      <c r="G26" s="111"/>
      <c r="H26" s="11" t="s">
        <v>27</v>
      </c>
      <c r="I26" s="112" t="s">
        <v>28</v>
      </c>
      <c r="J26" s="112"/>
      <c r="K26" s="12" t="s">
        <v>29</v>
      </c>
      <c r="L26" s="13">
        <v>2179395.94</v>
      </c>
    </row>
    <row r="27" spans="1:12" ht="71.400000000000006" hidden="1" x14ac:dyDescent="0.3">
      <c r="A27" s="9" t="s">
        <v>61</v>
      </c>
      <c r="B27" s="10" t="s">
        <v>64</v>
      </c>
      <c r="C27" s="10" t="s">
        <v>65</v>
      </c>
      <c r="D27" s="10" t="s">
        <v>37</v>
      </c>
      <c r="E27" s="11" t="s">
        <v>26</v>
      </c>
      <c r="F27" s="106" t="s">
        <v>28</v>
      </c>
      <c r="G27" s="106"/>
      <c r="H27" s="11" t="s">
        <v>26</v>
      </c>
      <c r="I27" s="107">
        <v>20566.330000000002</v>
      </c>
      <c r="J27" s="107"/>
      <c r="K27" s="12" t="s">
        <v>29</v>
      </c>
      <c r="L27" s="13">
        <v>2158829.61</v>
      </c>
    </row>
    <row r="28" spans="1:12" ht="71.400000000000006" hidden="1" x14ac:dyDescent="0.3">
      <c r="A28" s="9" t="s">
        <v>61</v>
      </c>
      <c r="B28" s="10" t="s">
        <v>64</v>
      </c>
      <c r="C28" s="10" t="s">
        <v>66</v>
      </c>
      <c r="D28" s="10" t="s">
        <v>39</v>
      </c>
      <c r="E28" s="11" t="s">
        <v>26</v>
      </c>
      <c r="F28" s="106" t="s">
        <v>28</v>
      </c>
      <c r="G28" s="106"/>
      <c r="H28" s="11" t="s">
        <v>26</v>
      </c>
      <c r="I28" s="107">
        <v>77190.66</v>
      </c>
      <c r="J28" s="107"/>
      <c r="K28" s="12" t="s">
        <v>29</v>
      </c>
      <c r="L28" s="13">
        <v>2081638.95</v>
      </c>
    </row>
    <row r="29" spans="1:12" ht="81.599999999999994" hidden="1" x14ac:dyDescent="0.3">
      <c r="A29" s="9" t="s">
        <v>61</v>
      </c>
      <c r="B29" s="10" t="s">
        <v>67</v>
      </c>
      <c r="C29" s="10" t="s">
        <v>68</v>
      </c>
      <c r="D29" s="10" t="s">
        <v>37</v>
      </c>
      <c r="E29" s="11" t="s">
        <v>26</v>
      </c>
      <c r="F29" s="106" t="s">
        <v>28</v>
      </c>
      <c r="G29" s="106"/>
      <c r="H29" s="11" t="s">
        <v>26</v>
      </c>
      <c r="I29" s="107">
        <v>3686.67</v>
      </c>
      <c r="J29" s="107"/>
      <c r="K29" s="12" t="s">
        <v>29</v>
      </c>
      <c r="L29" s="13">
        <v>2077952.28</v>
      </c>
    </row>
    <row r="30" spans="1:12" ht="81.599999999999994" hidden="1" x14ac:dyDescent="0.3">
      <c r="A30" s="9" t="s">
        <v>61</v>
      </c>
      <c r="B30" s="10" t="s">
        <v>67</v>
      </c>
      <c r="C30" s="10" t="s">
        <v>69</v>
      </c>
      <c r="D30" s="10" t="s">
        <v>39</v>
      </c>
      <c r="E30" s="11" t="s">
        <v>26</v>
      </c>
      <c r="F30" s="106" t="s">
        <v>28</v>
      </c>
      <c r="G30" s="106"/>
      <c r="H30" s="11" t="s">
        <v>26</v>
      </c>
      <c r="I30" s="107">
        <v>43623.99</v>
      </c>
      <c r="J30" s="107"/>
      <c r="K30" s="12" t="s">
        <v>29</v>
      </c>
      <c r="L30" s="13">
        <v>2034328.29</v>
      </c>
    </row>
    <row r="31" spans="1:12" ht="81.599999999999994" hidden="1" x14ac:dyDescent="0.3">
      <c r="A31" s="9" t="s">
        <v>61</v>
      </c>
      <c r="B31" s="10" t="s">
        <v>67</v>
      </c>
      <c r="C31" s="10" t="s">
        <v>70</v>
      </c>
      <c r="D31" s="10" t="s">
        <v>35</v>
      </c>
      <c r="E31" s="11" t="s">
        <v>26</v>
      </c>
      <c r="F31" s="106" t="s">
        <v>28</v>
      </c>
      <c r="G31" s="106"/>
      <c r="H31" s="11" t="s">
        <v>26</v>
      </c>
      <c r="I31" s="107">
        <v>24320</v>
      </c>
      <c r="J31" s="107"/>
      <c r="K31" s="12" t="s">
        <v>29</v>
      </c>
      <c r="L31" s="13">
        <v>2010008.29</v>
      </c>
    </row>
    <row r="32" spans="1:12" ht="81.599999999999994" hidden="1" x14ac:dyDescent="0.3">
      <c r="A32" s="9" t="s">
        <v>61</v>
      </c>
      <c r="B32" s="10" t="s">
        <v>67</v>
      </c>
      <c r="C32" s="10" t="s">
        <v>71</v>
      </c>
      <c r="D32" s="10" t="s">
        <v>40</v>
      </c>
      <c r="E32" s="11" t="s">
        <v>26</v>
      </c>
      <c r="F32" s="106" t="s">
        <v>28</v>
      </c>
      <c r="G32" s="106"/>
      <c r="H32" s="11" t="s">
        <v>26</v>
      </c>
      <c r="I32" s="107">
        <v>6586.67</v>
      </c>
      <c r="J32" s="107"/>
      <c r="K32" s="12" t="s">
        <v>29</v>
      </c>
      <c r="L32" s="13">
        <v>2003421.62</v>
      </c>
    </row>
    <row r="33" spans="1:12" ht="71.400000000000006" hidden="1" x14ac:dyDescent="0.3">
      <c r="A33" s="9" t="s">
        <v>61</v>
      </c>
      <c r="B33" s="10" t="s">
        <v>72</v>
      </c>
      <c r="C33" s="10" t="s">
        <v>73</v>
      </c>
      <c r="D33" s="10" t="s">
        <v>37</v>
      </c>
      <c r="E33" s="11" t="s">
        <v>26</v>
      </c>
      <c r="F33" s="106" t="s">
        <v>28</v>
      </c>
      <c r="G33" s="106"/>
      <c r="H33" s="11" t="s">
        <v>26</v>
      </c>
      <c r="I33" s="107">
        <v>24726.99</v>
      </c>
      <c r="J33" s="107"/>
      <c r="K33" s="12" t="s">
        <v>29</v>
      </c>
      <c r="L33" s="13">
        <v>1978694.63</v>
      </c>
    </row>
    <row r="34" spans="1:12" ht="71.400000000000006" hidden="1" x14ac:dyDescent="0.3">
      <c r="A34" s="9" t="s">
        <v>61</v>
      </c>
      <c r="B34" s="10" t="s">
        <v>72</v>
      </c>
      <c r="C34" s="10" t="s">
        <v>74</v>
      </c>
      <c r="D34" s="10" t="s">
        <v>39</v>
      </c>
      <c r="E34" s="11" t="s">
        <v>26</v>
      </c>
      <c r="F34" s="106" t="s">
        <v>28</v>
      </c>
      <c r="G34" s="106"/>
      <c r="H34" s="11" t="s">
        <v>26</v>
      </c>
      <c r="I34" s="107">
        <v>83498.66</v>
      </c>
      <c r="J34" s="107"/>
      <c r="K34" s="12" t="s">
        <v>29</v>
      </c>
      <c r="L34" s="13">
        <v>1895195.97</v>
      </c>
    </row>
    <row r="35" spans="1:12" ht="71.400000000000006" hidden="1" x14ac:dyDescent="0.3">
      <c r="A35" s="9" t="s">
        <v>61</v>
      </c>
      <c r="B35" s="10" t="s">
        <v>75</v>
      </c>
      <c r="C35" s="10" t="s">
        <v>76</v>
      </c>
      <c r="D35" s="10" t="s">
        <v>40</v>
      </c>
      <c r="E35" s="11" t="s">
        <v>26</v>
      </c>
      <c r="F35" s="106" t="s">
        <v>28</v>
      </c>
      <c r="G35" s="106"/>
      <c r="H35" s="11" t="s">
        <v>26</v>
      </c>
      <c r="I35" s="107">
        <v>111719.98</v>
      </c>
      <c r="J35" s="107"/>
      <c r="K35" s="12" t="s">
        <v>29</v>
      </c>
      <c r="L35" s="13">
        <v>1783475.99</v>
      </c>
    </row>
    <row r="36" spans="1:12" ht="61.2" hidden="1" x14ac:dyDescent="0.3">
      <c r="A36" s="9" t="s">
        <v>61</v>
      </c>
      <c r="B36" s="10" t="s">
        <v>77</v>
      </c>
      <c r="C36" s="10" t="s">
        <v>78</v>
      </c>
      <c r="D36" s="10" t="s">
        <v>55</v>
      </c>
      <c r="E36" s="11" t="s">
        <v>26</v>
      </c>
      <c r="F36" s="106" t="s">
        <v>28</v>
      </c>
      <c r="G36" s="106"/>
      <c r="H36" s="11" t="s">
        <v>26</v>
      </c>
      <c r="I36" s="107">
        <v>19668</v>
      </c>
      <c r="J36" s="107"/>
      <c r="K36" s="12" t="s">
        <v>29</v>
      </c>
      <c r="L36" s="13">
        <v>1763807.99</v>
      </c>
    </row>
    <row r="37" spans="1:12" ht="61.2" hidden="1" x14ac:dyDescent="0.3">
      <c r="A37" s="9" t="s">
        <v>61</v>
      </c>
      <c r="B37" s="10" t="s">
        <v>79</v>
      </c>
      <c r="C37" s="10" t="s">
        <v>80</v>
      </c>
      <c r="D37" s="10" t="s">
        <v>56</v>
      </c>
      <c r="E37" s="11" t="s">
        <v>26</v>
      </c>
      <c r="F37" s="106" t="s">
        <v>28</v>
      </c>
      <c r="G37" s="106"/>
      <c r="H37" s="11" t="s">
        <v>26</v>
      </c>
      <c r="I37" s="107">
        <v>8260</v>
      </c>
      <c r="J37" s="107"/>
      <c r="K37" s="12" t="s">
        <v>29</v>
      </c>
      <c r="L37" s="13">
        <v>1755547.99</v>
      </c>
    </row>
    <row r="38" spans="1:12" ht="71.400000000000006" hidden="1" x14ac:dyDescent="0.3">
      <c r="A38" s="9" t="s">
        <v>61</v>
      </c>
      <c r="B38" s="10" t="s">
        <v>81</v>
      </c>
      <c r="C38" s="10" t="s">
        <v>66</v>
      </c>
      <c r="D38" s="10" t="s">
        <v>39</v>
      </c>
      <c r="E38" s="11" t="s">
        <v>26</v>
      </c>
      <c r="F38" s="106" t="s">
        <v>28</v>
      </c>
      <c r="G38" s="106"/>
      <c r="H38" s="11" t="s">
        <v>26</v>
      </c>
      <c r="I38" s="107">
        <v>4433.33</v>
      </c>
      <c r="J38" s="107"/>
      <c r="K38" s="12" t="s">
        <v>29</v>
      </c>
      <c r="L38" s="13">
        <v>1751114.66</v>
      </c>
    </row>
    <row r="39" spans="1:12" ht="71.400000000000006" hidden="1" x14ac:dyDescent="0.3">
      <c r="A39" s="9" t="s">
        <v>61</v>
      </c>
      <c r="B39" s="10" t="s">
        <v>81</v>
      </c>
      <c r="C39" s="10" t="s">
        <v>82</v>
      </c>
      <c r="D39" s="10" t="s">
        <v>47</v>
      </c>
      <c r="E39" s="11" t="s">
        <v>26</v>
      </c>
      <c r="F39" s="106" t="s">
        <v>28</v>
      </c>
      <c r="G39" s="106"/>
      <c r="H39" s="11" t="s">
        <v>26</v>
      </c>
      <c r="I39" s="107">
        <v>507173.27</v>
      </c>
      <c r="J39" s="107"/>
      <c r="K39" s="12" t="s">
        <v>29</v>
      </c>
      <c r="L39" s="13">
        <v>1243941.3899999999</v>
      </c>
    </row>
    <row r="40" spans="1:12" ht="71.400000000000006" hidden="1" x14ac:dyDescent="0.3">
      <c r="A40" s="9" t="s">
        <v>61</v>
      </c>
      <c r="B40" s="10" t="s">
        <v>83</v>
      </c>
      <c r="C40" s="10" t="s">
        <v>82</v>
      </c>
      <c r="D40" s="10" t="s">
        <v>47</v>
      </c>
      <c r="E40" s="11" t="s">
        <v>26</v>
      </c>
      <c r="F40" s="106" t="s">
        <v>28</v>
      </c>
      <c r="G40" s="106"/>
      <c r="H40" s="11" t="s">
        <v>26</v>
      </c>
      <c r="I40" s="107">
        <v>4433.33</v>
      </c>
      <c r="J40" s="107"/>
      <c r="K40" s="12" t="s">
        <v>29</v>
      </c>
      <c r="L40" s="13">
        <v>1239508.06</v>
      </c>
    </row>
    <row r="41" spans="1:12" ht="71.400000000000006" hidden="1" x14ac:dyDescent="0.3">
      <c r="A41" s="9" t="s">
        <v>61</v>
      </c>
      <c r="B41" s="10" t="s">
        <v>83</v>
      </c>
      <c r="C41" s="10" t="s">
        <v>84</v>
      </c>
      <c r="D41" s="10" t="s">
        <v>49</v>
      </c>
      <c r="E41" s="11" t="s">
        <v>26</v>
      </c>
      <c r="F41" s="106" t="s">
        <v>28</v>
      </c>
      <c r="G41" s="106"/>
      <c r="H41" s="11" t="s">
        <v>26</v>
      </c>
      <c r="I41" s="107">
        <v>547073.26</v>
      </c>
      <c r="J41" s="107"/>
      <c r="K41" s="12" t="s">
        <v>29</v>
      </c>
      <c r="L41" s="13">
        <v>692434.8</v>
      </c>
    </row>
    <row r="42" spans="1:12" ht="71.400000000000006" hidden="1" x14ac:dyDescent="0.3">
      <c r="A42" s="9" t="s">
        <v>61</v>
      </c>
      <c r="B42" s="10" t="s">
        <v>85</v>
      </c>
      <c r="C42" s="10" t="s">
        <v>86</v>
      </c>
      <c r="D42" s="10" t="s">
        <v>63</v>
      </c>
      <c r="E42" s="11" t="s">
        <v>26</v>
      </c>
      <c r="F42" s="106" t="s">
        <v>28</v>
      </c>
      <c r="G42" s="106"/>
      <c r="H42" s="11" t="s">
        <v>26</v>
      </c>
      <c r="I42" s="107">
        <v>103942.65</v>
      </c>
      <c r="J42" s="107"/>
      <c r="K42" s="12" t="s">
        <v>29</v>
      </c>
      <c r="L42" s="13">
        <v>588492.15</v>
      </c>
    </row>
    <row r="43" spans="1:12" ht="71.400000000000006" hidden="1" x14ac:dyDescent="0.3">
      <c r="A43" s="9" t="s">
        <v>61</v>
      </c>
      <c r="B43" s="10" t="s">
        <v>87</v>
      </c>
      <c r="C43" s="10" t="s">
        <v>88</v>
      </c>
      <c r="D43" s="10" t="s">
        <v>38</v>
      </c>
      <c r="E43" s="11" t="s">
        <v>26</v>
      </c>
      <c r="F43" s="106" t="s">
        <v>28</v>
      </c>
      <c r="G43" s="106"/>
      <c r="H43" s="11" t="s">
        <v>26</v>
      </c>
      <c r="I43" s="107">
        <v>124556.65</v>
      </c>
      <c r="J43" s="107"/>
      <c r="K43" s="12" t="s">
        <v>29</v>
      </c>
      <c r="L43" s="13">
        <v>463935.5</v>
      </c>
    </row>
    <row r="44" spans="1:12" ht="71.400000000000006" hidden="1" x14ac:dyDescent="0.3">
      <c r="A44" s="9" t="s">
        <v>89</v>
      </c>
      <c r="B44" s="10" t="s">
        <v>90</v>
      </c>
      <c r="C44" s="10" t="s">
        <v>91</v>
      </c>
      <c r="D44" s="10" t="s">
        <v>63</v>
      </c>
      <c r="E44" s="11" t="s">
        <v>26</v>
      </c>
      <c r="F44" s="106" t="s">
        <v>28</v>
      </c>
      <c r="G44" s="106"/>
      <c r="H44" s="11" t="s">
        <v>26</v>
      </c>
      <c r="I44" s="107">
        <v>399253.28</v>
      </c>
      <c r="J44" s="107"/>
      <c r="K44" s="12" t="s">
        <v>29</v>
      </c>
      <c r="L44" s="13">
        <v>64682.22</v>
      </c>
    </row>
    <row r="45" spans="1:12" ht="71.400000000000006" hidden="1" x14ac:dyDescent="0.3">
      <c r="A45" s="9" t="s">
        <v>89</v>
      </c>
      <c r="B45" s="10" t="s">
        <v>92</v>
      </c>
      <c r="C45" s="10" t="s">
        <v>93</v>
      </c>
      <c r="D45" s="10" t="s">
        <v>25</v>
      </c>
      <c r="E45" s="11" t="s">
        <v>26</v>
      </c>
      <c r="F45" s="111">
        <v>564426.59</v>
      </c>
      <c r="G45" s="111"/>
      <c r="H45" s="11" t="s">
        <v>27</v>
      </c>
      <c r="I45" s="112" t="s">
        <v>28</v>
      </c>
      <c r="J45" s="112"/>
      <c r="K45" s="12" t="s">
        <v>29</v>
      </c>
      <c r="L45" s="13">
        <v>629108.81000000006</v>
      </c>
    </row>
    <row r="46" spans="1:12" ht="71.400000000000006" hidden="1" x14ac:dyDescent="0.3">
      <c r="A46" s="9" t="s">
        <v>89</v>
      </c>
      <c r="B46" s="10" t="s">
        <v>94</v>
      </c>
      <c r="C46" s="10" t="s">
        <v>95</v>
      </c>
      <c r="D46" s="10" t="s">
        <v>25</v>
      </c>
      <c r="E46" s="11" t="s">
        <v>26</v>
      </c>
      <c r="F46" s="111">
        <v>75313.320000000007</v>
      </c>
      <c r="G46" s="111"/>
      <c r="H46" s="11" t="s">
        <v>27</v>
      </c>
      <c r="I46" s="112" t="s">
        <v>28</v>
      </c>
      <c r="J46" s="112"/>
      <c r="K46" s="12" t="s">
        <v>29</v>
      </c>
      <c r="L46" s="13">
        <v>704422.13</v>
      </c>
    </row>
    <row r="47" spans="1:12" ht="71.400000000000006" hidden="1" x14ac:dyDescent="0.3">
      <c r="A47" s="9" t="s">
        <v>89</v>
      </c>
      <c r="B47" s="10" t="s">
        <v>94</v>
      </c>
      <c r="C47" s="10" t="s">
        <v>96</v>
      </c>
      <c r="D47" s="10" t="s">
        <v>25</v>
      </c>
      <c r="E47" s="11" t="s">
        <v>26</v>
      </c>
      <c r="F47" s="111">
        <v>270559.96000000002</v>
      </c>
      <c r="G47" s="111"/>
      <c r="H47" s="11" t="s">
        <v>27</v>
      </c>
      <c r="I47" s="112" t="s">
        <v>28</v>
      </c>
      <c r="J47" s="112"/>
      <c r="K47" s="12" t="s">
        <v>29</v>
      </c>
      <c r="L47" s="13">
        <v>974982.09</v>
      </c>
    </row>
    <row r="48" spans="1:12" ht="71.400000000000006" hidden="1" x14ac:dyDescent="0.3">
      <c r="A48" s="9" t="s">
        <v>89</v>
      </c>
      <c r="B48" s="10" t="s">
        <v>94</v>
      </c>
      <c r="C48" s="10" t="s">
        <v>97</v>
      </c>
      <c r="D48" s="10" t="s">
        <v>25</v>
      </c>
      <c r="E48" s="11" t="s">
        <v>26</v>
      </c>
      <c r="F48" s="111">
        <v>186199.98</v>
      </c>
      <c r="G48" s="111"/>
      <c r="H48" s="11" t="s">
        <v>27</v>
      </c>
      <c r="I48" s="112" t="s">
        <v>28</v>
      </c>
      <c r="J48" s="112"/>
      <c r="K48" s="12" t="s">
        <v>29</v>
      </c>
      <c r="L48" s="13">
        <v>1161182.07</v>
      </c>
    </row>
    <row r="49" spans="1:12" ht="71.400000000000006" hidden="1" x14ac:dyDescent="0.3">
      <c r="A49" s="9" t="s">
        <v>89</v>
      </c>
      <c r="B49" s="10" t="s">
        <v>94</v>
      </c>
      <c r="C49" s="10" t="s">
        <v>98</v>
      </c>
      <c r="D49" s="10" t="s">
        <v>25</v>
      </c>
      <c r="E49" s="11" t="s">
        <v>26</v>
      </c>
      <c r="F49" s="111">
        <v>22546.66</v>
      </c>
      <c r="G49" s="111"/>
      <c r="H49" s="11" t="s">
        <v>27</v>
      </c>
      <c r="I49" s="112" t="s">
        <v>28</v>
      </c>
      <c r="J49" s="112"/>
      <c r="K49" s="12" t="s">
        <v>29</v>
      </c>
      <c r="L49" s="13">
        <v>1183728.73</v>
      </c>
    </row>
    <row r="50" spans="1:12" ht="81.599999999999994" hidden="1" x14ac:dyDescent="0.3">
      <c r="A50" s="9" t="s">
        <v>89</v>
      </c>
      <c r="B50" s="10" t="s">
        <v>99</v>
      </c>
      <c r="C50" s="10" t="s">
        <v>100</v>
      </c>
      <c r="D50" s="10" t="s">
        <v>63</v>
      </c>
      <c r="E50" s="11" t="s">
        <v>26</v>
      </c>
      <c r="F50" s="106" t="s">
        <v>28</v>
      </c>
      <c r="G50" s="106"/>
      <c r="H50" s="11" t="s">
        <v>26</v>
      </c>
      <c r="I50" s="107">
        <v>12844</v>
      </c>
      <c r="J50" s="107"/>
      <c r="K50" s="12" t="s">
        <v>29</v>
      </c>
      <c r="L50" s="13">
        <v>1170884.73</v>
      </c>
    </row>
    <row r="51" spans="1:12" ht="81.599999999999994" hidden="1" x14ac:dyDescent="0.3">
      <c r="A51" s="9" t="s">
        <v>101</v>
      </c>
      <c r="B51" s="10" t="s">
        <v>102</v>
      </c>
      <c r="C51" s="10" t="s">
        <v>103</v>
      </c>
      <c r="D51" s="10" t="s">
        <v>93</v>
      </c>
      <c r="E51" s="11" t="s">
        <v>26</v>
      </c>
      <c r="F51" s="106" t="s">
        <v>28</v>
      </c>
      <c r="G51" s="106"/>
      <c r="H51" s="11" t="s">
        <v>26</v>
      </c>
      <c r="I51" s="107">
        <v>564426.59</v>
      </c>
      <c r="J51" s="107"/>
      <c r="K51" s="12" t="s">
        <v>29</v>
      </c>
      <c r="L51" s="13">
        <v>606458.14</v>
      </c>
    </row>
    <row r="52" spans="1:12" ht="81.599999999999994" hidden="1" x14ac:dyDescent="0.3">
      <c r="A52" s="9" t="s">
        <v>101</v>
      </c>
      <c r="B52" s="10" t="s">
        <v>104</v>
      </c>
      <c r="C52" s="10" t="s">
        <v>105</v>
      </c>
      <c r="D52" s="10" t="s">
        <v>98</v>
      </c>
      <c r="E52" s="11" t="s">
        <v>26</v>
      </c>
      <c r="F52" s="106" t="s">
        <v>28</v>
      </c>
      <c r="G52" s="106"/>
      <c r="H52" s="11" t="s">
        <v>26</v>
      </c>
      <c r="I52" s="107">
        <v>22546.66</v>
      </c>
      <c r="J52" s="107"/>
      <c r="K52" s="12" t="s">
        <v>29</v>
      </c>
      <c r="L52" s="13">
        <v>583911.48</v>
      </c>
    </row>
    <row r="53" spans="1:12" ht="71.400000000000006" hidden="1" x14ac:dyDescent="0.3">
      <c r="A53" s="9" t="s">
        <v>101</v>
      </c>
      <c r="B53" s="10" t="s">
        <v>106</v>
      </c>
      <c r="C53" s="10" t="s">
        <v>107</v>
      </c>
      <c r="D53" s="10" t="s">
        <v>95</v>
      </c>
      <c r="E53" s="11" t="s">
        <v>26</v>
      </c>
      <c r="F53" s="106" t="s">
        <v>28</v>
      </c>
      <c r="G53" s="106"/>
      <c r="H53" s="11" t="s">
        <v>26</v>
      </c>
      <c r="I53" s="107">
        <v>18565</v>
      </c>
      <c r="J53" s="107"/>
      <c r="K53" s="12" t="s">
        <v>29</v>
      </c>
      <c r="L53" s="13">
        <v>565346.48</v>
      </c>
    </row>
    <row r="54" spans="1:12" ht="71.400000000000006" hidden="1" x14ac:dyDescent="0.3">
      <c r="A54" s="9" t="s">
        <v>101</v>
      </c>
      <c r="B54" s="10" t="s">
        <v>106</v>
      </c>
      <c r="C54" s="10" t="s">
        <v>108</v>
      </c>
      <c r="D54" s="10" t="s">
        <v>49</v>
      </c>
      <c r="E54" s="11" t="s">
        <v>26</v>
      </c>
      <c r="F54" s="106" t="s">
        <v>28</v>
      </c>
      <c r="G54" s="106"/>
      <c r="H54" s="11" t="s">
        <v>26</v>
      </c>
      <c r="I54" s="107">
        <v>4433.33</v>
      </c>
      <c r="J54" s="107"/>
      <c r="K54" s="12" t="s">
        <v>29</v>
      </c>
      <c r="L54" s="13">
        <v>560913.15</v>
      </c>
    </row>
    <row r="55" spans="1:12" ht="71.400000000000006" hidden="1" x14ac:dyDescent="0.3">
      <c r="A55" s="9" t="s">
        <v>101</v>
      </c>
      <c r="B55" s="10" t="s">
        <v>106</v>
      </c>
      <c r="C55" s="10" t="s">
        <v>109</v>
      </c>
      <c r="D55" s="10" t="s">
        <v>96</v>
      </c>
      <c r="E55" s="11" t="s">
        <v>26</v>
      </c>
      <c r="F55" s="106" t="s">
        <v>28</v>
      </c>
      <c r="G55" s="106"/>
      <c r="H55" s="11" t="s">
        <v>26</v>
      </c>
      <c r="I55" s="107">
        <v>266126.63</v>
      </c>
      <c r="J55" s="107"/>
      <c r="K55" s="12" t="s">
        <v>29</v>
      </c>
      <c r="L55" s="13">
        <v>294786.52</v>
      </c>
    </row>
    <row r="56" spans="1:12" ht="71.400000000000006" hidden="1" x14ac:dyDescent="0.3">
      <c r="A56" s="9" t="s">
        <v>101</v>
      </c>
      <c r="B56" s="10" t="s">
        <v>106</v>
      </c>
      <c r="C56" s="10" t="s">
        <v>110</v>
      </c>
      <c r="D56" s="10" t="s">
        <v>97</v>
      </c>
      <c r="E56" s="11" t="s">
        <v>26</v>
      </c>
      <c r="F56" s="106" t="s">
        <v>28</v>
      </c>
      <c r="G56" s="106"/>
      <c r="H56" s="11" t="s">
        <v>26</v>
      </c>
      <c r="I56" s="107">
        <v>186199.98</v>
      </c>
      <c r="J56" s="107"/>
      <c r="K56" s="12" t="s">
        <v>29</v>
      </c>
      <c r="L56" s="13">
        <v>108586.54</v>
      </c>
    </row>
    <row r="57" spans="1:12" ht="81.599999999999994" hidden="1" x14ac:dyDescent="0.3">
      <c r="A57" s="9" t="s">
        <v>101</v>
      </c>
      <c r="B57" s="10" t="s">
        <v>111</v>
      </c>
      <c r="C57" s="10" t="s">
        <v>112</v>
      </c>
      <c r="D57" s="10" t="s">
        <v>95</v>
      </c>
      <c r="E57" s="11" t="s">
        <v>26</v>
      </c>
      <c r="F57" s="106" t="s">
        <v>28</v>
      </c>
      <c r="G57" s="106"/>
      <c r="H57" s="11" t="s">
        <v>26</v>
      </c>
      <c r="I57" s="107">
        <v>36155.660000000003</v>
      </c>
      <c r="J57" s="107"/>
      <c r="K57" s="12" t="s">
        <v>29</v>
      </c>
      <c r="L57" s="13">
        <v>72430.880000000005</v>
      </c>
    </row>
    <row r="58" spans="1:12" ht="71.400000000000006" hidden="1" x14ac:dyDescent="0.3">
      <c r="A58" s="9" t="s">
        <v>101</v>
      </c>
      <c r="B58" s="10" t="s">
        <v>113</v>
      </c>
      <c r="C58" s="10" t="s">
        <v>114</v>
      </c>
      <c r="D58" s="10" t="s">
        <v>95</v>
      </c>
      <c r="E58" s="11" t="s">
        <v>26</v>
      </c>
      <c r="F58" s="106" t="s">
        <v>28</v>
      </c>
      <c r="G58" s="106"/>
      <c r="H58" s="11" t="s">
        <v>26</v>
      </c>
      <c r="I58" s="107">
        <v>20592.66</v>
      </c>
      <c r="J58" s="107"/>
      <c r="K58" s="12" t="s">
        <v>29</v>
      </c>
      <c r="L58" s="13">
        <v>51838.22</v>
      </c>
    </row>
    <row r="59" spans="1:12" ht="71.400000000000006" hidden="1" x14ac:dyDescent="0.3">
      <c r="A59" s="9" t="s">
        <v>115</v>
      </c>
      <c r="B59" s="10" t="s">
        <v>116</v>
      </c>
      <c r="C59" s="10" t="s">
        <v>117</v>
      </c>
      <c r="D59" s="10" t="s">
        <v>118</v>
      </c>
      <c r="E59" s="11" t="s">
        <v>26</v>
      </c>
      <c r="F59" s="111">
        <v>1620</v>
      </c>
      <c r="G59" s="111"/>
      <c r="H59" s="11" t="s">
        <v>27</v>
      </c>
      <c r="I59" s="112" t="s">
        <v>28</v>
      </c>
      <c r="J59" s="112"/>
      <c r="K59" s="12" t="s">
        <v>29</v>
      </c>
      <c r="L59" s="13">
        <v>53458.22</v>
      </c>
    </row>
    <row r="60" spans="1:12" ht="71.400000000000006" hidden="1" x14ac:dyDescent="0.3">
      <c r="A60" s="9" t="s">
        <v>115</v>
      </c>
      <c r="B60" s="10" t="s">
        <v>116</v>
      </c>
      <c r="C60" s="10" t="s">
        <v>119</v>
      </c>
      <c r="D60" s="10" t="s">
        <v>118</v>
      </c>
      <c r="E60" s="11" t="s">
        <v>26</v>
      </c>
      <c r="F60" s="113">
        <v>224.4</v>
      </c>
      <c r="G60" s="113"/>
      <c r="H60" s="11" t="s">
        <v>27</v>
      </c>
      <c r="I60" s="112" t="s">
        <v>28</v>
      </c>
      <c r="J60" s="112"/>
      <c r="K60" s="12" t="s">
        <v>29</v>
      </c>
      <c r="L60" s="13">
        <v>53682.62</v>
      </c>
    </row>
    <row r="61" spans="1:12" ht="71.400000000000006" hidden="1" x14ac:dyDescent="0.3">
      <c r="A61" s="9" t="s">
        <v>115</v>
      </c>
      <c r="B61" s="10" t="s">
        <v>116</v>
      </c>
      <c r="C61" s="10" t="s">
        <v>120</v>
      </c>
      <c r="D61" s="10" t="s">
        <v>118</v>
      </c>
      <c r="E61" s="11" t="s">
        <v>26</v>
      </c>
      <c r="F61" s="113">
        <v>600.5</v>
      </c>
      <c r="G61" s="113"/>
      <c r="H61" s="11" t="s">
        <v>27</v>
      </c>
      <c r="I61" s="112" t="s">
        <v>28</v>
      </c>
      <c r="J61" s="112"/>
      <c r="K61" s="12" t="s">
        <v>29</v>
      </c>
      <c r="L61" s="13">
        <v>54283.12</v>
      </c>
    </row>
    <row r="62" spans="1:12" ht="61.2" hidden="1" x14ac:dyDescent="0.3">
      <c r="A62" s="9" t="s">
        <v>115</v>
      </c>
      <c r="B62" s="10" t="s">
        <v>121</v>
      </c>
      <c r="C62" s="10" t="s">
        <v>122</v>
      </c>
      <c r="D62" s="10" t="s">
        <v>123</v>
      </c>
      <c r="E62" s="11" t="s">
        <v>26</v>
      </c>
      <c r="F62" s="113">
        <v>875</v>
      </c>
      <c r="G62" s="113"/>
      <c r="H62" s="11" t="s">
        <v>26</v>
      </c>
      <c r="I62" s="112" t="s">
        <v>28</v>
      </c>
      <c r="J62" s="112"/>
      <c r="K62" s="12" t="s">
        <v>29</v>
      </c>
      <c r="L62" s="13">
        <v>55158.12</v>
      </c>
    </row>
    <row r="63" spans="1:12" ht="71.400000000000006" hidden="1" x14ac:dyDescent="0.3">
      <c r="A63" s="9" t="s">
        <v>115</v>
      </c>
      <c r="B63" s="10" t="s">
        <v>121</v>
      </c>
      <c r="C63" s="10" t="s">
        <v>124</v>
      </c>
      <c r="D63" s="10" t="s">
        <v>125</v>
      </c>
      <c r="E63" s="11" t="s">
        <v>26</v>
      </c>
      <c r="F63" s="111">
        <v>1417</v>
      </c>
      <c r="G63" s="111"/>
      <c r="H63" s="11" t="s">
        <v>26</v>
      </c>
      <c r="I63" s="112" t="s">
        <v>28</v>
      </c>
      <c r="J63" s="112"/>
      <c r="K63" s="12" t="s">
        <v>29</v>
      </c>
      <c r="L63" s="13">
        <v>56575.12</v>
      </c>
    </row>
    <row r="64" spans="1:12" ht="61.2" hidden="1" x14ac:dyDescent="0.3">
      <c r="A64" s="9" t="s">
        <v>115</v>
      </c>
      <c r="B64" s="10" t="s">
        <v>121</v>
      </c>
      <c r="C64" s="10" t="s">
        <v>126</v>
      </c>
      <c r="D64" s="10" t="s">
        <v>127</v>
      </c>
      <c r="E64" s="11" t="s">
        <v>26</v>
      </c>
      <c r="F64" s="111">
        <v>5857</v>
      </c>
      <c r="G64" s="111"/>
      <c r="H64" s="11" t="s">
        <v>26</v>
      </c>
      <c r="I64" s="112" t="s">
        <v>28</v>
      </c>
      <c r="J64" s="112"/>
      <c r="K64" s="12" t="s">
        <v>29</v>
      </c>
      <c r="L64" s="13">
        <v>62432.12</v>
      </c>
    </row>
    <row r="65" spans="1:12" ht="71.400000000000006" hidden="1" x14ac:dyDescent="0.3">
      <c r="A65" s="9" t="s">
        <v>115</v>
      </c>
      <c r="B65" s="10" t="s">
        <v>121</v>
      </c>
      <c r="C65" s="10" t="s">
        <v>128</v>
      </c>
      <c r="D65" s="10" t="s">
        <v>129</v>
      </c>
      <c r="E65" s="11" t="s">
        <v>26</v>
      </c>
      <c r="F65" s="113">
        <v>390.15</v>
      </c>
      <c r="G65" s="113"/>
      <c r="H65" s="11" t="s">
        <v>26</v>
      </c>
      <c r="I65" s="112" t="s">
        <v>28</v>
      </c>
      <c r="J65" s="112"/>
      <c r="K65" s="12" t="s">
        <v>29</v>
      </c>
      <c r="L65" s="13">
        <v>62822.27</v>
      </c>
    </row>
    <row r="66" spans="1:12" ht="61.2" hidden="1" x14ac:dyDescent="0.3">
      <c r="A66" s="9" t="s">
        <v>115</v>
      </c>
      <c r="B66" s="10" t="s">
        <v>121</v>
      </c>
      <c r="C66" s="10" t="s">
        <v>130</v>
      </c>
      <c r="D66" s="10" t="s">
        <v>131</v>
      </c>
      <c r="E66" s="11" t="s">
        <v>26</v>
      </c>
      <c r="F66" s="113">
        <v>281.05</v>
      </c>
      <c r="G66" s="113"/>
      <c r="H66" s="11" t="s">
        <v>26</v>
      </c>
      <c r="I66" s="112" t="s">
        <v>28</v>
      </c>
      <c r="J66" s="112"/>
      <c r="K66" s="12" t="s">
        <v>29</v>
      </c>
      <c r="L66" s="13">
        <v>63103.32</v>
      </c>
    </row>
    <row r="67" spans="1:12" ht="71.400000000000006" hidden="1" x14ac:dyDescent="0.3">
      <c r="A67" s="9" t="s">
        <v>115</v>
      </c>
      <c r="B67" s="10" t="s">
        <v>121</v>
      </c>
      <c r="C67" s="10" t="s">
        <v>132</v>
      </c>
      <c r="D67" s="10" t="s">
        <v>133</v>
      </c>
      <c r="E67" s="11" t="s">
        <v>26</v>
      </c>
      <c r="F67" s="111">
        <v>18250</v>
      </c>
      <c r="G67" s="111"/>
      <c r="H67" s="11" t="s">
        <v>26</v>
      </c>
      <c r="I67" s="112" t="s">
        <v>28</v>
      </c>
      <c r="J67" s="112"/>
      <c r="K67" s="12" t="s">
        <v>29</v>
      </c>
      <c r="L67" s="13">
        <v>81353.320000000007</v>
      </c>
    </row>
    <row r="68" spans="1:12" ht="71.400000000000006" hidden="1" x14ac:dyDescent="0.3">
      <c r="A68" s="9" t="s">
        <v>115</v>
      </c>
      <c r="B68" s="10" t="s">
        <v>121</v>
      </c>
      <c r="C68" s="10" t="s">
        <v>134</v>
      </c>
      <c r="D68" s="10" t="s">
        <v>135</v>
      </c>
      <c r="E68" s="11" t="s">
        <v>26</v>
      </c>
      <c r="F68" s="111">
        <v>1974.9</v>
      </c>
      <c r="G68" s="111"/>
      <c r="H68" s="11" t="s">
        <v>26</v>
      </c>
      <c r="I68" s="112" t="s">
        <v>28</v>
      </c>
      <c r="J68" s="112"/>
      <c r="K68" s="12" t="s">
        <v>29</v>
      </c>
      <c r="L68" s="13">
        <v>83328.22</v>
      </c>
    </row>
    <row r="69" spans="1:12" ht="71.400000000000006" hidden="1" x14ac:dyDescent="0.3">
      <c r="A69" s="9" t="s">
        <v>115</v>
      </c>
      <c r="B69" s="10" t="s">
        <v>121</v>
      </c>
      <c r="C69" s="10" t="s">
        <v>136</v>
      </c>
      <c r="D69" s="10" t="s">
        <v>137</v>
      </c>
      <c r="E69" s="11" t="s">
        <v>26</v>
      </c>
      <c r="F69" s="111">
        <v>1974.9</v>
      </c>
      <c r="G69" s="111"/>
      <c r="H69" s="11" t="s">
        <v>26</v>
      </c>
      <c r="I69" s="112" t="s">
        <v>28</v>
      </c>
      <c r="J69" s="112"/>
      <c r="K69" s="12" t="s">
        <v>29</v>
      </c>
      <c r="L69" s="13">
        <v>85303.12</v>
      </c>
    </row>
    <row r="70" spans="1:12" ht="61.2" hidden="1" x14ac:dyDescent="0.3">
      <c r="A70" s="9" t="s">
        <v>115</v>
      </c>
      <c r="B70" s="10" t="s">
        <v>121</v>
      </c>
      <c r="C70" s="10" t="s">
        <v>138</v>
      </c>
      <c r="D70" s="10" t="s">
        <v>139</v>
      </c>
      <c r="E70" s="11" t="s">
        <v>26</v>
      </c>
      <c r="F70" s="111">
        <v>1518</v>
      </c>
      <c r="G70" s="111"/>
      <c r="H70" s="11" t="s">
        <v>26</v>
      </c>
      <c r="I70" s="112" t="s">
        <v>28</v>
      </c>
      <c r="J70" s="112"/>
      <c r="K70" s="12" t="s">
        <v>29</v>
      </c>
      <c r="L70" s="13">
        <v>86821.119999999995</v>
      </c>
    </row>
    <row r="71" spans="1:12" ht="71.400000000000006" hidden="1" x14ac:dyDescent="0.3">
      <c r="A71" s="9" t="s">
        <v>115</v>
      </c>
      <c r="B71" s="10" t="s">
        <v>121</v>
      </c>
      <c r="C71" s="10" t="s">
        <v>140</v>
      </c>
      <c r="D71" s="10" t="s">
        <v>141</v>
      </c>
      <c r="E71" s="11" t="s">
        <v>26</v>
      </c>
      <c r="F71" s="111">
        <v>1162.75</v>
      </c>
      <c r="G71" s="111"/>
      <c r="H71" s="11" t="s">
        <v>26</v>
      </c>
      <c r="I71" s="112" t="s">
        <v>28</v>
      </c>
      <c r="J71" s="112"/>
      <c r="K71" s="12" t="s">
        <v>29</v>
      </c>
      <c r="L71" s="13">
        <v>87983.87</v>
      </c>
    </row>
    <row r="72" spans="1:12" ht="71.400000000000006" hidden="1" x14ac:dyDescent="0.3">
      <c r="A72" s="9" t="s">
        <v>115</v>
      </c>
      <c r="B72" s="10" t="s">
        <v>142</v>
      </c>
      <c r="C72" s="10" t="s">
        <v>143</v>
      </c>
      <c r="D72" s="10" t="s">
        <v>144</v>
      </c>
      <c r="E72" s="11" t="s">
        <v>26</v>
      </c>
      <c r="F72" s="111">
        <v>14859</v>
      </c>
      <c r="G72" s="111"/>
      <c r="H72" s="11" t="s">
        <v>27</v>
      </c>
      <c r="I72" s="112" t="s">
        <v>28</v>
      </c>
      <c r="J72" s="112"/>
      <c r="K72" s="12" t="s">
        <v>29</v>
      </c>
      <c r="L72" s="13">
        <v>102842.87</v>
      </c>
    </row>
    <row r="73" spans="1:12" ht="61.2" hidden="1" x14ac:dyDescent="0.3">
      <c r="A73" s="9" t="s">
        <v>115</v>
      </c>
      <c r="B73" s="10" t="s">
        <v>145</v>
      </c>
      <c r="C73" s="10" t="s">
        <v>146</v>
      </c>
      <c r="D73" s="10" t="s">
        <v>143</v>
      </c>
      <c r="E73" s="11" t="s">
        <v>26</v>
      </c>
      <c r="F73" s="106" t="s">
        <v>28</v>
      </c>
      <c r="G73" s="106"/>
      <c r="H73" s="11" t="s">
        <v>26</v>
      </c>
      <c r="I73" s="107">
        <v>9525</v>
      </c>
      <c r="J73" s="107"/>
      <c r="K73" s="12" t="s">
        <v>29</v>
      </c>
      <c r="L73" s="13">
        <v>93317.87</v>
      </c>
    </row>
    <row r="74" spans="1:12" ht="61.2" hidden="1" x14ac:dyDescent="0.3">
      <c r="A74" s="9" t="s">
        <v>115</v>
      </c>
      <c r="B74" s="10" t="s">
        <v>147</v>
      </c>
      <c r="C74" s="10" t="s">
        <v>146</v>
      </c>
      <c r="D74" s="10" t="s">
        <v>143</v>
      </c>
      <c r="E74" s="11" t="s">
        <v>26</v>
      </c>
      <c r="F74" s="106" t="s">
        <v>28</v>
      </c>
      <c r="G74" s="106"/>
      <c r="H74" s="11" t="s">
        <v>26</v>
      </c>
      <c r="I74" s="107">
        <v>5334</v>
      </c>
      <c r="J74" s="107"/>
      <c r="K74" s="12" t="s">
        <v>29</v>
      </c>
      <c r="L74" s="13">
        <v>87983.87</v>
      </c>
    </row>
    <row r="75" spans="1:12" ht="71.400000000000006" hidden="1" x14ac:dyDescent="0.3">
      <c r="A75" s="9" t="s">
        <v>148</v>
      </c>
      <c r="B75" s="10" t="s">
        <v>149</v>
      </c>
      <c r="C75" s="10" t="s">
        <v>150</v>
      </c>
      <c r="D75" s="10" t="s">
        <v>151</v>
      </c>
      <c r="E75" s="11" t="s">
        <v>26</v>
      </c>
      <c r="F75" s="111">
        <v>28245</v>
      </c>
      <c r="G75" s="111"/>
      <c r="H75" s="11" t="s">
        <v>27</v>
      </c>
      <c r="I75" s="112" t="s">
        <v>28</v>
      </c>
      <c r="J75" s="112"/>
      <c r="K75" s="12" t="s">
        <v>29</v>
      </c>
      <c r="L75" s="13">
        <v>116228.87</v>
      </c>
    </row>
    <row r="76" spans="1:12" ht="61.2" hidden="1" x14ac:dyDescent="0.3">
      <c r="A76" s="9" t="s">
        <v>148</v>
      </c>
      <c r="B76" s="10" t="s">
        <v>152</v>
      </c>
      <c r="C76" s="10" t="s">
        <v>153</v>
      </c>
      <c r="D76" s="10" t="s">
        <v>150</v>
      </c>
      <c r="E76" s="11" t="s">
        <v>26</v>
      </c>
      <c r="F76" s="106" t="s">
        <v>28</v>
      </c>
      <c r="G76" s="106"/>
      <c r="H76" s="11" t="s">
        <v>26</v>
      </c>
      <c r="I76" s="107">
        <v>27976</v>
      </c>
      <c r="J76" s="107"/>
      <c r="K76" s="12" t="s">
        <v>29</v>
      </c>
      <c r="L76" s="13">
        <v>88252.87</v>
      </c>
    </row>
    <row r="77" spans="1:12" ht="61.2" hidden="1" x14ac:dyDescent="0.3">
      <c r="A77" s="9" t="s">
        <v>148</v>
      </c>
      <c r="B77" s="10" t="s">
        <v>154</v>
      </c>
      <c r="C77" s="10" t="s">
        <v>155</v>
      </c>
      <c r="D77" s="10" t="s">
        <v>150</v>
      </c>
      <c r="E77" s="11" t="s">
        <v>26</v>
      </c>
      <c r="F77" s="106" t="s">
        <v>28</v>
      </c>
      <c r="G77" s="106"/>
      <c r="H77" s="11" t="s">
        <v>26</v>
      </c>
      <c r="I77" s="110">
        <v>269</v>
      </c>
      <c r="J77" s="110"/>
      <c r="K77" s="12" t="s">
        <v>29</v>
      </c>
      <c r="L77" s="13">
        <v>87983.87</v>
      </c>
    </row>
    <row r="78" spans="1:12" ht="71.400000000000006" hidden="1" x14ac:dyDescent="0.3">
      <c r="A78" s="9" t="s">
        <v>156</v>
      </c>
      <c r="B78" s="10" t="s">
        <v>157</v>
      </c>
      <c r="C78" s="10" t="s">
        <v>158</v>
      </c>
      <c r="D78" s="10" t="s">
        <v>151</v>
      </c>
      <c r="E78" s="11" t="s">
        <v>26</v>
      </c>
      <c r="F78" s="111">
        <v>9625</v>
      </c>
      <c r="G78" s="111"/>
      <c r="H78" s="11" t="s">
        <v>27</v>
      </c>
      <c r="I78" s="112" t="s">
        <v>28</v>
      </c>
      <c r="J78" s="112"/>
      <c r="K78" s="12" t="s">
        <v>29</v>
      </c>
      <c r="L78" s="13">
        <v>97608.87</v>
      </c>
    </row>
    <row r="79" spans="1:12" ht="71.400000000000006" hidden="1" x14ac:dyDescent="0.3">
      <c r="A79" s="9" t="s">
        <v>156</v>
      </c>
      <c r="B79" s="10" t="s">
        <v>157</v>
      </c>
      <c r="C79" s="10" t="s">
        <v>159</v>
      </c>
      <c r="D79" s="10" t="s">
        <v>151</v>
      </c>
      <c r="E79" s="11" t="s">
        <v>26</v>
      </c>
      <c r="F79" s="111">
        <v>18830</v>
      </c>
      <c r="G79" s="111"/>
      <c r="H79" s="11" t="s">
        <v>27</v>
      </c>
      <c r="I79" s="112" t="s">
        <v>28</v>
      </c>
      <c r="J79" s="112"/>
      <c r="K79" s="12" t="s">
        <v>29</v>
      </c>
      <c r="L79" s="13">
        <v>116438.87</v>
      </c>
    </row>
    <row r="80" spans="1:12" ht="61.2" hidden="1" x14ac:dyDescent="0.3">
      <c r="A80" s="9" t="s">
        <v>160</v>
      </c>
      <c r="B80" s="10" t="s">
        <v>161</v>
      </c>
      <c r="C80" s="10" t="s">
        <v>162</v>
      </c>
      <c r="D80" s="10" t="s">
        <v>159</v>
      </c>
      <c r="E80" s="11" t="s">
        <v>26</v>
      </c>
      <c r="F80" s="106" t="s">
        <v>28</v>
      </c>
      <c r="G80" s="106"/>
      <c r="H80" s="11" t="s">
        <v>26</v>
      </c>
      <c r="I80" s="107">
        <v>18830</v>
      </c>
      <c r="J80" s="107"/>
      <c r="K80" s="12" t="s">
        <v>29</v>
      </c>
      <c r="L80" s="13">
        <v>97608.87</v>
      </c>
    </row>
    <row r="81" spans="1:12" ht="61.2" hidden="1" x14ac:dyDescent="0.3">
      <c r="A81" s="9" t="s">
        <v>160</v>
      </c>
      <c r="B81" s="10" t="s">
        <v>163</v>
      </c>
      <c r="C81" s="10" t="s">
        <v>164</v>
      </c>
      <c r="D81" s="10" t="s">
        <v>158</v>
      </c>
      <c r="E81" s="11" t="s">
        <v>26</v>
      </c>
      <c r="F81" s="106" t="s">
        <v>28</v>
      </c>
      <c r="G81" s="106"/>
      <c r="H81" s="11" t="s">
        <v>26</v>
      </c>
      <c r="I81" s="107">
        <v>1732.5</v>
      </c>
      <c r="J81" s="107"/>
      <c r="K81" s="12" t="s">
        <v>29</v>
      </c>
      <c r="L81" s="13">
        <v>95876.37</v>
      </c>
    </row>
    <row r="82" spans="1:12" ht="61.2" hidden="1" x14ac:dyDescent="0.3">
      <c r="A82" s="9" t="s">
        <v>160</v>
      </c>
      <c r="B82" s="10" t="s">
        <v>165</v>
      </c>
      <c r="C82" s="10" t="s">
        <v>166</v>
      </c>
      <c r="D82" s="10" t="s">
        <v>158</v>
      </c>
      <c r="E82" s="11" t="s">
        <v>26</v>
      </c>
      <c r="F82" s="106" t="s">
        <v>28</v>
      </c>
      <c r="G82" s="106"/>
      <c r="H82" s="11" t="s">
        <v>26</v>
      </c>
      <c r="I82" s="107">
        <v>7892.5</v>
      </c>
      <c r="J82" s="107"/>
      <c r="K82" s="12" t="s">
        <v>29</v>
      </c>
      <c r="L82" s="13">
        <v>87983.87</v>
      </c>
    </row>
    <row r="83" spans="1:12" ht="71.400000000000006" hidden="1" x14ac:dyDescent="0.3">
      <c r="A83" s="9" t="s">
        <v>167</v>
      </c>
      <c r="B83" s="10" t="s">
        <v>168</v>
      </c>
      <c r="C83" s="10" t="s">
        <v>169</v>
      </c>
      <c r="D83" s="10" t="s">
        <v>170</v>
      </c>
      <c r="E83" s="11" t="s">
        <v>26</v>
      </c>
      <c r="F83" s="111">
        <v>17257.5</v>
      </c>
      <c r="G83" s="111"/>
      <c r="H83" s="11" t="s">
        <v>27</v>
      </c>
      <c r="I83" s="112" t="s">
        <v>28</v>
      </c>
      <c r="J83" s="112"/>
      <c r="K83" s="12" t="s">
        <v>29</v>
      </c>
      <c r="L83" s="13">
        <v>105241.37</v>
      </c>
    </row>
    <row r="84" spans="1:12" ht="71.400000000000006" hidden="1" x14ac:dyDescent="0.3">
      <c r="A84" s="9" t="s">
        <v>167</v>
      </c>
      <c r="B84" s="10" t="s">
        <v>171</v>
      </c>
      <c r="C84" s="10" t="s">
        <v>169</v>
      </c>
      <c r="D84" s="10" t="s">
        <v>170</v>
      </c>
      <c r="E84" s="11" t="s">
        <v>26</v>
      </c>
      <c r="F84" s="111">
        <v>8028.75</v>
      </c>
      <c r="G84" s="111"/>
      <c r="H84" s="11" t="s">
        <v>27</v>
      </c>
      <c r="I84" s="112" t="s">
        <v>28</v>
      </c>
      <c r="J84" s="112"/>
      <c r="K84" s="12" t="s">
        <v>29</v>
      </c>
      <c r="L84" s="13">
        <v>113270.12</v>
      </c>
    </row>
    <row r="85" spans="1:12" ht="61.2" hidden="1" x14ac:dyDescent="0.3">
      <c r="A85" s="9" t="s">
        <v>167</v>
      </c>
      <c r="B85" s="10" t="s">
        <v>172</v>
      </c>
      <c r="C85" s="10" t="s">
        <v>173</v>
      </c>
      <c r="D85" s="10" t="s">
        <v>169</v>
      </c>
      <c r="E85" s="11" t="s">
        <v>26</v>
      </c>
      <c r="F85" s="106" t="s">
        <v>28</v>
      </c>
      <c r="G85" s="106"/>
      <c r="H85" s="11" t="s">
        <v>26</v>
      </c>
      <c r="I85" s="107">
        <v>17505.87</v>
      </c>
      <c r="J85" s="107"/>
      <c r="K85" s="12" t="s">
        <v>29</v>
      </c>
      <c r="L85" s="13">
        <v>95764.25</v>
      </c>
    </row>
    <row r="86" spans="1:12" ht="61.2" hidden="1" x14ac:dyDescent="0.3">
      <c r="A86" s="9" t="s">
        <v>167</v>
      </c>
      <c r="B86" s="10" t="s">
        <v>174</v>
      </c>
      <c r="C86" s="10" t="s">
        <v>175</v>
      </c>
      <c r="D86" s="10" t="s">
        <v>169</v>
      </c>
      <c r="E86" s="11" t="s">
        <v>26</v>
      </c>
      <c r="F86" s="106" t="s">
        <v>28</v>
      </c>
      <c r="G86" s="106"/>
      <c r="H86" s="11" t="s">
        <v>26</v>
      </c>
      <c r="I86" s="107">
        <v>7780.38</v>
      </c>
      <c r="J86" s="107"/>
      <c r="K86" s="12" t="s">
        <v>29</v>
      </c>
      <c r="L86" s="13">
        <v>87983.87</v>
      </c>
    </row>
    <row r="87" spans="1:12" ht="71.400000000000006" hidden="1" x14ac:dyDescent="0.3">
      <c r="A87" s="9" t="s">
        <v>176</v>
      </c>
      <c r="B87" s="10" t="s">
        <v>177</v>
      </c>
      <c r="C87" s="10" t="s">
        <v>178</v>
      </c>
      <c r="D87" s="10" t="s">
        <v>179</v>
      </c>
      <c r="E87" s="11" t="s">
        <v>26</v>
      </c>
      <c r="F87" s="113">
        <v>143.55000000000001</v>
      </c>
      <c r="G87" s="113"/>
      <c r="H87" s="11" t="s">
        <v>27</v>
      </c>
      <c r="I87" s="112" t="s">
        <v>28</v>
      </c>
      <c r="J87" s="112"/>
      <c r="K87" s="12" t="s">
        <v>29</v>
      </c>
      <c r="L87" s="13">
        <v>88127.42</v>
      </c>
    </row>
    <row r="88" spans="1:12" ht="71.400000000000006" hidden="1" x14ac:dyDescent="0.3">
      <c r="A88" s="9" t="s">
        <v>176</v>
      </c>
      <c r="B88" s="10" t="s">
        <v>180</v>
      </c>
      <c r="C88" s="10" t="s">
        <v>181</v>
      </c>
      <c r="D88" s="10" t="s">
        <v>178</v>
      </c>
      <c r="E88" s="11" t="s">
        <v>26</v>
      </c>
      <c r="F88" s="106" t="s">
        <v>28</v>
      </c>
      <c r="G88" s="106"/>
      <c r="H88" s="11" t="s">
        <v>26</v>
      </c>
      <c r="I88" s="110">
        <v>143.55000000000001</v>
      </c>
      <c r="J88" s="110"/>
      <c r="K88" s="12" t="s">
        <v>29</v>
      </c>
      <c r="L88" s="13">
        <v>87983.87</v>
      </c>
    </row>
    <row r="89" spans="1:12" ht="71.400000000000006" hidden="1" x14ac:dyDescent="0.3">
      <c r="A89" s="9" t="s">
        <v>182</v>
      </c>
      <c r="B89" s="10" t="s">
        <v>183</v>
      </c>
      <c r="C89" s="10" t="s">
        <v>184</v>
      </c>
      <c r="D89" s="10" t="s">
        <v>185</v>
      </c>
      <c r="E89" s="11" t="s">
        <v>26</v>
      </c>
      <c r="F89" s="111">
        <v>19250</v>
      </c>
      <c r="G89" s="111"/>
      <c r="H89" s="11" t="s">
        <v>27</v>
      </c>
      <c r="I89" s="112" t="s">
        <v>28</v>
      </c>
      <c r="J89" s="112"/>
      <c r="K89" s="12" t="s">
        <v>29</v>
      </c>
      <c r="L89" s="13">
        <v>107233.87</v>
      </c>
    </row>
    <row r="90" spans="1:12" ht="71.400000000000006" hidden="1" x14ac:dyDescent="0.3">
      <c r="A90" s="9" t="s">
        <v>182</v>
      </c>
      <c r="B90" s="10" t="s">
        <v>183</v>
      </c>
      <c r="C90" s="10" t="s">
        <v>186</v>
      </c>
      <c r="D90" s="10" t="s">
        <v>185</v>
      </c>
      <c r="E90" s="11" t="s">
        <v>26</v>
      </c>
      <c r="F90" s="111">
        <v>29205</v>
      </c>
      <c r="G90" s="111"/>
      <c r="H90" s="11" t="s">
        <v>27</v>
      </c>
      <c r="I90" s="112" t="s">
        <v>28</v>
      </c>
      <c r="J90" s="112"/>
      <c r="K90" s="12" t="s">
        <v>29</v>
      </c>
      <c r="L90" s="13">
        <v>136438.87</v>
      </c>
    </row>
    <row r="91" spans="1:12" ht="71.400000000000006" hidden="1" x14ac:dyDescent="0.3">
      <c r="A91" s="9" t="s">
        <v>182</v>
      </c>
      <c r="B91" s="10" t="s">
        <v>187</v>
      </c>
      <c r="C91" s="10" t="s">
        <v>184</v>
      </c>
      <c r="D91" s="10" t="s">
        <v>188</v>
      </c>
      <c r="E91" s="11" t="s">
        <v>26</v>
      </c>
      <c r="F91" s="111">
        <v>9526.7800000000007</v>
      </c>
      <c r="G91" s="111"/>
      <c r="H91" s="11" t="s">
        <v>27</v>
      </c>
      <c r="I91" s="112" t="s">
        <v>28</v>
      </c>
      <c r="J91" s="112"/>
      <c r="K91" s="12" t="s">
        <v>29</v>
      </c>
      <c r="L91" s="13">
        <v>145965.65</v>
      </c>
    </row>
    <row r="92" spans="1:12" ht="71.400000000000006" hidden="1" x14ac:dyDescent="0.3">
      <c r="A92" s="9" t="s">
        <v>182</v>
      </c>
      <c r="B92" s="10" t="s">
        <v>187</v>
      </c>
      <c r="C92" s="10" t="s">
        <v>186</v>
      </c>
      <c r="D92" s="10" t="s">
        <v>188</v>
      </c>
      <c r="E92" s="11" t="s">
        <v>26</v>
      </c>
      <c r="F92" s="111">
        <v>14453.47</v>
      </c>
      <c r="G92" s="111"/>
      <c r="H92" s="11" t="s">
        <v>27</v>
      </c>
      <c r="I92" s="112" t="s">
        <v>28</v>
      </c>
      <c r="J92" s="112"/>
      <c r="K92" s="12" t="s">
        <v>29</v>
      </c>
      <c r="L92" s="13">
        <v>160419.12</v>
      </c>
    </row>
    <row r="93" spans="1:12" ht="61.2" hidden="1" x14ac:dyDescent="0.3">
      <c r="A93" s="9" t="s">
        <v>182</v>
      </c>
      <c r="B93" s="10" t="s">
        <v>189</v>
      </c>
      <c r="C93" s="10" t="s">
        <v>190</v>
      </c>
      <c r="D93" s="10" t="s">
        <v>184</v>
      </c>
      <c r="E93" s="11" t="s">
        <v>26</v>
      </c>
      <c r="F93" s="106" t="s">
        <v>28</v>
      </c>
      <c r="G93" s="106"/>
      <c r="H93" s="11" t="s">
        <v>26</v>
      </c>
      <c r="I93" s="107">
        <v>8633.0300000000007</v>
      </c>
      <c r="J93" s="107"/>
      <c r="K93" s="12" t="s">
        <v>29</v>
      </c>
      <c r="L93" s="13">
        <v>151786.09</v>
      </c>
    </row>
    <row r="94" spans="1:12" ht="61.2" hidden="1" x14ac:dyDescent="0.3">
      <c r="A94" s="9" t="s">
        <v>182</v>
      </c>
      <c r="B94" s="10" t="s">
        <v>189</v>
      </c>
      <c r="C94" s="10" t="s">
        <v>191</v>
      </c>
      <c r="D94" s="10" t="s">
        <v>186</v>
      </c>
      <c r="E94" s="11" t="s">
        <v>26</v>
      </c>
      <c r="F94" s="106" t="s">
        <v>28</v>
      </c>
      <c r="G94" s="106"/>
      <c r="H94" s="11" t="s">
        <v>26</v>
      </c>
      <c r="I94" s="107">
        <v>19844.759999999998</v>
      </c>
      <c r="J94" s="107"/>
      <c r="K94" s="12" t="s">
        <v>29</v>
      </c>
      <c r="L94" s="13">
        <v>131941.32999999999</v>
      </c>
    </row>
    <row r="95" spans="1:12" ht="61.2" hidden="1" x14ac:dyDescent="0.3">
      <c r="A95" s="9" t="s">
        <v>182</v>
      </c>
      <c r="B95" s="10" t="s">
        <v>192</v>
      </c>
      <c r="C95" s="10" t="s">
        <v>193</v>
      </c>
      <c r="D95" s="10" t="s">
        <v>184</v>
      </c>
      <c r="E95" s="11" t="s">
        <v>26</v>
      </c>
      <c r="F95" s="106" t="s">
        <v>28</v>
      </c>
      <c r="G95" s="106"/>
      <c r="H95" s="11" t="s">
        <v>26</v>
      </c>
      <c r="I95" s="107">
        <v>20143.75</v>
      </c>
      <c r="J95" s="107"/>
      <c r="K95" s="12" t="s">
        <v>29</v>
      </c>
      <c r="L95" s="13">
        <v>111797.58</v>
      </c>
    </row>
    <row r="96" spans="1:12" ht="61.2" hidden="1" x14ac:dyDescent="0.3">
      <c r="A96" s="9" t="s">
        <v>182</v>
      </c>
      <c r="B96" s="10" t="s">
        <v>192</v>
      </c>
      <c r="C96" s="10" t="s">
        <v>194</v>
      </c>
      <c r="D96" s="10" t="s">
        <v>186</v>
      </c>
      <c r="E96" s="11" t="s">
        <v>26</v>
      </c>
      <c r="F96" s="106" t="s">
        <v>28</v>
      </c>
      <c r="G96" s="106"/>
      <c r="H96" s="11" t="s">
        <v>26</v>
      </c>
      <c r="I96" s="107">
        <v>23813.71</v>
      </c>
      <c r="J96" s="107"/>
      <c r="K96" s="12" t="s">
        <v>29</v>
      </c>
      <c r="L96" s="13">
        <v>87983.87</v>
      </c>
    </row>
    <row r="97" spans="1:12" ht="71.400000000000006" hidden="1" x14ac:dyDescent="0.3">
      <c r="A97" s="9" t="s">
        <v>195</v>
      </c>
      <c r="B97" s="10" t="s">
        <v>196</v>
      </c>
      <c r="C97" s="10" t="s">
        <v>197</v>
      </c>
      <c r="D97" s="10" t="s">
        <v>198</v>
      </c>
      <c r="E97" s="11" t="s">
        <v>26</v>
      </c>
      <c r="F97" s="111">
        <v>45135</v>
      </c>
      <c r="G97" s="111"/>
      <c r="H97" s="11" t="s">
        <v>27</v>
      </c>
      <c r="I97" s="112" t="s">
        <v>28</v>
      </c>
      <c r="J97" s="112"/>
      <c r="K97" s="12" t="s">
        <v>29</v>
      </c>
      <c r="L97" s="13">
        <v>133118.87</v>
      </c>
    </row>
    <row r="98" spans="1:12" ht="71.400000000000006" hidden="1" x14ac:dyDescent="0.3">
      <c r="A98" s="9" t="s">
        <v>195</v>
      </c>
      <c r="B98" s="10" t="s">
        <v>199</v>
      </c>
      <c r="C98" s="10" t="s">
        <v>197</v>
      </c>
      <c r="D98" s="10" t="s">
        <v>198</v>
      </c>
      <c r="E98" s="11" t="s">
        <v>26</v>
      </c>
      <c r="F98" s="111">
        <v>16494.75</v>
      </c>
      <c r="G98" s="111"/>
      <c r="H98" s="11" t="s">
        <v>27</v>
      </c>
      <c r="I98" s="112" t="s">
        <v>28</v>
      </c>
      <c r="J98" s="112"/>
      <c r="K98" s="12" t="s">
        <v>29</v>
      </c>
      <c r="L98" s="13">
        <v>149613.62</v>
      </c>
    </row>
    <row r="99" spans="1:12" ht="61.2" hidden="1" x14ac:dyDescent="0.3">
      <c r="A99" s="9" t="s">
        <v>195</v>
      </c>
      <c r="B99" s="10" t="s">
        <v>200</v>
      </c>
      <c r="C99" s="10" t="s">
        <v>201</v>
      </c>
      <c r="D99" s="10" t="s">
        <v>197</v>
      </c>
      <c r="E99" s="11" t="s">
        <v>26</v>
      </c>
      <c r="F99" s="106" t="s">
        <v>28</v>
      </c>
      <c r="G99" s="106"/>
      <c r="H99" s="11" t="s">
        <v>26</v>
      </c>
      <c r="I99" s="107">
        <v>27189.599999999999</v>
      </c>
      <c r="J99" s="107"/>
      <c r="K99" s="12" t="s">
        <v>29</v>
      </c>
      <c r="L99" s="13">
        <v>122424.02</v>
      </c>
    </row>
    <row r="100" spans="1:12" ht="61.2" hidden="1" x14ac:dyDescent="0.3">
      <c r="A100" s="9" t="s">
        <v>195</v>
      </c>
      <c r="B100" s="10" t="s">
        <v>202</v>
      </c>
      <c r="C100" s="10" t="s">
        <v>203</v>
      </c>
      <c r="D100" s="10" t="s">
        <v>197</v>
      </c>
      <c r="E100" s="11" t="s">
        <v>26</v>
      </c>
      <c r="F100" s="106" t="s">
        <v>28</v>
      </c>
      <c r="G100" s="106"/>
      <c r="H100" s="11" t="s">
        <v>26</v>
      </c>
      <c r="I100" s="107">
        <v>34440.15</v>
      </c>
      <c r="J100" s="107"/>
      <c r="K100" s="12" t="s">
        <v>29</v>
      </c>
      <c r="L100" s="13">
        <v>87983.87</v>
      </c>
    </row>
    <row r="101" spans="1:12" ht="71.400000000000006" hidden="1" x14ac:dyDescent="0.3">
      <c r="A101" s="9" t="s">
        <v>204</v>
      </c>
      <c r="B101" s="10" t="s">
        <v>205</v>
      </c>
      <c r="C101" s="10" t="s">
        <v>206</v>
      </c>
      <c r="D101" s="10" t="s">
        <v>198</v>
      </c>
      <c r="E101" s="11" t="s">
        <v>26</v>
      </c>
      <c r="F101" s="111">
        <v>21240</v>
      </c>
      <c r="G101" s="111"/>
      <c r="H101" s="11" t="s">
        <v>27</v>
      </c>
      <c r="I101" s="112" t="s">
        <v>28</v>
      </c>
      <c r="J101" s="112"/>
      <c r="K101" s="12" t="s">
        <v>29</v>
      </c>
      <c r="L101" s="13">
        <v>109223.87</v>
      </c>
    </row>
    <row r="102" spans="1:12" ht="71.400000000000006" hidden="1" x14ac:dyDescent="0.3">
      <c r="A102" s="9" t="s">
        <v>204</v>
      </c>
      <c r="B102" s="10" t="s">
        <v>205</v>
      </c>
      <c r="C102" s="10" t="s">
        <v>207</v>
      </c>
      <c r="D102" s="10" t="s">
        <v>198</v>
      </c>
      <c r="E102" s="11" t="s">
        <v>26</v>
      </c>
      <c r="F102" s="111">
        <v>7700</v>
      </c>
      <c r="G102" s="111"/>
      <c r="H102" s="11" t="s">
        <v>27</v>
      </c>
      <c r="I102" s="112" t="s">
        <v>28</v>
      </c>
      <c r="J102" s="112"/>
      <c r="K102" s="12" t="s">
        <v>29</v>
      </c>
      <c r="L102" s="13">
        <v>116923.87</v>
      </c>
    </row>
    <row r="103" spans="1:12" ht="71.400000000000006" hidden="1" x14ac:dyDescent="0.3">
      <c r="A103" s="9" t="s">
        <v>204</v>
      </c>
      <c r="B103" s="10" t="s">
        <v>208</v>
      </c>
      <c r="C103" s="10" t="s">
        <v>206</v>
      </c>
      <c r="D103" s="10" t="s">
        <v>198</v>
      </c>
      <c r="E103" s="11" t="s">
        <v>26</v>
      </c>
      <c r="F103" s="111">
        <v>12028.23</v>
      </c>
      <c r="G103" s="111"/>
      <c r="H103" s="11" t="s">
        <v>27</v>
      </c>
      <c r="I103" s="112" t="s">
        <v>28</v>
      </c>
      <c r="J103" s="112"/>
      <c r="K103" s="12" t="s">
        <v>29</v>
      </c>
      <c r="L103" s="13">
        <v>128952.1</v>
      </c>
    </row>
    <row r="104" spans="1:12" ht="71.400000000000006" hidden="1" x14ac:dyDescent="0.3">
      <c r="A104" s="9" t="s">
        <v>204</v>
      </c>
      <c r="B104" s="10" t="s">
        <v>208</v>
      </c>
      <c r="C104" s="10" t="s">
        <v>207</v>
      </c>
      <c r="D104" s="10" t="s">
        <v>198</v>
      </c>
      <c r="E104" s="11" t="s">
        <v>26</v>
      </c>
      <c r="F104" s="111">
        <v>4360.5200000000004</v>
      </c>
      <c r="G104" s="111"/>
      <c r="H104" s="11" t="s">
        <v>27</v>
      </c>
      <c r="I104" s="112" t="s">
        <v>28</v>
      </c>
      <c r="J104" s="112"/>
      <c r="K104" s="12" t="s">
        <v>29</v>
      </c>
      <c r="L104" s="13">
        <v>133312.62</v>
      </c>
    </row>
    <row r="105" spans="1:12" ht="61.2" hidden="1" x14ac:dyDescent="0.3">
      <c r="A105" s="9" t="s">
        <v>204</v>
      </c>
      <c r="B105" s="10" t="s">
        <v>209</v>
      </c>
      <c r="C105" s="10" t="s">
        <v>210</v>
      </c>
      <c r="D105" s="10" t="s">
        <v>207</v>
      </c>
      <c r="E105" s="11" t="s">
        <v>26</v>
      </c>
      <c r="F105" s="106" t="s">
        <v>28</v>
      </c>
      <c r="G105" s="106"/>
      <c r="H105" s="11" t="s">
        <v>26</v>
      </c>
      <c r="I105" s="107">
        <v>1507.57</v>
      </c>
      <c r="J105" s="107"/>
      <c r="K105" s="12" t="s">
        <v>29</v>
      </c>
      <c r="L105" s="13">
        <v>131805.04999999999</v>
      </c>
    </row>
    <row r="106" spans="1:12" ht="61.2" hidden="1" x14ac:dyDescent="0.3">
      <c r="A106" s="9" t="s">
        <v>204</v>
      </c>
      <c r="B106" s="10" t="s">
        <v>211</v>
      </c>
      <c r="C106" s="10" t="s">
        <v>212</v>
      </c>
      <c r="D106" s="10" t="s">
        <v>206</v>
      </c>
      <c r="E106" s="11" t="s">
        <v>26</v>
      </c>
      <c r="F106" s="106" t="s">
        <v>28</v>
      </c>
      <c r="G106" s="106"/>
      <c r="H106" s="11" t="s">
        <v>26</v>
      </c>
      <c r="I106" s="107">
        <v>33268.230000000003</v>
      </c>
      <c r="J106" s="107"/>
      <c r="K106" s="12" t="s">
        <v>29</v>
      </c>
      <c r="L106" s="13">
        <v>98536.82</v>
      </c>
    </row>
    <row r="107" spans="1:12" ht="61.2" hidden="1" x14ac:dyDescent="0.3">
      <c r="A107" s="9" t="s">
        <v>204</v>
      </c>
      <c r="B107" s="10" t="s">
        <v>211</v>
      </c>
      <c r="C107" s="10" t="s">
        <v>213</v>
      </c>
      <c r="D107" s="10" t="s">
        <v>207</v>
      </c>
      <c r="E107" s="11" t="s">
        <v>26</v>
      </c>
      <c r="F107" s="106" t="s">
        <v>28</v>
      </c>
      <c r="G107" s="106"/>
      <c r="H107" s="11" t="s">
        <v>26</v>
      </c>
      <c r="I107" s="107">
        <v>10552.95</v>
      </c>
      <c r="J107" s="107"/>
      <c r="K107" s="12" t="s">
        <v>29</v>
      </c>
      <c r="L107" s="13">
        <v>87983.87</v>
      </c>
    </row>
    <row r="108" spans="1:12" ht="71.400000000000006" hidden="1" x14ac:dyDescent="0.3">
      <c r="A108" s="9" t="s">
        <v>214</v>
      </c>
      <c r="B108" s="10" t="s">
        <v>215</v>
      </c>
      <c r="C108" s="10" t="s">
        <v>216</v>
      </c>
      <c r="D108" s="10" t="s">
        <v>217</v>
      </c>
      <c r="E108" s="11" t="s">
        <v>26</v>
      </c>
      <c r="F108" s="111">
        <v>106949.3</v>
      </c>
      <c r="G108" s="111"/>
      <c r="H108" s="11" t="s">
        <v>27</v>
      </c>
      <c r="I108" s="112" t="s">
        <v>28</v>
      </c>
      <c r="J108" s="112"/>
      <c r="K108" s="12" t="s">
        <v>29</v>
      </c>
      <c r="L108" s="13">
        <v>194933.17</v>
      </c>
    </row>
    <row r="109" spans="1:12" ht="71.400000000000006" hidden="1" x14ac:dyDescent="0.3">
      <c r="A109" s="9" t="s">
        <v>214</v>
      </c>
      <c r="B109" s="10" t="s">
        <v>215</v>
      </c>
      <c r="C109" s="10" t="s">
        <v>216</v>
      </c>
      <c r="D109" s="10" t="s">
        <v>198</v>
      </c>
      <c r="E109" s="11" t="s">
        <v>26</v>
      </c>
      <c r="F109" s="111">
        <v>15180.7</v>
      </c>
      <c r="G109" s="111"/>
      <c r="H109" s="11" t="s">
        <v>27</v>
      </c>
      <c r="I109" s="112" t="s">
        <v>28</v>
      </c>
      <c r="J109" s="112"/>
      <c r="K109" s="12" t="s">
        <v>29</v>
      </c>
      <c r="L109" s="13">
        <v>210113.87</v>
      </c>
    </row>
    <row r="110" spans="1:12" ht="71.400000000000006" hidden="1" x14ac:dyDescent="0.3">
      <c r="A110" s="9" t="s">
        <v>214</v>
      </c>
      <c r="B110" s="10" t="s">
        <v>218</v>
      </c>
      <c r="C110" s="10" t="s">
        <v>216</v>
      </c>
      <c r="D110" s="10" t="s">
        <v>217</v>
      </c>
      <c r="E110" s="11" t="s">
        <v>26</v>
      </c>
      <c r="F110" s="111">
        <v>40475</v>
      </c>
      <c r="G110" s="111"/>
      <c r="H110" s="11" t="s">
        <v>27</v>
      </c>
      <c r="I110" s="112" t="s">
        <v>28</v>
      </c>
      <c r="J110" s="112"/>
      <c r="K110" s="12" t="s">
        <v>29</v>
      </c>
      <c r="L110" s="13">
        <v>250588.87</v>
      </c>
    </row>
    <row r="111" spans="1:12" ht="61.2" hidden="1" x14ac:dyDescent="0.3">
      <c r="A111" s="9" t="s">
        <v>214</v>
      </c>
      <c r="B111" s="10" t="s">
        <v>219</v>
      </c>
      <c r="C111" s="10" t="s">
        <v>220</v>
      </c>
      <c r="D111" s="10" t="s">
        <v>216</v>
      </c>
      <c r="E111" s="11" t="s">
        <v>26</v>
      </c>
      <c r="F111" s="106" t="s">
        <v>28</v>
      </c>
      <c r="G111" s="106"/>
      <c r="H111" s="11" t="s">
        <v>26</v>
      </c>
      <c r="I111" s="107">
        <v>14139.57</v>
      </c>
      <c r="J111" s="107"/>
      <c r="K111" s="12" t="s">
        <v>29</v>
      </c>
      <c r="L111" s="13">
        <v>236449.3</v>
      </c>
    </row>
    <row r="112" spans="1:12" ht="61.2" hidden="1" x14ac:dyDescent="0.3">
      <c r="A112" s="9" t="s">
        <v>214</v>
      </c>
      <c r="B112" s="10" t="s">
        <v>221</v>
      </c>
      <c r="C112" s="10" t="s">
        <v>222</v>
      </c>
      <c r="D112" s="10" t="s">
        <v>216</v>
      </c>
      <c r="E112" s="11" t="s">
        <v>26</v>
      </c>
      <c r="F112" s="106" t="s">
        <v>28</v>
      </c>
      <c r="G112" s="106"/>
      <c r="H112" s="11" t="s">
        <v>26</v>
      </c>
      <c r="I112" s="107">
        <v>148465.43</v>
      </c>
      <c r="J112" s="107"/>
      <c r="K112" s="12" t="s">
        <v>29</v>
      </c>
      <c r="L112" s="13">
        <v>87983.87</v>
      </c>
    </row>
    <row r="113" spans="1:12" ht="71.400000000000006" hidden="1" x14ac:dyDescent="0.3">
      <c r="A113" s="9" t="s">
        <v>223</v>
      </c>
      <c r="B113" s="10" t="s">
        <v>224</v>
      </c>
      <c r="C113" s="10" t="s">
        <v>225</v>
      </c>
      <c r="D113" s="10" t="s">
        <v>217</v>
      </c>
      <c r="E113" s="11" t="s">
        <v>26</v>
      </c>
      <c r="F113" s="111">
        <v>37170</v>
      </c>
      <c r="G113" s="111"/>
      <c r="H113" s="11" t="s">
        <v>27</v>
      </c>
      <c r="I113" s="112" t="s">
        <v>28</v>
      </c>
      <c r="J113" s="112"/>
      <c r="K113" s="12" t="s">
        <v>29</v>
      </c>
      <c r="L113" s="13">
        <v>125153.87</v>
      </c>
    </row>
    <row r="114" spans="1:12" ht="71.400000000000006" hidden="1" x14ac:dyDescent="0.3">
      <c r="A114" s="9" t="s">
        <v>223</v>
      </c>
      <c r="B114" s="10" t="s">
        <v>226</v>
      </c>
      <c r="C114" s="10" t="s">
        <v>225</v>
      </c>
      <c r="D114" s="10" t="s">
        <v>217</v>
      </c>
      <c r="E114" s="11" t="s">
        <v>26</v>
      </c>
      <c r="F114" s="111">
        <v>15951.5</v>
      </c>
      <c r="G114" s="111"/>
      <c r="H114" s="11" t="s">
        <v>27</v>
      </c>
      <c r="I114" s="112" t="s">
        <v>28</v>
      </c>
      <c r="J114" s="112"/>
      <c r="K114" s="12" t="s">
        <v>29</v>
      </c>
      <c r="L114" s="13">
        <v>141105.37</v>
      </c>
    </row>
    <row r="115" spans="1:12" ht="61.2" hidden="1" x14ac:dyDescent="0.3">
      <c r="A115" s="9" t="s">
        <v>223</v>
      </c>
      <c r="B115" s="10" t="s">
        <v>227</v>
      </c>
      <c r="C115" s="10" t="s">
        <v>228</v>
      </c>
      <c r="D115" s="10" t="s">
        <v>225</v>
      </c>
      <c r="E115" s="11" t="s">
        <v>26</v>
      </c>
      <c r="F115" s="106" t="s">
        <v>28</v>
      </c>
      <c r="G115" s="106"/>
      <c r="H115" s="11" t="s">
        <v>26</v>
      </c>
      <c r="I115" s="107">
        <v>28457.95</v>
      </c>
      <c r="J115" s="107"/>
      <c r="K115" s="12" t="s">
        <v>29</v>
      </c>
      <c r="L115" s="13">
        <v>112647.42</v>
      </c>
    </row>
    <row r="116" spans="1:12" ht="61.2" hidden="1" x14ac:dyDescent="0.3">
      <c r="A116" s="9" t="s">
        <v>223</v>
      </c>
      <c r="B116" s="10" t="s">
        <v>229</v>
      </c>
      <c r="C116" s="10" t="s">
        <v>230</v>
      </c>
      <c r="D116" s="10" t="s">
        <v>225</v>
      </c>
      <c r="E116" s="11" t="s">
        <v>26</v>
      </c>
      <c r="F116" s="106" t="s">
        <v>28</v>
      </c>
      <c r="G116" s="106"/>
      <c r="H116" s="11" t="s">
        <v>26</v>
      </c>
      <c r="I116" s="107">
        <v>24663.55</v>
      </c>
      <c r="J116" s="107"/>
      <c r="K116" s="12" t="s">
        <v>29</v>
      </c>
      <c r="L116" s="13">
        <v>87983.87</v>
      </c>
    </row>
    <row r="117" spans="1:12" ht="71.400000000000006" hidden="1" x14ac:dyDescent="0.3">
      <c r="A117" s="9" t="s">
        <v>231</v>
      </c>
      <c r="B117" s="10" t="s">
        <v>232</v>
      </c>
      <c r="C117" s="10" t="s">
        <v>233</v>
      </c>
      <c r="D117" s="10" t="s">
        <v>234</v>
      </c>
      <c r="E117" s="11" t="s">
        <v>26</v>
      </c>
      <c r="F117" s="111">
        <v>7498.59</v>
      </c>
      <c r="G117" s="111"/>
      <c r="H117" s="11" t="s">
        <v>27</v>
      </c>
      <c r="I117" s="112" t="s">
        <v>28</v>
      </c>
      <c r="J117" s="112"/>
      <c r="K117" s="12" t="s">
        <v>29</v>
      </c>
      <c r="L117" s="13">
        <v>95482.46</v>
      </c>
    </row>
    <row r="118" spans="1:12" ht="71.400000000000006" hidden="1" x14ac:dyDescent="0.3">
      <c r="A118" s="9" t="s">
        <v>231</v>
      </c>
      <c r="B118" s="10" t="s">
        <v>235</v>
      </c>
      <c r="C118" s="10" t="s">
        <v>233</v>
      </c>
      <c r="D118" s="10" t="s">
        <v>217</v>
      </c>
      <c r="E118" s="11" t="s">
        <v>26</v>
      </c>
      <c r="F118" s="111">
        <v>36308.9</v>
      </c>
      <c r="G118" s="111"/>
      <c r="H118" s="11" t="s">
        <v>27</v>
      </c>
      <c r="I118" s="112" t="s">
        <v>28</v>
      </c>
      <c r="J118" s="112"/>
      <c r="K118" s="12" t="s">
        <v>29</v>
      </c>
      <c r="L118" s="13">
        <v>131791.35999999999</v>
      </c>
    </row>
    <row r="119" spans="1:12" ht="71.400000000000006" hidden="1" x14ac:dyDescent="0.3">
      <c r="A119" s="9" t="s">
        <v>231</v>
      </c>
      <c r="B119" s="10" t="s">
        <v>232</v>
      </c>
      <c r="C119" s="10" t="s">
        <v>236</v>
      </c>
      <c r="D119" s="10" t="s">
        <v>234</v>
      </c>
      <c r="E119" s="11" t="s">
        <v>26</v>
      </c>
      <c r="F119" s="111">
        <v>17325</v>
      </c>
      <c r="G119" s="111"/>
      <c r="H119" s="11" t="s">
        <v>27</v>
      </c>
      <c r="I119" s="112" t="s">
        <v>28</v>
      </c>
      <c r="J119" s="112"/>
      <c r="K119" s="12" t="s">
        <v>29</v>
      </c>
      <c r="L119" s="13">
        <v>149116.35999999999</v>
      </c>
    </row>
    <row r="120" spans="1:12" ht="71.400000000000006" hidden="1" x14ac:dyDescent="0.3">
      <c r="A120" s="9" t="s">
        <v>231</v>
      </c>
      <c r="B120" s="10" t="s">
        <v>237</v>
      </c>
      <c r="C120" s="10" t="s">
        <v>233</v>
      </c>
      <c r="D120" s="10" t="s">
        <v>238</v>
      </c>
      <c r="E120" s="11" t="s">
        <v>26</v>
      </c>
      <c r="F120" s="111">
        <v>18447.060000000001</v>
      </c>
      <c r="G120" s="111"/>
      <c r="H120" s="11" t="s">
        <v>27</v>
      </c>
      <c r="I120" s="112" t="s">
        <v>28</v>
      </c>
      <c r="J120" s="112"/>
      <c r="K120" s="12" t="s">
        <v>29</v>
      </c>
      <c r="L120" s="13">
        <v>167563.42000000001</v>
      </c>
    </row>
    <row r="121" spans="1:12" ht="71.400000000000006" hidden="1" x14ac:dyDescent="0.3">
      <c r="A121" s="9" t="s">
        <v>231</v>
      </c>
      <c r="B121" s="10" t="s">
        <v>237</v>
      </c>
      <c r="C121" s="10" t="s">
        <v>236</v>
      </c>
      <c r="D121" s="10" t="s">
        <v>238</v>
      </c>
      <c r="E121" s="11" t="s">
        <v>26</v>
      </c>
      <c r="F121" s="111">
        <v>7295.44</v>
      </c>
      <c r="G121" s="111"/>
      <c r="H121" s="11" t="s">
        <v>27</v>
      </c>
      <c r="I121" s="112" t="s">
        <v>28</v>
      </c>
      <c r="J121" s="112"/>
      <c r="K121" s="12" t="s">
        <v>29</v>
      </c>
      <c r="L121" s="13">
        <v>174858.86</v>
      </c>
    </row>
    <row r="122" spans="1:12" ht="61.2" hidden="1" x14ac:dyDescent="0.3">
      <c r="A122" s="9" t="s">
        <v>231</v>
      </c>
      <c r="B122" s="10" t="s">
        <v>239</v>
      </c>
      <c r="C122" s="10" t="s">
        <v>240</v>
      </c>
      <c r="D122" s="10" t="s">
        <v>233</v>
      </c>
      <c r="E122" s="11" t="s">
        <v>26</v>
      </c>
      <c r="F122" s="106" t="s">
        <v>28</v>
      </c>
      <c r="G122" s="106"/>
      <c r="H122" s="11" t="s">
        <v>26</v>
      </c>
      <c r="I122" s="107">
        <v>24524.52</v>
      </c>
      <c r="J122" s="107"/>
      <c r="K122" s="12" t="s">
        <v>29</v>
      </c>
      <c r="L122" s="13">
        <v>150334.34</v>
      </c>
    </row>
    <row r="123" spans="1:12" ht="61.2" hidden="1" x14ac:dyDescent="0.3">
      <c r="A123" s="9" t="s">
        <v>231</v>
      </c>
      <c r="B123" s="10" t="s">
        <v>241</v>
      </c>
      <c r="C123" s="10" t="s">
        <v>242</v>
      </c>
      <c r="D123" s="10" t="s">
        <v>233</v>
      </c>
      <c r="E123" s="11" t="s">
        <v>26</v>
      </c>
      <c r="F123" s="106" t="s">
        <v>28</v>
      </c>
      <c r="G123" s="106"/>
      <c r="H123" s="11" t="s">
        <v>26</v>
      </c>
      <c r="I123" s="107">
        <v>37730.03</v>
      </c>
      <c r="J123" s="107"/>
      <c r="K123" s="12" t="s">
        <v>29</v>
      </c>
      <c r="L123" s="13">
        <v>112604.31</v>
      </c>
    </row>
    <row r="124" spans="1:12" ht="61.2" hidden="1" x14ac:dyDescent="0.3">
      <c r="A124" s="9" t="s">
        <v>231</v>
      </c>
      <c r="B124" s="10" t="s">
        <v>241</v>
      </c>
      <c r="C124" s="10" t="s">
        <v>243</v>
      </c>
      <c r="D124" s="10" t="s">
        <v>236</v>
      </c>
      <c r="E124" s="11" t="s">
        <v>26</v>
      </c>
      <c r="F124" s="106" t="s">
        <v>28</v>
      </c>
      <c r="G124" s="106"/>
      <c r="H124" s="11" t="s">
        <v>26</v>
      </c>
      <c r="I124" s="107">
        <v>24620.44</v>
      </c>
      <c r="J124" s="107"/>
      <c r="K124" s="12" t="s">
        <v>29</v>
      </c>
      <c r="L124" s="13">
        <v>87983.87</v>
      </c>
    </row>
    <row r="125" spans="1:12" ht="71.400000000000006" hidden="1" x14ac:dyDescent="0.3">
      <c r="A125" s="9" t="s">
        <v>244</v>
      </c>
      <c r="B125" s="10" t="s">
        <v>245</v>
      </c>
      <c r="C125" s="10" t="s">
        <v>246</v>
      </c>
      <c r="D125" s="10" t="s">
        <v>247</v>
      </c>
      <c r="E125" s="11" t="s">
        <v>26</v>
      </c>
      <c r="F125" s="111">
        <v>26550</v>
      </c>
      <c r="G125" s="111"/>
      <c r="H125" s="11" t="s">
        <v>27</v>
      </c>
      <c r="I125" s="112" t="s">
        <v>28</v>
      </c>
      <c r="J125" s="112"/>
      <c r="K125" s="12" t="s">
        <v>29</v>
      </c>
      <c r="L125" s="13">
        <v>114533.87</v>
      </c>
    </row>
    <row r="126" spans="1:12" ht="71.400000000000006" hidden="1" x14ac:dyDescent="0.3">
      <c r="A126" s="9" t="s">
        <v>244</v>
      </c>
      <c r="B126" s="10" t="s">
        <v>248</v>
      </c>
      <c r="C126" s="10" t="s">
        <v>246</v>
      </c>
      <c r="D126" s="10" t="s">
        <v>247</v>
      </c>
      <c r="E126" s="11" t="s">
        <v>26</v>
      </c>
      <c r="F126" s="111">
        <v>8360</v>
      </c>
      <c r="G126" s="111"/>
      <c r="H126" s="11" t="s">
        <v>27</v>
      </c>
      <c r="I126" s="112" t="s">
        <v>28</v>
      </c>
      <c r="J126" s="112"/>
      <c r="K126" s="12" t="s">
        <v>29</v>
      </c>
      <c r="L126" s="13">
        <v>122893.87</v>
      </c>
    </row>
    <row r="127" spans="1:12" ht="61.2" hidden="1" x14ac:dyDescent="0.3">
      <c r="A127" s="9" t="s">
        <v>244</v>
      </c>
      <c r="B127" s="10" t="s">
        <v>249</v>
      </c>
      <c r="C127" s="10" t="s">
        <v>250</v>
      </c>
      <c r="D127" s="10" t="s">
        <v>246</v>
      </c>
      <c r="E127" s="11" t="s">
        <v>26</v>
      </c>
      <c r="F127" s="106" t="s">
        <v>28</v>
      </c>
      <c r="G127" s="106"/>
      <c r="H127" s="11" t="s">
        <v>26</v>
      </c>
      <c r="I127" s="107">
        <v>22691.5</v>
      </c>
      <c r="J127" s="107"/>
      <c r="K127" s="12" t="s">
        <v>29</v>
      </c>
      <c r="L127" s="13">
        <v>100202.37</v>
      </c>
    </row>
    <row r="128" spans="1:12" ht="61.2" hidden="1" x14ac:dyDescent="0.3">
      <c r="A128" s="9" t="s">
        <v>244</v>
      </c>
      <c r="B128" s="10" t="s">
        <v>251</v>
      </c>
      <c r="C128" s="10" t="s">
        <v>252</v>
      </c>
      <c r="D128" s="10" t="s">
        <v>246</v>
      </c>
      <c r="E128" s="11" t="s">
        <v>26</v>
      </c>
      <c r="F128" s="106" t="s">
        <v>28</v>
      </c>
      <c r="G128" s="106"/>
      <c r="H128" s="11" t="s">
        <v>26</v>
      </c>
      <c r="I128" s="107">
        <v>12218.5</v>
      </c>
      <c r="J128" s="107"/>
      <c r="K128" s="12" t="s">
        <v>29</v>
      </c>
      <c r="L128" s="13">
        <v>87983.87</v>
      </c>
    </row>
    <row r="129" spans="1:12" ht="71.400000000000006" hidden="1" x14ac:dyDescent="0.3">
      <c r="A129" s="9" t="s">
        <v>253</v>
      </c>
      <c r="B129" s="10" t="s">
        <v>254</v>
      </c>
      <c r="C129" s="10" t="s">
        <v>255</v>
      </c>
      <c r="D129" s="10" t="s">
        <v>256</v>
      </c>
      <c r="E129" s="11" t="s">
        <v>26</v>
      </c>
      <c r="F129" s="113">
        <v>465.6</v>
      </c>
      <c r="G129" s="113"/>
      <c r="H129" s="11" t="s">
        <v>27</v>
      </c>
      <c r="I129" s="112" t="s">
        <v>28</v>
      </c>
      <c r="J129" s="112"/>
      <c r="K129" s="12" t="s">
        <v>29</v>
      </c>
      <c r="L129" s="13">
        <v>88449.47</v>
      </c>
    </row>
    <row r="130" spans="1:12" ht="71.400000000000006" hidden="1" x14ac:dyDescent="0.3">
      <c r="A130" s="9" t="s">
        <v>253</v>
      </c>
      <c r="B130" s="10" t="s">
        <v>254</v>
      </c>
      <c r="C130" s="10" t="s">
        <v>257</v>
      </c>
      <c r="D130" s="10" t="s">
        <v>256</v>
      </c>
      <c r="E130" s="11" t="s">
        <v>26</v>
      </c>
      <c r="F130" s="113">
        <v>293.60000000000002</v>
      </c>
      <c r="G130" s="113"/>
      <c r="H130" s="11" t="s">
        <v>27</v>
      </c>
      <c r="I130" s="112" t="s">
        <v>28</v>
      </c>
      <c r="J130" s="112"/>
      <c r="K130" s="12" t="s">
        <v>29</v>
      </c>
      <c r="L130" s="13">
        <v>88743.07</v>
      </c>
    </row>
    <row r="131" spans="1:12" ht="71.400000000000006" hidden="1" x14ac:dyDescent="0.3">
      <c r="A131" s="9" t="s">
        <v>253</v>
      </c>
      <c r="B131" s="10" t="s">
        <v>258</v>
      </c>
      <c r="C131" s="10" t="s">
        <v>259</v>
      </c>
      <c r="D131" s="10" t="s">
        <v>247</v>
      </c>
      <c r="E131" s="11" t="s">
        <v>26</v>
      </c>
      <c r="F131" s="111">
        <v>31860</v>
      </c>
      <c r="G131" s="111"/>
      <c r="H131" s="11" t="s">
        <v>27</v>
      </c>
      <c r="I131" s="112" t="s">
        <v>28</v>
      </c>
      <c r="J131" s="112"/>
      <c r="K131" s="12" t="s">
        <v>29</v>
      </c>
      <c r="L131" s="13">
        <v>120603.07</v>
      </c>
    </row>
    <row r="132" spans="1:12" ht="71.400000000000006" hidden="1" x14ac:dyDescent="0.3">
      <c r="A132" s="9" t="s">
        <v>253</v>
      </c>
      <c r="B132" s="10" t="s">
        <v>260</v>
      </c>
      <c r="C132" s="10" t="s">
        <v>259</v>
      </c>
      <c r="D132" s="10" t="s">
        <v>247</v>
      </c>
      <c r="E132" s="11" t="s">
        <v>26</v>
      </c>
      <c r="F132" s="111">
        <v>15333.33</v>
      </c>
      <c r="G132" s="111"/>
      <c r="H132" s="11" t="s">
        <v>27</v>
      </c>
      <c r="I132" s="112" t="s">
        <v>28</v>
      </c>
      <c r="J132" s="112"/>
      <c r="K132" s="12" t="s">
        <v>29</v>
      </c>
      <c r="L132" s="13">
        <v>135936.4</v>
      </c>
    </row>
    <row r="133" spans="1:12" ht="71.400000000000006" hidden="1" x14ac:dyDescent="0.3">
      <c r="A133" s="9" t="s">
        <v>253</v>
      </c>
      <c r="B133" s="10" t="s">
        <v>261</v>
      </c>
      <c r="C133" s="10" t="s">
        <v>262</v>
      </c>
      <c r="D133" s="10" t="s">
        <v>255</v>
      </c>
      <c r="E133" s="11" t="s">
        <v>26</v>
      </c>
      <c r="F133" s="106" t="s">
        <v>28</v>
      </c>
      <c r="G133" s="106"/>
      <c r="H133" s="11" t="s">
        <v>26</v>
      </c>
      <c r="I133" s="110">
        <v>232.8</v>
      </c>
      <c r="J133" s="110"/>
      <c r="K133" s="12" t="s">
        <v>29</v>
      </c>
      <c r="L133" s="13">
        <v>135703.6</v>
      </c>
    </row>
    <row r="134" spans="1:12" ht="71.400000000000006" hidden="1" x14ac:dyDescent="0.3">
      <c r="A134" s="9" t="s">
        <v>253</v>
      </c>
      <c r="B134" s="10" t="s">
        <v>261</v>
      </c>
      <c r="C134" s="10" t="s">
        <v>263</v>
      </c>
      <c r="D134" s="10" t="s">
        <v>257</v>
      </c>
      <c r="E134" s="11" t="s">
        <v>26</v>
      </c>
      <c r="F134" s="106" t="s">
        <v>28</v>
      </c>
      <c r="G134" s="106"/>
      <c r="H134" s="11" t="s">
        <v>26</v>
      </c>
      <c r="I134" s="110">
        <v>146.80000000000001</v>
      </c>
      <c r="J134" s="110"/>
      <c r="K134" s="12" t="s">
        <v>29</v>
      </c>
      <c r="L134" s="13">
        <v>135556.79999999999</v>
      </c>
    </row>
    <row r="135" spans="1:12" ht="71.400000000000006" hidden="1" x14ac:dyDescent="0.3">
      <c r="A135" s="9" t="s">
        <v>253</v>
      </c>
      <c r="B135" s="10" t="s">
        <v>264</v>
      </c>
      <c r="C135" s="10" t="s">
        <v>265</v>
      </c>
      <c r="D135" s="10" t="s">
        <v>255</v>
      </c>
      <c r="E135" s="11" t="s">
        <v>26</v>
      </c>
      <c r="F135" s="106" t="s">
        <v>28</v>
      </c>
      <c r="G135" s="106"/>
      <c r="H135" s="11" t="s">
        <v>26</v>
      </c>
      <c r="I135" s="110">
        <v>232.8</v>
      </c>
      <c r="J135" s="110"/>
      <c r="K135" s="12" t="s">
        <v>29</v>
      </c>
      <c r="L135" s="13">
        <v>135324</v>
      </c>
    </row>
    <row r="136" spans="1:12" ht="71.400000000000006" hidden="1" x14ac:dyDescent="0.3">
      <c r="A136" s="9" t="s">
        <v>253</v>
      </c>
      <c r="B136" s="10" t="s">
        <v>264</v>
      </c>
      <c r="C136" s="10" t="s">
        <v>266</v>
      </c>
      <c r="D136" s="10" t="s">
        <v>257</v>
      </c>
      <c r="E136" s="11" t="s">
        <v>26</v>
      </c>
      <c r="F136" s="106" t="s">
        <v>28</v>
      </c>
      <c r="G136" s="106"/>
      <c r="H136" s="11" t="s">
        <v>26</v>
      </c>
      <c r="I136" s="110">
        <v>146.80000000000001</v>
      </c>
      <c r="J136" s="110"/>
      <c r="K136" s="12" t="s">
        <v>29</v>
      </c>
      <c r="L136" s="13">
        <v>135177.20000000001</v>
      </c>
    </row>
    <row r="137" spans="1:12" ht="61.2" hidden="1" x14ac:dyDescent="0.3">
      <c r="A137" s="9" t="s">
        <v>253</v>
      </c>
      <c r="B137" s="10" t="s">
        <v>267</v>
      </c>
      <c r="C137" s="10" t="s">
        <v>268</v>
      </c>
      <c r="D137" s="10" t="s">
        <v>259</v>
      </c>
      <c r="E137" s="11" t="s">
        <v>26</v>
      </c>
      <c r="F137" s="106" t="s">
        <v>28</v>
      </c>
      <c r="G137" s="106"/>
      <c r="H137" s="11" t="s">
        <v>26</v>
      </c>
      <c r="I137" s="107">
        <v>27529.439999999999</v>
      </c>
      <c r="J137" s="107"/>
      <c r="K137" s="12" t="s">
        <v>29</v>
      </c>
      <c r="L137" s="13">
        <v>107647.76</v>
      </c>
    </row>
    <row r="138" spans="1:12" ht="61.2" hidden="1" x14ac:dyDescent="0.3">
      <c r="A138" s="9" t="s">
        <v>253</v>
      </c>
      <c r="B138" s="10" t="s">
        <v>269</v>
      </c>
      <c r="C138" s="10" t="s">
        <v>270</v>
      </c>
      <c r="D138" s="10" t="s">
        <v>259</v>
      </c>
      <c r="E138" s="11" t="s">
        <v>26</v>
      </c>
      <c r="F138" s="106" t="s">
        <v>28</v>
      </c>
      <c r="G138" s="106"/>
      <c r="H138" s="11" t="s">
        <v>26</v>
      </c>
      <c r="I138" s="107">
        <v>19663.89</v>
      </c>
      <c r="J138" s="107"/>
      <c r="K138" s="12" t="s">
        <v>29</v>
      </c>
      <c r="L138" s="13">
        <v>87983.87</v>
      </c>
    </row>
    <row r="139" spans="1:12" ht="61.2" hidden="1" x14ac:dyDescent="0.3">
      <c r="A139" s="9" t="s">
        <v>253</v>
      </c>
      <c r="B139" s="10" t="s">
        <v>271</v>
      </c>
      <c r="C139" s="10" t="s">
        <v>272</v>
      </c>
      <c r="D139" s="10" t="s">
        <v>273</v>
      </c>
      <c r="E139" s="11" t="s">
        <v>26</v>
      </c>
      <c r="F139" s="111">
        <v>2620</v>
      </c>
      <c r="G139" s="111"/>
      <c r="H139" s="11" t="s">
        <v>27</v>
      </c>
      <c r="I139" s="112" t="s">
        <v>28</v>
      </c>
      <c r="J139" s="112"/>
      <c r="K139" s="12" t="s">
        <v>29</v>
      </c>
      <c r="L139" s="13">
        <v>90603.87</v>
      </c>
    </row>
    <row r="140" spans="1:12" ht="61.2" hidden="1" x14ac:dyDescent="0.3">
      <c r="A140" s="9" t="s">
        <v>253</v>
      </c>
      <c r="B140" s="10" t="s">
        <v>274</v>
      </c>
      <c r="C140" s="10" t="s">
        <v>275</v>
      </c>
      <c r="D140" s="10" t="s">
        <v>272</v>
      </c>
      <c r="E140" s="11" t="s">
        <v>26</v>
      </c>
      <c r="F140" s="106" t="s">
        <v>28</v>
      </c>
      <c r="G140" s="106"/>
      <c r="H140" s="11" t="s">
        <v>26</v>
      </c>
      <c r="I140" s="110">
        <v>982.5</v>
      </c>
      <c r="J140" s="110"/>
      <c r="K140" s="12" t="s">
        <v>29</v>
      </c>
      <c r="L140" s="13">
        <v>89621.37</v>
      </c>
    </row>
    <row r="141" spans="1:12" ht="61.2" hidden="1" x14ac:dyDescent="0.3">
      <c r="A141" s="9" t="s">
        <v>253</v>
      </c>
      <c r="B141" s="10" t="s">
        <v>276</v>
      </c>
      <c r="C141" s="10" t="s">
        <v>277</v>
      </c>
      <c r="D141" s="10" t="s">
        <v>272</v>
      </c>
      <c r="E141" s="11" t="s">
        <v>26</v>
      </c>
      <c r="F141" s="106" t="s">
        <v>28</v>
      </c>
      <c r="G141" s="106"/>
      <c r="H141" s="11" t="s">
        <v>26</v>
      </c>
      <c r="I141" s="110">
        <v>982.5</v>
      </c>
      <c r="J141" s="110"/>
      <c r="K141" s="12" t="s">
        <v>29</v>
      </c>
      <c r="L141" s="13">
        <v>88638.87</v>
      </c>
    </row>
    <row r="142" spans="1:12" ht="61.2" hidden="1" x14ac:dyDescent="0.3">
      <c r="A142" s="9" t="s">
        <v>253</v>
      </c>
      <c r="B142" s="10" t="s">
        <v>278</v>
      </c>
      <c r="C142" s="10" t="s">
        <v>279</v>
      </c>
      <c r="D142" s="10" t="s">
        <v>272</v>
      </c>
      <c r="E142" s="11" t="s">
        <v>26</v>
      </c>
      <c r="F142" s="106" t="s">
        <v>28</v>
      </c>
      <c r="G142" s="106"/>
      <c r="H142" s="11" t="s">
        <v>26</v>
      </c>
      <c r="I142" s="110">
        <v>655</v>
      </c>
      <c r="J142" s="110"/>
      <c r="K142" s="12" t="s">
        <v>29</v>
      </c>
      <c r="L142" s="13">
        <v>87983.87</v>
      </c>
    </row>
    <row r="143" spans="1:12" ht="61.2" hidden="1" x14ac:dyDescent="0.3">
      <c r="A143" s="9" t="s">
        <v>280</v>
      </c>
      <c r="B143" s="10" t="s">
        <v>281</v>
      </c>
      <c r="C143" s="10" t="s">
        <v>282</v>
      </c>
      <c r="D143" s="10" t="s">
        <v>283</v>
      </c>
      <c r="E143" s="11" t="s">
        <v>26</v>
      </c>
      <c r="F143" s="111">
        <v>19208.830000000002</v>
      </c>
      <c r="G143" s="111"/>
      <c r="H143" s="11" t="s">
        <v>27</v>
      </c>
      <c r="I143" s="112" t="s">
        <v>28</v>
      </c>
      <c r="J143" s="112"/>
      <c r="K143" s="12" t="s">
        <v>29</v>
      </c>
      <c r="L143" s="13">
        <v>107192.7</v>
      </c>
    </row>
    <row r="144" spans="1:12" ht="71.400000000000006" hidden="1" x14ac:dyDescent="0.3">
      <c r="A144" s="9" t="s">
        <v>280</v>
      </c>
      <c r="B144" s="10" t="s">
        <v>281</v>
      </c>
      <c r="C144" s="10" t="s">
        <v>284</v>
      </c>
      <c r="D144" s="10" t="s">
        <v>283</v>
      </c>
      <c r="E144" s="11" t="s">
        <v>26</v>
      </c>
      <c r="F144" s="111">
        <v>32816.339999999997</v>
      </c>
      <c r="G144" s="111"/>
      <c r="H144" s="11" t="s">
        <v>27</v>
      </c>
      <c r="I144" s="112" t="s">
        <v>28</v>
      </c>
      <c r="J144" s="112"/>
      <c r="K144" s="12" t="s">
        <v>29</v>
      </c>
      <c r="L144" s="13">
        <v>140009.04</v>
      </c>
    </row>
    <row r="145" spans="1:12" ht="61.2" hidden="1" x14ac:dyDescent="0.3">
      <c r="A145" s="9" t="s">
        <v>280</v>
      </c>
      <c r="B145" s="10" t="s">
        <v>285</v>
      </c>
      <c r="C145" s="10" t="s">
        <v>286</v>
      </c>
      <c r="D145" s="10" t="s">
        <v>287</v>
      </c>
      <c r="E145" s="11" t="s">
        <v>26</v>
      </c>
      <c r="F145" s="111">
        <v>33227.33</v>
      </c>
      <c r="G145" s="111"/>
      <c r="H145" s="11" t="s">
        <v>27</v>
      </c>
      <c r="I145" s="112" t="s">
        <v>28</v>
      </c>
      <c r="J145" s="112"/>
      <c r="K145" s="12" t="s">
        <v>29</v>
      </c>
      <c r="L145" s="13">
        <v>173236.37</v>
      </c>
    </row>
    <row r="146" spans="1:12" ht="71.400000000000006" hidden="1" x14ac:dyDescent="0.3">
      <c r="A146" s="9" t="s">
        <v>280</v>
      </c>
      <c r="B146" s="10" t="s">
        <v>285</v>
      </c>
      <c r="C146" s="10" t="s">
        <v>288</v>
      </c>
      <c r="D146" s="10" t="s">
        <v>287</v>
      </c>
      <c r="E146" s="11" t="s">
        <v>26</v>
      </c>
      <c r="F146" s="111">
        <v>56097.17</v>
      </c>
      <c r="G146" s="111"/>
      <c r="H146" s="11" t="s">
        <v>27</v>
      </c>
      <c r="I146" s="112" t="s">
        <v>28</v>
      </c>
      <c r="J146" s="112"/>
      <c r="K146" s="12" t="s">
        <v>29</v>
      </c>
      <c r="L146" s="13">
        <v>229333.54</v>
      </c>
    </row>
    <row r="147" spans="1:12" ht="61.2" hidden="1" x14ac:dyDescent="0.3">
      <c r="A147" s="9" t="s">
        <v>280</v>
      </c>
      <c r="B147" s="10" t="s">
        <v>289</v>
      </c>
      <c r="C147" s="10" t="s">
        <v>286</v>
      </c>
      <c r="D147" s="10" t="s">
        <v>287</v>
      </c>
      <c r="E147" s="11" t="s">
        <v>26</v>
      </c>
      <c r="F147" s="111">
        <v>27448.67</v>
      </c>
      <c r="G147" s="111"/>
      <c r="H147" s="11" t="s">
        <v>27</v>
      </c>
      <c r="I147" s="112" t="s">
        <v>28</v>
      </c>
      <c r="J147" s="112"/>
      <c r="K147" s="12" t="s">
        <v>29</v>
      </c>
      <c r="L147" s="13">
        <v>256782.21</v>
      </c>
    </row>
    <row r="148" spans="1:12" ht="71.400000000000006" hidden="1" x14ac:dyDescent="0.3">
      <c r="A148" s="9" t="s">
        <v>280</v>
      </c>
      <c r="B148" s="10" t="s">
        <v>289</v>
      </c>
      <c r="C148" s="10" t="s">
        <v>288</v>
      </c>
      <c r="D148" s="10" t="s">
        <v>287</v>
      </c>
      <c r="E148" s="11" t="s">
        <v>26</v>
      </c>
      <c r="F148" s="111">
        <v>81988.160000000003</v>
      </c>
      <c r="G148" s="111"/>
      <c r="H148" s="11" t="s">
        <v>27</v>
      </c>
      <c r="I148" s="112" t="s">
        <v>28</v>
      </c>
      <c r="J148" s="112"/>
      <c r="K148" s="12" t="s">
        <v>29</v>
      </c>
      <c r="L148" s="13">
        <v>338770.37</v>
      </c>
    </row>
    <row r="149" spans="1:12" ht="61.2" hidden="1" x14ac:dyDescent="0.3">
      <c r="A149" s="9" t="s">
        <v>280</v>
      </c>
      <c r="B149" s="10" t="s">
        <v>290</v>
      </c>
      <c r="C149" s="10" t="s">
        <v>282</v>
      </c>
      <c r="D149" s="10" t="s">
        <v>283</v>
      </c>
      <c r="E149" s="11" t="s">
        <v>26</v>
      </c>
      <c r="F149" s="111">
        <v>15868.17</v>
      </c>
      <c r="G149" s="111"/>
      <c r="H149" s="11" t="s">
        <v>27</v>
      </c>
      <c r="I149" s="112" t="s">
        <v>28</v>
      </c>
      <c r="J149" s="112"/>
      <c r="K149" s="12" t="s">
        <v>29</v>
      </c>
      <c r="L149" s="13">
        <v>354638.54</v>
      </c>
    </row>
    <row r="150" spans="1:12" ht="71.400000000000006" hidden="1" x14ac:dyDescent="0.3">
      <c r="A150" s="9" t="s">
        <v>280</v>
      </c>
      <c r="B150" s="10" t="s">
        <v>290</v>
      </c>
      <c r="C150" s="10" t="s">
        <v>284</v>
      </c>
      <c r="D150" s="10" t="s">
        <v>283</v>
      </c>
      <c r="E150" s="11" t="s">
        <v>26</v>
      </c>
      <c r="F150" s="111">
        <v>47962.33</v>
      </c>
      <c r="G150" s="111"/>
      <c r="H150" s="11" t="s">
        <v>27</v>
      </c>
      <c r="I150" s="112" t="s">
        <v>28</v>
      </c>
      <c r="J150" s="112"/>
      <c r="K150" s="12" t="s">
        <v>29</v>
      </c>
      <c r="L150" s="13">
        <v>402600.87</v>
      </c>
    </row>
    <row r="151" spans="1:12" ht="61.2" hidden="1" x14ac:dyDescent="0.3">
      <c r="A151" s="9" t="s">
        <v>280</v>
      </c>
      <c r="B151" s="10" t="s">
        <v>291</v>
      </c>
      <c r="C151" s="10" t="s">
        <v>292</v>
      </c>
      <c r="D151" s="10" t="s">
        <v>282</v>
      </c>
      <c r="E151" s="11" t="s">
        <v>26</v>
      </c>
      <c r="F151" s="106" t="s">
        <v>28</v>
      </c>
      <c r="G151" s="106"/>
      <c r="H151" s="11" t="s">
        <v>26</v>
      </c>
      <c r="I151" s="107">
        <v>35077</v>
      </c>
      <c r="J151" s="107"/>
      <c r="K151" s="12" t="s">
        <v>29</v>
      </c>
      <c r="L151" s="13">
        <v>367523.87</v>
      </c>
    </row>
    <row r="152" spans="1:12" ht="71.400000000000006" hidden="1" x14ac:dyDescent="0.3">
      <c r="A152" s="9" t="s">
        <v>280</v>
      </c>
      <c r="B152" s="10" t="s">
        <v>291</v>
      </c>
      <c r="C152" s="10" t="s">
        <v>293</v>
      </c>
      <c r="D152" s="10" t="s">
        <v>284</v>
      </c>
      <c r="E152" s="11" t="s">
        <v>26</v>
      </c>
      <c r="F152" s="106" t="s">
        <v>28</v>
      </c>
      <c r="G152" s="106"/>
      <c r="H152" s="11" t="s">
        <v>26</v>
      </c>
      <c r="I152" s="107">
        <v>26165.33</v>
      </c>
      <c r="J152" s="107"/>
      <c r="K152" s="12" t="s">
        <v>29</v>
      </c>
      <c r="L152" s="13">
        <v>341358.54</v>
      </c>
    </row>
    <row r="153" spans="1:12" ht="71.400000000000006" hidden="1" x14ac:dyDescent="0.3">
      <c r="A153" s="9" t="s">
        <v>280</v>
      </c>
      <c r="B153" s="10" t="s">
        <v>294</v>
      </c>
      <c r="C153" s="10" t="s">
        <v>295</v>
      </c>
      <c r="D153" s="10" t="s">
        <v>284</v>
      </c>
      <c r="E153" s="11" t="s">
        <v>26</v>
      </c>
      <c r="F153" s="106" t="s">
        <v>28</v>
      </c>
      <c r="G153" s="106"/>
      <c r="H153" s="11" t="s">
        <v>26</v>
      </c>
      <c r="I153" s="107">
        <v>54613.34</v>
      </c>
      <c r="J153" s="107"/>
      <c r="K153" s="12" t="s">
        <v>29</v>
      </c>
      <c r="L153" s="13">
        <v>286745.2</v>
      </c>
    </row>
    <row r="154" spans="1:12" ht="61.2" hidden="1" x14ac:dyDescent="0.3">
      <c r="A154" s="9" t="s">
        <v>280</v>
      </c>
      <c r="B154" s="10" t="s">
        <v>296</v>
      </c>
      <c r="C154" s="10" t="s">
        <v>297</v>
      </c>
      <c r="D154" s="10" t="s">
        <v>286</v>
      </c>
      <c r="E154" s="11" t="s">
        <v>26</v>
      </c>
      <c r="F154" s="106" t="s">
        <v>28</v>
      </c>
      <c r="G154" s="106"/>
      <c r="H154" s="11" t="s">
        <v>26</v>
      </c>
      <c r="I154" s="107">
        <v>60676</v>
      </c>
      <c r="J154" s="107"/>
      <c r="K154" s="12" t="s">
        <v>29</v>
      </c>
      <c r="L154" s="13">
        <v>226069.2</v>
      </c>
    </row>
    <row r="155" spans="1:12" ht="71.400000000000006" hidden="1" x14ac:dyDescent="0.3">
      <c r="A155" s="9" t="s">
        <v>280</v>
      </c>
      <c r="B155" s="10" t="s">
        <v>296</v>
      </c>
      <c r="C155" s="10" t="s">
        <v>298</v>
      </c>
      <c r="D155" s="10" t="s">
        <v>288</v>
      </c>
      <c r="E155" s="11" t="s">
        <v>26</v>
      </c>
      <c r="F155" s="106" t="s">
        <v>28</v>
      </c>
      <c r="G155" s="106"/>
      <c r="H155" s="11" t="s">
        <v>26</v>
      </c>
      <c r="I155" s="107">
        <v>17125.330000000002</v>
      </c>
      <c r="J155" s="107"/>
      <c r="K155" s="12" t="s">
        <v>29</v>
      </c>
      <c r="L155" s="13">
        <v>208943.87</v>
      </c>
    </row>
    <row r="156" spans="1:12" ht="71.400000000000006" hidden="1" x14ac:dyDescent="0.3">
      <c r="A156" s="9" t="s">
        <v>280</v>
      </c>
      <c r="B156" s="10" t="s">
        <v>299</v>
      </c>
      <c r="C156" s="10" t="s">
        <v>300</v>
      </c>
      <c r="D156" s="10" t="s">
        <v>288</v>
      </c>
      <c r="E156" s="11" t="s">
        <v>26</v>
      </c>
      <c r="F156" s="106" t="s">
        <v>28</v>
      </c>
      <c r="G156" s="106"/>
      <c r="H156" s="11" t="s">
        <v>26</v>
      </c>
      <c r="I156" s="107">
        <v>109344.38</v>
      </c>
      <c r="J156" s="107"/>
      <c r="K156" s="12" t="s">
        <v>29</v>
      </c>
      <c r="L156" s="13">
        <v>99599.49</v>
      </c>
    </row>
    <row r="157" spans="1:12" ht="71.400000000000006" hidden="1" x14ac:dyDescent="0.3">
      <c r="A157" s="9" t="s">
        <v>301</v>
      </c>
      <c r="B157" s="10" t="s">
        <v>302</v>
      </c>
      <c r="C157" s="10" t="s">
        <v>303</v>
      </c>
      <c r="D157" s="10" t="s">
        <v>304</v>
      </c>
      <c r="E157" s="11" t="s">
        <v>26</v>
      </c>
      <c r="F157" s="113">
        <v>143.25</v>
      </c>
      <c r="G157" s="113"/>
      <c r="H157" s="11" t="s">
        <v>27</v>
      </c>
      <c r="I157" s="112" t="s">
        <v>28</v>
      </c>
      <c r="J157" s="112"/>
      <c r="K157" s="12" t="s">
        <v>29</v>
      </c>
      <c r="L157" s="13">
        <v>99742.74</v>
      </c>
    </row>
    <row r="158" spans="1:12" ht="71.400000000000006" hidden="1" x14ac:dyDescent="0.3">
      <c r="A158" s="9" t="s">
        <v>301</v>
      </c>
      <c r="B158" s="10" t="s">
        <v>302</v>
      </c>
      <c r="C158" s="10" t="s">
        <v>305</v>
      </c>
      <c r="D158" s="10" t="s">
        <v>304</v>
      </c>
      <c r="E158" s="11" t="s">
        <v>26</v>
      </c>
      <c r="F158" s="113">
        <v>365</v>
      </c>
      <c r="G158" s="113"/>
      <c r="H158" s="11" t="s">
        <v>27</v>
      </c>
      <c r="I158" s="112" t="s">
        <v>28</v>
      </c>
      <c r="J158" s="112"/>
      <c r="K158" s="12" t="s">
        <v>29</v>
      </c>
      <c r="L158" s="13">
        <v>100107.74</v>
      </c>
    </row>
    <row r="159" spans="1:12" ht="61.2" hidden="1" x14ac:dyDescent="0.3">
      <c r="A159" s="9" t="s">
        <v>301</v>
      </c>
      <c r="B159" s="10" t="s">
        <v>306</v>
      </c>
      <c r="C159" s="10" t="s">
        <v>307</v>
      </c>
      <c r="D159" s="10" t="s">
        <v>303</v>
      </c>
      <c r="E159" s="11" t="s">
        <v>26</v>
      </c>
      <c r="F159" s="106" t="s">
        <v>28</v>
      </c>
      <c r="G159" s="106"/>
      <c r="H159" s="11" t="s">
        <v>26</v>
      </c>
      <c r="I159" s="110">
        <v>47.75</v>
      </c>
      <c r="J159" s="110"/>
      <c r="K159" s="12" t="s">
        <v>29</v>
      </c>
      <c r="L159" s="13">
        <v>100059.99</v>
      </c>
    </row>
    <row r="160" spans="1:12" ht="71.400000000000006" hidden="1" x14ac:dyDescent="0.3">
      <c r="A160" s="9" t="s">
        <v>301</v>
      </c>
      <c r="B160" s="10" t="s">
        <v>306</v>
      </c>
      <c r="C160" s="10" t="s">
        <v>308</v>
      </c>
      <c r="D160" s="10" t="s">
        <v>305</v>
      </c>
      <c r="E160" s="11" t="s">
        <v>26</v>
      </c>
      <c r="F160" s="106" t="s">
        <v>28</v>
      </c>
      <c r="G160" s="106"/>
      <c r="H160" s="11" t="s">
        <v>26</v>
      </c>
      <c r="I160" s="110">
        <v>182.5</v>
      </c>
      <c r="J160" s="110"/>
      <c r="K160" s="12" t="s">
        <v>29</v>
      </c>
      <c r="L160" s="13">
        <v>99877.49</v>
      </c>
    </row>
    <row r="161" spans="1:12" ht="61.2" hidden="1" x14ac:dyDescent="0.3">
      <c r="A161" s="9" t="s">
        <v>301</v>
      </c>
      <c r="B161" s="10" t="s">
        <v>309</v>
      </c>
      <c r="C161" s="10" t="s">
        <v>310</v>
      </c>
      <c r="D161" s="10" t="s">
        <v>303</v>
      </c>
      <c r="E161" s="11" t="s">
        <v>26</v>
      </c>
      <c r="F161" s="106" t="s">
        <v>28</v>
      </c>
      <c r="G161" s="106"/>
      <c r="H161" s="11" t="s">
        <v>26</v>
      </c>
      <c r="I161" s="110">
        <v>95.5</v>
      </c>
      <c r="J161" s="110"/>
      <c r="K161" s="12" t="s">
        <v>29</v>
      </c>
      <c r="L161" s="13">
        <v>99781.99</v>
      </c>
    </row>
    <row r="162" spans="1:12" ht="71.400000000000006" hidden="1" x14ac:dyDescent="0.3">
      <c r="A162" s="9" t="s">
        <v>301</v>
      </c>
      <c r="B162" s="10" t="s">
        <v>309</v>
      </c>
      <c r="C162" s="10" t="s">
        <v>311</v>
      </c>
      <c r="D162" s="10" t="s">
        <v>305</v>
      </c>
      <c r="E162" s="11" t="s">
        <v>26</v>
      </c>
      <c r="F162" s="106" t="s">
        <v>28</v>
      </c>
      <c r="G162" s="106"/>
      <c r="H162" s="11" t="s">
        <v>26</v>
      </c>
      <c r="I162" s="110">
        <v>182.5</v>
      </c>
      <c r="J162" s="110"/>
      <c r="K162" s="12" t="s">
        <v>29</v>
      </c>
      <c r="L162" s="13">
        <v>99599.49</v>
      </c>
    </row>
    <row r="163" spans="1:12" ht="71.400000000000006" hidden="1" x14ac:dyDescent="0.3">
      <c r="A163" s="9" t="s">
        <v>301</v>
      </c>
      <c r="B163" s="10" t="s">
        <v>312</v>
      </c>
      <c r="C163" s="10" t="s">
        <v>313</v>
      </c>
      <c r="D163" s="10" t="s">
        <v>314</v>
      </c>
      <c r="E163" s="11" t="s">
        <v>26</v>
      </c>
      <c r="F163" s="111">
        <v>29614</v>
      </c>
      <c r="G163" s="111"/>
      <c r="H163" s="11" t="s">
        <v>27</v>
      </c>
      <c r="I163" s="112" t="s">
        <v>28</v>
      </c>
      <c r="J163" s="112"/>
      <c r="K163" s="12" t="s">
        <v>29</v>
      </c>
      <c r="L163" s="13">
        <v>129213.49</v>
      </c>
    </row>
    <row r="164" spans="1:12" ht="61.2" hidden="1" x14ac:dyDescent="0.3">
      <c r="A164" s="9" t="s">
        <v>301</v>
      </c>
      <c r="B164" s="10" t="s">
        <v>312</v>
      </c>
      <c r="C164" s="10" t="s">
        <v>315</v>
      </c>
      <c r="D164" s="10" t="s">
        <v>314</v>
      </c>
      <c r="E164" s="11" t="s">
        <v>26</v>
      </c>
      <c r="F164" s="111">
        <v>11622.67</v>
      </c>
      <c r="G164" s="111"/>
      <c r="H164" s="11" t="s">
        <v>27</v>
      </c>
      <c r="I164" s="112" t="s">
        <v>28</v>
      </c>
      <c r="J164" s="112"/>
      <c r="K164" s="12" t="s">
        <v>29</v>
      </c>
      <c r="L164" s="13">
        <v>140836.16</v>
      </c>
    </row>
    <row r="165" spans="1:12" ht="71.400000000000006" hidden="1" x14ac:dyDescent="0.3">
      <c r="A165" s="9" t="s">
        <v>301</v>
      </c>
      <c r="B165" s="10" t="s">
        <v>316</v>
      </c>
      <c r="C165" s="10" t="s">
        <v>313</v>
      </c>
      <c r="D165" s="10" t="s">
        <v>314</v>
      </c>
      <c r="E165" s="11" t="s">
        <v>26</v>
      </c>
      <c r="F165" s="111">
        <v>43282</v>
      </c>
      <c r="G165" s="111"/>
      <c r="H165" s="11" t="s">
        <v>27</v>
      </c>
      <c r="I165" s="112" t="s">
        <v>28</v>
      </c>
      <c r="J165" s="112"/>
      <c r="K165" s="12" t="s">
        <v>29</v>
      </c>
      <c r="L165" s="13">
        <v>184118.16</v>
      </c>
    </row>
    <row r="166" spans="1:12" ht="61.2" hidden="1" x14ac:dyDescent="0.3">
      <c r="A166" s="9" t="s">
        <v>301</v>
      </c>
      <c r="B166" s="10" t="s">
        <v>316</v>
      </c>
      <c r="C166" s="10" t="s">
        <v>315</v>
      </c>
      <c r="D166" s="10" t="s">
        <v>314</v>
      </c>
      <c r="E166" s="11" t="s">
        <v>26</v>
      </c>
      <c r="F166" s="111">
        <v>9601.33</v>
      </c>
      <c r="G166" s="111"/>
      <c r="H166" s="11" t="s">
        <v>27</v>
      </c>
      <c r="I166" s="112" t="s">
        <v>28</v>
      </c>
      <c r="J166" s="112"/>
      <c r="K166" s="12" t="s">
        <v>29</v>
      </c>
      <c r="L166" s="13">
        <v>193719.49</v>
      </c>
    </row>
    <row r="167" spans="1:12" ht="71.400000000000006" hidden="1" x14ac:dyDescent="0.3">
      <c r="A167" s="9" t="s">
        <v>301</v>
      </c>
      <c r="B167" s="10" t="s">
        <v>317</v>
      </c>
      <c r="C167" s="10" t="s">
        <v>318</v>
      </c>
      <c r="D167" s="10" t="s">
        <v>313</v>
      </c>
      <c r="E167" s="11" t="s">
        <v>26</v>
      </c>
      <c r="F167" s="106" t="s">
        <v>28</v>
      </c>
      <c r="G167" s="106"/>
      <c r="H167" s="11" t="s">
        <v>26</v>
      </c>
      <c r="I167" s="107">
        <v>67592.02</v>
      </c>
      <c r="J167" s="107"/>
      <c r="K167" s="12" t="s">
        <v>29</v>
      </c>
      <c r="L167" s="13">
        <v>126127.47</v>
      </c>
    </row>
    <row r="168" spans="1:12" ht="61.2" hidden="1" x14ac:dyDescent="0.3">
      <c r="A168" s="9" t="s">
        <v>301</v>
      </c>
      <c r="B168" s="10" t="s">
        <v>319</v>
      </c>
      <c r="C168" s="10" t="s">
        <v>320</v>
      </c>
      <c r="D168" s="10" t="s">
        <v>315</v>
      </c>
      <c r="E168" s="11" t="s">
        <v>26</v>
      </c>
      <c r="F168" s="106" t="s">
        <v>28</v>
      </c>
      <c r="G168" s="106"/>
      <c r="H168" s="11" t="s">
        <v>26</v>
      </c>
      <c r="I168" s="107">
        <v>21224</v>
      </c>
      <c r="J168" s="107"/>
      <c r="K168" s="12" t="s">
        <v>29</v>
      </c>
      <c r="L168" s="13">
        <v>104903.47</v>
      </c>
    </row>
    <row r="169" spans="1:12" ht="61.2" hidden="1" x14ac:dyDescent="0.3">
      <c r="A169" s="9" t="s">
        <v>321</v>
      </c>
      <c r="B169" s="10" t="s">
        <v>322</v>
      </c>
      <c r="C169" s="10" t="s">
        <v>323</v>
      </c>
      <c r="D169" s="10" t="s">
        <v>324</v>
      </c>
      <c r="E169" s="11" t="s">
        <v>26</v>
      </c>
      <c r="F169" s="111">
        <v>3015</v>
      </c>
      <c r="G169" s="111"/>
      <c r="H169" s="11" t="s">
        <v>27</v>
      </c>
      <c r="I169" s="112" t="s">
        <v>28</v>
      </c>
      <c r="J169" s="112"/>
      <c r="K169" s="12" t="s">
        <v>29</v>
      </c>
      <c r="L169" s="13">
        <v>107918.47</v>
      </c>
    </row>
    <row r="170" spans="1:12" ht="61.2" hidden="1" x14ac:dyDescent="0.3">
      <c r="A170" s="9" t="s">
        <v>321</v>
      </c>
      <c r="B170" s="10" t="s">
        <v>322</v>
      </c>
      <c r="C170" s="10" t="s">
        <v>325</v>
      </c>
      <c r="D170" s="10" t="s">
        <v>324</v>
      </c>
      <c r="E170" s="11" t="s">
        <v>26</v>
      </c>
      <c r="F170" s="111">
        <v>1000</v>
      </c>
      <c r="G170" s="111"/>
      <c r="H170" s="11" t="s">
        <v>27</v>
      </c>
      <c r="I170" s="112" t="s">
        <v>28</v>
      </c>
      <c r="J170" s="112"/>
      <c r="K170" s="12" t="s">
        <v>29</v>
      </c>
      <c r="L170" s="13">
        <v>108918.47</v>
      </c>
    </row>
    <row r="171" spans="1:12" ht="61.2" hidden="1" x14ac:dyDescent="0.3">
      <c r="A171" s="9" t="s">
        <v>321</v>
      </c>
      <c r="B171" s="10" t="s">
        <v>326</v>
      </c>
      <c r="C171" s="10" t="s">
        <v>327</v>
      </c>
      <c r="D171" s="10" t="s">
        <v>328</v>
      </c>
      <c r="E171" s="11" t="s">
        <v>26</v>
      </c>
      <c r="F171" s="111">
        <v>16995</v>
      </c>
      <c r="G171" s="111"/>
      <c r="H171" s="11" t="s">
        <v>27</v>
      </c>
      <c r="I171" s="112" t="s">
        <v>28</v>
      </c>
      <c r="J171" s="112"/>
      <c r="K171" s="12" t="s">
        <v>29</v>
      </c>
      <c r="L171" s="13">
        <v>125913.47</v>
      </c>
    </row>
    <row r="172" spans="1:12" ht="71.400000000000006" hidden="1" x14ac:dyDescent="0.3">
      <c r="A172" s="9" t="s">
        <v>321</v>
      </c>
      <c r="B172" s="10" t="s">
        <v>326</v>
      </c>
      <c r="C172" s="10" t="s">
        <v>329</v>
      </c>
      <c r="D172" s="10" t="s">
        <v>328</v>
      </c>
      <c r="E172" s="11" t="s">
        <v>26</v>
      </c>
      <c r="F172" s="113">
        <v>450</v>
      </c>
      <c r="G172" s="113"/>
      <c r="H172" s="11" t="s">
        <v>27</v>
      </c>
      <c r="I172" s="112" t="s">
        <v>28</v>
      </c>
      <c r="J172" s="112"/>
      <c r="K172" s="12" t="s">
        <v>29</v>
      </c>
      <c r="L172" s="13">
        <v>126363.47</v>
      </c>
    </row>
    <row r="173" spans="1:12" ht="71.400000000000006" hidden="1" x14ac:dyDescent="0.3">
      <c r="A173" s="9" t="s">
        <v>321</v>
      </c>
      <c r="B173" s="10" t="s">
        <v>326</v>
      </c>
      <c r="C173" s="10" t="s">
        <v>330</v>
      </c>
      <c r="D173" s="10" t="s">
        <v>328</v>
      </c>
      <c r="E173" s="11" t="s">
        <v>26</v>
      </c>
      <c r="F173" s="111">
        <v>1811.25</v>
      </c>
      <c r="G173" s="111"/>
      <c r="H173" s="11" t="s">
        <v>27</v>
      </c>
      <c r="I173" s="112" t="s">
        <v>28</v>
      </c>
      <c r="J173" s="112"/>
      <c r="K173" s="12" t="s">
        <v>29</v>
      </c>
      <c r="L173" s="13">
        <v>128174.72</v>
      </c>
    </row>
    <row r="174" spans="1:12" ht="71.400000000000006" hidden="1" x14ac:dyDescent="0.3">
      <c r="A174" s="9" t="s">
        <v>321</v>
      </c>
      <c r="B174" s="10" t="s">
        <v>331</v>
      </c>
      <c r="C174" s="10" t="s">
        <v>332</v>
      </c>
      <c r="D174" s="10" t="s">
        <v>330</v>
      </c>
      <c r="E174" s="11" t="s">
        <v>26</v>
      </c>
      <c r="F174" s="106" t="s">
        <v>28</v>
      </c>
      <c r="G174" s="106"/>
      <c r="H174" s="11" t="s">
        <v>26</v>
      </c>
      <c r="I174" s="110">
        <v>905.63</v>
      </c>
      <c r="J174" s="110"/>
      <c r="K174" s="12" t="s">
        <v>29</v>
      </c>
      <c r="L174" s="13">
        <v>127269.09</v>
      </c>
    </row>
    <row r="175" spans="1:12" ht="61.2" hidden="1" x14ac:dyDescent="0.3">
      <c r="A175" s="9" t="s">
        <v>321</v>
      </c>
      <c r="B175" s="10" t="s">
        <v>331</v>
      </c>
      <c r="C175" s="10" t="s">
        <v>333</v>
      </c>
      <c r="D175" s="10" t="s">
        <v>327</v>
      </c>
      <c r="E175" s="11" t="s">
        <v>26</v>
      </c>
      <c r="F175" s="106" t="s">
        <v>28</v>
      </c>
      <c r="G175" s="106"/>
      <c r="H175" s="11" t="s">
        <v>26</v>
      </c>
      <c r="I175" s="107">
        <v>4889.92</v>
      </c>
      <c r="J175" s="107"/>
      <c r="K175" s="12" t="s">
        <v>29</v>
      </c>
      <c r="L175" s="13">
        <v>122379.17</v>
      </c>
    </row>
    <row r="176" spans="1:12" ht="61.2" hidden="1" x14ac:dyDescent="0.3">
      <c r="A176" s="9" t="s">
        <v>334</v>
      </c>
      <c r="B176" s="10" t="s">
        <v>335</v>
      </c>
      <c r="C176" s="10" t="s">
        <v>336</v>
      </c>
      <c r="D176" s="10" t="s">
        <v>337</v>
      </c>
      <c r="E176" s="11" t="s">
        <v>26</v>
      </c>
      <c r="F176" s="111">
        <v>15240</v>
      </c>
      <c r="G176" s="111"/>
      <c r="H176" s="11" t="s">
        <v>27</v>
      </c>
      <c r="I176" s="112" t="s">
        <v>28</v>
      </c>
      <c r="J176" s="112"/>
      <c r="K176" s="12" t="s">
        <v>29</v>
      </c>
      <c r="L176" s="13">
        <v>137619.17000000001</v>
      </c>
    </row>
    <row r="177" spans="1:12" ht="61.2" hidden="1" x14ac:dyDescent="0.3">
      <c r="A177" s="9" t="s">
        <v>334</v>
      </c>
      <c r="B177" s="10" t="s">
        <v>338</v>
      </c>
      <c r="C177" s="10" t="s">
        <v>336</v>
      </c>
      <c r="D177" s="10" t="s">
        <v>337</v>
      </c>
      <c r="E177" s="11" t="s">
        <v>26</v>
      </c>
      <c r="F177" s="111">
        <v>8359.56</v>
      </c>
      <c r="G177" s="111"/>
      <c r="H177" s="11" t="s">
        <v>27</v>
      </c>
      <c r="I177" s="112" t="s">
        <v>28</v>
      </c>
      <c r="J177" s="112"/>
      <c r="K177" s="12" t="s">
        <v>29</v>
      </c>
      <c r="L177" s="13">
        <v>145978.73000000001</v>
      </c>
    </row>
    <row r="178" spans="1:12" ht="61.2" hidden="1" x14ac:dyDescent="0.3">
      <c r="A178" s="9" t="s">
        <v>334</v>
      </c>
      <c r="B178" s="10" t="s">
        <v>339</v>
      </c>
      <c r="C178" s="10" t="s">
        <v>340</v>
      </c>
      <c r="D178" s="10" t="s">
        <v>336</v>
      </c>
      <c r="E178" s="11" t="s">
        <v>26</v>
      </c>
      <c r="F178" s="106" t="s">
        <v>28</v>
      </c>
      <c r="G178" s="106"/>
      <c r="H178" s="11" t="s">
        <v>26</v>
      </c>
      <c r="I178" s="107">
        <v>7374.86</v>
      </c>
      <c r="J178" s="107"/>
      <c r="K178" s="12" t="s">
        <v>29</v>
      </c>
      <c r="L178" s="13">
        <v>138603.87</v>
      </c>
    </row>
    <row r="179" spans="1:12" ht="61.2" hidden="1" x14ac:dyDescent="0.3">
      <c r="A179" s="9" t="s">
        <v>334</v>
      </c>
      <c r="B179" s="10" t="s">
        <v>341</v>
      </c>
      <c r="C179" s="10" t="s">
        <v>342</v>
      </c>
      <c r="D179" s="10" t="s">
        <v>336</v>
      </c>
      <c r="E179" s="11" t="s">
        <v>26</v>
      </c>
      <c r="F179" s="106" t="s">
        <v>28</v>
      </c>
      <c r="G179" s="106"/>
      <c r="H179" s="11" t="s">
        <v>26</v>
      </c>
      <c r="I179" s="107">
        <v>16224.7</v>
      </c>
      <c r="J179" s="107"/>
      <c r="K179" s="12" t="s">
        <v>29</v>
      </c>
      <c r="L179" s="13">
        <v>122379.17</v>
      </c>
    </row>
    <row r="180" spans="1:12" ht="71.400000000000006" hidden="1" x14ac:dyDescent="0.3">
      <c r="A180" s="9" t="s">
        <v>343</v>
      </c>
      <c r="B180" s="10" t="s">
        <v>344</v>
      </c>
      <c r="C180" s="10" t="s">
        <v>345</v>
      </c>
      <c r="D180" s="10" t="s">
        <v>346</v>
      </c>
      <c r="E180" s="11" t="s">
        <v>26</v>
      </c>
      <c r="F180" s="111">
        <v>49538.67</v>
      </c>
      <c r="G180" s="111"/>
      <c r="H180" s="11" t="s">
        <v>27</v>
      </c>
      <c r="I180" s="112" t="s">
        <v>28</v>
      </c>
      <c r="J180" s="112"/>
      <c r="K180" s="12" t="s">
        <v>29</v>
      </c>
      <c r="L180" s="13">
        <v>171917.84</v>
      </c>
    </row>
    <row r="181" spans="1:12" ht="71.400000000000006" hidden="1" x14ac:dyDescent="0.3">
      <c r="A181" s="9" t="s">
        <v>343</v>
      </c>
      <c r="B181" s="10" t="s">
        <v>347</v>
      </c>
      <c r="C181" s="10" t="s">
        <v>345</v>
      </c>
      <c r="D181" s="10" t="s">
        <v>346</v>
      </c>
      <c r="E181" s="11" t="s">
        <v>26</v>
      </c>
      <c r="F181" s="111">
        <v>72402.67</v>
      </c>
      <c r="G181" s="111"/>
      <c r="H181" s="11" t="s">
        <v>27</v>
      </c>
      <c r="I181" s="112" t="s">
        <v>28</v>
      </c>
      <c r="J181" s="112"/>
      <c r="K181" s="12" t="s">
        <v>29</v>
      </c>
      <c r="L181" s="13">
        <v>244320.51</v>
      </c>
    </row>
    <row r="182" spans="1:12" ht="71.400000000000006" hidden="1" x14ac:dyDescent="0.3">
      <c r="A182" s="9" t="s">
        <v>343</v>
      </c>
      <c r="B182" s="10" t="s">
        <v>348</v>
      </c>
      <c r="C182" s="10" t="s">
        <v>349</v>
      </c>
      <c r="D182" s="10" t="s">
        <v>345</v>
      </c>
      <c r="E182" s="11" t="s">
        <v>26</v>
      </c>
      <c r="F182" s="106" t="s">
        <v>28</v>
      </c>
      <c r="G182" s="106"/>
      <c r="H182" s="11" t="s">
        <v>26</v>
      </c>
      <c r="I182" s="107">
        <v>38768</v>
      </c>
      <c r="J182" s="107"/>
      <c r="K182" s="12" t="s">
        <v>29</v>
      </c>
      <c r="L182" s="13">
        <v>205552.51</v>
      </c>
    </row>
    <row r="183" spans="1:12" ht="71.400000000000006" hidden="1" x14ac:dyDescent="0.3">
      <c r="A183" s="9" t="s">
        <v>343</v>
      </c>
      <c r="B183" s="10" t="s">
        <v>350</v>
      </c>
      <c r="C183" s="10" t="s">
        <v>351</v>
      </c>
      <c r="D183" s="10" t="s">
        <v>345</v>
      </c>
      <c r="E183" s="11" t="s">
        <v>26</v>
      </c>
      <c r="F183" s="106" t="s">
        <v>28</v>
      </c>
      <c r="G183" s="106"/>
      <c r="H183" s="11" t="s">
        <v>26</v>
      </c>
      <c r="I183" s="107">
        <v>83173.34</v>
      </c>
      <c r="J183" s="107"/>
      <c r="K183" s="12" t="s">
        <v>29</v>
      </c>
      <c r="L183" s="13">
        <v>122379.17</v>
      </c>
    </row>
    <row r="184" spans="1:12" ht="71.400000000000006" hidden="1" x14ac:dyDescent="0.3">
      <c r="A184" s="9" t="s">
        <v>352</v>
      </c>
      <c r="B184" s="10" t="s">
        <v>353</v>
      </c>
      <c r="C184" s="10" t="s">
        <v>354</v>
      </c>
      <c r="D184" s="10" t="s">
        <v>355</v>
      </c>
      <c r="E184" s="11" t="s">
        <v>26</v>
      </c>
      <c r="F184" s="111">
        <v>15400</v>
      </c>
      <c r="G184" s="111"/>
      <c r="H184" s="11" t="s">
        <v>27</v>
      </c>
      <c r="I184" s="112" t="s">
        <v>28</v>
      </c>
      <c r="J184" s="112"/>
      <c r="K184" s="12" t="s">
        <v>29</v>
      </c>
      <c r="L184" s="13">
        <v>137779.17000000001</v>
      </c>
    </row>
    <row r="185" spans="1:12" ht="71.400000000000006" hidden="1" x14ac:dyDescent="0.3">
      <c r="A185" s="9" t="s">
        <v>352</v>
      </c>
      <c r="B185" s="10" t="s">
        <v>356</v>
      </c>
      <c r="C185" s="10" t="s">
        <v>354</v>
      </c>
      <c r="D185" s="10" t="s">
        <v>357</v>
      </c>
      <c r="E185" s="11" t="s">
        <v>26</v>
      </c>
      <c r="F185" s="111">
        <v>8343.2900000000009</v>
      </c>
      <c r="G185" s="111"/>
      <c r="H185" s="11" t="s">
        <v>27</v>
      </c>
      <c r="I185" s="112" t="s">
        <v>28</v>
      </c>
      <c r="J185" s="112"/>
      <c r="K185" s="12" t="s">
        <v>29</v>
      </c>
      <c r="L185" s="13">
        <v>146122.46</v>
      </c>
    </row>
    <row r="186" spans="1:12" ht="71.400000000000006" hidden="1" x14ac:dyDescent="0.3">
      <c r="A186" s="9" t="s">
        <v>352</v>
      </c>
      <c r="B186" s="10" t="s">
        <v>358</v>
      </c>
      <c r="C186" s="10" t="s">
        <v>354</v>
      </c>
      <c r="D186" s="10" t="s">
        <v>355</v>
      </c>
      <c r="E186" s="11" t="s">
        <v>26</v>
      </c>
      <c r="F186" s="113">
        <v>347.96</v>
      </c>
      <c r="G186" s="113"/>
      <c r="H186" s="11" t="s">
        <v>27</v>
      </c>
      <c r="I186" s="112" t="s">
        <v>28</v>
      </c>
      <c r="J186" s="112"/>
      <c r="K186" s="12" t="s">
        <v>29</v>
      </c>
      <c r="L186" s="13">
        <v>146470.42000000001</v>
      </c>
    </row>
    <row r="187" spans="1:12" ht="61.2" hidden="1" x14ac:dyDescent="0.3">
      <c r="A187" s="9" t="s">
        <v>352</v>
      </c>
      <c r="B187" s="10" t="s">
        <v>359</v>
      </c>
      <c r="C187" s="10" t="s">
        <v>360</v>
      </c>
      <c r="D187" s="10" t="s">
        <v>354</v>
      </c>
      <c r="E187" s="11" t="s">
        <v>26</v>
      </c>
      <c r="F187" s="106" t="s">
        <v>28</v>
      </c>
      <c r="G187" s="106"/>
      <c r="H187" s="11" t="s">
        <v>26</v>
      </c>
      <c r="I187" s="107">
        <v>13551.33</v>
      </c>
      <c r="J187" s="107"/>
      <c r="K187" s="12" t="s">
        <v>29</v>
      </c>
      <c r="L187" s="13">
        <v>132919.09</v>
      </c>
    </row>
    <row r="188" spans="1:12" ht="61.2" hidden="1" x14ac:dyDescent="0.3">
      <c r="A188" s="9" t="s">
        <v>352</v>
      </c>
      <c r="B188" s="10" t="s">
        <v>361</v>
      </c>
      <c r="C188" s="10" t="s">
        <v>362</v>
      </c>
      <c r="D188" s="10" t="s">
        <v>354</v>
      </c>
      <c r="E188" s="11" t="s">
        <v>26</v>
      </c>
      <c r="F188" s="106" t="s">
        <v>28</v>
      </c>
      <c r="G188" s="106"/>
      <c r="H188" s="11" t="s">
        <v>26</v>
      </c>
      <c r="I188" s="107">
        <v>10539.92</v>
      </c>
      <c r="J188" s="107"/>
      <c r="K188" s="12" t="s">
        <v>29</v>
      </c>
      <c r="L188" s="13">
        <v>122379.17</v>
      </c>
    </row>
    <row r="189" spans="1:12" ht="71.400000000000006" hidden="1" x14ac:dyDescent="0.3">
      <c r="A189" s="9" t="s">
        <v>363</v>
      </c>
      <c r="B189" s="10" t="s">
        <v>364</v>
      </c>
      <c r="C189" s="10" t="s">
        <v>365</v>
      </c>
      <c r="D189" s="10" t="s">
        <v>366</v>
      </c>
      <c r="E189" s="11" t="s">
        <v>26</v>
      </c>
      <c r="F189" s="111">
        <v>46639.67</v>
      </c>
      <c r="G189" s="111"/>
      <c r="H189" s="11" t="s">
        <v>27</v>
      </c>
      <c r="I189" s="112" t="s">
        <v>28</v>
      </c>
      <c r="J189" s="112"/>
      <c r="K189" s="12" t="s">
        <v>29</v>
      </c>
      <c r="L189" s="13">
        <v>169018.84</v>
      </c>
    </row>
    <row r="190" spans="1:12" ht="61.2" hidden="1" x14ac:dyDescent="0.3">
      <c r="A190" s="9" t="s">
        <v>363</v>
      </c>
      <c r="B190" s="10" t="s">
        <v>364</v>
      </c>
      <c r="C190" s="10" t="s">
        <v>367</v>
      </c>
      <c r="D190" s="10" t="s">
        <v>366</v>
      </c>
      <c r="E190" s="11" t="s">
        <v>26</v>
      </c>
      <c r="F190" s="111">
        <v>6298.17</v>
      </c>
      <c r="G190" s="111"/>
      <c r="H190" s="11" t="s">
        <v>27</v>
      </c>
      <c r="I190" s="112" t="s">
        <v>28</v>
      </c>
      <c r="J190" s="112"/>
      <c r="K190" s="12" t="s">
        <v>29</v>
      </c>
      <c r="L190" s="13">
        <v>175317.01</v>
      </c>
    </row>
    <row r="191" spans="1:12" ht="71.400000000000006" hidden="1" x14ac:dyDescent="0.3">
      <c r="A191" s="9" t="s">
        <v>363</v>
      </c>
      <c r="B191" s="10" t="s">
        <v>368</v>
      </c>
      <c r="C191" s="10" t="s">
        <v>365</v>
      </c>
      <c r="D191" s="10" t="s">
        <v>366</v>
      </c>
      <c r="E191" s="11" t="s">
        <v>26</v>
      </c>
      <c r="F191" s="111">
        <v>68165.67</v>
      </c>
      <c r="G191" s="111"/>
      <c r="H191" s="11" t="s">
        <v>27</v>
      </c>
      <c r="I191" s="112" t="s">
        <v>28</v>
      </c>
      <c r="J191" s="112"/>
      <c r="K191" s="12" t="s">
        <v>29</v>
      </c>
      <c r="L191" s="13">
        <v>243482.68</v>
      </c>
    </row>
    <row r="192" spans="1:12" ht="61.2" hidden="1" x14ac:dyDescent="0.3">
      <c r="A192" s="9" t="s">
        <v>363</v>
      </c>
      <c r="B192" s="10" t="s">
        <v>368</v>
      </c>
      <c r="C192" s="10" t="s">
        <v>367</v>
      </c>
      <c r="D192" s="10" t="s">
        <v>366</v>
      </c>
      <c r="E192" s="11" t="s">
        <v>26</v>
      </c>
      <c r="F192" s="111">
        <v>5202.83</v>
      </c>
      <c r="G192" s="111"/>
      <c r="H192" s="11" t="s">
        <v>27</v>
      </c>
      <c r="I192" s="112" t="s">
        <v>28</v>
      </c>
      <c r="J192" s="112"/>
      <c r="K192" s="12" t="s">
        <v>29</v>
      </c>
      <c r="L192" s="13">
        <v>248685.51</v>
      </c>
    </row>
    <row r="193" spans="1:12" ht="71.400000000000006" hidden="1" x14ac:dyDescent="0.3">
      <c r="A193" s="9" t="s">
        <v>363</v>
      </c>
      <c r="B193" s="10" t="s">
        <v>369</v>
      </c>
      <c r="C193" s="10" t="s">
        <v>370</v>
      </c>
      <c r="D193" s="10" t="s">
        <v>365</v>
      </c>
      <c r="E193" s="11" t="s">
        <v>26</v>
      </c>
      <c r="F193" s="106" t="s">
        <v>28</v>
      </c>
      <c r="G193" s="106"/>
      <c r="H193" s="11" t="s">
        <v>26</v>
      </c>
      <c r="I193" s="107">
        <v>55418.67</v>
      </c>
      <c r="J193" s="107"/>
      <c r="K193" s="12" t="s">
        <v>29</v>
      </c>
      <c r="L193" s="13">
        <v>193266.84</v>
      </c>
    </row>
    <row r="194" spans="1:12" ht="71.400000000000006" hidden="1" x14ac:dyDescent="0.3">
      <c r="A194" s="9" t="s">
        <v>363</v>
      </c>
      <c r="B194" s="10" t="s">
        <v>371</v>
      </c>
      <c r="C194" s="10" t="s">
        <v>372</v>
      </c>
      <c r="D194" s="10" t="s">
        <v>365</v>
      </c>
      <c r="E194" s="11" t="s">
        <v>26</v>
      </c>
      <c r="F194" s="106" t="s">
        <v>28</v>
      </c>
      <c r="G194" s="106"/>
      <c r="H194" s="11" t="s">
        <v>26</v>
      </c>
      <c r="I194" s="107">
        <v>59386.67</v>
      </c>
      <c r="J194" s="107"/>
      <c r="K194" s="12" t="s">
        <v>29</v>
      </c>
      <c r="L194" s="13">
        <v>133880.17000000001</v>
      </c>
    </row>
    <row r="195" spans="1:12" ht="61.2" hidden="1" x14ac:dyDescent="0.3">
      <c r="A195" s="9" t="s">
        <v>363</v>
      </c>
      <c r="B195" s="10" t="s">
        <v>371</v>
      </c>
      <c r="C195" s="10" t="s">
        <v>373</v>
      </c>
      <c r="D195" s="10" t="s">
        <v>367</v>
      </c>
      <c r="E195" s="11" t="s">
        <v>26</v>
      </c>
      <c r="F195" s="106" t="s">
        <v>28</v>
      </c>
      <c r="G195" s="106"/>
      <c r="H195" s="11" t="s">
        <v>26</v>
      </c>
      <c r="I195" s="107">
        <v>11501</v>
      </c>
      <c r="J195" s="107"/>
      <c r="K195" s="12" t="s">
        <v>29</v>
      </c>
      <c r="L195" s="13">
        <v>122379.17</v>
      </c>
    </row>
    <row r="196" spans="1:12" ht="71.400000000000006" hidden="1" x14ac:dyDescent="0.3">
      <c r="A196" s="9" t="s">
        <v>374</v>
      </c>
      <c r="B196" s="10" t="s">
        <v>375</v>
      </c>
      <c r="C196" s="10" t="s">
        <v>376</v>
      </c>
      <c r="D196" s="10" t="s">
        <v>377</v>
      </c>
      <c r="E196" s="11" t="s">
        <v>26</v>
      </c>
      <c r="F196" s="111">
        <v>11550</v>
      </c>
      <c r="G196" s="111"/>
      <c r="H196" s="11" t="s">
        <v>27</v>
      </c>
      <c r="I196" s="112" t="s">
        <v>28</v>
      </c>
      <c r="J196" s="112"/>
      <c r="K196" s="12" t="s">
        <v>29</v>
      </c>
      <c r="L196" s="13">
        <v>133929.17000000001</v>
      </c>
    </row>
    <row r="197" spans="1:12" ht="71.400000000000006" hidden="1" x14ac:dyDescent="0.3">
      <c r="A197" s="9" t="s">
        <v>374</v>
      </c>
      <c r="B197" s="10" t="s">
        <v>378</v>
      </c>
      <c r="C197" s="10" t="s">
        <v>376</v>
      </c>
      <c r="D197" s="10" t="s">
        <v>377</v>
      </c>
      <c r="E197" s="11" t="s">
        <v>26</v>
      </c>
      <c r="F197" s="111">
        <v>9883.75</v>
      </c>
      <c r="G197" s="111"/>
      <c r="H197" s="11" t="s">
        <v>27</v>
      </c>
      <c r="I197" s="112" t="s">
        <v>28</v>
      </c>
      <c r="J197" s="112"/>
      <c r="K197" s="12" t="s">
        <v>29</v>
      </c>
      <c r="L197" s="13">
        <v>143812.92000000001</v>
      </c>
    </row>
    <row r="198" spans="1:12" ht="61.2" hidden="1" x14ac:dyDescent="0.3">
      <c r="A198" s="9" t="s">
        <v>374</v>
      </c>
      <c r="B198" s="10" t="s">
        <v>379</v>
      </c>
      <c r="C198" s="10" t="s">
        <v>380</v>
      </c>
      <c r="D198" s="10" t="s">
        <v>376</v>
      </c>
      <c r="E198" s="11" t="s">
        <v>26</v>
      </c>
      <c r="F198" s="106" t="s">
        <v>28</v>
      </c>
      <c r="G198" s="106"/>
      <c r="H198" s="11" t="s">
        <v>26</v>
      </c>
      <c r="I198" s="107">
        <v>8930.73</v>
      </c>
      <c r="J198" s="107"/>
      <c r="K198" s="12" t="s">
        <v>29</v>
      </c>
      <c r="L198" s="13">
        <v>134882.19</v>
      </c>
    </row>
    <row r="199" spans="1:12" ht="61.2" hidden="1" x14ac:dyDescent="0.3">
      <c r="A199" s="9" t="s">
        <v>374</v>
      </c>
      <c r="B199" s="10" t="s">
        <v>381</v>
      </c>
      <c r="C199" s="10" t="s">
        <v>382</v>
      </c>
      <c r="D199" s="10" t="s">
        <v>376</v>
      </c>
      <c r="E199" s="11" t="s">
        <v>26</v>
      </c>
      <c r="F199" s="106" t="s">
        <v>28</v>
      </c>
      <c r="G199" s="106"/>
      <c r="H199" s="11" t="s">
        <v>26</v>
      </c>
      <c r="I199" s="107">
        <v>12503.02</v>
      </c>
      <c r="J199" s="107"/>
      <c r="K199" s="12" t="s">
        <v>29</v>
      </c>
      <c r="L199" s="13">
        <v>122379.17</v>
      </c>
    </row>
    <row r="200" spans="1:12" ht="71.400000000000006" hidden="1" x14ac:dyDescent="0.3">
      <c r="A200" s="9" t="s">
        <v>383</v>
      </c>
      <c r="B200" s="10" t="s">
        <v>384</v>
      </c>
      <c r="C200" s="10" t="s">
        <v>385</v>
      </c>
      <c r="D200" s="10" t="s">
        <v>386</v>
      </c>
      <c r="E200" s="11" t="s">
        <v>26</v>
      </c>
      <c r="F200" s="111">
        <v>50169.57</v>
      </c>
      <c r="G200" s="111"/>
      <c r="H200" s="11" t="s">
        <v>27</v>
      </c>
      <c r="I200" s="112" t="s">
        <v>28</v>
      </c>
      <c r="J200" s="112"/>
      <c r="K200" s="12" t="s">
        <v>29</v>
      </c>
      <c r="L200" s="13">
        <v>172548.74</v>
      </c>
    </row>
    <row r="201" spans="1:12" ht="71.400000000000006" hidden="1" x14ac:dyDescent="0.3">
      <c r="A201" s="9" t="s">
        <v>383</v>
      </c>
      <c r="B201" s="10" t="s">
        <v>387</v>
      </c>
      <c r="C201" s="10" t="s">
        <v>385</v>
      </c>
      <c r="D201" s="10" t="s">
        <v>377</v>
      </c>
      <c r="E201" s="11" t="s">
        <v>26</v>
      </c>
      <c r="F201" s="111">
        <v>13550.43</v>
      </c>
      <c r="G201" s="111"/>
      <c r="H201" s="11" t="s">
        <v>27</v>
      </c>
      <c r="I201" s="112" t="s">
        <v>28</v>
      </c>
      <c r="J201" s="112"/>
      <c r="K201" s="12" t="s">
        <v>29</v>
      </c>
      <c r="L201" s="13">
        <v>186099.17</v>
      </c>
    </row>
    <row r="202" spans="1:12" ht="71.400000000000006" hidden="1" x14ac:dyDescent="0.3">
      <c r="A202" s="9" t="s">
        <v>383</v>
      </c>
      <c r="B202" s="10" t="s">
        <v>388</v>
      </c>
      <c r="C202" s="10" t="s">
        <v>385</v>
      </c>
      <c r="D202" s="10" t="s">
        <v>389</v>
      </c>
      <c r="E202" s="11" t="s">
        <v>26</v>
      </c>
      <c r="F202" s="111">
        <v>21767.5</v>
      </c>
      <c r="G202" s="111"/>
      <c r="H202" s="11" t="s">
        <v>27</v>
      </c>
      <c r="I202" s="112" t="s">
        <v>28</v>
      </c>
      <c r="J202" s="112"/>
      <c r="K202" s="12" t="s">
        <v>29</v>
      </c>
      <c r="L202" s="13">
        <v>207866.67</v>
      </c>
    </row>
    <row r="203" spans="1:12" ht="61.2" hidden="1" x14ac:dyDescent="0.3">
      <c r="A203" s="9" t="s">
        <v>383</v>
      </c>
      <c r="B203" s="10" t="s">
        <v>390</v>
      </c>
      <c r="C203" s="10" t="s">
        <v>391</v>
      </c>
      <c r="D203" s="10" t="s">
        <v>385</v>
      </c>
      <c r="E203" s="11" t="s">
        <v>26</v>
      </c>
      <c r="F203" s="106" t="s">
        <v>28</v>
      </c>
      <c r="G203" s="106"/>
      <c r="H203" s="11" t="s">
        <v>26</v>
      </c>
      <c r="I203" s="107">
        <v>55210.68</v>
      </c>
      <c r="J203" s="107"/>
      <c r="K203" s="12" t="s">
        <v>29</v>
      </c>
      <c r="L203" s="13">
        <v>152655.99</v>
      </c>
    </row>
    <row r="204" spans="1:12" ht="61.2" hidden="1" x14ac:dyDescent="0.3">
      <c r="A204" s="9" t="s">
        <v>383</v>
      </c>
      <c r="B204" s="10" t="s">
        <v>392</v>
      </c>
      <c r="C204" s="10" t="s">
        <v>393</v>
      </c>
      <c r="D204" s="10" t="s">
        <v>385</v>
      </c>
      <c r="E204" s="11" t="s">
        <v>26</v>
      </c>
      <c r="F204" s="106" t="s">
        <v>28</v>
      </c>
      <c r="G204" s="106"/>
      <c r="H204" s="11" t="s">
        <v>26</v>
      </c>
      <c r="I204" s="107">
        <v>30276.82</v>
      </c>
      <c r="J204" s="107"/>
      <c r="K204" s="12" t="s">
        <v>29</v>
      </c>
      <c r="L204" s="13">
        <v>122379.17</v>
      </c>
    </row>
    <row r="205" spans="1:12" ht="71.400000000000006" hidden="1" x14ac:dyDescent="0.3">
      <c r="A205" s="9" t="s">
        <v>394</v>
      </c>
      <c r="B205" s="10" t="s">
        <v>395</v>
      </c>
      <c r="C205" s="10" t="s">
        <v>396</v>
      </c>
      <c r="D205" s="10" t="s">
        <v>397</v>
      </c>
      <c r="E205" s="11" t="s">
        <v>26</v>
      </c>
      <c r="F205" s="111">
        <v>35842.5</v>
      </c>
      <c r="G205" s="111"/>
      <c r="H205" s="11" t="s">
        <v>27</v>
      </c>
      <c r="I205" s="112" t="s">
        <v>28</v>
      </c>
      <c r="J205" s="112"/>
      <c r="K205" s="12" t="s">
        <v>29</v>
      </c>
      <c r="L205" s="13">
        <v>158221.67000000001</v>
      </c>
    </row>
    <row r="206" spans="1:12" ht="71.400000000000006" hidden="1" x14ac:dyDescent="0.3">
      <c r="A206" s="9" t="s">
        <v>394</v>
      </c>
      <c r="B206" s="10" t="s">
        <v>395</v>
      </c>
      <c r="C206" s="10" t="s">
        <v>398</v>
      </c>
      <c r="D206" s="10" t="s">
        <v>397</v>
      </c>
      <c r="E206" s="11" t="s">
        <v>26</v>
      </c>
      <c r="F206" s="111">
        <v>23100</v>
      </c>
      <c r="G206" s="111"/>
      <c r="H206" s="11" t="s">
        <v>27</v>
      </c>
      <c r="I206" s="112" t="s">
        <v>28</v>
      </c>
      <c r="J206" s="112"/>
      <c r="K206" s="12" t="s">
        <v>29</v>
      </c>
      <c r="L206" s="13">
        <v>181321.67</v>
      </c>
    </row>
    <row r="207" spans="1:12" ht="71.400000000000006" hidden="1" x14ac:dyDescent="0.3">
      <c r="A207" s="9" t="s">
        <v>394</v>
      </c>
      <c r="B207" s="10" t="s">
        <v>399</v>
      </c>
      <c r="C207" s="10" t="s">
        <v>396</v>
      </c>
      <c r="D207" s="10" t="s">
        <v>397</v>
      </c>
      <c r="E207" s="11" t="s">
        <v>26</v>
      </c>
      <c r="F207" s="111">
        <v>16945.939999999999</v>
      </c>
      <c r="G207" s="111"/>
      <c r="H207" s="11" t="s">
        <v>27</v>
      </c>
      <c r="I207" s="112" t="s">
        <v>28</v>
      </c>
      <c r="J207" s="112"/>
      <c r="K207" s="12" t="s">
        <v>29</v>
      </c>
      <c r="L207" s="13">
        <v>198267.61</v>
      </c>
    </row>
    <row r="208" spans="1:12" ht="71.400000000000006" hidden="1" x14ac:dyDescent="0.3">
      <c r="A208" s="9" t="s">
        <v>394</v>
      </c>
      <c r="B208" s="10" t="s">
        <v>399</v>
      </c>
      <c r="C208" s="10" t="s">
        <v>398</v>
      </c>
      <c r="D208" s="10" t="s">
        <v>397</v>
      </c>
      <c r="E208" s="11" t="s">
        <v>26</v>
      </c>
      <c r="F208" s="111">
        <v>15063.06</v>
      </c>
      <c r="G208" s="111"/>
      <c r="H208" s="11" t="s">
        <v>27</v>
      </c>
      <c r="I208" s="112" t="s">
        <v>28</v>
      </c>
      <c r="J208" s="112"/>
      <c r="K208" s="12" t="s">
        <v>29</v>
      </c>
      <c r="L208" s="13">
        <v>213330.67</v>
      </c>
    </row>
    <row r="209" spans="1:12" ht="61.2" hidden="1" x14ac:dyDescent="0.3">
      <c r="A209" s="9" t="s">
        <v>394</v>
      </c>
      <c r="B209" s="10" t="s">
        <v>400</v>
      </c>
      <c r="C209" s="10" t="s">
        <v>401</v>
      </c>
      <c r="D209" s="10" t="s">
        <v>398</v>
      </c>
      <c r="E209" s="11" t="s">
        <v>26</v>
      </c>
      <c r="F209" s="106" t="s">
        <v>28</v>
      </c>
      <c r="G209" s="106"/>
      <c r="H209" s="11" t="s">
        <v>26</v>
      </c>
      <c r="I209" s="107">
        <v>4455.57</v>
      </c>
      <c r="J209" s="107"/>
      <c r="K209" s="12" t="s">
        <v>29</v>
      </c>
      <c r="L209" s="13">
        <v>208875.1</v>
      </c>
    </row>
    <row r="210" spans="1:12" ht="61.2" hidden="1" x14ac:dyDescent="0.3">
      <c r="A210" s="9" t="s">
        <v>394</v>
      </c>
      <c r="B210" s="10" t="s">
        <v>402</v>
      </c>
      <c r="C210" s="10" t="s">
        <v>403</v>
      </c>
      <c r="D210" s="10" t="s">
        <v>398</v>
      </c>
      <c r="E210" s="11" t="s">
        <v>26</v>
      </c>
      <c r="F210" s="106" t="s">
        <v>28</v>
      </c>
      <c r="G210" s="106"/>
      <c r="H210" s="11" t="s">
        <v>26</v>
      </c>
      <c r="I210" s="107">
        <v>17822.28</v>
      </c>
      <c r="J210" s="107"/>
      <c r="K210" s="12" t="s">
        <v>29</v>
      </c>
      <c r="L210" s="13">
        <v>191052.82</v>
      </c>
    </row>
    <row r="211" spans="1:12" ht="61.2" hidden="1" x14ac:dyDescent="0.3">
      <c r="A211" s="9" t="s">
        <v>394</v>
      </c>
      <c r="B211" s="10" t="s">
        <v>404</v>
      </c>
      <c r="C211" s="10" t="s">
        <v>405</v>
      </c>
      <c r="D211" s="10" t="s">
        <v>396</v>
      </c>
      <c r="E211" s="11" t="s">
        <v>26</v>
      </c>
      <c r="F211" s="106" t="s">
        <v>28</v>
      </c>
      <c r="G211" s="106"/>
      <c r="H211" s="11" t="s">
        <v>26</v>
      </c>
      <c r="I211" s="107">
        <v>52788.44</v>
      </c>
      <c r="J211" s="107"/>
      <c r="K211" s="12" t="s">
        <v>29</v>
      </c>
      <c r="L211" s="13">
        <v>138264.38</v>
      </c>
    </row>
    <row r="212" spans="1:12" ht="61.2" hidden="1" x14ac:dyDescent="0.3">
      <c r="A212" s="9" t="s">
        <v>394</v>
      </c>
      <c r="B212" s="10" t="s">
        <v>404</v>
      </c>
      <c r="C212" s="10" t="s">
        <v>406</v>
      </c>
      <c r="D212" s="10" t="s">
        <v>398</v>
      </c>
      <c r="E212" s="11" t="s">
        <v>26</v>
      </c>
      <c r="F212" s="106" t="s">
        <v>28</v>
      </c>
      <c r="G212" s="106"/>
      <c r="H212" s="11" t="s">
        <v>26</v>
      </c>
      <c r="I212" s="107">
        <v>15885.21</v>
      </c>
      <c r="J212" s="107"/>
      <c r="K212" s="12" t="s">
        <v>29</v>
      </c>
      <c r="L212" s="13">
        <v>122379.17</v>
      </c>
    </row>
    <row r="213" spans="1:12" ht="71.400000000000006" hidden="1" x14ac:dyDescent="0.3">
      <c r="A213" s="9" t="s">
        <v>407</v>
      </c>
      <c r="B213" s="10" t="s">
        <v>408</v>
      </c>
      <c r="C213" s="10" t="s">
        <v>409</v>
      </c>
      <c r="D213" s="10" t="s">
        <v>397</v>
      </c>
      <c r="E213" s="11" t="s">
        <v>26</v>
      </c>
      <c r="F213" s="111">
        <v>67702.5</v>
      </c>
      <c r="G213" s="111"/>
      <c r="H213" s="11" t="s">
        <v>27</v>
      </c>
      <c r="I213" s="112" t="s">
        <v>28</v>
      </c>
      <c r="J213" s="112"/>
      <c r="K213" s="12" t="s">
        <v>29</v>
      </c>
      <c r="L213" s="13">
        <v>190081.67</v>
      </c>
    </row>
    <row r="214" spans="1:12" ht="71.400000000000006" hidden="1" x14ac:dyDescent="0.3">
      <c r="A214" s="9" t="s">
        <v>407</v>
      </c>
      <c r="B214" s="10" t="s">
        <v>410</v>
      </c>
      <c r="C214" s="10" t="s">
        <v>409</v>
      </c>
      <c r="D214" s="10" t="s">
        <v>397</v>
      </c>
      <c r="E214" s="11" t="s">
        <v>26</v>
      </c>
      <c r="F214" s="111">
        <v>24086.25</v>
      </c>
      <c r="G214" s="111"/>
      <c r="H214" s="11" t="s">
        <v>27</v>
      </c>
      <c r="I214" s="112" t="s">
        <v>28</v>
      </c>
      <c r="J214" s="112"/>
      <c r="K214" s="12" t="s">
        <v>29</v>
      </c>
      <c r="L214" s="13">
        <v>214167.92</v>
      </c>
    </row>
    <row r="215" spans="1:12" ht="61.2" hidden="1" x14ac:dyDescent="0.3">
      <c r="A215" s="9" t="s">
        <v>407</v>
      </c>
      <c r="B215" s="10" t="s">
        <v>411</v>
      </c>
      <c r="C215" s="10" t="s">
        <v>412</v>
      </c>
      <c r="D215" s="10" t="s">
        <v>409</v>
      </c>
      <c r="E215" s="11" t="s">
        <v>26</v>
      </c>
      <c r="F215" s="106" t="s">
        <v>28</v>
      </c>
      <c r="G215" s="106"/>
      <c r="H215" s="11" t="s">
        <v>26</v>
      </c>
      <c r="I215" s="107">
        <v>48594.04</v>
      </c>
      <c r="J215" s="107"/>
      <c r="K215" s="12" t="s">
        <v>29</v>
      </c>
      <c r="L215" s="13">
        <v>165573.88</v>
      </c>
    </row>
    <row r="216" spans="1:12" ht="61.2" hidden="1" x14ac:dyDescent="0.3">
      <c r="A216" s="9" t="s">
        <v>407</v>
      </c>
      <c r="B216" s="10" t="s">
        <v>413</v>
      </c>
      <c r="C216" s="10" t="s">
        <v>414</v>
      </c>
      <c r="D216" s="10" t="s">
        <v>409</v>
      </c>
      <c r="E216" s="11" t="s">
        <v>26</v>
      </c>
      <c r="F216" s="106" t="s">
        <v>28</v>
      </c>
      <c r="G216" s="106"/>
      <c r="H216" s="11" t="s">
        <v>26</v>
      </c>
      <c r="I216" s="107">
        <v>43194.71</v>
      </c>
      <c r="J216" s="107"/>
      <c r="K216" s="12" t="s">
        <v>29</v>
      </c>
      <c r="L216" s="13">
        <v>122379.17</v>
      </c>
    </row>
    <row r="217" spans="1:12" ht="61.2" hidden="1" x14ac:dyDescent="0.3">
      <c r="A217" s="9" t="s">
        <v>407</v>
      </c>
      <c r="B217" s="10" t="s">
        <v>415</v>
      </c>
      <c r="C217" s="10" t="s">
        <v>416</v>
      </c>
      <c r="D217" s="10" t="s">
        <v>417</v>
      </c>
      <c r="E217" s="11" t="s">
        <v>26</v>
      </c>
      <c r="F217" s="111">
        <v>47690.5</v>
      </c>
      <c r="G217" s="111"/>
      <c r="H217" s="11" t="s">
        <v>27</v>
      </c>
      <c r="I217" s="112" t="s">
        <v>28</v>
      </c>
      <c r="J217" s="112"/>
      <c r="K217" s="12" t="s">
        <v>29</v>
      </c>
      <c r="L217" s="13">
        <v>170069.67</v>
      </c>
    </row>
    <row r="218" spans="1:12" ht="61.2" hidden="1" x14ac:dyDescent="0.3">
      <c r="A218" s="9" t="s">
        <v>407</v>
      </c>
      <c r="B218" s="10" t="s">
        <v>415</v>
      </c>
      <c r="C218" s="10" t="s">
        <v>418</v>
      </c>
      <c r="D218" s="10" t="s">
        <v>417</v>
      </c>
      <c r="E218" s="11" t="s">
        <v>26</v>
      </c>
      <c r="F218" s="111">
        <v>70815</v>
      </c>
      <c r="G218" s="111"/>
      <c r="H218" s="11" t="s">
        <v>27</v>
      </c>
      <c r="I218" s="112" t="s">
        <v>28</v>
      </c>
      <c r="J218" s="112"/>
      <c r="K218" s="12" t="s">
        <v>29</v>
      </c>
      <c r="L218" s="13">
        <v>240884.67</v>
      </c>
    </row>
    <row r="219" spans="1:12" ht="61.2" hidden="1" x14ac:dyDescent="0.3">
      <c r="A219" s="9" t="s">
        <v>407</v>
      </c>
      <c r="B219" s="10" t="s">
        <v>419</v>
      </c>
      <c r="C219" s="10" t="s">
        <v>420</v>
      </c>
      <c r="D219" s="10" t="s">
        <v>416</v>
      </c>
      <c r="E219" s="11" t="s">
        <v>26</v>
      </c>
      <c r="F219" s="106" t="s">
        <v>28</v>
      </c>
      <c r="G219" s="106"/>
      <c r="H219" s="11" t="s">
        <v>26</v>
      </c>
      <c r="I219" s="107">
        <v>47690.5</v>
      </c>
      <c r="J219" s="107"/>
      <c r="K219" s="12" t="s">
        <v>29</v>
      </c>
      <c r="L219" s="13">
        <v>193194.17</v>
      </c>
    </row>
    <row r="220" spans="1:12" ht="61.2" hidden="1" x14ac:dyDescent="0.3">
      <c r="A220" s="9" t="s">
        <v>407</v>
      </c>
      <c r="B220" s="10" t="s">
        <v>421</v>
      </c>
      <c r="C220" s="10" t="s">
        <v>422</v>
      </c>
      <c r="D220" s="10" t="s">
        <v>418</v>
      </c>
      <c r="E220" s="11" t="s">
        <v>26</v>
      </c>
      <c r="F220" s="106" t="s">
        <v>28</v>
      </c>
      <c r="G220" s="106"/>
      <c r="H220" s="11" t="s">
        <v>26</v>
      </c>
      <c r="I220" s="107">
        <v>70815</v>
      </c>
      <c r="J220" s="107"/>
      <c r="K220" s="12" t="s">
        <v>29</v>
      </c>
      <c r="L220" s="13">
        <v>122379.17</v>
      </c>
    </row>
    <row r="221" spans="1:12" ht="61.2" hidden="1" x14ac:dyDescent="0.3">
      <c r="A221" s="9" t="s">
        <v>423</v>
      </c>
      <c r="B221" s="10" t="s">
        <v>424</v>
      </c>
      <c r="C221" s="10" t="s">
        <v>425</v>
      </c>
      <c r="D221" s="10" t="s">
        <v>426</v>
      </c>
      <c r="E221" s="11" t="s">
        <v>26</v>
      </c>
      <c r="F221" s="111">
        <v>63625.13</v>
      </c>
      <c r="G221" s="111"/>
      <c r="H221" s="11" t="s">
        <v>27</v>
      </c>
      <c r="I221" s="112" t="s">
        <v>28</v>
      </c>
      <c r="J221" s="112"/>
      <c r="K221" s="12" t="s">
        <v>29</v>
      </c>
      <c r="L221" s="13">
        <v>186004.3</v>
      </c>
    </row>
    <row r="222" spans="1:12" ht="61.2" hidden="1" x14ac:dyDescent="0.3">
      <c r="A222" s="9" t="s">
        <v>423</v>
      </c>
      <c r="B222" s="10" t="s">
        <v>424</v>
      </c>
      <c r="C222" s="10" t="s">
        <v>427</v>
      </c>
      <c r="D222" s="10" t="s">
        <v>426</v>
      </c>
      <c r="E222" s="11" t="s">
        <v>26</v>
      </c>
      <c r="F222" s="111">
        <v>77100</v>
      </c>
      <c r="G222" s="111"/>
      <c r="H222" s="11" t="s">
        <v>27</v>
      </c>
      <c r="I222" s="112" t="s">
        <v>28</v>
      </c>
      <c r="J222" s="112"/>
      <c r="K222" s="12" t="s">
        <v>29</v>
      </c>
      <c r="L222" s="13">
        <v>263104.3</v>
      </c>
    </row>
    <row r="223" spans="1:12" ht="61.2" hidden="1" x14ac:dyDescent="0.3">
      <c r="A223" s="9" t="s">
        <v>423</v>
      </c>
      <c r="B223" s="10" t="s">
        <v>428</v>
      </c>
      <c r="C223" s="10" t="s">
        <v>429</v>
      </c>
      <c r="D223" s="10" t="s">
        <v>425</v>
      </c>
      <c r="E223" s="11" t="s">
        <v>26</v>
      </c>
      <c r="F223" s="106" t="s">
        <v>28</v>
      </c>
      <c r="G223" s="106"/>
      <c r="H223" s="11" t="s">
        <v>26</v>
      </c>
      <c r="I223" s="107">
        <v>63625.13</v>
      </c>
      <c r="J223" s="107"/>
      <c r="K223" s="12" t="s">
        <v>29</v>
      </c>
      <c r="L223" s="13">
        <v>199479.17</v>
      </c>
    </row>
    <row r="224" spans="1:12" ht="61.2" hidden="1" x14ac:dyDescent="0.3">
      <c r="A224" s="9" t="s">
        <v>423</v>
      </c>
      <c r="B224" s="10" t="s">
        <v>430</v>
      </c>
      <c r="C224" s="10" t="s">
        <v>431</v>
      </c>
      <c r="D224" s="10" t="s">
        <v>427</v>
      </c>
      <c r="E224" s="11" t="s">
        <v>26</v>
      </c>
      <c r="F224" s="106" t="s">
        <v>28</v>
      </c>
      <c r="G224" s="106"/>
      <c r="H224" s="11" t="s">
        <v>26</v>
      </c>
      <c r="I224" s="107">
        <v>77100</v>
      </c>
      <c r="J224" s="107"/>
      <c r="K224" s="12" t="s">
        <v>29</v>
      </c>
      <c r="L224" s="13">
        <v>122379.17</v>
      </c>
    </row>
    <row r="225" spans="1:12" ht="71.400000000000006" hidden="1" x14ac:dyDescent="0.3">
      <c r="A225" s="9" t="s">
        <v>432</v>
      </c>
      <c r="B225" s="10" t="s">
        <v>433</v>
      </c>
      <c r="C225" s="10" t="s">
        <v>434</v>
      </c>
      <c r="D225" s="10" t="s">
        <v>435</v>
      </c>
      <c r="E225" s="11" t="s">
        <v>26</v>
      </c>
      <c r="F225" s="111">
        <v>35842.5</v>
      </c>
      <c r="G225" s="111"/>
      <c r="H225" s="11" t="s">
        <v>27</v>
      </c>
      <c r="I225" s="112" t="s">
        <v>28</v>
      </c>
      <c r="J225" s="112"/>
      <c r="K225" s="12" t="s">
        <v>29</v>
      </c>
      <c r="L225" s="13">
        <v>158221.67000000001</v>
      </c>
    </row>
    <row r="226" spans="1:12" ht="71.400000000000006" hidden="1" x14ac:dyDescent="0.3">
      <c r="A226" s="9" t="s">
        <v>432</v>
      </c>
      <c r="B226" s="10" t="s">
        <v>433</v>
      </c>
      <c r="C226" s="10" t="s">
        <v>436</v>
      </c>
      <c r="D226" s="10" t="s">
        <v>435</v>
      </c>
      <c r="E226" s="11" t="s">
        <v>26</v>
      </c>
      <c r="F226" s="111">
        <v>9625</v>
      </c>
      <c r="G226" s="111"/>
      <c r="H226" s="11" t="s">
        <v>27</v>
      </c>
      <c r="I226" s="112" t="s">
        <v>28</v>
      </c>
      <c r="J226" s="112"/>
      <c r="K226" s="12" t="s">
        <v>29</v>
      </c>
      <c r="L226" s="13">
        <v>167846.67</v>
      </c>
    </row>
    <row r="227" spans="1:12" ht="71.400000000000006" hidden="1" x14ac:dyDescent="0.3">
      <c r="A227" s="9" t="s">
        <v>432</v>
      </c>
      <c r="B227" s="10" t="s">
        <v>437</v>
      </c>
      <c r="C227" s="10" t="s">
        <v>434</v>
      </c>
      <c r="D227" s="10" t="s">
        <v>438</v>
      </c>
      <c r="E227" s="11" t="s">
        <v>26</v>
      </c>
      <c r="F227" s="111">
        <v>21076.46</v>
      </c>
      <c r="G227" s="111"/>
      <c r="H227" s="11" t="s">
        <v>27</v>
      </c>
      <c r="I227" s="112" t="s">
        <v>28</v>
      </c>
      <c r="J227" s="112"/>
      <c r="K227" s="12" t="s">
        <v>29</v>
      </c>
      <c r="L227" s="13">
        <v>188923.13</v>
      </c>
    </row>
    <row r="228" spans="1:12" ht="71.400000000000006" hidden="1" x14ac:dyDescent="0.3">
      <c r="A228" s="9" t="s">
        <v>432</v>
      </c>
      <c r="B228" s="10" t="s">
        <v>437</v>
      </c>
      <c r="C228" s="10" t="s">
        <v>436</v>
      </c>
      <c r="D228" s="10" t="s">
        <v>438</v>
      </c>
      <c r="E228" s="11" t="s">
        <v>26</v>
      </c>
      <c r="F228" s="111">
        <v>5659.79</v>
      </c>
      <c r="G228" s="111"/>
      <c r="H228" s="11" t="s">
        <v>27</v>
      </c>
      <c r="I228" s="112" t="s">
        <v>28</v>
      </c>
      <c r="J228" s="112"/>
      <c r="K228" s="12" t="s">
        <v>29</v>
      </c>
      <c r="L228" s="13">
        <v>194582.92</v>
      </c>
    </row>
    <row r="229" spans="1:12" ht="61.2" hidden="1" x14ac:dyDescent="0.3">
      <c r="A229" s="9" t="s">
        <v>432</v>
      </c>
      <c r="B229" s="10" t="s">
        <v>439</v>
      </c>
      <c r="C229" s="10" t="s">
        <v>440</v>
      </c>
      <c r="D229" s="10" t="s">
        <v>434</v>
      </c>
      <c r="E229" s="11" t="s">
        <v>26</v>
      </c>
      <c r="F229" s="106" t="s">
        <v>28</v>
      </c>
      <c r="G229" s="106"/>
      <c r="H229" s="11" t="s">
        <v>26</v>
      </c>
      <c r="I229" s="107">
        <v>49751.39</v>
      </c>
      <c r="J229" s="107"/>
      <c r="K229" s="12" t="s">
        <v>29</v>
      </c>
      <c r="L229" s="13">
        <v>144831.53</v>
      </c>
    </row>
    <row r="230" spans="1:12" ht="61.2" hidden="1" x14ac:dyDescent="0.3">
      <c r="A230" s="9" t="s">
        <v>432</v>
      </c>
      <c r="B230" s="10" t="s">
        <v>439</v>
      </c>
      <c r="C230" s="10" t="s">
        <v>441</v>
      </c>
      <c r="D230" s="10" t="s">
        <v>436</v>
      </c>
      <c r="E230" s="11" t="s">
        <v>26</v>
      </c>
      <c r="F230" s="106" t="s">
        <v>28</v>
      </c>
      <c r="G230" s="106"/>
      <c r="H230" s="11" t="s">
        <v>26</v>
      </c>
      <c r="I230" s="107">
        <v>15284.79</v>
      </c>
      <c r="J230" s="107"/>
      <c r="K230" s="12" t="s">
        <v>29</v>
      </c>
      <c r="L230" s="13">
        <v>129546.74</v>
      </c>
    </row>
    <row r="231" spans="1:12" ht="61.2" hidden="1" x14ac:dyDescent="0.3">
      <c r="A231" s="9" t="s">
        <v>432</v>
      </c>
      <c r="B231" s="10" t="s">
        <v>442</v>
      </c>
      <c r="C231" s="10" t="s">
        <v>443</v>
      </c>
      <c r="D231" s="10" t="s">
        <v>434</v>
      </c>
      <c r="E231" s="11" t="s">
        <v>26</v>
      </c>
      <c r="F231" s="106" t="s">
        <v>28</v>
      </c>
      <c r="G231" s="106"/>
      <c r="H231" s="11" t="s">
        <v>26</v>
      </c>
      <c r="I231" s="107">
        <v>7167.57</v>
      </c>
      <c r="J231" s="107"/>
      <c r="K231" s="12" t="s">
        <v>29</v>
      </c>
      <c r="L231" s="13">
        <v>122379.17</v>
      </c>
    </row>
    <row r="232" spans="1:12" ht="61.2" hidden="1" x14ac:dyDescent="0.3">
      <c r="A232" s="9" t="s">
        <v>432</v>
      </c>
      <c r="B232" s="10" t="s">
        <v>444</v>
      </c>
      <c r="C232" s="10" t="s">
        <v>445</v>
      </c>
      <c r="D232" s="10" t="s">
        <v>446</v>
      </c>
      <c r="E232" s="11" t="s">
        <v>26</v>
      </c>
      <c r="F232" s="111">
        <v>30802.06</v>
      </c>
      <c r="G232" s="111"/>
      <c r="H232" s="11" t="s">
        <v>27</v>
      </c>
      <c r="I232" s="112" t="s">
        <v>28</v>
      </c>
      <c r="J232" s="112"/>
      <c r="K232" s="12" t="s">
        <v>29</v>
      </c>
      <c r="L232" s="13">
        <v>153181.23000000001</v>
      </c>
    </row>
    <row r="233" spans="1:12" ht="61.2" hidden="1" x14ac:dyDescent="0.3">
      <c r="A233" s="9" t="s">
        <v>432</v>
      </c>
      <c r="B233" s="10" t="s">
        <v>444</v>
      </c>
      <c r="C233" s="10" t="s">
        <v>447</v>
      </c>
      <c r="D233" s="10" t="s">
        <v>446</v>
      </c>
      <c r="E233" s="11" t="s">
        <v>26</v>
      </c>
      <c r="F233" s="111">
        <v>73380</v>
      </c>
      <c r="G233" s="111"/>
      <c r="H233" s="11" t="s">
        <v>27</v>
      </c>
      <c r="I233" s="112" t="s">
        <v>28</v>
      </c>
      <c r="J233" s="112"/>
      <c r="K233" s="12" t="s">
        <v>29</v>
      </c>
      <c r="L233" s="13">
        <v>226561.23</v>
      </c>
    </row>
    <row r="234" spans="1:12" ht="61.2" hidden="1" x14ac:dyDescent="0.3">
      <c r="A234" s="9" t="s">
        <v>432</v>
      </c>
      <c r="B234" s="10" t="s">
        <v>448</v>
      </c>
      <c r="C234" s="10" t="s">
        <v>449</v>
      </c>
      <c r="D234" s="10" t="s">
        <v>445</v>
      </c>
      <c r="E234" s="11" t="s">
        <v>26</v>
      </c>
      <c r="F234" s="106" t="s">
        <v>28</v>
      </c>
      <c r="G234" s="106"/>
      <c r="H234" s="11" t="s">
        <v>26</v>
      </c>
      <c r="I234" s="107">
        <v>30802.06</v>
      </c>
      <c r="J234" s="107"/>
      <c r="K234" s="12" t="s">
        <v>29</v>
      </c>
      <c r="L234" s="13">
        <v>195759.17</v>
      </c>
    </row>
    <row r="235" spans="1:12" ht="61.2" hidden="1" x14ac:dyDescent="0.3">
      <c r="A235" s="9" t="s">
        <v>432</v>
      </c>
      <c r="B235" s="10" t="s">
        <v>450</v>
      </c>
      <c r="C235" s="10" t="s">
        <v>451</v>
      </c>
      <c r="D235" s="10" t="s">
        <v>447</v>
      </c>
      <c r="E235" s="11" t="s">
        <v>26</v>
      </c>
      <c r="F235" s="106" t="s">
        <v>28</v>
      </c>
      <c r="G235" s="106"/>
      <c r="H235" s="11" t="s">
        <v>26</v>
      </c>
      <c r="I235" s="107">
        <v>73380</v>
      </c>
      <c r="J235" s="107"/>
      <c r="K235" s="12" t="s">
        <v>29</v>
      </c>
      <c r="L235" s="13">
        <v>122379.17</v>
      </c>
    </row>
    <row r="236" spans="1:12" ht="61.2" hidden="1" x14ac:dyDescent="0.3">
      <c r="A236" s="9" t="s">
        <v>452</v>
      </c>
      <c r="B236" s="10" t="s">
        <v>453</v>
      </c>
      <c r="C236" s="10" t="s">
        <v>454</v>
      </c>
      <c r="D236" s="10" t="s">
        <v>455</v>
      </c>
      <c r="E236" s="11" t="s">
        <v>26</v>
      </c>
      <c r="F236" s="111">
        <v>2278</v>
      </c>
      <c r="G236" s="111"/>
      <c r="H236" s="11" t="s">
        <v>27</v>
      </c>
      <c r="I236" s="112" t="s">
        <v>28</v>
      </c>
      <c r="J236" s="112"/>
      <c r="K236" s="12" t="s">
        <v>29</v>
      </c>
      <c r="L236" s="13">
        <v>124657.17</v>
      </c>
    </row>
    <row r="237" spans="1:12" ht="61.2" hidden="1" x14ac:dyDescent="0.3">
      <c r="A237" s="9" t="s">
        <v>452</v>
      </c>
      <c r="B237" s="10" t="s">
        <v>456</v>
      </c>
      <c r="C237" s="10" t="s">
        <v>457</v>
      </c>
      <c r="D237" s="10" t="s">
        <v>454</v>
      </c>
      <c r="E237" s="11" t="s">
        <v>26</v>
      </c>
      <c r="F237" s="106" t="s">
        <v>28</v>
      </c>
      <c r="G237" s="106"/>
      <c r="H237" s="11" t="s">
        <v>26</v>
      </c>
      <c r="I237" s="107">
        <v>1366.8</v>
      </c>
      <c r="J237" s="107"/>
      <c r="K237" s="12" t="s">
        <v>29</v>
      </c>
      <c r="L237" s="13">
        <v>123290.37</v>
      </c>
    </row>
    <row r="238" spans="1:12" ht="61.2" hidden="1" x14ac:dyDescent="0.3">
      <c r="A238" s="9" t="s">
        <v>452</v>
      </c>
      <c r="B238" s="10" t="s">
        <v>458</v>
      </c>
      <c r="C238" s="10" t="s">
        <v>459</v>
      </c>
      <c r="D238" s="10" t="s">
        <v>454</v>
      </c>
      <c r="E238" s="11" t="s">
        <v>26</v>
      </c>
      <c r="F238" s="106" t="s">
        <v>28</v>
      </c>
      <c r="G238" s="106"/>
      <c r="H238" s="11" t="s">
        <v>26</v>
      </c>
      <c r="I238" s="110">
        <v>911.2</v>
      </c>
      <c r="J238" s="110"/>
      <c r="K238" s="12" t="s">
        <v>29</v>
      </c>
      <c r="L238" s="13">
        <v>122379.17</v>
      </c>
    </row>
    <row r="239" spans="1:12" ht="71.400000000000006" hidden="1" x14ac:dyDescent="0.3">
      <c r="A239" s="9" t="s">
        <v>460</v>
      </c>
      <c r="B239" s="10" t="s">
        <v>461</v>
      </c>
      <c r="C239" s="10" t="s">
        <v>462</v>
      </c>
      <c r="D239" s="10" t="s">
        <v>463</v>
      </c>
      <c r="E239" s="11" t="s">
        <v>26</v>
      </c>
      <c r="F239" s="111">
        <v>67702.5</v>
      </c>
      <c r="G239" s="111"/>
      <c r="H239" s="11" t="s">
        <v>27</v>
      </c>
      <c r="I239" s="112" t="s">
        <v>28</v>
      </c>
      <c r="J239" s="112"/>
      <c r="K239" s="12" t="s">
        <v>29</v>
      </c>
      <c r="L239" s="13">
        <v>190081.67</v>
      </c>
    </row>
    <row r="240" spans="1:12" ht="71.400000000000006" hidden="1" x14ac:dyDescent="0.3">
      <c r="A240" s="9" t="s">
        <v>460</v>
      </c>
      <c r="B240" s="10" t="s">
        <v>464</v>
      </c>
      <c r="C240" s="10" t="s">
        <v>462</v>
      </c>
      <c r="D240" s="10" t="s">
        <v>465</v>
      </c>
      <c r="E240" s="11" t="s">
        <v>26</v>
      </c>
      <c r="F240" s="111">
        <v>25742.5</v>
      </c>
      <c r="G240" s="111"/>
      <c r="H240" s="11" t="s">
        <v>27</v>
      </c>
      <c r="I240" s="112" t="s">
        <v>28</v>
      </c>
      <c r="J240" s="112"/>
      <c r="K240" s="12" t="s">
        <v>29</v>
      </c>
      <c r="L240" s="13">
        <v>215824.17</v>
      </c>
    </row>
    <row r="241" spans="1:12" ht="61.2" hidden="1" x14ac:dyDescent="0.3">
      <c r="A241" s="9" t="s">
        <v>460</v>
      </c>
      <c r="B241" s="10" t="s">
        <v>466</v>
      </c>
      <c r="C241" s="10" t="s">
        <v>467</v>
      </c>
      <c r="D241" s="10" t="s">
        <v>462</v>
      </c>
      <c r="E241" s="11" t="s">
        <v>26</v>
      </c>
      <c r="F241" s="106" t="s">
        <v>28</v>
      </c>
      <c r="G241" s="106"/>
      <c r="H241" s="11" t="s">
        <v>26</v>
      </c>
      <c r="I241" s="107">
        <v>38110.9</v>
      </c>
      <c r="J241" s="107"/>
      <c r="K241" s="12" t="s">
        <v>29</v>
      </c>
      <c r="L241" s="13">
        <v>177713.27</v>
      </c>
    </row>
    <row r="242" spans="1:12" ht="61.2" hidden="1" x14ac:dyDescent="0.3">
      <c r="A242" s="9" t="s">
        <v>460</v>
      </c>
      <c r="B242" s="10" t="s">
        <v>468</v>
      </c>
      <c r="C242" s="10" t="s">
        <v>469</v>
      </c>
      <c r="D242" s="10" t="s">
        <v>462</v>
      </c>
      <c r="E242" s="11" t="s">
        <v>26</v>
      </c>
      <c r="F242" s="106" t="s">
        <v>28</v>
      </c>
      <c r="G242" s="106"/>
      <c r="H242" s="11" t="s">
        <v>26</v>
      </c>
      <c r="I242" s="107">
        <v>1832.25</v>
      </c>
      <c r="J242" s="107"/>
      <c r="K242" s="12" t="s">
        <v>29</v>
      </c>
      <c r="L242" s="13">
        <v>175881.02</v>
      </c>
    </row>
    <row r="243" spans="1:12" ht="61.2" hidden="1" x14ac:dyDescent="0.3">
      <c r="A243" s="9" t="s">
        <v>460</v>
      </c>
      <c r="B243" s="10" t="s">
        <v>470</v>
      </c>
      <c r="C243" s="10" t="s">
        <v>471</v>
      </c>
      <c r="D243" s="10" t="s">
        <v>462</v>
      </c>
      <c r="E243" s="11" t="s">
        <v>26</v>
      </c>
      <c r="F243" s="106" t="s">
        <v>28</v>
      </c>
      <c r="G243" s="106"/>
      <c r="H243" s="11" t="s">
        <v>26</v>
      </c>
      <c r="I243" s="107">
        <v>53501.85</v>
      </c>
      <c r="J243" s="107"/>
      <c r="K243" s="12" t="s">
        <v>29</v>
      </c>
      <c r="L243" s="13">
        <v>122379.17</v>
      </c>
    </row>
    <row r="244" spans="1:12" ht="71.400000000000006" hidden="1" x14ac:dyDescent="0.3">
      <c r="A244" s="9" t="s">
        <v>472</v>
      </c>
      <c r="B244" s="10" t="s">
        <v>473</v>
      </c>
      <c r="C244" s="10" t="s">
        <v>474</v>
      </c>
      <c r="D244" s="10" t="s">
        <v>397</v>
      </c>
      <c r="E244" s="11" t="s">
        <v>26</v>
      </c>
      <c r="F244" s="111">
        <v>32460</v>
      </c>
      <c r="G244" s="111"/>
      <c r="H244" s="11" t="s">
        <v>27</v>
      </c>
      <c r="I244" s="112" t="s">
        <v>28</v>
      </c>
      <c r="J244" s="112"/>
      <c r="K244" s="12" t="s">
        <v>29</v>
      </c>
      <c r="L244" s="13">
        <v>154839.17000000001</v>
      </c>
    </row>
    <row r="245" spans="1:12" ht="71.400000000000006" hidden="1" x14ac:dyDescent="0.3">
      <c r="A245" s="9" t="s">
        <v>472</v>
      </c>
      <c r="B245" s="10" t="s">
        <v>475</v>
      </c>
      <c r="C245" s="10" t="s">
        <v>474</v>
      </c>
      <c r="D245" s="10" t="s">
        <v>476</v>
      </c>
      <c r="E245" s="11" t="s">
        <v>26</v>
      </c>
      <c r="F245" s="111">
        <v>7737.55</v>
      </c>
      <c r="G245" s="111"/>
      <c r="H245" s="11" t="s">
        <v>27</v>
      </c>
      <c r="I245" s="112" t="s">
        <v>28</v>
      </c>
      <c r="J245" s="112"/>
      <c r="K245" s="12" t="s">
        <v>29</v>
      </c>
      <c r="L245" s="13">
        <v>162576.72</v>
      </c>
    </row>
    <row r="246" spans="1:12" ht="71.400000000000006" hidden="1" x14ac:dyDescent="0.3">
      <c r="A246" s="9" t="s">
        <v>472</v>
      </c>
      <c r="B246" s="10" t="s">
        <v>475</v>
      </c>
      <c r="C246" s="10" t="s">
        <v>474</v>
      </c>
      <c r="D246" s="10" t="s">
        <v>397</v>
      </c>
      <c r="E246" s="11" t="s">
        <v>26</v>
      </c>
      <c r="F246" s="111">
        <v>7432.2</v>
      </c>
      <c r="G246" s="111"/>
      <c r="H246" s="11" t="s">
        <v>27</v>
      </c>
      <c r="I246" s="112" t="s">
        <v>28</v>
      </c>
      <c r="J246" s="112"/>
      <c r="K246" s="12" t="s">
        <v>29</v>
      </c>
      <c r="L246" s="13">
        <v>170008.92</v>
      </c>
    </row>
    <row r="247" spans="1:12" ht="61.2" hidden="1" x14ac:dyDescent="0.3">
      <c r="A247" s="9" t="s">
        <v>472</v>
      </c>
      <c r="B247" s="10" t="s">
        <v>477</v>
      </c>
      <c r="C247" s="10" t="s">
        <v>478</v>
      </c>
      <c r="D247" s="10" t="s">
        <v>474</v>
      </c>
      <c r="E247" s="11" t="s">
        <v>26</v>
      </c>
      <c r="F247" s="106" t="s">
        <v>28</v>
      </c>
      <c r="G247" s="106"/>
      <c r="H247" s="11" t="s">
        <v>26</v>
      </c>
      <c r="I247" s="107">
        <v>33340.83</v>
      </c>
      <c r="J247" s="107"/>
      <c r="K247" s="12" t="s">
        <v>29</v>
      </c>
      <c r="L247" s="13">
        <v>136668.09</v>
      </c>
    </row>
    <row r="248" spans="1:12" ht="61.2" hidden="1" x14ac:dyDescent="0.3">
      <c r="A248" s="9" t="s">
        <v>472</v>
      </c>
      <c r="B248" s="10" t="s">
        <v>479</v>
      </c>
      <c r="C248" s="10" t="s">
        <v>480</v>
      </c>
      <c r="D248" s="10" t="s">
        <v>474</v>
      </c>
      <c r="E248" s="11" t="s">
        <v>26</v>
      </c>
      <c r="F248" s="106" t="s">
        <v>28</v>
      </c>
      <c r="G248" s="106"/>
      <c r="H248" s="11" t="s">
        <v>26</v>
      </c>
      <c r="I248" s="107">
        <v>14288.92</v>
      </c>
      <c r="J248" s="107"/>
      <c r="K248" s="12" t="s">
        <v>29</v>
      </c>
      <c r="L248" s="13">
        <v>122379.17</v>
      </c>
    </row>
    <row r="249" spans="1:12" ht="71.400000000000006" hidden="1" x14ac:dyDescent="0.3">
      <c r="A249" s="9" t="s">
        <v>481</v>
      </c>
      <c r="B249" s="10" t="s">
        <v>482</v>
      </c>
      <c r="C249" s="10" t="s">
        <v>483</v>
      </c>
      <c r="D249" s="10" t="s">
        <v>484</v>
      </c>
      <c r="E249" s="11" t="s">
        <v>26</v>
      </c>
      <c r="F249" s="111">
        <v>24429</v>
      </c>
      <c r="G249" s="111"/>
      <c r="H249" s="11" t="s">
        <v>27</v>
      </c>
      <c r="I249" s="112" t="s">
        <v>28</v>
      </c>
      <c r="J249" s="112"/>
      <c r="K249" s="12" t="s">
        <v>29</v>
      </c>
      <c r="L249" s="13">
        <v>146808.17000000001</v>
      </c>
    </row>
    <row r="250" spans="1:12" ht="61.2" hidden="1" x14ac:dyDescent="0.3">
      <c r="A250" s="9" t="s">
        <v>481</v>
      </c>
      <c r="B250" s="10" t="s">
        <v>482</v>
      </c>
      <c r="C250" s="10" t="s">
        <v>485</v>
      </c>
      <c r="D250" s="10" t="s">
        <v>484</v>
      </c>
      <c r="E250" s="11" t="s">
        <v>26</v>
      </c>
      <c r="F250" s="111">
        <v>8840</v>
      </c>
      <c r="G250" s="111"/>
      <c r="H250" s="11" t="s">
        <v>27</v>
      </c>
      <c r="I250" s="112" t="s">
        <v>28</v>
      </c>
      <c r="J250" s="112"/>
      <c r="K250" s="12" t="s">
        <v>29</v>
      </c>
      <c r="L250" s="13">
        <v>155648.17000000001</v>
      </c>
    </row>
    <row r="251" spans="1:12" ht="71.400000000000006" hidden="1" x14ac:dyDescent="0.3">
      <c r="A251" s="9" t="s">
        <v>481</v>
      </c>
      <c r="B251" s="10" t="s">
        <v>486</v>
      </c>
      <c r="C251" s="10" t="s">
        <v>483</v>
      </c>
      <c r="D251" s="10" t="s">
        <v>484</v>
      </c>
      <c r="E251" s="11" t="s">
        <v>26</v>
      </c>
      <c r="F251" s="111">
        <v>57001</v>
      </c>
      <c r="G251" s="111"/>
      <c r="H251" s="11" t="s">
        <v>27</v>
      </c>
      <c r="I251" s="112" t="s">
        <v>28</v>
      </c>
      <c r="J251" s="112"/>
      <c r="K251" s="12" t="s">
        <v>29</v>
      </c>
      <c r="L251" s="13">
        <v>212649.17</v>
      </c>
    </row>
    <row r="252" spans="1:12" ht="61.2" hidden="1" x14ac:dyDescent="0.3">
      <c r="A252" s="9" t="s">
        <v>481</v>
      </c>
      <c r="B252" s="10" t="s">
        <v>486</v>
      </c>
      <c r="C252" s="10" t="s">
        <v>485</v>
      </c>
      <c r="D252" s="10" t="s">
        <v>484</v>
      </c>
      <c r="E252" s="11" t="s">
        <v>26</v>
      </c>
      <c r="F252" s="111">
        <v>6188</v>
      </c>
      <c r="G252" s="111"/>
      <c r="H252" s="11" t="s">
        <v>27</v>
      </c>
      <c r="I252" s="112" t="s">
        <v>28</v>
      </c>
      <c r="J252" s="112"/>
      <c r="K252" s="12" t="s">
        <v>29</v>
      </c>
      <c r="L252" s="13">
        <v>218837.17</v>
      </c>
    </row>
    <row r="253" spans="1:12" ht="71.400000000000006" hidden="1" x14ac:dyDescent="0.3">
      <c r="A253" s="9" t="s">
        <v>481</v>
      </c>
      <c r="B253" s="10" t="s">
        <v>487</v>
      </c>
      <c r="C253" s="10" t="s">
        <v>488</v>
      </c>
      <c r="D253" s="10" t="s">
        <v>483</v>
      </c>
      <c r="E253" s="11" t="s">
        <v>26</v>
      </c>
      <c r="F253" s="106" t="s">
        <v>28</v>
      </c>
      <c r="G253" s="106"/>
      <c r="H253" s="11" t="s">
        <v>26</v>
      </c>
      <c r="I253" s="107">
        <v>70827.87</v>
      </c>
      <c r="J253" s="107"/>
      <c r="K253" s="12" t="s">
        <v>29</v>
      </c>
      <c r="L253" s="13">
        <v>148009.29999999999</v>
      </c>
    </row>
    <row r="254" spans="1:12" ht="61.2" hidden="1" x14ac:dyDescent="0.3">
      <c r="A254" s="9" t="s">
        <v>481</v>
      </c>
      <c r="B254" s="10" t="s">
        <v>489</v>
      </c>
      <c r="C254" s="10" t="s">
        <v>490</v>
      </c>
      <c r="D254" s="10" t="s">
        <v>485</v>
      </c>
      <c r="E254" s="11" t="s">
        <v>26</v>
      </c>
      <c r="F254" s="106" t="s">
        <v>28</v>
      </c>
      <c r="G254" s="106"/>
      <c r="H254" s="11" t="s">
        <v>26</v>
      </c>
      <c r="I254" s="107">
        <v>15028</v>
      </c>
      <c r="J254" s="107"/>
      <c r="K254" s="12" t="s">
        <v>29</v>
      </c>
      <c r="L254" s="13">
        <v>132981.29999999999</v>
      </c>
    </row>
    <row r="255" spans="1:12" ht="71.400000000000006" hidden="1" x14ac:dyDescent="0.3">
      <c r="A255" s="9" t="s">
        <v>491</v>
      </c>
      <c r="B255" s="10" t="s">
        <v>492</v>
      </c>
      <c r="C255" s="10" t="s">
        <v>493</v>
      </c>
      <c r="D255" s="10" t="s">
        <v>494</v>
      </c>
      <c r="E255" s="11" t="s">
        <v>26</v>
      </c>
      <c r="F255" s="111">
        <v>9525.48</v>
      </c>
      <c r="G255" s="111"/>
      <c r="H255" s="11" t="s">
        <v>27</v>
      </c>
      <c r="I255" s="112" t="s">
        <v>28</v>
      </c>
      <c r="J255" s="112"/>
      <c r="K255" s="12" t="s">
        <v>29</v>
      </c>
      <c r="L255" s="13">
        <v>142506.78</v>
      </c>
    </row>
    <row r="256" spans="1:12" ht="71.400000000000006" hidden="1" x14ac:dyDescent="0.3">
      <c r="A256" s="9" t="s">
        <v>491</v>
      </c>
      <c r="B256" s="10" t="s">
        <v>495</v>
      </c>
      <c r="C256" s="10" t="s">
        <v>493</v>
      </c>
      <c r="D256" s="10" t="s">
        <v>476</v>
      </c>
      <c r="E256" s="11" t="s">
        <v>26</v>
      </c>
      <c r="F256" s="111">
        <v>16172.02</v>
      </c>
      <c r="G256" s="111"/>
      <c r="H256" s="11" t="s">
        <v>27</v>
      </c>
      <c r="I256" s="112" t="s">
        <v>28</v>
      </c>
      <c r="J256" s="112"/>
      <c r="K256" s="12" t="s">
        <v>29</v>
      </c>
      <c r="L256" s="13">
        <v>158678.79999999999</v>
      </c>
    </row>
    <row r="257" spans="1:12" ht="71.400000000000006" hidden="1" x14ac:dyDescent="0.3">
      <c r="A257" s="9" t="s">
        <v>491</v>
      </c>
      <c r="B257" s="10" t="s">
        <v>492</v>
      </c>
      <c r="C257" s="10" t="s">
        <v>496</v>
      </c>
      <c r="D257" s="10" t="s">
        <v>494</v>
      </c>
      <c r="E257" s="11" t="s">
        <v>26</v>
      </c>
      <c r="F257" s="111">
        <v>19750</v>
      </c>
      <c r="G257" s="111"/>
      <c r="H257" s="11" t="s">
        <v>27</v>
      </c>
      <c r="I257" s="112" t="s">
        <v>28</v>
      </c>
      <c r="J257" s="112"/>
      <c r="K257" s="12" t="s">
        <v>29</v>
      </c>
      <c r="L257" s="13">
        <v>178428.79999999999</v>
      </c>
    </row>
    <row r="258" spans="1:12" ht="71.400000000000006" hidden="1" x14ac:dyDescent="0.3">
      <c r="A258" s="9" t="s">
        <v>491</v>
      </c>
      <c r="B258" s="10" t="s">
        <v>497</v>
      </c>
      <c r="C258" s="10" t="s">
        <v>493</v>
      </c>
      <c r="D258" s="10" t="s">
        <v>498</v>
      </c>
      <c r="E258" s="11" t="s">
        <v>26</v>
      </c>
      <c r="F258" s="111">
        <v>9266.73</v>
      </c>
      <c r="G258" s="111"/>
      <c r="H258" s="11" t="s">
        <v>27</v>
      </c>
      <c r="I258" s="112" t="s">
        <v>28</v>
      </c>
      <c r="J258" s="112"/>
      <c r="K258" s="12" t="s">
        <v>29</v>
      </c>
      <c r="L258" s="13">
        <v>187695.53</v>
      </c>
    </row>
    <row r="259" spans="1:12" ht="71.400000000000006" hidden="1" x14ac:dyDescent="0.3">
      <c r="A259" s="9" t="s">
        <v>491</v>
      </c>
      <c r="B259" s="10" t="s">
        <v>497</v>
      </c>
      <c r="C259" s="10" t="s">
        <v>496</v>
      </c>
      <c r="D259" s="10" t="s">
        <v>498</v>
      </c>
      <c r="E259" s="11" t="s">
        <v>26</v>
      </c>
      <c r="F259" s="111">
        <v>7122.02</v>
      </c>
      <c r="G259" s="111"/>
      <c r="H259" s="11" t="s">
        <v>27</v>
      </c>
      <c r="I259" s="112" t="s">
        <v>28</v>
      </c>
      <c r="J259" s="112"/>
      <c r="K259" s="12" t="s">
        <v>29</v>
      </c>
      <c r="L259" s="13">
        <v>194817.55</v>
      </c>
    </row>
    <row r="260" spans="1:12" ht="71.400000000000006" hidden="1" x14ac:dyDescent="0.3">
      <c r="A260" s="9" t="s">
        <v>491</v>
      </c>
      <c r="B260" s="10" t="s">
        <v>499</v>
      </c>
      <c r="C260" s="10" t="s">
        <v>500</v>
      </c>
      <c r="D260" s="10" t="s">
        <v>493</v>
      </c>
      <c r="E260" s="11" t="s">
        <v>26</v>
      </c>
      <c r="F260" s="106" t="s">
        <v>28</v>
      </c>
      <c r="G260" s="106"/>
      <c r="H260" s="11" t="s">
        <v>26</v>
      </c>
      <c r="I260" s="107">
        <v>33124.01</v>
      </c>
      <c r="J260" s="107"/>
      <c r="K260" s="12" t="s">
        <v>29</v>
      </c>
      <c r="L260" s="13">
        <v>161693.54</v>
      </c>
    </row>
    <row r="261" spans="1:12" ht="61.2" hidden="1" x14ac:dyDescent="0.3">
      <c r="A261" s="9" t="s">
        <v>491</v>
      </c>
      <c r="B261" s="10" t="s">
        <v>499</v>
      </c>
      <c r="C261" s="10" t="s">
        <v>501</v>
      </c>
      <c r="D261" s="10" t="s">
        <v>496</v>
      </c>
      <c r="E261" s="11" t="s">
        <v>26</v>
      </c>
      <c r="F261" s="106" t="s">
        <v>28</v>
      </c>
      <c r="G261" s="106"/>
      <c r="H261" s="11" t="s">
        <v>26</v>
      </c>
      <c r="I261" s="107">
        <v>8061.61</v>
      </c>
      <c r="J261" s="107"/>
      <c r="K261" s="12" t="s">
        <v>29</v>
      </c>
      <c r="L261" s="13">
        <v>153631.93</v>
      </c>
    </row>
    <row r="262" spans="1:12" ht="71.400000000000006" hidden="1" x14ac:dyDescent="0.3">
      <c r="A262" s="9" t="s">
        <v>491</v>
      </c>
      <c r="B262" s="10" t="s">
        <v>502</v>
      </c>
      <c r="C262" s="10" t="s">
        <v>503</v>
      </c>
      <c r="D262" s="10" t="s">
        <v>493</v>
      </c>
      <c r="E262" s="11" t="s">
        <v>26</v>
      </c>
      <c r="F262" s="106" t="s">
        <v>28</v>
      </c>
      <c r="G262" s="106"/>
      <c r="H262" s="11" t="s">
        <v>26</v>
      </c>
      <c r="I262" s="107">
        <v>1840.22</v>
      </c>
      <c r="J262" s="107"/>
      <c r="K262" s="12" t="s">
        <v>29</v>
      </c>
      <c r="L262" s="13">
        <v>151791.71</v>
      </c>
    </row>
    <row r="263" spans="1:12" ht="61.2" hidden="1" x14ac:dyDescent="0.3">
      <c r="A263" s="9" t="s">
        <v>491</v>
      </c>
      <c r="B263" s="10" t="s">
        <v>502</v>
      </c>
      <c r="C263" s="10" t="s">
        <v>504</v>
      </c>
      <c r="D263" s="10" t="s">
        <v>496</v>
      </c>
      <c r="E263" s="11" t="s">
        <v>26</v>
      </c>
      <c r="F263" s="106" t="s">
        <v>28</v>
      </c>
      <c r="G263" s="106"/>
      <c r="H263" s="11" t="s">
        <v>26</v>
      </c>
      <c r="I263" s="107">
        <v>18810.41</v>
      </c>
      <c r="J263" s="107"/>
      <c r="K263" s="12" t="s">
        <v>29</v>
      </c>
      <c r="L263" s="13">
        <v>132981.29999999999</v>
      </c>
    </row>
    <row r="264" spans="1:12" ht="71.400000000000006" hidden="1" x14ac:dyDescent="0.3">
      <c r="A264" s="9" t="s">
        <v>505</v>
      </c>
      <c r="B264" s="10" t="s">
        <v>506</v>
      </c>
      <c r="C264" s="10" t="s">
        <v>507</v>
      </c>
      <c r="D264" s="10" t="s">
        <v>508</v>
      </c>
      <c r="E264" s="11" t="s">
        <v>26</v>
      </c>
      <c r="F264" s="111">
        <v>61927.5</v>
      </c>
      <c r="G264" s="111"/>
      <c r="H264" s="11" t="s">
        <v>27</v>
      </c>
      <c r="I264" s="112" t="s">
        <v>28</v>
      </c>
      <c r="J264" s="112"/>
      <c r="K264" s="12" t="s">
        <v>29</v>
      </c>
      <c r="L264" s="13">
        <v>194908.79999999999</v>
      </c>
    </row>
    <row r="265" spans="1:12" ht="71.400000000000006" hidden="1" x14ac:dyDescent="0.3">
      <c r="A265" s="9" t="s">
        <v>505</v>
      </c>
      <c r="B265" s="10" t="s">
        <v>506</v>
      </c>
      <c r="C265" s="10" t="s">
        <v>509</v>
      </c>
      <c r="D265" s="10" t="s">
        <v>508</v>
      </c>
      <c r="E265" s="11" t="s">
        <v>26</v>
      </c>
      <c r="F265" s="111">
        <v>19625</v>
      </c>
      <c r="G265" s="111"/>
      <c r="H265" s="11" t="s">
        <v>27</v>
      </c>
      <c r="I265" s="112" t="s">
        <v>28</v>
      </c>
      <c r="J265" s="112"/>
      <c r="K265" s="12" t="s">
        <v>29</v>
      </c>
      <c r="L265" s="13">
        <v>214533.8</v>
      </c>
    </row>
    <row r="266" spans="1:12" ht="71.400000000000006" hidden="1" x14ac:dyDescent="0.3">
      <c r="A266" s="9" t="s">
        <v>505</v>
      </c>
      <c r="B266" s="10" t="s">
        <v>510</v>
      </c>
      <c r="C266" s="10" t="s">
        <v>507</v>
      </c>
      <c r="D266" s="10" t="s">
        <v>511</v>
      </c>
      <c r="E266" s="11" t="s">
        <v>26</v>
      </c>
      <c r="F266" s="111">
        <v>23964.18</v>
      </c>
      <c r="G266" s="111"/>
      <c r="H266" s="11" t="s">
        <v>27</v>
      </c>
      <c r="I266" s="112" t="s">
        <v>28</v>
      </c>
      <c r="J266" s="112"/>
      <c r="K266" s="12" t="s">
        <v>29</v>
      </c>
      <c r="L266" s="13">
        <v>238497.98</v>
      </c>
    </row>
    <row r="267" spans="1:12" ht="71.400000000000006" hidden="1" x14ac:dyDescent="0.3">
      <c r="A267" s="9" t="s">
        <v>505</v>
      </c>
      <c r="B267" s="10" t="s">
        <v>510</v>
      </c>
      <c r="C267" s="10" t="s">
        <v>509</v>
      </c>
      <c r="D267" s="10" t="s">
        <v>511</v>
      </c>
      <c r="E267" s="11" t="s">
        <v>26</v>
      </c>
      <c r="F267" s="111">
        <v>7594.32</v>
      </c>
      <c r="G267" s="111"/>
      <c r="H267" s="11" t="s">
        <v>27</v>
      </c>
      <c r="I267" s="112" t="s">
        <v>28</v>
      </c>
      <c r="J267" s="112"/>
      <c r="K267" s="12" t="s">
        <v>29</v>
      </c>
      <c r="L267" s="13">
        <v>246092.3</v>
      </c>
    </row>
    <row r="268" spans="1:12" ht="71.400000000000006" hidden="1" x14ac:dyDescent="0.3">
      <c r="A268" s="9" t="s">
        <v>505</v>
      </c>
      <c r="B268" s="10" t="s">
        <v>512</v>
      </c>
      <c r="C268" s="10" t="s">
        <v>513</v>
      </c>
      <c r="D268" s="10" t="s">
        <v>507</v>
      </c>
      <c r="E268" s="11" t="s">
        <v>26</v>
      </c>
      <c r="F268" s="106" t="s">
        <v>28</v>
      </c>
      <c r="G268" s="106"/>
      <c r="H268" s="11" t="s">
        <v>26</v>
      </c>
      <c r="I268" s="107">
        <v>22406.53</v>
      </c>
      <c r="J268" s="107"/>
      <c r="K268" s="12" t="s">
        <v>29</v>
      </c>
      <c r="L268" s="13">
        <v>223685.77</v>
      </c>
    </row>
    <row r="269" spans="1:12" ht="71.400000000000006" hidden="1" x14ac:dyDescent="0.3">
      <c r="A269" s="9" t="s">
        <v>505</v>
      </c>
      <c r="B269" s="10" t="s">
        <v>514</v>
      </c>
      <c r="C269" s="10" t="s">
        <v>515</v>
      </c>
      <c r="D269" s="10" t="s">
        <v>507</v>
      </c>
      <c r="E269" s="11" t="s">
        <v>26</v>
      </c>
      <c r="F269" s="106" t="s">
        <v>28</v>
      </c>
      <c r="G269" s="106"/>
      <c r="H269" s="11" t="s">
        <v>26</v>
      </c>
      <c r="I269" s="107">
        <v>18672.099999999999</v>
      </c>
      <c r="J269" s="107"/>
      <c r="K269" s="12" t="s">
        <v>29</v>
      </c>
      <c r="L269" s="13">
        <v>205013.67</v>
      </c>
    </row>
    <row r="270" spans="1:12" ht="61.2" hidden="1" x14ac:dyDescent="0.3">
      <c r="A270" s="9" t="s">
        <v>505</v>
      </c>
      <c r="B270" s="10" t="s">
        <v>514</v>
      </c>
      <c r="C270" s="10" t="s">
        <v>516</v>
      </c>
      <c r="D270" s="10" t="s">
        <v>509</v>
      </c>
      <c r="E270" s="11" t="s">
        <v>26</v>
      </c>
      <c r="F270" s="106" t="s">
        <v>28</v>
      </c>
      <c r="G270" s="106"/>
      <c r="H270" s="11" t="s">
        <v>26</v>
      </c>
      <c r="I270" s="107">
        <v>16331.59</v>
      </c>
      <c r="J270" s="107"/>
      <c r="K270" s="12" t="s">
        <v>29</v>
      </c>
      <c r="L270" s="13">
        <v>188682.08</v>
      </c>
    </row>
    <row r="271" spans="1:12" ht="71.400000000000006" hidden="1" x14ac:dyDescent="0.3">
      <c r="A271" s="9" t="s">
        <v>505</v>
      </c>
      <c r="B271" s="10" t="s">
        <v>517</v>
      </c>
      <c r="C271" s="10" t="s">
        <v>518</v>
      </c>
      <c r="D271" s="10" t="s">
        <v>507</v>
      </c>
      <c r="E271" s="11" t="s">
        <v>26</v>
      </c>
      <c r="F271" s="106" t="s">
        <v>28</v>
      </c>
      <c r="G271" s="106"/>
      <c r="H271" s="11" t="s">
        <v>26</v>
      </c>
      <c r="I271" s="107">
        <v>44813.05</v>
      </c>
      <c r="J271" s="107"/>
      <c r="K271" s="12" t="s">
        <v>29</v>
      </c>
      <c r="L271" s="13">
        <v>143869.03</v>
      </c>
    </row>
    <row r="272" spans="1:12" ht="61.2" hidden="1" x14ac:dyDescent="0.3">
      <c r="A272" s="9" t="s">
        <v>505</v>
      </c>
      <c r="B272" s="10" t="s">
        <v>517</v>
      </c>
      <c r="C272" s="10" t="s">
        <v>519</v>
      </c>
      <c r="D272" s="10" t="s">
        <v>509</v>
      </c>
      <c r="E272" s="11" t="s">
        <v>26</v>
      </c>
      <c r="F272" s="106" t="s">
        <v>28</v>
      </c>
      <c r="G272" s="106"/>
      <c r="H272" s="11" t="s">
        <v>26</v>
      </c>
      <c r="I272" s="107">
        <v>10887.73</v>
      </c>
      <c r="J272" s="107"/>
      <c r="K272" s="12" t="s">
        <v>29</v>
      </c>
      <c r="L272" s="13">
        <v>132981.29999999999</v>
      </c>
    </row>
    <row r="273" spans="1:14" ht="71.400000000000006" x14ac:dyDescent="0.3">
      <c r="A273" s="9" t="s">
        <v>520</v>
      </c>
      <c r="B273" s="10" t="s">
        <v>521</v>
      </c>
      <c r="C273" s="10" t="s">
        <v>522</v>
      </c>
      <c r="D273" s="10" t="s">
        <v>59</v>
      </c>
      <c r="E273" s="11" t="s">
        <v>523</v>
      </c>
      <c r="F273" s="106" t="s">
        <v>28</v>
      </c>
      <c r="G273" s="106"/>
      <c r="H273" s="11" t="s">
        <v>26</v>
      </c>
      <c r="I273" s="107">
        <v>1000</v>
      </c>
      <c r="J273" s="107"/>
      <c r="K273" s="12" t="s">
        <v>29</v>
      </c>
      <c r="L273" s="13">
        <v>131981.29999999999</v>
      </c>
      <c r="M273" s="95">
        <f>I273</f>
        <v>1000</v>
      </c>
      <c r="N273" t="s">
        <v>1471</v>
      </c>
    </row>
    <row r="274" spans="1:14" ht="61.2" hidden="1" x14ac:dyDescent="0.3">
      <c r="A274" s="9" t="s">
        <v>524</v>
      </c>
      <c r="B274" s="10" t="s">
        <v>525</v>
      </c>
      <c r="C274" s="10" t="s">
        <v>526</v>
      </c>
      <c r="D274" s="10" t="s">
        <v>24</v>
      </c>
      <c r="E274" s="11" t="s">
        <v>26</v>
      </c>
      <c r="F274" s="106" t="s">
        <v>28</v>
      </c>
      <c r="G274" s="106"/>
      <c r="H274" s="11" t="s">
        <v>26</v>
      </c>
      <c r="I274" s="107">
        <v>7252</v>
      </c>
      <c r="J274" s="107"/>
      <c r="K274" s="12" t="s">
        <v>29</v>
      </c>
      <c r="L274" s="13">
        <v>124729.3</v>
      </c>
    </row>
    <row r="275" spans="1:14" ht="71.400000000000006" hidden="1" x14ac:dyDescent="0.3">
      <c r="A275" s="9" t="s">
        <v>527</v>
      </c>
      <c r="B275" s="10" t="s">
        <v>528</v>
      </c>
      <c r="C275" s="10" t="s">
        <v>529</v>
      </c>
      <c r="D275" s="10" t="s">
        <v>530</v>
      </c>
      <c r="E275" s="11" t="s">
        <v>26</v>
      </c>
      <c r="F275" s="111">
        <v>78082.5</v>
      </c>
      <c r="G275" s="111"/>
      <c r="H275" s="11" t="s">
        <v>27</v>
      </c>
      <c r="I275" s="112" t="s">
        <v>28</v>
      </c>
      <c r="J275" s="112"/>
      <c r="K275" s="12" t="s">
        <v>29</v>
      </c>
      <c r="L275" s="13">
        <v>202811.8</v>
      </c>
    </row>
    <row r="276" spans="1:14" ht="71.400000000000006" hidden="1" x14ac:dyDescent="0.3">
      <c r="A276" s="9" t="s">
        <v>527</v>
      </c>
      <c r="B276" s="10" t="s">
        <v>531</v>
      </c>
      <c r="C276" s="10" t="s">
        <v>532</v>
      </c>
      <c r="D276" s="10" t="s">
        <v>533</v>
      </c>
      <c r="E276" s="11" t="s">
        <v>26</v>
      </c>
      <c r="F276" s="111">
        <v>6765.2</v>
      </c>
      <c r="G276" s="111"/>
      <c r="H276" s="11" t="s">
        <v>27</v>
      </c>
      <c r="I276" s="112" t="s">
        <v>28</v>
      </c>
      <c r="J276" s="112"/>
      <c r="K276" s="12" t="s">
        <v>29</v>
      </c>
      <c r="L276" s="13">
        <v>209577</v>
      </c>
    </row>
    <row r="277" spans="1:14" ht="71.400000000000006" hidden="1" x14ac:dyDescent="0.3">
      <c r="A277" s="9" t="s">
        <v>527</v>
      </c>
      <c r="B277" s="10" t="s">
        <v>528</v>
      </c>
      <c r="C277" s="10" t="s">
        <v>532</v>
      </c>
      <c r="D277" s="10" t="s">
        <v>530</v>
      </c>
      <c r="E277" s="11" t="s">
        <v>26</v>
      </c>
      <c r="F277" s="111">
        <v>12859.8</v>
      </c>
      <c r="G277" s="111"/>
      <c r="H277" s="11" t="s">
        <v>27</v>
      </c>
      <c r="I277" s="112" t="s">
        <v>28</v>
      </c>
      <c r="J277" s="112"/>
      <c r="K277" s="12" t="s">
        <v>29</v>
      </c>
      <c r="L277" s="13">
        <v>222436.8</v>
      </c>
    </row>
    <row r="278" spans="1:14" ht="71.400000000000006" hidden="1" x14ac:dyDescent="0.3">
      <c r="A278" s="9" t="s">
        <v>527</v>
      </c>
      <c r="B278" s="10" t="s">
        <v>534</v>
      </c>
      <c r="C278" s="10" t="s">
        <v>529</v>
      </c>
      <c r="D278" s="10" t="s">
        <v>535</v>
      </c>
      <c r="E278" s="11" t="s">
        <v>26</v>
      </c>
      <c r="F278" s="111">
        <v>25484.55</v>
      </c>
      <c r="G278" s="111"/>
      <c r="H278" s="11" t="s">
        <v>27</v>
      </c>
      <c r="I278" s="112" t="s">
        <v>28</v>
      </c>
      <c r="J278" s="112"/>
      <c r="K278" s="12" t="s">
        <v>29</v>
      </c>
      <c r="L278" s="13">
        <v>247921.35</v>
      </c>
    </row>
    <row r="279" spans="1:14" ht="71.400000000000006" hidden="1" x14ac:dyDescent="0.3">
      <c r="A279" s="9" t="s">
        <v>527</v>
      </c>
      <c r="B279" s="10" t="s">
        <v>534</v>
      </c>
      <c r="C279" s="10" t="s">
        <v>532</v>
      </c>
      <c r="D279" s="10" t="s">
        <v>535</v>
      </c>
      <c r="E279" s="11" t="s">
        <v>26</v>
      </c>
      <c r="F279" s="111">
        <v>6405.2</v>
      </c>
      <c r="G279" s="111"/>
      <c r="H279" s="11" t="s">
        <v>27</v>
      </c>
      <c r="I279" s="112" t="s">
        <v>28</v>
      </c>
      <c r="J279" s="112"/>
      <c r="K279" s="12" t="s">
        <v>29</v>
      </c>
      <c r="L279" s="13">
        <v>254326.55</v>
      </c>
    </row>
    <row r="280" spans="1:14" ht="71.400000000000006" hidden="1" x14ac:dyDescent="0.3">
      <c r="A280" s="9" t="s">
        <v>527</v>
      </c>
      <c r="B280" s="10" t="s">
        <v>536</v>
      </c>
      <c r="C280" s="10" t="s">
        <v>537</v>
      </c>
      <c r="D280" s="10" t="s">
        <v>529</v>
      </c>
      <c r="E280" s="11" t="s">
        <v>26</v>
      </c>
      <c r="F280" s="106" t="s">
        <v>28</v>
      </c>
      <c r="G280" s="106"/>
      <c r="H280" s="11" t="s">
        <v>26</v>
      </c>
      <c r="I280" s="107">
        <v>1785.64</v>
      </c>
      <c r="J280" s="107"/>
      <c r="K280" s="12" t="s">
        <v>29</v>
      </c>
      <c r="L280" s="13">
        <v>252540.91</v>
      </c>
    </row>
    <row r="281" spans="1:14" ht="61.2" hidden="1" x14ac:dyDescent="0.3">
      <c r="A281" s="9" t="s">
        <v>527</v>
      </c>
      <c r="B281" s="10" t="s">
        <v>536</v>
      </c>
      <c r="C281" s="10" t="s">
        <v>538</v>
      </c>
      <c r="D281" s="10" t="s">
        <v>532</v>
      </c>
      <c r="E281" s="11" t="s">
        <v>26</v>
      </c>
      <c r="F281" s="106" t="s">
        <v>28</v>
      </c>
      <c r="G281" s="106"/>
      <c r="H281" s="11" t="s">
        <v>26</v>
      </c>
      <c r="I281" s="107">
        <v>26030.2</v>
      </c>
      <c r="J281" s="107"/>
      <c r="K281" s="12" t="s">
        <v>29</v>
      </c>
      <c r="L281" s="13">
        <v>226510.71</v>
      </c>
    </row>
    <row r="282" spans="1:14" ht="71.400000000000006" hidden="1" x14ac:dyDescent="0.3">
      <c r="A282" s="9" t="s">
        <v>527</v>
      </c>
      <c r="B282" s="10" t="s">
        <v>539</v>
      </c>
      <c r="C282" s="10" t="s">
        <v>540</v>
      </c>
      <c r="D282" s="10" t="s">
        <v>529</v>
      </c>
      <c r="E282" s="11" t="s">
        <v>26</v>
      </c>
      <c r="F282" s="106" t="s">
        <v>28</v>
      </c>
      <c r="G282" s="106"/>
      <c r="H282" s="11" t="s">
        <v>26</v>
      </c>
      <c r="I282" s="107">
        <v>67854.27</v>
      </c>
      <c r="J282" s="107"/>
      <c r="K282" s="12" t="s">
        <v>29</v>
      </c>
      <c r="L282" s="13">
        <v>158656.44</v>
      </c>
    </row>
    <row r="283" spans="1:14" ht="71.400000000000006" hidden="1" x14ac:dyDescent="0.3">
      <c r="A283" s="9" t="s">
        <v>527</v>
      </c>
      <c r="B283" s="10" t="s">
        <v>541</v>
      </c>
      <c r="C283" s="10" t="s">
        <v>542</v>
      </c>
      <c r="D283" s="10" t="s">
        <v>529</v>
      </c>
      <c r="E283" s="11" t="s">
        <v>26</v>
      </c>
      <c r="F283" s="106" t="s">
        <v>28</v>
      </c>
      <c r="G283" s="106"/>
      <c r="H283" s="11" t="s">
        <v>26</v>
      </c>
      <c r="I283" s="107">
        <v>33927.14</v>
      </c>
      <c r="J283" s="107"/>
      <c r="K283" s="12" t="s">
        <v>29</v>
      </c>
      <c r="L283" s="13">
        <v>124729.3</v>
      </c>
    </row>
    <row r="284" spans="1:14" ht="71.400000000000006" hidden="1" x14ac:dyDescent="0.3">
      <c r="A284" s="9" t="s">
        <v>543</v>
      </c>
      <c r="B284" s="10" t="s">
        <v>544</v>
      </c>
      <c r="C284" s="10" t="s">
        <v>545</v>
      </c>
      <c r="D284" s="10" t="s">
        <v>546</v>
      </c>
      <c r="E284" s="11" t="s">
        <v>26</v>
      </c>
      <c r="F284" s="111">
        <v>30963.75</v>
      </c>
      <c r="G284" s="111"/>
      <c r="H284" s="11" t="s">
        <v>27</v>
      </c>
      <c r="I284" s="112" t="s">
        <v>28</v>
      </c>
      <c r="J284" s="112"/>
      <c r="K284" s="12" t="s">
        <v>29</v>
      </c>
      <c r="L284" s="13">
        <v>155693.04999999999</v>
      </c>
    </row>
    <row r="285" spans="1:14" ht="71.400000000000006" hidden="1" x14ac:dyDescent="0.3">
      <c r="A285" s="9" t="s">
        <v>543</v>
      </c>
      <c r="B285" s="10" t="s">
        <v>544</v>
      </c>
      <c r="C285" s="10" t="s">
        <v>547</v>
      </c>
      <c r="D285" s="10" t="s">
        <v>546</v>
      </c>
      <c r="E285" s="11" t="s">
        <v>26</v>
      </c>
      <c r="F285" s="111">
        <v>14718.75</v>
      </c>
      <c r="G285" s="111"/>
      <c r="H285" s="11" t="s">
        <v>27</v>
      </c>
      <c r="I285" s="112" t="s">
        <v>28</v>
      </c>
      <c r="J285" s="112"/>
      <c r="K285" s="12" t="s">
        <v>29</v>
      </c>
      <c r="L285" s="13">
        <v>170411.8</v>
      </c>
    </row>
    <row r="286" spans="1:14" ht="71.400000000000006" hidden="1" x14ac:dyDescent="0.3">
      <c r="A286" s="9" t="s">
        <v>543</v>
      </c>
      <c r="B286" s="10" t="s">
        <v>548</v>
      </c>
      <c r="C286" s="10" t="s">
        <v>545</v>
      </c>
      <c r="D286" s="10" t="s">
        <v>549</v>
      </c>
      <c r="E286" s="11" t="s">
        <v>26</v>
      </c>
      <c r="F286" s="111">
        <v>16325.74</v>
      </c>
      <c r="G286" s="111"/>
      <c r="H286" s="11" t="s">
        <v>27</v>
      </c>
      <c r="I286" s="112" t="s">
        <v>28</v>
      </c>
      <c r="J286" s="112"/>
      <c r="K286" s="12" t="s">
        <v>29</v>
      </c>
      <c r="L286" s="13">
        <v>186737.54</v>
      </c>
    </row>
    <row r="287" spans="1:14" ht="71.400000000000006" hidden="1" x14ac:dyDescent="0.3">
      <c r="A287" s="9" t="s">
        <v>543</v>
      </c>
      <c r="B287" s="10" t="s">
        <v>548</v>
      </c>
      <c r="C287" s="10" t="s">
        <v>547</v>
      </c>
      <c r="D287" s="10" t="s">
        <v>549</v>
      </c>
      <c r="E287" s="11" t="s">
        <v>26</v>
      </c>
      <c r="F287" s="111">
        <v>7760.51</v>
      </c>
      <c r="G287" s="111"/>
      <c r="H287" s="11" t="s">
        <v>27</v>
      </c>
      <c r="I287" s="112" t="s">
        <v>28</v>
      </c>
      <c r="J287" s="112"/>
      <c r="K287" s="12" t="s">
        <v>29</v>
      </c>
      <c r="L287" s="13">
        <v>194498.05</v>
      </c>
    </row>
    <row r="288" spans="1:14" ht="61.2" hidden="1" x14ac:dyDescent="0.3">
      <c r="A288" s="9" t="s">
        <v>543</v>
      </c>
      <c r="B288" s="10" t="s">
        <v>550</v>
      </c>
      <c r="C288" s="10" t="s">
        <v>551</v>
      </c>
      <c r="D288" s="10" t="s">
        <v>547</v>
      </c>
      <c r="E288" s="11" t="s">
        <v>26</v>
      </c>
      <c r="F288" s="106" t="s">
        <v>28</v>
      </c>
      <c r="G288" s="106"/>
      <c r="H288" s="11" t="s">
        <v>26</v>
      </c>
      <c r="I288" s="107">
        <v>17983.41</v>
      </c>
      <c r="J288" s="107"/>
      <c r="K288" s="12" t="s">
        <v>29</v>
      </c>
      <c r="L288" s="13">
        <v>176514.64</v>
      </c>
    </row>
    <row r="289" spans="1:12" ht="71.400000000000006" hidden="1" x14ac:dyDescent="0.3">
      <c r="A289" s="9" t="s">
        <v>543</v>
      </c>
      <c r="B289" s="10" t="s">
        <v>552</v>
      </c>
      <c r="C289" s="10" t="s">
        <v>553</v>
      </c>
      <c r="D289" s="10" t="s">
        <v>545</v>
      </c>
      <c r="E289" s="11" t="s">
        <v>26</v>
      </c>
      <c r="F289" s="106" t="s">
        <v>28</v>
      </c>
      <c r="G289" s="106"/>
      <c r="H289" s="11" t="s">
        <v>26</v>
      </c>
      <c r="I289" s="107">
        <v>8635.4699999999993</v>
      </c>
      <c r="J289" s="107"/>
      <c r="K289" s="12" t="s">
        <v>29</v>
      </c>
      <c r="L289" s="13">
        <v>167879.17</v>
      </c>
    </row>
    <row r="290" spans="1:12" ht="61.2" hidden="1" x14ac:dyDescent="0.3">
      <c r="A290" s="9" t="s">
        <v>543</v>
      </c>
      <c r="B290" s="10" t="s">
        <v>552</v>
      </c>
      <c r="C290" s="10" t="s">
        <v>554</v>
      </c>
      <c r="D290" s="10" t="s">
        <v>547</v>
      </c>
      <c r="E290" s="11" t="s">
        <v>26</v>
      </c>
      <c r="F290" s="106" t="s">
        <v>28</v>
      </c>
      <c r="G290" s="106"/>
      <c r="H290" s="11" t="s">
        <v>26</v>
      </c>
      <c r="I290" s="107">
        <v>4495.8500000000004</v>
      </c>
      <c r="J290" s="107"/>
      <c r="K290" s="12" t="s">
        <v>29</v>
      </c>
      <c r="L290" s="13">
        <v>163383.32</v>
      </c>
    </row>
    <row r="291" spans="1:12" ht="71.400000000000006" hidden="1" x14ac:dyDescent="0.3">
      <c r="A291" s="9" t="s">
        <v>543</v>
      </c>
      <c r="B291" s="10" t="s">
        <v>555</v>
      </c>
      <c r="C291" s="10" t="s">
        <v>556</v>
      </c>
      <c r="D291" s="10" t="s">
        <v>545</v>
      </c>
      <c r="E291" s="11" t="s">
        <v>26</v>
      </c>
      <c r="F291" s="106" t="s">
        <v>28</v>
      </c>
      <c r="G291" s="106"/>
      <c r="H291" s="11" t="s">
        <v>26</v>
      </c>
      <c r="I291" s="107">
        <v>38654.019999999997</v>
      </c>
      <c r="J291" s="107"/>
      <c r="K291" s="12" t="s">
        <v>29</v>
      </c>
      <c r="L291" s="13">
        <v>124729.3</v>
      </c>
    </row>
    <row r="292" spans="1:12" ht="71.400000000000006" x14ac:dyDescent="0.3">
      <c r="A292" s="9" t="s">
        <v>543</v>
      </c>
      <c r="B292" s="10" t="s">
        <v>557</v>
      </c>
      <c r="C292" s="10" t="s">
        <v>522</v>
      </c>
      <c r="D292" s="10" t="s">
        <v>128</v>
      </c>
      <c r="E292" s="11" t="s">
        <v>523</v>
      </c>
      <c r="F292" s="106" t="s">
        <v>28</v>
      </c>
      <c r="G292" s="106"/>
      <c r="H292" s="11" t="s">
        <v>26</v>
      </c>
      <c r="I292" s="110">
        <v>390.15</v>
      </c>
      <c r="J292" s="110"/>
      <c r="K292" s="12" t="s">
        <v>29</v>
      </c>
      <c r="L292" s="13">
        <v>124339.15</v>
      </c>
    </row>
    <row r="293" spans="1:12" ht="71.400000000000006" hidden="1" x14ac:dyDescent="0.3">
      <c r="A293" s="9" t="s">
        <v>558</v>
      </c>
      <c r="B293" s="10" t="s">
        <v>559</v>
      </c>
      <c r="C293" s="10" t="s">
        <v>560</v>
      </c>
      <c r="D293" s="10" t="s">
        <v>561</v>
      </c>
      <c r="E293" s="11" t="s">
        <v>26</v>
      </c>
      <c r="F293" s="111">
        <v>25578.75</v>
      </c>
      <c r="G293" s="111"/>
      <c r="H293" s="11" t="s">
        <v>27</v>
      </c>
      <c r="I293" s="112" t="s">
        <v>28</v>
      </c>
      <c r="J293" s="112"/>
      <c r="K293" s="12" t="s">
        <v>29</v>
      </c>
      <c r="L293" s="13">
        <v>149917.9</v>
      </c>
    </row>
    <row r="294" spans="1:12" ht="71.400000000000006" hidden="1" x14ac:dyDescent="0.3">
      <c r="A294" s="9" t="s">
        <v>558</v>
      </c>
      <c r="B294" s="10" t="s">
        <v>559</v>
      </c>
      <c r="C294" s="10" t="s">
        <v>562</v>
      </c>
      <c r="D294" s="10" t="s">
        <v>561</v>
      </c>
      <c r="E294" s="11" t="s">
        <v>26</v>
      </c>
      <c r="F294" s="111">
        <v>56912.5</v>
      </c>
      <c r="G294" s="111"/>
      <c r="H294" s="11" t="s">
        <v>27</v>
      </c>
      <c r="I294" s="112" t="s">
        <v>28</v>
      </c>
      <c r="J294" s="112"/>
      <c r="K294" s="12" t="s">
        <v>29</v>
      </c>
      <c r="L294" s="13">
        <v>206830.4</v>
      </c>
    </row>
    <row r="295" spans="1:12" ht="71.400000000000006" hidden="1" x14ac:dyDescent="0.3">
      <c r="A295" s="9" t="s">
        <v>558</v>
      </c>
      <c r="B295" s="10" t="s">
        <v>563</v>
      </c>
      <c r="C295" s="10" t="s">
        <v>560</v>
      </c>
      <c r="D295" s="10" t="s">
        <v>564</v>
      </c>
      <c r="E295" s="11" t="s">
        <v>26</v>
      </c>
      <c r="F295" s="111">
        <v>9719.8700000000008</v>
      </c>
      <c r="G295" s="111"/>
      <c r="H295" s="11" t="s">
        <v>27</v>
      </c>
      <c r="I295" s="112" t="s">
        <v>28</v>
      </c>
      <c r="J295" s="112"/>
      <c r="K295" s="12" t="s">
        <v>29</v>
      </c>
      <c r="L295" s="13">
        <v>216550.27</v>
      </c>
    </row>
    <row r="296" spans="1:12" ht="71.400000000000006" hidden="1" x14ac:dyDescent="0.3">
      <c r="A296" s="9" t="s">
        <v>558</v>
      </c>
      <c r="B296" s="10" t="s">
        <v>563</v>
      </c>
      <c r="C296" s="10" t="s">
        <v>562</v>
      </c>
      <c r="D296" s="10" t="s">
        <v>564</v>
      </c>
      <c r="E296" s="11" t="s">
        <v>26</v>
      </c>
      <c r="F296" s="111">
        <v>21626.63</v>
      </c>
      <c r="G296" s="111"/>
      <c r="H296" s="11" t="s">
        <v>27</v>
      </c>
      <c r="I296" s="112" t="s">
        <v>28</v>
      </c>
      <c r="J296" s="112"/>
      <c r="K296" s="12" t="s">
        <v>29</v>
      </c>
      <c r="L296" s="13">
        <v>238176.9</v>
      </c>
    </row>
    <row r="297" spans="1:12" ht="61.2" hidden="1" x14ac:dyDescent="0.3">
      <c r="A297" s="9" t="s">
        <v>558</v>
      </c>
      <c r="B297" s="10" t="s">
        <v>565</v>
      </c>
      <c r="C297" s="10" t="s">
        <v>566</v>
      </c>
      <c r="D297" s="10" t="s">
        <v>562</v>
      </c>
      <c r="E297" s="11" t="s">
        <v>26</v>
      </c>
      <c r="F297" s="106" t="s">
        <v>28</v>
      </c>
      <c r="G297" s="106"/>
      <c r="H297" s="11" t="s">
        <v>26</v>
      </c>
      <c r="I297" s="107">
        <v>78539.13</v>
      </c>
      <c r="J297" s="107"/>
      <c r="K297" s="12" t="s">
        <v>29</v>
      </c>
      <c r="L297" s="13">
        <v>159637.76999999999</v>
      </c>
    </row>
    <row r="298" spans="1:12" ht="71.400000000000006" hidden="1" x14ac:dyDescent="0.3">
      <c r="A298" s="9" t="s">
        <v>558</v>
      </c>
      <c r="B298" s="10" t="s">
        <v>567</v>
      </c>
      <c r="C298" s="10" t="s">
        <v>568</v>
      </c>
      <c r="D298" s="10" t="s">
        <v>560</v>
      </c>
      <c r="E298" s="11" t="s">
        <v>26</v>
      </c>
      <c r="F298" s="106" t="s">
        <v>28</v>
      </c>
      <c r="G298" s="106"/>
      <c r="H298" s="11" t="s">
        <v>26</v>
      </c>
      <c r="I298" s="107">
        <v>24151.69</v>
      </c>
      <c r="J298" s="107"/>
      <c r="K298" s="12" t="s">
        <v>29</v>
      </c>
      <c r="L298" s="13">
        <v>135486.07999999999</v>
      </c>
    </row>
    <row r="299" spans="1:12" ht="71.400000000000006" hidden="1" x14ac:dyDescent="0.3">
      <c r="A299" s="9" t="s">
        <v>558</v>
      </c>
      <c r="B299" s="10" t="s">
        <v>569</v>
      </c>
      <c r="C299" s="10" t="s">
        <v>570</v>
      </c>
      <c r="D299" s="10" t="s">
        <v>560</v>
      </c>
      <c r="E299" s="11" t="s">
        <v>26</v>
      </c>
      <c r="F299" s="106" t="s">
        <v>28</v>
      </c>
      <c r="G299" s="106"/>
      <c r="H299" s="11" t="s">
        <v>26</v>
      </c>
      <c r="I299" s="107">
        <v>11146.93</v>
      </c>
      <c r="J299" s="107"/>
      <c r="K299" s="12" t="s">
        <v>29</v>
      </c>
      <c r="L299" s="13">
        <v>124339.15</v>
      </c>
    </row>
    <row r="300" spans="1:12" ht="71.400000000000006" hidden="1" x14ac:dyDescent="0.3">
      <c r="A300" s="9" t="s">
        <v>571</v>
      </c>
      <c r="B300" s="10" t="s">
        <v>572</v>
      </c>
      <c r="C300" s="10" t="s">
        <v>573</v>
      </c>
      <c r="D300" s="10" t="s">
        <v>574</v>
      </c>
      <c r="E300" s="11" t="s">
        <v>26</v>
      </c>
      <c r="F300" s="111">
        <v>47118.75</v>
      </c>
      <c r="G300" s="111"/>
      <c r="H300" s="11" t="s">
        <v>27</v>
      </c>
      <c r="I300" s="112" t="s">
        <v>28</v>
      </c>
      <c r="J300" s="112"/>
      <c r="K300" s="12" t="s">
        <v>29</v>
      </c>
      <c r="L300" s="13">
        <v>171457.9</v>
      </c>
    </row>
    <row r="301" spans="1:12" ht="71.400000000000006" hidden="1" x14ac:dyDescent="0.3">
      <c r="A301" s="9" t="s">
        <v>571</v>
      </c>
      <c r="B301" s="10" t="s">
        <v>572</v>
      </c>
      <c r="C301" s="10" t="s">
        <v>575</v>
      </c>
      <c r="D301" s="10" t="s">
        <v>574</v>
      </c>
      <c r="E301" s="11" t="s">
        <v>26</v>
      </c>
      <c r="F301" s="111">
        <v>13737.5</v>
      </c>
      <c r="G301" s="111"/>
      <c r="H301" s="11" t="s">
        <v>27</v>
      </c>
      <c r="I301" s="112" t="s">
        <v>28</v>
      </c>
      <c r="J301" s="112"/>
      <c r="K301" s="12" t="s">
        <v>29</v>
      </c>
      <c r="L301" s="13">
        <v>185195.4</v>
      </c>
    </row>
    <row r="302" spans="1:12" ht="71.400000000000006" hidden="1" x14ac:dyDescent="0.3">
      <c r="A302" s="9" t="s">
        <v>571</v>
      </c>
      <c r="B302" s="10" t="s">
        <v>576</v>
      </c>
      <c r="C302" s="10" t="s">
        <v>573</v>
      </c>
      <c r="D302" s="10" t="s">
        <v>577</v>
      </c>
      <c r="E302" s="11" t="s">
        <v>26</v>
      </c>
      <c r="F302" s="111">
        <v>16292.61</v>
      </c>
      <c r="G302" s="111"/>
      <c r="H302" s="11" t="s">
        <v>27</v>
      </c>
      <c r="I302" s="112" t="s">
        <v>28</v>
      </c>
      <c r="J302" s="112"/>
      <c r="K302" s="12" t="s">
        <v>29</v>
      </c>
      <c r="L302" s="13">
        <v>201488.01</v>
      </c>
    </row>
    <row r="303" spans="1:12" ht="71.400000000000006" hidden="1" x14ac:dyDescent="0.3">
      <c r="A303" s="9" t="s">
        <v>571</v>
      </c>
      <c r="B303" s="10" t="s">
        <v>576</v>
      </c>
      <c r="C303" s="10" t="s">
        <v>575</v>
      </c>
      <c r="D303" s="10" t="s">
        <v>577</v>
      </c>
      <c r="E303" s="11" t="s">
        <v>26</v>
      </c>
      <c r="F303" s="111">
        <v>5700.14</v>
      </c>
      <c r="G303" s="111"/>
      <c r="H303" s="11" t="s">
        <v>27</v>
      </c>
      <c r="I303" s="112" t="s">
        <v>28</v>
      </c>
      <c r="J303" s="112"/>
      <c r="K303" s="12" t="s">
        <v>29</v>
      </c>
      <c r="L303" s="13">
        <v>207188.15</v>
      </c>
    </row>
    <row r="304" spans="1:12" ht="71.400000000000006" hidden="1" x14ac:dyDescent="0.3">
      <c r="A304" s="9" t="s">
        <v>571</v>
      </c>
      <c r="B304" s="10" t="s">
        <v>578</v>
      </c>
      <c r="C304" s="10" t="s">
        <v>579</v>
      </c>
      <c r="D304" s="10" t="s">
        <v>573</v>
      </c>
      <c r="E304" s="11" t="s">
        <v>26</v>
      </c>
      <c r="F304" s="106" t="s">
        <v>28</v>
      </c>
      <c r="G304" s="106"/>
      <c r="H304" s="11" t="s">
        <v>26</v>
      </c>
      <c r="I304" s="107">
        <v>32611.56</v>
      </c>
      <c r="J304" s="107"/>
      <c r="K304" s="12" t="s">
        <v>29</v>
      </c>
      <c r="L304" s="13">
        <v>174576.59</v>
      </c>
    </row>
    <row r="305" spans="1:12" ht="71.400000000000006" hidden="1" x14ac:dyDescent="0.3">
      <c r="A305" s="9" t="s">
        <v>571</v>
      </c>
      <c r="B305" s="10" t="s">
        <v>580</v>
      </c>
      <c r="C305" s="10" t="s">
        <v>581</v>
      </c>
      <c r="D305" s="10" t="s">
        <v>573</v>
      </c>
      <c r="E305" s="11" t="s">
        <v>26</v>
      </c>
      <c r="F305" s="106" t="s">
        <v>28</v>
      </c>
      <c r="G305" s="106"/>
      <c r="H305" s="11" t="s">
        <v>26</v>
      </c>
      <c r="I305" s="107">
        <v>5072.91</v>
      </c>
      <c r="J305" s="107"/>
      <c r="K305" s="12" t="s">
        <v>29</v>
      </c>
      <c r="L305" s="13">
        <v>169503.68</v>
      </c>
    </row>
    <row r="306" spans="1:12" ht="71.400000000000006" hidden="1" x14ac:dyDescent="0.3">
      <c r="A306" s="9" t="s">
        <v>571</v>
      </c>
      <c r="B306" s="10" t="s">
        <v>582</v>
      </c>
      <c r="C306" s="10" t="s">
        <v>583</v>
      </c>
      <c r="D306" s="10" t="s">
        <v>573</v>
      </c>
      <c r="E306" s="11" t="s">
        <v>26</v>
      </c>
      <c r="F306" s="106" t="s">
        <v>28</v>
      </c>
      <c r="G306" s="106"/>
      <c r="H306" s="11" t="s">
        <v>26</v>
      </c>
      <c r="I306" s="107">
        <v>25726.89</v>
      </c>
      <c r="J306" s="107"/>
      <c r="K306" s="12" t="s">
        <v>29</v>
      </c>
      <c r="L306" s="13">
        <v>143776.79</v>
      </c>
    </row>
    <row r="307" spans="1:12" ht="61.2" hidden="1" x14ac:dyDescent="0.3">
      <c r="A307" s="9" t="s">
        <v>571</v>
      </c>
      <c r="B307" s="10" t="s">
        <v>584</v>
      </c>
      <c r="C307" s="10" t="s">
        <v>585</v>
      </c>
      <c r="D307" s="10" t="s">
        <v>575</v>
      </c>
      <c r="E307" s="11" t="s">
        <v>26</v>
      </c>
      <c r="F307" s="106" t="s">
        <v>28</v>
      </c>
      <c r="G307" s="106"/>
      <c r="H307" s="11" t="s">
        <v>26</v>
      </c>
      <c r="I307" s="107">
        <v>4442.8900000000003</v>
      </c>
      <c r="J307" s="107"/>
      <c r="K307" s="12" t="s">
        <v>29</v>
      </c>
      <c r="L307" s="13">
        <v>139333.9</v>
      </c>
    </row>
    <row r="308" spans="1:12" ht="61.2" hidden="1" x14ac:dyDescent="0.3">
      <c r="A308" s="9" t="s">
        <v>571</v>
      </c>
      <c r="B308" s="10" t="s">
        <v>586</v>
      </c>
      <c r="C308" s="10" t="s">
        <v>587</v>
      </c>
      <c r="D308" s="10" t="s">
        <v>575</v>
      </c>
      <c r="E308" s="11" t="s">
        <v>26</v>
      </c>
      <c r="F308" s="106" t="s">
        <v>28</v>
      </c>
      <c r="G308" s="106"/>
      <c r="H308" s="11" t="s">
        <v>26</v>
      </c>
      <c r="I308" s="107">
        <v>14994.75</v>
      </c>
      <c r="J308" s="107"/>
      <c r="K308" s="12" t="s">
        <v>29</v>
      </c>
      <c r="L308" s="13">
        <v>124339.15</v>
      </c>
    </row>
    <row r="309" spans="1:12" ht="71.400000000000006" hidden="1" x14ac:dyDescent="0.3">
      <c r="A309" s="9" t="s">
        <v>588</v>
      </c>
      <c r="B309" s="10" t="s">
        <v>589</v>
      </c>
      <c r="C309" s="10" t="s">
        <v>590</v>
      </c>
      <c r="D309" s="10" t="s">
        <v>591</v>
      </c>
      <c r="E309" s="11" t="s">
        <v>26</v>
      </c>
      <c r="F309" s="111">
        <v>105748.43</v>
      </c>
      <c r="G309" s="111"/>
      <c r="H309" s="11" t="s">
        <v>26</v>
      </c>
      <c r="I309" s="112" t="s">
        <v>28</v>
      </c>
      <c r="J309" s="112"/>
      <c r="K309" s="12" t="s">
        <v>29</v>
      </c>
      <c r="L309" s="13">
        <v>230087.58</v>
      </c>
    </row>
    <row r="310" spans="1:12" ht="71.400000000000006" hidden="1" x14ac:dyDescent="0.3">
      <c r="A310" s="9" t="s">
        <v>588</v>
      </c>
      <c r="B310" s="10" t="s">
        <v>592</v>
      </c>
      <c r="C310" s="10" t="s">
        <v>593</v>
      </c>
      <c r="D310" s="10" t="s">
        <v>594</v>
      </c>
      <c r="E310" s="11" t="s">
        <v>26</v>
      </c>
      <c r="F310" s="111">
        <v>33656.25</v>
      </c>
      <c r="G310" s="111"/>
      <c r="H310" s="11" t="s">
        <v>27</v>
      </c>
      <c r="I310" s="112" t="s">
        <v>28</v>
      </c>
      <c r="J310" s="112"/>
      <c r="K310" s="12" t="s">
        <v>29</v>
      </c>
      <c r="L310" s="13">
        <v>263743.83</v>
      </c>
    </row>
    <row r="311" spans="1:12" ht="71.400000000000006" hidden="1" x14ac:dyDescent="0.3">
      <c r="A311" s="9" t="s">
        <v>588</v>
      </c>
      <c r="B311" s="10" t="s">
        <v>595</v>
      </c>
      <c r="C311" s="10" t="s">
        <v>593</v>
      </c>
      <c r="D311" s="10" t="s">
        <v>596</v>
      </c>
      <c r="E311" s="11" t="s">
        <v>26</v>
      </c>
      <c r="F311" s="111">
        <v>12609.55</v>
      </c>
      <c r="G311" s="111"/>
      <c r="H311" s="11" t="s">
        <v>27</v>
      </c>
      <c r="I311" s="112" t="s">
        <v>28</v>
      </c>
      <c r="J311" s="112"/>
      <c r="K311" s="12" t="s">
        <v>29</v>
      </c>
      <c r="L311" s="13">
        <v>276353.38</v>
      </c>
    </row>
    <row r="312" spans="1:12" ht="71.400000000000006" hidden="1" x14ac:dyDescent="0.3">
      <c r="A312" s="9" t="s">
        <v>588</v>
      </c>
      <c r="B312" s="10" t="s">
        <v>597</v>
      </c>
      <c r="C312" s="10" t="s">
        <v>593</v>
      </c>
      <c r="D312" s="10" t="s">
        <v>594</v>
      </c>
      <c r="E312" s="11" t="s">
        <v>26</v>
      </c>
      <c r="F312" s="111">
        <v>3116.7</v>
      </c>
      <c r="G312" s="111"/>
      <c r="H312" s="11" t="s">
        <v>27</v>
      </c>
      <c r="I312" s="112" t="s">
        <v>28</v>
      </c>
      <c r="J312" s="112"/>
      <c r="K312" s="12" t="s">
        <v>29</v>
      </c>
      <c r="L312" s="13">
        <v>279470.08000000002</v>
      </c>
    </row>
    <row r="313" spans="1:12" ht="71.400000000000006" hidden="1" x14ac:dyDescent="0.3">
      <c r="A313" s="9" t="s">
        <v>588</v>
      </c>
      <c r="B313" s="10" t="s">
        <v>598</v>
      </c>
      <c r="C313" s="10" t="s">
        <v>599</v>
      </c>
      <c r="D313" s="10" t="s">
        <v>593</v>
      </c>
      <c r="E313" s="11" t="s">
        <v>26</v>
      </c>
      <c r="F313" s="106" t="s">
        <v>28</v>
      </c>
      <c r="G313" s="106"/>
      <c r="H313" s="11" t="s">
        <v>26</v>
      </c>
      <c r="I313" s="107">
        <v>29629.5</v>
      </c>
      <c r="J313" s="107"/>
      <c r="K313" s="12" t="s">
        <v>29</v>
      </c>
      <c r="L313" s="13">
        <v>249840.58</v>
      </c>
    </row>
    <row r="314" spans="1:12" ht="71.400000000000006" hidden="1" x14ac:dyDescent="0.3">
      <c r="A314" s="9" t="s">
        <v>588</v>
      </c>
      <c r="B314" s="10" t="s">
        <v>600</v>
      </c>
      <c r="C314" s="10" t="s">
        <v>601</v>
      </c>
      <c r="D314" s="10" t="s">
        <v>593</v>
      </c>
      <c r="E314" s="11" t="s">
        <v>26</v>
      </c>
      <c r="F314" s="106" t="s">
        <v>28</v>
      </c>
      <c r="G314" s="106"/>
      <c r="H314" s="11" t="s">
        <v>26</v>
      </c>
      <c r="I314" s="107">
        <v>14617.22</v>
      </c>
      <c r="J314" s="107"/>
      <c r="K314" s="12" t="s">
        <v>29</v>
      </c>
      <c r="L314" s="13">
        <v>235223.36</v>
      </c>
    </row>
    <row r="315" spans="1:12" ht="71.400000000000006" hidden="1" x14ac:dyDescent="0.3">
      <c r="A315" s="9" t="s">
        <v>588</v>
      </c>
      <c r="B315" s="10" t="s">
        <v>602</v>
      </c>
      <c r="C315" s="10" t="s">
        <v>603</v>
      </c>
      <c r="D315" s="10" t="s">
        <v>593</v>
      </c>
      <c r="E315" s="11" t="s">
        <v>26</v>
      </c>
      <c r="F315" s="106" t="s">
        <v>28</v>
      </c>
      <c r="G315" s="106"/>
      <c r="H315" s="11" t="s">
        <v>26</v>
      </c>
      <c r="I315" s="107">
        <v>5135.78</v>
      </c>
      <c r="J315" s="107"/>
      <c r="K315" s="12" t="s">
        <v>29</v>
      </c>
      <c r="L315" s="13">
        <v>230087.58</v>
      </c>
    </row>
    <row r="316" spans="1:12" ht="61.2" hidden="1" x14ac:dyDescent="0.3">
      <c r="A316" s="9" t="s">
        <v>604</v>
      </c>
      <c r="B316" s="10" t="s">
        <v>605</v>
      </c>
      <c r="C316" s="10" t="s">
        <v>606</v>
      </c>
      <c r="D316" s="10" t="s">
        <v>607</v>
      </c>
      <c r="E316" s="11" t="s">
        <v>26</v>
      </c>
      <c r="F316" s="111">
        <v>40416.17</v>
      </c>
      <c r="G316" s="111"/>
      <c r="H316" s="11" t="s">
        <v>27</v>
      </c>
      <c r="I316" s="112" t="s">
        <v>28</v>
      </c>
      <c r="J316" s="112"/>
      <c r="K316" s="12" t="s">
        <v>29</v>
      </c>
      <c r="L316" s="13">
        <v>270503.75</v>
      </c>
    </row>
    <row r="317" spans="1:12" ht="71.400000000000006" hidden="1" x14ac:dyDescent="0.3">
      <c r="A317" s="9" t="s">
        <v>604</v>
      </c>
      <c r="B317" s="10" t="s">
        <v>605</v>
      </c>
      <c r="C317" s="10" t="s">
        <v>608</v>
      </c>
      <c r="D317" s="10" t="s">
        <v>607</v>
      </c>
      <c r="E317" s="11" t="s">
        <v>26</v>
      </c>
      <c r="F317" s="111">
        <v>10701</v>
      </c>
      <c r="G317" s="111"/>
      <c r="H317" s="11" t="s">
        <v>27</v>
      </c>
      <c r="I317" s="112" t="s">
        <v>28</v>
      </c>
      <c r="J317" s="112"/>
      <c r="K317" s="12" t="s">
        <v>29</v>
      </c>
      <c r="L317" s="13">
        <v>281204.75</v>
      </c>
    </row>
    <row r="318" spans="1:12" ht="61.2" hidden="1" x14ac:dyDescent="0.3">
      <c r="A318" s="9" t="s">
        <v>604</v>
      </c>
      <c r="B318" s="10" t="s">
        <v>609</v>
      </c>
      <c r="C318" s="10" t="s">
        <v>606</v>
      </c>
      <c r="D318" s="10" t="s">
        <v>607</v>
      </c>
      <c r="E318" s="11" t="s">
        <v>26</v>
      </c>
      <c r="F318" s="111">
        <v>55060.99</v>
      </c>
      <c r="G318" s="111"/>
      <c r="H318" s="11" t="s">
        <v>27</v>
      </c>
      <c r="I318" s="112" t="s">
        <v>28</v>
      </c>
      <c r="J318" s="112"/>
      <c r="K318" s="12" t="s">
        <v>29</v>
      </c>
      <c r="L318" s="13">
        <v>336265.74</v>
      </c>
    </row>
    <row r="319" spans="1:12" ht="71.400000000000006" hidden="1" x14ac:dyDescent="0.3">
      <c r="A319" s="9" t="s">
        <v>604</v>
      </c>
      <c r="B319" s="10" t="s">
        <v>609</v>
      </c>
      <c r="C319" s="10" t="s">
        <v>608</v>
      </c>
      <c r="D319" s="10" t="s">
        <v>607</v>
      </c>
      <c r="E319" s="11" t="s">
        <v>26</v>
      </c>
      <c r="F319" s="111">
        <v>14578.51</v>
      </c>
      <c r="G319" s="111"/>
      <c r="H319" s="11" t="s">
        <v>27</v>
      </c>
      <c r="I319" s="112" t="s">
        <v>28</v>
      </c>
      <c r="J319" s="112"/>
      <c r="K319" s="12" t="s">
        <v>29</v>
      </c>
      <c r="L319" s="13">
        <v>350844.25</v>
      </c>
    </row>
    <row r="320" spans="1:12" ht="61.2" hidden="1" x14ac:dyDescent="0.3">
      <c r="A320" s="9" t="s">
        <v>604</v>
      </c>
      <c r="B320" s="10" t="s">
        <v>610</v>
      </c>
      <c r="C320" s="10" t="s">
        <v>611</v>
      </c>
      <c r="D320" s="10" t="s">
        <v>606</v>
      </c>
      <c r="E320" s="11" t="s">
        <v>26</v>
      </c>
      <c r="F320" s="106" t="s">
        <v>28</v>
      </c>
      <c r="G320" s="106"/>
      <c r="H320" s="11" t="s">
        <v>26</v>
      </c>
      <c r="I320" s="107">
        <v>95477.16</v>
      </c>
      <c r="J320" s="107"/>
      <c r="K320" s="12" t="s">
        <v>29</v>
      </c>
      <c r="L320" s="13">
        <v>255367.09</v>
      </c>
    </row>
    <row r="321" spans="1:12" ht="71.400000000000006" hidden="1" x14ac:dyDescent="0.3">
      <c r="A321" s="9" t="s">
        <v>604</v>
      </c>
      <c r="B321" s="10" t="s">
        <v>612</v>
      </c>
      <c r="C321" s="10" t="s">
        <v>613</v>
      </c>
      <c r="D321" s="10" t="s">
        <v>608</v>
      </c>
      <c r="E321" s="11" t="s">
        <v>26</v>
      </c>
      <c r="F321" s="106" t="s">
        <v>28</v>
      </c>
      <c r="G321" s="106"/>
      <c r="H321" s="11" t="s">
        <v>26</v>
      </c>
      <c r="I321" s="107">
        <v>25279.51</v>
      </c>
      <c r="J321" s="107"/>
      <c r="K321" s="12" t="s">
        <v>29</v>
      </c>
      <c r="L321" s="13">
        <v>230087.58</v>
      </c>
    </row>
    <row r="322" spans="1:12" ht="71.400000000000006" hidden="1" x14ac:dyDescent="0.3">
      <c r="A322" s="9" t="s">
        <v>614</v>
      </c>
      <c r="B322" s="10" t="s">
        <v>615</v>
      </c>
      <c r="C322" s="10" t="s">
        <v>616</v>
      </c>
      <c r="D322" s="10" t="s">
        <v>617</v>
      </c>
      <c r="E322" s="11" t="s">
        <v>26</v>
      </c>
      <c r="F322" s="111">
        <v>184436.25</v>
      </c>
      <c r="G322" s="111"/>
      <c r="H322" s="11" t="s">
        <v>27</v>
      </c>
      <c r="I322" s="112" t="s">
        <v>28</v>
      </c>
      <c r="J322" s="112"/>
      <c r="K322" s="12" t="s">
        <v>29</v>
      </c>
      <c r="L322" s="13">
        <v>414523.83</v>
      </c>
    </row>
    <row r="323" spans="1:12" ht="71.400000000000006" hidden="1" x14ac:dyDescent="0.3">
      <c r="A323" s="9" t="s">
        <v>614</v>
      </c>
      <c r="B323" s="10" t="s">
        <v>618</v>
      </c>
      <c r="C323" s="10" t="s">
        <v>616</v>
      </c>
      <c r="D323" s="10" t="s">
        <v>619</v>
      </c>
      <c r="E323" s="11" t="s">
        <v>26</v>
      </c>
      <c r="F323" s="111">
        <v>50570</v>
      </c>
      <c r="G323" s="111"/>
      <c r="H323" s="11" t="s">
        <v>27</v>
      </c>
      <c r="I323" s="112" t="s">
        <v>28</v>
      </c>
      <c r="J323" s="112"/>
      <c r="K323" s="12" t="s">
        <v>29</v>
      </c>
      <c r="L323" s="13">
        <v>465093.83</v>
      </c>
    </row>
    <row r="324" spans="1:12" ht="71.400000000000006" hidden="1" x14ac:dyDescent="0.3">
      <c r="A324" s="9" t="s">
        <v>614</v>
      </c>
      <c r="B324" s="10" t="s">
        <v>620</v>
      </c>
      <c r="C324" s="10" t="s">
        <v>621</v>
      </c>
      <c r="D324" s="10" t="s">
        <v>616</v>
      </c>
      <c r="E324" s="11" t="s">
        <v>26</v>
      </c>
      <c r="F324" s="106" t="s">
        <v>28</v>
      </c>
      <c r="G324" s="106"/>
      <c r="H324" s="11" t="s">
        <v>26</v>
      </c>
      <c r="I324" s="107">
        <v>39453.599999999999</v>
      </c>
      <c r="J324" s="107"/>
      <c r="K324" s="12" t="s">
        <v>29</v>
      </c>
      <c r="L324" s="13">
        <v>425640.23</v>
      </c>
    </row>
    <row r="325" spans="1:12" ht="71.400000000000006" hidden="1" x14ac:dyDescent="0.3">
      <c r="A325" s="9" t="s">
        <v>614</v>
      </c>
      <c r="B325" s="10" t="s">
        <v>622</v>
      </c>
      <c r="C325" s="10" t="s">
        <v>623</v>
      </c>
      <c r="D325" s="10" t="s">
        <v>616</v>
      </c>
      <c r="E325" s="11" t="s">
        <v>26</v>
      </c>
      <c r="F325" s="106" t="s">
        <v>28</v>
      </c>
      <c r="G325" s="106"/>
      <c r="H325" s="11" t="s">
        <v>26</v>
      </c>
      <c r="I325" s="107">
        <v>20584.490000000002</v>
      </c>
      <c r="J325" s="107"/>
      <c r="K325" s="12" t="s">
        <v>29</v>
      </c>
      <c r="L325" s="13">
        <v>405055.74</v>
      </c>
    </row>
    <row r="326" spans="1:12" ht="71.400000000000006" hidden="1" x14ac:dyDescent="0.3">
      <c r="A326" s="9" t="s">
        <v>614</v>
      </c>
      <c r="B326" s="10" t="s">
        <v>624</v>
      </c>
      <c r="C326" s="10" t="s">
        <v>625</v>
      </c>
      <c r="D326" s="10" t="s">
        <v>616</v>
      </c>
      <c r="E326" s="11" t="s">
        <v>26</v>
      </c>
      <c r="F326" s="106" t="s">
        <v>28</v>
      </c>
      <c r="G326" s="106"/>
      <c r="H326" s="11" t="s">
        <v>26</v>
      </c>
      <c r="I326" s="107">
        <v>174968.16</v>
      </c>
      <c r="J326" s="107"/>
      <c r="K326" s="12" t="s">
        <v>29</v>
      </c>
      <c r="L326" s="13">
        <v>230087.58</v>
      </c>
    </row>
    <row r="327" spans="1:12" ht="61.2" hidden="1" x14ac:dyDescent="0.3">
      <c r="A327" s="9" t="s">
        <v>614</v>
      </c>
      <c r="B327" s="10" t="s">
        <v>626</v>
      </c>
      <c r="C327" s="10" t="s">
        <v>627</v>
      </c>
      <c r="D327" s="10" t="s">
        <v>628</v>
      </c>
      <c r="E327" s="11" t="s">
        <v>26</v>
      </c>
      <c r="F327" s="111">
        <v>17467.330000000002</v>
      </c>
      <c r="G327" s="111"/>
      <c r="H327" s="11" t="s">
        <v>27</v>
      </c>
      <c r="I327" s="112" t="s">
        <v>28</v>
      </c>
      <c r="J327" s="112"/>
      <c r="K327" s="12" t="s">
        <v>29</v>
      </c>
      <c r="L327" s="13">
        <v>247554.91</v>
      </c>
    </row>
    <row r="328" spans="1:12" ht="71.400000000000006" hidden="1" x14ac:dyDescent="0.3">
      <c r="A328" s="9" t="s">
        <v>614</v>
      </c>
      <c r="B328" s="10" t="s">
        <v>626</v>
      </c>
      <c r="C328" s="10" t="s">
        <v>629</v>
      </c>
      <c r="D328" s="10" t="s">
        <v>628</v>
      </c>
      <c r="E328" s="11" t="s">
        <v>26</v>
      </c>
      <c r="F328" s="111">
        <v>13287</v>
      </c>
      <c r="G328" s="111"/>
      <c r="H328" s="11" t="s">
        <v>27</v>
      </c>
      <c r="I328" s="112" t="s">
        <v>28</v>
      </c>
      <c r="J328" s="112"/>
      <c r="K328" s="12" t="s">
        <v>29</v>
      </c>
      <c r="L328" s="13">
        <v>260841.91</v>
      </c>
    </row>
    <row r="329" spans="1:12" ht="61.2" hidden="1" x14ac:dyDescent="0.3">
      <c r="A329" s="9" t="s">
        <v>614</v>
      </c>
      <c r="B329" s="10" t="s">
        <v>630</v>
      </c>
      <c r="C329" s="10" t="s">
        <v>627</v>
      </c>
      <c r="D329" s="10" t="s">
        <v>628</v>
      </c>
      <c r="E329" s="11" t="s">
        <v>26</v>
      </c>
      <c r="F329" s="111">
        <v>28573.67</v>
      </c>
      <c r="G329" s="111"/>
      <c r="H329" s="11" t="s">
        <v>27</v>
      </c>
      <c r="I329" s="112" t="s">
        <v>28</v>
      </c>
      <c r="J329" s="112"/>
      <c r="K329" s="12" t="s">
        <v>29</v>
      </c>
      <c r="L329" s="13">
        <v>289415.58</v>
      </c>
    </row>
    <row r="330" spans="1:12" ht="71.400000000000006" hidden="1" x14ac:dyDescent="0.3">
      <c r="A330" s="9" t="s">
        <v>614</v>
      </c>
      <c r="B330" s="10" t="s">
        <v>630</v>
      </c>
      <c r="C330" s="10" t="s">
        <v>629</v>
      </c>
      <c r="D330" s="10" t="s">
        <v>628</v>
      </c>
      <c r="E330" s="11" t="s">
        <v>26</v>
      </c>
      <c r="F330" s="111">
        <v>21735.33</v>
      </c>
      <c r="G330" s="111"/>
      <c r="H330" s="11" t="s">
        <v>27</v>
      </c>
      <c r="I330" s="112" t="s">
        <v>28</v>
      </c>
      <c r="J330" s="112"/>
      <c r="K330" s="12" t="s">
        <v>29</v>
      </c>
      <c r="L330" s="13">
        <v>311150.90999999997</v>
      </c>
    </row>
    <row r="331" spans="1:12" ht="61.2" hidden="1" x14ac:dyDescent="0.3">
      <c r="A331" s="9" t="s">
        <v>614</v>
      </c>
      <c r="B331" s="10" t="s">
        <v>631</v>
      </c>
      <c r="C331" s="10" t="s">
        <v>632</v>
      </c>
      <c r="D331" s="10" t="s">
        <v>627</v>
      </c>
      <c r="E331" s="11" t="s">
        <v>26</v>
      </c>
      <c r="F331" s="106" t="s">
        <v>28</v>
      </c>
      <c r="G331" s="106"/>
      <c r="H331" s="11" t="s">
        <v>26</v>
      </c>
      <c r="I331" s="107">
        <v>46041</v>
      </c>
      <c r="J331" s="107"/>
      <c r="K331" s="12" t="s">
        <v>29</v>
      </c>
      <c r="L331" s="13">
        <v>265109.90999999997</v>
      </c>
    </row>
    <row r="332" spans="1:12" ht="71.400000000000006" hidden="1" x14ac:dyDescent="0.3">
      <c r="A332" s="9" t="s">
        <v>614</v>
      </c>
      <c r="B332" s="10" t="s">
        <v>633</v>
      </c>
      <c r="C332" s="10" t="s">
        <v>634</v>
      </c>
      <c r="D332" s="10" t="s">
        <v>629</v>
      </c>
      <c r="E332" s="11" t="s">
        <v>26</v>
      </c>
      <c r="F332" s="106" t="s">
        <v>28</v>
      </c>
      <c r="G332" s="106"/>
      <c r="H332" s="11" t="s">
        <v>26</v>
      </c>
      <c r="I332" s="107">
        <v>35022.33</v>
      </c>
      <c r="J332" s="107"/>
      <c r="K332" s="12" t="s">
        <v>29</v>
      </c>
      <c r="L332" s="13">
        <v>230087.58</v>
      </c>
    </row>
    <row r="333" spans="1:12" ht="71.400000000000006" hidden="1" x14ac:dyDescent="0.3">
      <c r="A333" s="9" t="s">
        <v>635</v>
      </c>
      <c r="B333" s="10" t="s">
        <v>636</v>
      </c>
      <c r="C333" s="10" t="s">
        <v>637</v>
      </c>
      <c r="D333" s="10" t="s">
        <v>638</v>
      </c>
      <c r="E333" s="11" t="s">
        <v>26</v>
      </c>
      <c r="F333" s="111">
        <v>4560</v>
      </c>
      <c r="G333" s="111"/>
      <c r="H333" s="11" t="s">
        <v>27</v>
      </c>
      <c r="I333" s="112" t="s">
        <v>28</v>
      </c>
      <c r="J333" s="112"/>
      <c r="K333" s="12" t="s">
        <v>29</v>
      </c>
      <c r="L333" s="13">
        <v>234647.58</v>
      </c>
    </row>
    <row r="334" spans="1:12" ht="61.2" hidden="1" x14ac:dyDescent="0.3">
      <c r="A334" s="9" t="s">
        <v>635</v>
      </c>
      <c r="B334" s="10" t="s">
        <v>639</v>
      </c>
      <c r="C334" s="10" t="s">
        <v>640</v>
      </c>
      <c r="D334" s="10" t="s">
        <v>637</v>
      </c>
      <c r="E334" s="11" t="s">
        <v>26</v>
      </c>
      <c r="F334" s="106" t="s">
        <v>28</v>
      </c>
      <c r="G334" s="106"/>
      <c r="H334" s="11" t="s">
        <v>26</v>
      </c>
      <c r="I334" s="107">
        <v>4560</v>
      </c>
      <c r="J334" s="107"/>
      <c r="K334" s="12" t="s">
        <v>29</v>
      </c>
      <c r="L334" s="13">
        <v>230087.58</v>
      </c>
    </row>
    <row r="335" spans="1:12" ht="71.400000000000006" hidden="1" x14ac:dyDescent="0.3">
      <c r="A335" s="9" t="s">
        <v>641</v>
      </c>
      <c r="B335" s="10" t="s">
        <v>642</v>
      </c>
      <c r="C335" s="10" t="s">
        <v>643</v>
      </c>
      <c r="D335" s="10" t="s">
        <v>644</v>
      </c>
      <c r="E335" s="11" t="s">
        <v>26</v>
      </c>
      <c r="F335" s="111">
        <v>23895</v>
      </c>
      <c r="G335" s="111"/>
      <c r="H335" s="11" t="s">
        <v>27</v>
      </c>
      <c r="I335" s="112" t="s">
        <v>28</v>
      </c>
      <c r="J335" s="112"/>
      <c r="K335" s="12" t="s">
        <v>29</v>
      </c>
      <c r="L335" s="13">
        <v>253982.58</v>
      </c>
    </row>
    <row r="336" spans="1:12" ht="71.400000000000006" hidden="1" x14ac:dyDescent="0.3">
      <c r="A336" s="9" t="s">
        <v>641</v>
      </c>
      <c r="B336" s="10" t="s">
        <v>642</v>
      </c>
      <c r="C336" s="10" t="s">
        <v>645</v>
      </c>
      <c r="D336" s="10" t="s">
        <v>644</v>
      </c>
      <c r="E336" s="11" t="s">
        <v>26</v>
      </c>
      <c r="F336" s="111">
        <v>6737.5</v>
      </c>
      <c r="G336" s="111"/>
      <c r="H336" s="11" t="s">
        <v>27</v>
      </c>
      <c r="I336" s="112" t="s">
        <v>28</v>
      </c>
      <c r="J336" s="112"/>
      <c r="K336" s="12" t="s">
        <v>29</v>
      </c>
      <c r="L336" s="13">
        <v>260720.08</v>
      </c>
    </row>
    <row r="337" spans="1:12" ht="61.2" hidden="1" x14ac:dyDescent="0.3">
      <c r="A337" s="9" t="s">
        <v>641</v>
      </c>
      <c r="B337" s="10" t="s">
        <v>646</v>
      </c>
      <c r="C337" s="10" t="s">
        <v>647</v>
      </c>
      <c r="D337" s="10" t="s">
        <v>645</v>
      </c>
      <c r="E337" s="11" t="s">
        <v>26</v>
      </c>
      <c r="F337" s="106" t="s">
        <v>28</v>
      </c>
      <c r="G337" s="106"/>
      <c r="H337" s="11" t="s">
        <v>26</v>
      </c>
      <c r="I337" s="107">
        <v>10832.92</v>
      </c>
      <c r="J337" s="107"/>
      <c r="K337" s="12" t="s">
        <v>29</v>
      </c>
      <c r="L337" s="13">
        <v>249887.16</v>
      </c>
    </row>
    <row r="338" spans="1:12" ht="71.400000000000006" hidden="1" x14ac:dyDescent="0.3">
      <c r="A338" s="9" t="s">
        <v>641</v>
      </c>
      <c r="B338" s="10" t="s">
        <v>648</v>
      </c>
      <c r="C338" s="10" t="s">
        <v>643</v>
      </c>
      <c r="D338" s="10" t="s">
        <v>644</v>
      </c>
      <c r="E338" s="11" t="s">
        <v>26</v>
      </c>
      <c r="F338" s="111">
        <v>10531.08</v>
      </c>
      <c r="G338" s="111"/>
      <c r="H338" s="11" t="s">
        <v>27</v>
      </c>
      <c r="I338" s="112" t="s">
        <v>28</v>
      </c>
      <c r="J338" s="112"/>
      <c r="K338" s="12" t="s">
        <v>29</v>
      </c>
      <c r="L338" s="13">
        <v>260418.24</v>
      </c>
    </row>
    <row r="339" spans="1:12" ht="71.400000000000006" hidden="1" x14ac:dyDescent="0.3">
      <c r="A339" s="9" t="s">
        <v>641</v>
      </c>
      <c r="B339" s="10" t="s">
        <v>648</v>
      </c>
      <c r="C339" s="10" t="s">
        <v>645</v>
      </c>
      <c r="D339" s="10" t="s">
        <v>644</v>
      </c>
      <c r="E339" s="11" t="s">
        <v>26</v>
      </c>
      <c r="F339" s="111">
        <v>4095.42</v>
      </c>
      <c r="G339" s="111"/>
      <c r="H339" s="11" t="s">
        <v>27</v>
      </c>
      <c r="I339" s="112" t="s">
        <v>28</v>
      </c>
      <c r="J339" s="112"/>
      <c r="K339" s="12" t="s">
        <v>29</v>
      </c>
      <c r="L339" s="13">
        <v>264513.65999999997</v>
      </c>
    </row>
    <row r="340" spans="1:12" ht="61.2" hidden="1" x14ac:dyDescent="0.3">
      <c r="A340" s="9" t="s">
        <v>641</v>
      </c>
      <c r="B340" s="10" t="s">
        <v>649</v>
      </c>
      <c r="C340" s="10" t="s">
        <v>650</v>
      </c>
      <c r="D340" s="10" t="s">
        <v>643</v>
      </c>
      <c r="E340" s="11" t="s">
        <v>26</v>
      </c>
      <c r="F340" s="106" t="s">
        <v>28</v>
      </c>
      <c r="G340" s="106"/>
      <c r="H340" s="11" t="s">
        <v>26</v>
      </c>
      <c r="I340" s="107">
        <v>11475.36</v>
      </c>
      <c r="J340" s="107"/>
      <c r="K340" s="12" t="s">
        <v>29</v>
      </c>
      <c r="L340" s="13">
        <v>253038.3</v>
      </c>
    </row>
    <row r="341" spans="1:12" ht="61.2" hidden="1" x14ac:dyDescent="0.3">
      <c r="A341" s="9" t="s">
        <v>641</v>
      </c>
      <c r="B341" s="10" t="s">
        <v>651</v>
      </c>
      <c r="C341" s="10" t="s">
        <v>652</v>
      </c>
      <c r="D341" s="10" t="s">
        <v>643</v>
      </c>
      <c r="E341" s="11" t="s">
        <v>26</v>
      </c>
      <c r="F341" s="106" t="s">
        <v>28</v>
      </c>
      <c r="G341" s="106"/>
      <c r="H341" s="11" t="s">
        <v>26</v>
      </c>
      <c r="I341" s="107">
        <v>22950.720000000001</v>
      </c>
      <c r="J341" s="107"/>
      <c r="K341" s="12" t="s">
        <v>29</v>
      </c>
      <c r="L341" s="13">
        <v>230087.58</v>
      </c>
    </row>
    <row r="342" spans="1:12" ht="71.400000000000006" hidden="1" x14ac:dyDescent="0.3">
      <c r="A342" s="9" t="s">
        <v>653</v>
      </c>
      <c r="B342" s="10" t="s">
        <v>654</v>
      </c>
      <c r="C342" s="10" t="s">
        <v>655</v>
      </c>
      <c r="D342" s="10" t="s">
        <v>644</v>
      </c>
      <c r="E342" s="11" t="s">
        <v>26</v>
      </c>
      <c r="F342" s="111">
        <v>41733.75</v>
      </c>
      <c r="G342" s="111"/>
      <c r="H342" s="11" t="s">
        <v>27</v>
      </c>
      <c r="I342" s="112" t="s">
        <v>28</v>
      </c>
      <c r="J342" s="112"/>
      <c r="K342" s="12" t="s">
        <v>29</v>
      </c>
      <c r="L342" s="13">
        <v>271821.33</v>
      </c>
    </row>
    <row r="343" spans="1:12" ht="71.400000000000006" hidden="1" x14ac:dyDescent="0.3">
      <c r="A343" s="9" t="s">
        <v>653</v>
      </c>
      <c r="B343" s="10" t="s">
        <v>656</v>
      </c>
      <c r="C343" s="10" t="s">
        <v>655</v>
      </c>
      <c r="D343" s="10" t="s">
        <v>644</v>
      </c>
      <c r="E343" s="11" t="s">
        <v>26</v>
      </c>
      <c r="F343" s="111">
        <v>16163.5</v>
      </c>
      <c r="G343" s="111"/>
      <c r="H343" s="11" t="s">
        <v>27</v>
      </c>
      <c r="I343" s="112" t="s">
        <v>28</v>
      </c>
      <c r="J343" s="112"/>
      <c r="K343" s="12" t="s">
        <v>29</v>
      </c>
      <c r="L343" s="13">
        <v>287984.83</v>
      </c>
    </row>
    <row r="344" spans="1:12" ht="71.400000000000006" hidden="1" x14ac:dyDescent="0.3">
      <c r="A344" s="9" t="s">
        <v>653</v>
      </c>
      <c r="B344" s="10" t="s">
        <v>657</v>
      </c>
      <c r="C344" s="10" t="s">
        <v>658</v>
      </c>
      <c r="D344" s="10" t="s">
        <v>655</v>
      </c>
      <c r="E344" s="11" t="s">
        <v>26</v>
      </c>
      <c r="F344" s="106" t="s">
        <v>28</v>
      </c>
      <c r="G344" s="106"/>
      <c r="H344" s="11" t="s">
        <v>26</v>
      </c>
      <c r="I344" s="107">
        <v>11205.92</v>
      </c>
      <c r="J344" s="107"/>
      <c r="K344" s="12" t="s">
        <v>29</v>
      </c>
      <c r="L344" s="13">
        <v>276778.90999999997</v>
      </c>
    </row>
    <row r="345" spans="1:12" ht="71.400000000000006" hidden="1" x14ac:dyDescent="0.3">
      <c r="A345" s="9" t="s">
        <v>653</v>
      </c>
      <c r="B345" s="10" t="s">
        <v>659</v>
      </c>
      <c r="C345" s="10" t="s">
        <v>660</v>
      </c>
      <c r="D345" s="10" t="s">
        <v>655</v>
      </c>
      <c r="E345" s="11" t="s">
        <v>26</v>
      </c>
      <c r="F345" s="106" t="s">
        <v>28</v>
      </c>
      <c r="G345" s="106"/>
      <c r="H345" s="11" t="s">
        <v>26</v>
      </c>
      <c r="I345" s="107">
        <v>46691.33</v>
      </c>
      <c r="J345" s="107"/>
      <c r="K345" s="12" t="s">
        <v>29</v>
      </c>
      <c r="L345" s="13">
        <v>230087.58</v>
      </c>
    </row>
    <row r="346" spans="1:12" ht="61.2" hidden="1" x14ac:dyDescent="0.3">
      <c r="A346" s="9" t="s">
        <v>661</v>
      </c>
      <c r="B346" s="10" t="s">
        <v>662</v>
      </c>
      <c r="C346" s="10" t="s">
        <v>663</v>
      </c>
      <c r="D346" s="10" t="s">
        <v>664</v>
      </c>
      <c r="E346" s="11" t="s">
        <v>26</v>
      </c>
      <c r="F346" s="111">
        <v>2730.88</v>
      </c>
      <c r="G346" s="111"/>
      <c r="H346" s="11" t="s">
        <v>27</v>
      </c>
      <c r="I346" s="112" t="s">
        <v>28</v>
      </c>
      <c r="J346" s="112"/>
      <c r="K346" s="12" t="s">
        <v>29</v>
      </c>
      <c r="L346" s="13">
        <v>232818.46</v>
      </c>
    </row>
    <row r="347" spans="1:12" ht="61.2" hidden="1" x14ac:dyDescent="0.3">
      <c r="A347" s="9" t="s">
        <v>661</v>
      </c>
      <c r="B347" s="10" t="s">
        <v>662</v>
      </c>
      <c r="C347" s="10" t="s">
        <v>665</v>
      </c>
      <c r="D347" s="10" t="s">
        <v>664</v>
      </c>
      <c r="E347" s="11" t="s">
        <v>26</v>
      </c>
      <c r="F347" s="111">
        <v>2428.77</v>
      </c>
      <c r="G347" s="111"/>
      <c r="H347" s="11" t="s">
        <v>27</v>
      </c>
      <c r="I347" s="112" t="s">
        <v>28</v>
      </c>
      <c r="J347" s="112"/>
      <c r="K347" s="12" t="s">
        <v>29</v>
      </c>
      <c r="L347" s="13">
        <v>235247.23</v>
      </c>
    </row>
    <row r="348" spans="1:12" ht="61.2" hidden="1" x14ac:dyDescent="0.3">
      <c r="A348" s="9" t="s">
        <v>666</v>
      </c>
      <c r="B348" s="10" t="s">
        <v>667</v>
      </c>
      <c r="C348" s="10" t="s">
        <v>668</v>
      </c>
      <c r="D348" s="10" t="s">
        <v>325</v>
      </c>
      <c r="E348" s="11" t="s">
        <v>26</v>
      </c>
      <c r="F348" s="106" t="s">
        <v>28</v>
      </c>
      <c r="G348" s="106"/>
      <c r="H348" s="11" t="s">
        <v>26</v>
      </c>
      <c r="I348" s="107">
        <v>1000</v>
      </c>
      <c r="J348" s="107"/>
      <c r="K348" s="12" t="s">
        <v>29</v>
      </c>
      <c r="L348" s="13">
        <v>234247.23</v>
      </c>
    </row>
    <row r="349" spans="1:12" ht="71.400000000000006" hidden="1" x14ac:dyDescent="0.3">
      <c r="A349" s="9" t="s">
        <v>666</v>
      </c>
      <c r="B349" s="10" t="s">
        <v>667</v>
      </c>
      <c r="C349" s="10" t="s">
        <v>669</v>
      </c>
      <c r="D349" s="10" t="s">
        <v>119</v>
      </c>
      <c r="E349" s="11" t="s">
        <v>26</v>
      </c>
      <c r="F349" s="106" t="s">
        <v>28</v>
      </c>
      <c r="G349" s="106"/>
      <c r="H349" s="11" t="s">
        <v>26</v>
      </c>
      <c r="I349" s="110">
        <v>224.4</v>
      </c>
      <c r="J349" s="110"/>
      <c r="K349" s="12" t="s">
        <v>29</v>
      </c>
      <c r="L349" s="13">
        <v>234022.83</v>
      </c>
    </row>
    <row r="350" spans="1:12" ht="61.2" hidden="1" x14ac:dyDescent="0.3">
      <c r="A350" s="9" t="s">
        <v>666</v>
      </c>
      <c r="B350" s="10" t="s">
        <v>667</v>
      </c>
      <c r="C350" s="10" t="s">
        <v>670</v>
      </c>
      <c r="D350" s="10" t="s">
        <v>117</v>
      </c>
      <c r="E350" s="11" t="s">
        <v>26</v>
      </c>
      <c r="F350" s="106" t="s">
        <v>28</v>
      </c>
      <c r="G350" s="106"/>
      <c r="H350" s="11" t="s">
        <v>26</v>
      </c>
      <c r="I350" s="107">
        <v>1620</v>
      </c>
      <c r="J350" s="107"/>
      <c r="K350" s="12" t="s">
        <v>29</v>
      </c>
      <c r="L350" s="13">
        <v>232402.83</v>
      </c>
    </row>
    <row r="351" spans="1:12" ht="71.400000000000006" hidden="1" x14ac:dyDescent="0.3">
      <c r="A351" s="9" t="s">
        <v>666</v>
      </c>
      <c r="B351" s="10" t="s">
        <v>667</v>
      </c>
      <c r="C351" s="10" t="s">
        <v>671</v>
      </c>
      <c r="D351" s="10" t="s">
        <v>590</v>
      </c>
      <c r="E351" s="11" t="s">
        <v>26</v>
      </c>
      <c r="F351" s="106" t="s">
        <v>28</v>
      </c>
      <c r="G351" s="106"/>
      <c r="H351" s="11" t="s">
        <v>26</v>
      </c>
      <c r="I351" s="107">
        <v>5158.46</v>
      </c>
      <c r="J351" s="107"/>
      <c r="K351" s="12" t="s">
        <v>29</v>
      </c>
      <c r="L351" s="13">
        <v>227244.37</v>
      </c>
    </row>
    <row r="352" spans="1:12" ht="71.400000000000006" hidden="1" x14ac:dyDescent="0.3">
      <c r="A352" s="9" t="s">
        <v>666</v>
      </c>
      <c r="B352" s="10" t="s">
        <v>672</v>
      </c>
      <c r="C352" s="10" t="s">
        <v>673</v>
      </c>
      <c r="D352" s="10" t="s">
        <v>96</v>
      </c>
      <c r="E352" s="11" t="s">
        <v>26</v>
      </c>
      <c r="F352" s="106" t="s">
        <v>28</v>
      </c>
      <c r="G352" s="106"/>
      <c r="H352" s="11" t="s">
        <v>26</v>
      </c>
      <c r="I352" s="107">
        <v>4433.33</v>
      </c>
      <c r="J352" s="107"/>
      <c r="K352" s="12" t="s">
        <v>29</v>
      </c>
      <c r="L352" s="13">
        <v>222811.04</v>
      </c>
    </row>
    <row r="353" spans="1:14" ht="61.2" hidden="1" x14ac:dyDescent="0.3">
      <c r="A353" s="9" t="s">
        <v>666</v>
      </c>
      <c r="B353" s="10" t="s">
        <v>674</v>
      </c>
      <c r="C353" s="10" t="s">
        <v>333</v>
      </c>
      <c r="D353" s="10" t="s">
        <v>327</v>
      </c>
      <c r="E353" s="11" t="s">
        <v>26</v>
      </c>
      <c r="F353" s="106" t="s">
        <v>28</v>
      </c>
      <c r="G353" s="106"/>
      <c r="H353" s="11" t="s">
        <v>26</v>
      </c>
      <c r="I353" s="107">
        <v>4380.07</v>
      </c>
      <c r="J353" s="107"/>
      <c r="K353" s="12" t="s">
        <v>29</v>
      </c>
      <c r="L353" s="13">
        <v>218430.97</v>
      </c>
    </row>
    <row r="354" spans="1:14" ht="61.2" hidden="1" x14ac:dyDescent="0.3">
      <c r="A354" s="9" t="s">
        <v>666</v>
      </c>
      <c r="B354" s="10" t="s">
        <v>675</v>
      </c>
      <c r="C354" s="10" t="s">
        <v>676</v>
      </c>
      <c r="D354" s="10" t="s">
        <v>327</v>
      </c>
      <c r="E354" s="11" t="s">
        <v>26</v>
      </c>
      <c r="F354" s="106" t="s">
        <v>28</v>
      </c>
      <c r="G354" s="106"/>
      <c r="H354" s="11" t="s">
        <v>26</v>
      </c>
      <c r="I354" s="107">
        <v>7725</v>
      </c>
      <c r="J354" s="107"/>
      <c r="K354" s="12" t="s">
        <v>29</v>
      </c>
      <c r="L354" s="13">
        <v>210705.97</v>
      </c>
    </row>
    <row r="355" spans="1:14" ht="71.400000000000006" hidden="1" x14ac:dyDescent="0.3">
      <c r="A355" s="9" t="s">
        <v>666</v>
      </c>
      <c r="B355" s="10" t="s">
        <v>675</v>
      </c>
      <c r="C355" s="10" t="s">
        <v>677</v>
      </c>
      <c r="D355" s="10" t="s">
        <v>330</v>
      </c>
      <c r="E355" s="11" t="s">
        <v>26</v>
      </c>
      <c r="F355" s="106" t="s">
        <v>28</v>
      </c>
      <c r="G355" s="106"/>
      <c r="H355" s="11" t="s">
        <v>26</v>
      </c>
      <c r="I355" s="110">
        <v>905.62</v>
      </c>
      <c r="J355" s="110"/>
      <c r="K355" s="12" t="s">
        <v>29</v>
      </c>
      <c r="L355" s="13">
        <v>209800.35</v>
      </c>
    </row>
    <row r="356" spans="1:14" ht="61.2" x14ac:dyDescent="0.3">
      <c r="A356" s="9" t="s">
        <v>666</v>
      </c>
      <c r="B356" s="10" t="s">
        <v>678</v>
      </c>
      <c r="C356" s="10" t="s">
        <v>522</v>
      </c>
      <c r="D356" s="10" t="s">
        <v>53</v>
      </c>
      <c r="E356" s="11" t="s">
        <v>523</v>
      </c>
      <c r="F356" s="106" t="s">
        <v>28</v>
      </c>
      <c r="G356" s="106"/>
      <c r="H356" s="11" t="s">
        <v>26</v>
      </c>
      <c r="I356" s="107">
        <v>3424</v>
      </c>
      <c r="J356" s="107"/>
      <c r="K356" s="12" t="s">
        <v>29</v>
      </c>
      <c r="L356" s="13">
        <v>206376.35</v>
      </c>
    </row>
    <row r="357" spans="1:14" ht="71.400000000000006" x14ac:dyDescent="0.3">
      <c r="A357" s="9" t="s">
        <v>666</v>
      </c>
      <c r="B357" s="10" t="s">
        <v>678</v>
      </c>
      <c r="C357" s="10" t="s">
        <v>522</v>
      </c>
      <c r="D357" s="10" t="s">
        <v>590</v>
      </c>
      <c r="E357" s="11" t="s">
        <v>523</v>
      </c>
      <c r="F357" s="106" t="s">
        <v>28</v>
      </c>
      <c r="G357" s="106"/>
      <c r="H357" s="11" t="s">
        <v>26</v>
      </c>
      <c r="I357" s="107">
        <v>2579.23</v>
      </c>
      <c r="J357" s="107"/>
      <c r="K357" s="12" t="s">
        <v>29</v>
      </c>
      <c r="L357" s="13">
        <v>203797.12</v>
      </c>
    </row>
    <row r="358" spans="1:14" ht="71.400000000000006" x14ac:dyDescent="0.3">
      <c r="A358" s="9" t="s">
        <v>666</v>
      </c>
      <c r="B358" s="10" t="s">
        <v>679</v>
      </c>
      <c r="C358" s="10" t="s">
        <v>522</v>
      </c>
      <c r="D358" s="10" t="s">
        <v>43</v>
      </c>
      <c r="E358" s="11" t="s">
        <v>523</v>
      </c>
      <c r="F358" s="106" t="s">
        <v>28</v>
      </c>
      <c r="G358" s="106"/>
      <c r="H358" s="11" t="s">
        <v>26</v>
      </c>
      <c r="I358" s="107">
        <v>10519.1</v>
      </c>
      <c r="J358" s="107"/>
      <c r="K358" s="12" t="s">
        <v>29</v>
      </c>
      <c r="L358" s="13">
        <v>193278.02</v>
      </c>
    </row>
    <row r="359" spans="1:14" ht="61.2" x14ac:dyDescent="0.3">
      <c r="A359" s="9" t="s">
        <v>666</v>
      </c>
      <c r="B359" s="10" t="s">
        <v>680</v>
      </c>
      <c r="C359" s="10" t="s">
        <v>522</v>
      </c>
      <c r="D359" s="10" t="s">
        <v>54</v>
      </c>
      <c r="E359" s="11" t="s">
        <v>523</v>
      </c>
      <c r="F359" s="106" t="s">
        <v>28</v>
      </c>
      <c r="G359" s="106"/>
      <c r="H359" s="11" t="s">
        <v>26</v>
      </c>
      <c r="I359" s="107">
        <v>3830</v>
      </c>
      <c r="J359" s="107"/>
      <c r="K359" s="12" t="s">
        <v>29</v>
      </c>
      <c r="L359" s="13">
        <v>189448.02</v>
      </c>
      <c r="M359">
        <f>SUBTOTAL(9,I292:J359)</f>
        <v>20742.48</v>
      </c>
      <c r="N359" t="s">
        <v>1472</v>
      </c>
    </row>
    <row r="360" spans="1:14" hidden="1" x14ac:dyDescent="0.3">
      <c r="A360" s="108" t="s">
        <v>681</v>
      </c>
      <c r="B360" s="108"/>
      <c r="C360" s="108"/>
      <c r="D360" s="108"/>
      <c r="E360" s="109">
        <v>6968431.4299999997</v>
      </c>
      <c r="F360" s="109"/>
      <c r="G360" s="109"/>
      <c r="H360" s="109">
        <v>6778983.4100000001</v>
      </c>
      <c r="I360" s="109"/>
      <c r="J360" s="109"/>
      <c r="K360" s="14" t="s">
        <v>29</v>
      </c>
      <c r="L360" s="15">
        <v>189448.02</v>
      </c>
    </row>
    <row r="362" spans="1:14" x14ac:dyDescent="0.3">
      <c r="J362" s="95">
        <f>SUBTOTAL(9,I273:J359)</f>
        <v>21742.48</v>
      </c>
    </row>
  </sheetData>
  <autoFilter ref="A8:L360">
    <filterColumn colId="1">
      <filters>
        <filter val="Списання товарів ІБ00-000647 від 30.11.2024 20:00:00_x000a_Списаны ТМЦ"/>
        <filter val="Списання товарів ІБ00-000730 від 04.12.2024 22:01:04_x000a_Списаны ТМЦ"/>
        <filter val="Списання товарів ІБ00-000741 від 30.12.2024 21:00:00_x000a_Списаны ТМЦ"/>
        <filter val="Списання товарів ІБ00-000742 від 30.12.2024 22:10:06_x000a_Списаны ТМЦ"/>
        <filter val="Списання товарів ІБ00-000787 від 30.12.2024 23:00:52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712">
    <mergeCell ref="A8:A9"/>
    <mergeCell ref="B8:B9"/>
    <mergeCell ref="C8:C9"/>
    <mergeCell ref="D8:D9"/>
    <mergeCell ref="E8:G8"/>
    <mergeCell ref="H8:J8"/>
    <mergeCell ref="F11:G11"/>
    <mergeCell ref="I11:J11"/>
    <mergeCell ref="F12:G12"/>
    <mergeCell ref="I12:J12"/>
    <mergeCell ref="F13:G13"/>
    <mergeCell ref="I13:J13"/>
    <mergeCell ref="K8:L9"/>
    <mergeCell ref="F9:G9"/>
    <mergeCell ref="I9:J9"/>
    <mergeCell ref="F10:G10"/>
    <mergeCell ref="I10:J10"/>
    <mergeCell ref="F17:G17"/>
    <mergeCell ref="I17:J17"/>
    <mergeCell ref="F18:G18"/>
    <mergeCell ref="I18:J18"/>
    <mergeCell ref="F19:G19"/>
    <mergeCell ref="I19:J19"/>
    <mergeCell ref="F14:G14"/>
    <mergeCell ref="I14:J14"/>
    <mergeCell ref="F15:G15"/>
    <mergeCell ref="I15:J15"/>
    <mergeCell ref="F16:G16"/>
    <mergeCell ref="I16:J16"/>
    <mergeCell ref="F23:G23"/>
    <mergeCell ref="I23:J23"/>
    <mergeCell ref="F24:G24"/>
    <mergeCell ref="I24:J24"/>
    <mergeCell ref="F25:G25"/>
    <mergeCell ref="I25:J25"/>
    <mergeCell ref="F20:G20"/>
    <mergeCell ref="I20:J20"/>
    <mergeCell ref="F21:G21"/>
    <mergeCell ref="I21:J21"/>
    <mergeCell ref="F22:G22"/>
    <mergeCell ref="I22:J22"/>
    <mergeCell ref="F29:G29"/>
    <mergeCell ref="I29:J29"/>
    <mergeCell ref="F30:G30"/>
    <mergeCell ref="I30:J30"/>
    <mergeCell ref="F31:G31"/>
    <mergeCell ref="I31:J31"/>
    <mergeCell ref="F26:G26"/>
    <mergeCell ref="I26:J26"/>
    <mergeCell ref="F27:G27"/>
    <mergeCell ref="I27:J27"/>
    <mergeCell ref="F28:G28"/>
    <mergeCell ref="I28:J28"/>
    <mergeCell ref="F35:G35"/>
    <mergeCell ref="I35:J35"/>
    <mergeCell ref="F36:G36"/>
    <mergeCell ref="I36:J36"/>
    <mergeCell ref="F37:G37"/>
    <mergeCell ref="I37:J37"/>
    <mergeCell ref="F32:G32"/>
    <mergeCell ref="I32:J32"/>
    <mergeCell ref="F33:G33"/>
    <mergeCell ref="I33:J33"/>
    <mergeCell ref="F34:G34"/>
    <mergeCell ref="I34:J34"/>
    <mergeCell ref="F41:G41"/>
    <mergeCell ref="I41:J41"/>
    <mergeCell ref="F42:G42"/>
    <mergeCell ref="I42:J42"/>
    <mergeCell ref="F43:G43"/>
    <mergeCell ref="I43:J43"/>
    <mergeCell ref="F38:G38"/>
    <mergeCell ref="I38:J38"/>
    <mergeCell ref="F39:G39"/>
    <mergeCell ref="I39:J39"/>
    <mergeCell ref="F40:G40"/>
    <mergeCell ref="I40:J40"/>
    <mergeCell ref="F47:G47"/>
    <mergeCell ref="I47:J47"/>
    <mergeCell ref="F48:G48"/>
    <mergeCell ref="I48:J48"/>
    <mergeCell ref="F49:G49"/>
    <mergeCell ref="I49:J49"/>
    <mergeCell ref="F44:G44"/>
    <mergeCell ref="I44:J44"/>
    <mergeCell ref="F45:G45"/>
    <mergeCell ref="I45:J45"/>
    <mergeCell ref="F46:G46"/>
    <mergeCell ref="I46:J46"/>
    <mergeCell ref="F53:G53"/>
    <mergeCell ref="I53:J53"/>
    <mergeCell ref="F54:G54"/>
    <mergeCell ref="I54:J54"/>
    <mergeCell ref="F55:G55"/>
    <mergeCell ref="I55:J55"/>
    <mergeCell ref="F50:G50"/>
    <mergeCell ref="I50:J50"/>
    <mergeCell ref="F51:G51"/>
    <mergeCell ref="I51:J51"/>
    <mergeCell ref="F52:G52"/>
    <mergeCell ref="I52:J52"/>
    <mergeCell ref="F59:G59"/>
    <mergeCell ref="I59:J59"/>
    <mergeCell ref="F60:G60"/>
    <mergeCell ref="I60:J60"/>
    <mergeCell ref="F61:G61"/>
    <mergeCell ref="I61:J61"/>
    <mergeCell ref="F56:G56"/>
    <mergeCell ref="I56:J56"/>
    <mergeCell ref="F57:G57"/>
    <mergeCell ref="I57:J57"/>
    <mergeCell ref="F58:G58"/>
    <mergeCell ref="I58:J58"/>
    <mergeCell ref="F65:G65"/>
    <mergeCell ref="I65:J65"/>
    <mergeCell ref="F66:G66"/>
    <mergeCell ref="I66:J66"/>
    <mergeCell ref="F67:G67"/>
    <mergeCell ref="I67:J67"/>
    <mergeCell ref="F62:G62"/>
    <mergeCell ref="I62:J62"/>
    <mergeCell ref="F63:G63"/>
    <mergeCell ref="I63:J63"/>
    <mergeCell ref="F64:G64"/>
    <mergeCell ref="I64:J64"/>
    <mergeCell ref="F71:G71"/>
    <mergeCell ref="I71:J71"/>
    <mergeCell ref="F72:G72"/>
    <mergeCell ref="I72:J72"/>
    <mergeCell ref="F73:G73"/>
    <mergeCell ref="I73:J73"/>
    <mergeCell ref="F68:G68"/>
    <mergeCell ref="I68:J68"/>
    <mergeCell ref="F69:G69"/>
    <mergeCell ref="I69:J69"/>
    <mergeCell ref="F70:G70"/>
    <mergeCell ref="I70:J70"/>
    <mergeCell ref="F77:G77"/>
    <mergeCell ref="I77:J77"/>
    <mergeCell ref="F78:G78"/>
    <mergeCell ref="I78:J78"/>
    <mergeCell ref="F79:G79"/>
    <mergeCell ref="I79:J79"/>
    <mergeCell ref="F74:G74"/>
    <mergeCell ref="I74:J74"/>
    <mergeCell ref="F75:G75"/>
    <mergeCell ref="I75:J75"/>
    <mergeCell ref="F76:G76"/>
    <mergeCell ref="I76:J76"/>
    <mergeCell ref="F83:G83"/>
    <mergeCell ref="I83:J83"/>
    <mergeCell ref="F84:G84"/>
    <mergeCell ref="I84:J84"/>
    <mergeCell ref="F85:G85"/>
    <mergeCell ref="I85:J85"/>
    <mergeCell ref="F80:G80"/>
    <mergeCell ref="I80:J80"/>
    <mergeCell ref="F81:G81"/>
    <mergeCell ref="I81:J81"/>
    <mergeCell ref="F82:G82"/>
    <mergeCell ref="I82:J82"/>
    <mergeCell ref="F89:G89"/>
    <mergeCell ref="I89:J89"/>
    <mergeCell ref="F90:G90"/>
    <mergeCell ref="I90:J90"/>
    <mergeCell ref="F91:G91"/>
    <mergeCell ref="I91:J91"/>
    <mergeCell ref="F86:G86"/>
    <mergeCell ref="I86:J86"/>
    <mergeCell ref="F87:G87"/>
    <mergeCell ref="I87:J87"/>
    <mergeCell ref="F88:G88"/>
    <mergeCell ref="I88:J88"/>
    <mergeCell ref="F95:G95"/>
    <mergeCell ref="I95:J95"/>
    <mergeCell ref="F96:G96"/>
    <mergeCell ref="I96:J96"/>
    <mergeCell ref="F97:G97"/>
    <mergeCell ref="I97:J97"/>
    <mergeCell ref="F92:G92"/>
    <mergeCell ref="I92:J92"/>
    <mergeCell ref="F93:G93"/>
    <mergeCell ref="I93:J93"/>
    <mergeCell ref="F94:G94"/>
    <mergeCell ref="I94:J94"/>
    <mergeCell ref="F101:G101"/>
    <mergeCell ref="I101:J101"/>
    <mergeCell ref="F102:G102"/>
    <mergeCell ref="I102:J102"/>
    <mergeCell ref="F103:G103"/>
    <mergeCell ref="I103:J103"/>
    <mergeCell ref="F98:G98"/>
    <mergeCell ref="I98:J98"/>
    <mergeCell ref="F99:G99"/>
    <mergeCell ref="I99:J99"/>
    <mergeCell ref="F100:G100"/>
    <mergeCell ref="I100:J100"/>
    <mergeCell ref="F107:G107"/>
    <mergeCell ref="I107:J107"/>
    <mergeCell ref="F108:G108"/>
    <mergeCell ref="I108:J108"/>
    <mergeCell ref="F109:G109"/>
    <mergeCell ref="I109:J109"/>
    <mergeCell ref="F104:G104"/>
    <mergeCell ref="I104:J104"/>
    <mergeCell ref="F105:G105"/>
    <mergeCell ref="I105:J105"/>
    <mergeCell ref="F106:G106"/>
    <mergeCell ref="I106:J106"/>
    <mergeCell ref="F113:G113"/>
    <mergeCell ref="I113:J113"/>
    <mergeCell ref="F114:G114"/>
    <mergeCell ref="I114:J114"/>
    <mergeCell ref="F115:G115"/>
    <mergeCell ref="I115:J115"/>
    <mergeCell ref="F110:G110"/>
    <mergeCell ref="I110:J110"/>
    <mergeCell ref="F111:G111"/>
    <mergeCell ref="I111:J111"/>
    <mergeCell ref="F112:G112"/>
    <mergeCell ref="I112:J112"/>
    <mergeCell ref="F119:G119"/>
    <mergeCell ref="I119:J119"/>
    <mergeCell ref="F120:G120"/>
    <mergeCell ref="I120:J120"/>
    <mergeCell ref="F121:G121"/>
    <mergeCell ref="I121:J121"/>
    <mergeCell ref="F116:G116"/>
    <mergeCell ref="I116:J116"/>
    <mergeCell ref="F117:G117"/>
    <mergeCell ref="I117:J117"/>
    <mergeCell ref="F118:G118"/>
    <mergeCell ref="I118:J118"/>
    <mergeCell ref="F125:G125"/>
    <mergeCell ref="I125:J125"/>
    <mergeCell ref="F126:G126"/>
    <mergeCell ref="I126:J126"/>
    <mergeCell ref="F127:G127"/>
    <mergeCell ref="I127:J127"/>
    <mergeCell ref="F122:G122"/>
    <mergeCell ref="I122:J122"/>
    <mergeCell ref="F123:G123"/>
    <mergeCell ref="I123:J123"/>
    <mergeCell ref="F124:G124"/>
    <mergeCell ref="I124:J124"/>
    <mergeCell ref="F131:G131"/>
    <mergeCell ref="I131:J131"/>
    <mergeCell ref="F132:G132"/>
    <mergeCell ref="I132:J132"/>
    <mergeCell ref="F133:G133"/>
    <mergeCell ref="I133:J133"/>
    <mergeCell ref="F128:G128"/>
    <mergeCell ref="I128:J128"/>
    <mergeCell ref="F129:G129"/>
    <mergeCell ref="I129:J129"/>
    <mergeCell ref="F130:G130"/>
    <mergeCell ref="I130:J130"/>
    <mergeCell ref="F137:G137"/>
    <mergeCell ref="I137:J137"/>
    <mergeCell ref="F138:G138"/>
    <mergeCell ref="I138:J138"/>
    <mergeCell ref="F139:G139"/>
    <mergeCell ref="I139:J139"/>
    <mergeCell ref="F134:G134"/>
    <mergeCell ref="I134:J134"/>
    <mergeCell ref="F135:G135"/>
    <mergeCell ref="I135:J135"/>
    <mergeCell ref="F136:G136"/>
    <mergeCell ref="I136:J136"/>
    <mergeCell ref="F143:G143"/>
    <mergeCell ref="I143:J143"/>
    <mergeCell ref="F144:G144"/>
    <mergeCell ref="I144:J144"/>
    <mergeCell ref="F145:G145"/>
    <mergeCell ref="I145:J145"/>
    <mergeCell ref="F140:G140"/>
    <mergeCell ref="I140:J140"/>
    <mergeCell ref="F141:G141"/>
    <mergeCell ref="I141:J141"/>
    <mergeCell ref="F142:G142"/>
    <mergeCell ref="I142:J142"/>
    <mergeCell ref="F149:G149"/>
    <mergeCell ref="I149:J149"/>
    <mergeCell ref="F150:G150"/>
    <mergeCell ref="I150:J150"/>
    <mergeCell ref="F151:G151"/>
    <mergeCell ref="I151:J151"/>
    <mergeCell ref="F146:G146"/>
    <mergeCell ref="I146:J146"/>
    <mergeCell ref="F147:G147"/>
    <mergeCell ref="I147:J147"/>
    <mergeCell ref="F148:G148"/>
    <mergeCell ref="I148:J148"/>
    <mergeCell ref="F155:G155"/>
    <mergeCell ref="I155:J155"/>
    <mergeCell ref="F156:G156"/>
    <mergeCell ref="I156:J156"/>
    <mergeCell ref="F157:G157"/>
    <mergeCell ref="I157:J157"/>
    <mergeCell ref="F152:G152"/>
    <mergeCell ref="I152:J152"/>
    <mergeCell ref="F153:G153"/>
    <mergeCell ref="I153:J153"/>
    <mergeCell ref="F154:G154"/>
    <mergeCell ref="I154:J154"/>
    <mergeCell ref="F161:G161"/>
    <mergeCell ref="I161:J161"/>
    <mergeCell ref="F162:G162"/>
    <mergeCell ref="I162:J162"/>
    <mergeCell ref="F163:G163"/>
    <mergeCell ref="I163:J163"/>
    <mergeCell ref="F158:G158"/>
    <mergeCell ref="I158:J158"/>
    <mergeCell ref="F159:G159"/>
    <mergeCell ref="I159:J159"/>
    <mergeCell ref="F160:G160"/>
    <mergeCell ref="I160:J160"/>
    <mergeCell ref="F167:G167"/>
    <mergeCell ref="I167:J167"/>
    <mergeCell ref="F168:G168"/>
    <mergeCell ref="I168:J168"/>
    <mergeCell ref="F169:G169"/>
    <mergeCell ref="I169:J169"/>
    <mergeCell ref="F164:G164"/>
    <mergeCell ref="I164:J164"/>
    <mergeCell ref="F165:G165"/>
    <mergeCell ref="I165:J165"/>
    <mergeCell ref="F166:G166"/>
    <mergeCell ref="I166:J166"/>
    <mergeCell ref="F173:G173"/>
    <mergeCell ref="I173:J173"/>
    <mergeCell ref="F174:G174"/>
    <mergeCell ref="I174:J174"/>
    <mergeCell ref="F175:G175"/>
    <mergeCell ref="I175:J175"/>
    <mergeCell ref="F170:G170"/>
    <mergeCell ref="I170:J170"/>
    <mergeCell ref="F171:G171"/>
    <mergeCell ref="I171:J171"/>
    <mergeCell ref="F172:G172"/>
    <mergeCell ref="I172:J172"/>
    <mergeCell ref="F179:G179"/>
    <mergeCell ref="I179:J179"/>
    <mergeCell ref="F180:G180"/>
    <mergeCell ref="I180:J180"/>
    <mergeCell ref="F181:G181"/>
    <mergeCell ref="I181:J181"/>
    <mergeCell ref="F176:G176"/>
    <mergeCell ref="I176:J176"/>
    <mergeCell ref="F177:G177"/>
    <mergeCell ref="I177:J177"/>
    <mergeCell ref="F178:G178"/>
    <mergeCell ref="I178:J178"/>
    <mergeCell ref="F185:G185"/>
    <mergeCell ref="I185:J185"/>
    <mergeCell ref="F186:G186"/>
    <mergeCell ref="I186:J186"/>
    <mergeCell ref="F187:G187"/>
    <mergeCell ref="I187:J187"/>
    <mergeCell ref="F182:G182"/>
    <mergeCell ref="I182:J182"/>
    <mergeCell ref="F183:G183"/>
    <mergeCell ref="I183:J183"/>
    <mergeCell ref="F184:G184"/>
    <mergeCell ref="I184:J184"/>
    <mergeCell ref="F191:G191"/>
    <mergeCell ref="I191:J191"/>
    <mergeCell ref="F192:G192"/>
    <mergeCell ref="I192:J192"/>
    <mergeCell ref="F193:G193"/>
    <mergeCell ref="I193:J193"/>
    <mergeCell ref="F188:G188"/>
    <mergeCell ref="I188:J188"/>
    <mergeCell ref="F189:G189"/>
    <mergeCell ref="I189:J189"/>
    <mergeCell ref="F190:G190"/>
    <mergeCell ref="I190:J190"/>
    <mergeCell ref="F197:G197"/>
    <mergeCell ref="I197:J197"/>
    <mergeCell ref="F198:G198"/>
    <mergeCell ref="I198:J198"/>
    <mergeCell ref="F199:G199"/>
    <mergeCell ref="I199:J199"/>
    <mergeCell ref="F194:G194"/>
    <mergeCell ref="I194:J194"/>
    <mergeCell ref="F195:G195"/>
    <mergeCell ref="I195:J195"/>
    <mergeCell ref="F196:G196"/>
    <mergeCell ref="I196:J196"/>
    <mergeCell ref="F203:G203"/>
    <mergeCell ref="I203:J203"/>
    <mergeCell ref="F204:G204"/>
    <mergeCell ref="I204:J204"/>
    <mergeCell ref="F205:G205"/>
    <mergeCell ref="I205:J205"/>
    <mergeCell ref="F200:G200"/>
    <mergeCell ref="I200:J200"/>
    <mergeCell ref="F201:G201"/>
    <mergeCell ref="I201:J201"/>
    <mergeCell ref="F202:G202"/>
    <mergeCell ref="I202:J202"/>
    <mergeCell ref="F209:G209"/>
    <mergeCell ref="I209:J209"/>
    <mergeCell ref="F210:G210"/>
    <mergeCell ref="I210:J210"/>
    <mergeCell ref="F211:G211"/>
    <mergeCell ref="I211:J211"/>
    <mergeCell ref="F206:G206"/>
    <mergeCell ref="I206:J206"/>
    <mergeCell ref="F207:G207"/>
    <mergeCell ref="I207:J207"/>
    <mergeCell ref="F208:G208"/>
    <mergeCell ref="I208:J208"/>
    <mergeCell ref="F215:G215"/>
    <mergeCell ref="I215:J215"/>
    <mergeCell ref="F216:G216"/>
    <mergeCell ref="I216:J216"/>
    <mergeCell ref="F217:G217"/>
    <mergeCell ref="I217:J217"/>
    <mergeCell ref="F212:G212"/>
    <mergeCell ref="I212:J212"/>
    <mergeCell ref="F213:G213"/>
    <mergeCell ref="I213:J213"/>
    <mergeCell ref="F214:G214"/>
    <mergeCell ref="I214:J214"/>
    <mergeCell ref="F221:G221"/>
    <mergeCell ref="I221:J221"/>
    <mergeCell ref="F222:G222"/>
    <mergeCell ref="I222:J222"/>
    <mergeCell ref="F223:G223"/>
    <mergeCell ref="I223:J223"/>
    <mergeCell ref="F218:G218"/>
    <mergeCell ref="I218:J218"/>
    <mergeCell ref="F219:G219"/>
    <mergeCell ref="I219:J219"/>
    <mergeCell ref="F220:G220"/>
    <mergeCell ref="I220:J220"/>
    <mergeCell ref="F227:G227"/>
    <mergeCell ref="I227:J227"/>
    <mergeCell ref="F228:G228"/>
    <mergeCell ref="I228:J228"/>
    <mergeCell ref="F229:G229"/>
    <mergeCell ref="I229:J229"/>
    <mergeCell ref="F224:G224"/>
    <mergeCell ref="I224:J224"/>
    <mergeCell ref="F225:G225"/>
    <mergeCell ref="I225:J225"/>
    <mergeCell ref="F226:G226"/>
    <mergeCell ref="I226:J226"/>
    <mergeCell ref="F233:G233"/>
    <mergeCell ref="I233:J233"/>
    <mergeCell ref="F234:G234"/>
    <mergeCell ref="I234:J234"/>
    <mergeCell ref="F235:G235"/>
    <mergeCell ref="I235:J235"/>
    <mergeCell ref="F230:G230"/>
    <mergeCell ref="I230:J230"/>
    <mergeCell ref="F231:G231"/>
    <mergeCell ref="I231:J231"/>
    <mergeCell ref="F232:G232"/>
    <mergeCell ref="I232:J232"/>
    <mergeCell ref="F239:G239"/>
    <mergeCell ref="I239:J239"/>
    <mergeCell ref="F240:G240"/>
    <mergeCell ref="I240:J240"/>
    <mergeCell ref="F241:G241"/>
    <mergeCell ref="I241:J241"/>
    <mergeCell ref="F236:G236"/>
    <mergeCell ref="I236:J236"/>
    <mergeCell ref="F237:G237"/>
    <mergeCell ref="I237:J237"/>
    <mergeCell ref="F238:G238"/>
    <mergeCell ref="I238:J238"/>
    <mergeCell ref="F245:G245"/>
    <mergeCell ref="I245:J245"/>
    <mergeCell ref="F246:G246"/>
    <mergeCell ref="I246:J246"/>
    <mergeCell ref="F247:G247"/>
    <mergeCell ref="I247:J247"/>
    <mergeCell ref="F242:G242"/>
    <mergeCell ref="I242:J242"/>
    <mergeCell ref="F243:G243"/>
    <mergeCell ref="I243:J243"/>
    <mergeCell ref="F244:G244"/>
    <mergeCell ref="I244:J244"/>
    <mergeCell ref="F251:G251"/>
    <mergeCell ref="I251:J251"/>
    <mergeCell ref="F252:G252"/>
    <mergeCell ref="I252:J252"/>
    <mergeCell ref="F253:G253"/>
    <mergeCell ref="I253:J253"/>
    <mergeCell ref="F248:G248"/>
    <mergeCell ref="I248:J248"/>
    <mergeCell ref="F249:G249"/>
    <mergeCell ref="I249:J249"/>
    <mergeCell ref="F250:G250"/>
    <mergeCell ref="I250:J250"/>
    <mergeCell ref="F257:G257"/>
    <mergeCell ref="I257:J257"/>
    <mergeCell ref="F258:G258"/>
    <mergeCell ref="I258:J258"/>
    <mergeCell ref="F259:G259"/>
    <mergeCell ref="I259:J259"/>
    <mergeCell ref="F254:G254"/>
    <mergeCell ref="I254:J254"/>
    <mergeCell ref="F255:G255"/>
    <mergeCell ref="I255:J255"/>
    <mergeCell ref="F256:G256"/>
    <mergeCell ref="I256:J256"/>
    <mergeCell ref="F263:G263"/>
    <mergeCell ref="I263:J263"/>
    <mergeCell ref="F264:G264"/>
    <mergeCell ref="I264:J264"/>
    <mergeCell ref="F265:G265"/>
    <mergeCell ref="I265:J265"/>
    <mergeCell ref="F260:G260"/>
    <mergeCell ref="I260:J260"/>
    <mergeCell ref="F261:G261"/>
    <mergeCell ref="I261:J261"/>
    <mergeCell ref="F262:G262"/>
    <mergeCell ref="I262:J262"/>
    <mergeCell ref="F269:G269"/>
    <mergeCell ref="I269:J269"/>
    <mergeCell ref="F270:G270"/>
    <mergeCell ref="I270:J270"/>
    <mergeCell ref="F271:G271"/>
    <mergeCell ref="I271:J271"/>
    <mergeCell ref="F266:G266"/>
    <mergeCell ref="I266:J266"/>
    <mergeCell ref="F267:G267"/>
    <mergeCell ref="I267:J267"/>
    <mergeCell ref="F268:G268"/>
    <mergeCell ref="I268:J268"/>
    <mergeCell ref="F275:G275"/>
    <mergeCell ref="I275:J275"/>
    <mergeCell ref="F276:G276"/>
    <mergeCell ref="I276:J276"/>
    <mergeCell ref="F277:G277"/>
    <mergeCell ref="I277:J277"/>
    <mergeCell ref="F272:G272"/>
    <mergeCell ref="I272:J272"/>
    <mergeCell ref="F273:G273"/>
    <mergeCell ref="I273:J273"/>
    <mergeCell ref="F274:G274"/>
    <mergeCell ref="I274:J274"/>
    <mergeCell ref="F281:G281"/>
    <mergeCell ref="I281:J281"/>
    <mergeCell ref="F282:G282"/>
    <mergeCell ref="I282:J282"/>
    <mergeCell ref="F283:G283"/>
    <mergeCell ref="I283:J283"/>
    <mergeCell ref="F278:G278"/>
    <mergeCell ref="I278:J278"/>
    <mergeCell ref="F279:G279"/>
    <mergeCell ref="I279:J279"/>
    <mergeCell ref="F280:G280"/>
    <mergeCell ref="I280:J280"/>
    <mergeCell ref="F287:G287"/>
    <mergeCell ref="I287:J287"/>
    <mergeCell ref="F288:G288"/>
    <mergeCell ref="I288:J288"/>
    <mergeCell ref="F289:G289"/>
    <mergeCell ref="I289:J289"/>
    <mergeCell ref="F284:G284"/>
    <mergeCell ref="I284:J284"/>
    <mergeCell ref="F285:G285"/>
    <mergeCell ref="I285:J285"/>
    <mergeCell ref="F286:G286"/>
    <mergeCell ref="I286:J286"/>
    <mergeCell ref="F293:G293"/>
    <mergeCell ref="I293:J293"/>
    <mergeCell ref="F294:G294"/>
    <mergeCell ref="I294:J294"/>
    <mergeCell ref="F295:G295"/>
    <mergeCell ref="I295:J295"/>
    <mergeCell ref="F290:G290"/>
    <mergeCell ref="I290:J290"/>
    <mergeCell ref="F291:G291"/>
    <mergeCell ref="I291:J291"/>
    <mergeCell ref="F292:G292"/>
    <mergeCell ref="I292:J292"/>
    <mergeCell ref="F299:G299"/>
    <mergeCell ref="I299:J299"/>
    <mergeCell ref="F300:G300"/>
    <mergeCell ref="I300:J300"/>
    <mergeCell ref="F301:G301"/>
    <mergeCell ref="I301:J301"/>
    <mergeCell ref="F296:G296"/>
    <mergeCell ref="I296:J296"/>
    <mergeCell ref="F297:G297"/>
    <mergeCell ref="I297:J297"/>
    <mergeCell ref="F298:G298"/>
    <mergeCell ref="I298:J298"/>
    <mergeCell ref="F305:G305"/>
    <mergeCell ref="I305:J305"/>
    <mergeCell ref="F306:G306"/>
    <mergeCell ref="I306:J306"/>
    <mergeCell ref="F307:G307"/>
    <mergeCell ref="I307:J307"/>
    <mergeCell ref="F302:G302"/>
    <mergeCell ref="I302:J302"/>
    <mergeCell ref="F303:G303"/>
    <mergeCell ref="I303:J303"/>
    <mergeCell ref="F304:G304"/>
    <mergeCell ref="I304:J304"/>
    <mergeCell ref="F311:G311"/>
    <mergeCell ref="I311:J311"/>
    <mergeCell ref="F312:G312"/>
    <mergeCell ref="I312:J312"/>
    <mergeCell ref="F313:G313"/>
    <mergeCell ref="I313:J313"/>
    <mergeCell ref="F308:G308"/>
    <mergeCell ref="I308:J308"/>
    <mergeCell ref="F309:G309"/>
    <mergeCell ref="I309:J309"/>
    <mergeCell ref="F310:G310"/>
    <mergeCell ref="I310:J310"/>
    <mergeCell ref="F317:G317"/>
    <mergeCell ref="I317:J317"/>
    <mergeCell ref="F318:G318"/>
    <mergeCell ref="I318:J318"/>
    <mergeCell ref="F319:G319"/>
    <mergeCell ref="I319:J319"/>
    <mergeCell ref="F314:G314"/>
    <mergeCell ref="I314:J314"/>
    <mergeCell ref="F315:G315"/>
    <mergeCell ref="I315:J315"/>
    <mergeCell ref="F316:G316"/>
    <mergeCell ref="I316:J316"/>
    <mergeCell ref="F323:G323"/>
    <mergeCell ref="I323:J323"/>
    <mergeCell ref="F324:G324"/>
    <mergeCell ref="I324:J324"/>
    <mergeCell ref="F325:G325"/>
    <mergeCell ref="I325:J325"/>
    <mergeCell ref="F320:G320"/>
    <mergeCell ref="I320:J320"/>
    <mergeCell ref="F321:G321"/>
    <mergeCell ref="I321:J321"/>
    <mergeCell ref="F322:G322"/>
    <mergeCell ref="I322:J322"/>
    <mergeCell ref="F329:G329"/>
    <mergeCell ref="I329:J329"/>
    <mergeCell ref="F330:G330"/>
    <mergeCell ref="I330:J330"/>
    <mergeCell ref="F331:G331"/>
    <mergeCell ref="I331:J331"/>
    <mergeCell ref="F326:G326"/>
    <mergeCell ref="I326:J326"/>
    <mergeCell ref="F327:G327"/>
    <mergeCell ref="I327:J327"/>
    <mergeCell ref="F328:G328"/>
    <mergeCell ref="I328:J328"/>
    <mergeCell ref="F335:G335"/>
    <mergeCell ref="I335:J335"/>
    <mergeCell ref="F336:G336"/>
    <mergeCell ref="I336:J336"/>
    <mergeCell ref="F337:G337"/>
    <mergeCell ref="I337:J337"/>
    <mergeCell ref="F332:G332"/>
    <mergeCell ref="I332:J332"/>
    <mergeCell ref="F333:G333"/>
    <mergeCell ref="I333:J333"/>
    <mergeCell ref="F334:G334"/>
    <mergeCell ref="I334:J334"/>
    <mergeCell ref="F341:G341"/>
    <mergeCell ref="I341:J341"/>
    <mergeCell ref="F342:G342"/>
    <mergeCell ref="I342:J342"/>
    <mergeCell ref="F343:G343"/>
    <mergeCell ref="I343:J343"/>
    <mergeCell ref="F338:G338"/>
    <mergeCell ref="I338:J338"/>
    <mergeCell ref="F339:G339"/>
    <mergeCell ref="I339:J339"/>
    <mergeCell ref="F340:G340"/>
    <mergeCell ref="I340:J340"/>
    <mergeCell ref="F347:G347"/>
    <mergeCell ref="I347:J347"/>
    <mergeCell ref="F348:G348"/>
    <mergeCell ref="I348:J348"/>
    <mergeCell ref="F349:G349"/>
    <mergeCell ref="I349:J349"/>
    <mergeCell ref="F344:G344"/>
    <mergeCell ref="I344:J344"/>
    <mergeCell ref="F345:G345"/>
    <mergeCell ref="I345:J345"/>
    <mergeCell ref="F346:G346"/>
    <mergeCell ref="I346:J346"/>
    <mergeCell ref="F353:G353"/>
    <mergeCell ref="I353:J353"/>
    <mergeCell ref="F354:G354"/>
    <mergeCell ref="I354:J354"/>
    <mergeCell ref="F355:G355"/>
    <mergeCell ref="I355:J355"/>
    <mergeCell ref="F350:G350"/>
    <mergeCell ref="I350:J350"/>
    <mergeCell ref="F351:G351"/>
    <mergeCell ref="I351:J351"/>
    <mergeCell ref="F352:G352"/>
    <mergeCell ref="I352:J352"/>
    <mergeCell ref="F359:G359"/>
    <mergeCell ref="I359:J359"/>
    <mergeCell ref="A360:D360"/>
    <mergeCell ref="E360:G360"/>
    <mergeCell ref="H360:J360"/>
    <mergeCell ref="F356:G356"/>
    <mergeCell ref="I356:J356"/>
    <mergeCell ref="F357:G357"/>
    <mergeCell ref="I357:J357"/>
    <mergeCell ref="F358:G358"/>
    <mergeCell ref="I358:J3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97"/>
  <sheetViews>
    <sheetView topLeftCell="A289" workbookViewId="0">
      <selection activeCell="M134" sqref="M134"/>
    </sheetView>
  </sheetViews>
  <sheetFormatPr defaultRowHeight="14.4" x14ac:dyDescent="0.3"/>
  <cols>
    <col min="2" max="4" width="20.33203125" customWidth="1"/>
    <col min="10" max="10" width="11.33203125" bestFit="1" customWidth="1"/>
  </cols>
  <sheetData>
    <row r="1" spans="1:12" ht="53.4" x14ac:dyDescent="0.3">
      <c r="A1" s="16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78" x14ac:dyDescent="0.3">
      <c r="A2" s="18" t="s">
        <v>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0.399999999999999" x14ac:dyDescent="0.3">
      <c r="A4" s="19" t="s">
        <v>10</v>
      </c>
      <c r="B4" s="19" t="s">
        <v>11</v>
      </c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40.799999999999997" x14ac:dyDescent="0.3">
      <c r="A6" s="19" t="s">
        <v>12</v>
      </c>
      <c r="B6" s="19" t="s">
        <v>682</v>
      </c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x14ac:dyDescent="0.3">
      <c r="A8" s="138" t="s">
        <v>14</v>
      </c>
      <c r="B8" s="133" t="s">
        <v>15</v>
      </c>
      <c r="C8" s="133" t="s">
        <v>16</v>
      </c>
      <c r="D8" s="140" t="s">
        <v>17</v>
      </c>
      <c r="E8" s="142" t="s">
        <v>18</v>
      </c>
      <c r="F8" s="142"/>
      <c r="G8" s="142"/>
      <c r="H8" s="143" t="s">
        <v>19</v>
      </c>
      <c r="I8" s="143"/>
      <c r="J8" s="143"/>
      <c r="K8" s="133" t="s">
        <v>20</v>
      </c>
      <c r="L8" s="133"/>
    </row>
    <row r="9" spans="1:12" hidden="1" x14ac:dyDescent="0.3">
      <c r="A9" s="134"/>
      <c r="B9" s="139"/>
      <c r="C9" s="139"/>
      <c r="D9" s="141"/>
      <c r="E9" s="20" t="s">
        <v>21</v>
      </c>
      <c r="F9" s="136"/>
      <c r="G9" s="136"/>
      <c r="H9" s="21" t="s">
        <v>21</v>
      </c>
      <c r="I9" s="137"/>
      <c r="J9" s="137"/>
      <c r="K9" s="134"/>
      <c r="L9" s="135"/>
    </row>
    <row r="10" spans="1:12" ht="71.400000000000006" hidden="1" x14ac:dyDescent="0.3">
      <c r="A10" s="22" t="s">
        <v>61</v>
      </c>
      <c r="B10" s="23" t="s">
        <v>72</v>
      </c>
      <c r="C10" s="23" t="s">
        <v>73</v>
      </c>
      <c r="D10" s="23" t="s">
        <v>37</v>
      </c>
      <c r="E10" s="24" t="s">
        <v>26</v>
      </c>
      <c r="F10" s="130">
        <v>24726.99</v>
      </c>
      <c r="G10" s="130"/>
      <c r="H10" s="24" t="s">
        <v>26</v>
      </c>
      <c r="I10" s="131" t="s">
        <v>28</v>
      </c>
      <c r="J10" s="131"/>
      <c r="K10" s="25" t="s">
        <v>29</v>
      </c>
      <c r="L10" s="26">
        <v>24726.99</v>
      </c>
    </row>
    <row r="11" spans="1:12" ht="71.400000000000006" hidden="1" x14ac:dyDescent="0.3">
      <c r="A11" s="22" t="s">
        <v>61</v>
      </c>
      <c r="B11" s="23" t="s">
        <v>72</v>
      </c>
      <c r="C11" s="23" t="s">
        <v>74</v>
      </c>
      <c r="D11" s="23" t="s">
        <v>39</v>
      </c>
      <c r="E11" s="24" t="s">
        <v>26</v>
      </c>
      <c r="F11" s="130">
        <v>83498.66</v>
      </c>
      <c r="G11" s="130"/>
      <c r="H11" s="24" t="s">
        <v>26</v>
      </c>
      <c r="I11" s="131" t="s">
        <v>28</v>
      </c>
      <c r="J11" s="131"/>
      <c r="K11" s="25" t="s">
        <v>29</v>
      </c>
      <c r="L11" s="26">
        <v>108225.65</v>
      </c>
    </row>
    <row r="12" spans="1:12" ht="61.2" hidden="1" x14ac:dyDescent="0.3">
      <c r="A12" s="22" t="s">
        <v>61</v>
      </c>
      <c r="B12" s="23" t="s">
        <v>79</v>
      </c>
      <c r="C12" s="23" t="s">
        <v>80</v>
      </c>
      <c r="D12" s="23" t="s">
        <v>56</v>
      </c>
      <c r="E12" s="24" t="s">
        <v>26</v>
      </c>
      <c r="F12" s="130">
        <v>8260</v>
      </c>
      <c r="G12" s="130"/>
      <c r="H12" s="24" t="s">
        <v>26</v>
      </c>
      <c r="I12" s="131" t="s">
        <v>28</v>
      </c>
      <c r="J12" s="131"/>
      <c r="K12" s="25" t="s">
        <v>29</v>
      </c>
      <c r="L12" s="26">
        <v>116485.65</v>
      </c>
    </row>
    <row r="13" spans="1:12" ht="71.400000000000006" hidden="1" x14ac:dyDescent="0.3">
      <c r="A13" s="22" t="s">
        <v>101</v>
      </c>
      <c r="B13" s="23" t="s">
        <v>106</v>
      </c>
      <c r="C13" s="23" t="s">
        <v>107</v>
      </c>
      <c r="D13" s="23" t="s">
        <v>95</v>
      </c>
      <c r="E13" s="24" t="s">
        <v>26</v>
      </c>
      <c r="F13" s="130">
        <v>18565</v>
      </c>
      <c r="G13" s="130"/>
      <c r="H13" s="24" t="s">
        <v>26</v>
      </c>
      <c r="I13" s="131" t="s">
        <v>28</v>
      </c>
      <c r="J13" s="131"/>
      <c r="K13" s="25" t="s">
        <v>29</v>
      </c>
      <c r="L13" s="26">
        <v>135050.65</v>
      </c>
    </row>
    <row r="14" spans="1:12" ht="71.400000000000006" hidden="1" x14ac:dyDescent="0.3">
      <c r="A14" s="22" t="s">
        <v>101</v>
      </c>
      <c r="B14" s="23" t="s">
        <v>106</v>
      </c>
      <c r="C14" s="23" t="s">
        <v>108</v>
      </c>
      <c r="D14" s="23" t="s">
        <v>49</v>
      </c>
      <c r="E14" s="24" t="s">
        <v>26</v>
      </c>
      <c r="F14" s="130">
        <v>4433.33</v>
      </c>
      <c r="G14" s="130"/>
      <c r="H14" s="24" t="s">
        <v>26</v>
      </c>
      <c r="I14" s="131" t="s">
        <v>28</v>
      </c>
      <c r="J14" s="131"/>
      <c r="K14" s="25" t="s">
        <v>29</v>
      </c>
      <c r="L14" s="26">
        <v>139483.98000000001</v>
      </c>
    </row>
    <row r="15" spans="1:12" ht="71.400000000000006" hidden="1" x14ac:dyDescent="0.3">
      <c r="A15" s="22" t="s">
        <v>101</v>
      </c>
      <c r="B15" s="23" t="s">
        <v>106</v>
      </c>
      <c r="C15" s="23" t="s">
        <v>109</v>
      </c>
      <c r="D15" s="23" t="s">
        <v>96</v>
      </c>
      <c r="E15" s="24" t="s">
        <v>26</v>
      </c>
      <c r="F15" s="130">
        <v>266126.63</v>
      </c>
      <c r="G15" s="130"/>
      <c r="H15" s="24" t="s">
        <v>26</v>
      </c>
      <c r="I15" s="131" t="s">
        <v>28</v>
      </c>
      <c r="J15" s="131"/>
      <c r="K15" s="25" t="s">
        <v>29</v>
      </c>
      <c r="L15" s="26">
        <v>405610.61</v>
      </c>
    </row>
    <row r="16" spans="1:12" ht="71.400000000000006" hidden="1" x14ac:dyDescent="0.3">
      <c r="A16" s="22" t="s">
        <v>101</v>
      </c>
      <c r="B16" s="23" t="s">
        <v>106</v>
      </c>
      <c r="C16" s="23" t="s">
        <v>110</v>
      </c>
      <c r="D16" s="23" t="s">
        <v>97</v>
      </c>
      <c r="E16" s="24" t="s">
        <v>26</v>
      </c>
      <c r="F16" s="130">
        <v>186199.98</v>
      </c>
      <c r="G16" s="130"/>
      <c r="H16" s="24" t="s">
        <v>26</v>
      </c>
      <c r="I16" s="131" t="s">
        <v>28</v>
      </c>
      <c r="J16" s="131"/>
      <c r="K16" s="25" t="s">
        <v>29</v>
      </c>
      <c r="L16" s="26">
        <v>591810.59</v>
      </c>
    </row>
    <row r="17" spans="1:14" ht="61.2" hidden="1" x14ac:dyDescent="0.3">
      <c r="A17" s="22" t="s">
        <v>101</v>
      </c>
      <c r="B17" s="23" t="s">
        <v>683</v>
      </c>
      <c r="C17" s="23" t="s">
        <v>684</v>
      </c>
      <c r="D17" s="23" t="s">
        <v>685</v>
      </c>
      <c r="E17" s="24" t="s">
        <v>26</v>
      </c>
      <c r="F17" s="130">
        <v>4511.8</v>
      </c>
      <c r="G17" s="130"/>
      <c r="H17" s="24" t="s">
        <v>27</v>
      </c>
      <c r="I17" s="131" t="s">
        <v>28</v>
      </c>
      <c r="J17" s="131"/>
      <c r="K17" s="25" t="s">
        <v>29</v>
      </c>
      <c r="L17" s="26">
        <v>596322.39</v>
      </c>
    </row>
    <row r="18" spans="1:14" ht="61.2" hidden="1" x14ac:dyDescent="0.3">
      <c r="A18" s="22" t="s">
        <v>115</v>
      </c>
      <c r="B18" s="23" t="s">
        <v>145</v>
      </c>
      <c r="C18" s="23" t="s">
        <v>146</v>
      </c>
      <c r="D18" s="23" t="s">
        <v>143</v>
      </c>
      <c r="E18" s="24" t="s">
        <v>26</v>
      </c>
      <c r="F18" s="130">
        <v>9525</v>
      </c>
      <c r="G18" s="130"/>
      <c r="H18" s="24" t="s">
        <v>26</v>
      </c>
      <c r="I18" s="131" t="s">
        <v>28</v>
      </c>
      <c r="J18" s="131"/>
      <c r="K18" s="25" t="s">
        <v>29</v>
      </c>
      <c r="L18" s="26">
        <v>605847.39</v>
      </c>
    </row>
    <row r="19" spans="1:14" ht="61.2" hidden="1" x14ac:dyDescent="0.3">
      <c r="A19" s="22" t="s">
        <v>115</v>
      </c>
      <c r="B19" s="23" t="s">
        <v>147</v>
      </c>
      <c r="C19" s="23" t="s">
        <v>146</v>
      </c>
      <c r="D19" s="23" t="s">
        <v>143</v>
      </c>
      <c r="E19" s="24" t="s">
        <v>26</v>
      </c>
      <c r="F19" s="130">
        <v>5334</v>
      </c>
      <c r="G19" s="130"/>
      <c r="H19" s="24" t="s">
        <v>26</v>
      </c>
      <c r="I19" s="131" t="s">
        <v>28</v>
      </c>
      <c r="J19" s="131"/>
      <c r="K19" s="25" t="s">
        <v>29</v>
      </c>
      <c r="L19" s="26">
        <v>611181.39</v>
      </c>
    </row>
    <row r="20" spans="1:14" ht="71.400000000000006" x14ac:dyDescent="0.3">
      <c r="A20" s="22" t="s">
        <v>686</v>
      </c>
      <c r="B20" s="23" t="s">
        <v>687</v>
      </c>
      <c r="C20" s="23" t="s">
        <v>522</v>
      </c>
      <c r="D20" s="23" t="s">
        <v>73</v>
      </c>
      <c r="E20" s="24" t="s">
        <v>523</v>
      </c>
      <c r="F20" s="125" t="s">
        <v>28</v>
      </c>
      <c r="G20" s="125"/>
      <c r="H20" s="24" t="s">
        <v>26</v>
      </c>
      <c r="I20" s="126">
        <v>24726.99</v>
      </c>
      <c r="J20" s="126"/>
      <c r="K20" s="25" t="s">
        <v>29</v>
      </c>
      <c r="L20" s="26">
        <v>586454.4</v>
      </c>
    </row>
    <row r="21" spans="1:14" ht="71.400000000000006" x14ac:dyDescent="0.3">
      <c r="A21" s="22" t="s">
        <v>686</v>
      </c>
      <c r="B21" s="23" t="s">
        <v>687</v>
      </c>
      <c r="C21" s="23" t="s">
        <v>522</v>
      </c>
      <c r="D21" s="23" t="s">
        <v>107</v>
      </c>
      <c r="E21" s="24" t="s">
        <v>523</v>
      </c>
      <c r="F21" s="125" t="s">
        <v>28</v>
      </c>
      <c r="G21" s="125"/>
      <c r="H21" s="24" t="s">
        <v>26</v>
      </c>
      <c r="I21" s="126">
        <v>15536.67</v>
      </c>
      <c r="J21" s="126"/>
      <c r="K21" s="25" t="s">
        <v>29</v>
      </c>
      <c r="L21" s="26">
        <v>570917.73</v>
      </c>
    </row>
    <row r="22" spans="1:14" ht="71.400000000000006" x14ac:dyDescent="0.3">
      <c r="A22" s="22" t="s">
        <v>686</v>
      </c>
      <c r="B22" s="23" t="s">
        <v>687</v>
      </c>
      <c r="C22" s="23" t="s">
        <v>522</v>
      </c>
      <c r="D22" s="23" t="s">
        <v>74</v>
      </c>
      <c r="E22" s="24" t="s">
        <v>523</v>
      </c>
      <c r="F22" s="125" t="s">
        <v>28</v>
      </c>
      <c r="G22" s="125"/>
      <c r="H22" s="24" t="s">
        <v>26</v>
      </c>
      <c r="I22" s="126">
        <v>83498.66</v>
      </c>
      <c r="J22" s="126"/>
      <c r="K22" s="25" t="s">
        <v>29</v>
      </c>
      <c r="L22" s="26">
        <v>487419.07</v>
      </c>
    </row>
    <row r="23" spans="1:14" ht="71.400000000000006" x14ac:dyDescent="0.3">
      <c r="A23" s="22" t="s">
        <v>686</v>
      </c>
      <c r="B23" s="23" t="s">
        <v>687</v>
      </c>
      <c r="C23" s="23" t="s">
        <v>522</v>
      </c>
      <c r="D23" s="23" t="s">
        <v>108</v>
      </c>
      <c r="E23" s="24" t="s">
        <v>523</v>
      </c>
      <c r="F23" s="125" t="s">
        <v>28</v>
      </c>
      <c r="G23" s="125"/>
      <c r="H23" s="24" t="s">
        <v>26</v>
      </c>
      <c r="I23" s="126">
        <v>4433.33</v>
      </c>
      <c r="J23" s="126"/>
      <c r="K23" s="25" t="s">
        <v>29</v>
      </c>
      <c r="L23" s="26">
        <v>482985.74</v>
      </c>
    </row>
    <row r="24" spans="1:14" ht="71.400000000000006" x14ac:dyDescent="0.3">
      <c r="A24" s="22" t="s">
        <v>686</v>
      </c>
      <c r="B24" s="23" t="s">
        <v>687</v>
      </c>
      <c r="C24" s="23" t="s">
        <v>522</v>
      </c>
      <c r="D24" s="23" t="s">
        <v>109</v>
      </c>
      <c r="E24" s="24" t="s">
        <v>523</v>
      </c>
      <c r="F24" s="125" t="s">
        <v>28</v>
      </c>
      <c r="G24" s="125"/>
      <c r="H24" s="24" t="s">
        <v>26</v>
      </c>
      <c r="I24" s="126">
        <v>178194.64</v>
      </c>
      <c r="J24" s="126"/>
      <c r="K24" s="25" t="s">
        <v>29</v>
      </c>
      <c r="L24" s="26">
        <v>304791.09999999998</v>
      </c>
    </row>
    <row r="25" spans="1:14" ht="71.400000000000006" x14ac:dyDescent="0.3">
      <c r="A25" s="22" t="s">
        <v>686</v>
      </c>
      <c r="B25" s="23" t="s">
        <v>687</v>
      </c>
      <c r="C25" s="23" t="s">
        <v>522</v>
      </c>
      <c r="D25" s="23" t="s">
        <v>109</v>
      </c>
      <c r="E25" s="24" t="s">
        <v>523</v>
      </c>
      <c r="F25" s="125" t="s">
        <v>28</v>
      </c>
      <c r="G25" s="125"/>
      <c r="H25" s="24" t="s">
        <v>26</v>
      </c>
      <c r="I25" s="126">
        <v>58646.66</v>
      </c>
      <c r="J25" s="126"/>
      <c r="K25" s="25" t="s">
        <v>29</v>
      </c>
      <c r="L25" s="26">
        <v>246144.44</v>
      </c>
    </row>
    <row r="26" spans="1:14" ht="71.400000000000006" x14ac:dyDescent="0.3">
      <c r="A26" s="22" t="s">
        <v>686</v>
      </c>
      <c r="B26" s="23" t="s">
        <v>687</v>
      </c>
      <c r="C26" s="23" t="s">
        <v>522</v>
      </c>
      <c r="D26" s="23" t="s">
        <v>110</v>
      </c>
      <c r="E26" s="24" t="s">
        <v>523</v>
      </c>
      <c r="F26" s="125" t="s">
        <v>28</v>
      </c>
      <c r="G26" s="125"/>
      <c r="H26" s="24" t="s">
        <v>26</v>
      </c>
      <c r="I26" s="126">
        <v>164666.65</v>
      </c>
      <c r="J26" s="126"/>
      <c r="K26" s="25" t="s">
        <v>29</v>
      </c>
      <c r="L26" s="26">
        <v>81477.789999999994</v>
      </c>
      <c r="M26">
        <f>SUBTOTAL(9,I20:J26)</f>
        <v>529703.60000000009</v>
      </c>
      <c r="N26" t="s">
        <v>1477</v>
      </c>
    </row>
    <row r="27" spans="1:14" ht="61.2" hidden="1" x14ac:dyDescent="0.3">
      <c r="A27" s="22" t="s">
        <v>148</v>
      </c>
      <c r="B27" s="23" t="s">
        <v>154</v>
      </c>
      <c r="C27" s="23" t="s">
        <v>155</v>
      </c>
      <c r="D27" s="23" t="s">
        <v>150</v>
      </c>
      <c r="E27" s="24" t="s">
        <v>26</v>
      </c>
      <c r="F27" s="132">
        <v>269</v>
      </c>
      <c r="G27" s="132"/>
      <c r="H27" s="24" t="s">
        <v>26</v>
      </c>
      <c r="I27" s="131" t="s">
        <v>28</v>
      </c>
      <c r="J27" s="131"/>
      <c r="K27" s="25" t="s">
        <v>29</v>
      </c>
      <c r="L27" s="26">
        <v>81746.789999999994</v>
      </c>
    </row>
    <row r="28" spans="1:14" ht="61.2" hidden="1" x14ac:dyDescent="0.3">
      <c r="A28" s="22" t="s">
        <v>148</v>
      </c>
      <c r="B28" s="23" t="s">
        <v>688</v>
      </c>
      <c r="C28" s="23" t="s">
        <v>689</v>
      </c>
      <c r="D28" s="23" t="s">
        <v>690</v>
      </c>
      <c r="E28" s="24" t="s">
        <v>26</v>
      </c>
      <c r="F28" s="130">
        <v>19500</v>
      </c>
      <c r="G28" s="130"/>
      <c r="H28" s="24" t="s">
        <v>27</v>
      </c>
      <c r="I28" s="131" t="s">
        <v>28</v>
      </c>
      <c r="J28" s="131"/>
      <c r="K28" s="25" t="s">
        <v>29</v>
      </c>
      <c r="L28" s="26">
        <v>101246.79</v>
      </c>
    </row>
    <row r="29" spans="1:14" ht="61.2" hidden="1" x14ac:dyDescent="0.3">
      <c r="A29" s="22" t="s">
        <v>148</v>
      </c>
      <c r="B29" s="23" t="s">
        <v>688</v>
      </c>
      <c r="C29" s="23" t="s">
        <v>691</v>
      </c>
      <c r="D29" s="23" t="s">
        <v>690</v>
      </c>
      <c r="E29" s="24" t="s">
        <v>26</v>
      </c>
      <c r="F29" s="130">
        <v>11424.99</v>
      </c>
      <c r="G29" s="130"/>
      <c r="H29" s="24" t="s">
        <v>27</v>
      </c>
      <c r="I29" s="131" t="s">
        <v>28</v>
      </c>
      <c r="J29" s="131"/>
      <c r="K29" s="25" t="s">
        <v>29</v>
      </c>
      <c r="L29" s="26">
        <v>112671.78</v>
      </c>
    </row>
    <row r="30" spans="1:14" ht="61.2" hidden="1" x14ac:dyDescent="0.3">
      <c r="A30" s="22" t="s">
        <v>160</v>
      </c>
      <c r="B30" s="23" t="s">
        <v>165</v>
      </c>
      <c r="C30" s="23" t="s">
        <v>166</v>
      </c>
      <c r="D30" s="23" t="s">
        <v>158</v>
      </c>
      <c r="E30" s="24" t="s">
        <v>26</v>
      </c>
      <c r="F30" s="130">
        <v>7892.5</v>
      </c>
      <c r="G30" s="130"/>
      <c r="H30" s="24" t="s">
        <v>26</v>
      </c>
      <c r="I30" s="131" t="s">
        <v>28</v>
      </c>
      <c r="J30" s="131"/>
      <c r="K30" s="25" t="s">
        <v>29</v>
      </c>
      <c r="L30" s="26">
        <v>120564.28</v>
      </c>
    </row>
    <row r="31" spans="1:14" ht="61.2" hidden="1" x14ac:dyDescent="0.3">
      <c r="A31" s="22" t="s">
        <v>167</v>
      </c>
      <c r="B31" s="23" t="s">
        <v>172</v>
      </c>
      <c r="C31" s="23" t="s">
        <v>173</v>
      </c>
      <c r="D31" s="23" t="s">
        <v>169</v>
      </c>
      <c r="E31" s="24" t="s">
        <v>26</v>
      </c>
      <c r="F31" s="130">
        <v>17505.87</v>
      </c>
      <c r="G31" s="130"/>
      <c r="H31" s="24" t="s">
        <v>26</v>
      </c>
      <c r="I31" s="131" t="s">
        <v>28</v>
      </c>
      <c r="J31" s="131"/>
      <c r="K31" s="25" t="s">
        <v>29</v>
      </c>
      <c r="L31" s="26">
        <v>138070.15</v>
      </c>
    </row>
    <row r="32" spans="1:14" ht="71.400000000000006" hidden="1" x14ac:dyDescent="0.3">
      <c r="A32" s="22" t="s">
        <v>176</v>
      </c>
      <c r="B32" s="23" t="s">
        <v>692</v>
      </c>
      <c r="C32" s="23" t="s">
        <v>693</v>
      </c>
      <c r="D32" s="23" t="s">
        <v>694</v>
      </c>
      <c r="E32" s="24" t="s">
        <v>26</v>
      </c>
      <c r="F32" s="130">
        <v>30532.5</v>
      </c>
      <c r="G32" s="130"/>
      <c r="H32" s="24" t="s">
        <v>27</v>
      </c>
      <c r="I32" s="131" t="s">
        <v>28</v>
      </c>
      <c r="J32" s="131"/>
      <c r="K32" s="25" t="s">
        <v>29</v>
      </c>
      <c r="L32" s="26">
        <v>168602.65</v>
      </c>
    </row>
    <row r="33" spans="1:12" ht="71.400000000000006" hidden="1" x14ac:dyDescent="0.3">
      <c r="A33" s="22" t="s">
        <v>176</v>
      </c>
      <c r="B33" s="23" t="s">
        <v>695</v>
      </c>
      <c r="C33" s="23" t="s">
        <v>693</v>
      </c>
      <c r="D33" s="23" t="s">
        <v>696</v>
      </c>
      <c r="E33" s="24" t="s">
        <v>26</v>
      </c>
      <c r="F33" s="130">
        <v>14626.5</v>
      </c>
      <c r="G33" s="130"/>
      <c r="H33" s="24" t="s">
        <v>27</v>
      </c>
      <c r="I33" s="131" t="s">
        <v>28</v>
      </c>
      <c r="J33" s="131"/>
      <c r="K33" s="25" t="s">
        <v>29</v>
      </c>
      <c r="L33" s="26">
        <v>183229.15</v>
      </c>
    </row>
    <row r="34" spans="1:12" ht="61.2" hidden="1" x14ac:dyDescent="0.3">
      <c r="A34" s="22" t="s">
        <v>182</v>
      </c>
      <c r="B34" s="23" t="s">
        <v>697</v>
      </c>
      <c r="C34" s="23" t="s">
        <v>698</v>
      </c>
      <c r="D34" s="23" t="s">
        <v>690</v>
      </c>
      <c r="E34" s="24" t="s">
        <v>26</v>
      </c>
      <c r="F34" s="130">
        <v>10386</v>
      </c>
      <c r="G34" s="130"/>
      <c r="H34" s="24" t="s">
        <v>27</v>
      </c>
      <c r="I34" s="131" t="s">
        <v>28</v>
      </c>
      <c r="J34" s="131"/>
      <c r="K34" s="25" t="s">
        <v>29</v>
      </c>
      <c r="L34" s="26">
        <v>193615.15</v>
      </c>
    </row>
    <row r="35" spans="1:12" ht="61.2" hidden="1" x14ac:dyDescent="0.3">
      <c r="A35" s="22" t="s">
        <v>182</v>
      </c>
      <c r="B35" s="23" t="s">
        <v>699</v>
      </c>
      <c r="C35" s="23" t="s">
        <v>698</v>
      </c>
      <c r="D35" s="23" t="s">
        <v>690</v>
      </c>
      <c r="E35" s="24" t="s">
        <v>26</v>
      </c>
      <c r="F35" s="130">
        <v>63714</v>
      </c>
      <c r="G35" s="130"/>
      <c r="H35" s="24" t="s">
        <v>27</v>
      </c>
      <c r="I35" s="131" t="s">
        <v>28</v>
      </c>
      <c r="J35" s="131"/>
      <c r="K35" s="25" t="s">
        <v>29</v>
      </c>
      <c r="L35" s="26">
        <v>257329.15</v>
      </c>
    </row>
    <row r="36" spans="1:12" ht="61.2" hidden="1" x14ac:dyDescent="0.3">
      <c r="A36" s="22" t="s">
        <v>182</v>
      </c>
      <c r="B36" s="23" t="s">
        <v>189</v>
      </c>
      <c r="C36" s="23" t="s">
        <v>190</v>
      </c>
      <c r="D36" s="23" t="s">
        <v>184</v>
      </c>
      <c r="E36" s="24" t="s">
        <v>26</v>
      </c>
      <c r="F36" s="130">
        <v>8633.0300000000007</v>
      </c>
      <c r="G36" s="130"/>
      <c r="H36" s="24" t="s">
        <v>26</v>
      </c>
      <c r="I36" s="131" t="s">
        <v>28</v>
      </c>
      <c r="J36" s="131"/>
      <c r="K36" s="25" t="s">
        <v>29</v>
      </c>
      <c r="L36" s="26">
        <v>265962.18</v>
      </c>
    </row>
    <row r="37" spans="1:12" ht="61.2" hidden="1" x14ac:dyDescent="0.3">
      <c r="A37" s="22" t="s">
        <v>182</v>
      </c>
      <c r="B37" s="23" t="s">
        <v>189</v>
      </c>
      <c r="C37" s="23" t="s">
        <v>191</v>
      </c>
      <c r="D37" s="23" t="s">
        <v>186</v>
      </c>
      <c r="E37" s="24" t="s">
        <v>26</v>
      </c>
      <c r="F37" s="130">
        <v>19844.759999999998</v>
      </c>
      <c r="G37" s="130"/>
      <c r="H37" s="24" t="s">
        <v>26</v>
      </c>
      <c r="I37" s="131" t="s">
        <v>28</v>
      </c>
      <c r="J37" s="131"/>
      <c r="K37" s="25" t="s">
        <v>29</v>
      </c>
      <c r="L37" s="26">
        <v>285806.94</v>
      </c>
    </row>
    <row r="38" spans="1:12" ht="61.2" hidden="1" x14ac:dyDescent="0.3">
      <c r="A38" s="22" t="s">
        <v>182</v>
      </c>
      <c r="B38" s="23" t="s">
        <v>700</v>
      </c>
      <c r="C38" s="23" t="s">
        <v>701</v>
      </c>
      <c r="D38" s="23" t="s">
        <v>702</v>
      </c>
      <c r="E38" s="24" t="s">
        <v>26</v>
      </c>
      <c r="F38" s="130">
        <v>46800</v>
      </c>
      <c r="G38" s="130"/>
      <c r="H38" s="24" t="s">
        <v>27</v>
      </c>
      <c r="I38" s="131" t="s">
        <v>28</v>
      </c>
      <c r="J38" s="131"/>
      <c r="K38" s="25" t="s">
        <v>29</v>
      </c>
      <c r="L38" s="26">
        <v>332606.94</v>
      </c>
    </row>
    <row r="39" spans="1:12" ht="61.2" hidden="1" x14ac:dyDescent="0.3">
      <c r="A39" s="22" t="s">
        <v>195</v>
      </c>
      <c r="B39" s="23" t="s">
        <v>200</v>
      </c>
      <c r="C39" s="23" t="s">
        <v>201</v>
      </c>
      <c r="D39" s="23" t="s">
        <v>197</v>
      </c>
      <c r="E39" s="24" t="s">
        <v>26</v>
      </c>
      <c r="F39" s="130">
        <v>27189.599999999999</v>
      </c>
      <c r="G39" s="130"/>
      <c r="H39" s="24" t="s">
        <v>26</v>
      </c>
      <c r="I39" s="131" t="s">
        <v>28</v>
      </c>
      <c r="J39" s="131"/>
      <c r="K39" s="25" t="s">
        <v>29</v>
      </c>
      <c r="L39" s="26">
        <v>359796.54</v>
      </c>
    </row>
    <row r="40" spans="1:12" ht="61.2" hidden="1" x14ac:dyDescent="0.3">
      <c r="A40" s="22" t="s">
        <v>204</v>
      </c>
      <c r="B40" s="23" t="s">
        <v>209</v>
      </c>
      <c r="C40" s="23" t="s">
        <v>210</v>
      </c>
      <c r="D40" s="23" t="s">
        <v>207</v>
      </c>
      <c r="E40" s="24" t="s">
        <v>26</v>
      </c>
      <c r="F40" s="130">
        <v>1507.57</v>
      </c>
      <c r="G40" s="130"/>
      <c r="H40" s="24" t="s">
        <v>26</v>
      </c>
      <c r="I40" s="131" t="s">
        <v>28</v>
      </c>
      <c r="J40" s="131"/>
      <c r="K40" s="25" t="s">
        <v>29</v>
      </c>
      <c r="L40" s="26">
        <v>361304.11</v>
      </c>
    </row>
    <row r="41" spans="1:12" ht="61.2" hidden="1" x14ac:dyDescent="0.3">
      <c r="A41" s="22" t="s">
        <v>214</v>
      </c>
      <c r="B41" s="23" t="s">
        <v>221</v>
      </c>
      <c r="C41" s="23" t="s">
        <v>222</v>
      </c>
      <c r="D41" s="23" t="s">
        <v>216</v>
      </c>
      <c r="E41" s="24" t="s">
        <v>26</v>
      </c>
      <c r="F41" s="130">
        <v>148465.43</v>
      </c>
      <c r="G41" s="130"/>
      <c r="H41" s="24" t="s">
        <v>26</v>
      </c>
      <c r="I41" s="131" t="s">
        <v>28</v>
      </c>
      <c r="J41" s="131"/>
      <c r="K41" s="25" t="s">
        <v>29</v>
      </c>
      <c r="L41" s="26">
        <v>509769.54</v>
      </c>
    </row>
    <row r="42" spans="1:12" ht="61.2" hidden="1" x14ac:dyDescent="0.3">
      <c r="A42" s="22" t="s">
        <v>223</v>
      </c>
      <c r="B42" s="23" t="s">
        <v>227</v>
      </c>
      <c r="C42" s="23" t="s">
        <v>228</v>
      </c>
      <c r="D42" s="23" t="s">
        <v>225</v>
      </c>
      <c r="E42" s="24" t="s">
        <v>26</v>
      </c>
      <c r="F42" s="130">
        <v>28457.95</v>
      </c>
      <c r="G42" s="130"/>
      <c r="H42" s="24" t="s">
        <v>26</v>
      </c>
      <c r="I42" s="131" t="s">
        <v>28</v>
      </c>
      <c r="J42" s="131"/>
      <c r="K42" s="25" t="s">
        <v>29</v>
      </c>
      <c r="L42" s="26">
        <v>538227.49</v>
      </c>
    </row>
    <row r="43" spans="1:12" ht="61.2" hidden="1" x14ac:dyDescent="0.3">
      <c r="A43" s="22" t="s">
        <v>231</v>
      </c>
      <c r="B43" s="23" t="s">
        <v>239</v>
      </c>
      <c r="C43" s="23" t="s">
        <v>240</v>
      </c>
      <c r="D43" s="23" t="s">
        <v>233</v>
      </c>
      <c r="E43" s="24" t="s">
        <v>26</v>
      </c>
      <c r="F43" s="130">
        <v>24524.52</v>
      </c>
      <c r="G43" s="130"/>
      <c r="H43" s="24" t="s">
        <v>26</v>
      </c>
      <c r="I43" s="131" t="s">
        <v>28</v>
      </c>
      <c r="J43" s="131"/>
      <c r="K43" s="25" t="s">
        <v>29</v>
      </c>
      <c r="L43" s="26">
        <v>562752.01</v>
      </c>
    </row>
    <row r="44" spans="1:12" ht="71.400000000000006" hidden="1" x14ac:dyDescent="0.3">
      <c r="A44" s="22" t="s">
        <v>703</v>
      </c>
      <c r="B44" s="23" t="s">
        <v>704</v>
      </c>
      <c r="C44" s="23" t="s">
        <v>705</v>
      </c>
      <c r="D44" s="23" t="s">
        <v>706</v>
      </c>
      <c r="E44" s="24" t="s">
        <v>26</v>
      </c>
      <c r="F44" s="130">
        <v>26550</v>
      </c>
      <c r="G44" s="130"/>
      <c r="H44" s="24" t="s">
        <v>27</v>
      </c>
      <c r="I44" s="131" t="s">
        <v>28</v>
      </c>
      <c r="J44" s="131"/>
      <c r="K44" s="25" t="s">
        <v>29</v>
      </c>
      <c r="L44" s="26">
        <v>589302.01</v>
      </c>
    </row>
    <row r="45" spans="1:12" ht="71.400000000000006" hidden="1" x14ac:dyDescent="0.3">
      <c r="A45" s="22" t="s">
        <v>703</v>
      </c>
      <c r="B45" s="23" t="s">
        <v>707</v>
      </c>
      <c r="C45" s="23" t="s">
        <v>705</v>
      </c>
      <c r="D45" s="23" t="s">
        <v>708</v>
      </c>
      <c r="E45" s="24" t="s">
        <v>26</v>
      </c>
      <c r="F45" s="130">
        <v>7035</v>
      </c>
      <c r="G45" s="130"/>
      <c r="H45" s="24" t="s">
        <v>27</v>
      </c>
      <c r="I45" s="131" t="s">
        <v>28</v>
      </c>
      <c r="J45" s="131"/>
      <c r="K45" s="25" t="s">
        <v>29</v>
      </c>
      <c r="L45" s="26">
        <v>596337.01</v>
      </c>
    </row>
    <row r="46" spans="1:12" ht="61.2" hidden="1" x14ac:dyDescent="0.3">
      <c r="A46" s="22" t="s">
        <v>244</v>
      </c>
      <c r="B46" s="23" t="s">
        <v>249</v>
      </c>
      <c r="C46" s="23" t="s">
        <v>250</v>
      </c>
      <c r="D46" s="23" t="s">
        <v>246</v>
      </c>
      <c r="E46" s="24" t="s">
        <v>26</v>
      </c>
      <c r="F46" s="130">
        <v>22691.5</v>
      </c>
      <c r="G46" s="130"/>
      <c r="H46" s="24" t="s">
        <v>26</v>
      </c>
      <c r="I46" s="131" t="s">
        <v>28</v>
      </c>
      <c r="J46" s="131"/>
      <c r="K46" s="25" t="s">
        <v>29</v>
      </c>
      <c r="L46" s="26">
        <v>619028.51</v>
      </c>
    </row>
    <row r="47" spans="1:12" ht="71.400000000000006" hidden="1" x14ac:dyDescent="0.3">
      <c r="A47" s="22" t="s">
        <v>253</v>
      </c>
      <c r="B47" s="23" t="s">
        <v>264</v>
      </c>
      <c r="C47" s="23" t="s">
        <v>265</v>
      </c>
      <c r="D47" s="23" t="s">
        <v>255</v>
      </c>
      <c r="E47" s="24" t="s">
        <v>26</v>
      </c>
      <c r="F47" s="132">
        <v>232.8</v>
      </c>
      <c r="G47" s="132"/>
      <c r="H47" s="24" t="s">
        <v>26</v>
      </c>
      <c r="I47" s="131" t="s">
        <v>28</v>
      </c>
      <c r="J47" s="131"/>
      <c r="K47" s="25" t="s">
        <v>29</v>
      </c>
      <c r="L47" s="26">
        <v>619261.31000000006</v>
      </c>
    </row>
    <row r="48" spans="1:12" ht="71.400000000000006" hidden="1" x14ac:dyDescent="0.3">
      <c r="A48" s="22" t="s">
        <v>253</v>
      </c>
      <c r="B48" s="23" t="s">
        <v>264</v>
      </c>
      <c r="C48" s="23" t="s">
        <v>266</v>
      </c>
      <c r="D48" s="23" t="s">
        <v>257</v>
      </c>
      <c r="E48" s="24" t="s">
        <v>26</v>
      </c>
      <c r="F48" s="132">
        <v>146.80000000000001</v>
      </c>
      <c r="G48" s="132"/>
      <c r="H48" s="24" t="s">
        <v>26</v>
      </c>
      <c r="I48" s="131" t="s">
        <v>28</v>
      </c>
      <c r="J48" s="131"/>
      <c r="K48" s="25" t="s">
        <v>29</v>
      </c>
      <c r="L48" s="26">
        <v>619408.11</v>
      </c>
    </row>
    <row r="49" spans="1:12" ht="61.2" hidden="1" x14ac:dyDescent="0.3">
      <c r="A49" s="22" t="s">
        <v>253</v>
      </c>
      <c r="B49" s="23" t="s">
        <v>269</v>
      </c>
      <c r="C49" s="23" t="s">
        <v>270</v>
      </c>
      <c r="D49" s="23" t="s">
        <v>259</v>
      </c>
      <c r="E49" s="24" t="s">
        <v>26</v>
      </c>
      <c r="F49" s="130">
        <v>19663.89</v>
      </c>
      <c r="G49" s="130"/>
      <c r="H49" s="24" t="s">
        <v>26</v>
      </c>
      <c r="I49" s="131" t="s">
        <v>28</v>
      </c>
      <c r="J49" s="131"/>
      <c r="K49" s="25" t="s">
        <v>29</v>
      </c>
      <c r="L49" s="26">
        <v>639072</v>
      </c>
    </row>
    <row r="50" spans="1:12" ht="61.2" hidden="1" x14ac:dyDescent="0.3">
      <c r="A50" s="22" t="s">
        <v>253</v>
      </c>
      <c r="B50" s="23" t="s">
        <v>276</v>
      </c>
      <c r="C50" s="23" t="s">
        <v>277</v>
      </c>
      <c r="D50" s="23" t="s">
        <v>272</v>
      </c>
      <c r="E50" s="24" t="s">
        <v>26</v>
      </c>
      <c r="F50" s="132">
        <v>982.5</v>
      </c>
      <c r="G50" s="132"/>
      <c r="H50" s="24" t="s">
        <v>26</v>
      </c>
      <c r="I50" s="131" t="s">
        <v>28</v>
      </c>
      <c r="J50" s="131"/>
      <c r="K50" s="25" t="s">
        <v>29</v>
      </c>
      <c r="L50" s="26">
        <v>640054.5</v>
      </c>
    </row>
    <row r="51" spans="1:12" ht="61.2" hidden="1" x14ac:dyDescent="0.3">
      <c r="A51" s="22" t="s">
        <v>709</v>
      </c>
      <c r="B51" s="23" t="s">
        <v>710</v>
      </c>
      <c r="C51" s="23" t="s">
        <v>711</v>
      </c>
      <c r="D51" s="23" t="s">
        <v>712</v>
      </c>
      <c r="E51" s="24" t="s">
        <v>26</v>
      </c>
      <c r="F51" s="130">
        <v>14630</v>
      </c>
      <c r="G51" s="130"/>
      <c r="H51" s="24" t="s">
        <v>27</v>
      </c>
      <c r="I51" s="131" t="s">
        <v>28</v>
      </c>
      <c r="J51" s="131"/>
      <c r="K51" s="25" t="s">
        <v>29</v>
      </c>
      <c r="L51" s="26">
        <v>654684.5</v>
      </c>
    </row>
    <row r="52" spans="1:12" ht="61.2" hidden="1" x14ac:dyDescent="0.3">
      <c r="A52" s="22" t="s">
        <v>709</v>
      </c>
      <c r="B52" s="23" t="s">
        <v>713</v>
      </c>
      <c r="C52" s="23" t="s">
        <v>711</v>
      </c>
      <c r="D52" s="23" t="s">
        <v>714</v>
      </c>
      <c r="E52" s="24" t="s">
        <v>26</v>
      </c>
      <c r="F52" s="130">
        <v>6004.43</v>
      </c>
      <c r="G52" s="130"/>
      <c r="H52" s="24" t="s">
        <v>27</v>
      </c>
      <c r="I52" s="131" t="s">
        <v>28</v>
      </c>
      <c r="J52" s="131"/>
      <c r="K52" s="25" t="s">
        <v>29</v>
      </c>
      <c r="L52" s="26">
        <v>660688.93000000005</v>
      </c>
    </row>
    <row r="53" spans="1:12" ht="61.2" hidden="1" x14ac:dyDescent="0.3">
      <c r="A53" s="22" t="s">
        <v>280</v>
      </c>
      <c r="B53" s="23" t="s">
        <v>291</v>
      </c>
      <c r="C53" s="23" t="s">
        <v>292</v>
      </c>
      <c r="D53" s="23" t="s">
        <v>282</v>
      </c>
      <c r="E53" s="24" t="s">
        <v>26</v>
      </c>
      <c r="F53" s="130">
        <v>35077</v>
      </c>
      <c r="G53" s="130"/>
      <c r="H53" s="24" t="s">
        <v>26</v>
      </c>
      <c r="I53" s="131" t="s">
        <v>28</v>
      </c>
      <c r="J53" s="131"/>
      <c r="K53" s="25" t="s">
        <v>29</v>
      </c>
      <c r="L53" s="26">
        <v>695765.93</v>
      </c>
    </row>
    <row r="54" spans="1:12" ht="71.400000000000006" hidden="1" x14ac:dyDescent="0.3">
      <c r="A54" s="22" t="s">
        <v>280</v>
      </c>
      <c r="B54" s="23" t="s">
        <v>291</v>
      </c>
      <c r="C54" s="23" t="s">
        <v>293</v>
      </c>
      <c r="D54" s="23" t="s">
        <v>284</v>
      </c>
      <c r="E54" s="24" t="s">
        <v>26</v>
      </c>
      <c r="F54" s="130">
        <v>26165.33</v>
      </c>
      <c r="G54" s="130"/>
      <c r="H54" s="24" t="s">
        <v>26</v>
      </c>
      <c r="I54" s="131" t="s">
        <v>28</v>
      </c>
      <c r="J54" s="131"/>
      <c r="K54" s="25" t="s">
        <v>29</v>
      </c>
      <c r="L54" s="26">
        <v>721931.26</v>
      </c>
    </row>
    <row r="55" spans="1:12" ht="61.2" hidden="1" x14ac:dyDescent="0.3">
      <c r="A55" s="22" t="s">
        <v>280</v>
      </c>
      <c r="B55" s="23" t="s">
        <v>296</v>
      </c>
      <c r="C55" s="23" t="s">
        <v>297</v>
      </c>
      <c r="D55" s="23" t="s">
        <v>286</v>
      </c>
      <c r="E55" s="24" t="s">
        <v>26</v>
      </c>
      <c r="F55" s="130">
        <v>60676</v>
      </c>
      <c r="G55" s="130"/>
      <c r="H55" s="24" t="s">
        <v>26</v>
      </c>
      <c r="I55" s="131" t="s">
        <v>28</v>
      </c>
      <c r="J55" s="131"/>
      <c r="K55" s="25" t="s">
        <v>29</v>
      </c>
      <c r="L55" s="26">
        <v>782607.26</v>
      </c>
    </row>
    <row r="56" spans="1:12" ht="71.400000000000006" hidden="1" x14ac:dyDescent="0.3">
      <c r="A56" s="22" t="s">
        <v>280</v>
      </c>
      <c r="B56" s="23" t="s">
        <v>296</v>
      </c>
      <c r="C56" s="23" t="s">
        <v>298</v>
      </c>
      <c r="D56" s="23" t="s">
        <v>288</v>
      </c>
      <c r="E56" s="24" t="s">
        <v>26</v>
      </c>
      <c r="F56" s="130">
        <v>17125.330000000002</v>
      </c>
      <c r="G56" s="130"/>
      <c r="H56" s="24" t="s">
        <v>26</v>
      </c>
      <c r="I56" s="131" t="s">
        <v>28</v>
      </c>
      <c r="J56" s="131"/>
      <c r="K56" s="25" t="s">
        <v>29</v>
      </c>
      <c r="L56" s="26">
        <v>799732.59</v>
      </c>
    </row>
    <row r="57" spans="1:12" ht="71.400000000000006" hidden="1" x14ac:dyDescent="0.3">
      <c r="A57" s="22" t="s">
        <v>715</v>
      </c>
      <c r="B57" s="23" t="s">
        <v>716</v>
      </c>
      <c r="C57" s="23" t="s">
        <v>717</v>
      </c>
      <c r="D57" s="23" t="s">
        <v>718</v>
      </c>
      <c r="E57" s="24" t="s">
        <v>26</v>
      </c>
      <c r="F57" s="130">
        <v>7414.33</v>
      </c>
      <c r="G57" s="130"/>
      <c r="H57" s="24" t="s">
        <v>27</v>
      </c>
      <c r="I57" s="131" t="s">
        <v>28</v>
      </c>
      <c r="J57" s="131"/>
      <c r="K57" s="25" t="s">
        <v>29</v>
      </c>
      <c r="L57" s="26">
        <v>807146.92</v>
      </c>
    </row>
    <row r="58" spans="1:12" ht="61.2" hidden="1" x14ac:dyDescent="0.3">
      <c r="A58" s="22" t="s">
        <v>715</v>
      </c>
      <c r="B58" s="23" t="s">
        <v>716</v>
      </c>
      <c r="C58" s="23" t="s">
        <v>719</v>
      </c>
      <c r="D58" s="23" t="s">
        <v>718</v>
      </c>
      <c r="E58" s="24" t="s">
        <v>26</v>
      </c>
      <c r="F58" s="130">
        <v>18660.669999999998</v>
      </c>
      <c r="G58" s="130"/>
      <c r="H58" s="24" t="s">
        <v>27</v>
      </c>
      <c r="I58" s="131" t="s">
        <v>28</v>
      </c>
      <c r="J58" s="131"/>
      <c r="K58" s="25" t="s">
        <v>29</v>
      </c>
      <c r="L58" s="26">
        <v>825807.59</v>
      </c>
    </row>
    <row r="59" spans="1:12" ht="71.400000000000006" hidden="1" x14ac:dyDescent="0.3">
      <c r="A59" s="22" t="s">
        <v>715</v>
      </c>
      <c r="B59" s="23" t="s">
        <v>720</v>
      </c>
      <c r="C59" s="23" t="s">
        <v>717</v>
      </c>
      <c r="D59" s="23" t="s">
        <v>718</v>
      </c>
      <c r="E59" s="24" t="s">
        <v>26</v>
      </c>
      <c r="F59" s="130">
        <v>10836.33</v>
      </c>
      <c r="G59" s="130"/>
      <c r="H59" s="24" t="s">
        <v>27</v>
      </c>
      <c r="I59" s="131" t="s">
        <v>28</v>
      </c>
      <c r="J59" s="131"/>
      <c r="K59" s="25" t="s">
        <v>29</v>
      </c>
      <c r="L59" s="26">
        <v>836643.92</v>
      </c>
    </row>
    <row r="60" spans="1:12" ht="61.2" hidden="1" x14ac:dyDescent="0.3">
      <c r="A60" s="22" t="s">
        <v>715</v>
      </c>
      <c r="B60" s="23" t="s">
        <v>720</v>
      </c>
      <c r="C60" s="23" t="s">
        <v>719</v>
      </c>
      <c r="D60" s="23" t="s">
        <v>718</v>
      </c>
      <c r="E60" s="24" t="s">
        <v>26</v>
      </c>
      <c r="F60" s="130">
        <v>15415.34</v>
      </c>
      <c r="G60" s="130"/>
      <c r="H60" s="24" t="s">
        <v>27</v>
      </c>
      <c r="I60" s="131" t="s">
        <v>28</v>
      </c>
      <c r="J60" s="131"/>
      <c r="K60" s="25" t="s">
        <v>29</v>
      </c>
      <c r="L60" s="26">
        <v>852059.26</v>
      </c>
    </row>
    <row r="61" spans="1:12" ht="61.2" hidden="1" x14ac:dyDescent="0.3">
      <c r="A61" s="22" t="s">
        <v>301</v>
      </c>
      <c r="B61" s="23" t="s">
        <v>306</v>
      </c>
      <c r="C61" s="23" t="s">
        <v>307</v>
      </c>
      <c r="D61" s="23" t="s">
        <v>303</v>
      </c>
      <c r="E61" s="24" t="s">
        <v>26</v>
      </c>
      <c r="F61" s="132">
        <v>47.75</v>
      </c>
      <c r="G61" s="132"/>
      <c r="H61" s="24" t="s">
        <v>26</v>
      </c>
      <c r="I61" s="131" t="s">
        <v>28</v>
      </c>
      <c r="J61" s="131"/>
      <c r="K61" s="25" t="s">
        <v>29</v>
      </c>
      <c r="L61" s="26">
        <v>852107.01</v>
      </c>
    </row>
    <row r="62" spans="1:12" ht="71.400000000000006" hidden="1" x14ac:dyDescent="0.3">
      <c r="A62" s="22" t="s">
        <v>301</v>
      </c>
      <c r="B62" s="23" t="s">
        <v>306</v>
      </c>
      <c r="C62" s="23" t="s">
        <v>308</v>
      </c>
      <c r="D62" s="23" t="s">
        <v>305</v>
      </c>
      <c r="E62" s="24" t="s">
        <v>26</v>
      </c>
      <c r="F62" s="132">
        <v>182.5</v>
      </c>
      <c r="G62" s="132"/>
      <c r="H62" s="24" t="s">
        <v>26</v>
      </c>
      <c r="I62" s="131" t="s">
        <v>28</v>
      </c>
      <c r="J62" s="131"/>
      <c r="K62" s="25" t="s">
        <v>29</v>
      </c>
      <c r="L62" s="26">
        <v>852289.51</v>
      </c>
    </row>
    <row r="63" spans="1:12" ht="61.2" hidden="1" x14ac:dyDescent="0.3">
      <c r="A63" s="22" t="s">
        <v>301</v>
      </c>
      <c r="B63" s="23" t="s">
        <v>319</v>
      </c>
      <c r="C63" s="23" t="s">
        <v>320</v>
      </c>
      <c r="D63" s="23" t="s">
        <v>315</v>
      </c>
      <c r="E63" s="24" t="s">
        <v>26</v>
      </c>
      <c r="F63" s="130">
        <v>21224</v>
      </c>
      <c r="G63" s="130"/>
      <c r="H63" s="24" t="s">
        <v>26</v>
      </c>
      <c r="I63" s="131" t="s">
        <v>28</v>
      </c>
      <c r="J63" s="131"/>
      <c r="K63" s="25" t="s">
        <v>29</v>
      </c>
      <c r="L63" s="26">
        <v>873513.51</v>
      </c>
    </row>
    <row r="64" spans="1:12" ht="71.400000000000006" hidden="1" x14ac:dyDescent="0.3">
      <c r="A64" s="22" t="s">
        <v>321</v>
      </c>
      <c r="B64" s="23" t="s">
        <v>721</v>
      </c>
      <c r="C64" s="23" t="s">
        <v>722</v>
      </c>
      <c r="D64" s="23" t="s">
        <v>723</v>
      </c>
      <c r="E64" s="24" t="s">
        <v>26</v>
      </c>
      <c r="F64" s="130">
        <v>36237.5</v>
      </c>
      <c r="G64" s="130"/>
      <c r="H64" s="24" t="s">
        <v>27</v>
      </c>
      <c r="I64" s="131" t="s">
        <v>28</v>
      </c>
      <c r="J64" s="131"/>
      <c r="K64" s="25" t="s">
        <v>29</v>
      </c>
      <c r="L64" s="26">
        <v>909751.01</v>
      </c>
    </row>
    <row r="65" spans="1:12" ht="61.2" hidden="1" x14ac:dyDescent="0.3">
      <c r="A65" s="22" t="s">
        <v>321</v>
      </c>
      <c r="B65" s="23" t="s">
        <v>721</v>
      </c>
      <c r="C65" s="23" t="s">
        <v>724</v>
      </c>
      <c r="D65" s="23" t="s">
        <v>723</v>
      </c>
      <c r="E65" s="24" t="s">
        <v>26</v>
      </c>
      <c r="F65" s="130">
        <v>12308.83</v>
      </c>
      <c r="G65" s="130"/>
      <c r="H65" s="24" t="s">
        <v>27</v>
      </c>
      <c r="I65" s="131" t="s">
        <v>28</v>
      </c>
      <c r="J65" s="131"/>
      <c r="K65" s="25" t="s">
        <v>29</v>
      </c>
      <c r="L65" s="26">
        <v>922059.84</v>
      </c>
    </row>
    <row r="66" spans="1:12" ht="71.400000000000006" hidden="1" x14ac:dyDescent="0.3">
      <c r="A66" s="22" t="s">
        <v>321</v>
      </c>
      <c r="B66" s="23" t="s">
        <v>725</v>
      </c>
      <c r="C66" s="23" t="s">
        <v>726</v>
      </c>
      <c r="D66" s="23" t="s">
        <v>727</v>
      </c>
      <c r="E66" s="24" t="s">
        <v>26</v>
      </c>
      <c r="F66" s="130">
        <v>3861</v>
      </c>
      <c r="G66" s="130"/>
      <c r="H66" s="24" t="s">
        <v>27</v>
      </c>
      <c r="I66" s="131" t="s">
        <v>28</v>
      </c>
      <c r="J66" s="131"/>
      <c r="K66" s="25" t="s">
        <v>29</v>
      </c>
      <c r="L66" s="26">
        <v>925920.84</v>
      </c>
    </row>
    <row r="67" spans="1:12" ht="71.400000000000006" hidden="1" x14ac:dyDescent="0.3">
      <c r="A67" s="22" t="s">
        <v>321</v>
      </c>
      <c r="B67" s="23" t="s">
        <v>728</v>
      </c>
      <c r="C67" s="23" t="s">
        <v>726</v>
      </c>
      <c r="D67" s="23" t="s">
        <v>727</v>
      </c>
      <c r="E67" s="24" t="s">
        <v>26</v>
      </c>
      <c r="F67" s="130">
        <v>5643</v>
      </c>
      <c r="G67" s="130"/>
      <c r="H67" s="24" t="s">
        <v>27</v>
      </c>
      <c r="I67" s="131" t="s">
        <v>28</v>
      </c>
      <c r="J67" s="131"/>
      <c r="K67" s="25" t="s">
        <v>29</v>
      </c>
      <c r="L67" s="26">
        <v>931563.84</v>
      </c>
    </row>
    <row r="68" spans="1:12" ht="71.400000000000006" hidden="1" x14ac:dyDescent="0.3">
      <c r="A68" s="22" t="s">
        <v>321</v>
      </c>
      <c r="B68" s="23" t="s">
        <v>729</v>
      </c>
      <c r="C68" s="23" t="s">
        <v>722</v>
      </c>
      <c r="D68" s="23" t="s">
        <v>723</v>
      </c>
      <c r="E68" s="24" t="s">
        <v>26</v>
      </c>
      <c r="F68" s="130">
        <v>52962.5</v>
      </c>
      <c r="G68" s="130"/>
      <c r="H68" s="24" t="s">
        <v>27</v>
      </c>
      <c r="I68" s="131" t="s">
        <v>28</v>
      </c>
      <c r="J68" s="131"/>
      <c r="K68" s="25" t="s">
        <v>29</v>
      </c>
      <c r="L68" s="26">
        <v>984526.34</v>
      </c>
    </row>
    <row r="69" spans="1:12" ht="61.2" hidden="1" x14ac:dyDescent="0.3">
      <c r="A69" s="22" t="s">
        <v>321</v>
      </c>
      <c r="B69" s="23" t="s">
        <v>729</v>
      </c>
      <c r="C69" s="23" t="s">
        <v>724</v>
      </c>
      <c r="D69" s="23" t="s">
        <v>723</v>
      </c>
      <c r="E69" s="24" t="s">
        <v>26</v>
      </c>
      <c r="F69" s="130">
        <v>10168.17</v>
      </c>
      <c r="G69" s="130"/>
      <c r="H69" s="24" t="s">
        <v>27</v>
      </c>
      <c r="I69" s="131" t="s">
        <v>28</v>
      </c>
      <c r="J69" s="131"/>
      <c r="K69" s="25" t="s">
        <v>29</v>
      </c>
      <c r="L69" s="26">
        <v>994694.51</v>
      </c>
    </row>
    <row r="70" spans="1:12" ht="71.400000000000006" hidden="1" x14ac:dyDescent="0.3">
      <c r="A70" s="22" t="s">
        <v>321</v>
      </c>
      <c r="B70" s="23" t="s">
        <v>331</v>
      </c>
      <c r="C70" s="23" t="s">
        <v>332</v>
      </c>
      <c r="D70" s="23" t="s">
        <v>330</v>
      </c>
      <c r="E70" s="24" t="s">
        <v>26</v>
      </c>
      <c r="F70" s="132">
        <v>905.63</v>
      </c>
      <c r="G70" s="132"/>
      <c r="H70" s="24" t="s">
        <v>26</v>
      </c>
      <c r="I70" s="131" t="s">
        <v>28</v>
      </c>
      <c r="J70" s="131"/>
      <c r="K70" s="25" t="s">
        <v>29</v>
      </c>
      <c r="L70" s="26">
        <v>995600.14</v>
      </c>
    </row>
    <row r="71" spans="1:12" ht="61.2" hidden="1" x14ac:dyDescent="0.3">
      <c r="A71" s="22" t="s">
        <v>321</v>
      </c>
      <c r="B71" s="23" t="s">
        <v>331</v>
      </c>
      <c r="C71" s="23" t="s">
        <v>333</v>
      </c>
      <c r="D71" s="23" t="s">
        <v>327</v>
      </c>
      <c r="E71" s="24" t="s">
        <v>26</v>
      </c>
      <c r="F71" s="130">
        <v>4889.92</v>
      </c>
      <c r="G71" s="130"/>
      <c r="H71" s="24" t="s">
        <v>26</v>
      </c>
      <c r="I71" s="131" t="s">
        <v>28</v>
      </c>
      <c r="J71" s="131"/>
      <c r="K71" s="25" t="s">
        <v>29</v>
      </c>
      <c r="L71" s="26">
        <v>1000490.06</v>
      </c>
    </row>
    <row r="72" spans="1:12" ht="61.2" hidden="1" x14ac:dyDescent="0.3">
      <c r="A72" s="22" t="s">
        <v>334</v>
      </c>
      <c r="B72" s="23" t="s">
        <v>339</v>
      </c>
      <c r="C72" s="23" t="s">
        <v>340</v>
      </c>
      <c r="D72" s="23" t="s">
        <v>336</v>
      </c>
      <c r="E72" s="24" t="s">
        <v>26</v>
      </c>
      <c r="F72" s="130">
        <v>7374.86</v>
      </c>
      <c r="G72" s="130"/>
      <c r="H72" s="24" t="s">
        <v>26</v>
      </c>
      <c r="I72" s="131" t="s">
        <v>28</v>
      </c>
      <c r="J72" s="131"/>
      <c r="K72" s="25" t="s">
        <v>29</v>
      </c>
      <c r="L72" s="26">
        <v>1007864.92</v>
      </c>
    </row>
    <row r="73" spans="1:12" ht="61.2" hidden="1" x14ac:dyDescent="0.3">
      <c r="A73" s="22" t="s">
        <v>334</v>
      </c>
      <c r="B73" s="23" t="s">
        <v>730</v>
      </c>
      <c r="C73" s="23" t="s">
        <v>731</v>
      </c>
      <c r="D73" s="23" t="s">
        <v>732</v>
      </c>
      <c r="E73" s="24" t="s">
        <v>26</v>
      </c>
      <c r="F73" s="130">
        <v>16085</v>
      </c>
      <c r="G73" s="130"/>
      <c r="H73" s="24" t="s">
        <v>27</v>
      </c>
      <c r="I73" s="131" t="s">
        <v>28</v>
      </c>
      <c r="J73" s="131"/>
      <c r="K73" s="25" t="s">
        <v>29</v>
      </c>
      <c r="L73" s="26">
        <v>1023949.92</v>
      </c>
    </row>
    <row r="74" spans="1:12" ht="71.400000000000006" hidden="1" x14ac:dyDescent="0.3">
      <c r="A74" s="22" t="s">
        <v>334</v>
      </c>
      <c r="B74" s="23" t="s">
        <v>733</v>
      </c>
      <c r="C74" s="23" t="s">
        <v>734</v>
      </c>
      <c r="D74" s="23" t="s">
        <v>735</v>
      </c>
      <c r="E74" s="24" t="s">
        <v>26</v>
      </c>
      <c r="F74" s="130">
        <v>3475.33</v>
      </c>
      <c r="G74" s="130"/>
      <c r="H74" s="24" t="s">
        <v>27</v>
      </c>
      <c r="I74" s="131" t="s">
        <v>28</v>
      </c>
      <c r="J74" s="131"/>
      <c r="K74" s="25" t="s">
        <v>29</v>
      </c>
      <c r="L74" s="26">
        <v>1027425.25</v>
      </c>
    </row>
    <row r="75" spans="1:12" ht="71.400000000000006" hidden="1" x14ac:dyDescent="0.3">
      <c r="A75" s="22" t="s">
        <v>334</v>
      </c>
      <c r="B75" s="23" t="s">
        <v>736</v>
      </c>
      <c r="C75" s="23" t="s">
        <v>734</v>
      </c>
      <c r="D75" s="23" t="s">
        <v>735</v>
      </c>
      <c r="E75" s="24" t="s">
        <v>26</v>
      </c>
      <c r="F75" s="130">
        <v>5079.33</v>
      </c>
      <c r="G75" s="130"/>
      <c r="H75" s="24" t="s">
        <v>27</v>
      </c>
      <c r="I75" s="131" t="s">
        <v>28</v>
      </c>
      <c r="J75" s="131"/>
      <c r="K75" s="25" t="s">
        <v>29</v>
      </c>
      <c r="L75" s="26">
        <v>1032504.58</v>
      </c>
    </row>
    <row r="76" spans="1:12" ht="71.400000000000006" hidden="1" x14ac:dyDescent="0.3">
      <c r="A76" s="22" t="s">
        <v>334</v>
      </c>
      <c r="B76" s="23" t="s">
        <v>737</v>
      </c>
      <c r="C76" s="23" t="s">
        <v>738</v>
      </c>
      <c r="D76" s="23" t="s">
        <v>739</v>
      </c>
      <c r="E76" s="24" t="s">
        <v>26</v>
      </c>
      <c r="F76" s="130">
        <v>61875.67</v>
      </c>
      <c r="G76" s="130"/>
      <c r="H76" s="24" t="s">
        <v>27</v>
      </c>
      <c r="I76" s="131" t="s">
        <v>28</v>
      </c>
      <c r="J76" s="131"/>
      <c r="K76" s="25" t="s">
        <v>29</v>
      </c>
      <c r="L76" s="26">
        <v>1094380.25</v>
      </c>
    </row>
    <row r="77" spans="1:12" ht="71.400000000000006" hidden="1" x14ac:dyDescent="0.3">
      <c r="A77" s="22" t="s">
        <v>334</v>
      </c>
      <c r="B77" s="23" t="s">
        <v>740</v>
      </c>
      <c r="C77" s="23" t="s">
        <v>738</v>
      </c>
      <c r="D77" s="23" t="s">
        <v>739</v>
      </c>
      <c r="E77" s="24" t="s">
        <v>26</v>
      </c>
      <c r="F77" s="130">
        <v>90433.66</v>
      </c>
      <c r="G77" s="130"/>
      <c r="H77" s="24" t="s">
        <v>27</v>
      </c>
      <c r="I77" s="131" t="s">
        <v>28</v>
      </c>
      <c r="J77" s="131"/>
      <c r="K77" s="25" t="s">
        <v>29</v>
      </c>
      <c r="L77" s="26">
        <v>1184813.9099999999</v>
      </c>
    </row>
    <row r="78" spans="1:12" ht="61.2" hidden="1" x14ac:dyDescent="0.3">
      <c r="A78" s="22" t="s">
        <v>741</v>
      </c>
      <c r="B78" s="23" t="s">
        <v>742</v>
      </c>
      <c r="C78" s="23" t="s">
        <v>743</v>
      </c>
      <c r="D78" s="23" t="s">
        <v>744</v>
      </c>
      <c r="E78" s="24" t="s">
        <v>26</v>
      </c>
      <c r="F78" s="130">
        <v>39165</v>
      </c>
      <c r="G78" s="130"/>
      <c r="H78" s="24" t="s">
        <v>27</v>
      </c>
      <c r="I78" s="131" t="s">
        <v>28</v>
      </c>
      <c r="J78" s="131"/>
      <c r="K78" s="25" t="s">
        <v>29</v>
      </c>
      <c r="L78" s="26">
        <v>1223978.9099999999</v>
      </c>
    </row>
    <row r="79" spans="1:12" ht="71.400000000000006" hidden="1" x14ac:dyDescent="0.3">
      <c r="A79" s="22" t="s">
        <v>741</v>
      </c>
      <c r="B79" s="23" t="s">
        <v>745</v>
      </c>
      <c r="C79" s="23" t="s">
        <v>746</v>
      </c>
      <c r="D79" s="23" t="s">
        <v>747</v>
      </c>
      <c r="E79" s="24" t="s">
        <v>26</v>
      </c>
      <c r="F79" s="130">
        <v>7293</v>
      </c>
      <c r="G79" s="130"/>
      <c r="H79" s="24" t="s">
        <v>27</v>
      </c>
      <c r="I79" s="131" t="s">
        <v>28</v>
      </c>
      <c r="J79" s="131"/>
      <c r="K79" s="25" t="s">
        <v>29</v>
      </c>
      <c r="L79" s="26">
        <v>1231271.9099999999</v>
      </c>
    </row>
    <row r="80" spans="1:12" ht="71.400000000000006" hidden="1" x14ac:dyDescent="0.3">
      <c r="A80" s="22" t="s">
        <v>741</v>
      </c>
      <c r="B80" s="23" t="s">
        <v>748</v>
      </c>
      <c r="C80" s="23" t="s">
        <v>749</v>
      </c>
      <c r="D80" s="23" t="s">
        <v>750</v>
      </c>
      <c r="E80" s="24" t="s">
        <v>26</v>
      </c>
      <c r="F80" s="130">
        <v>60523.67</v>
      </c>
      <c r="G80" s="130"/>
      <c r="H80" s="24" t="s">
        <v>27</v>
      </c>
      <c r="I80" s="131" t="s">
        <v>28</v>
      </c>
      <c r="J80" s="131"/>
      <c r="K80" s="25" t="s">
        <v>29</v>
      </c>
      <c r="L80" s="26">
        <v>1291795.58</v>
      </c>
    </row>
    <row r="81" spans="1:12" ht="71.400000000000006" hidden="1" x14ac:dyDescent="0.3">
      <c r="A81" s="22" t="s">
        <v>741</v>
      </c>
      <c r="B81" s="23" t="s">
        <v>751</v>
      </c>
      <c r="C81" s="23" t="s">
        <v>749</v>
      </c>
      <c r="D81" s="23" t="s">
        <v>750</v>
      </c>
      <c r="E81" s="24" t="s">
        <v>26</v>
      </c>
      <c r="F81" s="130">
        <v>88457.67</v>
      </c>
      <c r="G81" s="130"/>
      <c r="H81" s="24" t="s">
        <v>27</v>
      </c>
      <c r="I81" s="131" t="s">
        <v>28</v>
      </c>
      <c r="J81" s="131"/>
      <c r="K81" s="25" t="s">
        <v>29</v>
      </c>
      <c r="L81" s="26">
        <v>1380253.25</v>
      </c>
    </row>
    <row r="82" spans="1:12" ht="71.400000000000006" hidden="1" x14ac:dyDescent="0.3">
      <c r="A82" s="22" t="s">
        <v>741</v>
      </c>
      <c r="B82" s="23" t="s">
        <v>752</v>
      </c>
      <c r="C82" s="23" t="s">
        <v>746</v>
      </c>
      <c r="D82" s="23" t="s">
        <v>747</v>
      </c>
      <c r="E82" s="24" t="s">
        <v>26</v>
      </c>
      <c r="F82" s="130">
        <v>10659</v>
      </c>
      <c r="G82" s="130"/>
      <c r="H82" s="24" t="s">
        <v>27</v>
      </c>
      <c r="I82" s="131" t="s">
        <v>28</v>
      </c>
      <c r="J82" s="131"/>
      <c r="K82" s="25" t="s">
        <v>29</v>
      </c>
      <c r="L82" s="26">
        <v>1390912.25</v>
      </c>
    </row>
    <row r="83" spans="1:12" ht="61.2" hidden="1" x14ac:dyDescent="0.3">
      <c r="A83" s="22" t="s">
        <v>343</v>
      </c>
      <c r="B83" s="23" t="s">
        <v>753</v>
      </c>
      <c r="C83" s="23" t="s">
        <v>754</v>
      </c>
      <c r="D83" s="23" t="s">
        <v>755</v>
      </c>
      <c r="E83" s="24" t="s">
        <v>26</v>
      </c>
      <c r="F83" s="130">
        <v>26600</v>
      </c>
      <c r="G83" s="130"/>
      <c r="H83" s="24" t="s">
        <v>27</v>
      </c>
      <c r="I83" s="131" t="s">
        <v>28</v>
      </c>
      <c r="J83" s="131"/>
      <c r="K83" s="25" t="s">
        <v>29</v>
      </c>
      <c r="L83" s="26">
        <v>1417512.25</v>
      </c>
    </row>
    <row r="84" spans="1:12" ht="61.2" hidden="1" x14ac:dyDescent="0.3">
      <c r="A84" s="22" t="s">
        <v>343</v>
      </c>
      <c r="B84" s="23" t="s">
        <v>756</v>
      </c>
      <c r="C84" s="23" t="s">
        <v>754</v>
      </c>
      <c r="D84" s="23" t="s">
        <v>757</v>
      </c>
      <c r="E84" s="24" t="s">
        <v>26</v>
      </c>
      <c r="F84" s="130">
        <v>11227.69</v>
      </c>
      <c r="G84" s="130"/>
      <c r="H84" s="24" t="s">
        <v>27</v>
      </c>
      <c r="I84" s="131" t="s">
        <v>28</v>
      </c>
      <c r="J84" s="131"/>
      <c r="K84" s="25" t="s">
        <v>29</v>
      </c>
      <c r="L84" s="26">
        <v>1428739.94</v>
      </c>
    </row>
    <row r="85" spans="1:12" ht="71.400000000000006" hidden="1" x14ac:dyDescent="0.3">
      <c r="A85" s="22" t="s">
        <v>343</v>
      </c>
      <c r="B85" s="23" t="s">
        <v>348</v>
      </c>
      <c r="C85" s="23" t="s">
        <v>349</v>
      </c>
      <c r="D85" s="23" t="s">
        <v>345</v>
      </c>
      <c r="E85" s="24" t="s">
        <v>26</v>
      </c>
      <c r="F85" s="130">
        <v>38768</v>
      </c>
      <c r="G85" s="130"/>
      <c r="H85" s="24" t="s">
        <v>26</v>
      </c>
      <c r="I85" s="131" t="s">
        <v>28</v>
      </c>
      <c r="J85" s="131"/>
      <c r="K85" s="25" t="s">
        <v>29</v>
      </c>
      <c r="L85" s="26">
        <v>1467507.94</v>
      </c>
    </row>
    <row r="86" spans="1:12" ht="61.2" hidden="1" x14ac:dyDescent="0.3">
      <c r="A86" s="22" t="s">
        <v>352</v>
      </c>
      <c r="B86" s="23" t="s">
        <v>359</v>
      </c>
      <c r="C86" s="23" t="s">
        <v>360</v>
      </c>
      <c r="D86" s="23" t="s">
        <v>354</v>
      </c>
      <c r="E86" s="24" t="s">
        <v>26</v>
      </c>
      <c r="F86" s="130">
        <v>13551.33</v>
      </c>
      <c r="G86" s="130"/>
      <c r="H86" s="24" t="s">
        <v>26</v>
      </c>
      <c r="I86" s="131" t="s">
        <v>28</v>
      </c>
      <c r="J86" s="131"/>
      <c r="K86" s="25" t="s">
        <v>29</v>
      </c>
      <c r="L86" s="26">
        <v>1481059.27</v>
      </c>
    </row>
    <row r="87" spans="1:12" ht="61.2" hidden="1" x14ac:dyDescent="0.3">
      <c r="A87" s="22" t="s">
        <v>363</v>
      </c>
      <c r="B87" s="23" t="s">
        <v>758</v>
      </c>
      <c r="C87" s="23" t="s">
        <v>759</v>
      </c>
      <c r="D87" s="23" t="s">
        <v>760</v>
      </c>
      <c r="E87" s="24" t="s">
        <v>26</v>
      </c>
      <c r="F87" s="130">
        <v>23940</v>
      </c>
      <c r="G87" s="130"/>
      <c r="H87" s="24" t="s">
        <v>27</v>
      </c>
      <c r="I87" s="131" t="s">
        <v>28</v>
      </c>
      <c r="J87" s="131"/>
      <c r="K87" s="25" t="s">
        <v>29</v>
      </c>
      <c r="L87" s="26">
        <v>1504999.27</v>
      </c>
    </row>
    <row r="88" spans="1:12" ht="61.2" hidden="1" x14ac:dyDescent="0.3">
      <c r="A88" s="22" t="s">
        <v>363</v>
      </c>
      <c r="B88" s="23" t="s">
        <v>761</v>
      </c>
      <c r="C88" s="23" t="s">
        <v>759</v>
      </c>
      <c r="D88" s="23" t="s">
        <v>762</v>
      </c>
      <c r="E88" s="24" t="s">
        <v>26</v>
      </c>
      <c r="F88" s="130">
        <v>8031.15</v>
      </c>
      <c r="G88" s="130"/>
      <c r="H88" s="24" t="s">
        <v>27</v>
      </c>
      <c r="I88" s="131" t="s">
        <v>28</v>
      </c>
      <c r="J88" s="131"/>
      <c r="K88" s="25" t="s">
        <v>29</v>
      </c>
      <c r="L88" s="26">
        <v>1513030.42</v>
      </c>
    </row>
    <row r="89" spans="1:12" ht="71.400000000000006" hidden="1" x14ac:dyDescent="0.3">
      <c r="A89" s="22" t="s">
        <v>363</v>
      </c>
      <c r="B89" s="23" t="s">
        <v>371</v>
      </c>
      <c r="C89" s="23" t="s">
        <v>372</v>
      </c>
      <c r="D89" s="23" t="s">
        <v>365</v>
      </c>
      <c r="E89" s="24" t="s">
        <v>26</v>
      </c>
      <c r="F89" s="130">
        <v>59386.67</v>
      </c>
      <c r="G89" s="130"/>
      <c r="H89" s="24" t="s">
        <v>26</v>
      </c>
      <c r="I89" s="131" t="s">
        <v>28</v>
      </c>
      <c r="J89" s="131"/>
      <c r="K89" s="25" t="s">
        <v>29</v>
      </c>
      <c r="L89" s="26">
        <v>1572417.09</v>
      </c>
    </row>
    <row r="90" spans="1:12" ht="61.2" hidden="1" x14ac:dyDescent="0.3">
      <c r="A90" s="22" t="s">
        <v>363</v>
      </c>
      <c r="B90" s="23" t="s">
        <v>371</v>
      </c>
      <c r="C90" s="23" t="s">
        <v>373</v>
      </c>
      <c r="D90" s="23" t="s">
        <v>367</v>
      </c>
      <c r="E90" s="24" t="s">
        <v>26</v>
      </c>
      <c r="F90" s="130">
        <v>11501</v>
      </c>
      <c r="G90" s="130"/>
      <c r="H90" s="24" t="s">
        <v>26</v>
      </c>
      <c r="I90" s="131" t="s">
        <v>28</v>
      </c>
      <c r="J90" s="131"/>
      <c r="K90" s="25" t="s">
        <v>29</v>
      </c>
      <c r="L90" s="26">
        <v>1583918.09</v>
      </c>
    </row>
    <row r="91" spans="1:12" ht="61.2" hidden="1" x14ac:dyDescent="0.3">
      <c r="A91" s="22" t="s">
        <v>374</v>
      </c>
      <c r="B91" s="23" t="s">
        <v>379</v>
      </c>
      <c r="C91" s="23" t="s">
        <v>380</v>
      </c>
      <c r="D91" s="23" t="s">
        <v>376</v>
      </c>
      <c r="E91" s="24" t="s">
        <v>26</v>
      </c>
      <c r="F91" s="130">
        <v>8930.73</v>
      </c>
      <c r="G91" s="130"/>
      <c r="H91" s="24" t="s">
        <v>26</v>
      </c>
      <c r="I91" s="131" t="s">
        <v>28</v>
      </c>
      <c r="J91" s="131"/>
      <c r="K91" s="25" t="s">
        <v>29</v>
      </c>
      <c r="L91" s="26">
        <v>1592848.82</v>
      </c>
    </row>
    <row r="92" spans="1:12" ht="61.2" hidden="1" x14ac:dyDescent="0.3">
      <c r="A92" s="22" t="s">
        <v>383</v>
      </c>
      <c r="B92" s="23" t="s">
        <v>392</v>
      </c>
      <c r="C92" s="23" t="s">
        <v>393</v>
      </c>
      <c r="D92" s="23" t="s">
        <v>385</v>
      </c>
      <c r="E92" s="24" t="s">
        <v>26</v>
      </c>
      <c r="F92" s="130">
        <v>30276.82</v>
      </c>
      <c r="G92" s="130"/>
      <c r="H92" s="24" t="s">
        <v>26</v>
      </c>
      <c r="I92" s="131" t="s">
        <v>28</v>
      </c>
      <c r="J92" s="131"/>
      <c r="K92" s="25" t="s">
        <v>29</v>
      </c>
      <c r="L92" s="26">
        <v>1623125.64</v>
      </c>
    </row>
    <row r="93" spans="1:12" ht="61.2" hidden="1" x14ac:dyDescent="0.3">
      <c r="A93" s="22" t="s">
        <v>394</v>
      </c>
      <c r="B93" s="23" t="s">
        <v>402</v>
      </c>
      <c r="C93" s="23" t="s">
        <v>403</v>
      </c>
      <c r="D93" s="23" t="s">
        <v>398</v>
      </c>
      <c r="E93" s="24" t="s">
        <v>26</v>
      </c>
      <c r="F93" s="130">
        <v>17822.28</v>
      </c>
      <c r="G93" s="130"/>
      <c r="H93" s="24" t="s">
        <v>26</v>
      </c>
      <c r="I93" s="131" t="s">
        <v>28</v>
      </c>
      <c r="J93" s="131"/>
      <c r="K93" s="25" t="s">
        <v>29</v>
      </c>
      <c r="L93" s="26">
        <v>1640947.92</v>
      </c>
    </row>
    <row r="94" spans="1:12" ht="71.400000000000006" hidden="1" x14ac:dyDescent="0.3">
      <c r="A94" s="22" t="s">
        <v>763</v>
      </c>
      <c r="B94" s="23" t="s">
        <v>764</v>
      </c>
      <c r="C94" s="23" t="s">
        <v>765</v>
      </c>
      <c r="D94" s="23" t="s">
        <v>397</v>
      </c>
      <c r="E94" s="24" t="s">
        <v>26</v>
      </c>
      <c r="F94" s="130">
        <v>21240</v>
      </c>
      <c r="G94" s="130"/>
      <c r="H94" s="24" t="s">
        <v>27</v>
      </c>
      <c r="I94" s="131" t="s">
        <v>28</v>
      </c>
      <c r="J94" s="131"/>
      <c r="K94" s="25" t="s">
        <v>29</v>
      </c>
      <c r="L94" s="26">
        <v>1662187.92</v>
      </c>
    </row>
    <row r="95" spans="1:12" ht="71.400000000000006" hidden="1" x14ac:dyDescent="0.3">
      <c r="A95" s="22" t="s">
        <v>763</v>
      </c>
      <c r="B95" s="23" t="s">
        <v>766</v>
      </c>
      <c r="C95" s="23" t="s">
        <v>765</v>
      </c>
      <c r="D95" s="23" t="s">
        <v>397</v>
      </c>
      <c r="E95" s="24" t="s">
        <v>26</v>
      </c>
      <c r="F95" s="130">
        <v>7366.25</v>
      </c>
      <c r="G95" s="130"/>
      <c r="H95" s="24" t="s">
        <v>27</v>
      </c>
      <c r="I95" s="131" t="s">
        <v>28</v>
      </c>
      <c r="J95" s="131"/>
      <c r="K95" s="25" t="s">
        <v>29</v>
      </c>
      <c r="L95" s="26">
        <v>1669554.17</v>
      </c>
    </row>
    <row r="96" spans="1:12" ht="61.2" hidden="1" x14ac:dyDescent="0.3">
      <c r="A96" s="22" t="s">
        <v>763</v>
      </c>
      <c r="B96" s="23" t="s">
        <v>767</v>
      </c>
      <c r="C96" s="23" t="s">
        <v>768</v>
      </c>
      <c r="D96" s="23" t="s">
        <v>769</v>
      </c>
      <c r="E96" s="24" t="s">
        <v>26</v>
      </c>
      <c r="F96" s="130">
        <v>3197.6</v>
      </c>
      <c r="G96" s="130"/>
      <c r="H96" s="24" t="s">
        <v>27</v>
      </c>
      <c r="I96" s="131" t="s">
        <v>28</v>
      </c>
      <c r="J96" s="131"/>
      <c r="K96" s="25" t="s">
        <v>29</v>
      </c>
      <c r="L96" s="26">
        <v>1672751.77</v>
      </c>
    </row>
    <row r="97" spans="1:12" ht="71.400000000000006" hidden="1" x14ac:dyDescent="0.3">
      <c r="A97" s="22" t="s">
        <v>763</v>
      </c>
      <c r="B97" s="23" t="s">
        <v>767</v>
      </c>
      <c r="C97" s="23" t="s">
        <v>770</v>
      </c>
      <c r="D97" s="23" t="s">
        <v>769</v>
      </c>
      <c r="E97" s="24" t="s">
        <v>26</v>
      </c>
      <c r="F97" s="130">
        <v>27706.5</v>
      </c>
      <c r="G97" s="130"/>
      <c r="H97" s="24" t="s">
        <v>27</v>
      </c>
      <c r="I97" s="131" t="s">
        <v>28</v>
      </c>
      <c r="J97" s="131"/>
      <c r="K97" s="25" t="s">
        <v>29</v>
      </c>
      <c r="L97" s="26">
        <v>1700458.27</v>
      </c>
    </row>
    <row r="98" spans="1:12" ht="61.2" hidden="1" x14ac:dyDescent="0.3">
      <c r="A98" s="22" t="s">
        <v>763</v>
      </c>
      <c r="B98" s="23" t="s">
        <v>771</v>
      </c>
      <c r="C98" s="23" t="s">
        <v>768</v>
      </c>
      <c r="D98" s="23" t="s">
        <v>769</v>
      </c>
      <c r="E98" s="24" t="s">
        <v>26</v>
      </c>
      <c r="F98" s="132">
        <v>310.41000000000003</v>
      </c>
      <c r="G98" s="132"/>
      <c r="H98" s="24" t="s">
        <v>27</v>
      </c>
      <c r="I98" s="131" t="s">
        <v>28</v>
      </c>
      <c r="J98" s="131"/>
      <c r="K98" s="25" t="s">
        <v>29</v>
      </c>
      <c r="L98" s="26">
        <v>1700768.68</v>
      </c>
    </row>
    <row r="99" spans="1:12" ht="71.400000000000006" hidden="1" x14ac:dyDescent="0.3">
      <c r="A99" s="22" t="s">
        <v>763</v>
      </c>
      <c r="B99" s="23" t="s">
        <v>771</v>
      </c>
      <c r="C99" s="23" t="s">
        <v>770</v>
      </c>
      <c r="D99" s="23" t="s">
        <v>769</v>
      </c>
      <c r="E99" s="24" t="s">
        <v>26</v>
      </c>
      <c r="F99" s="130">
        <v>2689.59</v>
      </c>
      <c r="G99" s="130"/>
      <c r="H99" s="24" t="s">
        <v>27</v>
      </c>
      <c r="I99" s="131" t="s">
        <v>28</v>
      </c>
      <c r="J99" s="131"/>
      <c r="K99" s="25" t="s">
        <v>29</v>
      </c>
      <c r="L99" s="26">
        <v>1703458.27</v>
      </c>
    </row>
    <row r="100" spans="1:12" ht="61.2" hidden="1" x14ac:dyDescent="0.3">
      <c r="A100" s="22" t="s">
        <v>407</v>
      </c>
      <c r="B100" s="23" t="s">
        <v>411</v>
      </c>
      <c r="C100" s="23" t="s">
        <v>412</v>
      </c>
      <c r="D100" s="23" t="s">
        <v>409</v>
      </c>
      <c r="E100" s="24" t="s">
        <v>26</v>
      </c>
      <c r="F100" s="130">
        <v>48594.04</v>
      </c>
      <c r="G100" s="130"/>
      <c r="H100" s="24" t="s">
        <v>26</v>
      </c>
      <c r="I100" s="131" t="s">
        <v>28</v>
      </c>
      <c r="J100" s="131"/>
      <c r="K100" s="25" t="s">
        <v>29</v>
      </c>
      <c r="L100" s="26">
        <v>1752052.31</v>
      </c>
    </row>
    <row r="101" spans="1:12" ht="71.400000000000006" hidden="1" x14ac:dyDescent="0.3">
      <c r="A101" s="22" t="s">
        <v>423</v>
      </c>
      <c r="B101" s="23" t="s">
        <v>772</v>
      </c>
      <c r="C101" s="23" t="s">
        <v>773</v>
      </c>
      <c r="D101" s="23" t="s">
        <v>774</v>
      </c>
      <c r="E101" s="24" t="s">
        <v>26</v>
      </c>
      <c r="F101" s="130">
        <v>6715.8</v>
      </c>
      <c r="G101" s="130"/>
      <c r="H101" s="24" t="s">
        <v>27</v>
      </c>
      <c r="I101" s="131" t="s">
        <v>28</v>
      </c>
      <c r="J101" s="131"/>
      <c r="K101" s="25" t="s">
        <v>29</v>
      </c>
      <c r="L101" s="26">
        <v>1758768.11</v>
      </c>
    </row>
    <row r="102" spans="1:12" ht="71.400000000000006" hidden="1" x14ac:dyDescent="0.3">
      <c r="A102" s="22" t="s">
        <v>423</v>
      </c>
      <c r="B102" s="23" t="s">
        <v>775</v>
      </c>
      <c r="C102" s="23" t="s">
        <v>773</v>
      </c>
      <c r="D102" s="23" t="s">
        <v>397</v>
      </c>
      <c r="E102" s="24" t="s">
        <v>26</v>
      </c>
      <c r="F102" s="130">
        <v>46384.2</v>
      </c>
      <c r="G102" s="130"/>
      <c r="H102" s="24" t="s">
        <v>27</v>
      </c>
      <c r="I102" s="131" t="s">
        <v>28</v>
      </c>
      <c r="J102" s="131"/>
      <c r="K102" s="25" t="s">
        <v>29</v>
      </c>
      <c r="L102" s="26">
        <v>1805152.31</v>
      </c>
    </row>
    <row r="103" spans="1:12" ht="71.400000000000006" hidden="1" x14ac:dyDescent="0.3">
      <c r="A103" s="22" t="s">
        <v>423</v>
      </c>
      <c r="B103" s="23" t="s">
        <v>776</v>
      </c>
      <c r="C103" s="23" t="s">
        <v>773</v>
      </c>
      <c r="D103" s="23" t="s">
        <v>777</v>
      </c>
      <c r="E103" s="24" t="s">
        <v>26</v>
      </c>
      <c r="F103" s="130">
        <v>15063.75</v>
      </c>
      <c r="G103" s="130"/>
      <c r="H103" s="24" t="s">
        <v>27</v>
      </c>
      <c r="I103" s="131" t="s">
        <v>28</v>
      </c>
      <c r="J103" s="131"/>
      <c r="K103" s="25" t="s">
        <v>29</v>
      </c>
      <c r="L103" s="26">
        <v>1820216.06</v>
      </c>
    </row>
    <row r="104" spans="1:12" ht="61.2" hidden="1" x14ac:dyDescent="0.3">
      <c r="A104" s="22" t="s">
        <v>432</v>
      </c>
      <c r="B104" s="23" t="s">
        <v>442</v>
      </c>
      <c r="C104" s="23" t="s">
        <v>443</v>
      </c>
      <c r="D104" s="23" t="s">
        <v>434</v>
      </c>
      <c r="E104" s="24" t="s">
        <v>26</v>
      </c>
      <c r="F104" s="130">
        <v>7167.57</v>
      </c>
      <c r="G104" s="130"/>
      <c r="H104" s="24" t="s">
        <v>26</v>
      </c>
      <c r="I104" s="131" t="s">
        <v>28</v>
      </c>
      <c r="J104" s="131"/>
      <c r="K104" s="25" t="s">
        <v>29</v>
      </c>
      <c r="L104" s="26">
        <v>1827383.63</v>
      </c>
    </row>
    <row r="105" spans="1:12" ht="61.2" hidden="1" x14ac:dyDescent="0.3">
      <c r="A105" s="22" t="s">
        <v>432</v>
      </c>
      <c r="B105" s="23" t="s">
        <v>448</v>
      </c>
      <c r="C105" s="23" t="s">
        <v>449</v>
      </c>
      <c r="D105" s="23" t="s">
        <v>445</v>
      </c>
      <c r="E105" s="24" t="s">
        <v>26</v>
      </c>
      <c r="F105" s="130">
        <v>30802.06</v>
      </c>
      <c r="G105" s="130"/>
      <c r="H105" s="24" t="s">
        <v>26</v>
      </c>
      <c r="I105" s="131" t="s">
        <v>28</v>
      </c>
      <c r="J105" s="131"/>
      <c r="K105" s="25" t="s">
        <v>29</v>
      </c>
      <c r="L105" s="26">
        <v>1858185.69</v>
      </c>
    </row>
    <row r="106" spans="1:12" ht="61.2" hidden="1" x14ac:dyDescent="0.3">
      <c r="A106" s="22" t="s">
        <v>432</v>
      </c>
      <c r="B106" s="23" t="s">
        <v>778</v>
      </c>
      <c r="C106" s="23" t="s">
        <v>779</v>
      </c>
      <c r="D106" s="23" t="s">
        <v>780</v>
      </c>
      <c r="E106" s="24" t="s">
        <v>26</v>
      </c>
      <c r="F106" s="130">
        <v>6960</v>
      </c>
      <c r="G106" s="130"/>
      <c r="H106" s="24" t="s">
        <v>27</v>
      </c>
      <c r="I106" s="131" t="s">
        <v>28</v>
      </c>
      <c r="J106" s="131"/>
      <c r="K106" s="25" t="s">
        <v>29</v>
      </c>
      <c r="L106" s="26">
        <v>1865145.69</v>
      </c>
    </row>
    <row r="107" spans="1:12" ht="61.2" hidden="1" x14ac:dyDescent="0.3">
      <c r="A107" s="22" t="s">
        <v>452</v>
      </c>
      <c r="B107" s="23" t="s">
        <v>458</v>
      </c>
      <c r="C107" s="23" t="s">
        <v>459</v>
      </c>
      <c r="D107" s="23" t="s">
        <v>454</v>
      </c>
      <c r="E107" s="24" t="s">
        <v>26</v>
      </c>
      <c r="F107" s="132">
        <v>911.2</v>
      </c>
      <c r="G107" s="132"/>
      <c r="H107" s="24" t="s">
        <v>26</v>
      </c>
      <c r="I107" s="131" t="s">
        <v>28</v>
      </c>
      <c r="J107" s="131"/>
      <c r="K107" s="25" t="s">
        <v>29</v>
      </c>
      <c r="L107" s="26">
        <v>1866056.89</v>
      </c>
    </row>
    <row r="108" spans="1:12" ht="61.2" hidden="1" x14ac:dyDescent="0.3">
      <c r="A108" s="22" t="s">
        <v>460</v>
      </c>
      <c r="B108" s="23" t="s">
        <v>468</v>
      </c>
      <c r="C108" s="23" t="s">
        <v>469</v>
      </c>
      <c r="D108" s="23" t="s">
        <v>462</v>
      </c>
      <c r="E108" s="24" t="s">
        <v>26</v>
      </c>
      <c r="F108" s="130">
        <v>1832.25</v>
      </c>
      <c r="G108" s="130"/>
      <c r="H108" s="24" t="s">
        <v>26</v>
      </c>
      <c r="I108" s="131" t="s">
        <v>28</v>
      </c>
      <c r="J108" s="131"/>
      <c r="K108" s="25" t="s">
        <v>29</v>
      </c>
      <c r="L108" s="26">
        <v>1867889.14</v>
      </c>
    </row>
    <row r="109" spans="1:12" ht="71.400000000000006" hidden="1" x14ac:dyDescent="0.3">
      <c r="A109" s="22" t="s">
        <v>781</v>
      </c>
      <c r="B109" s="23" t="s">
        <v>782</v>
      </c>
      <c r="C109" s="23" t="s">
        <v>783</v>
      </c>
      <c r="D109" s="23" t="s">
        <v>784</v>
      </c>
      <c r="E109" s="24" t="s">
        <v>26</v>
      </c>
      <c r="F109" s="132">
        <v>925.95</v>
      </c>
      <c r="G109" s="132"/>
      <c r="H109" s="24" t="s">
        <v>27</v>
      </c>
      <c r="I109" s="131" t="s">
        <v>28</v>
      </c>
      <c r="J109" s="131"/>
      <c r="K109" s="25" t="s">
        <v>29</v>
      </c>
      <c r="L109" s="26">
        <v>1868815.09</v>
      </c>
    </row>
    <row r="110" spans="1:12" ht="71.400000000000006" hidden="1" x14ac:dyDescent="0.3">
      <c r="A110" s="22" t="s">
        <v>781</v>
      </c>
      <c r="B110" s="23" t="s">
        <v>782</v>
      </c>
      <c r="C110" s="23" t="s">
        <v>785</v>
      </c>
      <c r="D110" s="23" t="s">
        <v>784</v>
      </c>
      <c r="E110" s="24" t="s">
        <v>26</v>
      </c>
      <c r="F110" s="132">
        <v>241.63</v>
      </c>
      <c r="G110" s="132"/>
      <c r="H110" s="24" t="s">
        <v>27</v>
      </c>
      <c r="I110" s="131" t="s">
        <v>28</v>
      </c>
      <c r="J110" s="131"/>
      <c r="K110" s="25" t="s">
        <v>29</v>
      </c>
      <c r="L110" s="26">
        <v>1869056.72</v>
      </c>
    </row>
    <row r="111" spans="1:12" ht="71.400000000000006" hidden="1" x14ac:dyDescent="0.3">
      <c r="A111" s="22" t="s">
        <v>781</v>
      </c>
      <c r="B111" s="23" t="s">
        <v>782</v>
      </c>
      <c r="C111" s="23" t="s">
        <v>786</v>
      </c>
      <c r="D111" s="23" t="s">
        <v>784</v>
      </c>
      <c r="E111" s="24" t="s">
        <v>26</v>
      </c>
      <c r="F111" s="132">
        <v>95.35</v>
      </c>
      <c r="G111" s="132"/>
      <c r="H111" s="24" t="s">
        <v>27</v>
      </c>
      <c r="I111" s="131" t="s">
        <v>28</v>
      </c>
      <c r="J111" s="131"/>
      <c r="K111" s="25" t="s">
        <v>29</v>
      </c>
      <c r="L111" s="26">
        <v>1869152.07</v>
      </c>
    </row>
    <row r="112" spans="1:12" ht="71.400000000000006" hidden="1" x14ac:dyDescent="0.3">
      <c r="A112" s="22" t="s">
        <v>781</v>
      </c>
      <c r="B112" s="23" t="s">
        <v>782</v>
      </c>
      <c r="C112" s="23" t="s">
        <v>787</v>
      </c>
      <c r="D112" s="23" t="s">
        <v>784</v>
      </c>
      <c r="E112" s="24" t="s">
        <v>26</v>
      </c>
      <c r="F112" s="132">
        <v>441.96</v>
      </c>
      <c r="G112" s="132"/>
      <c r="H112" s="24" t="s">
        <v>27</v>
      </c>
      <c r="I112" s="131" t="s">
        <v>28</v>
      </c>
      <c r="J112" s="131"/>
      <c r="K112" s="25" t="s">
        <v>29</v>
      </c>
      <c r="L112" s="26">
        <v>1869594.03</v>
      </c>
    </row>
    <row r="113" spans="1:12" ht="71.400000000000006" hidden="1" x14ac:dyDescent="0.3">
      <c r="A113" s="22" t="s">
        <v>781</v>
      </c>
      <c r="B113" s="23" t="s">
        <v>782</v>
      </c>
      <c r="C113" s="23" t="s">
        <v>788</v>
      </c>
      <c r="D113" s="23" t="s">
        <v>784</v>
      </c>
      <c r="E113" s="24" t="s">
        <v>26</v>
      </c>
      <c r="F113" s="132">
        <v>346.25</v>
      </c>
      <c r="G113" s="132"/>
      <c r="H113" s="24" t="s">
        <v>27</v>
      </c>
      <c r="I113" s="131" t="s">
        <v>28</v>
      </c>
      <c r="J113" s="131"/>
      <c r="K113" s="25" t="s">
        <v>29</v>
      </c>
      <c r="L113" s="26">
        <v>1869940.28</v>
      </c>
    </row>
    <row r="114" spans="1:12" ht="71.400000000000006" hidden="1" x14ac:dyDescent="0.3">
      <c r="A114" s="22" t="s">
        <v>781</v>
      </c>
      <c r="B114" s="23" t="s">
        <v>782</v>
      </c>
      <c r="C114" s="23" t="s">
        <v>789</v>
      </c>
      <c r="D114" s="23" t="s">
        <v>784</v>
      </c>
      <c r="E114" s="24" t="s">
        <v>26</v>
      </c>
      <c r="F114" s="132">
        <v>35.590000000000003</v>
      </c>
      <c r="G114" s="132"/>
      <c r="H114" s="24" t="s">
        <v>27</v>
      </c>
      <c r="I114" s="131" t="s">
        <v>28</v>
      </c>
      <c r="J114" s="131"/>
      <c r="K114" s="25" t="s">
        <v>29</v>
      </c>
      <c r="L114" s="26">
        <v>1869975.87</v>
      </c>
    </row>
    <row r="115" spans="1:12" ht="71.400000000000006" hidden="1" x14ac:dyDescent="0.3">
      <c r="A115" s="22" t="s">
        <v>781</v>
      </c>
      <c r="B115" s="23" t="s">
        <v>782</v>
      </c>
      <c r="C115" s="23" t="s">
        <v>790</v>
      </c>
      <c r="D115" s="23" t="s">
        <v>784</v>
      </c>
      <c r="E115" s="24" t="s">
        <v>26</v>
      </c>
      <c r="F115" s="130">
        <v>19470.400000000001</v>
      </c>
      <c r="G115" s="130"/>
      <c r="H115" s="24" t="s">
        <v>27</v>
      </c>
      <c r="I115" s="131" t="s">
        <v>28</v>
      </c>
      <c r="J115" s="131"/>
      <c r="K115" s="25" t="s">
        <v>29</v>
      </c>
      <c r="L115" s="26">
        <v>1889446.27</v>
      </c>
    </row>
    <row r="116" spans="1:12" ht="71.400000000000006" hidden="1" x14ac:dyDescent="0.3">
      <c r="A116" s="22" t="s">
        <v>781</v>
      </c>
      <c r="B116" s="23" t="s">
        <v>782</v>
      </c>
      <c r="C116" s="23" t="s">
        <v>791</v>
      </c>
      <c r="D116" s="23" t="s">
        <v>784</v>
      </c>
      <c r="E116" s="24" t="s">
        <v>26</v>
      </c>
      <c r="F116" s="130">
        <v>2795.81</v>
      </c>
      <c r="G116" s="130"/>
      <c r="H116" s="24" t="s">
        <v>27</v>
      </c>
      <c r="I116" s="131" t="s">
        <v>28</v>
      </c>
      <c r="J116" s="131"/>
      <c r="K116" s="25" t="s">
        <v>29</v>
      </c>
      <c r="L116" s="26">
        <v>1892242.08</v>
      </c>
    </row>
    <row r="117" spans="1:12" ht="71.400000000000006" hidden="1" x14ac:dyDescent="0.3">
      <c r="A117" s="22" t="s">
        <v>781</v>
      </c>
      <c r="B117" s="23" t="s">
        <v>782</v>
      </c>
      <c r="C117" s="23" t="s">
        <v>792</v>
      </c>
      <c r="D117" s="23" t="s">
        <v>784</v>
      </c>
      <c r="E117" s="24" t="s">
        <v>26</v>
      </c>
      <c r="F117" s="132">
        <v>203.2</v>
      </c>
      <c r="G117" s="132"/>
      <c r="H117" s="24" t="s">
        <v>27</v>
      </c>
      <c r="I117" s="131" t="s">
        <v>28</v>
      </c>
      <c r="J117" s="131"/>
      <c r="K117" s="25" t="s">
        <v>29</v>
      </c>
      <c r="L117" s="26">
        <v>1892445.28</v>
      </c>
    </row>
    <row r="118" spans="1:12" ht="71.400000000000006" hidden="1" x14ac:dyDescent="0.3">
      <c r="A118" s="22" t="s">
        <v>781</v>
      </c>
      <c r="B118" s="23" t="s">
        <v>782</v>
      </c>
      <c r="C118" s="23" t="s">
        <v>793</v>
      </c>
      <c r="D118" s="23" t="s">
        <v>784</v>
      </c>
      <c r="E118" s="24" t="s">
        <v>26</v>
      </c>
      <c r="F118" s="130">
        <v>1178.99</v>
      </c>
      <c r="G118" s="130"/>
      <c r="H118" s="24" t="s">
        <v>27</v>
      </c>
      <c r="I118" s="131" t="s">
        <v>28</v>
      </c>
      <c r="J118" s="131"/>
      <c r="K118" s="25" t="s">
        <v>29</v>
      </c>
      <c r="L118" s="26">
        <v>1893624.27</v>
      </c>
    </row>
    <row r="119" spans="1:12" ht="71.400000000000006" hidden="1" x14ac:dyDescent="0.3">
      <c r="A119" s="22" t="s">
        <v>781</v>
      </c>
      <c r="B119" s="23" t="s">
        <v>782</v>
      </c>
      <c r="C119" s="23" t="s">
        <v>794</v>
      </c>
      <c r="D119" s="23" t="s">
        <v>784</v>
      </c>
      <c r="E119" s="24" t="s">
        <v>26</v>
      </c>
      <c r="F119" s="130">
        <v>2668.05</v>
      </c>
      <c r="G119" s="130"/>
      <c r="H119" s="24" t="s">
        <v>27</v>
      </c>
      <c r="I119" s="131" t="s">
        <v>28</v>
      </c>
      <c r="J119" s="131"/>
      <c r="K119" s="25" t="s">
        <v>29</v>
      </c>
      <c r="L119" s="26">
        <v>1896292.32</v>
      </c>
    </row>
    <row r="120" spans="1:12" ht="71.400000000000006" hidden="1" x14ac:dyDescent="0.3">
      <c r="A120" s="22" t="s">
        <v>781</v>
      </c>
      <c r="B120" s="23" t="s">
        <v>782</v>
      </c>
      <c r="C120" s="23" t="s">
        <v>794</v>
      </c>
      <c r="D120" s="23" t="s">
        <v>784</v>
      </c>
      <c r="E120" s="24" t="s">
        <v>26</v>
      </c>
      <c r="F120" s="130">
        <v>1166.54</v>
      </c>
      <c r="G120" s="130"/>
      <c r="H120" s="24" t="s">
        <v>27</v>
      </c>
      <c r="I120" s="131" t="s">
        <v>28</v>
      </c>
      <c r="J120" s="131"/>
      <c r="K120" s="25" t="s">
        <v>29</v>
      </c>
      <c r="L120" s="26">
        <v>1897458.86</v>
      </c>
    </row>
    <row r="121" spans="1:12" ht="71.400000000000006" hidden="1" x14ac:dyDescent="0.3">
      <c r="A121" s="22" t="s">
        <v>781</v>
      </c>
      <c r="B121" s="23" t="s">
        <v>782</v>
      </c>
      <c r="C121" s="23" t="s">
        <v>795</v>
      </c>
      <c r="D121" s="23" t="s">
        <v>784</v>
      </c>
      <c r="E121" s="24" t="s">
        <v>26</v>
      </c>
      <c r="F121" s="132">
        <v>348.1</v>
      </c>
      <c r="G121" s="132"/>
      <c r="H121" s="24" t="s">
        <v>27</v>
      </c>
      <c r="I121" s="131" t="s">
        <v>28</v>
      </c>
      <c r="J121" s="131"/>
      <c r="K121" s="25" t="s">
        <v>29</v>
      </c>
      <c r="L121" s="26">
        <v>1897806.96</v>
      </c>
    </row>
    <row r="122" spans="1:12" ht="71.400000000000006" hidden="1" x14ac:dyDescent="0.3">
      <c r="A122" s="22" t="s">
        <v>781</v>
      </c>
      <c r="B122" s="23" t="s">
        <v>782</v>
      </c>
      <c r="C122" s="23" t="s">
        <v>796</v>
      </c>
      <c r="D122" s="23" t="s">
        <v>784</v>
      </c>
      <c r="E122" s="24" t="s">
        <v>26</v>
      </c>
      <c r="F122" s="130">
        <v>12601.01</v>
      </c>
      <c r="G122" s="130"/>
      <c r="H122" s="24" t="s">
        <v>27</v>
      </c>
      <c r="I122" s="131" t="s">
        <v>28</v>
      </c>
      <c r="J122" s="131"/>
      <c r="K122" s="25" t="s">
        <v>29</v>
      </c>
      <c r="L122" s="26">
        <v>1910407.97</v>
      </c>
    </row>
    <row r="123" spans="1:12" ht="71.400000000000006" hidden="1" x14ac:dyDescent="0.3">
      <c r="A123" s="22" t="s">
        <v>781</v>
      </c>
      <c r="B123" s="23" t="s">
        <v>782</v>
      </c>
      <c r="C123" s="23" t="s">
        <v>797</v>
      </c>
      <c r="D123" s="23" t="s">
        <v>784</v>
      </c>
      <c r="E123" s="24" t="s">
        <v>26</v>
      </c>
      <c r="F123" s="130">
        <v>5823.2</v>
      </c>
      <c r="G123" s="130"/>
      <c r="H123" s="24" t="s">
        <v>27</v>
      </c>
      <c r="I123" s="131" t="s">
        <v>28</v>
      </c>
      <c r="J123" s="131"/>
      <c r="K123" s="25" t="s">
        <v>29</v>
      </c>
      <c r="L123" s="26">
        <v>1916231.17</v>
      </c>
    </row>
    <row r="124" spans="1:12" ht="71.400000000000006" hidden="1" x14ac:dyDescent="0.3">
      <c r="A124" s="22" t="s">
        <v>781</v>
      </c>
      <c r="B124" s="23" t="s">
        <v>782</v>
      </c>
      <c r="C124" s="23" t="s">
        <v>798</v>
      </c>
      <c r="D124" s="23" t="s">
        <v>784</v>
      </c>
      <c r="E124" s="24" t="s">
        <v>26</v>
      </c>
      <c r="F124" s="132">
        <v>196.66</v>
      </c>
      <c r="G124" s="132"/>
      <c r="H124" s="24" t="s">
        <v>27</v>
      </c>
      <c r="I124" s="131" t="s">
        <v>28</v>
      </c>
      <c r="J124" s="131"/>
      <c r="K124" s="25" t="s">
        <v>29</v>
      </c>
      <c r="L124" s="26">
        <v>1916427.83</v>
      </c>
    </row>
    <row r="125" spans="1:12" ht="71.400000000000006" hidden="1" x14ac:dyDescent="0.3">
      <c r="A125" s="22" t="s">
        <v>781</v>
      </c>
      <c r="B125" s="23" t="s">
        <v>782</v>
      </c>
      <c r="C125" s="23" t="s">
        <v>799</v>
      </c>
      <c r="D125" s="23" t="s">
        <v>784</v>
      </c>
      <c r="E125" s="24" t="s">
        <v>26</v>
      </c>
      <c r="F125" s="130">
        <v>3701.93</v>
      </c>
      <c r="G125" s="130"/>
      <c r="H125" s="24" t="s">
        <v>27</v>
      </c>
      <c r="I125" s="131" t="s">
        <v>28</v>
      </c>
      <c r="J125" s="131"/>
      <c r="K125" s="25" t="s">
        <v>29</v>
      </c>
      <c r="L125" s="26">
        <v>1920129.76</v>
      </c>
    </row>
    <row r="126" spans="1:12" ht="71.400000000000006" hidden="1" x14ac:dyDescent="0.3">
      <c r="A126" s="22" t="s">
        <v>781</v>
      </c>
      <c r="B126" s="23" t="s">
        <v>782</v>
      </c>
      <c r="C126" s="23" t="s">
        <v>800</v>
      </c>
      <c r="D126" s="23" t="s">
        <v>784</v>
      </c>
      <c r="E126" s="24" t="s">
        <v>26</v>
      </c>
      <c r="F126" s="130">
        <v>1043.6099999999999</v>
      </c>
      <c r="G126" s="130"/>
      <c r="H126" s="24" t="s">
        <v>27</v>
      </c>
      <c r="I126" s="131" t="s">
        <v>28</v>
      </c>
      <c r="J126" s="131"/>
      <c r="K126" s="25" t="s">
        <v>29</v>
      </c>
      <c r="L126" s="26">
        <v>1921173.37</v>
      </c>
    </row>
    <row r="127" spans="1:12" ht="71.400000000000006" hidden="1" x14ac:dyDescent="0.3">
      <c r="A127" s="22" t="s">
        <v>781</v>
      </c>
      <c r="B127" s="23" t="s">
        <v>801</v>
      </c>
      <c r="C127" s="23" t="s">
        <v>802</v>
      </c>
      <c r="D127" s="23" t="s">
        <v>803</v>
      </c>
      <c r="E127" s="24" t="s">
        <v>26</v>
      </c>
      <c r="F127" s="130">
        <v>21880.06</v>
      </c>
      <c r="G127" s="130"/>
      <c r="H127" s="24" t="s">
        <v>27</v>
      </c>
      <c r="I127" s="131" t="s">
        <v>28</v>
      </c>
      <c r="J127" s="131"/>
      <c r="K127" s="25" t="s">
        <v>29</v>
      </c>
      <c r="L127" s="26">
        <v>1943053.43</v>
      </c>
    </row>
    <row r="128" spans="1:12" ht="71.400000000000006" hidden="1" x14ac:dyDescent="0.3">
      <c r="A128" s="22" t="s">
        <v>781</v>
      </c>
      <c r="B128" s="23" t="s">
        <v>801</v>
      </c>
      <c r="C128" s="23" t="s">
        <v>804</v>
      </c>
      <c r="D128" s="23" t="s">
        <v>803</v>
      </c>
      <c r="E128" s="24" t="s">
        <v>26</v>
      </c>
      <c r="F128" s="130">
        <v>2576.08</v>
      </c>
      <c r="G128" s="130"/>
      <c r="H128" s="24" t="s">
        <v>27</v>
      </c>
      <c r="I128" s="131" t="s">
        <v>28</v>
      </c>
      <c r="J128" s="131"/>
      <c r="K128" s="25" t="s">
        <v>29</v>
      </c>
      <c r="L128" s="26">
        <v>1945629.51</v>
      </c>
    </row>
    <row r="129" spans="1:12" ht="61.2" hidden="1" x14ac:dyDescent="0.3">
      <c r="A129" s="22" t="s">
        <v>472</v>
      </c>
      <c r="B129" s="23" t="s">
        <v>479</v>
      </c>
      <c r="C129" s="23" t="s">
        <v>480</v>
      </c>
      <c r="D129" s="23" t="s">
        <v>474</v>
      </c>
      <c r="E129" s="24" t="s">
        <v>26</v>
      </c>
      <c r="F129" s="130">
        <v>14288.92</v>
      </c>
      <c r="G129" s="130"/>
      <c r="H129" s="24" t="s">
        <v>26</v>
      </c>
      <c r="I129" s="131" t="s">
        <v>28</v>
      </c>
      <c r="J129" s="131"/>
      <c r="K129" s="25" t="s">
        <v>29</v>
      </c>
      <c r="L129" s="26">
        <v>1959918.43</v>
      </c>
    </row>
    <row r="130" spans="1:12" ht="71.400000000000006" hidden="1" x14ac:dyDescent="0.3">
      <c r="A130" s="22" t="s">
        <v>481</v>
      </c>
      <c r="B130" s="23" t="s">
        <v>805</v>
      </c>
      <c r="C130" s="23" t="s">
        <v>806</v>
      </c>
      <c r="D130" s="23" t="s">
        <v>784</v>
      </c>
      <c r="E130" s="24" t="s">
        <v>26</v>
      </c>
      <c r="F130" s="130">
        <v>6901.22</v>
      </c>
      <c r="G130" s="130"/>
      <c r="H130" s="24" t="s">
        <v>27</v>
      </c>
      <c r="I130" s="131" t="s">
        <v>28</v>
      </c>
      <c r="J130" s="131"/>
      <c r="K130" s="25" t="s">
        <v>29</v>
      </c>
      <c r="L130" s="26">
        <v>1966819.65</v>
      </c>
    </row>
    <row r="131" spans="1:12" ht="61.2" hidden="1" x14ac:dyDescent="0.3">
      <c r="A131" s="22" t="s">
        <v>481</v>
      </c>
      <c r="B131" s="23" t="s">
        <v>489</v>
      </c>
      <c r="C131" s="23" t="s">
        <v>490</v>
      </c>
      <c r="D131" s="23" t="s">
        <v>485</v>
      </c>
      <c r="E131" s="24" t="s">
        <v>26</v>
      </c>
      <c r="F131" s="130">
        <v>15028</v>
      </c>
      <c r="G131" s="130"/>
      <c r="H131" s="24" t="s">
        <v>26</v>
      </c>
      <c r="I131" s="131" t="s">
        <v>28</v>
      </c>
      <c r="J131" s="131"/>
      <c r="K131" s="25" t="s">
        <v>29</v>
      </c>
      <c r="L131" s="26">
        <v>1981847.65</v>
      </c>
    </row>
    <row r="132" spans="1:12" ht="71.400000000000006" hidden="1" x14ac:dyDescent="0.3">
      <c r="A132" s="22" t="s">
        <v>505</v>
      </c>
      <c r="B132" s="23" t="s">
        <v>514</v>
      </c>
      <c r="C132" s="23" t="s">
        <v>515</v>
      </c>
      <c r="D132" s="23" t="s">
        <v>507</v>
      </c>
      <c r="E132" s="24" t="s">
        <v>26</v>
      </c>
      <c r="F132" s="130">
        <v>18672.099999999999</v>
      </c>
      <c r="G132" s="130"/>
      <c r="H132" s="24" t="s">
        <v>26</v>
      </c>
      <c r="I132" s="131" t="s">
        <v>28</v>
      </c>
      <c r="J132" s="131"/>
      <c r="K132" s="25" t="s">
        <v>29</v>
      </c>
      <c r="L132" s="26">
        <v>2000519.75</v>
      </c>
    </row>
    <row r="133" spans="1:12" ht="61.2" hidden="1" x14ac:dyDescent="0.3">
      <c r="A133" s="22" t="s">
        <v>505</v>
      </c>
      <c r="B133" s="23" t="s">
        <v>514</v>
      </c>
      <c r="C133" s="23" t="s">
        <v>516</v>
      </c>
      <c r="D133" s="23" t="s">
        <v>509</v>
      </c>
      <c r="E133" s="24" t="s">
        <v>26</v>
      </c>
      <c r="F133" s="130">
        <v>16331.59</v>
      </c>
      <c r="G133" s="130"/>
      <c r="H133" s="24" t="s">
        <v>26</v>
      </c>
      <c r="I133" s="131" t="s">
        <v>28</v>
      </c>
      <c r="J133" s="131"/>
      <c r="K133" s="25" t="s">
        <v>29</v>
      </c>
      <c r="L133" s="26">
        <v>2016851.34</v>
      </c>
    </row>
    <row r="134" spans="1:12" ht="61.2" x14ac:dyDescent="0.3">
      <c r="A134" s="22" t="s">
        <v>520</v>
      </c>
      <c r="B134" s="23" t="s">
        <v>807</v>
      </c>
      <c r="C134" s="23" t="s">
        <v>522</v>
      </c>
      <c r="D134" s="23" t="s">
        <v>277</v>
      </c>
      <c r="E134" s="24" t="s">
        <v>523</v>
      </c>
      <c r="F134" s="125" t="s">
        <v>28</v>
      </c>
      <c r="G134" s="125"/>
      <c r="H134" s="24" t="s">
        <v>26</v>
      </c>
      <c r="I134" s="129">
        <v>982.5</v>
      </c>
      <c r="J134" s="129"/>
      <c r="K134" s="25" t="s">
        <v>29</v>
      </c>
      <c r="L134" s="26">
        <v>2015868.84</v>
      </c>
    </row>
    <row r="135" spans="1:12" ht="61.2" x14ac:dyDescent="0.3">
      <c r="A135" s="22" t="s">
        <v>520</v>
      </c>
      <c r="B135" s="23" t="s">
        <v>807</v>
      </c>
      <c r="C135" s="23" t="s">
        <v>522</v>
      </c>
      <c r="D135" s="23" t="s">
        <v>80</v>
      </c>
      <c r="E135" s="24" t="s">
        <v>523</v>
      </c>
      <c r="F135" s="125" t="s">
        <v>28</v>
      </c>
      <c r="G135" s="125"/>
      <c r="H135" s="24" t="s">
        <v>26</v>
      </c>
      <c r="I135" s="126">
        <v>4602</v>
      </c>
      <c r="J135" s="126"/>
      <c r="K135" s="25" t="s">
        <v>29</v>
      </c>
      <c r="L135" s="26">
        <v>2011266.84</v>
      </c>
    </row>
    <row r="136" spans="1:12" ht="71.400000000000006" x14ac:dyDescent="0.3">
      <c r="A136" s="22" t="s">
        <v>520</v>
      </c>
      <c r="B136" s="23" t="s">
        <v>808</v>
      </c>
      <c r="C136" s="23" t="s">
        <v>522</v>
      </c>
      <c r="D136" s="23" t="s">
        <v>266</v>
      </c>
      <c r="E136" s="24" t="s">
        <v>523</v>
      </c>
      <c r="F136" s="125" t="s">
        <v>28</v>
      </c>
      <c r="G136" s="125"/>
      <c r="H136" s="24" t="s">
        <v>26</v>
      </c>
      <c r="I136" s="129">
        <v>146.80000000000001</v>
      </c>
      <c r="J136" s="129"/>
      <c r="K136" s="25" t="s">
        <v>29</v>
      </c>
      <c r="L136" s="26">
        <v>2011120.04</v>
      </c>
    </row>
    <row r="137" spans="1:12" ht="71.400000000000006" x14ac:dyDescent="0.3">
      <c r="A137" s="22" t="s">
        <v>520</v>
      </c>
      <c r="B137" s="23" t="s">
        <v>808</v>
      </c>
      <c r="C137" s="23" t="s">
        <v>522</v>
      </c>
      <c r="D137" s="23" t="s">
        <v>308</v>
      </c>
      <c r="E137" s="24" t="s">
        <v>523</v>
      </c>
      <c r="F137" s="125" t="s">
        <v>28</v>
      </c>
      <c r="G137" s="125"/>
      <c r="H137" s="24" t="s">
        <v>26</v>
      </c>
      <c r="I137" s="129">
        <v>182.5</v>
      </c>
      <c r="J137" s="129"/>
      <c r="K137" s="25" t="s">
        <v>29</v>
      </c>
      <c r="L137" s="26">
        <v>2010937.54</v>
      </c>
    </row>
    <row r="138" spans="1:12" ht="71.400000000000006" x14ac:dyDescent="0.3">
      <c r="A138" s="22" t="s">
        <v>520</v>
      </c>
      <c r="B138" s="23" t="s">
        <v>808</v>
      </c>
      <c r="C138" s="23" t="s">
        <v>522</v>
      </c>
      <c r="D138" s="23" t="s">
        <v>265</v>
      </c>
      <c r="E138" s="24" t="s">
        <v>523</v>
      </c>
      <c r="F138" s="125" t="s">
        <v>28</v>
      </c>
      <c r="G138" s="125"/>
      <c r="H138" s="24" t="s">
        <v>26</v>
      </c>
      <c r="I138" s="129">
        <v>232.8</v>
      </c>
      <c r="J138" s="129"/>
      <c r="K138" s="25" t="s">
        <v>29</v>
      </c>
      <c r="L138" s="26">
        <v>2010704.74</v>
      </c>
    </row>
    <row r="139" spans="1:12" ht="61.2" x14ac:dyDescent="0.3">
      <c r="A139" s="22" t="s">
        <v>520</v>
      </c>
      <c r="B139" s="23" t="s">
        <v>808</v>
      </c>
      <c r="C139" s="23" t="s">
        <v>522</v>
      </c>
      <c r="D139" s="23" t="s">
        <v>307</v>
      </c>
      <c r="E139" s="24" t="s">
        <v>523</v>
      </c>
      <c r="F139" s="125" t="s">
        <v>28</v>
      </c>
      <c r="G139" s="125"/>
      <c r="H139" s="24" t="s">
        <v>26</v>
      </c>
      <c r="I139" s="129">
        <v>47.75</v>
      </c>
      <c r="J139" s="129"/>
      <c r="K139" s="25" t="s">
        <v>29</v>
      </c>
      <c r="L139" s="26">
        <v>2010656.99</v>
      </c>
    </row>
    <row r="140" spans="1:12" ht="61.2" x14ac:dyDescent="0.3">
      <c r="A140" s="22" t="s">
        <v>520</v>
      </c>
      <c r="B140" s="23" t="s">
        <v>809</v>
      </c>
      <c r="C140" s="23" t="s">
        <v>522</v>
      </c>
      <c r="D140" s="23" t="s">
        <v>146</v>
      </c>
      <c r="E140" s="24" t="s">
        <v>523</v>
      </c>
      <c r="F140" s="125" t="s">
        <v>28</v>
      </c>
      <c r="G140" s="125"/>
      <c r="H140" s="24" t="s">
        <v>26</v>
      </c>
      <c r="I140" s="126">
        <v>5334</v>
      </c>
      <c r="J140" s="126"/>
      <c r="K140" s="25" t="s">
        <v>29</v>
      </c>
      <c r="L140" s="26">
        <v>2005322.99</v>
      </c>
    </row>
    <row r="141" spans="1:12" ht="61.2" x14ac:dyDescent="0.3">
      <c r="A141" s="22" t="s">
        <v>520</v>
      </c>
      <c r="B141" s="23" t="s">
        <v>809</v>
      </c>
      <c r="C141" s="23" t="s">
        <v>522</v>
      </c>
      <c r="D141" s="23" t="s">
        <v>166</v>
      </c>
      <c r="E141" s="24" t="s">
        <v>523</v>
      </c>
      <c r="F141" s="125" t="s">
        <v>28</v>
      </c>
      <c r="G141" s="125"/>
      <c r="H141" s="24" t="s">
        <v>26</v>
      </c>
      <c r="I141" s="126">
        <v>7892.5</v>
      </c>
      <c r="J141" s="126"/>
      <c r="K141" s="25" t="s">
        <v>29</v>
      </c>
      <c r="L141" s="26">
        <v>1997430.49</v>
      </c>
    </row>
    <row r="142" spans="1:12" ht="61.2" x14ac:dyDescent="0.3">
      <c r="A142" s="22" t="s">
        <v>520</v>
      </c>
      <c r="B142" s="23" t="s">
        <v>809</v>
      </c>
      <c r="C142" s="23" t="s">
        <v>522</v>
      </c>
      <c r="D142" s="23" t="s">
        <v>689</v>
      </c>
      <c r="E142" s="24" t="s">
        <v>523</v>
      </c>
      <c r="F142" s="125" t="s">
        <v>28</v>
      </c>
      <c r="G142" s="125"/>
      <c r="H142" s="24" t="s">
        <v>26</v>
      </c>
      <c r="I142" s="126">
        <v>19500</v>
      </c>
      <c r="J142" s="126"/>
      <c r="K142" s="25" t="s">
        <v>29</v>
      </c>
      <c r="L142" s="26">
        <v>1977930.49</v>
      </c>
    </row>
    <row r="143" spans="1:12" ht="61.2" x14ac:dyDescent="0.3">
      <c r="A143" s="22" t="s">
        <v>520</v>
      </c>
      <c r="B143" s="23" t="s">
        <v>809</v>
      </c>
      <c r="C143" s="23" t="s">
        <v>522</v>
      </c>
      <c r="D143" s="23" t="s">
        <v>691</v>
      </c>
      <c r="E143" s="24" t="s">
        <v>523</v>
      </c>
      <c r="F143" s="125" t="s">
        <v>28</v>
      </c>
      <c r="G143" s="125"/>
      <c r="H143" s="24" t="s">
        <v>26</v>
      </c>
      <c r="I143" s="126">
        <v>11424.99</v>
      </c>
      <c r="J143" s="126"/>
      <c r="K143" s="25" t="s">
        <v>29</v>
      </c>
      <c r="L143" s="26">
        <v>1966505.5</v>
      </c>
    </row>
    <row r="144" spans="1:12" ht="61.2" x14ac:dyDescent="0.3">
      <c r="A144" s="22" t="s">
        <v>520</v>
      </c>
      <c r="B144" s="23" t="s">
        <v>809</v>
      </c>
      <c r="C144" s="23" t="s">
        <v>522</v>
      </c>
      <c r="D144" s="23" t="s">
        <v>684</v>
      </c>
      <c r="E144" s="24" t="s">
        <v>523</v>
      </c>
      <c r="F144" s="125" t="s">
        <v>28</v>
      </c>
      <c r="G144" s="125"/>
      <c r="H144" s="24" t="s">
        <v>26</v>
      </c>
      <c r="I144" s="126">
        <v>4511.8</v>
      </c>
      <c r="J144" s="126"/>
      <c r="K144" s="25" t="s">
        <v>29</v>
      </c>
      <c r="L144" s="26">
        <v>1961993.7</v>
      </c>
    </row>
    <row r="145" spans="1:12" ht="71.400000000000006" x14ac:dyDescent="0.3">
      <c r="A145" s="22" t="s">
        <v>520</v>
      </c>
      <c r="B145" s="23" t="s">
        <v>809</v>
      </c>
      <c r="C145" s="23" t="s">
        <v>522</v>
      </c>
      <c r="D145" s="23" t="s">
        <v>107</v>
      </c>
      <c r="E145" s="24" t="s">
        <v>523</v>
      </c>
      <c r="F145" s="125" t="s">
        <v>28</v>
      </c>
      <c r="G145" s="125"/>
      <c r="H145" s="24" t="s">
        <v>26</v>
      </c>
      <c r="I145" s="129">
        <v>790</v>
      </c>
      <c r="J145" s="129"/>
      <c r="K145" s="25" t="s">
        <v>29</v>
      </c>
      <c r="L145" s="26">
        <v>1961203.7</v>
      </c>
    </row>
    <row r="146" spans="1:12" ht="71.400000000000006" x14ac:dyDescent="0.3">
      <c r="A146" s="22" t="s">
        <v>520</v>
      </c>
      <c r="B146" s="23" t="s">
        <v>809</v>
      </c>
      <c r="C146" s="23" t="s">
        <v>522</v>
      </c>
      <c r="D146" s="23" t="s">
        <v>109</v>
      </c>
      <c r="E146" s="24" t="s">
        <v>523</v>
      </c>
      <c r="F146" s="125" t="s">
        <v>28</v>
      </c>
      <c r="G146" s="125"/>
      <c r="H146" s="24" t="s">
        <v>26</v>
      </c>
      <c r="I146" s="126">
        <v>16213.33</v>
      </c>
      <c r="J146" s="126"/>
      <c r="K146" s="25" t="s">
        <v>29</v>
      </c>
      <c r="L146" s="26">
        <v>1944990.37</v>
      </c>
    </row>
    <row r="147" spans="1:12" ht="71.400000000000006" x14ac:dyDescent="0.3">
      <c r="A147" s="22" t="s">
        <v>520</v>
      </c>
      <c r="B147" s="23" t="s">
        <v>809</v>
      </c>
      <c r="C147" s="23" t="s">
        <v>522</v>
      </c>
      <c r="D147" s="23" t="s">
        <v>110</v>
      </c>
      <c r="E147" s="24" t="s">
        <v>523</v>
      </c>
      <c r="F147" s="125" t="s">
        <v>28</v>
      </c>
      <c r="G147" s="125"/>
      <c r="H147" s="24" t="s">
        <v>26</v>
      </c>
      <c r="I147" s="126">
        <v>8360</v>
      </c>
      <c r="J147" s="126"/>
      <c r="K147" s="25" t="s">
        <v>29</v>
      </c>
      <c r="L147" s="26">
        <v>1936630.37</v>
      </c>
    </row>
    <row r="148" spans="1:12" ht="61.2" x14ac:dyDescent="0.3">
      <c r="A148" s="22" t="s">
        <v>520</v>
      </c>
      <c r="B148" s="23" t="s">
        <v>810</v>
      </c>
      <c r="C148" s="23" t="s">
        <v>522</v>
      </c>
      <c r="D148" s="23" t="s">
        <v>173</v>
      </c>
      <c r="E148" s="24" t="s">
        <v>523</v>
      </c>
      <c r="F148" s="125" t="s">
        <v>28</v>
      </c>
      <c r="G148" s="125"/>
      <c r="H148" s="24" t="s">
        <v>26</v>
      </c>
      <c r="I148" s="126">
        <v>17505.87</v>
      </c>
      <c r="J148" s="126"/>
      <c r="K148" s="25" t="s">
        <v>29</v>
      </c>
      <c r="L148" s="26">
        <v>1919124.5</v>
      </c>
    </row>
    <row r="149" spans="1:12" ht="61.2" x14ac:dyDescent="0.3">
      <c r="A149" s="22" t="s">
        <v>520</v>
      </c>
      <c r="B149" s="23" t="s">
        <v>810</v>
      </c>
      <c r="C149" s="23" t="s">
        <v>522</v>
      </c>
      <c r="D149" s="23" t="s">
        <v>693</v>
      </c>
      <c r="E149" s="24" t="s">
        <v>523</v>
      </c>
      <c r="F149" s="125" t="s">
        <v>28</v>
      </c>
      <c r="G149" s="125"/>
      <c r="H149" s="24" t="s">
        <v>26</v>
      </c>
      <c r="I149" s="126">
        <v>15982.36</v>
      </c>
      <c r="J149" s="126"/>
      <c r="K149" s="25" t="s">
        <v>29</v>
      </c>
      <c r="L149" s="26">
        <v>1903142.14</v>
      </c>
    </row>
    <row r="150" spans="1:12" ht="61.2" x14ac:dyDescent="0.3">
      <c r="A150" s="22" t="s">
        <v>520</v>
      </c>
      <c r="B150" s="23" t="s">
        <v>810</v>
      </c>
      <c r="C150" s="23" t="s">
        <v>522</v>
      </c>
      <c r="D150" s="23" t="s">
        <v>146</v>
      </c>
      <c r="E150" s="24" t="s">
        <v>523</v>
      </c>
      <c r="F150" s="125" t="s">
        <v>28</v>
      </c>
      <c r="G150" s="125"/>
      <c r="H150" s="24" t="s">
        <v>26</v>
      </c>
      <c r="I150" s="126">
        <v>5048.25</v>
      </c>
      <c r="J150" s="126"/>
      <c r="K150" s="25" t="s">
        <v>29</v>
      </c>
      <c r="L150" s="26">
        <v>1898093.89</v>
      </c>
    </row>
    <row r="151" spans="1:12" ht="61.2" x14ac:dyDescent="0.3">
      <c r="A151" s="22" t="s">
        <v>520</v>
      </c>
      <c r="B151" s="23" t="s">
        <v>810</v>
      </c>
      <c r="C151" s="23" t="s">
        <v>522</v>
      </c>
      <c r="D151" s="23" t="s">
        <v>698</v>
      </c>
      <c r="E151" s="24" t="s">
        <v>523</v>
      </c>
      <c r="F151" s="125" t="s">
        <v>28</v>
      </c>
      <c r="G151" s="125"/>
      <c r="H151" s="24" t="s">
        <v>26</v>
      </c>
      <c r="I151" s="126">
        <v>74100</v>
      </c>
      <c r="J151" s="126"/>
      <c r="K151" s="25" t="s">
        <v>29</v>
      </c>
      <c r="L151" s="26">
        <v>1823993.89</v>
      </c>
    </row>
    <row r="152" spans="1:12" ht="61.2" x14ac:dyDescent="0.3">
      <c r="A152" s="22" t="s">
        <v>520</v>
      </c>
      <c r="B152" s="23" t="s">
        <v>810</v>
      </c>
      <c r="C152" s="23" t="s">
        <v>522</v>
      </c>
      <c r="D152" s="23" t="s">
        <v>701</v>
      </c>
      <c r="E152" s="24" t="s">
        <v>523</v>
      </c>
      <c r="F152" s="125" t="s">
        <v>28</v>
      </c>
      <c r="G152" s="125"/>
      <c r="H152" s="24" t="s">
        <v>26</v>
      </c>
      <c r="I152" s="126">
        <v>46800</v>
      </c>
      <c r="J152" s="126"/>
      <c r="K152" s="25" t="s">
        <v>29</v>
      </c>
      <c r="L152" s="26">
        <v>1777193.89</v>
      </c>
    </row>
    <row r="153" spans="1:12" ht="61.2" x14ac:dyDescent="0.3">
      <c r="A153" s="22" t="s">
        <v>520</v>
      </c>
      <c r="B153" s="23" t="s">
        <v>811</v>
      </c>
      <c r="C153" s="23" t="s">
        <v>522</v>
      </c>
      <c r="D153" s="23" t="s">
        <v>190</v>
      </c>
      <c r="E153" s="24" t="s">
        <v>523</v>
      </c>
      <c r="F153" s="125" t="s">
        <v>28</v>
      </c>
      <c r="G153" s="125"/>
      <c r="H153" s="24" t="s">
        <v>26</v>
      </c>
      <c r="I153" s="126">
        <v>1179.8499999999999</v>
      </c>
      <c r="J153" s="126"/>
      <c r="K153" s="25" t="s">
        <v>29</v>
      </c>
      <c r="L153" s="26">
        <v>1776014.04</v>
      </c>
    </row>
    <row r="154" spans="1:12" ht="61.2" x14ac:dyDescent="0.3">
      <c r="A154" s="22" t="s">
        <v>520</v>
      </c>
      <c r="B154" s="23" t="s">
        <v>811</v>
      </c>
      <c r="C154" s="23" t="s">
        <v>522</v>
      </c>
      <c r="D154" s="23" t="s">
        <v>693</v>
      </c>
      <c r="E154" s="24" t="s">
        <v>523</v>
      </c>
      <c r="F154" s="125" t="s">
        <v>28</v>
      </c>
      <c r="G154" s="125"/>
      <c r="H154" s="24" t="s">
        <v>26</v>
      </c>
      <c r="I154" s="126">
        <v>29176.639999999999</v>
      </c>
      <c r="J154" s="126"/>
      <c r="K154" s="25" t="s">
        <v>29</v>
      </c>
      <c r="L154" s="26">
        <v>1746837.4</v>
      </c>
    </row>
    <row r="155" spans="1:12" ht="61.2" x14ac:dyDescent="0.3">
      <c r="A155" s="22" t="s">
        <v>520</v>
      </c>
      <c r="B155" s="23" t="s">
        <v>811</v>
      </c>
      <c r="C155" s="23" t="s">
        <v>522</v>
      </c>
      <c r="D155" s="23" t="s">
        <v>191</v>
      </c>
      <c r="E155" s="24" t="s">
        <v>523</v>
      </c>
      <c r="F155" s="125" t="s">
        <v>28</v>
      </c>
      <c r="G155" s="125"/>
      <c r="H155" s="24" t="s">
        <v>26</v>
      </c>
      <c r="I155" s="126">
        <v>10200.209999999999</v>
      </c>
      <c r="J155" s="126"/>
      <c r="K155" s="25" t="s">
        <v>29</v>
      </c>
      <c r="L155" s="26">
        <v>1736637.19</v>
      </c>
    </row>
    <row r="156" spans="1:12" ht="61.2" x14ac:dyDescent="0.3">
      <c r="A156" s="22" t="s">
        <v>520</v>
      </c>
      <c r="B156" s="23" t="s">
        <v>811</v>
      </c>
      <c r="C156" s="23" t="s">
        <v>522</v>
      </c>
      <c r="D156" s="23" t="s">
        <v>191</v>
      </c>
      <c r="E156" s="24" t="s">
        <v>523</v>
      </c>
      <c r="F156" s="125" t="s">
        <v>28</v>
      </c>
      <c r="G156" s="125"/>
      <c r="H156" s="24" t="s">
        <v>26</v>
      </c>
      <c r="I156" s="126">
        <v>9644.5499999999993</v>
      </c>
      <c r="J156" s="126"/>
      <c r="K156" s="25" t="s">
        <v>29</v>
      </c>
      <c r="L156" s="26">
        <v>1726992.64</v>
      </c>
    </row>
    <row r="157" spans="1:12" ht="61.2" x14ac:dyDescent="0.3">
      <c r="A157" s="22" t="s">
        <v>520</v>
      </c>
      <c r="B157" s="23" t="s">
        <v>811</v>
      </c>
      <c r="C157" s="23" t="s">
        <v>522</v>
      </c>
      <c r="D157" s="23" t="s">
        <v>201</v>
      </c>
      <c r="E157" s="24" t="s">
        <v>523</v>
      </c>
      <c r="F157" s="125" t="s">
        <v>28</v>
      </c>
      <c r="G157" s="125"/>
      <c r="H157" s="24" t="s">
        <v>26</v>
      </c>
      <c r="I157" s="126">
        <v>27189.599999999999</v>
      </c>
      <c r="J157" s="126"/>
      <c r="K157" s="25" t="s">
        <v>29</v>
      </c>
      <c r="L157" s="26">
        <v>1699803.04</v>
      </c>
    </row>
    <row r="158" spans="1:12" ht="61.2" x14ac:dyDescent="0.3">
      <c r="A158" s="22" t="s">
        <v>520</v>
      </c>
      <c r="B158" s="23" t="s">
        <v>811</v>
      </c>
      <c r="C158" s="23" t="s">
        <v>522</v>
      </c>
      <c r="D158" s="23" t="s">
        <v>222</v>
      </c>
      <c r="E158" s="24" t="s">
        <v>523</v>
      </c>
      <c r="F158" s="125" t="s">
        <v>28</v>
      </c>
      <c r="G158" s="125"/>
      <c r="H158" s="24" t="s">
        <v>26</v>
      </c>
      <c r="I158" s="126">
        <v>113363.96</v>
      </c>
      <c r="J158" s="126"/>
      <c r="K158" s="25" t="s">
        <v>29</v>
      </c>
      <c r="L158" s="26">
        <v>1586439.08</v>
      </c>
    </row>
    <row r="159" spans="1:12" ht="61.2" x14ac:dyDescent="0.3">
      <c r="A159" s="22" t="s">
        <v>520</v>
      </c>
      <c r="B159" s="23" t="s">
        <v>811</v>
      </c>
      <c r="C159" s="23" t="s">
        <v>522</v>
      </c>
      <c r="D159" s="23" t="s">
        <v>222</v>
      </c>
      <c r="E159" s="24" t="s">
        <v>523</v>
      </c>
      <c r="F159" s="125" t="s">
        <v>28</v>
      </c>
      <c r="G159" s="125"/>
      <c r="H159" s="24" t="s">
        <v>26</v>
      </c>
      <c r="I159" s="126">
        <v>15907.01</v>
      </c>
      <c r="J159" s="126"/>
      <c r="K159" s="25" t="s">
        <v>29</v>
      </c>
      <c r="L159" s="26">
        <v>1570532.07</v>
      </c>
    </row>
    <row r="160" spans="1:12" ht="61.2" x14ac:dyDescent="0.3">
      <c r="A160" s="22" t="s">
        <v>520</v>
      </c>
      <c r="B160" s="23" t="s">
        <v>811</v>
      </c>
      <c r="C160" s="23" t="s">
        <v>522</v>
      </c>
      <c r="D160" s="23" t="s">
        <v>222</v>
      </c>
      <c r="E160" s="24" t="s">
        <v>523</v>
      </c>
      <c r="F160" s="125" t="s">
        <v>28</v>
      </c>
      <c r="G160" s="125"/>
      <c r="H160" s="24" t="s">
        <v>26</v>
      </c>
      <c r="I160" s="126">
        <v>17674.46</v>
      </c>
      <c r="J160" s="126"/>
      <c r="K160" s="25" t="s">
        <v>29</v>
      </c>
      <c r="L160" s="26">
        <v>1552857.61</v>
      </c>
    </row>
    <row r="161" spans="1:12" ht="61.2" x14ac:dyDescent="0.3">
      <c r="A161" s="22" t="s">
        <v>520</v>
      </c>
      <c r="B161" s="23" t="s">
        <v>811</v>
      </c>
      <c r="C161" s="23" t="s">
        <v>522</v>
      </c>
      <c r="D161" s="23" t="s">
        <v>222</v>
      </c>
      <c r="E161" s="24" t="s">
        <v>523</v>
      </c>
      <c r="F161" s="125" t="s">
        <v>28</v>
      </c>
      <c r="G161" s="125"/>
      <c r="H161" s="24" t="s">
        <v>26</v>
      </c>
      <c r="I161" s="126">
        <v>1520</v>
      </c>
      <c r="J161" s="126"/>
      <c r="K161" s="25" t="s">
        <v>29</v>
      </c>
      <c r="L161" s="26">
        <v>1551337.61</v>
      </c>
    </row>
    <row r="162" spans="1:12" ht="61.2" x14ac:dyDescent="0.3">
      <c r="A162" s="22" t="s">
        <v>520</v>
      </c>
      <c r="B162" s="23" t="s">
        <v>811</v>
      </c>
      <c r="C162" s="23" t="s">
        <v>522</v>
      </c>
      <c r="D162" s="23" t="s">
        <v>228</v>
      </c>
      <c r="E162" s="24" t="s">
        <v>523</v>
      </c>
      <c r="F162" s="125" t="s">
        <v>28</v>
      </c>
      <c r="G162" s="125"/>
      <c r="H162" s="24" t="s">
        <v>26</v>
      </c>
      <c r="I162" s="126">
        <v>26826.36</v>
      </c>
      <c r="J162" s="126"/>
      <c r="K162" s="25" t="s">
        <v>29</v>
      </c>
      <c r="L162" s="26">
        <v>1524511.25</v>
      </c>
    </row>
    <row r="163" spans="1:12" ht="61.2" x14ac:dyDescent="0.3">
      <c r="A163" s="22" t="s">
        <v>520</v>
      </c>
      <c r="B163" s="23" t="s">
        <v>811</v>
      </c>
      <c r="C163" s="23" t="s">
        <v>522</v>
      </c>
      <c r="D163" s="23" t="s">
        <v>228</v>
      </c>
      <c r="E163" s="24" t="s">
        <v>523</v>
      </c>
      <c r="F163" s="125" t="s">
        <v>28</v>
      </c>
      <c r="G163" s="125"/>
      <c r="H163" s="24" t="s">
        <v>26</v>
      </c>
      <c r="I163" s="126">
        <v>1631.59</v>
      </c>
      <c r="J163" s="126"/>
      <c r="K163" s="25" t="s">
        <v>29</v>
      </c>
      <c r="L163" s="26">
        <v>1522879.66</v>
      </c>
    </row>
    <row r="164" spans="1:12" ht="61.2" x14ac:dyDescent="0.3">
      <c r="A164" s="22" t="s">
        <v>520</v>
      </c>
      <c r="B164" s="23" t="s">
        <v>811</v>
      </c>
      <c r="C164" s="23" t="s">
        <v>522</v>
      </c>
      <c r="D164" s="23" t="s">
        <v>240</v>
      </c>
      <c r="E164" s="24" t="s">
        <v>523</v>
      </c>
      <c r="F164" s="125" t="s">
        <v>28</v>
      </c>
      <c r="G164" s="125"/>
      <c r="H164" s="24" t="s">
        <v>26</v>
      </c>
      <c r="I164" s="126">
        <v>6942.33</v>
      </c>
      <c r="J164" s="126"/>
      <c r="K164" s="25" t="s">
        <v>29</v>
      </c>
      <c r="L164" s="26">
        <v>1515937.33</v>
      </c>
    </row>
    <row r="165" spans="1:12" ht="61.2" x14ac:dyDescent="0.3">
      <c r="A165" s="22" t="s">
        <v>520</v>
      </c>
      <c r="B165" s="23" t="s">
        <v>812</v>
      </c>
      <c r="C165" s="23" t="s">
        <v>522</v>
      </c>
      <c r="D165" s="23" t="s">
        <v>459</v>
      </c>
      <c r="E165" s="24" t="s">
        <v>523</v>
      </c>
      <c r="F165" s="125" t="s">
        <v>28</v>
      </c>
      <c r="G165" s="125"/>
      <c r="H165" s="24" t="s">
        <v>26</v>
      </c>
      <c r="I165" s="129">
        <v>911.2</v>
      </c>
      <c r="J165" s="129"/>
      <c r="K165" s="25" t="s">
        <v>29</v>
      </c>
      <c r="L165" s="26">
        <v>1515026.13</v>
      </c>
    </row>
    <row r="166" spans="1:12" ht="61.2" x14ac:dyDescent="0.3">
      <c r="A166" s="22" t="s">
        <v>520</v>
      </c>
      <c r="B166" s="23" t="s">
        <v>813</v>
      </c>
      <c r="C166" s="23" t="s">
        <v>522</v>
      </c>
      <c r="D166" s="23" t="s">
        <v>240</v>
      </c>
      <c r="E166" s="24" t="s">
        <v>523</v>
      </c>
      <c r="F166" s="125" t="s">
        <v>28</v>
      </c>
      <c r="G166" s="125"/>
      <c r="H166" s="24" t="s">
        <v>26</v>
      </c>
      <c r="I166" s="126">
        <v>17582.189999999999</v>
      </c>
      <c r="J166" s="126"/>
      <c r="K166" s="25" t="s">
        <v>29</v>
      </c>
      <c r="L166" s="26">
        <v>1497443.94</v>
      </c>
    </row>
    <row r="167" spans="1:12" ht="61.2" x14ac:dyDescent="0.3">
      <c r="A167" s="22" t="s">
        <v>520</v>
      </c>
      <c r="B167" s="23" t="s">
        <v>813</v>
      </c>
      <c r="C167" s="23" t="s">
        <v>522</v>
      </c>
      <c r="D167" s="23" t="s">
        <v>705</v>
      </c>
      <c r="E167" s="24" t="s">
        <v>523</v>
      </c>
      <c r="F167" s="125" t="s">
        <v>28</v>
      </c>
      <c r="G167" s="125"/>
      <c r="H167" s="24" t="s">
        <v>26</v>
      </c>
      <c r="I167" s="126">
        <v>2821.14</v>
      </c>
      <c r="J167" s="126"/>
      <c r="K167" s="25" t="s">
        <v>29</v>
      </c>
      <c r="L167" s="26">
        <v>1494622.8</v>
      </c>
    </row>
    <row r="168" spans="1:12" ht="61.2" x14ac:dyDescent="0.3">
      <c r="A168" s="22" t="s">
        <v>520</v>
      </c>
      <c r="B168" s="23" t="s">
        <v>813</v>
      </c>
      <c r="C168" s="23" t="s">
        <v>522</v>
      </c>
      <c r="D168" s="23" t="s">
        <v>705</v>
      </c>
      <c r="E168" s="24" t="s">
        <v>523</v>
      </c>
      <c r="F168" s="125" t="s">
        <v>28</v>
      </c>
      <c r="G168" s="125"/>
      <c r="H168" s="24" t="s">
        <v>26</v>
      </c>
      <c r="I168" s="126">
        <v>21830.25</v>
      </c>
      <c r="J168" s="126"/>
      <c r="K168" s="25" t="s">
        <v>29</v>
      </c>
      <c r="L168" s="26">
        <v>1472792.55</v>
      </c>
    </row>
    <row r="169" spans="1:12" ht="61.2" x14ac:dyDescent="0.3">
      <c r="A169" s="22" t="s">
        <v>520</v>
      </c>
      <c r="B169" s="23" t="s">
        <v>813</v>
      </c>
      <c r="C169" s="23" t="s">
        <v>522</v>
      </c>
      <c r="D169" s="23" t="s">
        <v>705</v>
      </c>
      <c r="E169" s="24" t="s">
        <v>523</v>
      </c>
      <c r="F169" s="125" t="s">
        <v>28</v>
      </c>
      <c r="G169" s="125"/>
      <c r="H169" s="24" t="s">
        <v>26</v>
      </c>
      <c r="I169" s="126">
        <v>8933.61</v>
      </c>
      <c r="J169" s="126"/>
      <c r="K169" s="25" t="s">
        <v>29</v>
      </c>
      <c r="L169" s="26">
        <v>1463858.94</v>
      </c>
    </row>
    <row r="170" spans="1:12" ht="61.2" x14ac:dyDescent="0.3">
      <c r="A170" s="22" t="s">
        <v>520</v>
      </c>
      <c r="B170" s="23" t="s">
        <v>813</v>
      </c>
      <c r="C170" s="23" t="s">
        <v>522</v>
      </c>
      <c r="D170" s="23" t="s">
        <v>250</v>
      </c>
      <c r="E170" s="24" t="s">
        <v>523</v>
      </c>
      <c r="F170" s="125" t="s">
        <v>28</v>
      </c>
      <c r="G170" s="125"/>
      <c r="H170" s="24" t="s">
        <v>26</v>
      </c>
      <c r="I170" s="126">
        <v>16896.439999999999</v>
      </c>
      <c r="J170" s="126"/>
      <c r="K170" s="25" t="s">
        <v>29</v>
      </c>
      <c r="L170" s="26">
        <v>1446962.5</v>
      </c>
    </row>
    <row r="171" spans="1:12" ht="61.2" x14ac:dyDescent="0.3">
      <c r="A171" s="22" t="s">
        <v>520</v>
      </c>
      <c r="B171" s="23" t="s">
        <v>813</v>
      </c>
      <c r="C171" s="23" t="s">
        <v>522</v>
      </c>
      <c r="D171" s="23" t="s">
        <v>250</v>
      </c>
      <c r="E171" s="24" t="s">
        <v>523</v>
      </c>
      <c r="F171" s="125" t="s">
        <v>28</v>
      </c>
      <c r="G171" s="125"/>
      <c r="H171" s="24" t="s">
        <v>26</v>
      </c>
      <c r="I171" s="126">
        <v>5795.06</v>
      </c>
      <c r="J171" s="126"/>
      <c r="K171" s="25" t="s">
        <v>29</v>
      </c>
      <c r="L171" s="26">
        <v>1441167.44</v>
      </c>
    </row>
    <row r="172" spans="1:12" ht="61.2" x14ac:dyDescent="0.3">
      <c r="A172" s="22" t="s">
        <v>520</v>
      </c>
      <c r="B172" s="23" t="s">
        <v>813</v>
      </c>
      <c r="C172" s="23" t="s">
        <v>522</v>
      </c>
      <c r="D172" s="23" t="s">
        <v>270</v>
      </c>
      <c r="E172" s="24" t="s">
        <v>523</v>
      </c>
      <c r="F172" s="125" t="s">
        <v>28</v>
      </c>
      <c r="G172" s="125"/>
      <c r="H172" s="24" t="s">
        <v>26</v>
      </c>
      <c r="I172" s="126">
        <v>1809.08</v>
      </c>
      <c r="J172" s="126"/>
      <c r="K172" s="25" t="s">
        <v>29</v>
      </c>
      <c r="L172" s="26">
        <v>1439358.36</v>
      </c>
    </row>
    <row r="173" spans="1:12" ht="61.2" x14ac:dyDescent="0.3">
      <c r="A173" s="22" t="s">
        <v>520</v>
      </c>
      <c r="B173" s="23" t="s">
        <v>814</v>
      </c>
      <c r="C173" s="23" t="s">
        <v>522</v>
      </c>
      <c r="D173" s="23" t="s">
        <v>270</v>
      </c>
      <c r="E173" s="24" t="s">
        <v>523</v>
      </c>
      <c r="F173" s="125" t="s">
        <v>28</v>
      </c>
      <c r="G173" s="125"/>
      <c r="H173" s="24" t="s">
        <v>26</v>
      </c>
      <c r="I173" s="126">
        <v>17854.810000000001</v>
      </c>
      <c r="J173" s="126"/>
      <c r="K173" s="25" t="s">
        <v>29</v>
      </c>
      <c r="L173" s="26">
        <v>1421503.55</v>
      </c>
    </row>
    <row r="174" spans="1:12" ht="61.2" x14ac:dyDescent="0.3">
      <c r="A174" s="22" t="s">
        <v>520</v>
      </c>
      <c r="B174" s="23" t="s">
        <v>814</v>
      </c>
      <c r="C174" s="23" t="s">
        <v>522</v>
      </c>
      <c r="D174" s="23" t="s">
        <v>711</v>
      </c>
      <c r="E174" s="24" t="s">
        <v>523</v>
      </c>
      <c r="F174" s="125" t="s">
        <v>28</v>
      </c>
      <c r="G174" s="125"/>
      <c r="H174" s="24" t="s">
        <v>26</v>
      </c>
      <c r="I174" s="126">
        <v>16732.650000000001</v>
      </c>
      <c r="J174" s="126"/>
      <c r="K174" s="25" t="s">
        <v>29</v>
      </c>
      <c r="L174" s="26">
        <v>1404770.9</v>
      </c>
    </row>
    <row r="175" spans="1:12" ht="61.2" x14ac:dyDescent="0.3">
      <c r="A175" s="22" t="s">
        <v>520</v>
      </c>
      <c r="B175" s="23" t="s">
        <v>814</v>
      </c>
      <c r="C175" s="23" t="s">
        <v>522</v>
      </c>
      <c r="D175" s="23" t="s">
        <v>711</v>
      </c>
      <c r="E175" s="24" t="s">
        <v>523</v>
      </c>
      <c r="F175" s="125" t="s">
        <v>28</v>
      </c>
      <c r="G175" s="125"/>
      <c r="H175" s="24" t="s">
        <v>26</v>
      </c>
      <c r="I175" s="126">
        <v>1875.86</v>
      </c>
      <c r="J175" s="126"/>
      <c r="K175" s="25" t="s">
        <v>29</v>
      </c>
      <c r="L175" s="26">
        <v>1402895.04</v>
      </c>
    </row>
    <row r="176" spans="1:12" ht="61.2" x14ac:dyDescent="0.3">
      <c r="A176" s="22" t="s">
        <v>520</v>
      </c>
      <c r="B176" s="23" t="s">
        <v>814</v>
      </c>
      <c r="C176" s="23" t="s">
        <v>522</v>
      </c>
      <c r="D176" s="23" t="s">
        <v>190</v>
      </c>
      <c r="E176" s="24" t="s">
        <v>523</v>
      </c>
      <c r="F176" s="125" t="s">
        <v>28</v>
      </c>
      <c r="G176" s="125"/>
      <c r="H176" s="24" t="s">
        <v>26</v>
      </c>
      <c r="I176" s="126">
        <v>7453.18</v>
      </c>
      <c r="J176" s="126"/>
      <c r="K176" s="25" t="s">
        <v>29</v>
      </c>
      <c r="L176" s="26">
        <v>1395441.86</v>
      </c>
    </row>
    <row r="177" spans="1:12" ht="61.2" x14ac:dyDescent="0.3">
      <c r="A177" s="22" t="s">
        <v>520</v>
      </c>
      <c r="B177" s="23" t="s">
        <v>815</v>
      </c>
      <c r="C177" s="23" t="s">
        <v>522</v>
      </c>
      <c r="D177" s="23" t="s">
        <v>711</v>
      </c>
      <c r="E177" s="24" t="s">
        <v>523</v>
      </c>
      <c r="F177" s="125" t="s">
        <v>28</v>
      </c>
      <c r="G177" s="125"/>
      <c r="H177" s="24" t="s">
        <v>26</v>
      </c>
      <c r="I177" s="126">
        <v>2025.92</v>
      </c>
      <c r="J177" s="126"/>
      <c r="K177" s="25" t="s">
        <v>29</v>
      </c>
      <c r="L177" s="26">
        <v>1393415.94</v>
      </c>
    </row>
    <row r="178" spans="1:12" ht="61.2" x14ac:dyDescent="0.3">
      <c r="A178" s="22" t="s">
        <v>520</v>
      </c>
      <c r="B178" s="23" t="s">
        <v>815</v>
      </c>
      <c r="C178" s="23" t="s">
        <v>522</v>
      </c>
      <c r="D178" s="23" t="s">
        <v>754</v>
      </c>
      <c r="E178" s="24" t="s">
        <v>523</v>
      </c>
      <c r="F178" s="125" t="s">
        <v>28</v>
      </c>
      <c r="G178" s="125"/>
      <c r="H178" s="24" t="s">
        <v>26</v>
      </c>
      <c r="I178" s="126">
        <v>37827.69</v>
      </c>
      <c r="J178" s="126"/>
      <c r="K178" s="25" t="s">
        <v>29</v>
      </c>
      <c r="L178" s="26">
        <v>1355588.25</v>
      </c>
    </row>
    <row r="179" spans="1:12" ht="61.2" x14ac:dyDescent="0.3">
      <c r="A179" s="22" t="s">
        <v>520</v>
      </c>
      <c r="B179" s="23" t="s">
        <v>815</v>
      </c>
      <c r="C179" s="23" t="s">
        <v>522</v>
      </c>
      <c r="D179" s="23" t="s">
        <v>759</v>
      </c>
      <c r="E179" s="24" t="s">
        <v>523</v>
      </c>
      <c r="F179" s="125" t="s">
        <v>28</v>
      </c>
      <c r="G179" s="125"/>
      <c r="H179" s="24" t="s">
        <v>26</v>
      </c>
      <c r="I179" s="126">
        <v>31971.15</v>
      </c>
      <c r="J179" s="126"/>
      <c r="K179" s="25" t="s">
        <v>29</v>
      </c>
      <c r="L179" s="26">
        <v>1323617.1000000001</v>
      </c>
    </row>
    <row r="180" spans="1:12" ht="61.2" x14ac:dyDescent="0.3">
      <c r="A180" s="22" t="s">
        <v>520</v>
      </c>
      <c r="B180" s="23" t="s">
        <v>815</v>
      </c>
      <c r="C180" s="23" t="s">
        <v>522</v>
      </c>
      <c r="D180" s="23" t="s">
        <v>393</v>
      </c>
      <c r="E180" s="24" t="s">
        <v>523</v>
      </c>
      <c r="F180" s="125" t="s">
        <v>28</v>
      </c>
      <c r="G180" s="125"/>
      <c r="H180" s="24" t="s">
        <v>26</v>
      </c>
      <c r="I180" s="126">
        <v>1638.51</v>
      </c>
      <c r="J180" s="126"/>
      <c r="K180" s="25" t="s">
        <v>29</v>
      </c>
      <c r="L180" s="26">
        <v>1321978.5900000001</v>
      </c>
    </row>
    <row r="181" spans="1:12" ht="61.2" x14ac:dyDescent="0.3">
      <c r="A181" s="22" t="s">
        <v>520</v>
      </c>
      <c r="B181" s="23" t="s">
        <v>815</v>
      </c>
      <c r="C181" s="23" t="s">
        <v>522</v>
      </c>
      <c r="D181" s="23" t="s">
        <v>393</v>
      </c>
      <c r="E181" s="24" t="s">
        <v>523</v>
      </c>
      <c r="F181" s="125" t="s">
        <v>28</v>
      </c>
      <c r="G181" s="125"/>
      <c r="H181" s="24" t="s">
        <v>26</v>
      </c>
      <c r="I181" s="126">
        <v>18130.47</v>
      </c>
      <c r="J181" s="126"/>
      <c r="K181" s="25" t="s">
        <v>29</v>
      </c>
      <c r="L181" s="26">
        <v>1303848.1200000001</v>
      </c>
    </row>
    <row r="182" spans="1:12" ht="61.2" x14ac:dyDescent="0.3">
      <c r="A182" s="22" t="s">
        <v>520</v>
      </c>
      <c r="B182" s="23" t="s">
        <v>815</v>
      </c>
      <c r="C182" s="23" t="s">
        <v>522</v>
      </c>
      <c r="D182" s="23" t="s">
        <v>210</v>
      </c>
      <c r="E182" s="24" t="s">
        <v>523</v>
      </c>
      <c r="F182" s="125" t="s">
        <v>28</v>
      </c>
      <c r="G182" s="125"/>
      <c r="H182" s="24" t="s">
        <v>26</v>
      </c>
      <c r="I182" s="126">
        <v>1507.57</v>
      </c>
      <c r="J182" s="126"/>
      <c r="K182" s="25" t="s">
        <v>29</v>
      </c>
      <c r="L182" s="26">
        <v>1302340.55</v>
      </c>
    </row>
    <row r="183" spans="1:12" ht="61.2" x14ac:dyDescent="0.3">
      <c r="A183" s="22" t="s">
        <v>520</v>
      </c>
      <c r="B183" s="23" t="s">
        <v>815</v>
      </c>
      <c r="C183" s="23" t="s">
        <v>522</v>
      </c>
      <c r="D183" s="23" t="s">
        <v>340</v>
      </c>
      <c r="E183" s="24" t="s">
        <v>523</v>
      </c>
      <c r="F183" s="125" t="s">
        <v>28</v>
      </c>
      <c r="G183" s="125"/>
      <c r="H183" s="24" t="s">
        <v>26</v>
      </c>
      <c r="I183" s="126">
        <v>7374.86</v>
      </c>
      <c r="J183" s="126"/>
      <c r="K183" s="25" t="s">
        <v>29</v>
      </c>
      <c r="L183" s="26">
        <v>1294965.69</v>
      </c>
    </row>
    <row r="184" spans="1:12" ht="61.2" x14ac:dyDescent="0.3">
      <c r="A184" s="22" t="s">
        <v>520</v>
      </c>
      <c r="B184" s="23" t="s">
        <v>815</v>
      </c>
      <c r="C184" s="23" t="s">
        <v>522</v>
      </c>
      <c r="D184" s="23" t="s">
        <v>360</v>
      </c>
      <c r="E184" s="24" t="s">
        <v>523</v>
      </c>
      <c r="F184" s="125" t="s">
        <v>28</v>
      </c>
      <c r="G184" s="125"/>
      <c r="H184" s="24" t="s">
        <v>26</v>
      </c>
      <c r="I184" s="126">
        <v>7739.32</v>
      </c>
      <c r="J184" s="126"/>
      <c r="K184" s="25" t="s">
        <v>29</v>
      </c>
      <c r="L184" s="26">
        <v>1287226.3700000001</v>
      </c>
    </row>
    <row r="185" spans="1:12" ht="71.400000000000006" x14ac:dyDescent="0.3">
      <c r="A185" s="22" t="s">
        <v>520</v>
      </c>
      <c r="B185" s="23" t="s">
        <v>816</v>
      </c>
      <c r="C185" s="23" t="s">
        <v>522</v>
      </c>
      <c r="D185" s="23" t="s">
        <v>293</v>
      </c>
      <c r="E185" s="24" t="s">
        <v>523</v>
      </c>
      <c r="F185" s="125" t="s">
        <v>28</v>
      </c>
      <c r="G185" s="125"/>
      <c r="H185" s="24" t="s">
        <v>26</v>
      </c>
      <c r="I185" s="126">
        <v>26165.33</v>
      </c>
      <c r="J185" s="126"/>
      <c r="K185" s="25" t="s">
        <v>29</v>
      </c>
      <c r="L185" s="26">
        <v>1261061.04</v>
      </c>
    </row>
    <row r="186" spans="1:12" ht="71.400000000000006" x14ac:dyDescent="0.3">
      <c r="A186" s="22" t="s">
        <v>520</v>
      </c>
      <c r="B186" s="23" t="s">
        <v>816</v>
      </c>
      <c r="C186" s="23" t="s">
        <v>522</v>
      </c>
      <c r="D186" s="23" t="s">
        <v>298</v>
      </c>
      <c r="E186" s="24" t="s">
        <v>523</v>
      </c>
      <c r="F186" s="125" t="s">
        <v>28</v>
      </c>
      <c r="G186" s="125"/>
      <c r="H186" s="24" t="s">
        <v>26</v>
      </c>
      <c r="I186" s="126">
        <v>17125.330000000002</v>
      </c>
      <c r="J186" s="126"/>
      <c r="K186" s="25" t="s">
        <v>29</v>
      </c>
      <c r="L186" s="26">
        <v>1243935.71</v>
      </c>
    </row>
    <row r="187" spans="1:12" ht="71.400000000000006" x14ac:dyDescent="0.3">
      <c r="A187" s="22" t="s">
        <v>520</v>
      </c>
      <c r="B187" s="23" t="s">
        <v>816</v>
      </c>
      <c r="C187" s="23" t="s">
        <v>522</v>
      </c>
      <c r="D187" s="23" t="s">
        <v>717</v>
      </c>
      <c r="E187" s="24" t="s">
        <v>523</v>
      </c>
      <c r="F187" s="125" t="s">
        <v>28</v>
      </c>
      <c r="G187" s="125"/>
      <c r="H187" s="24" t="s">
        <v>26</v>
      </c>
      <c r="I187" s="126">
        <v>18250.66</v>
      </c>
      <c r="J187" s="126"/>
      <c r="K187" s="25" t="s">
        <v>29</v>
      </c>
      <c r="L187" s="26">
        <v>1225685.05</v>
      </c>
    </row>
    <row r="188" spans="1:12" ht="71.400000000000006" x14ac:dyDescent="0.3">
      <c r="A188" s="22" t="s">
        <v>520</v>
      </c>
      <c r="B188" s="23" t="s">
        <v>816</v>
      </c>
      <c r="C188" s="23" t="s">
        <v>522</v>
      </c>
      <c r="D188" s="23" t="s">
        <v>722</v>
      </c>
      <c r="E188" s="24" t="s">
        <v>523</v>
      </c>
      <c r="F188" s="125" t="s">
        <v>28</v>
      </c>
      <c r="G188" s="125"/>
      <c r="H188" s="24" t="s">
        <v>26</v>
      </c>
      <c r="I188" s="126">
        <v>89200</v>
      </c>
      <c r="J188" s="126"/>
      <c r="K188" s="25" t="s">
        <v>29</v>
      </c>
      <c r="L188" s="26">
        <v>1136485.05</v>
      </c>
    </row>
    <row r="189" spans="1:12" ht="71.400000000000006" x14ac:dyDescent="0.3">
      <c r="A189" s="22" t="s">
        <v>520</v>
      </c>
      <c r="B189" s="23" t="s">
        <v>816</v>
      </c>
      <c r="C189" s="23" t="s">
        <v>522</v>
      </c>
      <c r="D189" s="23" t="s">
        <v>726</v>
      </c>
      <c r="E189" s="24" t="s">
        <v>523</v>
      </c>
      <c r="F189" s="125" t="s">
        <v>28</v>
      </c>
      <c r="G189" s="125"/>
      <c r="H189" s="24" t="s">
        <v>26</v>
      </c>
      <c r="I189" s="126">
        <v>1568</v>
      </c>
      <c r="J189" s="126"/>
      <c r="K189" s="25" t="s">
        <v>29</v>
      </c>
      <c r="L189" s="26">
        <v>1134917.05</v>
      </c>
    </row>
    <row r="190" spans="1:12" ht="71.400000000000006" x14ac:dyDescent="0.3">
      <c r="A190" s="22" t="s">
        <v>520</v>
      </c>
      <c r="B190" s="23" t="s">
        <v>816</v>
      </c>
      <c r="C190" s="23" t="s">
        <v>522</v>
      </c>
      <c r="D190" s="23" t="s">
        <v>726</v>
      </c>
      <c r="E190" s="24" t="s">
        <v>523</v>
      </c>
      <c r="F190" s="125" t="s">
        <v>28</v>
      </c>
      <c r="G190" s="125"/>
      <c r="H190" s="24" t="s">
        <v>26</v>
      </c>
      <c r="I190" s="126">
        <v>7936</v>
      </c>
      <c r="J190" s="126"/>
      <c r="K190" s="25" t="s">
        <v>29</v>
      </c>
      <c r="L190" s="26">
        <v>1126981.05</v>
      </c>
    </row>
    <row r="191" spans="1:12" ht="71.400000000000006" x14ac:dyDescent="0.3">
      <c r="A191" s="22" t="s">
        <v>520</v>
      </c>
      <c r="B191" s="23" t="s">
        <v>816</v>
      </c>
      <c r="C191" s="23" t="s">
        <v>522</v>
      </c>
      <c r="D191" s="23" t="s">
        <v>734</v>
      </c>
      <c r="E191" s="24" t="s">
        <v>523</v>
      </c>
      <c r="F191" s="125" t="s">
        <v>28</v>
      </c>
      <c r="G191" s="125"/>
      <c r="H191" s="24" t="s">
        <v>26</v>
      </c>
      <c r="I191" s="126">
        <v>8554.66</v>
      </c>
      <c r="J191" s="126"/>
      <c r="K191" s="25" t="s">
        <v>29</v>
      </c>
      <c r="L191" s="26">
        <v>1118426.3899999999</v>
      </c>
    </row>
    <row r="192" spans="1:12" ht="71.400000000000006" x14ac:dyDescent="0.3">
      <c r="A192" s="22" t="s">
        <v>520</v>
      </c>
      <c r="B192" s="23" t="s">
        <v>816</v>
      </c>
      <c r="C192" s="23" t="s">
        <v>522</v>
      </c>
      <c r="D192" s="23" t="s">
        <v>738</v>
      </c>
      <c r="E192" s="24" t="s">
        <v>523</v>
      </c>
      <c r="F192" s="125" t="s">
        <v>28</v>
      </c>
      <c r="G192" s="125"/>
      <c r="H192" s="24" t="s">
        <v>26</v>
      </c>
      <c r="I192" s="126">
        <v>66114.67</v>
      </c>
      <c r="J192" s="126"/>
      <c r="K192" s="25" t="s">
        <v>29</v>
      </c>
      <c r="L192" s="26">
        <v>1052311.72</v>
      </c>
    </row>
    <row r="193" spans="1:12" ht="61.2" x14ac:dyDescent="0.3">
      <c r="A193" s="22" t="s">
        <v>520</v>
      </c>
      <c r="B193" s="23" t="s">
        <v>816</v>
      </c>
      <c r="C193" s="23" t="s">
        <v>522</v>
      </c>
      <c r="D193" s="23" t="s">
        <v>292</v>
      </c>
      <c r="E193" s="24" t="s">
        <v>523</v>
      </c>
      <c r="F193" s="125" t="s">
        <v>28</v>
      </c>
      <c r="G193" s="125"/>
      <c r="H193" s="24" t="s">
        <v>26</v>
      </c>
      <c r="I193" s="126">
        <v>34076</v>
      </c>
      <c r="J193" s="126"/>
      <c r="K193" s="25" t="s">
        <v>29</v>
      </c>
      <c r="L193" s="26">
        <v>1018235.72</v>
      </c>
    </row>
    <row r="194" spans="1:12" ht="61.2" x14ac:dyDescent="0.3">
      <c r="A194" s="22" t="s">
        <v>520</v>
      </c>
      <c r="B194" s="23" t="s">
        <v>816</v>
      </c>
      <c r="C194" s="23" t="s">
        <v>522</v>
      </c>
      <c r="D194" s="23" t="s">
        <v>292</v>
      </c>
      <c r="E194" s="24" t="s">
        <v>523</v>
      </c>
      <c r="F194" s="125" t="s">
        <v>28</v>
      </c>
      <c r="G194" s="125"/>
      <c r="H194" s="24" t="s">
        <v>26</v>
      </c>
      <c r="I194" s="126">
        <v>1001</v>
      </c>
      <c r="J194" s="126"/>
      <c r="K194" s="25" t="s">
        <v>29</v>
      </c>
      <c r="L194" s="26">
        <v>1017234.72</v>
      </c>
    </row>
    <row r="195" spans="1:12" ht="61.2" x14ac:dyDescent="0.3">
      <c r="A195" s="22" t="s">
        <v>520</v>
      </c>
      <c r="B195" s="23" t="s">
        <v>816</v>
      </c>
      <c r="C195" s="23" t="s">
        <v>522</v>
      </c>
      <c r="D195" s="23" t="s">
        <v>297</v>
      </c>
      <c r="E195" s="24" t="s">
        <v>523</v>
      </c>
      <c r="F195" s="125" t="s">
        <v>28</v>
      </c>
      <c r="G195" s="125"/>
      <c r="H195" s="24" t="s">
        <v>26</v>
      </c>
      <c r="I195" s="126">
        <v>10500</v>
      </c>
      <c r="J195" s="126"/>
      <c r="K195" s="25" t="s">
        <v>29</v>
      </c>
      <c r="L195" s="26">
        <v>1006734.72</v>
      </c>
    </row>
    <row r="196" spans="1:12" ht="61.2" x14ac:dyDescent="0.3">
      <c r="A196" s="22" t="s">
        <v>520</v>
      </c>
      <c r="B196" s="23" t="s">
        <v>816</v>
      </c>
      <c r="C196" s="23" t="s">
        <v>522</v>
      </c>
      <c r="D196" s="23" t="s">
        <v>297</v>
      </c>
      <c r="E196" s="24" t="s">
        <v>523</v>
      </c>
      <c r="F196" s="125" t="s">
        <v>28</v>
      </c>
      <c r="G196" s="125"/>
      <c r="H196" s="24" t="s">
        <v>26</v>
      </c>
      <c r="I196" s="126">
        <v>50176</v>
      </c>
      <c r="J196" s="126"/>
      <c r="K196" s="25" t="s">
        <v>29</v>
      </c>
      <c r="L196" s="26">
        <v>956558.72</v>
      </c>
    </row>
    <row r="197" spans="1:12" ht="61.2" x14ac:dyDescent="0.3">
      <c r="A197" s="22" t="s">
        <v>520</v>
      </c>
      <c r="B197" s="23" t="s">
        <v>816</v>
      </c>
      <c r="C197" s="23" t="s">
        <v>522</v>
      </c>
      <c r="D197" s="23" t="s">
        <v>719</v>
      </c>
      <c r="E197" s="24" t="s">
        <v>523</v>
      </c>
      <c r="F197" s="125" t="s">
        <v>28</v>
      </c>
      <c r="G197" s="125"/>
      <c r="H197" s="24" t="s">
        <v>26</v>
      </c>
      <c r="I197" s="126">
        <v>10500</v>
      </c>
      <c r="J197" s="126"/>
      <c r="K197" s="25" t="s">
        <v>29</v>
      </c>
      <c r="L197" s="26">
        <v>946058.72</v>
      </c>
    </row>
    <row r="198" spans="1:12" ht="61.2" x14ac:dyDescent="0.3">
      <c r="A198" s="22" t="s">
        <v>520</v>
      </c>
      <c r="B198" s="23" t="s">
        <v>816</v>
      </c>
      <c r="C198" s="23" t="s">
        <v>522</v>
      </c>
      <c r="D198" s="23" t="s">
        <v>719</v>
      </c>
      <c r="E198" s="24" t="s">
        <v>523</v>
      </c>
      <c r="F198" s="125" t="s">
        <v>28</v>
      </c>
      <c r="G198" s="125"/>
      <c r="H198" s="24" t="s">
        <v>26</v>
      </c>
      <c r="I198" s="126">
        <v>21224.01</v>
      </c>
      <c r="J198" s="126"/>
      <c r="K198" s="25" t="s">
        <v>29</v>
      </c>
      <c r="L198" s="26">
        <v>924834.71</v>
      </c>
    </row>
    <row r="199" spans="1:12" ht="61.2" x14ac:dyDescent="0.3">
      <c r="A199" s="22" t="s">
        <v>520</v>
      </c>
      <c r="B199" s="23" t="s">
        <v>816</v>
      </c>
      <c r="C199" s="23" t="s">
        <v>522</v>
      </c>
      <c r="D199" s="23" t="s">
        <v>719</v>
      </c>
      <c r="E199" s="24" t="s">
        <v>523</v>
      </c>
      <c r="F199" s="125" t="s">
        <v>28</v>
      </c>
      <c r="G199" s="125"/>
      <c r="H199" s="24" t="s">
        <v>26</v>
      </c>
      <c r="I199" s="126">
        <v>2352</v>
      </c>
      <c r="J199" s="126"/>
      <c r="K199" s="25" t="s">
        <v>29</v>
      </c>
      <c r="L199" s="26">
        <v>922482.71</v>
      </c>
    </row>
    <row r="200" spans="1:12" ht="61.2" x14ac:dyDescent="0.3">
      <c r="A200" s="22" t="s">
        <v>520</v>
      </c>
      <c r="B200" s="23" t="s">
        <v>816</v>
      </c>
      <c r="C200" s="23" t="s">
        <v>522</v>
      </c>
      <c r="D200" s="23" t="s">
        <v>320</v>
      </c>
      <c r="E200" s="24" t="s">
        <v>523</v>
      </c>
      <c r="F200" s="125" t="s">
        <v>28</v>
      </c>
      <c r="G200" s="125"/>
      <c r="H200" s="24" t="s">
        <v>26</v>
      </c>
      <c r="I200" s="126">
        <v>20125</v>
      </c>
      <c r="J200" s="126"/>
      <c r="K200" s="25" t="s">
        <v>29</v>
      </c>
      <c r="L200" s="26">
        <v>902357.71</v>
      </c>
    </row>
    <row r="201" spans="1:12" ht="61.2" x14ac:dyDescent="0.3">
      <c r="A201" s="22" t="s">
        <v>520</v>
      </c>
      <c r="B201" s="23" t="s">
        <v>816</v>
      </c>
      <c r="C201" s="23" t="s">
        <v>522</v>
      </c>
      <c r="D201" s="23" t="s">
        <v>320</v>
      </c>
      <c r="E201" s="24" t="s">
        <v>523</v>
      </c>
      <c r="F201" s="125" t="s">
        <v>28</v>
      </c>
      <c r="G201" s="125"/>
      <c r="H201" s="24" t="s">
        <v>26</v>
      </c>
      <c r="I201" s="126">
        <v>1099</v>
      </c>
      <c r="J201" s="126"/>
      <c r="K201" s="25" t="s">
        <v>29</v>
      </c>
      <c r="L201" s="26">
        <v>901258.71</v>
      </c>
    </row>
    <row r="202" spans="1:12" ht="61.2" x14ac:dyDescent="0.3">
      <c r="A202" s="22" t="s">
        <v>520</v>
      </c>
      <c r="B202" s="23" t="s">
        <v>816</v>
      </c>
      <c r="C202" s="23" t="s">
        <v>522</v>
      </c>
      <c r="D202" s="23" t="s">
        <v>724</v>
      </c>
      <c r="E202" s="24" t="s">
        <v>523</v>
      </c>
      <c r="F202" s="125" t="s">
        <v>28</v>
      </c>
      <c r="G202" s="125"/>
      <c r="H202" s="24" t="s">
        <v>26</v>
      </c>
      <c r="I202" s="126">
        <v>2201.5</v>
      </c>
      <c r="J202" s="126"/>
      <c r="K202" s="25" t="s">
        <v>29</v>
      </c>
      <c r="L202" s="26">
        <v>899057.21</v>
      </c>
    </row>
    <row r="203" spans="1:12" ht="71.400000000000006" x14ac:dyDescent="0.3">
      <c r="A203" s="22" t="s">
        <v>520</v>
      </c>
      <c r="B203" s="23" t="s">
        <v>816</v>
      </c>
      <c r="C203" s="23" t="s">
        <v>522</v>
      </c>
      <c r="D203" s="23" t="s">
        <v>109</v>
      </c>
      <c r="E203" s="24" t="s">
        <v>523</v>
      </c>
      <c r="F203" s="125" t="s">
        <v>28</v>
      </c>
      <c r="G203" s="125"/>
      <c r="H203" s="24" t="s">
        <v>26</v>
      </c>
      <c r="I203" s="126">
        <v>4813.33</v>
      </c>
      <c r="J203" s="126"/>
      <c r="K203" s="25" t="s">
        <v>29</v>
      </c>
      <c r="L203" s="26">
        <v>894243.88</v>
      </c>
    </row>
    <row r="204" spans="1:12" ht="61.2" x14ac:dyDescent="0.3">
      <c r="A204" s="22" t="s">
        <v>520</v>
      </c>
      <c r="B204" s="23" t="s">
        <v>816</v>
      </c>
      <c r="C204" s="23" t="s">
        <v>522</v>
      </c>
      <c r="D204" s="23" t="s">
        <v>333</v>
      </c>
      <c r="E204" s="24" t="s">
        <v>523</v>
      </c>
      <c r="F204" s="125" t="s">
        <v>28</v>
      </c>
      <c r="G204" s="125"/>
      <c r="H204" s="24" t="s">
        <v>26</v>
      </c>
      <c r="I204" s="126">
        <v>4889.92</v>
      </c>
      <c r="J204" s="126"/>
      <c r="K204" s="25" t="s">
        <v>29</v>
      </c>
      <c r="L204" s="26">
        <v>889353.96</v>
      </c>
    </row>
    <row r="205" spans="1:12" ht="71.400000000000006" x14ac:dyDescent="0.3">
      <c r="A205" s="22" t="s">
        <v>520</v>
      </c>
      <c r="B205" s="23" t="s">
        <v>816</v>
      </c>
      <c r="C205" s="23" t="s">
        <v>522</v>
      </c>
      <c r="D205" s="23" t="s">
        <v>332</v>
      </c>
      <c r="E205" s="24" t="s">
        <v>523</v>
      </c>
      <c r="F205" s="125" t="s">
        <v>28</v>
      </c>
      <c r="G205" s="125"/>
      <c r="H205" s="24" t="s">
        <v>26</v>
      </c>
      <c r="I205" s="129">
        <v>905.63</v>
      </c>
      <c r="J205" s="129"/>
      <c r="K205" s="25" t="s">
        <v>29</v>
      </c>
      <c r="L205" s="26">
        <v>888448.33</v>
      </c>
    </row>
    <row r="206" spans="1:12" ht="61.2" x14ac:dyDescent="0.3">
      <c r="A206" s="22" t="s">
        <v>520</v>
      </c>
      <c r="B206" s="23" t="s">
        <v>817</v>
      </c>
      <c r="C206" s="23" t="s">
        <v>522</v>
      </c>
      <c r="D206" s="23" t="s">
        <v>393</v>
      </c>
      <c r="E206" s="24" t="s">
        <v>523</v>
      </c>
      <c r="F206" s="125" t="s">
        <v>28</v>
      </c>
      <c r="G206" s="125"/>
      <c r="H206" s="24" t="s">
        <v>26</v>
      </c>
      <c r="I206" s="126">
        <v>10507.84</v>
      </c>
      <c r="J206" s="126"/>
      <c r="K206" s="25" t="s">
        <v>29</v>
      </c>
      <c r="L206" s="26">
        <v>877940.49</v>
      </c>
    </row>
    <row r="207" spans="1:12" ht="61.2" x14ac:dyDescent="0.3">
      <c r="A207" s="22" t="s">
        <v>520</v>
      </c>
      <c r="B207" s="23" t="s">
        <v>817</v>
      </c>
      <c r="C207" s="23" t="s">
        <v>522</v>
      </c>
      <c r="D207" s="23" t="s">
        <v>765</v>
      </c>
      <c r="E207" s="24" t="s">
        <v>523</v>
      </c>
      <c r="F207" s="125" t="s">
        <v>28</v>
      </c>
      <c r="G207" s="125"/>
      <c r="H207" s="24" t="s">
        <v>26</v>
      </c>
      <c r="I207" s="126">
        <v>22420.15</v>
      </c>
      <c r="J207" s="126"/>
      <c r="K207" s="25" t="s">
        <v>29</v>
      </c>
      <c r="L207" s="26">
        <v>855520.34</v>
      </c>
    </row>
    <row r="208" spans="1:12" ht="61.2" x14ac:dyDescent="0.3">
      <c r="A208" s="22" t="s">
        <v>520</v>
      </c>
      <c r="B208" s="23" t="s">
        <v>817</v>
      </c>
      <c r="C208" s="23" t="s">
        <v>522</v>
      </c>
      <c r="D208" s="23" t="s">
        <v>765</v>
      </c>
      <c r="E208" s="24" t="s">
        <v>523</v>
      </c>
      <c r="F208" s="125" t="s">
        <v>28</v>
      </c>
      <c r="G208" s="125"/>
      <c r="H208" s="24" t="s">
        <v>26</v>
      </c>
      <c r="I208" s="126">
        <v>6186.1</v>
      </c>
      <c r="J208" s="126"/>
      <c r="K208" s="25" t="s">
        <v>29</v>
      </c>
      <c r="L208" s="26">
        <v>849334.24</v>
      </c>
    </row>
    <row r="209" spans="1:14" ht="61.2" x14ac:dyDescent="0.3">
      <c r="A209" s="22" t="s">
        <v>520</v>
      </c>
      <c r="B209" s="23" t="s">
        <v>817</v>
      </c>
      <c r="C209" s="23" t="s">
        <v>522</v>
      </c>
      <c r="D209" s="23" t="s">
        <v>412</v>
      </c>
      <c r="E209" s="24" t="s">
        <v>523</v>
      </c>
      <c r="F209" s="125" t="s">
        <v>28</v>
      </c>
      <c r="G209" s="125"/>
      <c r="H209" s="24" t="s">
        <v>26</v>
      </c>
      <c r="I209" s="126">
        <v>24369.01</v>
      </c>
      <c r="J209" s="126"/>
      <c r="K209" s="25" t="s">
        <v>29</v>
      </c>
      <c r="L209" s="26">
        <v>824965.23</v>
      </c>
    </row>
    <row r="210" spans="1:14" ht="61.2" x14ac:dyDescent="0.3">
      <c r="A210" s="22" t="s">
        <v>520</v>
      </c>
      <c r="B210" s="23" t="s">
        <v>817</v>
      </c>
      <c r="C210" s="23" t="s">
        <v>522</v>
      </c>
      <c r="D210" s="23" t="s">
        <v>412</v>
      </c>
      <c r="E210" s="24" t="s">
        <v>523</v>
      </c>
      <c r="F210" s="125" t="s">
        <v>28</v>
      </c>
      <c r="G210" s="125"/>
      <c r="H210" s="24" t="s">
        <v>26</v>
      </c>
      <c r="I210" s="126">
        <v>24225.03</v>
      </c>
      <c r="J210" s="126"/>
      <c r="K210" s="25" t="s">
        <v>29</v>
      </c>
      <c r="L210" s="26">
        <v>800740.2</v>
      </c>
    </row>
    <row r="211" spans="1:14" ht="61.2" x14ac:dyDescent="0.3">
      <c r="A211" s="22" t="s">
        <v>520</v>
      </c>
      <c r="B211" s="23" t="s">
        <v>817</v>
      </c>
      <c r="C211" s="23" t="s">
        <v>522</v>
      </c>
      <c r="D211" s="23" t="s">
        <v>773</v>
      </c>
      <c r="E211" s="24" t="s">
        <v>523</v>
      </c>
      <c r="F211" s="125" t="s">
        <v>28</v>
      </c>
      <c r="G211" s="125"/>
      <c r="H211" s="24" t="s">
        <v>26</v>
      </c>
      <c r="I211" s="126">
        <v>23073.43</v>
      </c>
      <c r="J211" s="126"/>
      <c r="K211" s="25" t="s">
        <v>29</v>
      </c>
      <c r="L211" s="26">
        <v>777666.77</v>
      </c>
    </row>
    <row r="212" spans="1:14" ht="61.2" x14ac:dyDescent="0.3">
      <c r="A212" s="22" t="s">
        <v>520</v>
      </c>
      <c r="B212" s="23" t="s">
        <v>817</v>
      </c>
      <c r="C212" s="23" t="s">
        <v>522</v>
      </c>
      <c r="D212" s="23" t="s">
        <v>773</v>
      </c>
      <c r="E212" s="24" t="s">
        <v>523</v>
      </c>
      <c r="F212" s="125" t="s">
        <v>28</v>
      </c>
      <c r="G212" s="125"/>
      <c r="H212" s="24" t="s">
        <v>26</v>
      </c>
      <c r="I212" s="126">
        <v>9917.83</v>
      </c>
      <c r="J212" s="126"/>
      <c r="K212" s="25" t="s">
        <v>29</v>
      </c>
      <c r="L212" s="26">
        <v>767748.94</v>
      </c>
    </row>
    <row r="213" spans="1:14" ht="61.2" x14ac:dyDescent="0.3">
      <c r="A213" s="22" t="s">
        <v>520</v>
      </c>
      <c r="B213" s="23" t="s">
        <v>817</v>
      </c>
      <c r="C213" s="23" t="s">
        <v>522</v>
      </c>
      <c r="D213" s="23" t="s">
        <v>731</v>
      </c>
      <c r="E213" s="24" t="s">
        <v>523</v>
      </c>
      <c r="F213" s="125" t="s">
        <v>28</v>
      </c>
      <c r="G213" s="125"/>
      <c r="H213" s="24" t="s">
        <v>26</v>
      </c>
      <c r="I213" s="126">
        <v>16085</v>
      </c>
      <c r="J213" s="126"/>
      <c r="K213" s="25" t="s">
        <v>29</v>
      </c>
      <c r="L213" s="26">
        <v>751663.94</v>
      </c>
    </row>
    <row r="214" spans="1:14" ht="61.2" x14ac:dyDescent="0.3">
      <c r="A214" s="22" t="s">
        <v>520</v>
      </c>
      <c r="B214" s="23" t="s">
        <v>817</v>
      </c>
      <c r="C214" s="23" t="s">
        <v>522</v>
      </c>
      <c r="D214" s="23" t="s">
        <v>743</v>
      </c>
      <c r="E214" s="24" t="s">
        <v>523</v>
      </c>
      <c r="F214" s="125" t="s">
        <v>28</v>
      </c>
      <c r="G214" s="125"/>
      <c r="H214" s="24" t="s">
        <v>26</v>
      </c>
      <c r="I214" s="126">
        <v>39165</v>
      </c>
      <c r="J214" s="126"/>
      <c r="K214" s="25" t="s">
        <v>29</v>
      </c>
      <c r="L214" s="26">
        <v>712498.94</v>
      </c>
    </row>
    <row r="215" spans="1:14" ht="71.400000000000006" x14ac:dyDescent="0.3">
      <c r="A215" s="22" t="s">
        <v>520</v>
      </c>
      <c r="B215" s="23" t="s">
        <v>817</v>
      </c>
      <c r="C215" s="23" t="s">
        <v>522</v>
      </c>
      <c r="D215" s="23" t="s">
        <v>738</v>
      </c>
      <c r="E215" s="24" t="s">
        <v>523</v>
      </c>
      <c r="F215" s="125" t="s">
        <v>28</v>
      </c>
      <c r="G215" s="125"/>
      <c r="H215" s="24" t="s">
        <v>26</v>
      </c>
      <c r="I215" s="126">
        <v>65511.99</v>
      </c>
      <c r="J215" s="126"/>
      <c r="K215" s="25" t="s">
        <v>29</v>
      </c>
      <c r="L215" s="26">
        <v>646986.94999999995</v>
      </c>
    </row>
    <row r="216" spans="1:14" ht="71.400000000000006" x14ac:dyDescent="0.3">
      <c r="A216" s="22" t="s">
        <v>520</v>
      </c>
      <c r="B216" s="23" t="s">
        <v>817</v>
      </c>
      <c r="C216" s="23" t="s">
        <v>522</v>
      </c>
      <c r="D216" s="23" t="s">
        <v>738</v>
      </c>
      <c r="E216" s="24" t="s">
        <v>523</v>
      </c>
      <c r="F216" s="125" t="s">
        <v>28</v>
      </c>
      <c r="G216" s="125"/>
      <c r="H216" s="24" t="s">
        <v>26</v>
      </c>
      <c r="I216" s="126">
        <v>6205.33</v>
      </c>
      <c r="J216" s="126"/>
      <c r="K216" s="25" t="s">
        <v>29</v>
      </c>
      <c r="L216" s="26">
        <v>640781.62</v>
      </c>
      <c r="M216">
        <f>SUBTOTAL(9,I134:J216)</f>
        <v>1376069.7200000002</v>
      </c>
      <c r="N216" t="s">
        <v>1471</v>
      </c>
    </row>
    <row r="217" spans="1:14" ht="71.400000000000006" hidden="1" x14ac:dyDescent="0.3">
      <c r="A217" s="22" t="s">
        <v>527</v>
      </c>
      <c r="B217" s="23" t="s">
        <v>539</v>
      </c>
      <c r="C217" s="23" t="s">
        <v>540</v>
      </c>
      <c r="D217" s="23" t="s">
        <v>529</v>
      </c>
      <c r="E217" s="24" t="s">
        <v>26</v>
      </c>
      <c r="F217" s="130">
        <v>67854.27</v>
      </c>
      <c r="G217" s="130"/>
      <c r="H217" s="24" t="s">
        <v>26</v>
      </c>
      <c r="I217" s="131" t="s">
        <v>28</v>
      </c>
      <c r="J217" s="131"/>
      <c r="K217" s="25" t="s">
        <v>29</v>
      </c>
      <c r="L217" s="26">
        <v>708635.89</v>
      </c>
    </row>
    <row r="218" spans="1:14" ht="71.400000000000006" hidden="1" x14ac:dyDescent="0.3">
      <c r="A218" s="22" t="s">
        <v>818</v>
      </c>
      <c r="B218" s="23" t="s">
        <v>819</v>
      </c>
      <c r="C218" s="23" t="s">
        <v>820</v>
      </c>
      <c r="D218" s="23" t="s">
        <v>821</v>
      </c>
      <c r="E218" s="24" t="s">
        <v>26</v>
      </c>
      <c r="F218" s="130">
        <v>3324</v>
      </c>
      <c r="G218" s="130"/>
      <c r="H218" s="24" t="s">
        <v>27</v>
      </c>
      <c r="I218" s="131" t="s">
        <v>28</v>
      </c>
      <c r="J218" s="131"/>
      <c r="K218" s="25" t="s">
        <v>29</v>
      </c>
      <c r="L218" s="26">
        <v>711959.89</v>
      </c>
    </row>
    <row r="219" spans="1:14" ht="71.400000000000006" hidden="1" x14ac:dyDescent="0.3">
      <c r="A219" s="22" t="s">
        <v>818</v>
      </c>
      <c r="B219" s="23" t="s">
        <v>822</v>
      </c>
      <c r="C219" s="23" t="s">
        <v>823</v>
      </c>
      <c r="D219" s="23" t="s">
        <v>824</v>
      </c>
      <c r="E219" s="24" t="s">
        <v>26</v>
      </c>
      <c r="F219" s="130">
        <v>21813</v>
      </c>
      <c r="G219" s="130"/>
      <c r="H219" s="24" t="s">
        <v>27</v>
      </c>
      <c r="I219" s="131" t="s">
        <v>28</v>
      </c>
      <c r="J219" s="131"/>
      <c r="K219" s="25" t="s">
        <v>29</v>
      </c>
      <c r="L219" s="26">
        <v>733772.89</v>
      </c>
    </row>
    <row r="220" spans="1:14" ht="71.400000000000006" hidden="1" x14ac:dyDescent="0.3">
      <c r="A220" s="22" t="s">
        <v>818</v>
      </c>
      <c r="B220" s="23" t="s">
        <v>825</v>
      </c>
      <c r="C220" s="23" t="s">
        <v>823</v>
      </c>
      <c r="D220" s="23" t="s">
        <v>824</v>
      </c>
      <c r="E220" s="24" t="s">
        <v>26</v>
      </c>
      <c r="F220" s="130">
        <v>50897</v>
      </c>
      <c r="G220" s="130"/>
      <c r="H220" s="24" t="s">
        <v>27</v>
      </c>
      <c r="I220" s="131" t="s">
        <v>28</v>
      </c>
      <c r="J220" s="131"/>
      <c r="K220" s="25" t="s">
        <v>29</v>
      </c>
      <c r="L220" s="26">
        <v>784669.89</v>
      </c>
    </row>
    <row r="221" spans="1:14" ht="71.400000000000006" hidden="1" x14ac:dyDescent="0.3">
      <c r="A221" s="22" t="s">
        <v>543</v>
      </c>
      <c r="B221" s="23" t="s">
        <v>552</v>
      </c>
      <c r="C221" s="23" t="s">
        <v>553</v>
      </c>
      <c r="D221" s="23" t="s">
        <v>545</v>
      </c>
      <c r="E221" s="24" t="s">
        <v>26</v>
      </c>
      <c r="F221" s="130">
        <v>8635.4699999999993</v>
      </c>
      <c r="G221" s="130"/>
      <c r="H221" s="24" t="s">
        <v>26</v>
      </c>
      <c r="I221" s="131" t="s">
        <v>28</v>
      </c>
      <c r="J221" s="131"/>
      <c r="K221" s="25" t="s">
        <v>29</v>
      </c>
      <c r="L221" s="26">
        <v>793305.36</v>
      </c>
    </row>
    <row r="222" spans="1:14" ht="61.2" hidden="1" x14ac:dyDescent="0.3">
      <c r="A222" s="22" t="s">
        <v>543</v>
      </c>
      <c r="B222" s="23" t="s">
        <v>552</v>
      </c>
      <c r="C222" s="23" t="s">
        <v>554</v>
      </c>
      <c r="D222" s="23" t="s">
        <v>547</v>
      </c>
      <c r="E222" s="24" t="s">
        <v>26</v>
      </c>
      <c r="F222" s="130">
        <v>4495.8500000000004</v>
      </c>
      <c r="G222" s="130"/>
      <c r="H222" s="24" t="s">
        <v>26</v>
      </c>
      <c r="I222" s="131" t="s">
        <v>28</v>
      </c>
      <c r="J222" s="131"/>
      <c r="K222" s="25" t="s">
        <v>29</v>
      </c>
      <c r="L222" s="26">
        <v>797801.21</v>
      </c>
    </row>
    <row r="223" spans="1:14" ht="61.2" x14ac:dyDescent="0.3">
      <c r="A223" s="22" t="s">
        <v>543</v>
      </c>
      <c r="B223" s="23" t="s">
        <v>826</v>
      </c>
      <c r="C223" s="23" t="s">
        <v>522</v>
      </c>
      <c r="D223" s="23" t="s">
        <v>80</v>
      </c>
      <c r="E223" s="24" t="s">
        <v>523</v>
      </c>
      <c r="F223" s="125" t="s">
        <v>28</v>
      </c>
      <c r="G223" s="125"/>
      <c r="H223" s="24" t="s">
        <v>26</v>
      </c>
      <c r="I223" s="129">
        <v>944</v>
      </c>
      <c r="J223" s="129"/>
      <c r="K223" s="25" t="s">
        <v>29</v>
      </c>
      <c r="L223" s="26">
        <v>796857.21</v>
      </c>
    </row>
    <row r="224" spans="1:14" ht="61.2" x14ac:dyDescent="0.3">
      <c r="A224" s="22" t="s">
        <v>543</v>
      </c>
      <c r="B224" s="23" t="s">
        <v>827</v>
      </c>
      <c r="C224" s="23" t="s">
        <v>522</v>
      </c>
      <c r="D224" s="23" t="s">
        <v>360</v>
      </c>
      <c r="E224" s="24" t="s">
        <v>523</v>
      </c>
      <c r="F224" s="125" t="s">
        <v>28</v>
      </c>
      <c r="G224" s="125"/>
      <c r="H224" s="24" t="s">
        <v>26</v>
      </c>
      <c r="I224" s="126">
        <v>2457.31</v>
      </c>
      <c r="J224" s="126"/>
      <c r="K224" s="25" t="s">
        <v>29</v>
      </c>
      <c r="L224" s="26">
        <v>794399.9</v>
      </c>
    </row>
    <row r="225" spans="1:12" ht="61.2" x14ac:dyDescent="0.3">
      <c r="A225" s="22" t="s">
        <v>543</v>
      </c>
      <c r="B225" s="23" t="s">
        <v>827</v>
      </c>
      <c r="C225" s="23" t="s">
        <v>522</v>
      </c>
      <c r="D225" s="23" t="s">
        <v>773</v>
      </c>
      <c r="E225" s="24" t="s">
        <v>523</v>
      </c>
      <c r="F225" s="125" t="s">
        <v>28</v>
      </c>
      <c r="G225" s="125"/>
      <c r="H225" s="24" t="s">
        <v>26</v>
      </c>
      <c r="I225" s="126">
        <v>20162.830000000002</v>
      </c>
      <c r="J225" s="126"/>
      <c r="K225" s="25" t="s">
        <v>29</v>
      </c>
      <c r="L225" s="26">
        <v>774237.07</v>
      </c>
    </row>
    <row r="226" spans="1:12" ht="71.400000000000006" hidden="1" x14ac:dyDescent="0.3">
      <c r="A226" s="22" t="s">
        <v>558</v>
      </c>
      <c r="B226" s="23" t="s">
        <v>567</v>
      </c>
      <c r="C226" s="23" t="s">
        <v>568</v>
      </c>
      <c r="D226" s="23" t="s">
        <v>560</v>
      </c>
      <c r="E226" s="24" t="s">
        <v>26</v>
      </c>
      <c r="F226" s="130">
        <v>24151.69</v>
      </c>
      <c r="G226" s="130"/>
      <c r="H226" s="24" t="s">
        <v>26</v>
      </c>
      <c r="I226" s="131" t="s">
        <v>28</v>
      </c>
      <c r="J226" s="131"/>
      <c r="K226" s="25" t="s">
        <v>29</v>
      </c>
      <c r="L226" s="26">
        <v>798388.76</v>
      </c>
    </row>
    <row r="227" spans="1:12" ht="71.400000000000006" hidden="1" x14ac:dyDescent="0.3">
      <c r="A227" s="22" t="s">
        <v>571</v>
      </c>
      <c r="B227" s="23" t="s">
        <v>828</v>
      </c>
      <c r="C227" s="23" t="s">
        <v>829</v>
      </c>
      <c r="D227" s="23" t="s">
        <v>830</v>
      </c>
      <c r="E227" s="24" t="s">
        <v>26</v>
      </c>
      <c r="F227" s="130">
        <v>6558</v>
      </c>
      <c r="G227" s="130"/>
      <c r="H227" s="24" t="s">
        <v>27</v>
      </c>
      <c r="I227" s="131" t="s">
        <v>28</v>
      </c>
      <c r="J227" s="131"/>
      <c r="K227" s="25" t="s">
        <v>29</v>
      </c>
      <c r="L227" s="26">
        <v>804946.76</v>
      </c>
    </row>
    <row r="228" spans="1:12" ht="71.400000000000006" hidden="1" x14ac:dyDescent="0.3">
      <c r="A228" s="22" t="s">
        <v>571</v>
      </c>
      <c r="B228" s="23" t="s">
        <v>580</v>
      </c>
      <c r="C228" s="23" t="s">
        <v>581</v>
      </c>
      <c r="D228" s="23" t="s">
        <v>573</v>
      </c>
      <c r="E228" s="24" t="s">
        <v>26</v>
      </c>
      <c r="F228" s="130">
        <v>5072.91</v>
      </c>
      <c r="G228" s="130"/>
      <c r="H228" s="24" t="s">
        <v>26</v>
      </c>
      <c r="I228" s="131" t="s">
        <v>28</v>
      </c>
      <c r="J228" s="131"/>
      <c r="K228" s="25" t="s">
        <v>29</v>
      </c>
      <c r="L228" s="26">
        <v>810019.67</v>
      </c>
    </row>
    <row r="229" spans="1:12" ht="71.400000000000006" hidden="1" x14ac:dyDescent="0.3">
      <c r="A229" s="22" t="s">
        <v>588</v>
      </c>
      <c r="B229" s="23" t="s">
        <v>602</v>
      </c>
      <c r="C229" s="23" t="s">
        <v>603</v>
      </c>
      <c r="D229" s="23" t="s">
        <v>593</v>
      </c>
      <c r="E229" s="24" t="s">
        <v>26</v>
      </c>
      <c r="F229" s="130">
        <v>5135.78</v>
      </c>
      <c r="G229" s="130"/>
      <c r="H229" s="24" t="s">
        <v>26</v>
      </c>
      <c r="I229" s="131" t="s">
        <v>28</v>
      </c>
      <c r="J229" s="131"/>
      <c r="K229" s="25" t="s">
        <v>29</v>
      </c>
      <c r="L229" s="26">
        <v>815155.45</v>
      </c>
    </row>
    <row r="230" spans="1:12" ht="71.400000000000006" hidden="1" x14ac:dyDescent="0.3">
      <c r="A230" s="22" t="s">
        <v>604</v>
      </c>
      <c r="B230" s="23" t="s">
        <v>831</v>
      </c>
      <c r="C230" s="23" t="s">
        <v>832</v>
      </c>
      <c r="D230" s="23" t="s">
        <v>833</v>
      </c>
      <c r="E230" s="24" t="s">
        <v>26</v>
      </c>
      <c r="F230" s="130">
        <v>13462.5</v>
      </c>
      <c r="G230" s="130"/>
      <c r="H230" s="24" t="s">
        <v>27</v>
      </c>
      <c r="I230" s="131" t="s">
        <v>28</v>
      </c>
      <c r="J230" s="131"/>
      <c r="K230" s="25" t="s">
        <v>29</v>
      </c>
      <c r="L230" s="26">
        <v>828617.95</v>
      </c>
    </row>
    <row r="231" spans="1:12" ht="71.400000000000006" hidden="1" x14ac:dyDescent="0.3">
      <c r="A231" s="22" t="s">
        <v>604</v>
      </c>
      <c r="B231" s="23" t="s">
        <v>834</v>
      </c>
      <c r="C231" s="23" t="s">
        <v>832</v>
      </c>
      <c r="D231" s="23" t="s">
        <v>835</v>
      </c>
      <c r="E231" s="24" t="s">
        <v>26</v>
      </c>
      <c r="F231" s="130">
        <v>7035</v>
      </c>
      <c r="G231" s="130"/>
      <c r="H231" s="24" t="s">
        <v>27</v>
      </c>
      <c r="I231" s="131" t="s">
        <v>28</v>
      </c>
      <c r="J231" s="131"/>
      <c r="K231" s="25" t="s">
        <v>29</v>
      </c>
      <c r="L231" s="26">
        <v>835652.95</v>
      </c>
    </row>
    <row r="232" spans="1:12" ht="61.2" hidden="1" x14ac:dyDescent="0.3">
      <c r="A232" s="22" t="s">
        <v>641</v>
      </c>
      <c r="B232" s="23" t="s">
        <v>646</v>
      </c>
      <c r="C232" s="23" t="s">
        <v>647</v>
      </c>
      <c r="D232" s="23" t="s">
        <v>645</v>
      </c>
      <c r="E232" s="24" t="s">
        <v>26</v>
      </c>
      <c r="F232" s="130">
        <v>10832.92</v>
      </c>
      <c r="G232" s="130"/>
      <c r="H232" s="24" t="s">
        <v>26</v>
      </c>
      <c r="I232" s="131" t="s">
        <v>28</v>
      </c>
      <c r="J232" s="131"/>
      <c r="K232" s="25" t="s">
        <v>29</v>
      </c>
      <c r="L232" s="26">
        <v>846485.87</v>
      </c>
    </row>
    <row r="233" spans="1:12" ht="71.400000000000006" hidden="1" x14ac:dyDescent="0.3">
      <c r="A233" s="22" t="s">
        <v>836</v>
      </c>
      <c r="B233" s="23" t="s">
        <v>837</v>
      </c>
      <c r="C233" s="23" t="s">
        <v>838</v>
      </c>
      <c r="D233" s="23" t="s">
        <v>644</v>
      </c>
      <c r="E233" s="24" t="s">
        <v>26</v>
      </c>
      <c r="F233" s="130">
        <v>40387.5</v>
      </c>
      <c r="G233" s="130"/>
      <c r="H233" s="24" t="s">
        <v>27</v>
      </c>
      <c r="I233" s="131" t="s">
        <v>28</v>
      </c>
      <c r="J233" s="131"/>
      <c r="K233" s="25" t="s">
        <v>29</v>
      </c>
      <c r="L233" s="26">
        <v>886873.37</v>
      </c>
    </row>
    <row r="234" spans="1:12" ht="71.400000000000006" hidden="1" x14ac:dyDescent="0.3">
      <c r="A234" s="22" t="s">
        <v>836</v>
      </c>
      <c r="B234" s="23" t="s">
        <v>839</v>
      </c>
      <c r="C234" s="23" t="s">
        <v>838</v>
      </c>
      <c r="D234" s="23" t="s">
        <v>644</v>
      </c>
      <c r="E234" s="24" t="s">
        <v>26</v>
      </c>
      <c r="F234" s="130">
        <v>14838.5</v>
      </c>
      <c r="G234" s="130"/>
      <c r="H234" s="24" t="s">
        <v>27</v>
      </c>
      <c r="I234" s="131" t="s">
        <v>28</v>
      </c>
      <c r="J234" s="131"/>
      <c r="K234" s="25" t="s">
        <v>29</v>
      </c>
      <c r="L234" s="26">
        <v>901711.87</v>
      </c>
    </row>
    <row r="235" spans="1:12" ht="61.2" hidden="1" x14ac:dyDescent="0.3">
      <c r="A235" s="22" t="s">
        <v>661</v>
      </c>
      <c r="B235" s="23" t="s">
        <v>840</v>
      </c>
      <c r="C235" s="23" t="s">
        <v>841</v>
      </c>
      <c r="D235" s="23" t="s">
        <v>842</v>
      </c>
      <c r="E235" s="24" t="s">
        <v>26</v>
      </c>
      <c r="F235" s="130">
        <v>2200</v>
      </c>
      <c r="G235" s="130"/>
      <c r="H235" s="24" t="s">
        <v>27</v>
      </c>
      <c r="I235" s="131" t="s">
        <v>28</v>
      </c>
      <c r="J235" s="131"/>
      <c r="K235" s="25" t="s">
        <v>29</v>
      </c>
      <c r="L235" s="26">
        <v>903911.87</v>
      </c>
    </row>
    <row r="236" spans="1:12" ht="61.2" hidden="1" x14ac:dyDescent="0.3">
      <c r="A236" s="22" t="s">
        <v>843</v>
      </c>
      <c r="B236" s="23" t="s">
        <v>844</v>
      </c>
      <c r="C236" s="23" t="s">
        <v>845</v>
      </c>
      <c r="D236" s="23" t="s">
        <v>846</v>
      </c>
      <c r="E236" s="24" t="s">
        <v>26</v>
      </c>
      <c r="F236" s="130">
        <v>5382.3</v>
      </c>
      <c r="G236" s="130"/>
      <c r="H236" s="24" t="s">
        <v>27</v>
      </c>
      <c r="I236" s="131" t="s">
        <v>28</v>
      </c>
      <c r="J236" s="131"/>
      <c r="K236" s="25" t="s">
        <v>29</v>
      </c>
      <c r="L236" s="26">
        <v>909294.17</v>
      </c>
    </row>
    <row r="237" spans="1:12" ht="61.2" hidden="1" x14ac:dyDescent="0.3">
      <c r="A237" s="22" t="s">
        <v>843</v>
      </c>
      <c r="B237" s="23" t="s">
        <v>844</v>
      </c>
      <c r="C237" s="23" t="s">
        <v>847</v>
      </c>
      <c r="D237" s="23" t="s">
        <v>846</v>
      </c>
      <c r="E237" s="24" t="s">
        <v>26</v>
      </c>
      <c r="F237" s="130">
        <v>14552.91</v>
      </c>
      <c r="G237" s="130"/>
      <c r="H237" s="24" t="s">
        <v>27</v>
      </c>
      <c r="I237" s="131" t="s">
        <v>28</v>
      </c>
      <c r="J237" s="131"/>
      <c r="K237" s="25" t="s">
        <v>29</v>
      </c>
      <c r="L237" s="26">
        <v>923847.08</v>
      </c>
    </row>
    <row r="238" spans="1:12" ht="71.400000000000006" hidden="1" x14ac:dyDescent="0.3">
      <c r="A238" s="22" t="s">
        <v>843</v>
      </c>
      <c r="B238" s="23" t="s">
        <v>844</v>
      </c>
      <c r="C238" s="23" t="s">
        <v>848</v>
      </c>
      <c r="D238" s="23" t="s">
        <v>846</v>
      </c>
      <c r="E238" s="24" t="s">
        <v>26</v>
      </c>
      <c r="F238" s="130">
        <v>1617.75</v>
      </c>
      <c r="G238" s="130"/>
      <c r="H238" s="24" t="s">
        <v>27</v>
      </c>
      <c r="I238" s="131" t="s">
        <v>28</v>
      </c>
      <c r="J238" s="131"/>
      <c r="K238" s="25" t="s">
        <v>29</v>
      </c>
      <c r="L238" s="26">
        <v>925464.83</v>
      </c>
    </row>
    <row r="239" spans="1:12" ht="71.400000000000006" hidden="1" x14ac:dyDescent="0.3">
      <c r="A239" s="22" t="s">
        <v>843</v>
      </c>
      <c r="B239" s="23" t="s">
        <v>844</v>
      </c>
      <c r="C239" s="23" t="s">
        <v>849</v>
      </c>
      <c r="D239" s="23" t="s">
        <v>846</v>
      </c>
      <c r="E239" s="24" t="s">
        <v>26</v>
      </c>
      <c r="F239" s="130">
        <v>7794.43</v>
      </c>
      <c r="G239" s="130"/>
      <c r="H239" s="24" t="s">
        <v>27</v>
      </c>
      <c r="I239" s="131" t="s">
        <v>28</v>
      </c>
      <c r="J239" s="131"/>
      <c r="K239" s="25" t="s">
        <v>29</v>
      </c>
      <c r="L239" s="26">
        <v>933259.26</v>
      </c>
    </row>
    <row r="240" spans="1:12" ht="71.400000000000006" hidden="1" x14ac:dyDescent="0.3">
      <c r="A240" s="22" t="s">
        <v>843</v>
      </c>
      <c r="B240" s="23" t="s">
        <v>844</v>
      </c>
      <c r="C240" s="23" t="s">
        <v>850</v>
      </c>
      <c r="D240" s="23" t="s">
        <v>846</v>
      </c>
      <c r="E240" s="24" t="s">
        <v>26</v>
      </c>
      <c r="F240" s="130">
        <v>17767.599999999999</v>
      </c>
      <c r="G240" s="130"/>
      <c r="H240" s="24" t="s">
        <v>27</v>
      </c>
      <c r="I240" s="131" t="s">
        <v>28</v>
      </c>
      <c r="J240" s="131"/>
      <c r="K240" s="25" t="s">
        <v>29</v>
      </c>
      <c r="L240" s="26">
        <v>951026.86</v>
      </c>
    </row>
    <row r="241" spans="1:12" ht="61.2" hidden="1" x14ac:dyDescent="0.3">
      <c r="A241" s="22" t="s">
        <v>851</v>
      </c>
      <c r="B241" s="23" t="s">
        <v>852</v>
      </c>
      <c r="C241" s="23" t="s">
        <v>853</v>
      </c>
      <c r="D241" s="23" t="s">
        <v>854</v>
      </c>
      <c r="E241" s="24" t="s">
        <v>26</v>
      </c>
      <c r="F241" s="130">
        <v>16851.330000000002</v>
      </c>
      <c r="G241" s="130"/>
      <c r="H241" s="24" t="s">
        <v>27</v>
      </c>
      <c r="I241" s="131" t="s">
        <v>28</v>
      </c>
      <c r="J241" s="131"/>
      <c r="K241" s="25" t="s">
        <v>29</v>
      </c>
      <c r="L241" s="26">
        <v>967878.19</v>
      </c>
    </row>
    <row r="242" spans="1:12" ht="71.400000000000006" x14ac:dyDescent="0.3">
      <c r="A242" s="22" t="s">
        <v>666</v>
      </c>
      <c r="B242" s="23" t="s">
        <v>855</v>
      </c>
      <c r="C242" s="23" t="s">
        <v>522</v>
      </c>
      <c r="D242" s="23" t="s">
        <v>770</v>
      </c>
      <c r="E242" s="24" t="s">
        <v>523</v>
      </c>
      <c r="F242" s="125" t="s">
        <v>28</v>
      </c>
      <c r="G242" s="125"/>
      <c r="H242" s="24" t="s">
        <v>26</v>
      </c>
      <c r="I242" s="126">
        <v>14357.3</v>
      </c>
      <c r="J242" s="126"/>
      <c r="K242" s="25" t="s">
        <v>29</v>
      </c>
      <c r="L242" s="26">
        <v>953520.89</v>
      </c>
    </row>
    <row r="243" spans="1:12" ht="61.2" x14ac:dyDescent="0.3">
      <c r="A243" s="22" t="s">
        <v>666</v>
      </c>
      <c r="B243" s="23" t="s">
        <v>855</v>
      </c>
      <c r="C243" s="23" t="s">
        <v>522</v>
      </c>
      <c r="D243" s="23" t="s">
        <v>449</v>
      </c>
      <c r="E243" s="24" t="s">
        <v>523</v>
      </c>
      <c r="F243" s="125" t="s">
        <v>28</v>
      </c>
      <c r="G243" s="125"/>
      <c r="H243" s="24" t="s">
        <v>26</v>
      </c>
      <c r="I243" s="126">
        <v>30802.06</v>
      </c>
      <c r="J243" s="126"/>
      <c r="K243" s="25" t="s">
        <v>29</v>
      </c>
      <c r="L243" s="26">
        <v>922718.83</v>
      </c>
    </row>
    <row r="244" spans="1:12" ht="61.2" x14ac:dyDescent="0.3">
      <c r="A244" s="22" t="s">
        <v>666</v>
      </c>
      <c r="B244" s="23" t="s">
        <v>855</v>
      </c>
      <c r="C244" s="23" t="s">
        <v>522</v>
      </c>
      <c r="D244" s="23" t="s">
        <v>853</v>
      </c>
      <c r="E244" s="24" t="s">
        <v>523</v>
      </c>
      <c r="F244" s="125" t="s">
        <v>28</v>
      </c>
      <c r="G244" s="125"/>
      <c r="H244" s="24" t="s">
        <v>26</v>
      </c>
      <c r="I244" s="126">
        <v>1094.42</v>
      </c>
      <c r="J244" s="126"/>
      <c r="K244" s="25" t="s">
        <v>29</v>
      </c>
      <c r="L244" s="26">
        <v>921624.41</v>
      </c>
    </row>
    <row r="245" spans="1:12" ht="61.2" x14ac:dyDescent="0.3">
      <c r="A245" s="22" t="s">
        <v>666</v>
      </c>
      <c r="B245" s="23" t="s">
        <v>855</v>
      </c>
      <c r="C245" s="23" t="s">
        <v>522</v>
      </c>
      <c r="D245" s="23" t="s">
        <v>516</v>
      </c>
      <c r="E245" s="24" t="s">
        <v>523</v>
      </c>
      <c r="F245" s="125" t="s">
        <v>28</v>
      </c>
      <c r="G245" s="125"/>
      <c r="H245" s="24" t="s">
        <v>26</v>
      </c>
      <c r="I245" s="126">
        <v>2368.08</v>
      </c>
      <c r="J245" s="126"/>
      <c r="K245" s="25" t="s">
        <v>29</v>
      </c>
      <c r="L245" s="26">
        <v>919256.33</v>
      </c>
    </row>
    <row r="246" spans="1:12" ht="61.2" x14ac:dyDescent="0.3">
      <c r="A246" s="22" t="s">
        <v>666</v>
      </c>
      <c r="B246" s="23" t="s">
        <v>855</v>
      </c>
      <c r="C246" s="23" t="s">
        <v>522</v>
      </c>
      <c r="D246" s="23" t="s">
        <v>360</v>
      </c>
      <c r="E246" s="24" t="s">
        <v>523</v>
      </c>
      <c r="F246" s="125" t="s">
        <v>28</v>
      </c>
      <c r="G246" s="125"/>
      <c r="H246" s="24" t="s">
        <v>26</v>
      </c>
      <c r="I246" s="126">
        <v>3354.7</v>
      </c>
      <c r="J246" s="126"/>
      <c r="K246" s="25" t="s">
        <v>29</v>
      </c>
      <c r="L246" s="26">
        <v>915901.63</v>
      </c>
    </row>
    <row r="247" spans="1:12" ht="61.2" x14ac:dyDescent="0.3">
      <c r="A247" s="22" t="s">
        <v>666</v>
      </c>
      <c r="B247" s="23" t="s">
        <v>855</v>
      </c>
      <c r="C247" s="23" t="s">
        <v>522</v>
      </c>
      <c r="D247" s="23" t="s">
        <v>380</v>
      </c>
      <c r="E247" s="24" t="s">
        <v>523</v>
      </c>
      <c r="F247" s="125" t="s">
        <v>28</v>
      </c>
      <c r="G247" s="125"/>
      <c r="H247" s="24" t="s">
        <v>26</v>
      </c>
      <c r="I247" s="126">
        <v>5665.66</v>
      </c>
      <c r="J247" s="126"/>
      <c r="K247" s="25" t="s">
        <v>29</v>
      </c>
      <c r="L247" s="26">
        <v>910235.97</v>
      </c>
    </row>
    <row r="248" spans="1:12" ht="71.400000000000006" x14ac:dyDescent="0.3">
      <c r="A248" s="22" t="s">
        <v>666</v>
      </c>
      <c r="B248" s="23" t="s">
        <v>855</v>
      </c>
      <c r="C248" s="23" t="s">
        <v>522</v>
      </c>
      <c r="D248" s="23" t="s">
        <v>515</v>
      </c>
      <c r="E248" s="24" t="s">
        <v>523</v>
      </c>
      <c r="F248" s="125" t="s">
        <v>28</v>
      </c>
      <c r="G248" s="125"/>
      <c r="H248" s="24" t="s">
        <v>26</v>
      </c>
      <c r="I248" s="126">
        <v>18672.099999999999</v>
      </c>
      <c r="J248" s="126"/>
      <c r="K248" s="25" t="s">
        <v>29</v>
      </c>
      <c r="L248" s="26">
        <v>891563.87</v>
      </c>
    </row>
    <row r="249" spans="1:12" ht="71.400000000000006" x14ac:dyDescent="0.3">
      <c r="A249" s="22" t="s">
        <v>666</v>
      </c>
      <c r="B249" s="23" t="s">
        <v>855</v>
      </c>
      <c r="C249" s="23" t="s">
        <v>522</v>
      </c>
      <c r="D249" s="23" t="s">
        <v>540</v>
      </c>
      <c r="E249" s="24" t="s">
        <v>523</v>
      </c>
      <c r="F249" s="125" t="s">
        <v>28</v>
      </c>
      <c r="G249" s="125"/>
      <c r="H249" s="24" t="s">
        <v>26</v>
      </c>
      <c r="I249" s="126">
        <v>1435.65</v>
      </c>
      <c r="J249" s="126"/>
      <c r="K249" s="25" t="s">
        <v>29</v>
      </c>
      <c r="L249" s="26">
        <v>890128.22</v>
      </c>
    </row>
    <row r="250" spans="1:12" ht="71.400000000000006" x14ac:dyDescent="0.3">
      <c r="A250" s="22" t="s">
        <v>666</v>
      </c>
      <c r="B250" s="23" t="s">
        <v>855</v>
      </c>
      <c r="C250" s="23" t="s">
        <v>522</v>
      </c>
      <c r="D250" s="23" t="s">
        <v>540</v>
      </c>
      <c r="E250" s="24" t="s">
        <v>523</v>
      </c>
      <c r="F250" s="125" t="s">
        <v>28</v>
      </c>
      <c r="G250" s="125"/>
      <c r="H250" s="24" t="s">
        <v>26</v>
      </c>
      <c r="I250" s="126">
        <v>1360.66</v>
      </c>
      <c r="J250" s="126"/>
      <c r="K250" s="25" t="s">
        <v>29</v>
      </c>
      <c r="L250" s="26">
        <v>888767.56</v>
      </c>
    </row>
    <row r="251" spans="1:12" ht="71.400000000000006" x14ac:dyDescent="0.3">
      <c r="A251" s="22" t="s">
        <v>666</v>
      </c>
      <c r="B251" s="23" t="s">
        <v>855</v>
      </c>
      <c r="C251" s="23" t="s">
        <v>522</v>
      </c>
      <c r="D251" s="23" t="s">
        <v>540</v>
      </c>
      <c r="E251" s="24" t="s">
        <v>523</v>
      </c>
      <c r="F251" s="125" t="s">
        <v>28</v>
      </c>
      <c r="G251" s="125"/>
      <c r="H251" s="24" t="s">
        <v>26</v>
      </c>
      <c r="I251" s="126">
        <v>17856.39</v>
      </c>
      <c r="J251" s="126"/>
      <c r="K251" s="25" t="s">
        <v>29</v>
      </c>
      <c r="L251" s="26">
        <v>870911.17</v>
      </c>
    </row>
    <row r="252" spans="1:12" ht="71.400000000000006" x14ac:dyDescent="0.3">
      <c r="A252" s="22" t="s">
        <v>666</v>
      </c>
      <c r="B252" s="23" t="s">
        <v>855</v>
      </c>
      <c r="C252" s="23" t="s">
        <v>522</v>
      </c>
      <c r="D252" s="23" t="s">
        <v>540</v>
      </c>
      <c r="E252" s="24" t="s">
        <v>523</v>
      </c>
      <c r="F252" s="125" t="s">
        <v>28</v>
      </c>
      <c r="G252" s="125"/>
      <c r="H252" s="24" t="s">
        <v>26</v>
      </c>
      <c r="I252" s="126">
        <v>4642.66</v>
      </c>
      <c r="J252" s="126"/>
      <c r="K252" s="25" t="s">
        <v>29</v>
      </c>
      <c r="L252" s="26">
        <v>866268.51</v>
      </c>
    </row>
    <row r="253" spans="1:12" ht="61.2" x14ac:dyDescent="0.3">
      <c r="A253" s="22" t="s">
        <v>666</v>
      </c>
      <c r="B253" s="23" t="s">
        <v>855</v>
      </c>
      <c r="C253" s="23" t="s">
        <v>522</v>
      </c>
      <c r="D253" s="23" t="s">
        <v>773</v>
      </c>
      <c r="E253" s="24" t="s">
        <v>523</v>
      </c>
      <c r="F253" s="125" t="s">
        <v>28</v>
      </c>
      <c r="G253" s="125"/>
      <c r="H253" s="24" t="s">
        <v>26</v>
      </c>
      <c r="I253" s="126">
        <v>12269.48</v>
      </c>
      <c r="J253" s="126"/>
      <c r="K253" s="25" t="s">
        <v>29</v>
      </c>
      <c r="L253" s="26">
        <v>853999.03</v>
      </c>
    </row>
    <row r="254" spans="1:12" ht="61.2" x14ac:dyDescent="0.3">
      <c r="A254" s="22" t="s">
        <v>666</v>
      </c>
      <c r="B254" s="23" t="s">
        <v>855</v>
      </c>
      <c r="C254" s="23" t="s">
        <v>522</v>
      </c>
      <c r="D254" s="23" t="s">
        <v>773</v>
      </c>
      <c r="E254" s="24" t="s">
        <v>523</v>
      </c>
      <c r="F254" s="125" t="s">
        <v>28</v>
      </c>
      <c r="G254" s="125"/>
      <c r="H254" s="24" t="s">
        <v>26</v>
      </c>
      <c r="I254" s="126">
        <v>1704.09</v>
      </c>
      <c r="J254" s="126"/>
      <c r="K254" s="25" t="s">
        <v>29</v>
      </c>
      <c r="L254" s="26">
        <v>852294.94</v>
      </c>
    </row>
    <row r="255" spans="1:12" ht="61.2" x14ac:dyDescent="0.3">
      <c r="A255" s="22" t="s">
        <v>666</v>
      </c>
      <c r="B255" s="23" t="s">
        <v>855</v>
      </c>
      <c r="C255" s="23" t="s">
        <v>522</v>
      </c>
      <c r="D255" s="23" t="s">
        <v>773</v>
      </c>
      <c r="E255" s="24" t="s">
        <v>523</v>
      </c>
      <c r="F255" s="125" t="s">
        <v>28</v>
      </c>
      <c r="G255" s="125"/>
      <c r="H255" s="24" t="s">
        <v>26</v>
      </c>
      <c r="I255" s="126">
        <v>1036.0899999999999</v>
      </c>
      <c r="J255" s="126"/>
      <c r="K255" s="25" t="s">
        <v>29</v>
      </c>
      <c r="L255" s="26">
        <v>851258.85</v>
      </c>
    </row>
    <row r="256" spans="1:12" ht="61.2" x14ac:dyDescent="0.3">
      <c r="A256" s="22" t="s">
        <v>666</v>
      </c>
      <c r="B256" s="23" t="s">
        <v>855</v>
      </c>
      <c r="C256" s="23" t="s">
        <v>522</v>
      </c>
      <c r="D256" s="23" t="s">
        <v>443</v>
      </c>
      <c r="E256" s="24" t="s">
        <v>523</v>
      </c>
      <c r="F256" s="125" t="s">
        <v>28</v>
      </c>
      <c r="G256" s="125"/>
      <c r="H256" s="24" t="s">
        <v>26</v>
      </c>
      <c r="I256" s="126">
        <v>5885.84</v>
      </c>
      <c r="J256" s="126"/>
      <c r="K256" s="25" t="s">
        <v>29</v>
      </c>
      <c r="L256" s="26">
        <v>845373.01</v>
      </c>
    </row>
    <row r="257" spans="1:12" ht="61.2" x14ac:dyDescent="0.3">
      <c r="A257" s="22" t="s">
        <v>666</v>
      </c>
      <c r="B257" s="23" t="s">
        <v>855</v>
      </c>
      <c r="C257" s="23" t="s">
        <v>522</v>
      </c>
      <c r="D257" s="23" t="s">
        <v>443</v>
      </c>
      <c r="E257" s="24" t="s">
        <v>523</v>
      </c>
      <c r="F257" s="125" t="s">
        <v>28</v>
      </c>
      <c r="G257" s="125"/>
      <c r="H257" s="24" t="s">
        <v>26</v>
      </c>
      <c r="I257" s="126">
        <v>1151.03</v>
      </c>
      <c r="J257" s="126"/>
      <c r="K257" s="25" t="s">
        <v>29</v>
      </c>
      <c r="L257" s="26">
        <v>844221.98</v>
      </c>
    </row>
    <row r="258" spans="1:12" ht="61.2" hidden="1" x14ac:dyDescent="0.3">
      <c r="A258" s="22" t="s">
        <v>666</v>
      </c>
      <c r="B258" s="23" t="s">
        <v>674</v>
      </c>
      <c r="C258" s="23" t="s">
        <v>333</v>
      </c>
      <c r="D258" s="23" t="s">
        <v>327</v>
      </c>
      <c r="E258" s="24" t="s">
        <v>26</v>
      </c>
      <c r="F258" s="130">
        <v>4380.07</v>
      </c>
      <c r="G258" s="130"/>
      <c r="H258" s="24" t="s">
        <v>26</v>
      </c>
      <c r="I258" s="131" t="s">
        <v>28</v>
      </c>
      <c r="J258" s="131"/>
      <c r="K258" s="25" t="s">
        <v>29</v>
      </c>
      <c r="L258" s="26">
        <v>848602.05</v>
      </c>
    </row>
    <row r="259" spans="1:12" ht="61.2" hidden="1" x14ac:dyDescent="0.3">
      <c r="A259" s="22" t="s">
        <v>666</v>
      </c>
      <c r="B259" s="23" t="s">
        <v>856</v>
      </c>
      <c r="C259" s="23" t="s">
        <v>857</v>
      </c>
      <c r="D259" s="23" t="s">
        <v>504</v>
      </c>
      <c r="E259" s="24" t="s">
        <v>26</v>
      </c>
      <c r="F259" s="130">
        <v>13156.54</v>
      </c>
      <c r="G259" s="130"/>
      <c r="H259" s="24" t="s">
        <v>26</v>
      </c>
      <c r="I259" s="131" t="s">
        <v>28</v>
      </c>
      <c r="J259" s="131"/>
      <c r="K259" s="25" t="s">
        <v>29</v>
      </c>
      <c r="L259" s="26">
        <v>861758.59</v>
      </c>
    </row>
    <row r="260" spans="1:12" ht="61.2" x14ac:dyDescent="0.3">
      <c r="A260" s="22" t="s">
        <v>666</v>
      </c>
      <c r="B260" s="23" t="s">
        <v>858</v>
      </c>
      <c r="C260" s="23" t="s">
        <v>859</v>
      </c>
      <c r="D260" s="23" t="s">
        <v>516</v>
      </c>
      <c r="E260" s="24" t="s">
        <v>523</v>
      </c>
      <c r="F260" s="125" t="s">
        <v>28</v>
      </c>
      <c r="G260" s="125"/>
      <c r="H260" s="24" t="s">
        <v>26</v>
      </c>
      <c r="I260" s="126">
        <v>13963.51</v>
      </c>
      <c r="J260" s="126"/>
      <c r="K260" s="25" t="s">
        <v>29</v>
      </c>
      <c r="L260" s="26">
        <v>847795.08</v>
      </c>
    </row>
    <row r="261" spans="1:12" ht="61.2" x14ac:dyDescent="0.3">
      <c r="A261" s="22" t="s">
        <v>666</v>
      </c>
      <c r="B261" s="23" t="s">
        <v>858</v>
      </c>
      <c r="C261" s="23" t="s">
        <v>859</v>
      </c>
      <c r="D261" s="23" t="s">
        <v>554</v>
      </c>
      <c r="E261" s="24" t="s">
        <v>523</v>
      </c>
      <c r="F261" s="125" t="s">
        <v>28</v>
      </c>
      <c r="G261" s="125"/>
      <c r="H261" s="24" t="s">
        <v>26</v>
      </c>
      <c r="I261" s="126">
        <v>2607.59</v>
      </c>
      <c r="J261" s="126"/>
      <c r="K261" s="25" t="s">
        <v>29</v>
      </c>
      <c r="L261" s="26">
        <v>845187.49</v>
      </c>
    </row>
    <row r="262" spans="1:12" ht="61.2" x14ac:dyDescent="0.3">
      <c r="A262" s="22" t="s">
        <v>666</v>
      </c>
      <c r="B262" s="23" t="s">
        <v>858</v>
      </c>
      <c r="C262" s="23" t="s">
        <v>859</v>
      </c>
      <c r="D262" s="23" t="s">
        <v>554</v>
      </c>
      <c r="E262" s="24" t="s">
        <v>523</v>
      </c>
      <c r="F262" s="125" t="s">
        <v>28</v>
      </c>
      <c r="G262" s="125"/>
      <c r="H262" s="24" t="s">
        <v>26</v>
      </c>
      <c r="I262" s="129">
        <v>911.16</v>
      </c>
      <c r="J262" s="129"/>
      <c r="K262" s="25" t="s">
        <v>29</v>
      </c>
      <c r="L262" s="26">
        <v>844276.33</v>
      </c>
    </row>
    <row r="263" spans="1:12" ht="71.400000000000006" x14ac:dyDescent="0.3">
      <c r="A263" s="22" t="s">
        <v>666</v>
      </c>
      <c r="B263" s="23" t="s">
        <v>858</v>
      </c>
      <c r="C263" s="23" t="s">
        <v>859</v>
      </c>
      <c r="D263" s="23" t="s">
        <v>540</v>
      </c>
      <c r="E263" s="24" t="s">
        <v>523</v>
      </c>
      <c r="F263" s="125" t="s">
        <v>28</v>
      </c>
      <c r="G263" s="125"/>
      <c r="H263" s="24" t="s">
        <v>26</v>
      </c>
      <c r="I263" s="126">
        <v>17856.39</v>
      </c>
      <c r="J263" s="126"/>
      <c r="K263" s="25" t="s">
        <v>29</v>
      </c>
      <c r="L263" s="26">
        <v>826419.94</v>
      </c>
    </row>
    <row r="264" spans="1:12" ht="71.400000000000006" x14ac:dyDescent="0.3">
      <c r="A264" s="22" t="s">
        <v>666</v>
      </c>
      <c r="B264" s="23" t="s">
        <v>858</v>
      </c>
      <c r="C264" s="23" t="s">
        <v>859</v>
      </c>
      <c r="D264" s="23" t="s">
        <v>540</v>
      </c>
      <c r="E264" s="24" t="s">
        <v>523</v>
      </c>
      <c r="F264" s="125" t="s">
        <v>28</v>
      </c>
      <c r="G264" s="125"/>
      <c r="H264" s="24" t="s">
        <v>26</v>
      </c>
      <c r="I264" s="126">
        <v>24702.52</v>
      </c>
      <c r="J264" s="126"/>
      <c r="K264" s="25" t="s">
        <v>29</v>
      </c>
      <c r="L264" s="26">
        <v>801717.42</v>
      </c>
    </row>
    <row r="265" spans="1:12" ht="71.400000000000006" x14ac:dyDescent="0.3">
      <c r="A265" s="22" t="s">
        <v>666</v>
      </c>
      <c r="B265" s="23" t="s">
        <v>858</v>
      </c>
      <c r="C265" s="23" t="s">
        <v>859</v>
      </c>
      <c r="D265" s="23" t="s">
        <v>553</v>
      </c>
      <c r="E265" s="24" t="s">
        <v>523</v>
      </c>
      <c r="F265" s="125" t="s">
        <v>28</v>
      </c>
      <c r="G265" s="125"/>
      <c r="H265" s="24" t="s">
        <v>26</v>
      </c>
      <c r="I265" s="126">
        <v>8635.4699999999993</v>
      </c>
      <c r="J265" s="126"/>
      <c r="K265" s="25" t="s">
        <v>29</v>
      </c>
      <c r="L265" s="26">
        <v>793081.95</v>
      </c>
    </row>
    <row r="266" spans="1:12" ht="71.400000000000006" x14ac:dyDescent="0.3">
      <c r="A266" s="22" t="s">
        <v>666</v>
      </c>
      <c r="B266" s="23" t="s">
        <v>858</v>
      </c>
      <c r="C266" s="23" t="s">
        <v>859</v>
      </c>
      <c r="D266" s="23" t="s">
        <v>568</v>
      </c>
      <c r="E266" s="24" t="s">
        <v>523</v>
      </c>
      <c r="F266" s="125" t="s">
        <v>28</v>
      </c>
      <c r="G266" s="125"/>
      <c r="H266" s="24" t="s">
        <v>26</v>
      </c>
      <c r="I266" s="126">
        <v>24151.69</v>
      </c>
      <c r="J266" s="126"/>
      <c r="K266" s="25" t="s">
        <v>29</v>
      </c>
      <c r="L266" s="26">
        <v>768930.26</v>
      </c>
    </row>
    <row r="267" spans="1:12" ht="71.400000000000006" x14ac:dyDescent="0.3">
      <c r="A267" s="22" t="s">
        <v>666</v>
      </c>
      <c r="B267" s="23" t="s">
        <v>858</v>
      </c>
      <c r="C267" s="23" t="s">
        <v>859</v>
      </c>
      <c r="D267" s="23" t="s">
        <v>581</v>
      </c>
      <c r="E267" s="24" t="s">
        <v>523</v>
      </c>
      <c r="F267" s="125" t="s">
        <v>28</v>
      </c>
      <c r="G267" s="125"/>
      <c r="H267" s="24" t="s">
        <v>26</v>
      </c>
      <c r="I267" s="126">
        <v>5072.91</v>
      </c>
      <c r="J267" s="126"/>
      <c r="K267" s="25" t="s">
        <v>29</v>
      </c>
      <c r="L267" s="26">
        <v>763857.35</v>
      </c>
    </row>
    <row r="268" spans="1:12" ht="71.400000000000006" x14ac:dyDescent="0.3">
      <c r="A268" s="22" t="s">
        <v>666</v>
      </c>
      <c r="B268" s="23" t="s">
        <v>858</v>
      </c>
      <c r="C268" s="23" t="s">
        <v>859</v>
      </c>
      <c r="D268" s="23" t="s">
        <v>603</v>
      </c>
      <c r="E268" s="24" t="s">
        <v>523</v>
      </c>
      <c r="F268" s="125" t="s">
        <v>28</v>
      </c>
      <c r="G268" s="125"/>
      <c r="H268" s="24" t="s">
        <v>26</v>
      </c>
      <c r="I268" s="126">
        <v>5135.78</v>
      </c>
      <c r="J268" s="126"/>
      <c r="K268" s="25" t="s">
        <v>29</v>
      </c>
      <c r="L268" s="26">
        <v>758721.57</v>
      </c>
    </row>
    <row r="269" spans="1:12" ht="71.400000000000006" x14ac:dyDescent="0.3">
      <c r="A269" s="22" t="s">
        <v>666</v>
      </c>
      <c r="B269" s="23" t="s">
        <v>858</v>
      </c>
      <c r="C269" s="23" t="s">
        <v>859</v>
      </c>
      <c r="D269" s="23" t="s">
        <v>832</v>
      </c>
      <c r="E269" s="24" t="s">
        <v>523</v>
      </c>
      <c r="F269" s="125" t="s">
        <v>28</v>
      </c>
      <c r="G269" s="125"/>
      <c r="H269" s="24" t="s">
        <v>26</v>
      </c>
      <c r="I269" s="126">
        <v>3209.91</v>
      </c>
      <c r="J269" s="126"/>
      <c r="K269" s="25" t="s">
        <v>29</v>
      </c>
      <c r="L269" s="26">
        <v>755511.66</v>
      </c>
    </row>
    <row r="270" spans="1:12" ht="71.400000000000006" x14ac:dyDescent="0.3">
      <c r="A270" s="22" t="s">
        <v>666</v>
      </c>
      <c r="B270" s="23" t="s">
        <v>858</v>
      </c>
      <c r="C270" s="23" t="s">
        <v>859</v>
      </c>
      <c r="D270" s="23" t="s">
        <v>832</v>
      </c>
      <c r="E270" s="24" t="s">
        <v>523</v>
      </c>
      <c r="F270" s="125" t="s">
        <v>28</v>
      </c>
      <c r="G270" s="125"/>
      <c r="H270" s="24" t="s">
        <v>26</v>
      </c>
      <c r="I270" s="126">
        <v>1676.7</v>
      </c>
      <c r="J270" s="126"/>
      <c r="K270" s="25" t="s">
        <v>29</v>
      </c>
      <c r="L270" s="26">
        <v>753834.96</v>
      </c>
    </row>
    <row r="271" spans="1:12" ht="61.2" x14ac:dyDescent="0.3">
      <c r="A271" s="22" t="s">
        <v>666</v>
      </c>
      <c r="B271" s="23" t="s">
        <v>858</v>
      </c>
      <c r="C271" s="23" t="s">
        <v>859</v>
      </c>
      <c r="D271" s="23" t="s">
        <v>768</v>
      </c>
      <c r="E271" s="24" t="s">
        <v>523</v>
      </c>
      <c r="F271" s="125" t="s">
        <v>28</v>
      </c>
      <c r="G271" s="125"/>
      <c r="H271" s="24" t="s">
        <v>26</v>
      </c>
      <c r="I271" s="126">
        <v>1754.01</v>
      </c>
      <c r="J271" s="126"/>
      <c r="K271" s="25" t="s">
        <v>29</v>
      </c>
      <c r="L271" s="26">
        <v>752080.95</v>
      </c>
    </row>
    <row r="272" spans="1:12" ht="61.2" x14ac:dyDescent="0.3">
      <c r="A272" s="22" t="s">
        <v>666</v>
      </c>
      <c r="B272" s="23" t="s">
        <v>860</v>
      </c>
      <c r="C272" s="23" t="s">
        <v>859</v>
      </c>
      <c r="D272" s="23" t="s">
        <v>333</v>
      </c>
      <c r="E272" s="24" t="s">
        <v>523</v>
      </c>
      <c r="F272" s="125" t="s">
        <v>28</v>
      </c>
      <c r="G272" s="125"/>
      <c r="H272" s="24" t="s">
        <v>26</v>
      </c>
      <c r="I272" s="126">
        <v>4380.07</v>
      </c>
      <c r="J272" s="126"/>
      <c r="K272" s="25" t="s">
        <v>29</v>
      </c>
      <c r="L272" s="26">
        <v>747700.88</v>
      </c>
    </row>
    <row r="273" spans="1:12" ht="61.2" x14ac:dyDescent="0.3">
      <c r="A273" s="22" t="s">
        <v>666</v>
      </c>
      <c r="B273" s="23" t="s">
        <v>860</v>
      </c>
      <c r="C273" s="23" t="s">
        <v>859</v>
      </c>
      <c r="D273" s="23" t="s">
        <v>554</v>
      </c>
      <c r="E273" s="24" t="s">
        <v>523</v>
      </c>
      <c r="F273" s="125" t="s">
        <v>28</v>
      </c>
      <c r="G273" s="125"/>
      <c r="H273" s="24" t="s">
        <v>26</v>
      </c>
      <c r="I273" s="129">
        <v>977.1</v>
      </c>
      <c r="J273" s="129"/>
      <c r="K273" s="25" t="s">
        <v>29</v>
      </c>
      <c r="L273" s="26">
        <v>746723.78</v>
      </c>
    </row>
    <row r="274" spans="1:12" ht="71.400000000000006" x14ac:dyDescent="0.3">
      <c r="A274" s="22" t="s">
        <v>666</v>
      </c>
      <c r="B274" s="23" t="s">
        <v>860</v>
      </c>
      <c r="C274" s="23" t="s">
        <v>859</v>
      </c>
      <c r="D274" s="23" t="s">
        <v>832</v>
      </c>
      <c r="E274" s="24" t="s">
        <v>523</v>
      </c>
      <c r="F274" s="125" t="s">
        <v>28</v>
      </c>
      <c r="G274" s="125"/>
      <c r="H274" s="24" t="s">
        <v>26</v>
      </c>
      <c r="I274" s="126">
        <v>15610.89</v>
      </c>
      <c r="J274" s="126"/>
      <c r="K274" s="25" t="s">
        <v>29</v>
      </c>
      <c r="L274" s="26">
        <v>731112.89</v>
      </c>
    </row>
    <row r="275" spans="1:12" ht="71.400000000000006" x14ac:dyDescent="0.3">
      <c r="A275" s="22" t="s">
        <v>666</v>
      </c>
      <c r="B275" s="23" t="s">
        <v>860</v>
      </c>
      <c r="C275" s="23" t="s">
        <v>859</v>
      </c>
      <c r="D275" s="23" t="s">
        <v>838</v>
      </c>
      <c r="E275" s="24" t="s">
        <v>523</v>
      </c>
      <c r="F275" s="125" t="s">
        <v>28</v>
      </c>
      <c r="G275" s="125"/>
      <c r="H275" s="24" t="s">
        <v>26</v>
      </c>
      <c r="I275" s="126">
        <v>19888.72</v>
      </c>
      <c r="J275" s="126"/>
      <c r="K275" s="25" t="s">
        <v>29</v>
      </c>
      <c r="L275" s="26">
        <v>711224.17</v>
      </c>
    </row>
    <row r="276" spans="1:12" ht="71.400000000000006" x14ac:dyDescent="0.3">
      <c r="A276" s="22" t="s">
        <v>666</v>
      </c>
      <c r="B276" s="23" t="s">
        <v>861</v>
      </c>
      <c r="C276" s="23" t="s">
        <v>522</v>
      </c>
      <c r="D276" s="23" t="s">
        <v>738</v>
      </c>
      <c r="E276" s="24" t="s">
        <v>523</v>
      </c>
      <c r="F276" s="125" t="s">
        <v>28</v>
      </c>
      <c r="G276" s="125"/>
      <c r="H276" s="24" t="s">
        <v>26</v>
      </c>
      <c r="I276" s="126">
        <v>14477.33</v>
      </c>
      <c r="J276" s="126"/>
      <c r="K276" s="25" t="s">
        <v>29</v>
      </c>
      <c r="L276" s="26">
        <v>696746.84</v>
      </c>
    </row>
    <row r="277" spans="1:12" ht="71.400000000000006" x14ac:dyDescent="0.3">
      <c r="A277" s="22" t="s">
        <v>666</v>
      </c>
      <c r="B277" s="23" t="s">
        <v>861</v>
      </c>
      <c r="C277" s="23" t="s">
        <v>522</v>
      </c>
      <c r="D277" s="23" t="s">
        <v>746</v>
      </c>
      <c r="E277" s="24" t="s">
        <v>523</v>
      </c>
      <c r="F277" s="125" t="s">
        <v>28</v>
      </c>
      <c r="G277" s="125"/>
      <c r="H277" s="24" t="s">
        <v>26</v>
      </c>
      <c r="I277" s="126">
        <v>17952</v>
      </c>
      <c r="J277" s="126"/>
      <c r="K277" s="25" t="s">
        <v>29</v>
      </c>
      <c r="L277" s="26">
        <v>678794.84</v>
      </c>
    </row>
    <row r="278" spans="1:12" ht="71.400000000000006" x14ac:dyDescent="0.3">
      <c r="A278" s="22" t="s">
        <v>666</v>
      </c>
      <c r="B278" s="23" t="s">
        <v>861</v>
      </c>
      <c r="C278" s="23" t="s">
        <v>522</v>
      </c>
      <c r="D278" s="23" t="s">
        <v>749</v>
      </c>
      <c r="E278" s="24" t="s">
        <v>523</v>
      </c>
      <c r="F278" s="125" t="s">
        <v>28</v>
      </c>
      <c r="G278" s="125"/>
      <c r="H278" s="24" t="s">
        <v>26</v>
      </c>
      <c r="I278" s="126">
        <v>45128</v>
      </c>
      <c r="J278" s="126"/>
      <c r="K278" s="25" t="s">
        <v>29</v>
      </c>
      <c r="L278" s="26">
        <v>633666.84</v>
      </c>
    </row>
    <row r="279" spans="1:12" ht="71.400000000000006" x14ac:dyDescent="0.3">
      <c r="A279" s="22" t="s">
        <v>666</v>
      </c>
      <c r="B279" s="23" t="s">
        <v>861</v>
      </c>
      <c r="C279" s="23" t="s">
        <v>522</v>
      </c>
      <c r="D279" s="23" t="s">
        <v>749</v>
      </c>
      <c r="E279" s="24" t="s">
        <v>523</v>
      </c>
      <c r="F279" s="125" t="s">
        <v>28</v>
      </c>
      <c r="G279" s="125"/>
      <c r="H279" s="24" t="s">
        <v>26</v>
      </c>
      <c r="I279" s="126">
        <v>38768</v>
      </c>
      <c r="J279" s="126"/>
      <c r="K279" s="25" t="s">
        <v>29</v>
      </c>
      <c r="L279" s="26">
        <v>594898.84</v>
      </c>
    </row>
    <row r="280" spans="1:12" ht="71.400000000000006" x14ac:dyDescent="0.3">
      <c r="A280" s="22" t="s">
        <v>666</v>
      </c>
      <c r="B280" s="23" t="s">
        <v>861</v>
      </c>
      <c r="C280" s="23" t="s">
        <v>522</v>
      </c>
      <c r="D280" s="23" t="s">
        <v>749</v>
      </c>
      <c r="E280" s="24" t="s">
        <v>523</v>
      </c>
      <c r="F280" s="125" t="s">
        <v>28</v>
      </c>
      <c r="G280" s="125"/>
      <c r="H280" s="24" t="s">
        <v>26</v>
      </c>
      <c r="I280" s="126">
        <v>11818.67</v>
      </c>
      <c r="J280" s="126"/>
      <c r="K280" s="25" t="s">
        <v>29</v>
      </c>
      <c r="L280" s="26">
        <v>583080.17000000004</v>
      </c>
    </row>
    <row r="281" spans="1:12" ht="71.400000000000006" x14ac:dyDescent="0.3">
      <c r="A281" s="22" t="s">
        <v>666</v>
      </c>
      <c r="B281" s="23" t="s">
        <v>861</v>
      </c>
      <c r="C281" s="23" t="s">
        <v>522</v>
      </c>
      <c r="D281" s="23" t="s">
        <v>749</v>
      </c>
      <c r="E281" s="24" t="s">
        <v>523</v>
      </c>
      <c r="F281" s="125" t="s">
        <v>28</v>
      </c>
      <c r="G281" s="125"/>
      <c r="H281" s="24" t="s">
        <v>26</v>
      </c>
      <c r="I281" s="126">
        <v>53266.67</v>
      </c>
      <c r="J281" s="126"/>
      <c r="K281" s="25" t="s">
        <v>29</v>
      </c>
      <c r="L281" s="26">
        <v>529813.5</v>
      </c>
    </row>
    <row r="282" spans="1:12" ht="71.400000000000006" x14ac:dyDescent="0.3">
      <c r="A282" s="22" t="s">
        <v>666</v>
      </c>
      <c r="B282" s="23" t="s">
        <v>861</v>
      </c>
      <c r="C282" s="23" t="s">
        <v>522</v>
      </c>
      <c r="D282" s="23" t="s">
        <v>349</v>
      </c>
      <c r="E282" s="24" t="s">
        <v>523</v>
      </c>
      <c r="F282" s="125" t="s">
        <v>28</v>
      </c>
      <c r="G282" s="125"/>
      <c r="H282" s="24" t="s">
        <v>26</v>
      </c>
      <c r="I282" s="126">
        <v>38768</v>
      </c>
      <c r="J282" s="126"/>
      <c r="K282" s="25" t="s">
        <v>29</v>
      </c>
      <c r="L282" s="26">
        <v>491045.5</v>
      </c>
    </row>
    <row r="283" spans="1:12" ht="71.400000000000006" x14ac:dyDescent="0.3">
      <c r="A283" s="22" t="s">
        <v>666</v>
      </c>
      <c r="B283" s="23" t="s">
        <v>861</v>
      </c>
      <c r="C283" s="23" t="s">
        <v>522</v>
      </c>
      <c r="D283" s="23" t="s">
        <v>372</v>
      </c>
      <c r="E283" s="24" t="s">
        <v>523</v>
      </c>
      <c r="F283" s="125" t="s">
        <v>28</v>
      </c>
      <c r="G283" s="125"/>
      <c r="H283" s="24" t="s">
        <v>26</v>
      </c>
      <c r="I283" s="126">
        <v>56946.67</v>
      </c>
      <c r="J283" s="126"/>
      <c r="K283" s="25" t="s">
        <v>29</v>
      </c>
      <c r="L283" s="26">
        <v>434098.83</v>
      </c>
    </row>
    <row r="284" spans="1:12" ht="71.400000000000006" x14ac:dyDescent="0.3">
      <c r="A284" s="22" t="s">
        <v>666</v>
      </c>
      <c r="B284" s="23" t="s">
        <v>861</v>
      </c>
      <c r="C284" s="23" t="s">
        <v>522</v>
      </c>
      <c r="D284" s="23" t="s">
        <v>372</v>
      </c>
      <c r="E284" s="24" t="s">
        <v>523</v>
      </c>
      <c r="F284" s="125" t="s">
        <v>28</v>
      </c>
      <c r="G284" s="125"/>
      <c r="H284" s="24" t="s">
        <v>26</v>
      </c>
      <c r="I284" s="126">
        <v>2440</v>
      </c>
      <c r="J284" s="126"/>
      <c r="K284" s="25" t="s">
        <v>29</v>
      </c>
      <c r="L284" s="26">
        <v>431658.83</v>
      </c>
    </row>
    <row r="285" spans="1:12" ht="71.400000000000006" x14ac:dyDescent="0.3">
      <c r="A285" s="22" t="s">
        <v>666</v>
      </c>
      <c r="B285" s="23" t="s">
        <v>861</v>
      </c>
      <c r="C285" s="23" t="s">
        <v>522</v>
      </c>
      <c r="D285" s="23" t="s">
        <v>820</v>
      </c>
      <c r="E285" s="24" t="s">
        <v>523</v>
      </c>
      <c r="F285" s="125" t="s">
        <v>28</v>
      </c>
      <c r="G285" s="125"/>
      <c r="H285" s="24" t="s">
        <v>26</v>
      </c>
      <c r="I285" s="126">
        <v>3324</v>
      </c>
      <c r="J285" s="126"/>
      <c r="K285" s="25" t="s">
        <v>29</v>
      </c>
      <c r="L285" s="26">
        <v>428334.83</v>
      </c>
    </row>
    <row r="286" spans="1:12" ht="71.400000000000006" x14ac:dyDescent="0.3">
      <c r="A286" s="22" t="s">
        <v>666</v>
      </c>
      <c r="B286" s="23" t="s">
        <v>861</v>
      </c>
      <c r="C286" s="23" t="s">
        <v>522</v>
      </c>
      <c r="D286" s="23" t="s">
        <v>823</v>
      </c>
      <c r="E286" s="24" t="s">
        <v>523</v>
      </c>
      <c r="F286" s="125" t="s">
        <v>28</v>
      </c>
      <c r="G286" s="125"/>
      <c r="H286" s="24" t="s">
        <v>26</v>
      </c>
      <c r="I286" s="129">
        <v>205</v>
      </c>
      <c r="J286" s="129"/>
      <c r="K286" s="25" t="s">
        <v>29</v>
      </c>
      <c r="L286" s="26">
        <v>428129.83</v>
      </c>
    </row>
    <row r="287" spans="1:12" ht="71.400000000000006" x14ac:dyDescent="0.3">
      <c r="A287" s="22" t="s">
        <v>666</v>
      </c>
      <c r="B287" s="23" t="s">
        <v>861</v>
      </c>
      <c r="C287" s="23" t="s">
        <v>522</v>
      </c>
      <c r="D287" s="23" t="s">
        <v>823</v>
      </c>
      <c r="E287" s="24" t="s">
        <v>523</v>
      </c>
      <c r="F287" s="125" t="s">
        <v>28</v>
      </c>
      <c r="G287" s="125"/>
      <c r="H287" s="24" t="s">
        <v>26</v>
      </c>
      <c r="I287" s="126">
        <v>21860</v>
      </c>
      <c r="J287" s="126"/>
      <c r="K287" s="25" t="s">
        <v>29</v>
      </c>
      <c r="L287" s="26">
        <v>406269.83</v>
      </c>
    </row>
    <row r="288" spans="1:12" ht="71.400000000000006" x14ac:dyDescent="0.3">
      <c r="A288" s="22" t="s">
        <v>666</v>
      </c>
      <c r="B288" s="23" t="s">
        <v>861</v>
      </c>
      <c r="C288" s="23" t="s">
        <v>522</v>
      </c>
      <c r="D288" s="23" t="s">
        <v>823</v>
      </c>
      <c r="E288" s="24" t="s">
        <v>523</v>
      </c>
      <c r="F288" s="125" t="s">
        <v>28</v>
      </c>
      <c r="G288" s="125"/>
      <c r="H288" s="24" t="s">
        <v>26</v>
      </c>
      <c r="I288" s="126">
        <v>1362.5</v>
      </c>
      <c r="J288" s="126"/>
      <c r="K288" s="25" t="s">
        <v>29</v>
      </c>
      <c r="L288" s="26">
        <v>404907.33</v>
      </c>
    </row>
    <row r="289" spans="1:14" ht="71.400000000000006" x14ac:dyDescent="0.3">
      <c r="A289" s="22" t="s">
        <v>666</v>
      </c>
      <c r="B289" s="23" t="s">
        <v>861</v>
      </c>
      <c r="C289" s="23" t="s">
        <v>522</v>
      </c>
      <c r="D289" s="23" t="s">
        <v>838</v>
      </c>
      <c r="E289" s="24" t="s">
        <v>523</v>
      </c>
      <c r="F289" s="125" t="s">
        <v>28</v>
      </c>
      <c r="G289" s="125"/>
      <c r="H289" s="24" t="s">
        <v>26</v>
      </c>
      <c r="I289" s="126">
        <v>35337.279999999999</v>
      </c>
      <c r="J289" s="126"/>
      <c r="K289" s="25" t="s">
        <v>29</v>
      </c>
      <c r="L289" s="26">
        <v>369570.05</v>
      </c>
    </row>
    <row r="290" spans="1:14" ht="61.2" x14ac:dyDescent="0.3">
      <c r="A290" s="22" t="s">
        <v>666</v>
      </c>
      <c r="B290" s="23" t="s">
        <v>862</v>
      </c>
      <c r="C290" s="23" t="s">
        <v>522</v>
      </c>
      <c r="D290" s="23" t="s">
        <v>768</v>
      </c>
      <c r="E290" s="24" t="s">
        <v>523</v>
      </c>
      <c r="F290" s="125" t="s">
        <v>28</v>
      </c>
      <c r="G290" s="125"/>
      <c r="H290" s="24" t="s">
        <v>26</v>
      </c>
      <c r="I290" s="126">
        <v>1754</v>
      </c>
      <c r="J290" s="126"/>
      <c r="K290" s="25" t="s">
        <v>29</v>
      </c>
      <c r="L290" s="26">
        <v>367816.05</v>
      </c>
    </row>
    <row r="291" spans="1:14" ht="61.2" x14ac:dyDescent="0.3">
      <c r="A291" s="22" t="s">
        <v>666</v>
      </c>
      <c r="B291" s="23" t="s">
        <v>862</v>
      </c>
      <c r="C291" s="23" t="s">
        <v>522</v>
      </c>
      <c r="D291" s="23" t="s">
        <v>80</v>
      </c>
      <c r="E291" s="24" t="s">
        <v>523</v>
      </c>
      <c r="F291" s="125" t="s">
        <v>28</v>
      </c>
      <c r="G291" s="125"/>
      <c r="H291" s="24" t="s">
        <v>26</v>
      </c>
      <c r="I291" s="126">
        <v>2714</v>
      </c>
      <c r="J291" s="126"/>
      <c r="K291" s="25" t="s">
        <v>29</v>
      </c>
      <c r="L291" s="26">
        <v>365102.05</v>
      </c>
    </row>
    <row r="292" spans="1:14" ht="61.2" x14ac:dyDescent="0.3">
      <c r="A292" s="22" t="s">
        <v>666</v>
      </c>
      <c r="B292" s="23" t="s">
        <v>863</v>
      </c>
      <c r="C292" s="23" t="s">
        <v>522</v>
      </c>
      <c r="D292" s="23" t="s">
        <v>857</v>
      </c>
      <c r="E292" s="24" t="s">
        <v>523</v>
      </c>
      <c r="F292" s="125" t="s">
        <v>28</v>
      </c>
      <c r="G292" s="125"/>
      <c r="H292" s="24" t="s">
        <v>26</v>
      </c>
      <c r="I292" s="126">
        <v>13156.54</v>
      </c>
      <c r="J292" s="126"/>
      <c r="K292" s="25" t="s">
        <v>29</v>
      </c>
      <c r="L292" s="26">
        <v>351945.51</v>
      </c>
      <c r="M292">
        <f>SUBTOTAL(9,I223:J292)</f>
        <v>657033.43000000005</v>
      </c>
      <c r="N292" t="s">
        <v>1472</v>
      </c>
    </row>
    <row r="293" spans="1:14" ht="71.400000000000006" hidden="1" x14ac:dyDescent="0.3">
      <c r="A293" s="22" t="s">
        <v>666</v>
      </c>
      <c r="B293" s="23" t="s">
        <v>864</v>
      </c>
      <c r="C293" s="23" t="s">
        <v>865</v>
      </c>
      <c r="D293" s="23" t="s">
        <v>823</v>
      </c>
      <c r="E293" s="24" t="s">
        <v>26</v>
      </c>
      <c r="F293" s="125" t="s">
        <v>28</v>
      </c>
      <c r="G293" s="125"/>
      <c r="H293" s="24" t="s">
        <v>26</v>
      </c>
      <c r="I293" s="126">
        <v>49282.5</v>
      </c>
      <c r="J293" s="126"/>
      <c r="K293" s="25" t="s">
        <v>29</v>
      </c>
      <c r="L293" s="26">
        <v>302663.01</v>
      </c>
    </row>
    <row r="294" spans="1:14" ht="71.400000000000006" hidden="1" x14ac:dyDescent="0.3">
      <c r="A294" s="22" t="s">
        <v>666</v>
      </c>
      <c r="B294" s="23" t="s">
        <v>864</v>
      </c>
      <c r="C294" s="23" t="s">
        <v>866</v>
      </c>
      <c r="D294" s="23" t="s">
        <v>829</v>
      </c>
      <c r="E294" s="24" t="s">
        <v>26</v>
      </c>
      <c r="F294" s="125" t="s">
        <v>28</v>
      </c>
      <c r="G294" s="125"/>
      <c r="H294" s="24" t="s">
        <v>26</v>
      </c>
      <c r="I294" s="126">
        <v>4697.25</v>
      </c>
      <c r="J294" s="126"/>
      <c r="K294" s="25" t="s">
        <v>29</v>
      </c>
      <c r="L294" s="26">
        <v>297965.76</v>
      </c>
    </row>
    <row r="295" spans="1:14" hidden="1" x14ac:dyDescent="0.3">
      <c r="A295" s="127" t="s">
        <v>681</v>
      </c>
      <c r="B295" s="127"/>
      <c r="C295" s="127"/>
      <c r="D295" s="127"/>
      <c r="E295" s="128">
        <v>2914752.26</v>
      </c>
      <c r="F295" s="128"/>
      <c r="G295" s="128"/>
      <c r="H295" s="128">
        <v>2616786.5</v>
      </c>
      <c r="I295" s="128"/>
      <c r="J295" s="128"/>
      <c r="K295" s="27" t="s">
        <v>29</v>
      </c>
      <c r="L295" s="28">
        <v>297965.76</v>
      </c>
    </row>
    <row r="297" spans="1:14" x14ac:dyDescent="0.3">
      <c r="J297" s="95">
        <f>SUBTOTAL(9,I20:J292)</f>
        <v>2562806.75</v>
      </c>
    </row>
  </sheetData>
  <autoFilter ref="A8:L295">
    <filterColumn colId="1">
      <filters>
        <filter val="Вимога-накладна ІБ00-000535 від 08.10.2024 22:00:14_x000a_Списаны ТМЦ"/>
        <filter val="Вимога-накладна ІБ00-000576 від 30.11.2024 20:00:00_x000a_Списаны ТМЦ"/>
        <filter val="Вимога-накладна ІБ00-000577 від 30.11.2024 20:00:00_x000a_Списаны ТМЦ"/>
        <filter val="Вимога-накладна ІБ00-000582 від 30.11.2024 20:00:00_x000a_Списаны ТМЦ"/>
        <filter val="Вимога-накладна ІБ00-000583 від 30.11.2024 23:00:00_x000a_Списаны ТМЦ"/>
        <filter val="Вимога-накладна ІБ00-000658 від 30.11.2024 23:50:44_x000a_Списаны ТМЦ"/>
        <filter val="Вимога-накладна ІБ00-000659 від 30.11.2024 23:52:00_x000a_Списаны ТМЦ"/>
        <filter val="Вимога-накладна ІБ00-000660 від 30.11.2024 23:52:00_x000a_Списаны ТМЦ"/>
        <filter val="Вимога-накладна ІБ00-000661 від 30.11.2024 23:52:00_x000a_Списаны ТМЦ"/>
        <filter val="Вимога-накладна ІБ00-000662 від 04.12.2024 20:00:00_x000a_Списаны ТМЦ"/>
        <filter val="Вимога-накладна ІБ00-000694 від 30.12.2024 20:00:00_x000a_Списаны ТМЦ"/>
        <filter val="Вимога-накладна ІБ00-000695 від 30.12.2024 20:00:00_x000a_Списаны ТМЦ"/>
        <filter val="Вимога-накладна ІБ00-000711 від 30.12.2024 21:00:50_x000a_Списаны ТМЦ"/>
        <filter val="Вимога-накладна ІБ00-000714 від 30.12.2024 00:00:00_x000a_Списаны ТМЦ"/>
        <filter val="Вимога-накладна ІБ00-000730 від 30.12.2024 23:20:05_x000a_Списаны ТМЦ"/>
        <filter val="Списання товарів ІБ00-000649 від 30.11.2024 20:00:00_x000a_Списаны ТМЦ"/>
        <filter val="Списання товарів ІБ00-000726 від 30.11.2024 23:00:00_x000a_Списаны ТМЦ"/>
        <filter val="Списання товарів ІБ00-000728 від 30.11.2024 00:00:00_x000a_Списаны ТМЦ"/>
        <filter val="Списання товарів ІБ00-000729 від 04.12.2024 20:00:00_x000a_Списаны ТМЦ"/>
        <filter val="Списання товарів ІБ00-000740 від 30.12.2024 21:00:51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82">
    <mergeCell ref="A8:A9"/>
    <mergeCell ref="B8:B9"/>
    <mergeCell ref="C8:C9"/>
    <mergeCell ref="D8:D9"/>
    <mergeCell ref="E8:G8"/>
    <mergeCell ref="H8:J8"/>
    <mergeCell ref="F11:G11"/>
    <mergeCell ref="I11:J11"/>
    <mergeCell ref="F12:G12"/>
    <mergeCell ref="I12:J12"/>
    <mergeCell ref="F13:G13"/>
    <mergeCell ref="I13:J13"/>
    <mergeCell ref="K8:L9"/>
    <mergeCell ref="F9:G9"/>
    <mergeCell ref="I9:J9"/>
    <mergeCell ref="F10:G10"/>
    <mergeCell ref="I10:J10"/>
    <mergeCell ref="F17:G17"/>
    <mergeCell ref="I17:J17"/>
    <mergeCell ref="F18:G18"/>
    <mergeCell ref="I18:J18"/>
    <mergeCell ref="F19:G19"/>
    <mergeCell ref="I19:J19"/>
    <mergeCell ref="F14:G14"/>
    <mergeCell ref="I14:J14"/>
    <mergeCell ref="F15:G15"/>
    <mergeCell ref="I15:J15"/>
    <mergeCell ref="F16:G16"/>
    <mergeCell ref="I16:J16"/>
    <mergeCell ref="F23:G23"/>
    <mergeCell ref="I23:J23"/>
    <mergeCell ref="F24:G24"/>
    <mergeCell ref="I24:J24"/>
    <mergeCell ref="F25:G25"/>
    <mergeCell ref="I25:J25"/>
    <mergeCell ref="F20:G20"/>
    <mergeCell ref="I20:J20"/>
    <mergeCell ref="F21:G21"/>
    <mergeCell ref="I21:J21"/>
    <mergeCell ref="F22:G22"/>
    <mergeCell ref="I22:J22"/>
    <mergeCell ref="F29:G29"/>
    <mergeCell ref="I29:J29"/>
    <mergeCell ref="F30:G30"/>
    <mergeCell ref="I30:J30"/>
    <mergeCell ref="F31:G31"/>
    <mergeCell ref="I31:J31"/>
    <mergeCell ref="F26:G26"/>
    <mergeCell ref="I26:J26"/>
    <mergeCell ref="F27:G27"/>
    <mergeCell ref="I27:J27"/>
    <mergeCell ref="F28:G28"/>
    <mergeCell ref="I28:J28"/>
    <mergeCell ref="F35:G35"/>
    <mergeCell ref="I35:J35"/>
    <mergeCell ref="F36:G36"/>
    <mergeCell ref="I36:J36"/>
    <mergeCell ref="F37:G37"/>
    <mergeCell ref="I37:J37"/>
    <mergeCell ref="F32:G32"/>
    <mergeCell ref="I32:J32"/>
    <mergeCell ref="F33:G33"/>
    <mergeCell ref="I33:J33"/>
    <mergeCell ref="F34:G34"/>
    <mergeCell ref="I34:J34"/>
    <mergeCell ref="F41:G41"/>
    <mergeCell ref="I41:J41"/>
    <mergeCell ref="F42:G42"/>
    <mergeCell ref="I42:J42"/>
    <mergeCell ref="F43:G43"/>
    <mergeCell ref="I43:J43"/>
    <mergeCell ref="F38:G38"/>
    <mergeCell ref="I38:J38"/>
    <mergeCell ref="F39:G39"/>
    <mergeCell ref="I39:J39"/>
    <mergeCell ref="F40:G40"/>
    <mergeCell ref="I40:J40"/>
    <mergeCell ref="F47:G47"/>
    <mergeCell ref="I47:J47"/>
    <mergeCell ref="F48:G48"/>
    <mergeCell ref="I48:J48"/>
    <mergeCell ref="F49:G49"/>
    <mergeCell ref="I49:J49"/>
    <mergeCell ref="F44:G44"/>
    <mergeCell ref="I44:J44"/>
    <mergeCell ref="F45:G45"/>
    <mergeCell ref="I45:J45"/>
    <mergeCell ref="F46:G46"/>
    <mergeCell ref="I46:J46"/>
    <mergeCell ref="F53:G53"/>
    <mergeCell ref="I53:J53"/>
    <mergeCell ref="F54:G54"/>
    <mergeCell ref="I54:J54"/>
    <mergeCell ref="F55:G55"/>
    <mergeCell ref="I55:J55"/>
    <mergeCell ref="F50:G50"/>
    <mergeCell ref="I50:J50"/>
    <mergeCell ref="F51:G51"/>
    <mergeCell ref="I51:J51"/>
    <mergeCell ref="F52:G52"/>
    <mergeCell ref="I52:J52"/>
    <mergeCell ref="F59:G59"/>
    <mergeCell ref="I59:J59"/>
    <mergeCell ref="F60:G60"/>
    <mergeCell ref="I60:J60"/>
    <mergeCell ref="F61:G61"/>
    <mergeCell ref="I61:J61"/>
    <mergeCell ref="F56:G56"/>
    <mergeCell ref="I56:J56"/>
    <mergeCell ref="F57:G57"/>
    <mergeCell ref="I57:J57"/>
    <mergeCell ref="F58:G58"/>
    <mergeCell ref="I58:J58"/>
    <mergeCell ref="F65:G65"/>
    <mergeCell ref="I65:J65"/>
    <mergeCell ref="F66:G66"/>
    <mergeCell ref="I66:J66"/>
    <mergeCell ref="F67:G67"/>
    <mergeCell ref="I67:J67"/>
    <mergeCell ref="F62:G62"/>
    <mergeCell ref="I62:J62"/>
    <mergeCell ref="F63:G63"/>
    <mergeCell ref="I63:J63"/>
    <mergeCell ref="F64:G64"/>
    <mergeCell ref="I64:J64"/>
    <mergeCell ref="F71:G71"/>
    <mergeCell ref="I71:J71"/>
    <mergeCell ref="F72:G72"/>
    <mergeCell ref="I72:J72"/>
    <mergeCell ref="F73:G73"/>
    <mergeCell ref="I73:J73"/>
    <mergeCell ref="F68:G68"/>
    <mergeCell ref="I68:J68"/>
    <mergeCell ref="F69:G69"/>
    <mergeCell ref="I69:J69"/>
    <mergeCell ref="F70:G70"/>
    <mergeCell ref="I70:J70"/>
    <mergeCell ref="F77:G77"/>
    <mergeCell ref="I77:J77"/>
    <mergeCell ref="F78:G78"/>
    <mergeCell ref="I78:J78"/>
    <mergeCell ref="F79:G79"/>
    <mergeCell ref="I79:J79"/>
    <mergeCell ref="F74:G74"/>
    <mergeCell ref="I74:J74"/>
    <mergeCell ref="F75:G75"/>
    <mergeCell ref="I75:J75"/>
    <mergeCell ref="F76:G76"/>
    <mergeCell ref="I76:J76"/>
    <mergeCell ref="F83:G83"/>
    <mergeCell ref="I83:J83"/>
    <mergeCell ref="F84:G84"/>
    <mergeCell ref="I84:J84"/>
    <mergeCell ref="F85:G85"/>
    <mergeCell ref="I85:J85"/>
    <mergeCell ref="F80:G80"/>
    <mergeCell ref="I80:J80"/>
    <mergeCell ref="F81:G81"/>
    <mergeCell ref="I81:J81"/>
    <mergeCell ref="F82:G82"/>
    <mergeCell ref="I82:J82"/>
    <mergeCell ref="F89:G89"/>
    <mergeCell ref="I89:J89"/>
    <mergeCell ref="F90:G90"/>
    <mergeCell ref="I90:J90"/>
    <mergeCell ref="F91:G91"/>
    <mergeCell ref="I91:J91"/>
    <mergeCell ref="F86:G86"/>
    <mergeCell ref="I86:J86"/>
    <mergeCell ref="F87:G87"/>
    <mergeCell ref="I87:J87"/>
    <mergeCell ref="F88:G88"/>
    <mergeCell ref="I88:J88"/>
    <mergeCell ref="F95:G95"/>
    <mergeCell ref="I95:J95"/>
    <mergeCell ref="F96:G96"/>
    <mergeCell ref="I96:J96"/>
    <mergeCell ref="F97:G97"/>
    <mergeCell ref="I97:J97"/>
    <mergeCell ref="F92:G92"/>
    <mergeCell ref="I92:J92"/>
    <mergeCell ref="F93:G93"/>
    <mergeCell ref="I93:J93"/>
    <mergeCell ref="F94:G94"/>
    <mergeCell ref="I94:J94"/>
    <mergeCell ref="F101:G101"/>
    <mergeCell ref="I101:J101"/>
    <mergeCell ref="F102:G102"/>
    <mergeCell ref="I102:J102"/>
    <mergeCell ref="F103:G103"/>
    <mergeCell ref="I103:J103"/>
    <mergeCell ref="F98:G98"/>
    <mergeCell ref="I98:J98"/>
    <mergeCell ref="F99:G99"/>
    <mergeCell ref="I99:J99"/>
    <mergeCell ref="F100:G100"/>
    <mergeCell ref="I100:J100"/>
    <mergeCell ref="F107:G107"/>
    <mergeCell ref="I107:J107"/>
    <mergeCell ref="F108:G108"/>
    <mergeCell ref="I108:J108"/>
    <mergeCell ref="F109:G109"/>
    <mergeCell ref="I109:J109"/>
    <mergeCell ref="F104:G104"/>
    <mergeCell ref="I104:J104"/>
    <mergeCell ref="F105:G105"/>
    <mergeCell ref="I105:J105"/>
    <mergeCell ref="F106:G106"/>
    <mergeCell ref="I106:J106"/>
    <mergeCell ref="F113:G113"/>
    <mergeCell ref="I113:J113"/>
    <mergeCell ref="F114:G114"/>
    <mergeCell ref="I114:J114"/>
    <mergeCell ref="F115:G115"/>
    <mergeCell ref="I115:J115"/>
    <mergeCell ref="F110:G110"/>
    <mergeCell ref="I110:J110"/>
    <mergeCell ref="F111:G111"/>
    <mergeCell ref="I111:J111"/>
    <mergeCell ref="F112:G112"/>
    <mergeCell ref="I112:J112"/>
    <mergeCell ref="F119:G119"/>
    <mergeCell ref="I119:J119"/>
    <mergeCell ref="F120:G120"/>
    <mergeCell ref="I120:J120"/>
    <mergeCell ref="F121:G121"/>
    <mergeCell ref="I121:J121"/>
    <mergeCell ref="F116:G116"/>
    <mergeCell ref="I116:J116"/>
    <mergeCell ref="F117:G117"/>
    <mergeCell ref="I117:J117"/>
    <mergeCell ref="F118:G118"/>
    <mergeCell ref="I118:J118"/>
    <mergeCell ref="F125:G125"/>
    <mergeCell ref="I125:J125"/>
    <mergeCell ref="F126:G126"/>
    <mergeCell ref="I126:J126"/>
    <mergeCell ref="F127:G127"/>
    <mergeCell ref="I127:J127"/>
    <mergeCell ref="F122:G122"/>
    <mergeCell ref="I122:J122"/>
    <mergeCell ref="F123:G123"/>
    <mergeCell ref="I123:J123"/>
    <mergeCell ref="F124:G124"/>
    <mergeCell ref="I124:J124"/>
    <mergeCell ref="F131:G131"/>
    <mergeCell ref="I131:J131"/>
    <mergeCell ref="F132:G132"/>
    <mergeCell ref="I132:J132"/>
    <mergeCell ref="F133:G133"/>
    <mergeCell ref="I133:J133"/>
    <mergeCell ref="F128:G128"/>
    <mergeCell ref="I128:J128"/>
    <mergeCell ref="F129:G129"/>
    <mergeCell ref="I129:J129"/>
    <mergeCell ref="F130:G130"/>
    <mergeCell ref="I130:J130"/>
    <mergeCell ref="F137:G137"/>
    <mergeCell ref="I137:J137"/>
    <mergeCell ref="F138:G138"/>
    <mergeCell ref="I138:J138"/>
    <mergeCell ref="F139:G139"/>
    <mergeCell ref="I139:J139"/>
    <mergeCell ref="F134:G134"/>
    <mergeCell ref="I134:J134"/>
    <mergeCell ref="F135:G135"/>
    <mergeCell ref="I135:J135"/>
    <mergeCell ref="F136:G136"/>
    <mergeCell ref="I136:J136"/>
    <mergeCell ref="F143:G143"/>
    <mergeCell ref="I143:J143"/>
    <mergeCell ref="F144:G144"/>
    <mergeCell ref="I144:J144"/>
    <mergeCell ref="F145:G145"/>
    <mergeCell ref="I145:J145"/>
    <mergeCell ref="F140:G140"/>
    <mergeCell ref="I140:J140"/>
    <mergeCell ref="F141:G141"/>
    <mergeCell ref="I141:J141"/>
    <mergeCell ref="F142:G142"/>
    <mergeCell ref="I142:J142"/>
    <mergeCell ref="F149:G149"/>
    <mergeCell ref="I149:J149"/>
    <mergeCell ref="F150:G150"/>
    <mergeCell ref="I150:J150"/>
    <mergeCell ref="F151:G151"/>
    <mergeCell ref="I151:J151"/>
    <mergeCell ref="F146:G146"/>
    <mergeCell ref="I146:J146"/>
    <mergeCell ref="F147:G147"/>
    <mergeCell ref="I147:J147"/>
    <mergeCell ref="F148:G148"/>
    <mergeCell ref="I148:J148"/>
    <mergeCell ref="F155:G155"/>
    <mergeCell ref="I155:J155"/>
    <mergeCell ref="F156:G156"/>
    <mergeCell ref="I156:J156"/>
    <mergeCell ref="F157:G157"/>
    <mergeCell ref="I157:J157"/>
    <mergeCell ref="F152:G152"/>
    <mergeCell ref="I152:J152"/>
    <mergeCell ref="F153:G153"/>
    <mergeCell ref="I153:J153"/>
    <mergeCell ref="F154:G154"/>
    <mergeCell ref="I154:J154"/>
    <mergeCell ref="F161:G161"/>
    <mergeCell ref="I161:J161"/>
    <mergeCell ref="F162:G162"/>
    <mergeCell ref="I162:J162"/>
    <mergeCell ref="F163:G163"/>
    <mergeCell ref="I163:J163"/>
    <mergeCell ref="F158:G158"/>
    <mergeCell ref="I158:J158"/>
    <mergeCell ref="F159:G159"/>
    <mergeCell ref="I159:J159"/>
    <mergeCell ref="F160:G160"/>
    <mergeCell ref="I160:J160"/>
    <mergeCell ref="F167:G167"/>
    <mergeCell ref="I167:J167"/>
    <mergeCell ref="F168:G168"/>
    <mergeCell ref="I168:J168"/>
    <mergeCell ref="F169:G169"/>
    <mergeCell ref="I169:J169"/>
    <mergeCell ref="F164:G164"/>
    <mergeCell ref="I164:J164"/>
    <mergeCell ref="F165:G165"/>
    <mergeCell ref="I165:J165"/>
    <mergeCell ref="F166:G166"/>
    <mergeCell ref="I166:J166"/>
    <mergeCell ref="F173:G173"/>
    <mergeCell ref="I173:J173"/>
    <mergeCell ref="F174:G174"/>
    <mergeCell ref="I174:J174"/>
    <mergeCell ref="F175:G175"/>
    <mergeCell ref="I175:J175"/>
    <mergeCell ref="F170:G170"/>
    <mergeCell ref="I170:J170"/>
    <mergeCell ref="F171:G171"/>
    <mergeCell ref="I171:J171"/>
    <mergeCell ref="F172:G172"/>
    <mergeCell ref="I172:J172"/>
    <mergeCell ref="F179:G179"/>
    <mergeCell ref="I179:J179"/>
    <mergeCell ref="F180:G180"/>
    <mergeCell ref="I180:J180"/>
    <mergeCell ref="F181:G181"/>
    <mergeCell ref="I181:J181"/>
    <mergeCell ref="F176:G176"/>
    <mergeCell ref="I176:J176"/>
    <mergeCell ref="F177:G177"/>
    <mergeCell ref="I177:J177"/>
    <mergeCell ref="F178:G178"/>
    <mergeCell ref="I178:J178"/>
    <mergeCell ref="F185:G185"/>
    <mergeCell ref="I185:J185"/>
    <mergeCell ref="F186:G186"/>
    <mergeCell ref="I186:J186"/>
    <mergeCell ref="F187:G187"/>
    <mergeCell ref="I187:J187"/>
    <mergeCell ref="F182:G182"/>
    <mergeCell ref="I182:J182"/>
    <mergeCell ref="F183:G183"/>
    <mergeCell ref="I183:J183"/>
    <mergeCell ref="F184:G184"/>
    <mergeCell ref="I184:J184"/>
    <mergeCell ref="F191:G191"/>
    <mergeCell ref="I191:J191"/>
    <mergeCell ref="F192:G192"/>
    <mergeCell ref="I192:J192"/>
    <mergeCell ref="F193:G193"/>
    <mergeCell ref="I193:J193"/>
    <mergeCell ref="F188:G188"/>
    <mergeCell ref="I188:J188"/>
    <mergeCell ref="F189:G189"/>
    <mergeCell ref="I189:J189"/>
    <mergeCell ref="F190:G190"/>
    <mergeCell ref="I190:J190"/>
    <mergeCell ref="F197:G197"/>
    <mergeCell ref="I197:J197"/>
    <mergeCell ref="F198:G198"/>
    <mergeCell ref="I198:J198"/>
    <mergeCell ref="F199:G199"/>
    <mergeCell ref="I199:J199"/>
    <mergeCell ref="F194:G194"/>
    <mergeCell ref="I194:J194"/>
    <mergeCell ref="F195:G195"/>
    <mergeCell ref="I195:J195"/>
    <mergeCell ref="F196:G196"/>
    <mergeCell ref="I196:J196"/>
    <mergeCell ref="F203:G203"/>
    <mergeCell ref="I203:J203"/>
    <mergeCell ref="F204:G204"/>
    <mergeCell ref="I204:J204"/>
    <mergeCell ref="F205:G205"/>
    <mergeCell ref="I205:J205"/>
    <mergeCell ref="F200:G200"/>
    <mergeCell ref="I200:J200"/>
    <mergeCell ref="F201:G201"/>
    <mergeCell ref="I201:J201"/>
    <mergeCell ref="F202:G202"/>
    <mergeCell ref="I202:J202"/>
    <mergeCell ref="F209:G209"/>
    <mergeCell ref="I209:J209"/>
    <mergeCell ref="F210:G210"/>
    <mergeCell ref="I210:J210"/>
    <mergeCell ref="F211:G211"/>
    <mergeCell ref="I211:J211"/>
    <mergeCell ref="F206:G206"/>
    <mergeCell ref="I206:J206"/>
    <mergeCell ref="F207:G207"/>
    <mergeCell ref="I207:J207"/>
    <mergeCell ref="F208:G208"/>
    <mergeCell ref="I208:J208"/>
    <mergeCell ref="F215:G215"/>
    <mergeCell ref="I215:J215"/>
    <mergeCell ref="F216:G216"/>
    <mergeCell ref="I216:J216"/>
    <mergeCell ref="F217:G217"/>
    <mergeCell ref="I217:J217"/>
    <mergeCell ref="F212:G212"/>
    <mergeCell ref="I212:J212"/>
    <mergeCell ref="F213:G213"/>
    <mergeCell ref="I213:J213"/>
    <mergeCell ref="F214:G214"/>
    <mergeCell ref="I214:J214"/>
    <mergeCell ref="F221:G221"/>
    <mergeCell ref="I221:J221"/>
    <mergeCell ref="F222:G222"/>
    <mergeCell ref="I222:J222"/>
    <mergeCell ref="F223:G223"/>
    <mergeCell ref="I223:J223"/>
    <mergeCell ref="F218:G218"/>
    <mergeCell ref="I218:J218"/>
    <mergeCell ref="F219:G219"/>
    <mergeCell ref="I219:J219"/>
    <mergeCell ref="F220:G220"/>
    <mergeCell ref="I220:J220"/>
    <mergeCell ref="F227:G227"/>
    <mergeCell ref="I227:J227"/>
    <mergeCell ref="F228:G228"/>
    <mergeCell ref="I228:J228"/>
    <mergeCell ref="F229:G229"/>
    <mergeCell ref="I229:J229"/>
    <mergeCell ref="F224:G224"/>
    <mergeCell ref="I224:J224"/>
    <mergeCell ref="F225:G225"/>
    <mergeCell ref="I225:J225"/>
    <mergeCell ref="F226:G226"/>
    <mergeCell ref="I226:J226"/>
    <mergeCell ref="F233:G233"/>
    <mergeCell ref="I233:J233"/>
    <mergeCell ref="F234:G234"/>
    <mergeCell ref="I234:J234"/>
    <mergeCell ref="F235:G235"/>
    <mergeCell ref="I235:J235"/>
    <mergeCell ref="F230:G230"/>
    <mergeCell ref="I230:J230"/>
    <mergeCell ref="F231:G231"/>
    <mergeCell ref="I231:J231"/>
    <mergeCell ref="F232:G232"/>
    <mergeCell ref="I232:J232"/>
    <mergeCell ref="F239:G239"/>
    <mergeCell ref="I239:J239"/>
    <mergeCell ref="F240:G240"/>
    <mergeCell ref="I240:J240"/>
    <mergeCell ref="F241:G241"/>
    <mergeCell ref="I241:J241"/>
    <mergeCell ref="F236:G236"/>
    <mergeCell ref="I236:J236"/>
    <mergeCell ref="F237:G237"/>
    <mergeCell ref="I237:J237"/>
    <mergeCell ref="F238:G238"/>
    <mergeCell ref="I238:J238"/>
    <mergeCell ref="F245:G245"/>
    <mergeCell ref="I245:J245"/>
    <mergeCell ref="F246:G246"/>
    <mergeCell ref="I246:J246"/>
    <mergeCell ref="F247:G247"/>
    <mergeCell ref="I247:J247"/>
    <mergeCell ref="F242:G242"/>
    <mergeCell ref="I242:J242"/>
    <mergeCell ref="F243:G243"/>
    <mergeCell ref="I243:J243"/>
    <mergeCell ref="F244:G244"/>
    <mergeCell ref="I244:J244"/>
    <mergeCell ref="F251:G251"/>
    <mergeCell ref="I251:J251"/>
    <mergeCell ref="F252:G252"/>
    <mergeCell ref="I252:J252"/>
    <mergeCell ref="F253:G253"/>
    <mergeCell ref="I253:J253"/>
    <mergeCell ref="F248:G248"/>
    <mergeCell ref="I248:J248"/>
    <mergeCell ref="F249:G249"/>
    <mergeCell ref="I249:J249"/>
    <mergeCell ref="F250:G250"/>
    <mergeCell ref="I250:J250"/>
    <mergeCell ref="F257:G257"/>
    <mergeCell ref="I257:J257"/>
    <mergeCell ref="F258:G258"/>
    <mergeCell ref="I258:J258"/>
    <mergeCell ref="F259:G259"/>
    <mergeCell ref="I259:J259"/>
    <mergeCell ref="F254:G254"/>
    <mergeCell ref="I254:J254"/>
    <mergeCell ref="F255:G255"/>
    <mergeCell ref="I255:J255"/>
    <mergeCell ref="F256:G256"/>
    <mergeCell ref="I256:J256"/>
    <mergeCell ref="F263:G263"/>
    <mergeCell ref="I263:J263"/>
    <mergeCell ref="F264:G264"/>
    <mergeCell ref="I264:J264"/>
    <mergeCell ref="F265:G265"/>
    <mergeCell ref="I265:J265"/>
    <mergeCell ref="F260:G260"/>
    <mergeCell ref="I260:J260"/>
    <mergeCell ref="F261:G261"/>
    <mergeCell ref="I261:J261"/>
    <mergeCell ref="F262:G262"/>
    <mergeCell ref="I262:J262"/>
    <mergeCell ref="F269:G269"/>
    <mergeCell ref="I269:J269"/>
    <mergeCell ref="F270:G270"/>
    <mergeCell ref="I270:J270"/>
    <mergeCell ref="F271:G271"/>
    <mergeCell ref="I271:J271"/>
    <mergeCell ref="F266:G266"/>
    <mergeCell ref="I266:J266"/>
    <mergeCell ref="F267:G267"/>
    <mergeCell ref="I267:J267"/>
    <mergeCell ref="F268:G268"/>
    <mergeCell ref="I268:J268"/>
    <mergeCell ref="F275:G275"/>
    <mergeCell ref="I275:J275"/>
    <mergeCell ref="F276:G276"/>
    <mergeCell ref="I276:J276"/>
    <mergeCell ref="F277:G277"/>
    <mergeCell ref="I277:J277"/>
    <mergeCell ref="F272:G272"/>
    <mergeCell ref="I272:J272"/>
    <mergeCell ref="F273:G273"/>
    <mergeCell ref="I273:J273"/>
    <mergeCell ref="F274:G274"/>
    <mergeCell ref="I274:J274"/>
    <mergeCell ref="F281:G281"/>
    <mergeCell ref="I281:J281"/>
    <mergeCell ref="F282:G282"/>
    <mergeCell ref="I282:J282"/>
    <mergeCell ref="F283:G283"/>
    <mergeCell ref="I283:J283"/>
    <mergeCell ref="F278:G278"/>
    <mergeCell ref="I278:J278"/>
    <mergeCell ref="F279:G279"/>
    <mergeCell ref="I279:J279"/>
    <mergeCell ref="F280:G280"/>
    <mergeCell ref="I280:J280"/>
    <mergeCell ref="F287:G287"/>
    <mergeCell ref="I287:J287"/>
    <mergeCell ref="F288:G288"/>
    <mergeCell ref="I288:J288"/>
    <mergeCell ref="F289:G289"/>
    <mergeCell ref="I289:J289"/>
    <mergeCell ref="F284:G284"/>
    <mergeCell ref="I284:J284"/>
    <mergeCell ref="F285:G285"/>
    <mergeCell ref="I285:J285"/>
    <mergeCell ref="F286:G286"/>
    <mergeCell ref="I286:J286"/>
    <mergeCell ref="F293:G293"/>
    <mergeCell ref="I293:J293"/>
    <mergeCell ref="F294:G294"/>
    <mergeCell ref="I294:J294"/>
    <mergeCell ref="A295:D295"/>
    <mergeCell ref="E295:G295"/>
    <mergeCell ref="H295:J295"/>
    <mergeCell ref="F290:G290"/>
    <mergeCell ref="I290:J290"/>
    <mergeCell ref="F291:G291"/>
    <mergeCell ref="I291:J291"/>
    <mergeCell ref="F292:G292"/>
    <mergeCell ref="I292:J2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51"/>
  <sheetViews>
    <sheetView topLeftCell="A46" workbookViewId="0">
      <selection activeCell="N25" sqref="N25"/>
    </sheetView>
  </sheetViews>
  <sheetFormatPr defaultRowHeight="14.4" x14ac:dyDescent="0.3"/>
  <cols>
    <col min="2" max="4" width="20.88671875" customWidth="1"/>
    <col min="10" max="10" width="9.88671875" bestFit="1" customWidth="1"/>
  </cols>
  <sheetData>
    <row r="1" spans="1:14" ht="53.4" x14ac:dyDescent="0.3">
      <c r="A1" s="29" t="s">
        <v>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4" ht="78" x14ac:dyDescent="0.3">
      <c r="A2" s="31" t="s">
        <v>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4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4" ht="20.399999999999999" x14ac:dyDescent="0.3">
      <c r="A4" s="32" t="s">
        <v>10</v>
      </c>
      <c r="B4" s="32" t="s">
        <v>11</v>
      </c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4" x14ac:dyDescent="0.3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4" ht="40.799999999999997" x14ac:dyDescent="0.3">
      <c r="A6" s="32" t="s">
        <v>12</v>
      </c>
      <c r="B6" s="32" t="s">
        <v>867</v>
      </c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4" x14ac:dyDescent="0.3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4" x14ac:dyDescent="0.3">
      <c r="A8" s="157" t="s">
        <v>14</v>
      </c>
      <c r="B8" s="152" t="s">
        <v>15</v>
      </c>
      <c r="C8" s="152" t="s">
        <v>16</v>
      </c>
      <c r="D8" s="159" t="s">
        <v>17</v>
      </c>
      <c r="E8" s="161" t="s">
        <v>18</v>
      </c>
      <c r="F8" s="161"/>
      <c r="G8" s="161"/>
      <c r="H8" s="162" t="s">
        <v>19</v>
      </c>
      <c r="I8" s="162"/>
      <c r="J8" s="162"/>
      <c r="K8" s="152" t="s">
        <v>20</v>
      </c>
      <c r="L8" s="152"/>
    </row>
    <row r="9" spans="1:14" hidden="1" x14ac:dyDescent="0.3">
      <c r="A9" s="153"/>
      <c r="B9" s="158"/>
      <c r="C9" s="158"/>
      <c r="D9" s="160"/>
      <c r="E9" s="33" t="s">
        <v>21</v>
      </c>
      <c r="F9" s="155"/>
      <c r="G9" s="155"/>
      <c r="H9" s="34" t="s">
        <v>21</v>
      </c>
      <c r="I9" s="156"/>
      <c r="J9" s="156"/>
      <c r="K9" s="153"/>
      <c r="L9" s="154"/>
    </row>
    <row r="10" spans="1:14" ht="71.400000000000006" hidden="1" x14ac:dyDescent="0.3">
      <c r="A10" s="35" t="s">
        <v>61</v>
      </c>
      <c r="B10" s="36" t="s">
        <v>75</v>
      </c>
      <c r="C10" s="36" t="s">
        <v>76</v>
      </c>
      <c r="D10" s="36" t="s">
        <v>40</v>
      </c>
      <c r="E10" s="37" t="s">
        <v>26</v>
      </c>
      <c r="F10" s="149">
        <v>111719.98</v>
      </c>
      <c r="G10" s="149"/>
      <c r="H10" s="37" t="s">
        <v>26</v>
      </c>
      <c r="I10" s="150" t="s">
        <v>28</v>
      </c>
      <c r="J10" s="150"/>
      <c r="K10" s="38" t="s">
        <v>29</v>
      </c>
      <c r="L10" s="39">
        <v>111719.98</v>
      </c>
    </row>
    <row r="11" spans="1:14" ht="71.400000000000006" hidden="1" x14ac:dyDescent="0.3">
      <c r="A11" s="35" t="s">
        <v>61</v>
      </c>
      <c r="B11" s="36" t="s">
        <v>85</v>
      </c>
      <c r="C11" s="36" t="s">
        <v>86</v>
      </c>
      <c r="D11" s="36" t="s">
        <v>63</v>
      </c>
      <c r="E11" s="37" t="s">
        <v>26</v>
      </c>
      <c r="F11" s="149">
        <v>103942.65</v>
      </c>
      <c r="G11" s="149"/>
      <c r="H11" s="37" t="s">
        <v>26</v>
      </c>
      <c r="I11" s="150" t="s">
        <v>28</v>
      </c>
      <c r="J11" s="150"/>
      <c r="K11" s="38" t="s">
        <v>29</v>
      </c>
      <c r="L11" s="39">
        <v>215662.63</v>
      </c>
    </row>
    <row r="12" spans="1:14" ht="71.400000000000006" hidden="1" x14ac:dyDescent="0.3">
      <c r="A12" s="35" t="s">
        <v>101</v>
      </c>
      <c r="B12" s="36" t="s">
        <v>113</v>
      </c>
      <c r="C12" s="36" t="s">
        <v>114</v>
      </c>
      <c r="D12" s="36" t="s">
        <v>95</v>
      </c>
      <c r="E12" s="37" t="s">
        <v>26</v>
      </c>
      <c r="F12" s="149">
        <v>20592.66</v>
      </c>
      <c r="G12" s="149"/>
      <c r="H12" s="37" t="s">
        <v>26</v>
      </c>
      <c r="I12" s="150" t="s">
        <v>28</v>
      </c>
      <c r="J12" s="150"/>
      <c r="K12" s="38" t="s">
        <v>29</v>
      </c>
      <c r="L12" s="39">
        <v>236255.29</v>
      </c>
    </row>
    <row r="13" spans="1:14" ht="71.400000000000006" x14ac:dyDescent="0.3">
      <c r="A13" s="35" t="s">
        <v>686</v>
      </c>
      <c r="B13" s="36" t="s">
        <v>868</v>
      </c>
      <c r="C13" s="36" t="s">
        <v>522</v>
      </c>
      <c r="D13" s="36" t="s">
        <v>114</v>
      </c>
      <c r="E13" s="37" t="s">
        <v>523</v>
      </c>
      <c r="F13" s="144" t="s">
        <v>28</v>
      </c>
      <c r="G13" s="144"/>
      <c r="H13" s="37" t="s">
        <v>26</v>
      </c>
      <c r="I13" s="145">
        <v>17590.66</v>
      </c>
      <c r="J13" s="145"/>
      <c r="K13" s="38" t="s">
        <v>29</v>
      </c>
      <c r="L13" s="39">
        <v>218664.63</v>
      </c>
    </row>
    <row r="14" spans="1:14" ht="71.400000000000006" x14ac:dyDescent="0.3">
      <c r="A14" s="35" t="s">
        <v>686</v>
      </c>
      <c r="B14" s="36" t="s">
        <v>868</v>
      </c>
      <c r="C14" s="36" t="s">
        <v>522</v>
      </c>
      <c r="D14" s="36" t="s">
        <v>86</v>
      </c>
      <c r="E14" s="37" t="s">
        <v>523</v>
      </c>
      <c r="F14" s="144" t="s">
        <v>28</v>
      </c>
      <c r="G14" s="144"/>
      <c r="H14" s="37" t="s">
        <v>26</v>
      </c>
      <c r="I14" s="145">
        <v>103942.65</v>
      </c>
      <c r="J14" s="145"/>
      <c r="K14" s="38" t="s">
        <v>29</v>
      </c>
      <c r="L14" s="39">
        <v>114721.98</v>
      </c>
    </row>
    <row r="15" spans="1:14" ht="71.400000000000006" x14ac:dyDescent="0.3">
      <c r="A15" s="35" t="s">
        <v>686</v>
      </c>
      <c r="B15" s="36" t="s">
        <v>868</v>
      </c>
      <c r="C15" s="36" t="s">
        <v>522</v>
      </c>
      <c r="D15" s="36" t="s">
        <v>76</v>
      </c>
      <c r="E15" s="37" t="s">
        <v>523</v>
      </c>
      <c r="F15" s="144" t="s">
        <v>28</v>
      </c>
      <c r="G15" s="144"/>
      <c r="H15" s="37" t="s">
        <v>26</v>
      </c>
      <c r="I15" s="145">
        <v>104069.31</v>
      </c>
      <c r="J15" s="145"/>
      <c r="K15" s="38" t="s">
        <v>29</v>
      </c>
      <c r="L15" s="39">
        <v>10652.67</v>
      </c>
      <c r="M15">
        <f>SUBTOTAL(9,I13:J15)</f>
        <v>225602.62</v>
      </c>
      <c r="N15" t="s">
        <v>1477</v>
      </c>
    </row>
    <row r="16" spans="1:14" ht="71.400000000000006" hidden="1" x14ac:dyDescent="0.3">
      <c r="A16" s="35" t="s">
        <v>363</v>
      </c>
      <c r="B16" s="36" t="s">
        <v>869</v>
      </c>
      <c r="C16" s="36" t="s">
        <v>870</v>
      </c>
      <c r="D16" s="36" t="s">
        <v>871</v>
      </c>
      <c r="E16" s="37" t="s">
        <v>26</v>
      </c>
      <c r="F16" s="149">
        <v>30656.17</v>
      </c>
      <c r="G16" s="149"/>
      <c r="H16" s="37" t="s">
        <v>27</v>
      </c>
      <c r="I16" s="150" t="s">
        <v>28</v>
      </c>
      <c r="J16" s="150"/>
      <c r="K16" s="38" t="s">
        <v>29</v>
      </c>
      <c r="L16" s="39">
        <v>41308.839999999997</v>
      </c>
    </row>
    <row r="17" spans="1:14" ht="61.2" hidden="1" x14ac:dyDescent="0.3">
      <c r="A17" s="35" t="s">
        <v>363</v>
      </c>
      <c r="B17" s="36" t="s">
        <v>869</v>
      </c>
      <c r="C17" s="36" t="s">
        <v>872</v>
      </c>
      <c r="D17" s="36" t="s">
        <v>871</v>
      </c>
      <c r="E17" s="37" t="s">
        <v>26</v>
      </c>
      <c r="F17" s="149">
        <v>31789.83</v>
      </c>
      <c r="G17" s="149"/>
      <c r="H17" s="37" t="s">
        <v>27</v>
      </c>
      <c r="I17" s="150" t="s">
        <v>28</v>
      </c>
      <c r="J17" s="150"/>
      <c r="K17" s="38" t="s">
        <v>29</v>
      </c>
      <c r="L17" s="39">
        <v>73098.67</v>
      </c>
    </row>
    <row r="18" spans="1:14" ht="71.400000000000006" hidden="1" x14ac:dyDescent="0.3">
      <c r="A18" s="35" t="s">
        <v>363</v>
      </c>
      <c r="B18" s="36" t="s">
        <v>873</v>
      </c>
      <c r="C18" s="36" t="s">
        <v>870</v>
      </c>
      <c r="D18" s="36" t="s">
        <v>871</v>
      </c>
      <c r="E18" s="37" t="s">
        <v>26</v>
      </c>
      <c r="F18" s="149">
        <v>44805.16</v>
      </c>
      <c r="G18" s="149"/>
      <c r="H18" s="37" t="s">
        <v>27</v>
      </c>
      <c r="I18" s="150" t="s">
        <v>28</v>
      </c>
      <c r="J18" s="150"/>
      <c r="K18" s="38" t="s">
        <v>29</v>
      </c>
      <c r="L18" s="39">
        <v>117903.83</v>
      </c>
    </row>
    <row r="19" spans="1:14" ht="61.2" hidden="1" x14ac:dyDescent="0.3">
      <c r="A19" s="35" t="s">
        <v>363</v>
      </c>
      <c r="B19" s="36" t="s">
        <v>873</v>
      </c>
      <c r="C19" s="36" t="s">
        <v>872</v>
      </c>
      <c r="D19" s="36" t="s">
        <v>871</v>
      </c>
      <c r="E19" s="37" t="s">
        <v>26</v>
      </c>
      <c r="F19" s="149">
        <v>26261.17</v>
      </c>
      <c r="G19" s="149"/>
      <c r="H19" s="37" t="s">
        <v>27</v>
      </c>
      <c r="I19" s="150" t="s">
        <v>28</v>
      </c>
      <c r="J19" s="150"/>
      <c r="K19" s="38" t="s">
        <v>29</v>
      </c>
      <c r="L19" s="39">
        <v>144165</v>
      </c>
    </row>
    <row r="20" spans="1:14" ht="61.2" hidden="1" x14ac:dyDescent="0.3">
      <c r="A20" s="35" t="s">
        <v>374</v>
      </c>
      <c r="B20" s="36" t="s">
        <v>874</v>
      </c>
      <c r="C20" s="36" t="s">
        <v>875</v>
      </c>
      <c r="D20" s="36" t="s">
        <v>876</v>
      </c>
      <c r="E20" s="37" t="s">
        <v>26</v>
      </c>
      <c r="F20" s="149">
        <v>6198.5</v>
      </c>
      <c r="G20" s="149"/>
      <c r="H20" s="37" t="s">
        <v>27</v>
      </c>
      <c r="I20" s="150" t="s">
        <v>28</v>
      </c>
      <c r="J20" s="150"/>
      <c r="K20" s="38" t="s">
        <v>29</v>
      </c>
      <c r="L20" s="39">
        <v>150363.5</v>
      </c>
    </row>
    <row r="21" spans="1:14" ht="61.2" hidden="1" x14ac:dyDescent="0.3">
      <c r="A21" s="35" t="s">
        <v>374</v>
      </c>
      <c r="B21" s="36" t="s">
        <v>877</v>
      </c>
      <c r="C21" s="36" t="s">
        <v>875</v>
      </c>
      <c r="D21" s="36" t="s">
        <v>876</v>
      </c>
      <c r="E21" s="37" t="s">
        <v>26</v>
      </c>
      <c r="F21" s="149">
        <v>5120.5</v>
      </c>
      <c r="G21" s="149"/>
      <c r="H21" s="37" t="s">
        <v>27</v>
      </c>
      <c r="I21" s="150" t="s">
        <v>28</v>
      </c>
      <c r="J21" s="150"/>
      <c r="K21" s="38" t="s">
        <v>29</v>
      </c>
      <c r="L21" s="39">
        <v>155484</v>
      </c>
    </row>
    <row r="22" spans="1:14" ht="61.2" hidden="1" x14ac:dyDescent="0.3">
      <c r="A22" s="35" t="s">
        <v>383</v>
      </c>
      <c r="B22" s="36" t="s">
        <v>878</v>
      </c>
      <c r="C22" s="36" t="s">
        <v>879</v>
      </c>
      <c r="D22" s="36" t="s">
        <v>880</v>
      </c>
      <c r="E22" s="37" t="s">
        <v>26</v>
      </c>
      <c r="F22" s="149">
        <v>90691.99</v>
      </c>
      <c r="G22" s="149"/>
      <c r="H22" s="37" t="s">
        <v>27</v>
      </c>
      <c r="I22" s="150" t="s">
        <v>28</v>
      </c>
      <c r="J22" s="150"/>
      <c r="K22" s="38" t="s">
        <v>29</v>
      </c>
      <c r="L22" s="39">
        <v>246175.99</v>
      </c>
    </row>
    <row r="23" spans="1:14" ht="61.2" hidden="1" x14ac:dyDescent="0.3">
      <c r="A23" s="35" t="s">
        <v>407</v>
      </c>
      <c r="B23" s="36" t="s">
        <v>419</v>
      </c>
      <c r="C23" s="36" t="s">
        <v>420</v>
      </c>
      <c r="D23" s="36" t="s">
        <v>416</v>
      </c>
      <c r="E23" s="37" t="s">
        <v>26</v>
      </c>
      <c r="F23" s="149">
        <v>47690.5</v>
      </c>
      <c r="G23" s="149"/>
      <c r="H23" s="37" t="s">
        <v>26</v>
      </c>
      <c r="I23" s="150" t="s">
        <v>28</v>
      </c>
      <c r="J23" s="150"/>
      <c r="K23" s="38" t="s">
        <v>29</v>
      </c>
      <c r="L23" s="39">
        <v>293866.49</v>
      </c>
    </row>
    <row r="24" spans="1:14" ht="61.2" hidden="1" x14ac:dyDescent="0.3">
      <c r="A24" s="35" t="s">
        <v>423</v>
      </c>
      <c r="B24" s="36" t="s">
        <v>428</v>
      </c>
      <c r="C24" s="36" t="s">
        <v>429</v>
      </c>
      <c r="D24" s="36" t="s">
        <v>425</v>
      </c>
      <c r="E24" s="37" t="s">
        <v>26</v>
      </c>
      <c r="F24" s="149">
        <v>63625.13</v>
      </c>
      <c r="G24" s="149"/>
      <c r="H24" s="37" t="s">
        <v>26</v>
      </c>
      <c r="I24" s="150" t="s">
        <v>28</v>
      </c>
      <c r="J24" s="150"/>
      <c r="K24" s="38" t="s">
        <v>29</v>
      </c>
      <c r="L24" s="39">
        <v>357491.62</v>
      </c>
    </row>
    <row r="25" spans="1:14" ht="61.2" x14ac:dyDescent="0.3">
      <c r="A25" s="35" t="s">
        <v>881</v>
      </c>
      <c r="B25" s="36" t="s">
        <v>882</v>
      </c>
      <c r="C25" s="36" t="s">
        <v>522</v>
      </c>
      <c r="D25" s="36" t="s">
        <v>879</v>
      </c>
      <c r="E25" s="37" t="s">
        <v>523</v>
      </c>
      <c r="F25" s="144" t="s">
        <v>28</v>
      </c>
      <c r="G25" s="144"/>
      <c r="H25" s="37" t="s">
        <v>26</v>
      </c>
      <c r="I25" s="145">
        <v>90691.99</v>
      </c>
      <c r="J25" s="145"/>
      <c r="K25" s="38" t="s">
        <v>29</v>
      </c>
      <c r="L25" s="39">
        <v>266799.63</v>
      </c>
    </row>
    <row r="26" spans="1:14" ht="61.2" x14ac:dyDescent="0.3">
      <c r="A26" s="35" t="s">
        <v>881</v>
      </c>
      <c r="B26" s="36" t="s">
        <v>882</v>
      </c>
      <c r="C26" s="36" t="s">
        <v>522</v>
      </c>
      <c r="D26" s="36" t="s">
        <v>420</v>
      </c>
      <c r="E26" s="37" t="s">
        <v>523</v>
      </c>
      <c r="F26" s="144" t="s">
        <v>28</v>
      </c>
      <c r="G26" s="144"/>
      <c r="H26" s="37" t="s">
        <v>26</v>
      </c>
      <c r="I26" s="145">
        <v>47690.5</v>
      </c>
      <c r="J26" s="145"/>
      <c r="K26" s="38" t="s">
        <v>29</v>
      </c>
      <c r="L26" s="39">
        <v>219109.13</v>
      </c>
    </row>
    <row r="27" spans="1:14" ht="61.2" x14ac:dyDescent="0.3">
      <c r="A27" s="35" t="s">
        <v>881</v>
      </c>
      <c r="B27" s="36" t="s">
        <v>882</v>
      </c>
      <c r="C27" s="36" t="s">
        <v>522</v>
      </c>
      <c r="D27" s="36" t="s">
        <v>429</v>
      </c>
      <c r="E27" s="37" t="s">
        <v>523</v>
      </c>
      <c r="F27" s="144" t="s">
        <v>28</v>
      </c>
      <c r="G27" s="144"/>
      <c r="H27" s="37" t="s">
        <v>26</v>
      </c>
      <c r="I27" s="145">
        <v>63625.13</v>
      </c>
      <c r="J27" s="145"/>
      <c r="K27" s="38" t="s">
        <v>29</v>
      </c>
      <c r="L27" s="39">
        <v>155484</v>
      </c>
      <c r="M27">
        <f>SUBTOTAL(9,I25:J27)</f>
        <v>202007.62</v>
      </c>
      <c r="N27" t="s">
        <v>1471</v>
      </c>
    </row>
    <row r="28" spans="1:14" ht="61.2" hidden="1" x14ac:dyDescent="0.3">
      <c r="A28" s="35" t="s">
        <v>558</v>
      </c>
      <c r="B28" s="36" t="s">
        <v>565</v>
      </c>
      <c r="C28" s="36" t="s">
        <v>566</v>
      </c>
      <c r="D28" s="36" t="s">
        <v>562</v>
      </c>
      <c r="E28" s="37" t="s">
        <v>26</v>
      </c>
      <c r="F28" s="149">
        <v>78539.13</v>
      </c>
      <c r="G28" s="149"/>
      <c r="H28" s="37" t="s">
        <v>26</v>
      </c>
      <c r="I28" s="150" t="s">
        <v>28</v>
      </c>
      <c r="J28" s="150"/>
      <c r="K28" s="38" t="s">
        <v>29</v>
      </c>
      <c r="L28" s="39">
        <v>234023.13</v>
      </c>
    </row>
    <row r="29" spans="1:14" ht="71.400000000000006" hidden="1" x14ac:dyDescent="0.3">
      <c r="A29" s="35" t="s">
        <v>614</v>
      </c>
      <c r="B29" s="36" t="s">
        <v>624</v>
      </c>
      <c r="C29" s="36" t="s">
        <v>625</v>
      </c>
      <c r="D29" s="36" t="s">
        <v>616</v>
      </c>
      <c r="E29" s="37" t="s">
        <v>26</v>
      </c>
      <c r="F29" s="149">
        <v>174968.16</v>
      </c>
      <c r="G29" s="149"/>
      <c r="H29" s="37" t="s">
        <v>26</v>
      </c>
      <c r="I29" s="150" t="s">
        <v>28</v>
      </c>
      <c r="J29" s="150"/>
      <c r="K29" s="38" t="s">
        <v>29</v>
      </c>
      <c r="L29" s="39">
        <v>408991.29</v>
      </c>
    </row>
    <row r="30" spans="1:14" ht="61.2" hidden="1" x14ac:dyDescent="0.3">
      <c r="A30" s="35" t="s">
        <v>843</v>
      </c>
      <c r="B30" s="36" t="s">
        <v>883</v>
      </c>
      <c r="C30" s="36" t="s">
        <v>884</v>
      </c>
      <c r="D30" s="36" t="s">
        <v>846</v>
      </c>
      <c r="E30" s="37" t="s">
        <v>26</v>
      </c>
      <c r="F30" s="149">
        <v>1173.7</v>
      </c>
      <c r="G30" s="149"/>
      <c r="H30" s="37" t="s">
        <v>27</v>
      </c>
      <c r="I30" s="150" t="s">
        <v>28</v>
      </c>
      <c r="J30" s="150"/>
      <c r="K30" s="38" t="s">
        <v>29</v>
      </c>
      <c r="L30" s="39">
        <v>410164.99</v>
      </c>
    </row>
    <row r="31" spans="1:14" ht="71.400000000000006" hidden="1" x14ac:dyDescent="0.3">
      <c r="A31" s="35" t="s">
        <v>885</v>
      </c>
      <c r="B31" s="36" t="s">
        <v>886</v>
      </c>
      <c r="C31" s="36" t="s">
        <v>887</v>
      </c>
      <c r="D31" s="36" t="s">
        <v>888</v>
      </c>
      <c r="E31" s="37" t="s">
        <v>26</v>
      </c>
      <c r="F31" s="149">
        <v>168281.25</v>
      </c>
      <c r="G31" s="149"/>
      <c r="H31" s="37" t="s">
        <v>27</v>
      </c>
      <c r="I31" s="150" t="s">
        <v>28</v>
      </c>
      <c r="J31" s="150"/>
      <c r="K31" s="38" t="s">
        <v>29</v>
      </c>
      <c r="L31" s="39">
        <v>578446.24</v>
      </c>
    </row>
    <row r="32" spans="1:14" ht="71.400000000000006" hidden="1" x14ac:dyDescent="0.3">
      <c r="A32" s="35" t="s">
        <v>885</v>
      </c>
      <c r="B32" s="36" t="s">
        <v>889</v>
      </c>
      <c r="C32" s="36" t="s">
        <v>887</v>
      </c>
      <c r="D32" s="36" t="s">
        <v>888</v>
      </c>
      <c r="E32" s="37" t="s">
        <v>26</v>
      </c>
      <c r="F32" s="149">
        <v>50132.75</v>
      </c>
      <c r="G32" s="149"/>
      <c r="H32" s="37" t="s">
        <v>27</v>
      </c>
      <c r="I32" s="150" t="s">
        <v>28</v>
      </c>
      <c r="J32" s="150"/>
      <c r="K32" s="38" t="s">
        <v>29</v>
      </c>
      <c r="L32" s="39">
        <v>628578.99</v>
      </c>
    </row>
    <row r="33" spans="1:14" ht="61.2" hidden="1" x14ac:dyDescent="0.3">
      <c r="A33" s="35" t="s">
        <v>666</v>
      </c>
      <c r="B33" s="36" t="s">
        <v>667</v>
      </c>
      <c r="C33" s="36" t="s">
        <v>668</v>
      </c>
      <c r="D33" s="36" t="s">
        <v>325</v>
      </c>
      <c r="E33" s="37" t="s">
        <v>26</v>
      </c>
      <c r="F33" s="149">
        <v>1000</v>
      </c>
      <c r="G33" s="149"/>
      <c r="H33" s="37" t="s">
        <v>26</v>
      </c>
      <c r="I33" s="150" t="s">
        <v>28</v>
      </c>
      <c r="J33" s="150"/>
      <c r="K33" s="38" t="s">
        <v>29</v>
      </c>
      <c r="L33" s="39">
        <v>629578.99</v>
      </c>
    </row>
    <row r="34" spans="1:14" ht="71.400000000000006" hidden="1" x14ac:dyDescent="0.3">
      <c r="A34" s="35" t="s">
        <v>666</v>
      </c>
      <c r="B34" s="36" t="s">
        <v>667</v>
      </c>
      <c r="C34" s="36" t="s">
        <v>669</v>
      </c>
      <c r="D34" s="36" t="s">
        <v>119</v>
      </c>
      <c r="E34" s="37" t="s">
        <v>26</v>
      </c>
      <c r="F34" s="151">
        <v>224.4</v>
      </c>
      <c r="G34" s="151"/>
      <c r="H34" s="37" t="s">
        <v>26</v>
      </c>
      <c r="I34" s="150" t="s">
        <v>28</v>
      </c>
      <c r="J34" s="150"/>
      <c r="K34" s="38" t="s">
        <v>29</v>
      </c>
      <c r="L34" s="39">
        <v>629803.39</v>
      </c>
    </row>
    <row r="35" spans="1:14" ht="61.2" hidden="1" x14ac:dyDescent="0.3">
      <c r="A35" s="35" t="s">
        <v>666</v>
      </c>
      <c r="B35" s="36" t="s">
        <v>667</v>
      </c>
      <c r="C35" s="36" t="s">
        <v>670</v>
      </c>
      <c r="D35" s="36" t="s">
        <v>117</v>
      </c>
      <c r="E35" s="37" t="s">
        <v>26</v>
      </c>
      <c r="F35" s="149">
        <v>1620</v>
      </c>
      <c r="G35" s="149"/>
      <c r="H35" s="37" t="s">
        <v>26</v>
      </c>
      <c r="I35" s="150" t="s">
        <v>28</v>
      </c>
      <c r="J35" s="150"/>
      <c r="K35" s="38" t="s">
        <v>29</v>
      </c>
      <c r="L35" s="39">
        <v>631423.39</v>
      </c>
    </row>
    <row r="36" spans="1:14" ht="71.400000000000006" hidden="1" x14ac:dyDescent="0.3">
      <c r="A36" s="35" t="s">
        <v>666</v>
      </c>
      <c r="B36" s="36" t="s">
        <v>667</v>
      </c>
      <c r="C36" s="36" t="s">
        <v>671</v>
      </c>
      <c r="D36" s="36" t="s">
        <v>590</v>
      </c>
      <c r="E36" s="37" t="s">
        <v>26</v>
      </c>
      <c r="F36" s="149">
        <v>5158.46</v>
      </c>
      <c r="G36" s="149"/>
      <c r="H36" s="37" t="s">
        <v>26</v>
      </c>
      <c r="I36" s="150" t="s">
        <v>28</v>
      </c>
      <c r="J36" s="150"/>
      <c r="K36" s="38" t="s">
        <v>29</v>
      </c>
      <c r="L36" s="39">
        <v>636581.85</v>
      </c>
    </row>
    <row r="37" spans="1:14" ht="71.400000000000006" x14ac:dyDescent="0.3">
      <c r="A37" s="35" t="s">
        <v>666</v>
      </c>
      <c r="B37" s="36" t="s">
        <v>890</v>
      </c>
      <c r="C37" s="36" t="s">
        <v>859</v>
      </c>
      <c r="D37" s="36" t="s">
        <v>114</v>
      </c>
      <c r="E37" s="37" t="s">
        <v>523</v>
      </c>
      <c r="F37" s="144" t="s">
        <v>28</v>
      </c>
      <c r="G37" s="144"/>
      <c r="H37" s="37" t="s">
        <v>26</v>
      </c>
      <c r="I37" s="148">
        <v>869</v>
      </c>
      <c r="J37" s="148"/>
      <c r="K37" s="38" t="s">
        <v>29</v>
      </c>
      <c r="L37" s="39">
        <v>635712.85</v>
      </c>
    </row>
    <row r="38" spans="1:14" ht="71.400000000000006" x14ac:dyDescent="0.3">
      <c r="A38" s="35" t="s">
        <v>666</v>
      </c>
      <c r="B38" s="36" t="s">
        <v>890</v>
      </c>
      <c r="C38" s="36" t="s">
        <v>859</v>
      </c>
      <c r="D38" s="36" t="s">
        <v>76</v>
      </c>
      <c r="E38" s="37" t="s">
        <v>523</v>
      </c>
      <c r="F38" s="144" t="s">
        <v>28</v>
      </c>
      <c r="G38" s="144"/>
      <c r="H38" s="37" t="s">
        <v>26</v>
      </c>
      <c r="I38" s="145">
        <v>5193.34</v>
      </c>
      <c r="J38" s="145"/>
      <c r="K38" s="38" t="s">
        <v>29</v>
      </c>
      <c r="L38" s="39">
        <v>630519.51</v>
      </c>
    </row>
    <row r="39" spans="1:14" ht="71.400000000000006" x14ac:dyDescent="0.3">
      <c r="A39" s="35" t="s">
        <v>666</v>
      </c>
      <c r="B39" s="36" t="s">
        <v>890</v>
      </c>
      <c r="C39" s="36" t="s">
        <v>859</v>
      </c>
      <c r="D39" s="36" t="s">
        <v>625</v>
      </c>
      <c r="E39" s="37" t="s">
        <v>523</v>
      </c>
      <c r="F39" s="144" t="s">
        <v>28</v>
      </c>
      <c r="G39" s="144"/>
      <c r="H39" s="37" t="s">
        <v>26</v>
      </c>
      <c r="I39" s="145">
        <v>174968.16</v>
      </c>
      <c r="J39" s="145"/>
      <c r="K39" s="38" t="s">
        <v>29</v>
      </c>
      <c r="L39" s="39">
        <v>455551.35</v>
      </c>
    </row>
    <row r="40" spans="1:14" ht="71.400000000000006" x14ac:dyDescent="0.3">
      <c r="A40" s="35" t="s">
        <v>666</v>
      </c>
      <c r="B40" s="36" t="s">
        <v>890</v>
      </c>
      <c r="C40" s="36" t="s">
        <v>859</v>
      </c>
      <c r="D40" s="36" t="s">
        <v>671</v>
      </c>
      <c r="E40" s="37" t="s">
        <v>523</v>
      </c>
      <c r="F40" s="144" t="s">
        <v>28</v>
      </c>
      <c r="G40" s="144"/>
      <c r="H40" s="37" t="s">
        <v>26</v>
      </c>
      <c r="I40" s="145">
        <v>5158.46</v>
      </c>
      <c r="J40" s="145"/>
      <c r="K40" s="38" t="s">
        <v>29</v>
      </c>
      <c r="L40" s="39">
        <v>450392.89</v>
      </c>
    </row>
    <row r="41" spans="1:14" ht="61.2" x14ac:dyDescent="0.3">
      <c r="A41" s="35" t="s">
        <v>666</v>
      </c>
      <c r="B41" s="36" t="s">
        <v>891</v>
      </c>
      <c r="C41" s="36" t="s">
        <v>859</v>
      </c>
      <c r="D41" s="36" t="s">
        <v>872</v>
      </c>
      <c r="E41" s="37" t="s">
        <v>523</v>
      </c>
      <c r="F41" s="144" t="s">
        <v>28</v>
      </c>
      <c r="G41" s="144"/>
      <c r="H41" s="37" t="s">
        <v>26</v>
      </c>
      <c r="I41" s="145">
        <v>58051</v>
      </c>
      <c r="J41" s="145"/>
      <c r="K41" s="38" t="s">
        <v>29</v>
      </c>
      <c r="L41" s="39">
        <v>392341.89</v>
      </c>
    </row>
    <row r="42" spans="1:14" ht="61.2" x14ac:dyDescent="0.3">
      <c r="A42" s="35" t="s">
        <v>666</v>
      </c>
      <c r="B42" s="36" t="s">
        <v>891</v>
      </c>
      <c r="C42" s="36" t="s">
        <v>859</v>
      </c>
      <c r="D42" s="36" t="s">
        <v>875</v>
      </c>
      <c r="E42" s="37" t="s">
        <v>523</v>
      </c>
      <c r="F42" s="144" t="s">
        <v>28</v>
      </c>
      <c r="G42" s="144"/>
      <c r="H42" s="37" t="s">
        <v>26</v>
      </c>
      <c r="I42" s="145">
        <v>11319</v>
      </c>
      <c r="J42" s="145"/>
      <c r="K42" s="38" t="s">
        <v>29</v>
      </c>
      <c r="L42" s="39">
        <v>381022.89</v>
      </c>
    </row>
    <row r="43" spans="1:14" ht="61.2" x14ac:dyDescent="0.3">
      <c r="A43" s="35" t="s">
        <v>666</v>
      </c>
      <c r="B43" s="36" t="s">
        <v>891</v>
      </c>
      <c r="C43" s="36" t="s">
        <v>859</v>
      </c>
      <c r="D43" s="36" t="s">
        <v>566</v>
      </c>
      <c r="E43" s="37" t="s">
        <v>523</v>
      </c>
      <c r="F43" s="144" t="s">
        <v>28</v>
      </c>
      <c r="G43" s="144"/>
      <c r="H43" s="37" t="s">
        <v>26</v>
      </c>
      <c r="I43" s="145">
        <v>78539.13</v>
      </c>
      <c r="J43" s="145"/>
      <c r="K43" s="38" t="s">
        <v>29</v>
      </c>
      <c r="L43" s="39">
        <v>302483.76</v>
      </c>
    </row>
    <row r="44" spans="1:14" ht="61.2" x14ac:dyDescent="0.3">
      <c r="A44" s="35" t="s">
        <v>666</v>
      </c>
      <c r="B44" s="36" t="s">
        <v>891</v>
      </c>
      <c r="C44" s="36" t="s">
        <v>859</v>
      </c>
      <c r="D44" s="36" t="s">
        <v>668</v>
      </c>
      <c r="E44" s="37" t="s">
        <v>523</v>
      </c>
      <c r="F44" s="144" t="s">
        <v>28</v>
      </c>
      <c r="G44" s="144"/>
      <c r="H44" s="37" t="s">
        <v>26</v>
      </c>
      <c r="I44" s="145">
        <v>1000</v>
      </c>
      <c r="J44" s="145"/>
      <c r="K44" s="38" t="s">
        <v>29</v>
      </c>
      <c r="L44" s="39">
        <v>301483.76</v>
      </c>
    </row>
    <row r="45" spans="1:14" ht="61.2" x14ac:dyDescent="0.3">
      <c r="A45" s="35" t="s">
        <v>666</v>
      </c>
      <c r="B45" s="36" t="s">
        <v>891</v>
      </c>
      <c r="C45" s="36" t="s">
        <v>859</v>
      </c>
      <c r="D45" s="36" t="s">
        <v>670</v>
      </c>
      <c r="E45" s="37" t="s">
        <v>523</v>
      </c>
      <c r="F45" s="144" t="s">
        <v>28</v>
      </c>
      <c r="G45" s="144"/>
      <c r="H45" s="37" t="s">
        <v>26</v>
      </c>
      <c r="I45" s="145">
        <v>1620</v>
      </c>
      <c r="J45" s="145"/>
      <c r="K45" s="38" t="s">
        <v>29</v>
      </c>
      <c r="L45" s="39">
        <v>299863.76</v>
      </c>
    </row>
    <row r="46" spans="1:14" ht="71.400000000000006" x14ac:dyDescent="0.3">
      <c r="A46" s="35" t="s">
        <v>666</v>
      </c>
      <c r="B46" s="36" t="s">
        <v>891</v>
      </c>
      <c r="C46" s="36" t="s">
        <v>859</v>
      </c>
      <c r="D46" s="36" t="s">
        <v>669</v>
      </c>
      <c r="E46" s="37" t="s">
        <v>523</v>
      </c>
      <c r="F46" s="144" t="s">
        <v>28</v>
      </c>
      <c r="G46" s="144"/>
      <c r="H46" s="37" t="s">
        <v>26</v>
      </c>
      <c r="I46" s="148">
        <v>224.4</v>
      </c>
      <c r="J46" s="148"/>
      <c r="K46" s="38" t="s">
        <v>29</v>
      </c>
      <c r="L46" s="39">
        <v>299639.36</v>
      </c>
    </row>
    <row r="47" spans="1:14" ht="71.400000000000006" x14ac:dyDescent="0.3">
      <c r="A47" s="35" t="s">
        <v>666</v>
      </c>
      <c r="B47" s="36" t="s">
        <v>892</v>
      </c>
      <c r="C47" s="36" t="s">
        <v>522</v>
      </c>
      <c r="D47" s="36" t="s">
        <v>887</v>
      </c>
      <c r="E47" s="37" t="s">
        <v>523</v>
      </c>
      <c r="F47" s="144" t="s">
        <v>28</v>
      </c>
      <c r="G47" s="144"/>
      <c r="H47" s="37" t="s">
        <v>26</v>
      </c>
      <c r="I47" s="145">
        <v>218414</v>
      </c>
      <c r="J47" s="145"/>
      <c r="K47" s="38" t="s">
        <v>29</v>
      </c>
      <c r="L47" s="39">
        <v>81225.36</v>
      </c>
      <c r="M47">
        <f>SUBTOTAL(9,I37:J47)</f>
        <v>555356.49</v>
      </c>
      <c r="N47" t="s">
        <v>1472</v>
      </c>
    </row>
    <row r="48" spans="1:14" ht="71.400000000000006" hidden="1" x14ac:dyDescent="0.3">
      <c r="A48" s="35" t="s">
        <v>666</v>
      </c>
      <c r="B48" s="36" t="s">
        <v>893</v>
      </c>
      <c r="C48" s="36" t="s">
        <v>894</v>
      </c>
      <c r="D48" s="36" t="s">
        <v>870</v>
      </c>
      <c r="E48" s="37" t="s">
        <v>26</v>
      </c>
      <c r="F48" s="144" t="s">
        <v>28</v>
      </c>
      <c r="G48" s="144"/>
      <c r="H48" s="37" t="s">
        <v>26</v>
      </c>
      <c r="I48" s="145">
        <v>65328</v>
      </c>
      <c r="J48" s="145"/>
      <c r="K48" s="38" t="s">
        <v>29</v>
      </c>
      <c r="L48" s="39">
        <v>15897.36</v>
      </c>
    </row>
    <row r="49" spans="1:12" hidden="1" x14ac:dyDescent="0.3">
      <c r="A49" s="146" t="s">
        <v>681</v>
      </c>
      <c r="B49" s="146"/>
      <c r="C49" s="146"/>
      <c r="D49" s="146"/>
      <c r="E49" s="147">
        <v>1064192.0900000001</v>
      </c>
      <c r="F49" s="147"/>
      <c r="G49" s="147"/>
      <c r="H49" s="147">
        <v>1048294.73</v>
      </c>
      <c r="I49" s="147"/>
      <c r="J49" s="147"/>
      <c r="K49" s="40" t="s">
        <v>29</v>
      </c>
      <c r="L49" s="41">
        <v>15897.36</v>
      </c>
    </row>
    <row r="51" spans="1:12" x14ac:dyDescent="0.3">
      <c r="J51" s="95">
        <f>SUBTOTAL(9,I13:J47)</f>
        <v>982966.73</v>
      </c>
    </row>
  </sheetData>
  <autoFilter ref="A8:L49">
    <filterColumn colId="1">
      <filters>
        <filter val="Вимога-накладна ІБ00-000534 від 08.10.2024 22:00:11_x000a_Списаны ТМЦ"/>
        <filter val="Вимога-накладна ІБ00-000657 від 28.11.2024 23:00:02_x000a_Списаны ТМЦ"/>
        <filter val="Вимога-накладна ІБ00-000690 від 30.12.2024 21:00:06_x000a_Списаны ТМЦ"/>
        <filter val="Вимога-накладна ІБ00-000691 від 30.12.2024 20:00:00_x000a_Списаны ТМЦ"/>
        <filter val="Вимога-накладна ІБ00-000708 від 30.12.2024 21:00:38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90">
    <mergeCell ref="A8:A9"/>
    <mergeCell ref="B8:B9"/>
    <mergeCell ref="C8:C9"/>
    <mergeCell ref="D8:D9"/>
    <mergeCell ref="E8:G8"/>
    <mergeCell ref="K8:L9"/>
    <mergeCell ref="F9:G9"/>
    <mergeCell ref="I9:J9"/>
    <mergeCell ref="F10:G10"/>
    <mergeCell ref="I10:J10"/>
    <mergeCell ref="H8:J8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F40:G40"/>
    <mergeCell ref="I40:J40"/>
    <mergeCell ref="F41:G41"/>
    <mergeCell ref="I41:J41"/>
    <mergeCell ref="F42:G42"/>
    <mergeCell ref="I42:J42"/>
    <mergeCell ref="F43:G43"/>
    <mergeCell ref="I43:J43"/>
    <mergeCell ref="F44:G44"/>
    <mergeCell ref="I44:J44"/>
    <mergeCell ref="F45:G45"/>
    <mergeCell ref="I45:J45"/>
    <mergeCell ref="F46:G46"/>
    <mergeCell ref="I46:J46"/>
    <mergeCell ref="F47:G47"/>
    <mergeCell ref="I47:J47"/>
    <mergeCell ref="F48:G48"/>
    <mergeCell ref="I48:J48"/>
    <mergeCell ref="A49:D49"/>
    <mergeCell ref="E49:G49"/>
    <mergeCell ref="H49:J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43"/>
  <sheetViews>
    <sheetView topLeftCell="A38" workbookViewId="0">
      <selection activeCell="N42" sqref="N42"/>
    </sheetView>
  </sheetViews>
  <sheetFormatPr defaultRowHeight="14.4" x14ac:dyDescent="0.3"/>
  <cols>
    <col min="2" max="4" width="30" customWidth="1"/>
    <col min="10" max="10" width="9.88671875" bestFit="1" customWidth="1"/>
  </cols>
  <sheetData>
    <row r="1" spans="1:12" ht="53.4" x14ac:dyDescent="0.3">
      <c r="A1" s="42" t="s">
        <v>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78" x14ac:dyDescent="0.3">
      <c r="A2" s="44" t="s">
        <v>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0.399999999999999" x14ac:dyDescent="0.3">
      <c r="A4" s="45" t="s">
        <v>10</v>
      </c>
      <c r="B4" s="45" t="s">
        <v>11</v>
      </c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x14ac:dyDescent="0.3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ht="30.6" x14ac:dyDescent="0.3">
      <c r="A6" s="45" t="s">
        <v>12</v>
      </c>
      <c r="B6" s="45" t="s">
        <v>895</v>
      </c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2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</row>
    <row r="8" spans="1:12" x14ac:dyDescent="0.3">
      <c r="A8" s="174" t="s">
        <v>14</v>
      </c>
      <c r="B8" s="169" t="s">
        <v>15</v>
      </c>
      <c r="C8" s="169" t="s">
        <v>16</v>
      </c>
      <c r="D8" s="176" t="s">
        <v>17</v>
      </c>
      <c r="E8" s="178" t="s">
        <v>18</v>
      </c>
      <c r="F8" s="178"/>
      <c r="G8" s="178"/>
      <c r="H8" s="179" t="s">
        <v>19</v>
      </c>
      <c r="I8" s="179"/>
      <c r="J8" s="179"/>
      <c r="K8" s="169" t="s">
        <v>20</v>
      </c>
      <c r="L8" s="169"/>
    </row>
    <row r="9" spans="1:12" hidden="1" x14ac:dyDescent="0.3">
      <c r="A9" s="170"/>
      <c r="B9" s="175"/>
      <c r="C9" s="175"/>
      <c r="D9" s="177"/>
      <c r="E9" s="46" t="s">
        <v>21</v>
      </c>
      <c r="F9" s="172"/>
      <c r="G9" s="172"/>
      <c r="H9" s="47" t="s">
        <v>21</v>
      </c>
      <c r="I9" s="173"/>
      <c r="J9" s="173"/>
      <c r="K9" s="170"/>
      <c r="L9" s="171"/>
    </row>
    <row r="10" spans="1:12" ht="61.2" hidden="1" x14ac:dyDescent="0.3">
      <c r="A10" s="48" t="s">
        <v>61</v>
      </c>
      <c r="B10" s="49" t="s">
        <v>67</v>
      </c>
      <c r="C10" s="49" t="s">
        <v>68</v>
      </c>
      <c r="D10" s="49" t="s">
        <v>37</v>
      </c>
      <c r="E10" s="50" t="s">
        <v>26</v>
      </c>
      <c r="F10" s="167">
        <v>3686.67</v>
      </c>
      <c r="G10" s="167"/>
      <c r="H10" s="50" t="s">
        <v>26</v>
      </c>
      <c r="I10" s="168" t="s">
        <v>28</v>
      </c>
      <c r="J10" s="168"/>
      <c r="K10" s="51" t="s">
        <v>29</v>
      </c>
      <c r="L10" s="52">
        <v>3686.67</v>
      </c>
    </row>
    <row r="11" spans="1:12" ht="61.2" hidden="1" x14ac:dyDescent="0.3">
      <c r="A11" s="48" t="s">
        <v>61</v>
      </c>
      <c r="B11" s="49" t="s">
        <v>67</v>
      </c>
      <c r="C11" s="49" t="s">
        <v>69</v>
      </c>
      <c r="D11" s="49" t="s">
        <v>39</v>
      </c>
      <c r="E11" s="50" t="s">
        <v>26</v>
      </c>
      <c r="F11" s="167">
        <v>43623.99</v>
      </c>
      <c r="G11" s="167"/>
      <c r="H11" s="50" t="s">
        <v>26</v>
      </c>
      <c r="I11" s="168" t="s">
        <v>28</v>
      </c>
      <c r="J11" s="168"/>
      <c r="K11" s="51" t="s">
        <v>29</v>
      </c>
      <c r="L11" s="52">
        <v>47310.66</v>
      </c>
    </row>
    <row r="12" spans="1:12" ht="61.2" hidden="1" x14ac:dyDescent="0.3">
      <c r="A12" s="48" t="s">
        <v>61</v>
      </c>
      <c r="B12" s="49" t="s">
        <v>67</v>
      </c>
      <c r="C12" s="49" t="s">
        <v>70</v>
      </c>
      <c r="D12" s="49" t="s">
        <v>35</v>
      </c>
      <c r="E12" s="50" t="s">
        <v>26</v>
      </c>
      <c r="F12" s="167">
        <v>24320</v>
      </c>
      <c r="G12" s="167"/>
      <c r="H12" s="50" t="s">
        <v>26</v>
      </c>
      <c r="I12" s="168" t="s">
        <v>28</v>
      </c>
      <c r="J12" s="168"/>
      <c r="K12" s="51" t="s">
        <v>29</v>
      </c>
      <c r="L12" s="52">
        <v>71630.66</v>
      </c>
    </row>
    <row r="13" spans="1:12" ht="61.2" hidden="1" x14ac:dyDescent="0.3">
      <c r="A13" s="48" t="s">
        <v>61</v>
      </c>
      <c r="B13" s="49" t="s">
        <v>67</v>
      </c>
      <c r="C13" s="49" t="s">
        <v>71</v>
      </c>
      <c r="D13" s="49" t="s">
        <v>40</v>
      </c>
      <c r="E13" s="50" t="s">
        <v>26</v>
      </c>
      <c r="F13" s="167">
        <v>6586.67</v>
      </c>
      <c r="G13" s="167"/>
      <c r="H13" s="50" t="s">
        <v>26</v>
      </c>
      <c r="I13" s="168" t="s">
        <v>28</v>
      </c>
      <c r="J13" s="168"/>
      <c r="K13" s="51" t="s">
        <v>29</v>
      </c>
      <c r="L13" s="52">
        <v>78217.33</v>
      </c>
    </row>
    <row r="14" spans="1:12" ht="61.2" hidden="1" x14ac:dyDescent="0.3">
      <c r="A14" s="48" t="s">
        <v>89</v>
      </c>
      <c r="B14" s="49" t="s">
        <v>99</v>
      </c>
      <c r="C14" s="49" t="s">
        <v>100</v>
      </c>
      <c r="D14" s="49" t="s">
        <v>63</v>
      </c>
      <c r="E14" s="50" t="s">
        <v>26</v>
      </c>
      <c r="F14" s="167">
        <v>12844</v>
      </c>
      <c r="G14" s="167"/>
      <c r="H14" s="50" t="s">
        <v>26</v>
      </c>
      <c r="I14" s="168" t="s">
        <v>28</v>
      </c>
      <c r="J14" s="168"/>
      <c r="K14" s="51" t="s">
        <v>29</v>
      </c>
      <c r="L14" s="52">
        <v>91061.33</v>
      </c>
    </row>
    <row r="15" spans="1:12" ht="61.2" hidden="1" x14ac:dyDescent="0.3">
      <c r="A15" s="48" t="s">
        <v>101</v>
      </c>
      <c r="B15" s="49" t="s">
        <v>102</v>
      </c>
      <c r="C15" s="49" t="s">
        <v>103</v>
      </c>
      <c r="D15" s="49" t="s">
        <v>93</v>
      </c>
      <c r="E15" s="50" t="s">
        <v>26</v>
      </c>
      <c r="F15" s="167">
        <v>564426.59</v>
      </c>
      <c r="G15" s="167"/>
      <c r="H15" s="50" t="s">
        <v>26</v>
      </c>
      <c r="I15" s="168" t="s">
        <v>28</v>
      </c>
      <c r="J15" s="168"/>
      <c r="K15" s="51" t="s">
        <v>29</v>
      </c>
      <c r="L15" s="52">
        <v>655487.92000000004</v>
      </c>
    </row>
    <row r="16" spans="1:12" ht="61.2" hidden="1" x14ac:dyDescent="0.3">
      <c r="A16" s="48" t="s">
        <v>101</v>
      </c>
      <c r="B16" s="49" t="s">
        <v>104</v>
      </c>
      <c r="C16" s="49" t="s">
        <v>105</v>
      </c>
      <c r="D16" s="49" t="s">
        <v>98</v>
      </c>
      <c r="E16" s="50" t="s">
        <v>26</v>
      </c>
      <c r="F16" s="167">
        <v>22546.66</v>
      </c>
      <c r="G16" s="167"/>
      <c r="H16" s="50" t="s">
        <v>26</v>
      </c>
      <c r="I16" s="168" t="s">
        <v>28</v>
      </c>
      <c r="J16" s="168"/>
      <c r="K16" s="51" t="s">
        <v>29</v>
      </c>
      <c r="L16" s="52">
        <v>678034.58</v>
      </c>
    </row>
    <row r="17" spans="1:12" ht="61.2" hidden="1" x14ac:dyDescent="0.3">
      <c r="A17" s="48" t="s">
        <v>101</v>
      </c>
      <c r="B17" s="49" t="s">
        <v>111</v>
      </c>
      <c r="C17" s="49" t="s">
        <v>112</v>
      </c>
      <c r="D17" s="49" t="s">
        <v>95</v>
      </c>
      <c r="E17" s="50" t="s">
        <v>26</v>
      </c>
      <c r="F17" s="167">
        <v>36155.660000000003</v>
      </c>
      <c r="G17" s="167"/>
      <c r="H17" s="50" t="s">
        <v>26</v>
      </c>
      <c r="I17" s="168" t="s">
        <v>28</v>
      </c>
      <c r="J17" s="168"/>
      <c r="K17" s="51" t="s">
        <v>29</v>
      </c>
      <c r="L17" s="52">
        <v>714190.24</v>
      </c>
    </row>
    <row r="18" spans="1:12" ht="61.2" hidden="1" x14ac:dyDescent="0.3">
      <c r="A18" s="48" t="s">
        <v>214</v>
      </c>
      <c r="B18" s="49" t="s">
        <v>896</v>
      </c>
      <c r="C18" s="49" t="s">
        <v>897</v>
      </c>
      <c r="D18" s="49" t="s">
        <v>898</v>
      </c>
      <c r="E18" s="50" t="s">
        <v>26</v>
      </c>
      <c r="F18" s="167">
        <v>1137.5</v>
      </c>
      <c r="G18" s="167"/>
      <c r="H18" s="50" t="s">
        <v>27</v>
      </c>
      <c r="I18" s="168" t="s">
        <v>28</v>
      </c>
      <c r="J18" s="168"/>
      <c r="K18" s="51" t="s">
        <v>29</v>
      </c>
      <c r="L18" s="52">
        <v>715327.74</v>
      </c>
    </row>
    <row r="19" spans="1:12" ht="61.2" hidden="1" x14ac:dyDescent="0.3">
      <c r="A19" s="48" t="s">
        <v>214</v>
      </c>
      <c r="B19" s="49" t="s">
        <v>899</v>
      </c>
      <c r="C19" s="49" t="s">
        <v>897</v>
      </c>
      <c r="D19" s="49" t="s">
        <v>898</v>
      </c>
      <c r="E19" s="50" t="s">
        <v>26</v>
      </c>
      <c r="F19" s="167">
        <v>27300</v>
      </c>
      <c r="G19" s="167"/>
      <c r="H19" s="50" t="s">
        <v>27</v>
      </c>
      <c r="I19" s="168" t="s">
        <v>28</v>
      </c>
      <c r="J19" s="168"/>
      <c r="K19" s="51" t="s">
        <v>29</v>
      </c>
      <c r="L19" s="52">
        <v>742627.74</v>
      </c>
    </row>
    <row r="20" spans="1:12" ht="61.2" hidden="1" x14ac:dyDescent="0.3">
      <c r="A20" s="48" t="s">
        <v>715</v>
      </c>
      <c r="B20" s="49" t="s">
        <v>900</v>
      </c>
      <c r="C20" s="49" t="s">
        <v>901</v>
      </c>
      <c r="D20" s="49" t="s">
        <v>68</v>
      </c>
      <c r="E20" s="50" t="s">
        <v>26</v>
      </c>
      <c r="F20" s="165" t="s">
        <v>28</v>
      </c>
      <c r="G20" s="165"/>
      <c r="H20" s="50" t="s">
        <v>26</v>
      </c>
      <c r="I20" s="166">
        <v>2554.34</v>
      </c>
      <c r="J20" s="166"/>
      <c r="K20" s="51" t="s">
        <v>29</v>
      </c>
      <c r="L20" s="52">
        <v>740073.4</v>
      </c>
    </row>
    <row r="21" spans="1:12" ht="61.2" hidden="1" x14ac:dyDescent="0.3">
      <c r="A21" s="48" t="s">
        <v>715</v>
      </c>
      <c r="B21" s="49" t="s">
        <v>900</v>
      </c>
      <c r="C21" s="49" t="s">
        <v>902</v>
      </c>
      <c r="D21" s="49" t="s">
        <v>112</v>
      </c>
      <c r="E21" s="50" t="s">
        <v>26</v>
      </c>
      <c r="F21" s="165" t="s">
        <v>28</v>
      </c>
      <c r="G21" s="165"/>
      <c r="H21" s="50" t="s">
        <v>26</v>
      </c>
      <c r="I21" s="166">
        <v>14694</v>
      </c>
      <c r="J21" s="166"/>
      <c r="K21" s="51" t="s">
        <v>29</v>
      </c>
      <c r="L21" s="52">
        <v>725379.4</v>
      </c>
    </row>
    <row r="22" spans="1:12" ht="61.2" hidden="1" x14ac:dyDescent="0.3">
      <c r="A22" s="48" t="s">
        <v>715</v>
      </c>
      <c r="B22" s="49" t="s">
        <v>900</v>
      </c>
      <c r="C22" s="49" t="s">
        <v>903</v>
      </c>
      <c r="D22" s="49" t="s">
        <v>69</v>
      </c>
      <c r="E22" s="50" t="s">
        <v>26</v>
      </c>
      <c r="F22" s="165" t="s">
        <v>28</v>
      </c>
      <c r="G22" s="165"/>
      <c r="H22" s="50" t="s">
        <v>26</v>
      </c>
      <c r="I22" s="166">
        <v>31894.66</v>
      </c>
      <c r="J22" s="166"/>
      <c r="K22" s="51" t="s">
        <v>29</v>
      </c>
      <c r="L22" s="52">
        <v>693484.74</v>
      </c>
    </row>
    <row r="23" spans="1:12" ht="61.2" hidden="1" x14ac:dyDescent="0.3">
      <c r="A23" s="48" t="s">
        <v>715</v>
      </c>
      <c r="B23" s="49" t="s">
        <v>900</v>
      </c>
      <c r="C23" s="49" t="s">
        <v>904</v>
      </c>
      <c r="D23" s="49" t="s">
        <v>70</v>
      </c>
      <c r="E23" s="50" t="s">
        <v>26</v>
      </c>
      <c r="F23" s="165" t="s">
        <v>28</v>
      </c>
      <c r="G23" s="165"/>
      <c r="H23" s="50" t="s">
        <v>26</v>
      </c>
      <c r="I23" s="166">
        <v>24320</v>
      </c>
      <c r="J23" s="166"/>
      <c r="K23" s="51" t="s">
        <v>29</v>
      </c>
      <c r="L23" s="52">
        <v>669164.74</v>
      </c>
    </row>
    <row r="24" spans="1:12" ht="61.2" hidden="1" x14ac:dyDescent="0.3">
      <c r="A24" s="48" t="s">
        <v>715</v>
      </c>
      <c r="B24" s="49" t="s">
        <v>900</v>
      </c>
      <c r="C24" s="49" t="s">
        <v>905</v>
      </c>
      <c r="D24" s="49" t="s">
        <v>100</v>
      </c>
      <c r="E24" s="50" t="s">
        <v>26</v>
      </c>
      <c r="F24" s="165" t="s">
        <v>28</v>
      </c>
      <c r="G24" s="165"/>
      <c r="H24" s="50" t="s">
        <v>26</v>
      </c>
      <c r="I24" s="166">
        <v>12844</v>
      </c>
      <c r="J24" s="166"/>
      <c r="K24" s="51" t="s">
        <v>29</v>
      </c>
      <c r="L24" s="52">
        <v>656320.74</v>
      </c>
    </row>
    <row r="25" spans="1:12" ht="61.2" hidden="1" x14ac:dyDescent="0.3">
      <c r="A25" s="48" t="s">
        <v>715</v>
      </c>
      <c r="B25" s="49" t="s">
        <v>900</v>
      </c>
      <c r="C25" s="49" t="s">
        <v>906</v>
      </c>
      <c r="D25" s="49" t="s">
        <v>103</v>
      </c>
      <c r="E25" s="50" t="s">
        <v>26</v>
      </c>
      <c r="F25" s="165" t="s">
        <v>28</v>
      </c>
      <c r="G25" s="165"/>
      <c r="H25" s="50" t="s">
        <v>26</v>
      </c>
      <c r="I25" s="166">
        <v>125222.65</v>
      </c>
      <c r="J25" s="166"/>
      <c r="K25" s="51" t="s">
        <v>29</v>
      </c>
      <c r="L25" s="52">
        <v>531098.09</v>
      </c>
    </row>
    <row r="26" spans="1:12" ht="61.2" hidden="1" x14ac:dyDescent="0.3">
      <c r="A26" s="48" t="s">
        <v>343</v>
      </c>
      <c r="B26" s="49" t="s">
        <v>907</v>
      </c>
      <c r="C26" s="49" t="s">
        <v>68</v>
      </c>
      <c r="D26" s="49" t="s">
        <v>901</v>
      </c>
      <c r="E26" s="50" t="s">
        <v>26</v>
      </c>
      <c r="F26" s="167">
        <v>2554.34</v>
      </c>
      <c r="G26" s="167"/>
      <c r="H26" s="50" t="s">
        <v>26</v>
      </c>
      <c r="I26" s="168" t="s">
        <v>28</v>
      </c>
      <c r="J26" s="168"/>
      <c r="K26" s="51" t="s">
        <v>29</v>
      </c>
      <c r="L26" s="52">
        <v>533652.43000000005</v>
      </c>
    </row>
    <row r="27" spans="1:12" ht="61.2" hidden="1" x14ac:dyDescent="0.3">
      <c r="A27" s="48" t="s">
        <v>343</v>
      </c>
      <c r="B27" s="49" t="s">
        <v>907</v>
      </c>
      <c r="C27" s="49" t="s">
        <v>112</v>
      </c>
      <c r="D27" s="49" t="s">
        <v>902</v>
      </c>
      <c r="E27" s="50" t="s">
        <v>26</v>
      </c>
      <c r="F27" s="167">
        <v>14694</v>
      </c>
      <c r="G27" s="167"/>
      <c r="H27" s="50" t="s">
        <v>26</v>
      </c>
      <c r="I27" s="168" t="s">
        <v>28</v>
      </c>
      <c r="J27" s="168"/>
      <c r="K27" s="51" t="s">
        <v>29</v>
      </c>
      <c r="L27" s="52">
        <v>548346.43000000005</v>
      </c>
    </row>
    <row r="28" spans="1:12" ht="61.2" hidden="1" x14ac:dyDescent="0.3">
      <c r="A28" s="48" t="s">
        <v>343</v>
      </c>
      <c r="B28" s="49" t="s">
        <v>907</v>
      </c>
      <c r="C28" s="49" t="s">
        <v>69</v>
      </c>
      <c r="D28" s="49" t="s">
        <v>903</v>
      </c>
      <c r="E28" s="50" t="s">
        <v>26</v>
      </c>
      <c r="F28" s="167">
        <v>31894.66</v>
      </c>
      <c r="G28" s="167"/>
      <c r="H28" s="50" t="s">
        <v>26</v>
      </c>
      <c r="I28" s="168" t="s">
        <v>28</v>
      </c>
      <c r="J28" s="168"/>
      <c r="K28" s="51" t="s">
        <v>29</v>
      </c>
      <c r="L28" s="52">
        <v>580241.09</v>
      </c>
    </row>
    <row r="29" spans="1:12" ht="61.2" hidden="1" x14ac:dyDescent="0.3">
      <c r="A29" s="48" t="s">
        <v>343</v>
      </c>
      <c r="B29" s="49" t="s">
        <v>907</v>
      </c>
      <c r="C29" s="49" t="s">
        <v>70</v>
      </c>
      <c r="D29" s="49" t="s">
        <v>904</v>
      </c>
      <c r="E29" s="50" t="s">
        <v>26</v>
      </c>
      <c r="F29" s="167">
        <v>24320</v>
      </c>
      <c r="G29" s="167"/>
      <c r="H29" s="50" t="s">
        <v>26</v>
      </c>
      <c r="I29" s="168" t="s">
        <v>28</v>
      </c>
      <c r="J29" s="168"/>
      <c r="K29" s="51" t="s">
        <v>29</v>
      </c>
      <c r="L29" s="52">
        <v>604561.09</v>
      </c>
    </row>
    <row r="30" spans="1:12" ht="61.2" hidden="1" x14ac:dyDescent="0.3">
      <c r="A30" s="48" t="s">
        <v>343</v>
      </c>
      <c r="B30" s="49" t="s">
        <v>907</v>
      </c>
      <c r="C30" s="49" t="s">
        <v>100</v>
      </c>
      <c r="D30" s="49" t="s">
        <v>905</v>
      </c>
      <c r="E30" s="50" t="s">
        <v>26</v>
      </c>
      <c r="F30" s="167">
        <v>12844</v>
      </c>
      <c r="G30" s="167"/>
      <c r="H30" s="50" t="s">
        <v>26</v>
      </c>
      <c r="I30" s="168" t="s">
        <v>28</v>
      </c>
      <c r="J30" s="168"/>
      <c r="K30" s="51" t="s">
        <v>29</v>
      </c>
      <c r="L30" s="52">
        <v>617405.09</v>
      </c>
    </row>
    <row r="31" spans="1:12" ht="61.2" hidden="1" x14ac:dyDescent="0.3">
      <c r="A31" s="48" t="s">
        <v>343</v>
      </c>
      <c r="B31" s="49" t="s">
        <v>907</v>
      </c>
      <c r="C31" s="49" t="s">
        <v>103</v>
      </c>
      <c r="D31" s="49" t="s">
        <v>906</v>
      </c>
      <c r="E31" s="50" t="s">
        <v>26</v>
      </c>
      <c r="F31" s="167">
        <v>125222.65</v>
      </c>
      <c r="G31" s="167"/>
      <c r="H31" s="50" t="s">
        <v>26</v>
      </c>
      <c r="I31" s="168" t="s">
        <v>28</v>
      </c>
      <c r="J31" s="168"/>
      <c r="K31" s="51" t="s">
        <v>29</v>
      </c>
      <c r="L31" s="52">
        <v>742627.74</v>
      </c>
    </row>
    <row r="32" spans="1:12" ht="61.2" x14ac:dyDescent="0.3">
      <c r="A32" s="48" t="s">
        <v>343</v>
      </c>
      <c r="B32" s="49" t="s">
        <v>908</v>
      </c>
      <c r="C32" s="49" t="s">
        <v>522</v>
      </c>
      <c r="D32" s="49" t="s">
        <v>68</v>
      </c>
      <c r="E32" s="50" t="s">
        <v>523</v>
      </c>
      <c r="F32" s="165" t="s">
        <v>28</v>
      </c>
      <c r="G32" s="165"/>
      <c r="H32" s="50" t="s">
        <v>26</v>
      </c>
      <c r="I32" s="166">
        <v>2554.34</v>
      </c>
      <c r="J32" s="166"/>
      <c r="K32" s="51" t="s">
        <v>29</v>
      </c>
      <c r="L32" s="52">
        <v>740073.4</v>
      </c>
    </row>
    <row r="33" spans="1:14" ht="61.2" x14ac:dyDescent="0.3">
      <c r="A33" s="48" t="s">
        <v>343</v>
      </c>
      <c r="B33" s="49" t="s">
        <v>908</v>
      </c>
      <c r="C33" s="49" t="s">
        <v>522</v>
      </c>
      <c r="D33" s="49" t="s">
        <v>69</v>
      </c>
      <c r="E33" s="50" t="s">
        <v>523</v>
      </c>
      <c r="F33" s="165" t="s">
        <v>28</v>
      </c>
      <c r="G33" s="165"/>
      <c r="H33" s="50" t="s">
        <v>26</v>
      </c>
      <c r="I33" s="166">
        <v>31894.66</v>
      </c>
      <c r="J33" s="166"/>
      <c r="K33" s="51" t="s">
        <v>29</v>
      </c>
      <c r="L33" s="52">
        <v>708178.74</v>
      </c>
    </row>
    <row r="34" spans="1:14" ht="61.2" x14ac:dyDescent="0.3">
      <c r="A34" s="48" t="s">
        <v>343</v>
      </c>
      <c r="B34" s="49" t="s">
        <v>908</v>
      </c>
      <c r="C34" s="49" t="s">
        <v>522</v>
      </c>
      <c r="D34" s="49" t="s">
        <v>112</v>
      </c>
      <c r="E34" s="50" t="s">
        <v>523</v>
      </c>
      <c r="F34" s="165" t="s">
        <v>28</v>
      </c>
      <c r="G34" s="165"/>
      <c r="H34" s="50" t="s">
        <v>26</v>
      </c>
      <c r="I34" s="166">
        <v>14694</v>
      </c>
      <c r="J34" s="166"/>
      <c r="K34" s="51" t="s">
        <v>29</v>
      </c>
      <c r="L34" s="52">
        <v>693484.74</v>
      </c>
    </row>
    <row r="35" spans="1:14" ht="61.2" x14ac:dyDescent="0.3">
      <c r="A35" s="48" t="s">
        <v>343</v>
      </c>
      <c r="B35" s="49" t="s">
        <v>908</v>
      </c>
      <c r="C35" s="49" t="s">
        <v>522</v>
      </c>
      <c r="D35" s="49" t="s">
        <v>70</v>
      </c>
      <c r="E35" s="50" t="s">
        <v>523</v>
      </c>
      <c r="F35" s="165" t="s">
        <v>28</v>
      </c>
      <c r="G35" s="165"/>
      <c r="H35" s="50" t="s">
        <v>26</v>
      </c>
      <c r="I35" s="166">
        <v>24320</v>
      </c>
      <c r="J35" s="166"/>
      <c r="K35" s="51" t="s">
        <v>29</v>
      </c>
      <c r="L35" s="52">
        <v>669164.74</v>
      </c>
    </row>
    <row r="36" spans="1:14" ht="61.2" x14ac:dyDescent="0.3">
      <c r="A36" s="48" t="s">
        <v>343</v>
      </c>
      <c r="B36" s="49" t="s">
        <v>908</v>
      </c>
      <c r="C36" s="49" t="s">
        <v>522</v>
      </c>
      <c r="D36" s="49" t="s">
        <v>100</v>
      </c>
      <c r="E36" s="50" t="s">
        <v>523</v>
      </c>
      <c r="F36" s="165" t="s">
        <v>28</v>
      </c>
      <c r="G36" s="165"/>
      <c r="H36" s="50" t="s">
        <v>26</v>
      </c>
      <c r="I36" s="166">
        <v>3952</v>
      </c>
      <c r="J36" s="166"/>
      <c r="K36" s="51" t="s">
        <v>29</v>
      </c>
      <c r="L36" s="52">
        <v>665212.74</v>
      </c>
    </row>
    <row r="37" spans="1:14" ht="61.2" x14ac:dyDescent="0.3">
      <c r="A37" s="48" t="s">
        <v>343</v>
      </c>
      <c r="B37" s="49" t="s">
        <v>908</v>
      </c>
      <c r="C37" s="49" t="s">
        <v>522</v>
      </c>
      <c r="D37" s="49" t="s">
        <v>100</v>
      </c>
      <c r="E37" s="50" t="s">
        <v>523</v>
      </c>
      <c r="F37" s="165" t="s">
        <v>28</v>
      </c>
      <c r="G37" s="165"/>
      <c r="H37" s="50" t="s">
        <v>26</v>
      </c>
      <c r="I37" s="166">
        <v>8892</v>
      </c>
      <c r="J37" s="166"/>
      <c r="K37" s="51" t="s">
        <v>29</v>
      </c>
      <c r="L37" s="52">
        <v>656320.74</v>
      </c>
    </row>
    <row r="38" spans="1:14" ht="61.2" x14ac:dyDescent="0.3">
      <c r="A38" s="48" t="s">
        <v>343</v>
      </c>
      <c r="B38" s="49" t="s">
        <v>908</v>
      </c>
      <c r="C38" s="49" t="s">
        <v>522</v>
      </c>
      <c r="D38" s="49" t="s">
        <v>103</v>
      </c>
      <c r="E38" s="50" t="s">
        <v>523</v>
      </c>
      <c r="F38" s="165" t="s">
        <v>28</v>
      </c>
      <c r="G38" s="165"/>
      <c r="H38" s="50" t="s">
        <v>26</v>
      </c>
      <c r="I38" s="166">
        <v>555534.59</v>
      </c>
      <c r="J38" s="166"/>
      <c r="K38" s="51" t="s">
        <v>29</v>
      </c>
      <c r="L38" s="52">
        <v>100786.15</v>
      </c>
    </row>
    <row r="39" spans="1:14" ht="61.2" x14ac:dyDescent="0.3">
      <c r="A39" s="48" t="s">
        <v>343</v>
      </c>
      <c r="B39" s="49" t="s">
        <v>908</v>
      </c>
      <c r="C39" s="49" t="s">
        <v>522</v>
      </c>
      <c r="D39" s="49" t="s">
        <v>71</v>
      </c>
      <c r="E39" s="50" t="s">
        <v>523</v>
      </c>
      <c r="F39" s="165" t="s">
        <v>28</v>
      </c>
      <c r="G39" s="165"/>
      <c r="H39" s="50" t="s">
        <v>26</v>
      </c>
      <c r="I39" s="166">
        <v>6586.67</v>
      </c>
      <c r="J39" s="166"/>
      <c r="K39" s="51" t="s">
        <v>29</v>
      </c>
      <c r="L39" s="52">
        <v>94199.48</v>
      </c>
    </row>
    <row r="40" spans="1:14" ht="61.2" x14ac:dyDescent="0.3">
      <c r="A40" s="48" t="s">
        <v>343</v>
      </c>
      <c r="B40" s="49" t="s">
        <v>908</v>
      </c>
      <c r="C40" s="49" t="s">
        <v>522</v>
      </c>
      <c r="D40" s="49" t="s">
        <v>105</v>
      </c>
      <c r="E40" s="50" t="s">
        <v>523</v>
      </c>
      <c r="F40" s="165" t="s">
        <v>28</v>
      </c>
      <c r="G40" s="165"/>
      <c r="H40" s="50" t="s">
        <v>26</v>
      </c>
      <c r="I40" s="166">
        <v>22546.66</v>
      </c>
      <c r="J40" s="166"/>
      <c r="K40" s="51" t="s">
        <v>29</v>
      </c>
      <c r="L40" s="52">
        <v>71652.820000000007</v>
      </c>
      <c r="M40">
        <f>SUBTOTAL(9,I32:J40)</f>
        <v>670974.92000000004</v>
      </c>
      <c r="N40" t="s">
        <v>1471</v>
      </c>
    </row>
    <row r="41" spans="1:14" hidden="1" x14ac:dyDescent="0.3">
      <c r="A41" s="163" t="s">
        <v>681</v>
      </c>
      <c r="B41" s="163"/>
      <c r="C41" s="163"/>
      <c r="D41" s="163"/>
      <c r="E41" s="164">
        <v>954157.39</v>
      </c>
      <c r="F41" s="164"/>
      <c r="G41" s="164"/>
      <c r="H41" s="164">
        <v>882504.57</v>
      </c>
      <c r="I41" s="164"/>
      <c r="J41" s="164"/>
      <c r="K41" s="53" t="s">
        <v>29</v>
      </c>
      <c r="L41" s="54">
        <v>71652.820000000007</v>
      </c>
    </row>
    <row r="43" spans="1:14" x14ac:dyDescent="0.3">
      <c r="J43" s="95">
        <f>SUBTOTAL(9,I32:J40)</f>
        <v>670974.92000000004</v>
      </c>
    </row>
  </sheetData>
  <autoFilter ref="A8:L41">
    <filterColumn colId="1">
      <filters>
        <filter val="Вимога-накладна ІБ00-000533 від 08.11.2024 2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74">
    <mergeCell ref="A8:A9"/>
    <mergeCell ref="B8:B9"/>
    <mergeCell ref="C8:C9"/>
    <mergeCell ref="D8:D9"/>
    <mergeCell ref="E8:G8"/>
    <mergeCell ref="K8:L9"/>
    <mergeCell ref="F9:G9"/>
    <mergeCell ref="I9:J9"/>
    <mergeCell ref="F10:G10"/>
    <mergeCell ref="I10:J10"/>
    <mergeCell ref="H8:J8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A41:D41"/>
    <mergeCell ref="E41:G41"/>
    <mergeCell ref="H41:J41"/>
    <mergeCell ref="F38:G38"/>
    <mergeCell ref="I38:J38"/>
    <mergeCell ref="F39:G39"/>
    <mergeCell ref="I39:J39"/>
    <mergeCell ref="F40:G40"/>
    <mergeCell ref="I40:J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46"/>
  <sheetViews>
    <sheetView topLeftCell="A137" workbookViewId="0">
      <selection activeCell="M51" sqref="M51"/>
    </sheetView>
  </sheetViews>
  <sheetFormatPr defaultRowHeight="14.4" x14ac:dyDescent="0.3"/>
  <cols>
    <col min="2" max="4" width="21.44140625" customWidth="1"/>
    <col min="10" max="10" width="11.33203125" bestFit="1" customWidth="1"/>
  </cols>
  <sheetData>
    <row r="1" spans="1:12" ht="53.4" x14ac:dyDescent="0.3">
      <c r="A1" s="55" t="s">
        <v>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78" x14ac:dyDescent="0.3">
      <c r="A2" s="57" t="s">
        <v>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x14ac:dyDescent="0.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20.399999999999999" x14ac:dyDescent="0.3">
      <c r="A4" s="58" t="s">
        <v>10</v>
      </c>
      <c r="B4" s="58" t="s">
        <v>11</v>
      </c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x14ac:dyDescent="0.3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ht="40.799999999999997" x14ac:dyDescent="0.3">
      <c r="A6" s="58" t="s">
        <v>12</v>
      </c>
      <c r="B6" s="58" t="s">
        <v>909</v>
      </c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x14ac:dyDescent="0.3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2" x14ac:dyDescent="0.3">
      <c r="A8" s="193" t="s">
        <v>14</v>
      </c>
      <c r="B8" s="187" t="s">
        <v>15</v>
      </c>
      <c r="C8" s="187" t="s">
        <v>16</v>
      </c>
      <c r="D8" s="195" t="s">
        <v>17</v>
      </c>
      <c r="E8" s="197" t="s">
        <v>18</v>
      </c>
      <c r="F8" s="197"/>
      <c r="G8" s="197"/>
      <c r="H8" s="198" t="s">
        <v>19</v>
      </c>
      <c r="I8" s="198"/>
      <c r="J8" s="198"/>
      <c r="K8" s="187" t="s">
        <v>20</v>
      </c>
      <c r="L8" s="187"/>
    </row>
    <row r="9" spans="1:12" hidden="1" x14ac:dyDescent="0.3">
      <c r="A9" s="188"/>
      <c r="B9" s="194"/>
      <c r="C9" s="194"/>
      <c r="D9" s="196"/>
      <c r="E9" s="59" t="s">
        <v>21</v>
      </c>
      <c r="F9" s="190"/>
      <c r="G9" s="190"/>
      <c r="H9" s="60" t="s">
        <v>21</v>
      </c>
      <c r="I9" s="191"/>
      <c r="J9" s="191"/>
      <c r="K9" s="188"/>
      <c r="L9" s="189"/>
    </row>
    <row r="10" spans="1:12" ht="61.2" hidden="1" x14ac:dyDescent="0.3">
      <c r="A10" s="61" t="s">
        <v>253</v>
      </c>
      <c r="B10" s="62" t="s">
        <v>278</v>
      </c>
      <c r="C10" s="62" t="s">
        <v>279</v>
      </c>
      <c r="D10" s="62" t="s">
        <v>272</v>
      </c>
      <c r="E10" s="63" t="s">
        <v>26</v>
      </c>
      <c r="F10" s="192">
        <v>655</v>
      </c>
      <c r="G10" s="192"/>
      <c r="H10" s="63" t="s">
        <v>26</v>
      </c>
      <c r="I10" s="186" t="s">
        <v>28</v>
      </c>
      <c r="J10" s="186"/>
      <c r="K10" s="64" t="s">
        <v>29</v>
      </c>
      <c r="L10" s="65">
        <v>655</v>
      </c>
    </row>
    <row r="11" spans="1:12" ht="81.599999999999994" hidden="1" x14ac:dyDescent="0.3">
      <c r="A11" s="61" t="s">
        <v>715</v>
      </c>
      <c r="B11" s="62" t="s">
        <v>900</v>
      </c>
      <c r="C11" s="62" t="s">
        <v>901</v>
      </c>
      <c r="D11" s="62" t="s">
        <v>68</v>
      </c>
      <c r="E11" s="63" t="s">
        <v>26</v>
      </c>
      <c r="F11" s="185">
        <v>2554.34</v>
      </c>
      <c r="G11" s="185"/>
      <c r="H11" s="63" t="s">
        <v>26</v>
      </c>
      <c r="I11" s="186" t="s">
        <v>28</v>
      </c>
      <c r="J11" s="186"/>
      <c r="K11" s="64" t="s">
        <v>29</v>
      </c>
      <c r="L11" s="66">
        <v>3209.34</v>
      </c>
    </row>
    <row r="12" spans="1:12" ht="81.599999999999994" hidden="1" x14ac:dyDescent="0.3">
      <c r="A12" s="61" t="s">
        <v>715</v>
      </c>
      <c r="B12" s="62" t="s">
        <v>900</v>
      </c>
      <c r="C12" s="62" t="s">
        <v>902</v>
      </c>
      <c r="D12" s="62" t="s">
        <v>112</v>
      </c>
      <c r="E12" s="63" t="s">
        <v>26</v>
      </c>
      <c r="F12" s="185">
        <v>14694</v>
      </c>
      <c r="G12" s="185"/>
      <c r="H12" s="63" t="s">
        <v>26</v>
      </c>
      <c r="I12" s="186" t="s">
        <v>28</v>
      </c>
      <c r="J12" s="186"/>
      <c r="K12" s="64" t="s">
        <v>29</v>
      </c>
      <c r="L12" s="66">
        <v>17903.34</v>
      </c>
    </row>
    <row r="13" spans="1:12" ht="81.599999999999994" hidden="1" x14ac:dyDescent="0.3">
      <c r="A13" s="61" t="s">
        <v>715</v>
      </c>
      <c r="B13" s="62" t="s">
        <v>900</v>
      </c>
      <c r="C13" s="62" t="s">
        <v>903</v>
      </c>
      <c r="D13" s="62" t="s">
        <v>69</v>
      </c>
      <c r="E13" s="63" t="s">
        <v>26</v>
      </c>
      <c r="F13" s="185">
        <v>31894.66</v>
      </c>
      <c r="G13" s="185"/>
      <c r="H13" s="63" t="s">
        <v>26</v>
      </c>
      <c r="I13" s="186" t="s">
        <v>28</v>
      </c>
      <c r="J13" s="186"/>
      <c r="K13" s="64" t="s">
        <v>29</v>
      </c>
      <c r="L13" s="66">
        <v>49798</v>
      </c>
    </row>
    <row r="14" spans="1:12" ht="81.599999999999994" hidden="1" x14ac:dyDescent="0.3">
      <c r="A14" s="61" t="s">
        <v>715</v>
      </c>
      <c r="B14" s="62" t="s">
        <v>900</v>
      </c>
      <c r="C14" s="62" t="s">
        <v>904</v>
      </c>
      <c r="D14" s="62" t="s">
        <v>70</v>
      </c>
      <c r="E14" s="63" t="s">
        <v>26</v>
      </c>
      <c r="F14" s="185">
        <v>24320</v>
      </c>
      <c r="G14" s="185"/>
      <c r="H14" s="63" t="s">
        <v>26</v>
      </c>
      <c r="I14" s="186" t="s">
        <v>28</v>
      </c>
      <c r="J14" s="186"/>
      <c r="K14" s="64" t="s">
        <v>29</v>
      </c>
      <c r="L14" s="66">
        <v>74118</v>
      </c>
    </row>
    <row r="15" spans="1:12" ht="81.599999999999994" hidden="1" x14ac:dyDescent="0.3">
      <c r="A15" s="61" t="s">
        <v>715</v>
      </c>
      <c r="B15" s="62" t="s">
        <v>900</v>
      </c>
      <c r="C15" s="62" t="s">
        <v>905</v>
      </c>
      <c r="D15" s="62" t="s">
        <v>100</v>
      </c>
      <c r="E15" s="63" t="s">
        <v>26</v>
      </c>
      <c r="F15" s="185">
        <v>12844</v>
      </c>
      <c r="G15" s="185"/>
      <c r="H15" s="63" t="s">
        <v>26</v>
      </c>
      <c r="I15" s="186" t="s">
        <v>28</v>
      </c>
      <c r="J15" s="186"/>
      <c r="K15" s="64" t="s">
        <v>29</v>
      </c>
      <c r="L15" s="66">
        <v>86962</v>
      </c>
    </row>
    <row r="16" spans="1:12" ht="81.599999999999994" hidden="1" x14ac:dyDescent="0.3">
      <c r="A16" s="61" t="s">
        <v>715</v>
      </c>
      <c r="B16" s="62" t="s">
        <v>900</v>
      </c>
      <c r="C16" s="62" t="s">
        <v>906</v>
      </c>
      <c r="D16" s="62" t="s">
        <v>103</v>
      </c>
      <c r="E16" s="63" t="s">
        <v>26</v>
      </c>
      <c r="F16" s="185">
        <v>125222.65</v>
      </c>
      <c r="G16" s="185"/>
      <c r="H16" s="63" t="s">
        <v>26</v>
      </c>
      <c r="I16" s="186" t="s">
        <v>28</v>
      </c>
      <c r="J16" s="186"/>
      <c r="K16" s="64" t="s">
        <v>29</v>
      </c>
      <c r="L16" s="66">
        <v>212184.65</v>
      </c>
    </row>
    <row r="17" spans="1:12" ht="71.400000000000006" hidden="1" x14ac:dyDescent="0.3">
      <c r="A17" s="61" t="s">
        <v>334</v>
      </c>
      <c r="B17" s="62" t="s">
        <v>910</v>
      </c>
      <c r="C17" s="62" t="s">
        <v>911</v>
      </c>
      <c r="D17" s="62" t="s">
        <v>912</v>
      </c>
      <c r="E17" s="63" t="s">
        <v>26</v>
      </c>
      <c r="F17" s="185">
        <v>41152.5</v>
      </c>
      <c r="G17" s="185"/>
      <c r="H17" s="63" t="s">
        <v>27</v>
      </c>
      <c r="I17" s="186" t="s">
        <v>28</v>
      </c>
      <c r="J17" s="186"/>
      <c r="K17" s="64" t="s">
        <v>29</v>
      </c>
      <c r="L17" s="66">
        <v>253337.15</v>
      </c>
    </row>
    <row r="18" spans="1:12" ht="71.400000000000006" hidden="1" x14ac:dyDescent="0.3">
      <c r="A18" s="61" t="s">
        <v>334</v>
      </c>
      <c r="B18" s="62" t="s">
        <v>913</v>
      </c>
      <c r="C18" s="62" t="s">
        <v>911</v>
      </c>
      <c r="D18" s="62" t="s">
        <v>355</v>
      </c>
      <c r="E18" s="63" t="s">
        <v>26</v>
      </c>
      <c r="F18" s="185">
        <v>11490.04</v>
      </c>
      <c r="G18" s="185"/>
      <c r="H18" s="63" t="s">
        <v>27</v>
      </c>
      <c r="I18" s="186" t="s">
        <v>28</v>
      </c>
      <c r="J18" s="186"/>
      <c r="K18" s="64" t="s">
        <v>29</v>
      </c>
      <c r="L18" s="66">
        <v>264827.19</v>
      </c>
    </row>
    <row r="19" spans="1:12" ht="71.400000000000006" hidden="1" x14ac:dyDescent="0.3">
      <c r="A19" s="61" t="s">
        <v>334</v>
      </c>
      <c r="B19" s="62" t="s">
        <v>913</v>
      </c>
      <c r="C19" s="62" t="s">
        <v>911</v>
      </c>
      <c r="D19" s="62" t="s">
        <v>912</v>
      </c>
      <c r="E19" s="63" t="s">
        <v>26</v>
      </c>
      <c r="F19" s="185">
        <v>2579.96</v>
      </c>
      <c r="G19" s="185"/>
      <c r="H19" s="63" t="s">
        <v>27</v>
      </c>
      <c r="I19" s="186" t="s">
        <v>28</v>
      </c>
      <c r="J19" s="186"/>
      <c r="K19" s="64" t="s">
        <v>29</v>
      </c>
      <c r="L19" s="66">
        <v>267407.15000000002</v>
      </c>
    </row>
    <row r="20" spans="1:12" ht="61.2" hidden="1" x14ac:dyDescent="0.3">
      <c r="A20" s="61" t="s">
        <v>334</v>
      </c>
      <c r="B20" s="62" t="s">
        <v>914</v>
      </c>
      <c r="C20" s="62" t="s">
        <v>915</v>
      </c>
      <c r="D20" s="62" t="s">
        <v>337</v>
      </c>
      <c r="E20" s="63" t="s">
        <v>26</v>
      </c>
      <c r="F20" s="185">
        <v>14287.5</v>
      </c>
      <c r="G20" s="185"/>
      <c r="H20" s="63" t="s">
        <v>27</v>
      </c>
      <c r="I20" s="186" t="s">
        <v>28</v>
      </c>
      <c r="J20" s="186"/>
      <c r="K20" s="64" t="s">
        <v>29</v>
      </c>
      <c r="L20" s="66">
        <v>281694.65000000002</v>
      </c>
    </row>
    <row r="21" spans="1:12" ht="61.2" hidden="1" x14ac:dyDescent="0.3">
      <c r="A21" s="61" t="s">
        <v>334</v>
      </c>
      <c r="B21" s="62" t="s">
        <v>916</v>
      </c>
      <c r="C21" s="62" t="s">
        <v>915</v>
      </c>
      <c r="D21" s="62" t="s">
        <v>337</v>
      </c>
      <c r="E21" s="63" t="s">
        <v>26</v>
      </c>
      <c r="F21" s="185">
        <v>7837.09</v>
      </c>
      <c r="G21" s="185"/>
      <c r="H21" s="63" t="s">
        <v>27</v>
      </c>
      <c r="I21" s="186" t="s">
        <v>28</v>
      </c>
      <c r="J21" s="186"/>
      <c r="K21" s="64" t="s">
        <v>29</v>
      </c>
      <c r="L21" s="66">
        <v>289531.74</v>
      </c>
    </row>
    <row r="22" spans="1:12" ht="61.2" hidden="1" x14ac:dyDescent="0.3">
      <c r="A22" s="61" t="s">
        <v>334</v>
      </c>
      <c r="B22" s="62" t="s">
        <v>341</v>
      </c>
      <c r="C22" s="62" t="s">
        <v>342</v>
      </c>
      <c r="D22" s="62" t="s">
        <v>336</v>
      </c>
      <c r="E22" s="63" t="s">
        <v>26</v>
      </c>
      <c r="F22" s="185">
        <v>16224.7</v>
      </c>
      <c r="G22" s="185"/>
      <c r="H22" s="63" t="s">
        <v>26</v>
      </c>
      <c r="I22" s="186" t="s">
        <v>28</v>
      </c>
      <c r="J22" s="186"/>
      <c r="K22" s="64" t="s">
        <v>29</v>
      </c>
      <c r="L22" s="66">
        <v>305756.44</v>
      </c>
    </row>
    <row r="23" spans="1:12" ht="71.400000000000006" hidden="1" x14ac:dyDescent="0.3">
      <c r="A23" s="61" t="s">
        <v>741</v>
      </c>
      <c r="B23" s="62" t="s">
        <v>917</v>
      </c>
      <c r="C23" s="62" t="s">
        <v>918</v>
      </c>
      <c r="D23" s="62" t="s">
        <v>919</v>
      </c>
      <c r="E23" s="63" t="s">
        <v>26</v>
      </c>
      <c r="F23" s="185">
        <v>12703.25</v>
      </c>
      <c r="G23" s="185"/>
      <c r="H23" s="63" t="s">
        <v>27</v>
      </c>
      <c r="I23" s="186" t="s">
        <v>28</v>
      </c>
      <c r="J23" s="186"/>
      <c r="K23" s="64" t="s">
        <v>29</v>
      </c>
      <c r="L23" s="66">
        <v>318459.69</v>
      </c>
    </row>
    <row r="24" spans="1:12" ht="81.599999999999994" hidden="1" x14ac:dyDescent="0.3">
      <c r="A24" s="61" t="s">
        <v>741</v>
      </c>
      <c r="B24" s="62" t="s">
        <v>920</v>
      </c>
      <c r="C24" s="62" t="s">
        <v>921</v>
      </c>
      <c r="D24" s="62" t="s">
        <v>922</v>
      </c>
      <c r="E24" s="63" t="s">
        <v>26</v>
      </c>
      <c r="F24" s="185">
        <v>10887.5</v>
      </c>
      <c r="G24" s="185"/>
      <c r="H24" s="63" t="s">
        <v>27</v>
      </c>
      <c r="I24" s="186" t="s">
        <v>28</v>
      </c>
      <c r="J24" s="186"/>
      <c r="K24" s="64" t="s">
        <v>29</v>
      </c>
      <c r="L24" s="66">
        <v>329347.19</v>
      </c>
    </row>
    <row r="25" spans="1:12" ht="81.599999999999994" hidden="1" x14ac:dyDescent="0.3">
      <c r="A25" s="61" t="s">
        <v>741</v>
      </c>
      <c r="B25" s="62" t="s">
        <v>920</v>
      </c>
      <c r="C25" s="62" t="s">
        <v>923</v>
      </c>
      <c r="D25" s="62" t="s">
        <v>922</v>
      </c>
      <c r="E25" s="63" t="s">
        <v>26</v>
      </c>
      <c r="F25" s="185">
        <v>28754.17</v>
      </c>
      <c r="G25" s="185"/>
      <c r="H25" s="63" t="s">
        <v>27</v>
      </c>
      <c r="I25" s="186" t="s">
        <v>28</v>
      </c>
      <c r="J25" s="186"/>
      <c r="K25" s="64" t="s">
        <v>29</v>
      </c>
      <c r="L25" s="66">
        <v>358101.36</v>
      </c>
    </row>
    <row r="26" spans="1:12" ht="71.400000000000006" hidden="1" x14ac:dyDescent="0.3">
      <c r="A26" s="61" t="s">
        <v>741</v>
      </c>
      <c r="B26" s="62" t="s">
        <v>920</v>
      </c>
      <c r="C26" s="62" t="s">
        <v>924</v>
      </c>
      <c r="D26" s="62" t="s">
        <v>922</v>
      </c>
      <c r="E26" s="63" t="s">
        <v>26</v>
      </c>
      <c r="F26" s="185">
        <v>375461.67</v>
      </c>
      <c r="G26" s="185"/>
      <c r="H26" s="63" t="s">
        <v>27</v>
      </c>
      <c r="I26" s="186" t="s">
        <v>28</v>
      </c>
      <c r="J26" s="186"/>
      <c r="K26" s="64" t="s">
        <v>29</v>
      </c>
      <c r="L26" s="66">
        <v>733563.03</v>
      </c>
    </row>
    <row r="27" spans="1:12" ht="71.400000000000006" hidden="1" x14ac:dyDescent="0.3">
      <c r="A27" s="61" t="s">
        <v>741</v>
      </c>
      <c r="B27" s="62" t="s">
        <v>920</v>
      </c>
      <c r="C27" s="62" t="s">
        <v>925</v>
      </c>
      <c r="D27" s="62" t="s">
        <v>922</v>
      </c>
      <c r="E27" s="63" t="s">
        <v>26</v>
      </c>
      <c r="F27" s="185">
        <v>180548.33</v>
      </c>
      <c r="G27" s="185"/>
      <c r="H27" s="63" t="s">
        <v>27</v>
      </c>
      <c r="I27" s="186" t="s">
        <v>28</v>
      </c>
      <c r="J27" s="186"/>
      <c r="K27" s="64" t="s">
        <v>29</v>
      </c>
      <c r="L27" s="66">
        <v>914111.36</v>
      </c>
    </row>
    <row r="28" spans="1:12" ht="81.599999999999994" hidden="1" x14ac:dyDescent="0.3">
      <c r="A28" s="61" t="s">
        <v>343</v>
      </c>
      <c r="B28" s="62" t="s">
        <v>907</v>
      </c>
      <c r="C28" s="62" t="s">
        <v>68</v>
      </c>
      <c r="D28" s="62" t="s">
        <v>901</v>
      </c>
      <c r="E28" s="63" t="s">
        <v>26</v>
      </c>
      <c r="F28" s="180" t="s">
        <v>28</v>
      </c>
      <c r="G28" s="180"/>
      <c r="H28" s="63" t="s">
        <v>26</v>
      </c>
      <c r="I28" s="181">
        <v>2554.34</v>
      </c>
      <c r="J28" s="181"/>
      <c r="K28" s="64" t="s">
        <v>29</v>
      </c>
      <c r="L28" s="66">
        <v>911557.02</v>
      </c>
    </row>
    <row r="29" spans="1:12" ht="81.599999999999994" hidden="1" x14ac:dyDescent="0.3">
      <c r="A29" s="61" t="s">
        <v>343</v>
      </c>
      <c r="B29" s="62" t="s">
        <v>907</v>
      </c>
      <c r="C29" s="62" t="s">
        <v>112</v>
      </c>
      <c r="D29" s="62" t="s">
        <v>902</v>
      </c>
      <c r="E29" s="63" t="s">
        <v>26</v>
      </c>
      <c r="F29" s="180" t="s">
        <v>28</v>
      </c>
      <c r="G29" s="180"/>
      <c r="H29" s="63" t="s">
        <v>26</v>
      </c>
      <c r="I29" s="181">
        <v>14694</v>
      </c>
      <c r="J29" s="181"/>
      <c r="K29" s="64" t="s">
        <v>29</v>
      </c>
      <c r="L29" s="66">
        <v>896863.02</v>
      </c>
    </row>
    <row r="30" spans="1:12" ht="81.599999999999994" hidden="1" x14ac:dyDescent="0.3">
      <c r="A30" s="61" t="s">
        <v>343</v>
      </c>
      <c r="B30" s="62" t="s">
        <v>907</v>
      </c>
      <c r="C30" s="62" t="s">
        <v>69</v>
      </c>
      <c r="D30" s="62" t="s">
        <v>903</v>
      </c>
      <c r="E30" s="63" t="s">
        <v>26</v>
      </c>
      <c r="F30" s="180" t="s">
        <v>28</v>
      </c>
      <c r="G30" s="180"/>
      <c r="H30" s="63" t="s">
        <v>26</v>
      </c>
      <c r="I30" s="181">
        <v>31894.66</v>
      </c>
      <c r="J30" s="181"/>
      <c r="K30" s="64" t="s">
        <v>29</v>
      </c>
      <c r="L30" s="66">
        <v>864968.36</v>
      </c>
    </row>
    <row r="31" spans="1:12" ht="81.599999999999994" hidden="1" x14ac:dyDescent="0.3">
      <c r="A31" s="61" t="s">
        <v>343</v>
      </c>
      <c r="B31" s="62" t="s">
        <v>907</v>
      </c>
      <c r="C31" s="62" t="s">
        <v>70</v>
      </c>
      <c r="D31" s="62" t="s">
        <v>904</v>
      </c>
      <c r="E31" s="63" t="s">
        <v>26</v>
      </c>
      <c r="F31" s="180" t="s">
        <v>28</v>
      </c>
      <c r="G31" s="180"/>
      <c r="H31" s="63" t="s">
        <v>26</v>
      </c>
      <c r="I31" s="181">
        <v>24320</v>
      </c>
      <c r="J31" s="181"/>
      <c r="K31" s="64" t="s">
        <v>29</v>
      </c>
      <c r="L31" s="66">
        <v>840648.36</v>
      </c>
    </row>
    <row r="32" spans="1:12" ht="81.599999999999994" hidden="1" x14ac:dyDescent="0.3">
      <c r="A32" s="61" t="s">
        <v>343</v>
      </c>
      <c r="B32" s="62" t="s">
        <v>907</v>
      </c>
      <c r="C32" s="62" t="s">
        <v>100</v>
      </c>
      <c r="D32" s="62" t="s">
        <v>905</v>
      </c>
      <c r="E32" s="63" t="s">
        <v>26</v>
      </c>
      <c r="F32" s="180" t="s">
        <v>28</v>
      </c>
      <c r="G32" s="180"/>
      <c r="H32" s="63" t="s">
        <v>26</v>
      </c>
      <c r="I32" s="181">
        <v>12844</v>
      </c>
      <c r="J32" s="181"/>
      <c r="K32" s="64" t="s">
        <v>29</v>
      </c>
      <c r="L32" s="66">
        <v>827804.36</v>
      </c>
    </row>
    <row r="33" spans="1:14" ht="81.599999999999994" hidden="1" x14ac:dyDescent="0.3">
      <c r="A33" s="61" t="s">
        <v>343</v>
      </c>
      <c r="B33" s="62" t="s">
        <v>907</v>
      </c>
      <c r="C33" s="62" t="s">
        <v>103</v>
      </c>
      <c r="D33" s="62" t="s">
        <v>906</v>
      </c>
      <c r="E33" s="63" t="s">
        <v>26</v>
      </c>
      <c r="F33" s="180" t="s">
        <v>28</v>
      </c>
      <c r="G33" s="180"/>
      <c r="H33" s="63" t="s">
        <v>26</v>
      </c>
      <c r="I33" s="181">
        <v>125222.65</v>
      </c>
      <c r="J33" s="181"/>
      <c r="K33" s="64" t="s">
        <v>29</v>
      </c>
      <c r="L33" s="66">
        <v>702581.71</v>
      </c>
    </row>
    <row r="34" spans="1:14" ht="61.2" hidden="1" x14ac:dyDescent="0.3">
      <c r="A34" s="61" t="s">
        <v>374</v>
      </c>
      <c r="B34" s="62" t="s">
        <v>381</v>
      </c>
      <c r="C34" s="62" t="s">
        <v>382</v>
      </c>
      <c r="D34" s="62" t="s">
        <v>376</v>
      </c>
      <c r="E34" s="63" t="s">
        <v>26</v>
      </c>
      <c r="F34" s="185">
        <v>12503.02</v>
      </c>
      <c r="G34" s="185"/>
      <c r="H34" s="63" t="s">
        <v>26</v>
      </c>
      <c r="I34" s="186" t="s">
        <v>28</v>
      </c>
      <c r="J34" s="186"/>
      <c r="K34" s="64" t="s">
        <v>29</v>
      </c>
      <c r="L34" s="66">
        <v>715084.73</v>
      </c>
    </row>
    <row r="35" spans="1:14" ht="61.2" hidden="1" x14ac:dyDescent="0.3">
      <c r="A35" s="61" t="s">
        <v>394</v>
      </c>
      <c r="B35" s="62" t="s">
        <v>404</v>
      </c>
      <c r="C35" s="62" t="s">
        <v>405</v>
      </c>
      <c r="D35" s="62" t="s">
        <v>396</v>
      </c>
      <c r="E35" s="63" t="s">
        <v>26</v>
      </c>
      <c r="F35" s="185">
        <v>52788.44</v>
      </c>
      <c r="G35" s="185"/>
      <c r="H35" s="63" t="s">
        <v>26</v>
      </c>
      <c r="I35" s="186" t="s">
        <v>28</v>
      </c>
      <c r="J35" s="186"/>
      <c r="K35" s="64" t="s">
        <v>29</v>
      </c>
      <c r="L35" s="66">
        <v>767873.17</v>
      </c>
    </row>
    <row r="36" spans="1:14" ht="61.2" hidden="1" x14ac:dyDescent="0.3">
      <c r="A36" s="61" t="s">
        <v>394</v>
      </c>
      <c r="B36" s="62" t="s">
        <v>404</v>
      </c>
      <c r="C36" s="62" t="s">
        <v>406</v>
      </c>
      <c r="D36" s="62" t="s">
        <v>398</v>
      </c>
      <c r="E36" s="63" t="s">
        <v>26</v>
      </c>
      <c r="F36" s="185">
        <v>15885.21</v>
      </c>
      <c r="G36" s="185"/>
      <c r="H36" s="63" t="s">
        <v>26</v>
      </c>
      <c r="I36" s="186" t="s">
        <v>28</v>
      </c>
      <c r="J36" s="186"/>
      <c r="K36" s="64" t="s">
        <v>29</v>
      </c>
      <c r="L36" s="66">
        <v>783758.38</v>
      </c>
    </row>
    <row r="37" spans="1:14" ht="81.599999999999994" x14ac:dyDescent="0.3">
      <c r="A37" s="61" t="s">
        <v>763</v>
      </c>
      <c r="B37" s="62" t="s">
        <v>926</v>
      </c>
      <c r="C37" s="62" t="s">
        <v>522</v>
      </c>
      <c r="D37" s="62" t="s">
        <v>923</v>
      </c>
      <c r="E37" s="63" t="s">
        <v>523</v>
      </c>
      <c r="F37" s="180" t="s">
        <v>28</v>
      </c>
      <c r="G37" s="180"/>
      <c r="H37" s="63" t="s">
        <v>26</v>
      </c>
      <c r="I37" s="181">
        <v>17308.34</v>
      </c>
      <c r="J37" s="181"/>
      <c r="K37" s="64" t="s">
        <v>29</v>
      </c>
      <c r="L37" s="66">
        <v>766450.04</v>
      </c>
    </row>
    <row r="38" spans="1:14" ht="71.400000000000006" x14ac:dyDescent="0.3">
      <c r="A38" s="61" t="s">
        <v>763</v>
      </c>
      <c r="B38" s="62" t="s">
        <v>926</v>
      </c>
      <c r="C38" s="62" t="s">
        <v>522</v>
      </c>
      <c r="D38" s="62" t="s">
        <v>924</v>
      </c>
      <c r="E38" s="63" t="s">
        <v>523</v>
      </c>
      <c r="F38" s="180" t="s">
        <v>28</v>
      </c>
      <c r="G38" s="180"/>
      <c r="H38" s="63" t="s">
        <v>26</v>
      </c>
      <c r="I38" s="181">
        <v>78021.67</v>
      </c>
      <c r="J38" s="181"/>
      <c r="K38" s="64" t="s">
        <v>29</v>
      </c>
      <c r="L38" s="66">
        <v>688428.37</v>
      </c>
    </row>
    <row r="39" spans="1:14" ht="71.400000000000006" x14ac:dyDescent="0.3">
      <c r="A39" s="61" t="s">
        <v>763</v>
      </c>
      <c r="B39" s="62" t="s">
        <v>926</v>
      </c>
      <c r="C39" s="62" t="s">
        <v>522</v>
      </c>
      <c r="D39" s="62" t="s">
        <v>925</v>
      </c>
      <c r="E39" s="63" t="s">
        <v>523</v>
      </c>
      <c r="F39" s="180" t="s">
        <v>28</v>
      </c>
      <c r="G39" s="180"/>
      <c r="H39" s="63" t="s">
        <v>26</v>
      </c>
      <c r="I39" s="181">
        <v>105906.66</v>
      </c>
      <c r="J39" s="181"/>
      <c r="K39" s="64" t="s">
        <v>29</v>
      </c>
      <c r="L39" s="66">
        <v>582521.71</v>
      </c>
    </row>
    <row r="40" spans="1:14" ht="61.2" x14ac:dyDescent="0.3">
      <c r="A40" s="61" t="s">
        <v>763</v>
      </c>
      <c r="B40" s="62" t="s">
        <v>926</v>
      </c>
      <c r="C40" s="62" t="s">
        <v>522</v>
      </c>
      <c r="D40" s="62" t="s">
        <v>915</v>
      </c>
      <c r="E40" s="63" t="s">
        <v>523</v>
      </c>
      <c r="F40" s="180" t="s">
        <v>28</v>
      </c>
      <c r="G40" s="180"/>
      <c r="H40" s="63" t="s">
        <v>26</v>
      </c>
      <c r="I40" s="181">
        <v>20177.63</v>
      </c>
      <c r="J40" s="181"/>
      <c r="K40" s="64" t="s">
        <v>29</v>
      </c>
      <c r="L40" s="66">
        <v>562344.07999999996</v>
      </c>
    </row>
    <row r="41" spans="1:14" ht="61.2" x14ac:dyDescent="0.3">
      <c r="A41" s="61" t="s">
        <v>763</v>
      </c>
      <c r="B41" s="62" t="s">
        <v>927</v>
      </c>
      <c r="C41" s="62" t="s">
        <v>522</v>
      </c>
      <c r="D41" s="62" t="s">
        <v>915</v>
      </c>
      <c r="E41" s="63" t="s">
        <v>523</v>
      </c>
      <c r="F41" s="180" t="s">
        <v>28</v>
      </c>
      <c r="G41" s="180"/>
      <c r="H41" s="63" t="s">
        <v>26</v>
      </c>
      <c r="I41" s="181">
        <v>1946.96</v>
      </c>
      <c r="J41" s="181"/>
      <c r="K41" s="64" t="s">
        <v>29</v>
      </c>
      <c r="L41" s="66">
        <v>560397.12</v>
      </c>
    </row>
    <row r="42" spans="1:14" ht="61.2" x14ac:dyDescent="0.3">
      <c r="A42" s="61" t="s">
        <v>763</v>
      </c>
      <c r="B42" s="62" t="s">
        <v>927</v>
      </c>
      <c r="C42" s="62" t="s">
        <v>522</v>
      </c>
      <c r="D42" s="62" t="s">
        <v>342</v>
      </c>
      <c r="E42" s="63" t="s">
        <v>523</v>
      </c>
      <c r="F42" s="180" t="s">
        <v>28</v>
      </c>
      <c r="G42" s="180"/>
      <c r="H42" s="63" t="s">
        <v>26</v>
      </c>
      <c r="I42" s="181">
        <v>16224.7</v>
      </c>
      <c r="J42" s="181"/>
      <c r="K42" s="64" t="s">
        <v>29</v>
      </c>
      <c r="L42" s="66">
        <v>544172.42000000004</v>
      </c>
    </row>
    <row r="43" spans="1:14" ht="61.2" hidden="1" x14ac:dyDescent="0.3">
      <c r="A43" s="61" t="s">
        <v>460</v>
      </c>
      <c r="B43" s="62" t="s">
        <v>470</v>
      </c>
      <c r="C43" s="62" t="s">
        <v>471</v>
      </c>
      <c r="D43" s="62" t="s">
        <v>462</v>
      </c>
      <c r="E43" s="63" t="s">
        <v>26</v>
      </c>
      <c r="F43" s="185">
        <v>53501.85</v>
      </c>
      <c r="G43" s="185"/>
      <c r="H43" s="63" t="s">
        <v>26</v>
      </c>
      <c r="I43" s="186" t="s">
        <v>28</v>
      </c>
      <c r="J43" s="186"/>
      <c r="K43" s="64" t="s">
        <v>29</v>
      </c>
      <c r="L43" s="66">
        <v>597674.27</v>
      </c>
    </row>
    <row r="44" spans="1:14" ht="61.2" x14ac:dyDescent="0.3">
      <c r="A44" s="61" t="s">
        <v>481</v>
      </c>
      <c r="B44" s="62" t="s">
        <v>928</v>
      </c>
      <c r="C44" s="62" t="s">
        <v>522</v>
      </c>
      <c r="D44" s="62" t="s">
        <v>279</v>
      </c>
      <c r="E44" s="63" t="s">
        <v>523</v>
      </c>
      <c r="F44" s="180" t="s">
        <v>28</v>
      </c>
      <c r="G44" s="180"/>
      <c r="H44" s="63" t="s">
        <v>26</v>
      </c>
      <c r="I44" s="184">
        <v>655</v>
      </c>
      <c r="J44" s="184"/>
      <c r="K44" s="64" t="s">
        <v>29</v>
      </c>
      <c r="L44" s="66">
        <v>597019.27</v>
      </c>
    </row>
    <row r="45" spans="1:14" ht="71.400000000000006" hidden="1" x14ac:dyDescent="0.3">
      <c r="A45" s="61" t="s">
        <v>491</v>
      </c>
      <c r="B45" s="62" t="s">
        <v>499</v>
      </c>
      <c r="C45" s="62" t="s">
        <v>500</v>
      </c>
      <c r="D45" s="62" t="s">
        <v>493</v>
      </c>
      <c r="E45" s="63" t="s">
        <v>26</v>
      </c>
      <c r="F45" s="185">
        <v>33124.01</v>
      </c>
      <c r="G45" s="185"/>
      <c r="H45" s="63" t="s">
        <v>26</v>
      </c>
      <c r="I45" s="186" t="s">
        <v>28</v>
      </c>
      <c r="J45" s="186"/>
      <c r="K45" s="64" t="s">
        <v>29</v>
      </c>
      <c r="L45" s="66">
        <v>630143.28</v>
      </c>
    </row>
    <row r="46" spans="1:14" ht="61.2" hidden="1" x14ac:dyDescent="0.3">
      <c r="A46" s="61" t="s">
        <v>491</v>
      </c>
      <c r="B46" s="62" t="s">
        <v>499</v>
      </c>
      <c r="C46" s="62" t="s">
        <v>501</v>
      </c>
      <c r="D46" s="62" t="s">
        <v>496</v>
      </c>
      <c r="E46" s="63" t="s">
        <v>26</v>
      </c>
      <c r="F46" s="185">
        <v>8061.61</v>
      </c>
      <c r="G46" s="185"/>
      <c r="H46" s="63" t="s">
        <v>26</v>
      </c>
      <c r="I46" s="186" t="s">
        <v>28</v>
      </c>
      <c r="J46" s="186"/>
      <c r="K46" s="64" t="s">
        <v>29</v>
      </c>
      <c r="L46" s="66">
        <v>638204.89</v>
      </c>
    </row>
    <row r="47" spans="1:14" ht="61.2" x14ac:dyDescent="0.3">
      <c r="A47" s="61" t="s">
        <v>881</v>
      </c>
      <c r="B47" s="62" t="s">
        <v>929</v>
      </c>
      <c r="C47" s="62" t="s">
        <v>522</v>
      </c>
      <c r="D47" s="62" t="s">
        <v>501</v>
      </c>
      <c r="E47" s="63" t="s">
        <v>523</v>
      </c>
      <c r="F47" s="180" t="s">
        <v>28</v>
      </c>
      <c r="G47" s="180"/>
      <c r="H47" s="63" t="s">
        <v>26</v>
      </c>
      <c r="I47" s="181">
        <v>5755.99</v>
      </c>
      <c r="J47" s="181"/>
      <c r="K47" s="64" t="s">
        <v>29</v>
      </c>
      <c r="L47" s="66">
        <v>632448.9</v>
      </c>
      <c r="M47">
        <f>SUBTOTAL(9,I37:J47)</f>
        <v>245996.94999999998</v>
      </c>
      <c r="N47" t="s">
        <v>1471</v>
      </c>
    </row>
    <row r="48" spans="1:14" ht="71.400000000000006" hidden="1" x14ac:dyDescent="0.3">
      <c r="A48" s="61" t="s">
        <v>505</v>
      </c>
      <c r="B48" s="62" t="s">
        <v>512</v>
      </c>
      <c r="C48" s="62" t="s">
        <v>513</v>
      </c>
      <c r="D48" s="62" t="s">
        <v>507</v>
      </c>
      <c r="E48" s="63" t="s">
        <v>26</v>
      </c>
      <c r="F48" s="185">
        <v>22406.53</v>
      </c>
      <c r="G48" s="185"/>
      <c r="H48" s="63" t="s">
        <v>26</v>
      </c>
      <c r="I48" s="186" t="s">
        <v>28</v>
      </c>
      <c r="J48" s="186"/>
      <c r="K48" s="64" t="s">
        <v>29</v>
      </c>
      <c r="L48" s="66">
        <v>654855.43000000005</v>
      </c>
    </row>
    <row r="49" spans="1:12" ht="61.2" hidden="1" x14ac:dyDescent="0.3">
      <c r="A49" s="61" t="s">
        <v>524</v>
      </c>
      <c r="B49" s="62" t="s">
        <v>525</v>
      </c>
      <c r="C49" s="62" t="s">
        <v>526</v>
      </c>
      <c r="D49" s="62" t="s">
        <v>24</v>
      </c>
      <c r="E49" s="63" t="s">
        <v>26</v>
      </c>
      <c r="F49" s="185">
        <v>7252</v>
      </c>
      <c r="G49" s="185"/>
      <c r="H49" s="63" t="s">
        <v>26</v>
      </c>
      <c r="I49" s="186" t="s">
        <v>28</v>
      </c>
      <c r="J49" s="186"/>
      <c r="K49" s="64" t="s">
        <v>29</v>
      </c>
      <c r="L49" s="66">
        <v>662107.43000000005</v>
      </c>
    </row>
    <row r="50" spans="1:12" ht="71.400000000000006" hidden="1" x14ac:dyDescent="0.3">
      <c r="A50" s="61" t="s">
        <v>527</v>
      </c>
      <c r="B50" s="62" t="s">
        <v>541</v>
      </c>
      <c r="C50" s="62" t="s">
        <v>542</v>
      </c>
      <c r="D50" s="62" t="s">
        <v>529</v>
      </c>
      <c r="E50" s="63" t="s">
        <v>26</v>
      </c>
      <c r="F50" s="185">
        <v>33927.14</v>
      </c>
      <c r="G50" s="185"/>
      <c r="H50" s="63" t="s">
        <v>26</v>
      </c>
      <c r="I50" s="186" t="s">
        <v>28</v>
      </c>
      <c r="J50" s="186"/>
      <c r="K50" s="64" t="s">
        <v>29</v>
      </c>
      <c r="L50" s="66">
        <v>696034.57</v>
      </c>
    </row>
    <row r="51" spans="1:12" ht="71.400000000000006" x14ac:dyDescent="0.3">
      <c r="A51" s="61" t="s">
        <v>818</v>
      </c>
      <c r="B51" s="62" t="s">
        <v>930</v>
      </c>
      <c r="C51" s="62" t="s">
        <v>522</v>
      </c>
      <c r="D51" s="62" t="s">
        <v>513</v>
      </c>
      <c r="E51" s="63" t="s">
        <v>523</v>
      </c>
      <c r="F51" s="180" t="s">
        <v>28</v>
      </c>
      <c r="G51" s="180"/>
      <c r="H51" s="63" t="s">
        <v>26</v>
      </c>
      <c r="I51" s="181">
        <v>22406.53</v>
      </c>
      <c r="J51" s="181"/>
      <c r="K51" s="64" t="s">
        <v>29</v>
      </c>
      <c r="L51" s="66">
        <v>673628.04</v>
      </c>
    </row>
    <row r="52" spans="1:12" ht="71.400000000000006" x14ac:dyDescent="0.3">
      <c r="A52" s="61" t="s">
        <v>818</v>
      </c>
      <c r="B52" s="62" t="s">
        <v>930</v>
      </c>
      <c r="C52" s="62" t="s">
        <v>522</v>
      </c>
      <c r="D52" s="62" t="s">
        <v>542</v>
      </c>
      <c r="E52" s="63" t="s">
        <v>523</v>
      </c>
      <c r="F52" s="180" t="s">
        <v>28</v>
      </c>
      <c r="G52" s="180"/>
      <c r="H52" s="63" t="s">
        <v>26</v>
      </c>
      <c r="I52" s="181">
        <v>3571.28</v>
      </c>
      <c r="J52" s="181"/>
      <c r="K52" s="64" t="s">
        <v>29</v>
      </c>
      <c r="L52" s="66">
        <v>670056.76</v>
      </c>
    </row>
    <row r="53" spans="1:12" ht="71.400000000000006" x14ac:dyDescent="0.3">
      <c r="A53" s="61" t="s">
        <v>818</v>
      </c>
      <c r="B53" s="62" t="s">
        <v>930</v>
      </c>
      <c r="C53" s="62" t="s">
        <v>522</v>
      </c>
      <c r="D53" s="62" t="s">
        <v>542</v>
      </c>
      <c r="E53" s="63" t="s">
        <v>523</v>
      </c>
      <c r="F53" s="180" t="s">
        <v>28</v>
      </c>
      <c r="G53" s="180"/>
      <c r="H53" s="63" t="s">
        <v>26</v>
      </c>
      <c r="I53" s="181">
        <v>10713.83</v>
      </c>
      <c r="J53" s="181"/>
      <c r="K53" s="64" t="s">
        <v>29</v>
      </c>
      <c r="L53" s="66">
        <v>659342.93000000005</v>
      </c>
    </row>
    <row r="54" spans="1:12" ht="71.400000000000006" hidden="1" x14ac:dyDescent="0.3">
      <c r="A54" s="61" t="s">
        <v>543</v>
      </c>
      <c r="B54" s="62" t="s">
        <v>555</v>
      </c>
      <c r="C54" s="62" t="s">
        <v>556</v>
      </c>
      <c r="D54" s="62" t="s">
        <v>545</v>
      </c>
      <c r="E54" s="63" t="s">
        <v>26</v>
      </c>
      <c r="F54" s="185">
        <v>38654.019999999997</v>
      </c>
      <c r="G54" s="185"/>
      <c r="H54" s="63" t="s">
        <v>26</v>
      </c>
      <c r="I54" s="186" t="s">
        <v>28</v>
      </c>
      <c r="J54" s="186"/>
      <c r="K54" s="64" t="s">
        <v>29</v>
      </c>
      <c r="L54" s="66">
        <v>697996.95</v>
      </c>
    </row>
    <row r="55" spans="1:12" ht="71.400000000000006" x14ac:dyDescent="0.3">
      <c r="A55" s="61" t="s">
        <v>543</v>
      </c>
      <c r="B55" s="62" t="s">
        <v>931</v>
      </c>
      <c r="C55" s="62" t="s">
        <v>522</v>
      </c>
      <c r="D55" s="62" t="s">
        <v>542</v>
      </c>
      <c r="E55" s="63" t="s">
        <v>523</v>
      </c>
      <c r="F55" s="180" t="s">
        <v>28</v>
      </c>
      <c r="G55" s="180"/>
      <c r="H55" s="63" t="s">
        <v>26</v>
      </c>
      <c r="I55" s="181">
        <v>19642.03</v>
      </c>
      <c r="J55" s="181"/>
      <c r="K55" s="64" t="s">
        <v>29</v>
      </c>
      <c r="L55" s="66">
        <v>678354.92</v>
      </c>
    </row>
    <row r="56" spans="1:12" ht="71.400000000000006" x14ac:dyDescent="0.3">
      <c r="A56" s="61" t="s">
        <v>543</v>
      </c>
      <c r="B56" s="62" t="s">
        <v>931</v>
      </c>
      <c r="C56" s="62" t="s">
        <v>522</v>
      </c>
      <c r="D56" s="62" t="s">
        <v>556</v>
      </c>
      <c r="E56" s="63" t="s">
        <v>523</v>
      </c>
      <c r="F56" s="180" t="s">
        <v>28</v>
      </c>
      <c r="G56" s="180"/>
      <c r="H56" s="63" t="s">
        <v>26</v>
      </c>
      <c r="I56" s="181">
        <v>16448.52</v>
      </c>
      <c r="J56" s="181"/>
      <c r="K56" s="64" t="s">
        <v>29</v>
      </c>
      <c r="L56" s="66">
        <v>661906.4</v>
      </c>
    </row>
    <row r="57" spans="1:12" ht="71.400000000000006" x14ac:dyDescent="0.3">
      <c r="A57" s="61" t="s">
        <v>543</v>
      </c>
      <c r="B57" s="62" t="s">
        <v>931</v>
      </c>
      <c r="C57" s="62" t="s">
        <v>522</v>
      </c>
      <c r="D57" s="62" t="s">
        <v>556</v>
      </c>
      <c r="E57" s="63" t="s">
        <v>523</v>
      </c>
      <c r="F57" s="180" t="s">
        <v>28</v>
      </c>
      <c r="G57" s="180"/>
      <c r="H57" s="63" t="s">
        <v>26</v>
      </c>
      <c r="I57" s="181">
        <v>2039.62</v>
      </c>
      <c r="J57" s="181"/>
      <c r="K57" s="64" t="s">
        <v>29</v>
      </c>
      <c r="L57" s="66">
        <v>659866.78</v>
      </c>
    </row>
    <row r="58" spans="1:12" ht="81.599999999999994" x14ac:dyDescent="0.3">
      <c r="A58" s="61" t="s">
        <v>543</v>
      </c>
      <c r="B58" s="62" t="s">
        <v>932</v>
      </c>
      <c r="C58" s="62" t="s">
        <v>522</v>
      </c>
      <c r="D58" s="62" t="s">
        <v>923</v>
      </c>
      <c r="E58" s="63" t="s">
        <v>523</v>
      </c>
      <c r="F58" s="180" t="s">
        <v>28</v>
      </c>
      <c r="G58" s="180"/>
      <c r="H58" s="63" t="s">
        <v>26</v>
      </c>
      <c r="I58" s="181">
        <v>11445.83</v>
      </c>
      <c r="J58" s="181"/>
      <c r="K58" s="64" t="s">
        <v>29</v>
      </c>
      <c r="L58" s="66">
        <v>648420.94999999995</v>
      </c>
    </row>
    <row r="59" spans="1:12" ht="71.400000000000006" x14ac:dyDescent="0.3">
      <c r="A59" s="61" t="s">
        <v>543</v>
      </c>
      <c r="B59" s="62" t="s">
        <v>932</v>
      </c>
      <c r="C59" s="62" t="s">
        <v>522</v>
      </c>
      <c r="D59" s="62" t="s">
        <v>924</v>
      </c>
      <c r="E59" s="63" t="s">
        <v>523</v>
      </c>
      <c r="F59" s="180" t="s">
        <v>28</v>
      </c>
      <c r="G59" s="180"/>
      <c r="H59" s="63" t="s">
        <v>26</v>
      </c>
      <c r="I59" s="181">
        <v>297440</v>
      </c>
      <c r="J59" s="181"/>
      <c r="K59" s="64" t="s">
        <v>29</v>
      </c>
      <c r="L59" s="66">
        <v>350980.95</v>
      </c>
    </row>
    <row r="60" spans="1:12" ht="71.400000000000006" x14ac:dyDescent="0.3">
      <c r="A60" s="61" t="s">
        <v>543</v>
      </c>
      <c r="B60" s="62" t="s">
        <v>932</v>
      </c>
      <c r="C60" s="62" t="s">
        <v>522</v>
      </c>
      <c r="D60" s="62" t="s">
        <v>925</v>
      </c>
      <c r="E60" s="63" t="s">
        <v>523</v>
      </c>
      <c r="F60" s="180" t="s">
        <v>28</v>
      </c>
      <c r="G60" s="180"/>
      <c r="H60" s="63" t="s">
        <v>26</v>
      </c>
      <c r="I60" s="181">
        <v>74641.67</v>
      </c>
      <c r="J60" s="181"/>
      <c r="K60" s="64" t="s">
        <v>29</v>
      </c>
      <c r="L60" s="66">
        <v>276339.28000000003</v>
      </c>
    </row>
    <row r="61" spans="1:12" ht="61.2" x14ac:dyDescent="0.3">
      <c r="A61" s="61" t="s">
        <v>543</v>
      </c>
      <c r="B61" s="62" t="s">
        <v>932</v>
      </c>
      <c r="C61" s="62" t="s">
        <v>522</v>
      </c>
      <c r="D61" s="62" t="s">
        <v>382</v>
      </c>
      <c r="E61" s="63" t="s">
        <v>523</v>
      </c>
      <c r="F61" s="180" t="s">
        <v>28</v>
      </c>
      <c r="G61" s="180"/>
      <c r="H61" s="63" t="s">
        <v>26</v>
      </c>
      <c r="I61" s="181">
        <v>7644.7</v>
      </c>
      <c r="J61" s="181"/>
      <c r="K61" s="64" t="s">
        <v>29</v>
      </c>
      <c r="L61" s="66">
        <v>268694.58</v>
      </c>
    </row>
    <row r="62" spans="1:12" ht="61.2" x14ac:dyDescent="0.3">
      <c r="A62" s="61" t="s">
        <v>543</v>
      </c>
      <c r="B62" s="62" t="s">
        <v>932</v>
      </c>
      <c r="C62" s="62" t="s">
        <v>522</v>
      </c>
      <c r="D62" s="62" t="s">
        <v>911</v>
      </c>
      <c r="E62" s="63" t="s">
        <v>523</v>
      </c>
      <c r="F62" s="180" t="s">
        <v>28</v>
      </c>
      <c r="G62" s="180"/>
      <c r="H62" s="63" t="s">
        <v>26</v>
      </c>
      <c r="I62" s="181">
        <v>35627.42</v>
      </c>
      <c r="J62" s="181"/>
      <c r="K62" s="64" t="s">
        <v>29</v>
      </c>
      <c r="L62" s="66">
        <v>233067.16</v>
      </c>
    </row>
    <row r="63" spans="1:12" ht="71.400000000000006" x14ac:dyDescent="0.3">
      <c r="A63" s="61" t="s">
        <v>543</v>
      </c>
      <c r="B63" s="62" t="s">
        <v>932</v>
      </c>
      <c r="C63" s="62" t="s">
        <v>522</v>
      </c>
      <c r="D63" s="62" t="s">
        <v>918</v>
      </c>
      <c r="E63" s="63" t="s">
        <v>523</v>
      </c>
      <c r="F63" s="180" t="s">
        <v>28</v>
      </c>
      <c r="G63" s="180"/>
      <c r="H63" s="63" t="s">
        <v>26</v>
      </c>
      <c r="I63" s="181">
        <v>9758</v>
      </c>
      <c r="J63" s="181"/>
      <c r="K63" s="64" t="s">
        <v>29</v>
      </c>
      <c r="L63" s="66">
        <v>223309.16</v>
      </c>
    </row>
    <row r="64" spans="1:12" ht="61.2" x14ac:dyDescent="0.3">
      <c r="A64" s="61" t="s">
        <v>543</v>
      </c>
      <c r="B64" s="62" t="s">
        <v>932</v>
      </c>
      <c r="C64" s="62" t="s">
        <v>522</v>
      </c>
      <c r="D64" s="62" t="s">
        <v>526</v>
      </c>
      <c r="E64" s="63" t="s">
        <v>523</v>
      </c>
      <c r="F64" s="180" t="s">
        <v>28</v>
      </c>
      <c r="G64" s="180"/>
      <c r="H64" s="63" t="s">
        <v>26</v>
      </c>
      <c r="I64" s="181">
        <v>7252</v>
      </c>
      <c r="J64" s="181"/>
      <c r="K64" s="64" t="s">
        <v>29</v>
      </c>
      <c r="L64" s="66">
        <v>216057.16</v>
      </c>
    </row>
    <row r="65" spans="1:12" ht="71.400000000000006" hidden="1" x14ac:dyDescent="0.3">
      <c r="A65" s="61" t="s">
        <v>558</v>
      </c>
      <c r="B65" s="62" t="s">
        <v>569</v>
      </c>
      <c r="C65" s="62" t="s">
        <v>570</v>
      </c>
      <c r="D65" s="62" t="s">
        <v>560</v>
      </c>
      <c r="E65" s="63" t="s">
        <v>26</v>
      </c>
      <c r="F65" s="185">
        <v>11146.93</v>
      </c>
      <c r="G65" s="185"/>
      <c r="H65" s="63" t="s">
        <v>26</v>
      </c>
      <c r="I65" s="186" t="s">
        <v>28</v>
      </c>
      <c r="J65" s="186"/>
      <c r="K65" s="64" t="s">
        <v>29</v>
      </c>
      <c r="L65" s="66">
        <v>227204.09</v>
      </c>
    </row>
    <row r="66" spans="1:12" ht="61.2" hidden="1" x14ac:dyDescent="0.3">
      <c r="A66" s="61" t="s">
        <v>558</v>
      </c>
      <c r="B66" s="62" t="s">
        <v>933</v>
      </c>
      <c r="C66" s="62" t="s">
        <v>934</v>
      </c>
      <c r="D66" s="62" t="s">
        <v>935</v>
      </c>
      <c r="E66" s="63" t="s">
        <v>26</v>
      </c>
      <c r="F66" s="185">
        <v>4800</v>
      </c>
      <c r="G66" s="185"/>
      <c r="H66" s="63" t="s">
        <v>27</v>
      </c>
      <c r="I66" s="186" t="s">
        <v>28</v>
      </c>
      <c r="J66" s="186"/>
      <c r="K66" s="64" t="s">
        <v>29</v>
      </c>
      <c r="L66" s="66">
        <v>232004.09</v>
      </c>
    </row>
    <row r="67" spans="1:12" ht="71.400000000000006" hidden="1" x14ac:dyDescent="0.3">
      <c r="A67" s="61" t="s">
        <v>571</v>
      </c>
      <c r="B67" s="62" t="s">
        <v>582</v>
      </c>
      <c r="C67" s="62" t="s">
        <v>583</v>
      </c>
      <c r="D67" s="62" t="s">
        <v>573</v>
      </c>
      <c r="E67" s="63" t="s">
        <v>26</v>
      </c>
      <c r="F67" s="185">
        <v>25726.89</v>
      </c>
      <c r="G67" s="185"/>
      <c r="H67" s="63" t="s">
        <v>26</v>
      </c>
      <c r="I67" s="186" t="s">
        <v>28</v>
      </c>
      <c r="J67" s="186"/>
      <c r="K67" s="64" t="s">
        <v>29</v>
      </c>
      <c r="L67" s="66">
        <v>257730.98</v>
      </c>
    </row>
    <row r="68" spans="1:12" ht="61.2" hidden="1" x14ac:dyDescent="0.3">
      <c r="A68" s="61" t="s">
        <v>571</v>
      </c>
      <c r="B68" s="62" t="s">
        <v>586</v>
      </c>
      <c r="C68" s="62" t="s">
        <v>587</v>
      </c>
      <c r="D68" s="62" t="s">
        <v>575</v>
      </c>
      <c r="E68" s="63" t="s">
        <v>26</v>
      </c>
      <c r="F68" s="185">
        <v>14994.75</v>
      </c>
      <c r="G68" s="185"/>
      <c r="H68" s="63" t="s">
        <v>26</v>
      </c>
      <c r="I68" s="186" t="s">
        <v>28</v>
      </c>
      <c r="J68" s="186"/>
      <c r="K68" s="64" t="s">
        <v>29</v>
      </c>
      <c r="L68" s="66">
        <v>272725.73</v>
      </c>
    </row>
    <row r="69" spans="1:12" ht="61.2" x14ac:dyDescent="0.3">
      <c r="A69" s="61" t="s">
        <v>571</v>
      </c>
      <c r="B69" s="62" t="s">
        <v>936</v>
      </c>
      <c r="C69" s="62" t="s">
        <v>522</v>
      </c>
      <c r="D69" s="62" t="s">
        <v>587</v>
      </c>
      <c r="E69" s="63" t="s">
        <v>523</v>
      </c>
      <c r="F69" s="180" t="s">
        <v>28</v>
      </c>
      <c r="G69" s="180"/>
      <c r="H69" s="63" t="s">
        <v>26</v>
      </c>
      <c r="I69" s="181">
        <v>14994.75</v>
      </c>
      <c r="J69" s="181"/>
      <c r="K69" s="64" t="s">
        <v>29</v>
      </c>
      <c r="L69" s="66">
        <v>257730.98</v>
      </c>
    </row>
    <row r="70" spans="1:12" ht="71.400000000000006" hidden="1" x14ac:dyDescent="0.3">
      <c r="A70" s="61" t="s">
        <v>588</v>
      </c>
      <c r="B70" s="62" t="s">
        <v>937</v>
      </c>
      <c r="C70" s="62" t="s">
        <v>938</v>
      </c>
      <c r="D70" s="62" t="s">
        <v>939</v>
      </c>
      <c r="E70" s="63" t="s">
        <v>26</v>
      </c>
      <c r="F70" s="185">
        <v>6471</v>
      </c>
      <c r="G70" s="185"/>
      <c r="H70" s="63" t="s">
        <v>27</v>
      </c>
      <c r="I70" s="186" t="s">
        <v>28</v>
      </c>
      <c r="J70" s="186"/>
      <c r="K70" s="64" t="s">
        <v>29</v>
      </c>
      <c r="L70" s="66">
        <v>264201.98</v>
      </c>
    </row>
    <row r="71" spans="1:12" ht="71.400000000000006" hidden="1" x14ac:dyDescent="0.3">
      <c r="A71" s="61" t="s">
        <v>588</v>
      </c>
      <c r="B71" s="62" t="s">
        <v>598</v>
      </c>
      <c r="C71" s="62" t="s">
        <v>599</v>
      </c>
      <c r="D71" s="62" t="s">
        <v>593</v>
      </c>
      <c r="E71" s="63" t="s">
        <v>26</v>
      </c>
      <c r="F71" s="185">
        <v>29629.5</v>
      </c>
      <c r="G71" s="185"/>
      <c r="H71" s="63" t="s">
        <v>26</v>
      </c>
      <c r="I71" s="186" t="s">
        <v>28</v>
      </c>
      <c r="J71" s="186"/>
      <c r="K71" s="64" t="s">
        <v>29</v>
      </c>
      <c r="L71" s="66">
        <v>293831.48</v>
      </c>
    </row>
    <row r="72" spans="1:12" ht="71.400000000000006" hidden="1" x14ac:dyDescent="0.3">
      <c r="A72" s="61" t="s">
        <v>940</v>
      </c>
      <c r="B72" s="62" t="s">
        <v>941</v>
      </c>
      <c r="C72" s="62" t="s">
        <v>942</v>
      </c>
      <c r="D72" s="62" t="s">
        <v>943</v>
      </c>
      <c r="E72" s="63" t="s">
        <v>26</v>
      </c>
      <c r="F72" s="185">
        <v>6396</v>
      </c>
      <c r="G72" s="185"/>
      <c r="H72" s="63" t="s">
        <v>27</v>
      </c>
      <c r="I72" s="186" t="s">
        <v>28</v>
      </c>
      <c r="J72" s="186"/>
      <c r="K72" s="64" t="s">
        <v>29</v>
      </c>
      <c r="L72" s="66">
        <v>300227.48</v>
      </c>
    </row>
    <row r="73" spans="1:12" ht="71.400000000000006" hidden="1" x14ac:dyDescent="0.3">
      <c r="A73" s="61" t="s">
        <v>940</v>
      </c>
      <c r="B73" s="62" t="s">
        <v>944</v>
      </c>
      <c r="C73" s="62" t="s">
        <v>945</v>
      </c>
      <c r="D73" s="62" t="s">
        <v>946</v>
      </c>
      <c r="E73" s="63" t="s">
        <v>26</v>
      </c>
      <c r="F73" s="185">
        <v>37695</v>
      </c>
      <c r="G73" s="185"/>
      <c r="H73" s="63" t="s">
        <v>27</v>
      </c>
      <c r="I73" s="186" t="s">
        <v>28</v>
      </c>
      <c r="J73" s="186"/>
      <c r="K73" s="64" t="s">
        <v>29</v>
      </c>
      <c r="L73" s="66">
        <v>337922.48</v>
      </c>
    </row>
    <row r="74" spans="1:12" ht="71.400000000000006" hidden="1" x14ac:dyDescent="0.3">
      <c r="A74" s="61" t="s">
        <v>940</v>
      </c>
      <c r="B74" s="62" t="s">
        <v>947</v>
      </c>
      <c r="C74" s="62" t="s">
        <v>945</v>
      </c>
      <c r="D74" s="62" t="s">
        <v>948</v>
      </c>
      <c r="E74" s="63" t="s">
        <v>26</v>
      </c>
      <c r="F74" s="185">
        <v>16388.75</v>
      </c>
      <c r="G74" s="185"/>
      <c r="H74" s="63" t="s">
        <v>27</v>
      </c>
      <c r="I74" s="186" t="s">
        <v>28</v>
      </c>
      <c r="J74" s="186"/>
      <c r="K74" s="64" t="s">
        <v>29</v>
      </c>
      <c r="L74" s="66">
        <v>354311.23</v>
      </c>
    </row>
    <row r="75" spans="1:12" ht="71.400000000000006" hidden="1" x14ac:dyDescent="0.3">
      <c r="A75" s="61" t="s">
        <v>604</v>
      </c>
      <c r="B75" s="62" t="s">
        <v>612</v>
      </c>
      <c r="C75" s="62" t="s">
        <v>613</v>
      </c>
      <c r="D75" s="62" t="s">
        <v>608</v>
      </c>
      <c r="E75" s="63" t="s">
        <v>26</v>
      </c>
      <c r="F75" s="185">
        <v>25279.51</v>
      </c>
      <c r="G75" s="185"/>
      <c r="H75" s="63" t="s">
        <v>26</v>
      </c>
      <c r="I75" s="186" t="s">
        <v>28</v>
      </c>
      <c r="J75" s="186"/>
      <c r="K75" s="64" t="s">
        <v>29</v>
      </c>
      <c r="L75" s="66">
        <v>379590.74</v>
      </c>
    </row>
    <row r="76" spans="1:12" ht="71.400000000000006" hidden="1" x14ac:dyDescent="0.3">
      <c r="A76" s="61" t="s">
        <v>604</v>
      </c>
      <c r="B76" s="62" t="s">
        <v>949</v>
      </c>
      <c r="C76" s="62" t="s">
        <v>950</v>
      </c>
      <c r="D76" s="62" t="s">
        <v>951</v>
      </c>
      <c r="E76" s="63" t="s">
        <v>26</v>
      </c>
      <c r="F76" s="185">
        <v>6349.5</v>
      </c>
      <c r="G76" s="185"/>
      <c r="H76" s="63" t="s">
        <v>27</v>
      </c>
      <c r="I76" s="186" t="s">
        <v>28</v>
      </c>
      <c r="J76" s="186"/>
      <c r="K76" s="64" t="s">
        <v>29</v>
      </c>
      <c r="L76" s="66">
        <v>385940.24</v>
      </c>
    </row>
    <row r="77" spans="1:12" ht="71.400000000000006" hidden="1" x14ac:dyDescent="0.3">
      <c r="A77" s="61" t="s">
        <v>614</v>
      </c>
      <c r="B77" s="62" t="s">
        <v>622</v>
      </c>
      <c r="C77" s="62" t="s">
        <v>623</v>
      </c>
      <c r="D77" s="62" t="s">
        <v>616</v>
      </c>
      <c r="E77" s="63" t="s">
        <v>26</v>
      </c>
      <c r="F77" s="185">
        <v>20584.490000000002</v>
      </c>
      <c r="G77" s="185"/>
      <c r="H77" s="63" t="s">
        <v>26</v>
      </c>
      <c r="I77" s="186" t="s">
        <v>28</v>
      </c>
      <c r="J77" s="186"/>
      <c r="K77" s="64" t="s">
        <v>29</v>
      </c>
      <c r="L77" s="66">
        <v>406524.73</v>
      </c>
    </row>
    <row r="78" spans="1:12" ht="71.400000000000006" hidden="1" x14ac:dyDescent="0.3">
      <c r="A78" s="61" t="s">
        <v>614</v>
      </c>
      <c r="B78" s="62" t="s">
        <v>633</v>
      </c>
      <c r="C78" s="62" t="s">
        <v>634</v>
      </c>
      <c r="D78" s="62" t="s">
        <v>629</v>
      </c>
      <c r="E78" s="63" t="s">
        <v>26</v>
      </c>
      <c r="F78" s="185">
        <v>35022.33</v>
      </c>
      <c r="G78" s="185"/>
      <c r="H78" s="63" t="s">
        <v>26</v>
      </c>
      <c r="I78" s="186" t="s">
        <v>28</v>
      </c>
      <c r="J78" s="186"/>
      <c r="K78" s="64" t="s">
        <v>29</v>
      </c>
      <c r="L78" s="66">
        <v>441547.06</v>
      </c>
    </row>
    <row r="79" spans="1:12" ht="71.400000000000006" hidden="1" x14ac:dyDescent="0.3">
      <c r="A79" s="61" t="s">
        <v>614</v>
      </c>
      <c r="B79" s="62" t="s">
        <v>952</v>
      </c>
      <c r="C79" s="62" t="s">
        <v>953</v>
      </c>
      <c r="D79" s="62" t="s">
        <v>954</v>
      </c>
      <c r="E79" s="63" t="s">
        <v>26</v>
      </c>
      <c r="F79" s="185">
        <v>6277.5</v>
      </c>
      <c r="G79" s="185"/>
      <c r="H79" s="63" t="s">
        <v>27</v>
      </c>
      <c r="I79" s="186" t="s">
        <v>28</v>
      </c>
      <c r="J79" s="186"/>
      <c r="K79" s="64" t="s">
        <v>29</v>
      </c>
      <c r="L79" s="66">
        <v>447824.56</v>
      </c>
    </row>
    <row r="80" spans="1:12" ht="71.400000000000006" hidden="1" x14ac:dyDescent="0.3">
      <c r="A80" s="61" t="s">
        <v>955</v>
      </c>
      <c r="B80" s="62" t="s">
        <v>956</v>
      </c>
      <c r="C80" s="62" t="s">
        <v>957</v>
      </c>
      <c r="D80" s="62" t="s">
        <v>958</v>
      </c>
      <c r="E80" s="63" t="s">
        <v>26</v>
      </c>
      <c r="F80" s="185">
        <v>30316.5</v>
      </c>
      <c r="G80" s="185"/>
      <c r="H80" s="63" t="s">
        <v>27</v>
      </c>
      <c r="I80" s="186" t="s">
        <v>28</v>
      </c>
      <c r="J80" s="186"/>
      <c r="K80" s="64" t="s">
        <v>29</v>
      </c>
      <c r="L80" s="66">
        <v>478141.06</v>
      </c>
    </row>
    <row r="81" spans="1:12" ht="71.400000000000006" hidden="1" x14ac:dyDescent="0.3">
      <c r="A81" s="61" t="s">
        <v>955</v>
      </c>
      <c r="B81" s="62" t="s">
        <v>959</v>
      </c>
      <c r="C81" s="62" t="s">
        <v>957</v>
      </c>
      <c r="D81" s="62" t="s">
        <v>958</v>
      </c>
      <c r="E81" s="63" t="s">
        <v>26</v>
      </c>
      <c r="F81" s="185">
        <v>70738.5</v>
      </c>
      <c r="G81" s="185"/>
      <c r="H81" s="63" t="s">
        <v>27</v>
      </c>
      <c r="I81" s="186" t="s">
        <v>28</v>
      </c>
      <c r="J81" s="186"/>
      <c r="K81" s="64" t="s">
        <v>29</v>
      </c>
      <c r="L81" s="66">
        <v>548879.56000000006</v>
      </c>
    </row>
    <row r="82" spans="1:12" ht="71.400000000000006" hidden="1" x14ac:dyDescent="0.3">
      <c r="A82" s="61" t="s">
        <v>955</v>
      </c>
      <c r="B82" s="62" t="s">
        <v>960</v>
      </c>
      <c r="C82" s="62" t="s">
        <v>961</v>
      </c>
      <c r="D82" s="62" t="s">
        <v>962</v>
      </c>
      <c r="E82" s="63" t="s">
        <v>26</v>
      </c>
      <c r="F82" s="185">
        <v>4641</v>
      </c>
      <c r="G82" s="185"/>
      <c r="H82" s="63" t="s">
        <v>27</v>
      </c>
      <c r="I82" s="186" t="s">
        <v>28</v>
      </c>
      <c r="J82" s="186"/>
      <c r="K82" s="64" t="s">
        <v>29</v>
      </c>
      <c r="L82" s="66">
        <v>553520.56000000006</v>
      </c>
    </row>
    <row r="83" spans="1:12" ht="61.2" hidden="1" x14ac:dyDescent="0.3">
      <c r="A83" s="61" t="s">
        <v>635</v>
      </c>
      <c r="B83" s="62" t="s">
        <v>639</v>
      </c>
      <c r="C83" s="62" t="s">
        <v>640</v>
      </c>
      <c r="D83" s="62" t="s">
        <v>637</v>
      </c>
      <c r="E83" s="63" t="s">
        <v>26</v>
      </c>
      <c r="F83" s="185">
        <v>4560</v>
      </c>
      <c r="G83" s="185"/>
      <c r="H83" s="63" t="s">
        <v>26</v>
      </c>
      <c r="I83" s="186" t="s">
        <v>28</v>
      </c>
      <c r="J83" s="186"/>
      <c r="K83" s="64" t="s">
        <v>29</v>
      </c>
      <c r="L83" s="66">
        <v>558080.56000000006</v>
      </c>
    </row>
    <row r="84" spans="1:12" ht="71.400000000000006" hidden="1" x14ac:dyDescent="0.3">
      <c r="A84" s="61" t="s">
        <v>635</v>
      </c>
      <c r="B84" s="62" t="s">
        <v>963</v>
      </c>
      <c r="C84" s="62" t="s">
        <v>964</v>
      </c>
      <c r="D84" s="62" t="s">
        <v>965</v>
      </c>
      <c r="E84" s="63" t="s">
        <v>26</v>
      </c>
      <c r="F84" s="185">
        <v>4620</v>
      </c>
      <c r="G84" s="185"/>
      <c r="H84" s="63" t="s">
        <v>27</v>
      </c>
      <c r="I84" s="186" t="s">
        <v>28</v>
      </c>
      <c r="J84" s="186"/>
      <c r="K84" s="64" t="s">
        <v>29</v>
      </c>
      <c r="L84" s="66">
        <v>562700.56000000006</v>
      </c>
    </row>
    <row r="85" spans="1:12" ht="71.400000000000006" hidden="1" x14ac:dyDescent="0.3">
      <c r="A85" s="61" t="s">
        <v>641</v>
      </c>
      <c r="B85" s="62" t="s">
        <v>966</v>
      </c>
      <c r="C85" s="62" t="s">
        <v>967</v>
      </c>
      <c r="D85" s="62" t="s">
        <v>968</v>
      </c>
      <c r="E85" s="63" t="s">
        <v>26</v>
      </c>
      <c r="F85" s="185">
        <v>6657</v>
      </c>
      <c r="G85" s="185"/>
      <c r="H85" s="63" t="s">
        <v>27</v>
      </c>
      <c r="I85" s="186" t="s">
        <v>28</v>
      </c>
      <c r="J85" s="186"/>
      <c r="K85" s="64" t="s">
        <v>29</v>
      </c>
      <c r="L85" s="66">
        <v>569357.56000000006</v>
      </c>
    </row>
    <row r="86" spans="1:12" ht="71.400000000000006" hidden="1" x14ac:dyDescent="0.3">
      <c r="A86" s="61" t="s">
        <v>641</v>
      </c>
      <c r="B86" s="62" t="s">
        <v>969</v>
      </c>
      <c r="C86" s="62" t="s">
        <v>970</v>
      </c>
      <c r="D86" s="62" t="s">
        <v>971</v>
      </c>
      <c r="E86" s="63" t="s">
        <v>26</v>
      </c>
      <c r="F86" s="185">
        <v>16593</v>
      </c>
      <c r="G86" s="185"/>
      <c r="H86" s="63" t="s">
        <v>27</v>
      </c>
      <c r="I86" s="186" t="s">
        <v>28</v>
      </c>
      <c r="J86" s="186"/>
      <c r="K86" s="64" t="s">
        <v>29</v>
      </c>
      <c r="L86" s="66">
        <v>585950.56000000006</v>
      </c>
    </row>
    <row r="87" spans="1:12" ht="71.400000000000006" hidden="1" x14ac:dyDescent="0.3">
      <c r="A87" s="61" t="s">
        <v>641</v>
      </c>
      <c r="B87" s="62" t="s">
        <v>972</v>
      </c>
      <c r="C87" s="62" t="s">
        <v>970</v>
      </c>
      <c r="D87" s="62" t="s">
        <v>971</v>
      </c>
      <c r="E87" s="63" t="s">
        <v>26</v>
      </c>
      <c r="F87" s="185">
        <v>38717</v>
      </c>
      <c r="G87" s="185"/>
      <c r="H87" s="63" t="s">
        <v>27</v>
      </c>
      <c r="I87" s="186" t="s">
        <v>28</v>
      </c>
      <c r="J87" s="186"/>
      <c r="K87" s="64" t="s">
        <v>29</v>
      </c>
      <c r="L87" s="66">
        <v>624667.56000000006</v>
      </c>
    </row>
    <row r="88" spans="1:12" ht="61.2" hidden="1" x14ac:dyDescent="0.3">
      <c r="A88" s="61" t="s">
        <v>641</v>
      </c>
      <c r="B88" s="62" t="s">
        <v>651</v>
      </c>
      <c r="C88" s="62" t="s">
        <v>652</v>
      </c>
      <c r="D88" s="62" t="s">
        <v>643</v>
      </c>
      <c r="E88" s="63" t="s">
        <v>26</v>
      </c>
      <c r="F88" s="185">
        <v>22950.720000000001</v>
      </c>
      <c r="G88" s="185"/>
      <c r="H88" s="63" t="s">
        <v>26</v>
      </c>
      <c r="I88" s="186" t="s">
        <v>28</v>
      </c>
      <c r="J88" s="186"/>
      <c r="K88" s="64" t="s">
        <v>29</v>
      </c>
      <c r="L88" s="66">
        <v>647618.28</v>
      </c>
    </row>
    <row r="89" spans="1:12" ht="61.2" hidden="1" x14ac:dyDescent="0.3">
      <c r="A89" s="61" t="s">
        <v>973</v>
      </c>
      <c r="B89" s="62" t="s">
        <v>974</v>
      </c>
      <c r="C89" s="62" t="s">
        <v>975</v>
      </c>
      <c r="D89" s="62" t="s">
        <v>976</v>
      </c>
      <c r="E89" s="63" t="s">
        <v>26</v>
      </c>
      <c r="F89" s="185">
        <v>22333.360000000001</v>
      </c>
      <c r="G89" s="185"/>
      <c r="H89" s="63" t="s">
        <v>27</v>
      </c>
      <c r="I89" s="186" t="s">
        <v>28</v>
      </c>
      <c r="J89" s="186"/>
      <c r="K89" s="64" t="s">
        <v>29</v>
      </c>
      <c r="L89" s="66">
        <v>669951.64</v>
      </c>
    </row>
    <row r="90" spans="1:12" ht="61.2" hidden="1" x14ac:dyDescent="0.3">
      <c r="A90" s="61" t="s">
        <v>973</v>
      </c>
      <c r="B90" s="62" t="s">
        <v>974</v>
      </c>
      <c r="C90" s="62" t="s">
        <v>977</v>
      </c>
      <c r="D90" s="62" t="s">
        <v>976</v>
      </c>
      <c r="E90" s="63" t="s">
        <v>26</v>
      </c>
      <c r="F90" s="185">
        <v>6750</v>
      </c>
      <c r="G90" s="185"/>
      <c r="H90" s="63" t="s">
        <v>27</v>
      </c>
      <c r="I90" s="186" t="s">
        <v>28</v>
      </c>
      <c r="J90" s="186"/>
      <c r="K90" s="64" t="s">
        <v>29</v>
      </c>
      <c r="L90" s="66">
        <v>676701.64</v>
      </c>
    </row>
    <row r="91" spans="1:12" ht="71.400000000000006" hidden="1" x14ac:dyDescent="0.3">
      <c r="A91" s="61" t="s">
        <v>973</v>
      </c>
      <c r="B91" s="62" t="s">
        <v>978</v>
      </c>
      <c r="C91" s="62" t="s">
        <v>979</v>
      </c>
      <c r="D91" s="62" t="s">
        <v>980</v>
      </c>
      <c r="E91" s="63" t="s">
        <v>26</v>
      </c>
      <c r="F91" s="185">
        <v>50214</v>
      </c>
      <c r="G91" s="185"/>
      <c r="H91" s="63" t="s">
        <v>27</v>
      </c>
      <c r="I91" s="186" t="s">
        <v>28</v>
      </c>
      <c r="J91" s="186"/>
      <c r="K91" s="64" t="s">
        <v>29</v>
      </c>
      <c r="L91" s="66">
        <v>726915.64</v>
      </c>
    </row>
    <row r="92" spans="1:12" ht="71.400000000000006" hidden="1" x14ac:dyDescent="0.3">
      <c r="A92" s="61" t="s">
        <v>973</v>
      </c>
      <c r="B92" s="62" t="s">
        <v>981</v>
      </c>
      <c r="C92" s="62" t="s">
        <v>979</v>
      </c>
      <c r="D92" s="62" t="s">
        <v>980</v>
      </c>
      <c r="E92" s="63" t="s">
        <v>26</v>
      </c>
      <c r="F92" s="185">
        <v>117166</v>
      </c>
      <c r="G92" s="185"/>
      <c r="H92" s="63" t="s">
        <v>27</v>
      </c>
      <c r="I92" s="186" t="s">
        <v>28</v>
      </c>
      <c r="J92" s="186"/>
      <c r="K92" s="64" t="s">
        <v>29</v>
      </c>
      <c r="L92" s="66">
        <v>844081.64</v>
      </c>
    </row>
    <row r="93" spans="1:12" ht="71.400000000000006" hidden="1" x14ac:dyDescent="0.3">
      <c r="A93" s="61" t="s">
        <v>973</v>
      </c>
      <c r="B93" s="62" t="s">
        <v>982</v>
      </c>
      <c r="C93" s="62" t="s">
        <v>983</v>
      </c>
      <c r="D93" s="62" t="s">
        <v>984</v>
      </c>
      <c r="E93" s="63" t="s">
        <v>26</v>
      </c>
      <c r="F93" s="185">
        <v>6424.5</v>
      </c>
      <c r="G93" s="185"/>
      <c r="H93" s="63" t="s">
        <v>27</v>
      </c>
      <c r="I93" s="186" t="s">
        <v>28</v>
      </c>
      <c r="J93" s="186"/>
      <c r="K93" s="64" t="s">
        <v>29</v>
      </c>
      <c r="L93" s="66">
        <v>850506.14</v>
      </c>
    </row>
    <row r="94" spans="1:12" ht="71.400000000000006" hidden="1" x14ac:dyDescent="0.3">
      <c r="A94" s="61" t="s">
        <v>653</v>
      </c>
      <c r="B94" s="62" t="s">
        <v>985</v>
      </c>
      <c r="C94" s="62" t="s">
        <v>986</v>
      </c>
      <c r="D94" s="62" t="s">
        <v>987</v>
      </c>
      <c r="E94" s="63" t="s">
        <v>26</v>
      </c>
      <c r="F94" s="185">
        <v>3204</v>
      </c>
      <c r="G94" s="185"/>
      <c r="H94" s="63" t="s">
        <v>27</v>
      </c>
      <c r="I94" s="186" t="s">
        <v>28</v>
      </c>
      <c r="J94" s="186"/>
      <c r="K94" s="64" t="s">
        <v>29</v>
      </c>
      <c r="L94" s="66">
        <v>853710.14</v>
      </c>
    </row>
    <row r="95" spans="1:12" ht="71.400000000000006" hidden="1" x14ac:dyDescent="0.3">
      <c r="A95" s="61" t="s">
        <v>653</v>
      </c>
      <c r="B95" s="62" t="s">
        <v>659</v>
      </c>
      <c r="C95" s="62" t="s">
        <v>660</v>
      </c>
      <c r="D95" s="62" t="s">
        <v>655</v>
      </c>
      <c r="E95" s="63" t="s">
        <v>26</v>
      </c>
      <c r="F95" s="185">
        <v>46691.33</v>
      </c>
      <c r="G95" s="185"/>
      <c r="H95" s="63" t="s">
        <v>26</v>
      </c>
      <c r="I95" s="186" t="s">
        <v>28</v>
      </c>
      <c r="J95" s="186"/>
      <c r="K95" s="64" t="s">
        <v>29</v>
      </c>
      <c r="L95" s="66">
        <v>900401.47</v>
      </c>
    </row>
    <row r="96" spans="1:12" ht="71.400000000000006" hidden="1" x14ac:dyDescent="0.3">
      <c r="A96" s="61" t="s">
        <v>836</v>
      </c>
      <c r="B96" s="62" t="s">
        <v>988</v>
      </c>
      <c r="C96" s="62" t="s">
        <v>989</v>
      </c>
      <c r="D96" s="62" t="s">
        <v>990</v>
      </c>
      <c r="E96" s="63" t="s">
        <v>26</v>
      </c>
      <c r="F96" s="185">
        <v>3226.5</v>
      </c>
      <c r="G96" s="185"/>
      <c r="H96" s="63" t="s">
        <v>27</v>
      </c>
      <c r="I96" s="186" t="s">
        <v>28</v>
      </c>
      <c r="J96" s="186"/>
      <c r="K96" s="64" t="s">
        <v>29</v>
      </c>
      <c r="L96" s="66">
        <v>903627.97</v>
      </c>
    </row>
    <row r="97" spans="1:12" ht="71.400000000000006" hidden="1" x14ac:dyDescent="0.3">
      <c r="A97" s="61" t="s">
        <v>661</v>
      </c>
      <c r="B97" s="62" t="s">
        <v>991</v>
      </c>
      <c r="C97" s="62" t="s">
        <v>992</v>
      </c>
      <c r="D97" s="62" t="s">
        <v>993</v>
      </c>
      <c r="E97" s="63" t="s">
        <v>26</v>
      </c>
      <c r="F97" s="185">
        <v>3285</v>
      </c>
      <c r="G97" s="185"/>
      <c r="H97" s="63" t="s">
        <v>27</v>
      </c>
      <c r="I97" s="186" t="s">
        <v>28</v>
      </c>
      <c r="J97" s="186"/>
      <c r="K97" s="64" t="s">
        <v>29</v>
      </c>
      <c r="L97" s="66">
        <v>906912.97</v>
      </c>
    </row>
    <row r="98" spans="1:12" ht="71.400000000000006" hidden="1" x14ac:dyDescent="0.3">
      <c r="A98" s="61" t="s">
        <v>661</v>
      </c>
      <c r="B98" s="62" t="s">
        <v>994</v>
      </c>
      <c r="C98" s="62" t="s">
        <v>995</v>
      </c>
      <c r="D98" s="62" t="s">
        <v>996</v>
      </c>
      <c r="E98" s="63" t="s">
        <v>26</v>
      </c>
      <c r="F98" s="185">
        <v>63895</v>
      </c>
      <c r="G98" s="185"/>
      <c r="H98" s="63" t="s">
        <v>27</v>
      </c>
      <c r="I98" s="186" t="s">
        <v>28</v>
      </c>
      <c r="J98" s="186"/>
      <c r="K98" s="64" t="s">
        <v>29</v>
      </c>
      <c r="L98" s="66">
        <v>970807.97</v>
      </c>
    </row>
    <row r="99" spans="1:12" ht="71.400000000000006" hidden="1" x14ac:dyDescent="0.3">
      <c r="A99" s="61" t="s">
        <v>661</v>
      </c>
      <c r="B99" s="62" t="s">
        <v>994</v>
      </c>
      <c r="C99" s="62" t="s">
        <v>997</v>
      </c>
      <c r="D99" s="62" t="s">
        <v>996</v>
      </c>
      <c r="E99" s="63" t="s">
        <v>26</v>
      </c>
      <c r="F99" s="185">
        <v>5168.5200000000004</v>
      </c>
      <c r="G99" s="185"/>
      <c r="H99" s="63" t="s">
        <v>27</v>
      </c>
      <c r="I99" s="186" t="s">
        <v>28</v>
      </c>
      <c r="J99" s="186"/>
      <c r="K99" s="64" t="s">
        <v>29</v>
      </c>
      <c r="L99" s="66">
        <v>975976.49</v>
      </c>
    </row>
    <row r="100" spans="1:12" ht="71.400000000000006" hidden="1" x14ac:dyDescent="0.3">
      <c r="A100" s="61" t="s">
        <v>661</v>
      </c>
      <c r="B100" s="62" t="s">
        <v>994</v>
      </c>
      <c r="C100" s="62" t="s">
        <v>998</v>
      </c>
      <c r="D100" s="62" t="s">
        <v>996</v>
      </c>
      <c r="E100" s="63" t="s">
        <v>26</v>
      </c>
      <c r="F100" s="185">
        <v>1367.51</v>
      </c>
      <c r="G100" s="185"/>
      <c r="H100" s="63" t="s">
        <v>27</v>
      </c>
      <c r="I100" s="186" t="s">
        <v>28</v>
      </c>
      <c r="J100" s="186"/>
      <c r="K100" s="64" t="s">
        <v>29</v>
      </c>
      <c r="L100" s="66">
        <v>977344</v>
      </c>
    </row>
    <row r="101" spans="1:12" ht="71.400000000000006" hidden="1" x14ac:dyDescent="0.3">
      <c r="A101" s="61" t="s">
        <v>661</v>
      </c>
      <c r="B101" s="62" t="s">
        <v>999</v>
      </c>
      <c r="C101" s="62" t="s">
        <v>1000</v>
      </c>
      <c r="D101" s="62" t="s">
        <v>1001</v>
      </c>
      <c r="E101" s="63" t="s">
        <v>26</v>
      </c>
      <c r="F101" s="185">
        <v>43600.5</v>
      </c>
      <c r="G101" s="185"/>
      <c r="H101" s="63" t="s">
        <v>27</v>
      </c>
      <c r="I101" s="186" t="s">
        <v>28</v>
      </c>
      <c r="J101" s="186"/>
      <c r="K101" s="64" t="s">
        <v>29</v>
      </c>
      <c r="L101" s="66">
        <v>1020944.5</v>
      </c>
    </row>
    <row r="102" spans="1:12" ht="71.400000000000006" hidden="1" x14ac:dyDescent="0.3">
      <c r="A102" s="61" t="s">
        <v>661</v>
      </c>
      <c r="B102" s="62" t="s">
        <v>1002</v>
      </c>
      <c r="C102" s="62" t="s">
        <v>1000</v>
      </c>
      <c r="D102" s="62" t="s">
        <v>644</v>
      </c>
      <c r="E102" s="63" t="s">
        <v>26</v>
      </c>
      <c r="F102" s="185">
        <v>1534.5</v>
      </c>
      <c r="G102" s="185"/>
      <c r="H102" s="63" t="s">
        <v>27</v>
      </c>
      <c r="I102" s="186" t="s">
        <v>28</v>
      </c>
      <c r="J102" s="186"/>
      <c r="K102" s="64" t="s">
        <v>29</v>
      </c>
      <c r="L102" s="66">
        <v>1022479</v>
      </c>
    </row>
    <row r="103" spans="1:12" ht="71.400000000000006" hidden="1" x14ac:dyDescent="0.3">
      <c r="A103" s="61" t="s">
        <v>661</v>
      </c>
      <c r="B103" s="62" t="s">
        <v>1003</v>
      </c>
      <c r="C103" s="62" t="s">
        <v>1000</v>
      </c>
      <c r="D103" s="62" t="s">
        <v>1004</v>
      </c>
      <c r="E103" s="63" t="s">
        <v>26</v>
      </c>
      <c r="F103" s="185">
        <v>16163.5</v>
      </c>
      <c r="G103" s="185"/>
      <c r="H103" s="63" t="s">
        <v>27</v>
      </c>
      <c r="I103" s="186" t="s">
        <v>28</v>
      </c>
      <c r="J103" s="186"/>
      <c r="K103" s="64" t="s">
        <v>29</v>
      </c>
      <c r="L103" s="66">
        <v>1038642.5</v>
      </c>
    </row>
    <row r="104" spans="1:12" ht="71.400000000000006" hidden="1" x14ac:dyDescent="0.3">
      <c r="A104" s="61" t="s">
        <v>1005</v>
      </c>
      <c r="B104" s="62" t="s">
        <v>1006</v>
      </c>
      <c r="C104" s="62" t="s">
        <v>1007</v>
      </c>
      <c r="D104" s="62" t="s">
        <v>888</v>
      </c>
      <c r="E104" s="63" t="s">
        <v>26</v>
      </c>
      <c r="F104" s="185">
        <v>18585</v>
      </c>
      <c r="G104" s="185"/>
      <c r="H104" s="63" t="s">
        <v>27</v>
      </c>
      <c r="I104" s="186" t="s">
        <v>28</v>
      </c>
      <c r="J104" s="186"/>
      <c r="K104" s="64" t="s">
        <v>29</v>
      </c>
      <c r="L104" s="66">
        <v>1057227.5</v>
      </c>
    </row>
    <row r="105" spans="1:12" ht="71.400000000000006" hidden="1" x14ac:dyDescent="0.3">
      <c r="A105" s="61" t="s">
        <v>1005</v>
      </c>
      <c r="B105" s="62" t="s">
        <v>1008</v>
      </c>
      <c r="C105" s="62" t="s">
        <v>1007</v>
      </c>
      <c r="D105" s="62" t="s">
        <v>888</v>
      </c>
      <c r="E105" s="63" t="s">
        <v>26</v>
      </c>
      <c r="F105" s="185">
        <v>7035</v>
      </c>
      <c r="G105" s="185"/>
      <c r="H105" s="63" t="s">
        <v>27</v>
      </c>
      <c r="I105" s="186" t="s">
        <v>28</v>
      </c>
      <c r="J105" s="186"/>
      <c r="K105" s="64" t="s">
        <v>29</v>
      </c>
      <c r="L105" s="66">
        <v>1064262.5</v>
      </c>
    </row>
    <row r="106" spans="1:12" ht="71.400000000000006" hidden="1" x14ac:dyDescent="0.3">
      <c r="A106" s="61" t="s">
        <v>843</v>
      </c>
      <c r="B106" s="62" t="s">
        <v>1009</v>
      </c>
      <c r="C106" s="62" t="s">
        <v>1010</v>
      </c>
      <c r="D106" s="62" t="s">
        <v>888</v>
      </c>
      <c r="E106" s="63" t="s">
        <v>26</v>
      </c>
      <c r="F106" s="185">
        <v>17257.5</v>
      </c>
      <c r="G106" s="185"/>
      <c r="H106" s="63" t="s">
        <v>27</v>
      </c>
      <c r="I106" s="186" t="s">
        <v>28</v>
      </c>
      <c r="J106" s="186"/>
      <c r="K106" s="64" t="s">
        <v>29</v>
      </c>
      <c r="L106" s="66">
        <v>1081520</v>
      </c>
    </row>
    <row r="107" spans="1:12" ht="71.400000000000006" hidden="1" x14ac:dyDescent="0.3">
      <c r="A107" s="61" t="s">
        <v>843</v>
      </c>
      <c r="B107" s="62" t="s">
        <v>1011</v>
      </c>
      <c r="C107" s="62" t="s">
        <v>1010</v>
      </c>
      <c r="D107" s="62" t="s">
        <v>888</v>
      </c>
      <c r="E107" s="63" t="s">
        <v>26</v>
      </c>
      <c r="F107" s="185">
        <v>7035</v>
      </c>
      <c r="G107" s="185"/>
      <c r="H107" s="63" t="s">
        <v>27</v>
      </c>
      <c r="I107" s="186" t="s">
        <v>28</v>
      </c>
      <c r="J107" s="186"/>
      <c r="K107" s="64" t="s">
        <v>29</v>
      </c>
      <c r="L107" s="66">
        <v>1088555</v>
      </c>
    </row>
    <row r="108" spans="1:12" ht="71.400000000000006" hidden="1" x14ac:dyDescent="0.3">
      <c r="A108" s="61" t="s">
        <v>851</v>
      </c>
      <c r="B108" s="62" t="s">
        <v>1012</v>
      </c>
      <c r="C108" s="62" t="s">
        <v>1013</v>
      </c>
      <c r="D108" s="62" t="s">
        <v>1014</v>
      </c>
      <c r="E108" s="63" t="s">
        <v>26</v>
      </c>
      <c r="F108" s="185">
        <v>54500</v>
      </c>
      <c r="G108" s="185"/>
      <c r="H108" s="63" t="s">
        <v>27</v>
      </c>
      <c r="I108" s="186" t="s">
        <v>28</v>
      </c>
      <c r="J108" s="186"/>
      <c r="K108" s="64" t="s">
        <v>29</v>
      </c>
      <c r="L108" s="66">
        <v>1143055</v>
      </c>
    </row>
    <row r="109" spans="1:12" ht="71.400000000000006" hidden="1" x14ac:dyDescent="0.3">
      <c r="A109" s="61" t="s">
        <v>851</v>
      </c>
      <c r="B109" s="62" t="s">
        <v>1015</v>
      </c>
      <c r="C109" s="62" t="s">
        <v>1013</v>
      </c>
      <c r="D109" s="62" t="s">
        <v>1014</v>
      </c>
      <c r="E109" s="63" t="s">
        <v>26</v>
      </c>
      <c r="F109" s="185">
        <v>17912.55</v>
      </c>
      <c r="G109" s="185"/>
      <c r="H109" s="63" t="s">
        <v>27</v>
      </c>
      <c r="I109" s="186" t="s">
        <v>28</v>
      </c>
      <c r="J109" s="186"/>
      <c r="K109" s="64" t="s">
        <v>29</v>
      </c>
      <c r="L109" s="66">
        <v>1160967.55</v>
      </c>
    </row>
    <row r="110" spans="1:12" ht="61.2" x14ac:dyDescent="0.3">
      <c r="A110" s="61" t="s">
        <v>666</v>
      </c>
      <c r="B110" s="62" t="s">
        <v>1016</v>
      </c>
      <c r="C110" s="62" t="s">
        <v>859</v>
      </c>
      <c r="D110" s="62" t="s">
        <v>382</v>
      </c>
      <c r="E110" s="63" t="s">
        <v>523</v>
      </c>
      <c r="F110" s="180" t="s">
        <v>28</v>
      </c>
      <c r="G110" s="180"/>
      <c r="H110" s="63" t="s">
        <v>26</v>
      </c>
      <c r="I110" s="181">
        <v>4858.32</v>
      </c>
      <c r="J110" s="181"/>
      <c r="K110" s="64" t="s">
        <v>29</v>
      </c>
      <c r="L110" s="66">
        <v>1156109.23</v>
      </c>
    </row>
    <row r="111" spans="1:12" ht="61.2" x14ac:dyDescent="0.3">
      <c r="A111" s="61" t="s">
        <v>666</v>
      </c>
      <c r="B111" s="62" t="s">
        <v>1016</v>
      </c>
      <c r="C111" s="62" t="s">
        <v>859</v>
      </c>
      <c r="D111" s="62" t="s">
        <v>406</v>
      </c>
      <c r="E111" s="63" t="s">
        <v>523</v>
      </c>
      <c r="F111" s="180" t="s">
        <v>28</v>
      </c>
      <c r="G111" s="180"/>
      <c r="H111" s="63" t="s">
        <v>26</v>
      </c>
      <c r="I111" s="181">
        <v>2760.5</v>
      </c>
      <c r="J111" s="181"/>
      <c r="K111" s="64" t="s">
        <v>29</v>
      </c>
      <c r="L111" s="66">
        <v>1153348.73</v>
      </c>
    </row>
    <row r="112" spans="1:12" ht="61.2" x14ac:dyDescent="0.3">
      <c r="A112" s="61" t="s">
        <v>666</v>
      </c>
      <c r="B112" s="62" t="s">
        <v>1016</v>
      </c>
      <c r="C112" s="62" t="s">
        <v>859</v>
      </c>
      <c r="D112" s="62" t="s">
        <v>911</v>
      </c>
      <c r="E112" s="63" t="s">
        <v>523</v>
      </c>
      <c r="F112" s="180" t="s">
        <v>28</v>
      </c>
      <c r="G112" s="180"/>
      <c r="H112" s="63" t="s">
        <v>26</v>
      </c>
      <c r="I112" s="181">
        <v>19595.080000000002</v>
      </c>
      <c r="J112" s="181"/>
      <c r="K112" s="64" t="s">
        <v>29</v>
      </c>
      <c r="L112" s="66">
        <v>1133753.6499999999</v>
      </c>
    </row>
    <row r="113" spans="1:12" ht="61.2" x14ac:dyDescent="0.3">
      <c r="A113" s="61" t="s">
        <v>666</v>
      </c>
      <c r="B113" s="62" t="s">
        <v>1016</v>
      </c>
      <c r="C113" s="62" t="s">
        <v>859</v>
      </c>
      <c r="D113" s="62" t="s">
        <v>405</v>
      </c>
      <c r="E113" s="63" t="s">
        <v>523</v>
      </c>
      <c r="F113" s="180" t="s">
        <v>28</v>
      </c>
      <c r="G113" s="180"/>
      <c r="H113" s="63" t="s">
        <v>26</v>
      </c>
      <c r="I113" s="181">
        <v>6021.79</v>
      </c>
      <c r="J113" s="181"/>
      <c r="K113" s="64" t="s">
        <v>29</v>
      </c>
      <c r="L113" s="66">
        <v>1127731.8600000001</v>
      </c>
    </row>
    <row r="114" spans="1:12" ht="71.400000000000006" x14ac:dyDescent="0.3">
      <c r="A114" s="61" t="s">
        <v>666</v>
      </c>
      <c r="B114" s="62" t="s">
        <v>1016</v>
      </c>
      <c r="C114" s="62" t="s">
        <v>859</v>
      </c>
      <c r="D114" s="62" t="s">
        <v>556</v>
      </c>
      <c r="E114" s="63" t="s">
        <v>523</v>
      </c>
      <c r="F114" s="180" t="s">
        <v>28</v>
      </c>
      <c r="G114" s="180"/>
      <c r="H114" s="63" t="s">
        <v>26</v>
      </c>
      <c r="I114" s="181">
        <v>20165.88</v>
      </c>
      <c r="J114" s="181"/>
      <c r="K114" s="64" t="s">
        <v>29</v>
      </c>
      <c r="L114" s="66">
        <v>1107565.98</v>
      </c>
    </row>
    <row r="115" spans="1:12" ht="71.400000000000006" x14ac:dyDescent="0.3">
      <c r="A115" s="61" t="s">
        <v>666</v>
      </c>
      <c r="B115" s="62" t="s">
        <v>1016</v>
      </c>
      <c r="C115" s="62" t="s">
        <v>859</v>
      </c>
      <c r="D115" s="62" t="s">
        <v>570</v>
      </c>
      <c r="E115" s="63" t="s">
        <v>523</v>
      </c>
      <c r="F115" s="180" t="s">
        <v>28</v>
      </c>
      <c r="G115" s="180"/>
      <c r="H115" s="63" t="s">
        <v>26</v>
      </c>
      <c r="I115" s="181">
        <v>4072.35</v>
      </c>
      <c r="J115" s="181"/>
      <c r="K115" s="64" t="s">
        <v>29</v>
      </c>
      <c r="L115" s="66">
        <v>1103493.6299999999</v>
      </c>
    </row>
    <row r="116" spans="1:12" ht="71.400000000000006" x14ac:dyDescent="0.3">
      <c r="A116" s="61" t="s">
        <v>666</v>
      </c>
      <c r="B116" s="62" t="s">
        <v>1016</v>
      </c>
      <c r="C116" s="62" t="s">
        <v>859</v>
      </c>
      <c r="D116" s="62" t="s">
        <v>570</v>
      </c>
      <c r="E116" s="63" t="s">
        <v>523</v>
      </c>
      <c r="F116" s="180" t="s">
        <v>28</v>
      </c>
      <c r="G116" s="180"/>
      <c r="H116" s="63" t="s">
        <v>26</v>
      </c>
      <c r="I116" s="181">
        <v>7074.58</v>
      </c>
      <c r="J116" s="181"/>
      <c r="K116" s="64" t="s">
        <v>29</v>
      </c>
      <c r="L116" s="66">
        <v>1096419.05</v>
      </c>
    </row>
    <row r="117" spans="1:12" ht="71.400000000000006" x14ac:dyDescent="0.3">
      <c r="A117" s="61" t="s">
        <v>666</v>
      </c>
      <c r="B117" s="62" t="s">
        <v>1016</v>
      </c>
      <c r="C117" s="62" t="s">
        <v>859</v>
      </c>
      <c r="D117" s="62" t="s">
        <v>583</v>
      </c>
      <c r="E117" s="63" t="s">
        <v>523</v>
      </c>
      <c r="F117" s="180" t="s">
        <v>28</v>
      </c>
      <c r="G117" s="180"/>
      <c r="H117" s="63" t="s">
        <v>26</v>
      </c>
      <c r="I117" s="181">
        <v>1652.32</v>
      </c>
      <c r="J117" s="181"/>
      <c r="K117" s="64" t="s">
        <v>29</v>
      </c>
      <c r="L117" s="66">
        <v>1094766.73</v>
      </c>
    </row>
    <row r="118" spans="1:12" ht="61.2" x14ac:dyDescent="0.3">
      <c r="A118" s="61" t="s">
        <v>666</v>
      </c>
      <c r="B118" s="62" t="s">
        <v>1017</v>
      </c>
      <c r="C118" s="62" t="s">
        <v>859</v>
      </c>
      <c r="D118" s="62" t="s">
        <v>975</v>
      </c>
      <c r="E118" s="63" t="s">
        <v>523</v>
      </c>
      <c r="F118" s="180" t="s">
        <v>28</v>
      </c>
      <c r="G118" s="180"/>
      <c r="H118" s="63" t="s">
        <v>26</v>
      </c>
      <c r="I118" s="181">
        <v>22333.360000000001</v>
      </c>
      <c r="J118" s="181"/>
      <c r="K118" s="64" t="s">
        <v>29</v>
      </c>
      <c r="L118" s="66">
        <v>1072433.3700000001</v>
      </c>
    </row>
    <row r="119" spans="1:12" ht="61.2" x14ac:dyDescent="0.3">
      <c r="A119" s="61" t="s">
        <v>666</v>
      </c>
      <c r="B119" s="62" t="s">
        <v>1017</v>
      </c>
      <c r="C119" s="62" t="s">
        <v>859</v>
      </c>
      <c r="D119" s="62" t="s">
        <v>977</v>
      </c>
      <c r="E119" s="63" t="s">
        <v>523</v>
      </c>
      <c r="F119" s="180" t="s">
        <v>28</v>
      </c>
      <c r="G119" s="180"/>
      <c r="H119" s="63" t="s">
        <v>26</v>
      </c>
      <c r="I119" s="181">
        <v>6750</v>
      </c>
      <c r="J119" s="181"/>
      <c r="K119" s="64" t="s">
        <v>29</v>
      </c>
      <c r="L119" s="66">
        <v>1065683.3700000001</v>
      </c>
    </row>
    <row r="120" spans="1:12" ht="71.400000000000006" x14ac:dyDescent="0.3">
      <c r="A120" s="61" t="s">
        <v>666</v>
      </c>
      <c r="B120" s="62" t="s">
        <v>1017</v>
      </c>
      <c r="C120" s="62" t="s">
        <v>859</v>
      </c>
      <c r="D120" s="62" t="s">
        <v>583</v>
      </c>
      <c r="E120" s="63" t="s">
        <v>523</v>
      </c>
      <c r="F120" s="180" t="s">
        <v>28</v>
      </c>
      <c r="G120" s="180"/>
      <c r="H120" s="63" t="s">
        <v>26</v>
      </c>
      <c r="I120" s="181">
        <v>24074.57</v>
      </c>
      <c r="J120" s="181"/>
      <c r="K120" s="64" t="s">
        <v>29</v>
      </c>
      <c r="L120" s="66">
        <v>1041608.8</v>
      </c>
    </row>
    <row r="121" spans="1:12" ht="71.400000000000006" x14ac:dyDescent="0.3">
      <c r="A121" s="61" t="s">
        <v>666</v>
      </c>
      <c r="B121" s="62" t="s">
        <v>1017</v>
      </c>
      <c r="C121" s="62" t="s">
        <v>859</v>
      </c>
      <c r="D121" s="62" t="s">
        <v>599</v>
      </c>
      <c r="E121" s="63" t="s">
        <v>523</v>
      </c>
      <c r="F121" s="180" t="s">
        <v>28</v>
      </c>
      <c r="G121" s="180"/>
      <c r="H121" s="63" t="s">
        <v>26</v>
      </c>
      <c r="I121" s="181">
        <v>29060.61</v>
      </c>
      <c r="J121" s="181"/>
      <c r="K121" s="64" t="s">
        <v>29</v>
      </c>
      <c r="L121" s="66">
        <v>1012548.19</v>
      </c>
    </row>
    <row r="122" spans="1:12" ht="71.400000000000006" x14ac:dyDescent="0.3">
      <c r="A122" s="61" t="s">
        <v>666</v>
      </c>
      <c r="B122" s="62" t="s">
        <v>1017</v>
      </c>
      <c r="C122" s="62" t="s">
        <v>859</v>
      </c>
      <c r="D122" s="62" t="s">
        <v>599</v>
      </c>
      <c r="E122" s="63" t="s">
        <v>523</v>
      </c>
      <c r="F122" s="180" t="s">
        <v>28</v>
      </c>
      <c r="G122" s="180"/>
      <c r="H122" s="63" t="s">
        <v>26</v>
      </c>
      <c r="I122" s="184">
        <v>568.89</v>
      </c>
      <c r="J122" s="184"/>
      <c r="K122" s="64" t="s">
        <v>29</v>
      </c>
      <c r="L122" s="66">
        <v>1011979.3</v>
      </c>
    </row>
    <row r="123" spans="1:12" ht="71.400000000000006" x14ac:dyDescent="0.3">
      <c r="A123" s="61" t="s">
        <v>666</v>
      </c>
      <c r="B123" s="62" t="s">
        <v>1017</v>
      </c>
      <c r="C123" s="62" t="s">
        <v>859</v>
      </c>
      <c r="D123" s="62" t="s">
        <v>945</v>
      </c>
      <c r="E123" s="63" t="s">
        <v>523</v>
      </c>
      <c r="F123" s="180" t="s">
        <v>28</v>
      </c>
      <c r="G123" s="180"/>
      <c r="H123" s="63" t="s">
        <v>26</v>
      </c>
      <c r="I123" s="181">
        <v>28417.15</v>
      </c>
      <c r="J123" s="181"/>
      <c r="K123" s="64" t="s">
        <v>29</v>
      </c>
      <c r="L123" s="66">
        <v>983562.15</v>
      </c>
    </row>
    <row r="124" spans="1:12" ht="71.400000000000006" x14ac:dyDescent="0.3">
      <c r="A124" s="61" t="s">
        <v>666</v>
      </c>
      <c r="B124" s="62" t="s">
        <v>1017</v>
      </c>
      <c r="C124" s="62" t="s">
        <v>859</v>
      </c>
      <c r="D124" s="62" t="s">
        <v>945</v>
      </c>
      <c r="E124" s="63" t="s">
        <v>523</v>
      </c>
      <c r="F124" s="180" t="s">
        <v>28</v>
      </c>
      <c r="G124" s="180"/>
      <c r="H124" s="63" t="s">
        <v>26</v>
      </c>
      <c r="I124" s="181">
        <v>25666.6</v>
      </c>
      <c r="J124" s="181"/>
      <c r="K124" s="64" t="s">
        <v>29</v>
      </c>
      <c r="L124" s="66">
        <v>957895.55</v>
      </c>
    </row>
    <row r="125" spans="1:12" ht="71.400000000000006" x14ac:dyDescent="0.3">
      <c r="A125" s="61" t="s">
        <v>666</v>
      </c>
      <c r="B125" s="62" t="s">
        <v>1017</v>
      </c>
      <c r="C125" s="62" t="s">
        <v>859</v>
      </c>
      <c r="D125" s="62" t="s">
        <v>623</v>
      </c>
      <c r="E125" s="63" t="s">
        <v>523</v>
      </c>
      <c r="F125" s="180" t="s">
        <v>28</v>
      </c>
      <c r="G125" s="180"/>
      <c r="H125" s="63" t="s">
        <v>26</v>
      </c>
      <c r="I125" s="181">
        <v>20090.46</v>
      </c>
      <c r="J125" s="181"/>
      <c r="K125" s="64" t="s">
        <v>29</v>
      </c>
      <c r="L125" s="66">
        <v>937805.09</v>
      </c>
    </row>
    <row r="126" spans="1:12" ht="71.400000000000006" x14ac:dyDescent="0.3">
      <c r="A126" s="61" t="s">
        <v>666</v>
      </c>
      <c r="B126" s="62" t="s">
        <v>1017</v>
      </c>
      <c r="C126" s="62" t="s">
        <v>859</v>
      </c>
      <c r="D126" s="62" t="s">
        <v>623</v>
      </c>
      <c r="E126" s="63" t="s">
        <v>523</v>
      </c>
      <c r="F126" s="180" t="s">
        <v>28</v>
      </c>
      <c r="G126" s="180"/>
      <c r="H126" s="63" t="s">
        <v>26</v>
      </c>
      <c r="I126" s="184">
        <v>494.03</v>
      </c>
      <c r="J126" s="184"/>
      <c r="K126" s="64" t="s">
        <v>29</v>
      </c>
      <c r="L126" s="66">
        <v>937311.06</v>
      </c>
    </row>
    <row r="127" spans="1:12" ht="71.400000000000006" x14ac:dyDescent="0.3">
      <c r="A127" s="61" t="s">
        <v>666</v>
      </c>
      <c r="B127" s="62" t="s">
        <v>1017</v>
      </c>
      <c r="C127" s="62" t="s">
        <v>859</v>
      </c>
      <c r="D127" s="62" t="s">
        <v>660</v>
      </c>
      <c r="E127" s="63" t="s">
        <v>523</v>
      </c>
      <c r="F127" s="180" t="s">
        <v>28</v>
      </c>
      <c r="G127" s="180"/>
      <c r="H127" s="63" t="s">
        <v>26</v>
      </c>
      <c r="I127" s="181">
        <v>17167.47</v>
      </c>
      <c r="J127" s="181"/>
      <c r="K127" s="64" t="s">
        <v>29</v>
      </c>
      <c r="L127" s="66">
        <v>920143.59</v>
      </c>
    </row>
    <row r="128" spans="1:12" ht="71.400000000000006" x14ac:dyDescent="0.3">
      <c r="A128" s="61" t="s">
        <v>666</v>
      </c>
      <c r="B128" s="62" t="s">
        <v>1017</v>
      </c>
      <c r="C128" s="62" t="s">
        <v>859</v>
      </c>
      <c r="D128" s="62" t="s">
        <v>660</v>
      </c>
      <c r="E128" s="63" t="s">
        <v>523</v>
      </c>
      <c r="F128" s="180" t="s">
        <v>28</v>
      </c>
      <c r="G128" s="180"/>
      <c r="H128" s="63" t="s">
        <v>26</v>
      </c>
      <c r="I128" s="181">
        <v>11205.92</v>
      </c>
      <c r="J128" s="181"/>
      <c r="K128" s="64" t="s">
        <v>29</v>
      </c>
      <c r="L128" s="66">
        <v>908937.67</v>
      </c>
    </row>
    <row r="129" spans="1:14" ht="71.400000000000006" x14ac:dyDescent="0.3">
      <c r="A129" s="61" t="s">
        <v>666</v>
      </c>
      <c r="B129" s="62" t="s">
        <v>1017</v>
      </c>
      <c r="C129" s="62" t="s">
        <v>859</v>
      </c>
      <c r="D129" s="62" t="s">
        <v>660</v>
      </c>
      <c r="E129" s="63" t="s">
        <v>523</v>
      </c>
      <c r="F129" s="180" t="s">
        <v>28</v>
      </c>
      <c r="G129" s="180"/>
      <c r="H129" s="63" t="s">
        <v>26</v>
      </c>
      <c r="I129" s="181">
        <v>9823.85</v>
      </c>
      <c r="J129" s="181"/>
      <c r="K129" s="64" t="s">
        <v>29</v>
      </c>
      <c r="L129" s="66">
        <v>899113.82</v>
      </c>
    </row>
    <row r="130" spans="1:14" ht="71.400000000000006" x14ac:dyDescent="0.3">
      <c r="A130" s="61" t="s">
        <v>666</v>
      </c>
      <c r="B130" s="62" t="s">
        <v>1018</v>
      </c>
      <c r="C130" s="62" t="s">
        <v>522</v>
      </c>
      <c r="D130" s="62" t="s">
        <v>500</v>
      </c>
      <c r="E130" s="63" t="s">
        <v>523</v>
      </c>
      <c r="F130" s="180" t="s">
        <v>28</v>
      </c>
      <c r="G130" s="180"/>
      <c r="H130" s="63" t="s">
        <v>26</v>
      </c>
      <c r="I130" s="181">
        <v>33124.01</v>
      </c>
      <c r="J130" s="181"/>
      <c r="K130" s="64" t="s">
        <v>29</v>
      </c>
      <c r="L130" s="66">
        <v>865989.81</v>
      </c>
    </row>
    <row r="131" spans="1:14" ht="71.400000000000006" x14ac:dyDescent="0.3">
      <c r="A131" s="61" t="s">
        <v>666</v>
      </c>
      <c r="B131" s="62" t="s">
        <v>1018</v>
      </c>
      <c r="C131" s="62" t="s">
        <v>522</v>
      </c>
      <c r="D131" s="62" t="s">
        <v>660</v>
      </c>
      <c r="E131" s="63" t="s">
        <v>523</v>
      </c>
      <c r="F131" s="180" t="s">
        <v>28</v>
      </c>
      <c r="G131" s="180"/>
      <c r="H131" s="63" t="s">
        <v>26</v>
      </c>
      <c r="I131" s="181">
        <v>8494.09</v>
      </c>
      <c r="J131" s="181"/>
      <c r="K131" s="64" t="s">
        <v>29</v>
      </c>
      <c r="L131" s="66">
        <v>857495.72</v>
      </c>
    </row>
    <row r="132" spans="1:14" ht="61.2" x14ac:dyDescent="0.3">
      <c r="A132" s="61" t="s">
        <v>666</v>
      </c>
      <c r="B132" s="62" t="s">
        <v>1018</v>
      </c>
      <c r="C132" s="62" t="s">
        <v>522</v>
      </c>
      <c r="D132" s="62" t="s">
        <v>652</v>
      </c>
      <c r="E132" s="63" t="s">
        <v>523</v>
      </c>
      <c r="F132" s="180" t="s">
        <v>28</v>
      </c>
      <c r="G132" s="180"/>
      <c r="H132" s="63" t="s">
        <v>26</v>
      </c>
      <c r="I132" s="181">
        <v>22950.720000000001</v>
      </c>
      <c r="J132" s="181"/>
      <c r="K132" s="64" t="s">
        <v>29</v>
      </c>
      <c r="L132" s="66">
        <v>834545</v>
      </c>
    </row>
    <row r="133" spans="1:14" ht="61.2" x14ac:dyDescent="0.3">
      <c r="A133" s="61" t="s">
        <v>666</v>
      </c>
      <c r="B133" s="62" t="s">
        <v>1018</v>
      </c>
      <c r="C133" s="62" t="s">
        <v>522</v>
      </c>
      <c r="D133" s="62" t="s">
        <v>1000</v>
      </c>
      <c r="E133" s="63" t="s">
        <v>523</v>
      </c>
      <c r="F133" s="180" t="s">
        <v>28</v>
      </c>
      <c r="G133" s="180"/>
      <c r="H133" s="63" t="s">
        <v>26</v>
      </c>
      <c r="I133" s="181">
        <v>23437.66</v>
      </c>
      <c r="J133" s="181"/>
      <c r="K133" s="64" t="s">
        <v>29</v>
      </c>
      <c r="L133" s="66">
        <v>811107.34</v>
      </c>
    </row>
    <row r="134" spans="1:14" ht="61.2" x14ac:dyDescent="0.3">
      <c r="A134" s="61" t="s">
        <v>666</v>
      </c>
      <c r="B134" s="62" t="s">
        <v>1018</v>
      </c>
      <c r="C134" s="62" t="s">
        <v>522</v>
      </c>
      <c r="D134" s="62" t="s">
        <v>1000</v>
      </c>
      <c r="E134" s="63" t="s">
        <v>523</v>
      </c>
      <c r="F134" s="180" t="s">
        <v>28</v>
      </c>
      <c r="G134" s="180"/>
      <c r="H134" s="63" t="s">
        <v>26</v>
      </c>
      <c r="I134" s="181">
        <v>25240.560000000001</v>
      </c>
      <c r="J134" s="181"/>
      <c r="K134" s="64" t="s">
        <v>29</v>
      </c>
      <c r="L134" s="66">
        <v>785866.78</v>
      </c>
    </row>
    <row r="135" spans="1:14" ht="61.2" x14ac:dyDescent="0.3">
      <c r="A135" s="61" t="s">
        <v>666</v>
      </c>
      <c r="B135" s="62" t="s">
        <v>1018</v>
      </c>
      <c r="C135" s="62" t="s">
        <v>522</v>
      </c>
      <c r="D135" s="62" t="s">
        <v>1000</v>
      </c>
      <c r="E135" s="63" t="s">
        <v>523</v>
      </c>
      <c r="F135" s="180" t="s">
        <v>28</v>
      </c>
      <c r="G135" s="180"/>
      <c r="H135" s="63" t="s">
        <v>26</v>
      </c>
      <c r="I135" s="181">
        <v>9670.74</v>
      </c>
      <c r="J135" s="181"/>
      <c r="K135" s="64" t="s">
        <v>29</v>
      </c>
      <c r="L135" s="66">
        <v>776196.04</v>
      </c>
    </row>
    <row r="136" spans="1:14" ht="61.2" x14ac:dyDescent="0.3">
      <c r="A136" s="61" t="s">
        <v>666</v>
      </c>
      <c r="B136" s="62" t="s">
        <v>1019</v>
      </c>
      <c r="C136" s="62" t="s">
        <v>522</v>
      </c>
      <c r="D136" s="62" t="s">
        <v>934</v>
      </c>
      <c r="E136" s="63" t="s">
        <v>523</v>
      </c>
      <c r="F136" s="180" t="s">
        <v>28</v>
      </c>
      <c r="G136" s="180"/>
      <c r="H136" s="63" t="s">
        <v>26</v>
      </c>
      <c r="I136" s="181">
        <v>2000</v>
      </c>
      <c r="J136" s="181"/>
      <c r="K136" s="64" t="s">
        <v>29</v>
      </c>
      <c r="L136" s="66">
        <v>774196.04</v>
      </c>
    </row>
    <row r="137" spans="1:14" ht="61.2" x14ac:dyDescent="0.3">
      <c r="A137" s="61" t="s">
        <v>666</v>
      </c>
      <c r="B137" s="62" t="s">
        <v>1020</v>
      </c>
      <c r="C137" s="62" t="s">
        <v>522</v>
      </c>
      <c r="D137" s="62" t="s">
        <v>405</v>
      </c>
      <c r="E137" s="63" t="s">
        <v>523</v>
      </c>
      <c r="F137" s="180" t="s">
        <v>28</v>
      </c>
      <c r="G137" s="180"/>
      <c r="H137" s="63" t="s">
        <v>26</v>
      </c>
      <c r="I137" s="181">
        <v>46766.65</v>
      </c>
      <c r="J137" s="181"/>
      <c r="K137" s="64" t="s">
        <v>29</v>
      </c>
      <c r="L137" s="66">
        <v>727429.39</v>
      </c>
    </row>
    <row r="138" spans="1:14" ht="61.2" x14ac:dyDescent="0.3">
      <c r="A138" s="61" t="s">
        <v>666</v>
      </c>
      <c r="B138" s="62" t="s">
        <v>1020</v>
      </c>
      <c r="C138" s="62" t="s">
        <v>522</v>
      </c>
      <c r="D138" s="62" t="s">
        <v>471</v>
      </c>
      <c r="E138" s="63" t="s">
        <v>523</v>
      </c>
      <c r="F138" s="180" t="s">
        <v>28</v>
      </c>
      <c r="G138" s="180"/>
      <c r="H138" s="63" t="s">
        <v>26</v>
      </c>
      <c r="I138" s="181">
        <v>9674.31</v>
      </c>
      <c r="J138" s="181"/>
      <c r="K138" s="64" t="s">
        <v>29</v>
      </c>
      <c r="L138" s="66">
        <v>717755.08</v>
      </c>
    </row>
    <row r="139" spans="1:14" ht="61.2" x14ac:dyDescent="0.3">
      <c r="A139" s="61" t="s">
        <v>666</v>
      </c>
      <c r="B139" s="62" t="s">
        <v>1020</v>
      </c>
      <c r="C139" s="62" t="s">
        <v>522</v>
      </c>
      <c r="D139" s="62" t="s">
        <v>471</v>
      </c>
      <c r="E139" s="63" t="s">
        <v>523</v>
      </c>
      <c r="F139" s="180" t="s">
        <v>28</v>
      </c>
      <c r="G139" s="180"/>
      <c r="H139" s="63" t="s">
        <v>26</v>
      </c>
      <c r="I139" s="181">
        <v>43827.53</v>
      </c>
      <c r="J139" s="181"/>
      <c r="K139" s="64" t="s">
        <v>29</v>
      </c>
      <c r="L139" s="66">
        <v>673927.55</v>
      </c>
    </row>
    <row r="140" spans="1:14" ht="61.2" x14ac:dyDescent="0.3">
      <c r="A140" s="61" t="s">
        <v>666</v>
      </c>
      <c r="B140" s="62" t="s">
        <v>1020</v>
      </c>
      <c r="C140" s="62" t="s">
        <v>522</v>
      </c>
      <c r="D140" s="62" t="s">
        <v>1000</v>
      </c>
      <c r="E140" s="63" t="s">
        <v>523</v>
      </c>
      <c r="F140" s="180" t="s">
        <v>28</v>
      </c>
      <c r="G140" s="180"/>
      <c r="H140" s="63" t="s">
        <v>26</v>
      </c>
      <c r="I140" s="181">
        <v>2949.54</v>
      </c>
      <c r="J140" s="181"/>
      <c r="K140" s="64" t="s">
        <v>29</v>
      </c>
      <c r="L140" s="66">
        <v>670978.01</v>
      </c>
    </row>
    <row r="141" spans="1:14" ht="61.2" x14ac:dyDescent="0.3">
      <c r="A141" s="61" t="s">
        <v>666</v>
      </c>
      <c r="B141" s="62" t="s">
        <v>1020</v>
      </c>
      <c r="C141" s="62" t="s">
        <v>522</v>
      </c>
      <c r="D141" s="62" t="s">
        <v>1007</v>
      </c>
      <c r="E141" s="63" t="s">
        <v>523</v>
      </c>
      <c r="F141" s="180" t="s">
        <v>28</v>
      </c>
      <c r="G141" s="180"/>
      <c r="H141" s="63" t="s">
        <v>26</v>
      </c>
      <c r="I141" s="181">
        <v>25620</v>
      </c>
      <c r="J141" s="181"/>
      <c r="K141" s="64" t="s">
        <v>29</v>
      </c>
      <c r="L141" s="66">
        <v>645358.01</v>
      </c>
    </row>
    <row r="142" spans="1:14" ht="61.2" x14ac:dyDescent="0.3">
      <c r="A142" s="61" t="s">
        <v>666</v>
      </c>
      <c r="B142" s="62" t="s">
        <v>1020</v>
      </c>
      <c r="C142" s="62" t="s">
        <v>522</v>
      </c>
      <c r="D142" s="62" t="s">
        <v>1010</v>
      </c>
      <c r="E142" s="63" t="s">
        <v>523</v>
      </c>
      <c r="F142" s="180" t="s">
        <v>28</v>
      </c>
      <c r="G142" s="180"/>
      <c r="H142" s="63" t="s">
        <v>26</v>
      </c>
      <c r="I142" s="181">
        <v>24292.5</v>
      </c>
      <c r="J142" s="181"/>
      <c r="K142" s="64" t="s">
        <v>29</v>
      </c>
      <c r="L142" s="66">
        <v>621065.51</v>
      </c>
    </row>
    <row r="143" spans="1:14" ht="61.2" x14ac:dyDescent="0.3">
      <c r="A143" s="61" t="s">
        <v>666</v>
      </c>
      <c r="B143" s="62" t="s">
        <v>1021</v>
      </c>
      <c r="C143" s="62" t="s">
        <v>522</v>
      </c>
      <c r="D143" s="62" t="s">
        <v>1013</v>
      </c>
      <c r="E143" s="63" t="s">
        <v>523</v>
      </c>
      <c r="F143" s="180" t="s">
        <v>28</v>
      </c>
      <c r="G143" s="180"/>
      <c r="H143" s="63" t="s">
        <v>26</v>
      </c>
      <c r="I143" s="181">
        <v>45113.02</v>
      </c>
      <c r="J143" s="181"/>
      <c r="K143" s="64" t="s">
        <v>29</v>
      </c>
      <c r="L143" s="66">
        <v>575952.49</v>
      </c>
      <c r="M143">
        <f>SUBTOTAL(9,I51:J143)</f>
        <v>1118641.2399999998</v>
      </c>
      <c r="N143" t="s">
        <v>1472</v>
      </c>
    </row>
    <row r="144" spans="1:14" hidden="1" x14ac:dyDescent="0.3">
      <c r="A144" s="182" t="s">
        <v>681</v>
      </c>
      <c r="B144" s="182"/>
      <c r="C144" s="182"/>
      <c r="D144" s="182"/>
      <c r="E144" s="183">
        <v>2152120.33</v>
      </c>
      <c r="F144" s="183"/>
      <c r="G144" s="183"/>
      <c r="H144" s="183">
        <v>1576167.84</v>
      </c>
      <c r="I144" s="183"/>
      <c r="J144" s="183"/>
      <c r="K144" s="67" t="s">
        <v>29</v>
      </c>
      <c r="L144" s="68">
        <v>575952.49</v>
      </c>
    </row>
    <row r="146" spans="10:10" x14ac:dyDescent="0.3">
      <c r="J146" s="95">
        <f>SUBTOTAL(9,I37:J143)</f>
        <v>1364638.19</v>
      </c>
    </row>
  </sheetData>
  <autoFilter ref="A8:L144">
    <filterColumn colId="1">
      <filters>
        <filter val="Вимога-накладна ІБ00-000646 від 15.11.2024 17:52:31_x000a_Списаны ТМЦ"/>
        <filter val="Вимога-накладна ІБ00-000647 від 06.12.2024 20:41:51_x000a_Списаны ТМЦ"/>
        <filter val="Вимога-накладна ІБ00-000649 від 15.11.2024 22:00:00_x000a_Списаны ТМЦ"/>
        <filter val="Вимога-накладна ІБ00-000650 від 03.12.2024 22:00:00_x000a_Списаны ТМЦ"/>
        <filter val="Вимога-накладна ІБ00-000651 від 28.11.2024 23:00:01_x000a_Списаны ТМЦ"/>
        <filter val="Вимога-накладна ІБ00-000652 від 04.12.2024 22:01:00_x000a_Списаны ТМЦ"/>
        <filter val="Вимога-накладна ІБ00-000655 від 04.12.2024 22:01:01_x000a_Списаны ТМЦ"/>
        <filter val="Вимога-накладна ІБ00-000692 від 30.12.2024 20:00:00_x000a_Списаны ТМЦ"/>
        <filter val="Вимога-накладна ІБ00-000693 від 30.12.2024 20:00:00_x000a_Списаны ТМЦ"/>
        <filter val="Вимога-накладна ІБ00-000709 від 30.12.2024 21:00:00_x000a_Списаны ТМЦ"/>
        <filter val="Вимога-накладна ІБ00-000710 від 30.12.2024 21:00:46_x000a_Списаны ТМЦ"/>
        <filter val="Вимога-накладна ІБ00-000731 від 30.12.2024 23:20:06_x000a_Списаны ТМЦ"/>
        <filter val="Списання товарів ІБ00-000722 від 26.11.2024 22:00:04_x000a_Списаны ТМЦ"/>
        <filter val="Списання товарів ІБ00-000738 від 30.12.2024 21:00:43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80">
    <mergeCell ref="A8:A9"/>
    <mergeCell ref="B8:B9"/>
    <mergeCell ref="C8:C9"/>
    <mergeCell ref="D8:D9"/>
    <mergeCell ref="E8:G8"/>
    <mergeCell ref="H8:J8"/>
    <mergeCell ref="F11:G11"/>
    <mergeCell ref="I11:J11"/>
    <mergeCell ref="F12:G12"/>
    <mergeCell ref="I12:J12"/>
    <mergeCell ref="F13:G13"/>
    <mergeCell ref="I13:J13"/>
    <mergeCell ref="K8:L9"/>
    <mergeCell ref="F9:G9"/>
    <mergeCell ref="I9:J9"/>
    <mergeCell ref="F10:G10"/>
    <mergeCell ref="I10:J10"/>
    <mergeCell ref="F17:G17"/>
    <mergeCell ref="I17:J17"/>
    <mergeCell ref="F18:G18"/>
    <mergeCell ref="I18:J18"/>
    <mergeCell ref="F19:G19"/>
    <mergeCell ref="I19:J19"/>
    <mergeCell ref="F14:G14"/>
    <mergeCell ref="I14:J14"/>
    <mergeCell ref="F15:G15"/>
    <mergeCell ref="I15:J15"/>
    <mergeCell ref="F16:G16"/>
    <mergeCell ref="I16:J16"/>
    <mergeCell ref="F23:G23"/>
    <mergeCell ref="I23:J23"/>
    <mergeCell ref="F24:G24"/>
    <mergeCell ref="I24:J24"/>
    <mergeCell ref="F25:G25"/>
    <mergeCell ref="I25:J25"/>
    <mergeCell ref="F20:G20"/>
    <mergeCell ref="I20:J20"/>
    <mergeCell ref="F21:G21"/>
    <mergeCell ref="I21:J21"/>
    <mergeCell ref="F22:G22"/>
    <mergeCell ref="I22:J22"/>
    <mergeCell ref="F29:G29"/>
    <mergeCell ref="I29:J29"/>
    <mergeCell ref="F30:G30"/>
    <mergeCell ref="I30:J30"/>
    <mergeCell ref="F31:G31"/>
    <mergeCell ref="I31:J31"/>
    <mergeCell ref="F26:G26"/>
    <mergeCell ref="I26:J26"/>
    <mergeCell ref="F27:G27"/>
    <mergeCell ref="I27:J27"/>
    <mergeCell ref="F28:G28"/>
    <mergeCell ref="I28:J28"/>
    <mergeCell ref="F35:G35"/>
    <mergeCell ref="I35:J35"/>
    <mergeCell ref="F36:G36"/>
    <mergeCell ref="I36:J36"/>
    <mergeCell ref="F37:G37"/>
    <mergeCell ref="I37:J37"/>
    <mergeCell ref="F32:G32"/>
    <mergeCell ref="I32:J32"/>
    <mergeCell ref="F33:G33"/>
    <mergeCell ref="I33:J33"/>
    <mergeCell ref="F34:G34"/>
    <mergeCell ref="I34:J34"/>
    <mergeCell ref="F41:G41"/>
    <mergeCell ref="I41:J41"/>
    <mergeCell ref="F42:G42"/>
    <mergeCell ref="I42:J42"/>
    <mergeCell ref="F43:G43"/>
    <mergeCell ref="I43:J43"/>
    <mergeCell ref="F38:G38"/>
    <mergeCell ref="I38:J38"/>
    <mergeCell ref="F39:G39"/>
    <mergeCell ref="I39:J39"/>
    <mergeCell ref="F40:G40"/>
    <mergeCell ref="I40:J40"/>
    <mergeCell ref="F47:G47"/>
    <mergeCell ref="I47:J47"/>
    <mergeCell ref="F48:G48"/>
    <mergeCell ref="I48:J48"/>
    <mergeCell ref="F49:G49"/>
    <mergeCell ref="I49:J49"/>
    <mergeCell ref="F44:G44"/>
    <mergeCell ref="I44:J44"/>
    <mergeCell ref="F45:G45"/>
    <mergeCell ref="I45:J45"/>
    <mergeCell ref="F46:G46"/>
    <mergeCell ref="I46:J46"/>
    <mergeCell ref="F53:G53"/>
    <mergeCell ref="I53:J53"/>
    <mergeCell ref="F54:G54"/>
    <mergeCell ref="I54:J54"/>
    <mergeCell ref="F55:G55"/>
    <mergeCell ref="I55:J55"/>
    <mergeCell ref="F50:G50"/>
    <mergeCell ref="I50:J50"/>
    <mergeCell ref="F51:G51"/>
    <mergeCell ref="I51:J51"/>
    <mergeCell ref="F52:G52"/>
    <mergeCell ref="I52:J52"/>
    <mergeCell ref="F59:G59"/>
    <mergeCell ref="I59:J59"/>
    <mergeCell ref="F60:G60"/>
    <mergeCell ref="I60:J60"/>
    <mergeCell ref="F61:G61"/>
    <mergeCell ref="I61:J61"/>
    <mergeCell ref="F56:G56"/>
    <mergeCell ref="I56:J56"/>
    <mergeCell ref="F57:G57"/>
    <mergeCell ref="I57:J57"/>
    <mergeCell ref="F58:G58"/>
    <mergeCell ref="I58:J58"/>
    <mergeCell ref="F65:G65"/>
    <mergeCell ref="I65:J65"/>
    <mergeCell ref="F66:G66"/>
    <mergeCell ref="I66:J66"/>
    <mergeCell ref="F67:G67"/>
    <mergeCell ref="I67:J67"/>
    <mergeCell ref="F62:G62"/>
    <mergeCell ref="I62:J62"/>
    <mergeCell ref="F63:G63"/>
    <mergeCell ref="I63:J63"/>
    <mergeCell ref="F64:G64"/>
    <mergeCell ref="I64:J64"/>
    <mergeCell ref="F71:G71"/>
    <mergeCell ref="I71:J71"/>
    <mergeCell ref="F72:G72"/>
    <mergeCell ref="I72:J72"/>
    <mergeCell ref="F73:G73"/>
    <mergeCell ref="I73:J73"/>
    <mergeCell ref="F68:G68"/>
    <mergeCell ref="I68:J68"/>
    <mergeCell ref="F69:G69"/>
    <mergeCell ref="I69:J69"/>
    <mergeCell ref="F70:G70"/>
    <mergeCell ref="I70:J70"/>
    <mergeCell ref="F77:G77"/>
    <mergeCell ref="I77:J77"/>
    <mergeCell ref="F78:G78"/>
    <mergeCell ref="I78:J78"/>
    <mergeCell ref="F79:G79"/>
    <mergeCell ref="I79:J79"/>
    <mergeCell ref="F74:G74"/>
    <mergeCell ref="I74:J74"/>
    <mergeCell ref="F75:G75"/>
    <mergeCell ref="I75:J75"/>
    <mergeCell ref="F76:G76"/>
    <mergeCell ref="I76:J76"/>
    <mergeCell ref="F83:G83"/>
    <mergeCell ref="I83:J83"/>
    <mergeCell ref="F84:G84"/>
    <mergeCell ref="I84:J84"/>
    <mergeCell ref="F85:G85"/>
    <mergeCell ref="I85:J85"/>
    <mergeCell ref="F80:G80"/>
    <mergeCell ref="I80:J80"/>
    <mergeCell ref="F81:G81"/>
    <mergeCell ref="I81:J81"/>
    <mergeCell ref="F82:G82"/>
    <mergeCell ref="I82:J82"/>
    <mergeCell ref="F89:G89"/>
    <mergeCell ref="I89:J89"/>
    <mergeCell ref="F90:G90"/>
    <mergeCell ref="I90:J90"/>
    <mergeCell ref="F91:G91"/>
    <mergeCell ref="I91:J91"/>
    <mergeCell ref="F86:G86"/>
    <mergeCell ref="I86:J86"/>
    <mergeCell ref="F87:G87"/>
    <mergeCell ref="I87:J87"/>
    <mergeCell ref="F88:G88"/>
    <mergeCell ref="I88:J88"/>
    <mergeCell ref="F95:G95"/>
    <mergeCell ref="I95:J95"/>
    <mergeCell ref="F96:G96"/>
    <mergeCell ref="I96:J96"/>
    <mergeCell ref="F97:G97"/>
    <mergeCell ref="I97:J97"/>
    <mergeCell ref="F92:G92"/>
    <mergeCell ref="I92:J92"/>
    <mergeCell ref="F93:G93"/>
    <mergeCell ref="I93:J93"/>
    <mergeCell ref="F94:G94"/>
    <mergeCell ref="I94:J94"/>
    <mergeCell ref="F101:G101"/>
    <mergeCell ref="I101:J101"/>
    <mergeCell ref="F102:G102"/>
    <mergeCell ref="I102:J102"/>
    <mergeCell ref="F103:G103"/>
    <mergeCell ref="I103:J103"/>
    <mergeCell ref="F98:G98"/>
    <mergeCell ref="I98:J98"/>
    <mergeCell ref="F99:G99"/>
    <mergeCell ref="I99:J99"/>
    <mergeCell ref="F100:G100"/>
    <mergeCell ref="I100:J100"/>
    <mergeCell ref="F107:G107"/>
    <mergeCell ref="I107:J107"/>
    <mergeCell ref="F108:G108"/>
    <mergeCell ref="I108:J108"/>
    <mergeCell ref="F109:G109"/>
    <mergeCell ref="I109:J109"/>
    <mergeCell ref="F104:G104"/>
    <mergeCell ref="I104:J104"/>
    <mergeCell ref="F105:G105"/>
    <mergeCell ref="I105:J105"/>
    <mergeCell ref="F106:G106"/>
    <mergeCell ref="I106:J106"/>
    <mergeCell ref="F113:G113"/>
    <mergeCell ref="I113:J113"/>
    <mergeCell ref="F114:G114"/>
    <mergeCell ref="I114:J114"/>
    <mergeCell ref="F115:G115"/>
    <mergeCell ref="I115:J115"/>
    <mergeCell ref="F110:G110"/>
    <mergeCell ref="I110:J110"/>
    <mergeCell ref="F111:G111"/>
    <mergeCell ref="I111:J111"/>
    <mergeCell ref="F112:G112"/>
    <mergeCell ref="I112:J112"/>
    <mergeCell ref="F119:G119"/>
    <mergeCell ref="I119:J119"/>
    <mergeCell ref="F120:G120"/>
    <mergeCell ref="I120:J120"/>
    <mergeCell ref="F121:G121"/>
    <mergeCell ref="I121:J121"/>
    <mergeCell ref="F116:G116"/>
    <mergeCell ref="I116:J116"/>
    <mergeCell ref="F117:G117"/>
    <mergeCell ref="I117:J117"/>
    <mergeCell ref="F118:G118"/>
    <mergeCell ref="I118:J118"/>
    <mergeCell ref="F125:G125"/>
    <mergeCell ref="I125:J125"/>
    <mergeCell ref="F126:G126"/>
    <mergeCell ref="I126:J126"/>
    <mergeCell ref="F127:G127"/>
    <mergeCell ref="I127:J127"/>
    <mergeCell ref="F122:G122"/>
    <mergeCell ref="I122:J122"/>
    <mergeCell ref="F123:G123"/>
    <mergeCell ref="I123:J123"/>
    <mergeCell ref="F124:G124"/>
    <mergeCell ref="I124:J124"/>
    <mergeCell ref="F131:G131"/>
    <mergeCell ref="I131:J131"/>
    <mergeCell ref="F132:G132"/>
    <mergeCell ref="I132:J132"/>
    <mergeCell ref="F133:G133"/>
    <mergeCell ref="I133:J133"/>
    <mergeCell ref="F128:G128"/>
    <mergeCell ref="I128:J128"/>
    <mergeCell ref="F129:G129"/>
    <mergeCell ref="I129:J129"/>
    <mergeCell ref="F130:G130"/>
    <mergeCell ref="I130:J130"/>
    <mergeCell ref="F137:G137"/>
    <mergeCell ref="I137:J137"/>
    <mergeCell ref="F138:G138"/>
    <mergeCell ref="I138:J138"/>
    <mergeCell ref="F139:G139"/>
    <mergeCell ref="I139:J139"/>
    <mergeCell ref="F134:G134"/>
    <mergeCell ref="I134:J134"/>
    <mergeCell ref="F135:G135"/>
    <mergeCell ref="I135:J135"/>
    <mergeCell ref="F136:G136"/>
    <mergeCell ref="I136:J136"/>
    <mergeCell ref="F143:G143"/>
    <mergeCell ref="I143:J143"/>
    <mergeCell ref="A144:D144"/>
    <mergeCell ref="E144:G144"/>
    <mergeCell ref="H144:J144"/>
    <mergeCell ref="F140:G140"/>
    <mergeCell ref="I140:J140"/>
    <mergeCell ref="F141:G141"/>
    <mergeCell ref="I141:J141"/>
    <mergeCell ref="F142:G142"/>
    <mergeCell ref="I142:J1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618"/>
  <sheetViews>
    <sheetView topLeftCell="A612" workbookViewId="0">
      <selection activeCell="C8" sqref="C8:C9"/>
    </sheetView>
  </sheetViews>
  <sheetFormatPr defaultRowHeight="14.4" x14ac:dyDescent="0.3"/>
  <cols>
    <col min="2" max="4" width="22" customWidth="1"/>
    <col min="10" max="10" width="12.33203125" bestFit="1" customWidth="1"/>
    <col min="12" max="12" width="22.77734375" customWidth="1"/>
  </cols>
  <sheetData>
    <row r="1" spans="1:12" ht="53.4" x14ac:dyDescent="0.3">
      <c r="A1" s="69" t="s">
        <v>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ht="78" x14ac:dyDescent="0.3">
      <c r="A2" s="71" t="s">
        <v>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</row>
    <row r="4" spans="1:12" ht="20.399999999999999" x14ac:dyDescent="0.3">
      <c r="A4" s="72" t="s">
        <v>10</v>
      </c>
      <c r="B4" s="72" t="s">
        <v>11</v>
      </c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2" x14ac:dyDescent="0.3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40.799999999999997" x14ac:dyDescent="0.3">
      <c r="A6" s="72" t="s">
        <v>12</v>
      </c>
      <c r="B6" s="72" t="s">
        <v>1022</v>
      </c>
      <c r="C6" s="70"/>
      <c r="D6" s="70"/>
      <c r="E6" s="70"/>
      <c r="F6" s="70"/>
      <c r="G6" s="70"/>
      <c r="H6" s="70"/>
      <c r="I6" s="70"/>
      <c r="J6" s="70"/>
      <c r="K6" s="70"/>
      <c r="L6" s="70"/>
    </row>
    <row r="7" spans="1:12" x14ac:dyDescent="0.3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</row>
    <row r="8" spans="1:12" x14ac:dyDescent="0.3">
      <c r="A8" s="212" t="s">
        <v>14</v>
      </c>
      <c r="B8" s="207" t="s">
        <v>15</v>
      </c>
      <c r="C8" s="207" t="s">
        <v>16</v>
      </c>
      <c r="D8" s="214" t="s">
        <v>17</v>
      </c>
      <c r="E8" s="216" t="s">
        <v>18</v>
      </c>
      <c r="F8" s="216"/>
      <c r="G8" s="216"/>
      <c r="H8" s="217" t="s">
        <v>19</v>
      </c>
      <c r="I8" s="217"/>
      <c r="J8" s="217"/>
      <c r="K8" s="207" t="s">
        <v>20</v>
      </c>
      <c r="L8" s="207"/>
    </row>
    <row r="9" spans="1:12" hidden="1" x14ac:dyDescent="0.3">
      <c r="A9" s="208"/>
      <c r="B9" s="213"/>
      <c r="C9" s="213"/>
      <c r="D9" s="215"/>
      <c r="E9" s="73" t="s">
        <v>21</v>
      </c>
      <c r="F9" s="210"/>
      <c r="G9" s="210"/>
      <c r="H9" s="74" t="s">
        <v>21</v>
      </c>
      <c r="I9" s="211"/>
      <c r="J9" s="211"/>
      <c r="K9" s="208"/>
      <c r="L9" s="209"/>
    </row>
    <row r="10" spans="1:12" ht="71.400000000000006" hidden="1" x14ac:dyDescent="0.3">
      <c r="A10" s="75" t="s">
        <v>61</v>
      </c>
      <c r="B10" s="76" t="s">
        <v>64</v>
      </c>
      <c r="C10" s="76" t="s">
        <v>65</v>
      </c>
      <c r="D10" s="76" t="s">
        <v>37</v>
      </c>
      <c r="E10" s="77" t="s">
        <v>26</v>
      </c>
      <c r="F10" s="203">
        <v>20566.330000000002</v>
      </c>
      <c r="G10" s="203"/>
      <c r="H10" s="77" t="s">
        <v>26</v>
      </c>
      <c r="I10" s="204" t="s">
        <v>28</v>
      </c>
      <c r="J10" s="204"/>
      <c r="K10" s="78" t="s">
        <v>29</v>
      </c>
      <c r="L10" s="79">
        <v>20566.330000000002</v>
      </c>
    </row>
    <row r="11" spans="1:12" ht="71.400000000000006" hidden="1" x14ac:dyDescent="0.3">
      <c r="A11" s="75" t="s">
        <v>61</v>
      </c>
      <c r="B11" s="76" t="s">
        <v>64</v>
      </c>
      <c r="C11" s="76" t="s">
        <v>66</v>
      </c>
      <c r="D11" s="76" t="s">
        <v>39</v>
      </c>
      <c r="E11" s="77" t="s">
        <v>26</v>
      </c>
      <c r="F11" s="203">
        <v>77190.66</v>
      </c>
      <c r="G11" s="203"/>
      <c r="H11" s="77" t="s">
        <v>26</v>
      </c>
      <c r="I11" s="204" t="s">
        <v>28</v>
      </c>
      <c r="J11" s="204"/>
      <c r="K11" s="78" t="s">
        <v>29</v>
      </c>
      <c r="L11" s="79">
        <v>97756.99</v>
      </c>
    </row>
    <row r="12" spans="1:12" ht="61.2" hidden="1" x14ac:dyDescent="0.3">
      <c r="A12" s="75" t="s">
        <v>61</v>
      </c>
      <c r="B12" s="76" t="s">
        <v>77</v>
      </c>
      <c r="C12" s="76" t="s">
        <v>78</v>
      </c>
      <c r="D12" s="76" t="s">
        <v>55</v>
      </c>
      <c r="E12" s="77" t="s">
        <v>26</v>
      </c>
      <c r="F12" s="203">
        <v>19668</v>
      </c>
      <c r="G12" s="203"/>
      <c r="H12" s="77" t="s">
        <v>26</v>
      </c>
      <c r="I12" s="204" t="s">
        <v>28</v>
      </c>
      <c r="J12" s="204"/>
      <c r="K12" s="78" t="s">
        <v>29</v>
      </c>
      <c r="L12" s="79">
        <v>117424.99</v>
      </c>
    </row>
    <row r="13" spans="1:12" ht="71.400000000000006" hidden="1" x14ac:dyDescent="0.3">
      <c r="A13" s="75" t="s">
        <v>61</v>
      </c>
      <c r="B13" s="76" t="s">
        <v>81</v>
      </c>
      <c r="C13" s="76" t="s">
        <v>66</v>
      </c>
      <c r="D13" s="76" t="s">
        <v>39</v>
      </c>
      <c r="E13" s="77" t="s">
        <v>26</v>
      </c>
      <c r="F13" s="203">
        <v>4433.33</v>
      </c>
      <c r="G13" s="203"/>
      <c r="H13" s="77" t="s">
        <v>26</v>
      </c>
      <c r="I13" s="204" t="s">
        <v>28</v>
      </c>
      <c r="J13" s="204"/>
      <c r="K13" s="78" t="s">
        <v>29</v>
      </c>
      <c r="L13" s="79">
        <v>121858.32</v>
      </c>
    </row>
    <row r="14" spans="1:12" ht="71.400000000000006" hidden="1" x14ac:dyDescent="0.3">
      <c r="A14" s="75" t="s">
        <v>61</v>
      </c>
      <c r="B14" s="76" t="s">
        <v>81</v>
      </c>
      <c r="C14" s="76" t="s">
        <v>82</v>
      </c>
      <c r="D14" s="76" t="s">
        <v>47</v>
      </c>
      <c r="E14" s="77" t="s">
        <v>26</v>
      </c>
      <c r="F14" s="203">
        <v>507173.27</v>
      </c>
      <c r="G14" s="203"/>
      <c r="H14" s="77" t="s">
        <v>26</v>
      </c>
      <c r="I14" s="204" t="s">
        <v>28</v>
      </c>
      <c r="J14" s="204"/>
      <c r="K14" s="78" t="s">
        <v>29</v>
      </c>
      <c r="L14" s="79">
        <v>629031.59</v>
      </c>
    </row>
    <row r="15" spans="1:12" ht="71.400000000000006" hidden="1" x14ac:dyDescent="0.3">
      <c r="A15" s="75" t="s">
        <v>61</v>
      </c>
      <c r="B15" s="76" t="s">
        <v>83</v>
      </c>
      <c r="C15" s="76" t="s">
        <v>82</v>
      </c>
      <c r="D15" s="76" t="s">
        <v>47</v>
      </c>
      <c r="E15" s="77" t="s">
        <v>26</v>
      </c>
      <c r="F15" s="203">
        <v>4433.33</v>
      </c>
      <c r="G15" s="203"/>
      <c r="H15" s="77" t="s">
        <v>26</v>
      </c>
      <c r="I15" s="204" t="s">
        <v>28</v>
      </c>
      <c r="J15" s="204"/>
      <c r="K15" s="78" t="s">
        <v>29</v>
      </c>
      <c r="L15" s="79">
        <v>633464.92000000004</v>
      </c>
    </row>
    <row r="16" spans="1:12" ht="71.400000000000006" hidden="1" x14ac:dyDescent="0.3">
      <c r="A16" s="75" t="s">
        <v>61</v>
      </c>
      <c r="B16" s="76" t="s">
        <v>83</v>
      </c>
      <c r="C16" s="76" t="s">
        <v>84</v>
      </c>
      <c r="D16" s="76" t="s">
        <v>49</v>
      </c>
      <c r="E16" s="77" t="s">
        <v>26</v>
      </c>
      <c r="F16" s="203">
        <v>547073.26</v>
      </c>
      <c r="G16" s="203"/>
      <c r="H16" s="77" t="s">
        <v>26</v>
      </c>
      <c r="I16" s="204" t="s">
        <v>28</v>
      </c>
      <c r="J16" s="204"/>
      <c r="K16" s="78" t="s">
        <v>29</v>
      </c>
      <c r="L16" s="79">
        <v>1180538.18</v>
      </c>
    </row>
    <row r="17" spans="1:14" ht="71.400000000000006" hidden="1" x14ac:dyDescent="0.3">
      <c r="A17" s="75" t="s">
        <v>61</v>
      </c>
      <c r="B17" s="76" t="s">
        <v>87</v>
      </c>
      <c r="C17" s="76" t="s">
        <v>88</v>
      </c>
      <c r="D17" s="76" t="s">
        <v>38</v>
      </c>
      <c r="E17" s="77" t="s">
        <v>26</v>
      </c>
      <c r="F17" s="203">
        <v>124556.65</v>
      </c>
      <c r="G17" s="203"/>
      <c r="H17" s="77" t="s">
        <v>26</v>
      </c>
      <c r="I17" s="204" t="s">
        <v>28</v>
      </c>
      <c r="J17" s="204"/>
      <c r="K17" s="78" t="s">
        <v>29</v>
      </c>
      <c r="L17" s="79">
        <v>1305094.83</v>
      </c>
    </row>
    <row r="18" spans="1:14" ht="71.400000000000006" hidden="1" x14ac:dyDescent="0.3">
      <c r="A18" s="75" t="s">
        <v>89</v>
      </c>
      <c r="B18" s="76" t="s">
        <v>90</v>
      </c>
      <c r="C18" s="76" t="s">
        <v>91</v>
      </c>
      <c r="D18" s="76" t="s">
        <v>63</v>
      </c>
      <c r="E18" s="77" t="s">
        <v>26</v>
      </c>
      <c r="F18" s="203">
        <v>399253.28</v>
      </c>
      <c r="G18" s="203"/>
      <c r="H18" s="77" t="s">
        <v>26</v>
      </c>
      <c r="I18" s="204" t="s">
        <v>28</v>
      </c>
      <c r="J18" s="204"/>
      <c r="K18" s="78" t="s">
        <v>29</v>
      </c>
      <c r="L18" s="79">
        <v>1704348.11</v>
      </c>
    </row>
    <row r="19" spans="1:14" ht="71.400000000000006" x14ac:dyDescent="0.3">
      <c r="A19" s="75" t="s">
        <v>686</v>
      </c>
      <c r="B19" s="76" t="s">
        <v>1023</v>
      </c>
      <c r="C19" s="76" t="s">
        <v>1024</v>
      </c>
      <c r="D19" s="76" t="s">
        <v>65</v>
      </c>
      <c r="E19" s="77" t="s">
        <v>523</v>
      </c>
      <c r="F19" s="199" t="s">
        <v>28</v>
      </c>
      <c r="G19" s="199"/>
      <c r="H19" s="77" t="s">
        <v>26</v>
      </c>
      <c r="I19" s="200">
        <v>20566.330000000002</v>
      </c>
      <c r="J19" s="200"/>
      <c r="K19" s="78" t="s">
        <v>29</v>
      </c>
      <c r="L19" s="79">
        <v>1683781.78</v>
      </c>
    </row>
    <row r="20" spans="1:14" ht="71.400000000000006" x14ac:dyDescent="0.3">
      <c r="A20" s="75" t="s">
        <v>686</v>
      </c>
      <c r="B20" s="76" t="s">
        <v>1023</v>
      </c>
      <c r="C20" s="76" t="s">
        <v>1024</v>
      </c>
      <c r="D20" s="76" t="s">
        <v>88</v>
      </c>
      <c r="E20" s="77" t="s">
        <v>523</v>
      </c>
      <c r="F20" s="199" t="s">
        <v>28</v>
      </c>
      <c r="G20" s="199"/>
      <c r="H20" s="77" t="s">
        <v>26</v>
      </c>
      <c r="I20" s="200">
        <v>124556.65</v>
      </c>
      <c r="J20" s="200"/>
      <c r="K20" s="78" t="s">
        <v>29</v>
      </c>
      <c r="L20" s="79">
        <v>1559225.13</v>
      </c>
    </row>
    <row r="21" spans="1:14" ht="71.400000000000006" x14ac:dyDescent="0.3">
      <c r="A21" s="75" t="s">
        <v>686</v>
      </c>
      <c r="B21" s="76" t="s">
        <v>1023</v>
      </c>
      <c r="C21" s="76" t="s">
        <v>1024</v>
      </c>
      <c r="D21" s="76" t="s">
        <v>66</v>
      </c>
      <c r="E21" s="77" t="s">
        <v>523</v>
      </c>
      <c r="F21" s="199" t="s">
        <v>28</v>
      </c>
      <c r="G21" s="199"/>
      <c r="H21" s="77" t="s">
        <v>26</v>
      </c>
      <c r="I21" s="200">
        <v>81623.990000000005</v>
      </c>
      <c r="J21" s="200"/>
      <c r="K21" s="78" t="s">
        <v>29</v>
      </c>
      <c r="L21" s="79">
        <v>1477601.14</v>
      </c>
    </row>
    <row r="22" spans="1:14" ht="71.400000000000006" x14ac:dyDescent="0.3">
      <c r="A22" s="75" t="s">
        <v>686</v>
      </c>
      <c r="B22" s="76" t="s">
        <v>1023</v>
      </c>
      <c r="C22" s="76" t="s">
        <v>1024</v>
      </c>
      <c r="D22" s="76" t="s">
        <v>82</v>
      </c>
      <c r="E22" s="77" t="s">
        <v>523</v>
      </c>
      <c r="F22" s="199" t="s">
        <v>28</v>
      </c>
      <c r="G22" s="199"/>
      <c r="H22" s="77" t="s">
        <v>26</v>
      </c>
      <c r="I22" s="200">
        <v>429982.61</v>
      </c>
      <c r="J22" s="200"/>
      <c r="K22" s="78" t="s">
        <v>29</v>
      </c>
      <c r="L22" s="79">
        <v>1047618.53</v>
      </c>
    </row>
    <row r="23" spans="1:14" ht="71.400000000000006" x14ac:dyDescent="0.3">
      <c r="A23" s="75" t="s">
        <v>686</v>
      </c>
      <c r="B23" s="76" t="s">
        <v>1023</v>
      </c>
      <c r="C23" s="76" t="s">
        <v>1024</v>
      </c>
      <c r="D23" s="76" t="s">
        <v>82</v>
      </c>
      <c r="E23" s="77" t="s">
        <v>523</v>
      </c>
      <c r="F23" s="199" t="s">
        <v>28</v>
      </c>
      <c r="G23" s="199"/>
      <c r="H23" s="77" t="s">
        <v>26</v>
      </c>
      <c r="I23" s="200">
        <v>49374.66</v>
      </c>
      <c r="J23" s="200"/>
      <c r="K23" s="78" t="s">
        <v>29</v>
      </c>
      <c r="L23" s="79">
        <v>998243.87</v>
      </c>
    </row>
    <row r="24" spans="1:14" ht="71.400000000000006" x14ac:dyDescent="0.3">
      <c r="A24" s="75" t="s">
        <v>686</v>
      </c>
      <c r="B24" s="76" t="s">
        <v>1023</v>
      </c>
      <c r="C24" s="76" t="s">
        <v>1024</v>
      </c>
      <c r="D24" s="76" t="s">
        <v>82</v>
      </c>
      <c r="E24" s="77" t="s">
        <v>523</v>
      </c>
      <c r="F24" s="199" t="s">
        <v>28</v>
      </c>
      <c r="G24" s="199"/>
      <c r="H24" s="77" t="s">
        <v>26</v>
      </c>
      <c r="I24" s="200">
        <v>32249.33</v>
      </c>
      <c r="J24" s="200"/>
      <c r="K24" s="78" t="s">
        <v>29</v>
      </c>
      <c r="L24" s="79">
        <v>965994.54</v>
      </c>
    </row>
    <row r="25" spans="1:14" ht="71.400000000000006" x14ac:dyDescent="0.3">
      <c r="A25" s="75" t="s">
        <v>686</v>
      </c>
      <c r="B25" s="76" t="s">
        <v>1023</v>
      </c>
      <c r="C25" s="76" t="s">
        <v>1024</v>
      </c>
      <c r="D25" s="76" t="s">
        <v>84</v>
      </c>
      <c r="E25" s="77" t="s">
        <v>523</v>
      </c>
      <c r="F25" s="199" t="s">
        <v>28</v>
      </c>
      <c r="G25" s="199"/>
      <c r="H25" s="77" t="s">
        <v>26</v>
      </c>
      <c r="I25" s="200">
        <v>514823.93</v>
      </c>
      <c r="J25" s="200"/>
      <c r="K25" s="78" t="s">
        <v>29</v>
      </c>
      <c r="L25" s="79">
        <v>451170.61</v>
      </c>
    </row>
    <row r="26" spans="1:14" ht="71.400000000000006" x14ac:dyDescent="0.3">
      <c r="A26" s="75" t="s">
        <v>686</v>
      </c>
      <c r="B26" s="76" t="s">
        <v>1023</v>
      </c>
      <c r="C26" s="76" t="s">
        <v>1024</v>
      </c>
      <c r="D26" s="76" t="s">
        <v>91</v>
      </c>
      <c r="E26" s="77" t="s">
        <v>523</v>
      </c>
      <c r="F26" s="199" t="s">
        <v>28</v>
      </c>
      <c r="G26" s="199"/>
      <c r="H26" s="77" t="s">
        <v>26</v>
      </c>
      <c r="I26" s="200">
        <v>399253.28</v>
      </c>
      <c r="J26" s="200"/>
      <c r="K26" s="78" t="s">
        <v>29</v>
      </c>
      <c r="L26" s="79">
        <v>51917.33</v>
      </c>
      <c r="M26">
        <f>SUBTOTAL(9,I19:J26)</f>
        <v>1652430.78</v>
      </c>
      <c r="N26" t="s">
        <v>1477</v>
      </c>
    </row>
    <row r="27" spans="1:14" ht="61.2" hidden="1" x14ac:dyDescent="0.3">
      <c r="A27" s="75" t="s">
        <v>148</v>
      </c>
      <c r="B27" s="76" t="s">
        <v>152</v>
      </c>
      <c r="C27" s="76" t="s">
        <v>153</v>
      </c>
      <c r="D27" s="76" t="s">
        <v>150</v>
      </c>
      <c r="E27" s="77" t="s">
        <v>26</v>
      </c>
      <c r="F27" s="203">
        <v>27976</v>
      </c>
      <c r="G27" s="203"/>
      <c r="H27" s="77" t="s">
        <v>26</v>
      </c>
      <c r="I27" s="204" t="s">
        <v>28</v>
      </c>
      <c r="J27" s="204"/>
      <c r="K27" s="78" t="s">
        <v>29</v>
      </c>
      <c r="L27" s="79">
        <v>79893.33</v>
      </c>
    </row>
    <row r="28" spans="1:14" ht="61.2" hidden="1" x14ac:dyDescent="0.3">
      <c r="A28" s="75" t="s">
        <v>148</v>
      </c>
      <c r="B28" s="76" t="s">
        <v>1025</v>
      </c>
      <c r="C28" s="76" t="s">
        <v>1026</v>
      </c>
      <c r="D28" s="76" t="s">
        <v>1027</v>
      </c>
      <c r="E28" s="77" t="s">
        <v>26</v>
      </c>
      <c r="F28" s="203">
        <v>161250</v>
      </c>
      <c r="G28" s="203"/>
      <c r="H28" s="77" t="s">
        <v>27</v>
      </c>
      <c r="I28" s="204" t="s">
        <v>28</v>
      </c>
      <c r="J28" s="204"/>
      <c r="K28" s="78" t="s">
        <v>29</v>
      </c>
      <c r="L28" s="79">
        <v>241143.33</v>
      </c>
    </row>
    <row r="29" spans="1:14" ht="61.2" hidden="1" x14ac:dyDescent="0.3">
      <c r="A29" s="75" t="s">
        <v>160</v>
      </c>
      <c r="B29" s="76" t="s">
        <v>161</v>
      </c>
      <c r="C29" s="76" t="s">
        <v>162</v>
      </c>
      <c r="D29" s="76" t="s">
        <v>159</v>
      </c>
      <c r="E29" s="77" t="s">
        <v>26</v>
      </c>
      <c r="F29" s="203">
        <v>18830</v>
      </c>
      <c r="G29" s="203"/>
      <c r="H29" s="77" t="s">
        <v>26</v>
      </c>
      <c r="I29" s="204" t="s">
        <v>28</v>
      </c>
      <c r="J29" s="204"/>
      <c r="K29" s="78" t="s">
        <v>29</v>
      </c>
      <c r="L29" s="79">
        <v>259973.33</v>
      </c>
    </row>
    <row r="30" spans="1:14" ht="61.2" hidden="1" x14ac:dyDescent="0.3">
      <c r="A30" s="75" t="s">
        <v>160</v>
      </c>
      <c r="B30" s="76" t="s">
        <v>163</v>
      </c>
      <c r="C30" s="76" t="s">
        <v>164</v>
      </c>
      <c r="D30" s="76" t="s">
        <v>158</v>
      </c>
      <c r="E30" s="77" t="s">
        <v>26</v>
      </c>
      <c r="F30" s="203">
        <v>1732.5</v>
      </c>
      <c r="G30" s="203"/>
      <c r="H30" s="77" t="s">
        <v>26</v>
      </c>
      <c r="I30" s="204" t="s">
        <v>28</v>
      </c>
      <c r="J30" s="204"/>
      <c r="K30" s="78" t="s">
        <v>29</v>
      </c>
      <c r="L30" s="79">
        <v>261705.83</v>
      </c>
    </row>
    <row r="31" spans="1:14" ht="71.400000000000006" hidden="1" x14ac:dyDescent="0.3">
      <c r="A31" s="75" t="s">
        <v>160</v>
      </c>
      <c r="B31" s="76" t="s">
        <v>1028</v>
      </c>
      <c r="C31" s="76" t="s">
        <v>1029</v>
      </c>
      <c r="D31" s="76" t="s">
        <v>151</v>
      </c>
      <c r="E31" s="77" t="s">
        <v>26</v>
      </c>
      <c r="F31" s="203">
        <v>9625</v>
      </c>
      <c r="G31" s="203"/>
      <c r="H31" s="77" t="s">
        <v>27</v>
      </c>
      <c r="I31" s="204" t="s">
        <v>28</v>
      </c>
      <c r="J31" s="204"/>
      <c r="K31" s="78" t="s">
        <v>29</v>
      </c>
      <c r="L31" s="79">
        <v>271330.83</v>
      </c>
    </row>
    <row r="32" spans="1:14" ht="71.400000000000006" hidden="1" x14ac:dyDescent="0.3">
      <c r="A32" s="75" t="s">
        <v>160</v>
      </c>
      <c r="B32" s="76" t="s">
        <v>1028</v>
      </c>
      <c r="C32" s="76" t="s">
        <v>1030</v>
      </c>
      <c r="D32" s="76" t="s">
        <v>151</v>
      </c>
      <c r="E32" s="77" t="s">
        <v>26</v>
      </c>
      <c r="F32" s="203">
        <v>25555</v>
      </c>
      <c r="G32" s="203"/>
      <c r="H32" s="77" t="s">
        <v>27</v>
      </c>
      <c r="I32" s="204" t="s">
        <v>28</v>
      </c>
      <c r="J32" s="204"/>
      <c r="K32" s="78" t="s">
        <v>29</v>
      </c>
      <c r="L32" s="79">
        <v>296885.83</v>
      </c>
    </row>
    <row r="33" spans="1:12" ht="61.2" hidden="1" x14ac:dyDescent="0.3">
      <c r="A33" s="75" t="s">
        <v>167</v>
      </c>
      <c r="B33" s="76" t="s">
        <v>174</v>
      </c>
      <c r="C33" s="76" t="s">
        <v>175</v>
      </c>
      <c r="D33" s="76" t="s">
        <v>169</v>
      </c>
      <c r="E33" s="77" t="s">
        <v>26</v>
      </c>
      <c r="F33" s="203">
        <v>7780.38</v>
      </c>
      <c r="G33" s="203"/>
      <c r="H33" s="77" t="s">
        <v>26</v>
      </c>
      <c r="I33" s="204" t="s">
        <v>28</v>
      </c>
      <c r="J33" s="204"/>
      <c r="K33" s="78" t="s">
        <v>29</v>
      </c>
      <c r="L33" s="79">
        <v>304666.21000000002</v>
      </c>
    </row>
    <row r="34" spans="1:12" ht="61.2" hidden="1" x14ac:dyDescent="0.3">
      <c r="A34" s="75" t="s">
        <v>176</v>
      </c>
      <c r="B34" s="76" t="s">
        <v>180</v>
      </c>
      <c r="C34" s="76" t="s">
        <v>181</v>
      </c>
      <c r="D34" s="76" t="s">
        <v>178</v>
      </c>
      <c r="E34" s="77" t="s">
        <v>26</v>
      </c>
      <c r="F34" s="206">
        <v>143.55000000000001</v>
      </c>
      <c r="G34" s="206"/>
      <c r="H34" s="77" t="s">
        <v>26</v>
      </c>
      <c r="I34" s="204" t="s">
        <v>28</v>
      </c>
      <c r="J34" s="204"/>
      <c r="K34" s="78" t="s">
        <v>29</v>
      </c>
      <c r="L34" s="79">
        <v>304809.76</v>
      </c>
    </row>
    <row r="35" spans="1:12" ht="61.2" hidden="1" x14ac:dyDescent="0.3">
      <c r="A35" s="75" t="s">
        <v>182</v>
      </c>
      <c r="B35" s="76" t="s">
        <v>1031</v>
      </c>
      <c r="C35" s="76" t="s">
        <v>1032</v>
      </c>
      <c r="D35" s="76" t="s">
        <v>1027</v>
      </c>
      <c r="E35" s="77" t="s">
        <v>26</v>
      </c>
      <c r="F35" s="203">
        <v>155875</v>
      </c>
      <c r="G35" s="203"/>
      <c r="H35" s="77" t="s">
        <v>27</v>
      </c>
      <c r="I35" s="204" t="s">
        <v>28</v>
      </c>
      <c r="J35" s="204"/>
      <c r="K35" s="78" t="s">
        <v>29</v>
      </c>
      <c r="L35" s="79">
        <v>460684.76</v>
      </c>
    </row>
    <row r="36" spans="1:12" ht="61.2" hidden="1" x14ac:dyDescent="0.3">
      <c r="A36" s="75" t="s">
        <v>182</v>
      </c>
      <c r="B36" s="76" t="s">
        <v>1033</v>
      </c>
      <c r="C36" s="76" t="s">
        <v>1034</v>
      </c>
      <c r="D36" s="76" t="s">
        <v>1027</v>
      </c>
      <c r="E36" s="77" t="s">
        <v>26</v>
      </c>
      <c r="F36" s="203">
        <v>16849.98</v>
      </c>
      <c r="G36" s="203"/>
      <c r="H36" s="77" t="s">
        <v>27</v>
      </c>
      <c r="I36" s="204" t="s">
        <v>28</v>
      </c>
      <c r="J36" s="204"/>
      <c r="K36" s="78" t="s">
        <v>29</v>
      </c>
      <c r="L36" s="79">
        <v>477534.74</v>
      </c>
    </row>
    <row r="37" spans="1:12" ht="61.2" hidden="1" x14ac:dyDescent="0.3">
      <c r="A37" s="75" t="s">
        <v>182</v>
      </c>
      <c r="B37" s="76" t="s">
        <v>1033</v>
      </c>
      <c r="C37" s="76" t="s">
        <v>1035</v>
      </c>
      <c r="D37" s="76" t="s">
        <v>1027</v>
      </c>
      <c r="E37" s="77" t="s">
        <v>26</v>
      </c>
      <c r="F37" s="203">
        <v>2812.5</v>
      </c>
      <c r="G37" s="203"/>
      <c r="H37" s="77" t="s">
        <v>27</v>
      </c>
      <c r="I37" s="204" t="s">
        <v>28</v>
      </c>
      <c r="J37" s="204"/>
      <c r="K37" s="78" t="s">
        <v>29</v>
      </c>
      <c r="L37" s="79">
        <v>480347.24</v>
      </c>
    </row>
    <row r="38" spans="1:12" ht="61.2" hidden="1" x14ac:dyDescent="0.3">
      <c r="A38" s="75" t="s">
        <v>182</v>
      </c>
      <c r="B38" s="76" t="s">
        <v>192</v>
      </c>
      <c r="C38" s="76" t="s">
        <v>193</v>
      </c>
      <c r="D38" s="76" t="s">
        <v>184</v>
      </c>
      <c r="E38" s="77" t="s">
        <v>26</v>
      </c>
      <c r="F38" s="203">
        <v>20143.75</v>
      </c>
      <c r="G38" s="203"/>
      <c r="H38" s="77" t="s">
        <v>26</v>
      </c>
      <c r="I38" s="204" t="s">
        <v>28</v>
      </c>
      <c r="J38" s="204"/>
      <c r="K38" s="78" t="s">
        <v>29</v>
      </c>
      <c r="L38" s="79">
        <v>500490.99</v>
      </c>
    </row>
    <row r="39" spans="1:12" ht="61.2" hidden="1" x14ac:dyDescent="0.3">
      <c r="A39" s="75" t="s">
        <v>182</v>
      </c>
      <c r="B39" s="76" t="s">
        <v>192</v>
      </c>
      <c r="C39" s="76" t="s">
        <v>194</v>
      </c>
      <c r="D39" s="76" t="s">
        <v>186</v>
      </c>
      <c r="E39" s="77" t="s">
        <v>26</v>
      </c>
      <c r="F39" s="203">
        <v>23813.71</v>
      </c>
      <c r="G39" s="203"/>
      <c r="H39" s="77" t="s">
        <v>26</v>
      </c>
      <c r="I39" s="204" t="s">
        <v>28</v>
      </c>
      <c r="J39" s="204"/>
      <c r="K39" s="78" t="s">
        <v>29</v>
      </c>
      <c r="L39" s="79">
        <v>524304.69999999995</v>
      </c>
    </row>
    <row r="40" spans="1:12" ht="61.2" hidden="1" x14ac:dyDescent="0.3">
      <c r="A40" s="75" t="s">
        <v>195</v>
      </c>
      <c r="B40" s="76" t="s">
        <v>202</v>
      </c>
      <c r="C40" s="76" t="s">
        <v>203</v>
      </c>
      <c r="D40" s="76" t="s">
        <v>197</v>
      </c>
      <c r="E40" s="77" t="s">
        <v>26</v>
      </c>
      <c r="F40" s="203">
        <v>34440.15</v>
      </c>
      <c r="G40" s="203"/>
      <c r="H40" s="77" t="s">
        <v>26</v>
      </c>
      <c r="I40" s="204" t="s">
        <v>28</v>
      </c>
      <c r="J40" s="204"/>
      <c r="K40" s="78" t="s">
        <v>29</v>
      </c>
      <c r="L40" s="79">
        <v>558744.85</v>
      </c>
    </row>
    <row r="41" spans="1:12" ht="61.2" hidden="1" x14ac:dyDescent="0.3">
      <c r="A41" s="75" t="s">
        <v>204</v>
      </c>
      <c r="B41" s="76" t="s">
        <v>211</v>
      </c>
      <c r="C41" s="76" t="s">
        <v>212</v>
      </c>
      <c r="D41" s="76" t="s">
        <v>206</v>
      </c>
      <c r="E41" s="77" t="s">
        <v>26</v>
      </c>
      <c r="F41" s="203">
        <v>33268.230000000003</v>
      </c>
      <c r="G41" s="203"/>
      <c r="H41" s="77" t="s">
        <v>26</v>
      </c>
      <c r="I41" s="204" t="s">
        <v>28</v>
      </c>
      <c r="J41" s="204"/>
      <c r="K41" s="78" t="s">
        <v>29</v>
      </c>
      <c r="L41" s="79">
        <v>592013.07999999996</v>
      </c>
    </row>
    <row r="42" spans="1:12" ht="61.2" hidden="1" x14ac:dyDescent="0.3">
      <c r="A42" s="75" t="s">
        <v>204</v>
      </c>
      <c r="B42" s="76" t="s">
        <v>211</v>
      </c>
      <c r="C42" s="76" t="s">
        <v>213</v>
      </c>
      <c r="D42" s="76" t="s">
        <v>207</v>
      </c>
      <c r="E42" s="77" t="s">
        <v>26</v>
      </c>
      <c r="F42" s="203">
        <v>10552.95</v>
      </c>
      <c r="G42" s="203"/>
      <c r="H42" s="77" t="s">
        <v>26</v>
      </c>
      <c r="I42" s="204" t="s">
        <v>28</v>
      </c>
      <c r="J42" s="204"/>
      <c r="K42" s="78" t="s">
        <v>29</v>
      </c>
      <c r="L42" s="79">
        <v>602566.03</v>
      </c>
    </row>
    <row r="43" spans="1:12" ht="71.400000000000006" hidden="1" x14ac:dyDescent="0.3">
      <c r="A43" s="75" t="s">
        <v>1036</v>
      </c>
      <c r="B43" s="76" t="s">
        <v>1037</v>
      </c>
      <c r="C43" s="76" t="s">
        <v>1038</v>
      </c>
      <c r="D43" s="76" t="s">
        <v>198</v>
      </c>
      <c r="E43" s="77" t="s">
        <v>26</v>
      </c>
      <c r="F43" s="203">
        <v>11550</v>
      </c>
      <c r="G43" s="203"/>
      <c r="H43" s="77" t="s">
        <v>27</v>
      </c>
      <c r="I43" s="204" t="s">
        <v>28</v>
      </c>
      <c r="J43" s="204"/>
      <c r="K43" s="78" t="s">
        <v>29</v>
      </c>
      <c r="L43" s="79">
        <v>614116.03</v>
      </c>
    </row>
    <row r="44" spans="1:12" ht="71.400000000000006" hidden="1" x14ac:dyDescent="0.3">
      <c r="A44" s="75" t="s">
        <v>1036</v>
      </c>
      <c r="B44" s="76" t="s">
        <v>1039</v>
      </c>
      <c r="C44" s="76" t="s">
        <v>1038</v>
      </c>
      <c r="D44" s="76" t="s">
        <v>198</v>
      </c>
      <c r="E44" s="77" t="s">
        <v>26</v>
      </c>
      <c r="F44" s="203">
        <v>8691.25</v>
      </c>
      <c r="G44" s="203"/>
      <c r="H44" s="77" t="s">
        <v>27</v>
      </c>
      <c r="I44" s="204" t="s">
        <v>28</v>
      </c>
      <c r="J44" s="204"/>
      <c r="K44" s="78" t="s">
        <v>29</v>
      </c>
      <c r="L44" s="79">
        <v>622807.28</v>
      </c>
    </row>
    <row r="45" spans="1:12" ht="61.2" hidden="1" x14ac:dyDescent="0.3">
      <c r="A45" s="75" t="s">
        <v>214</v>
      </c>
      <c r="B45" s="76" t="s">
        <v>1040</v>
      </c>
      <c r="C45" s="76" t="s">
        <v>1041</v>
      </c>
      <c r="D45" s="76" t="s">
        <v>1027</v>
      </c>
      <c r="E45" s="77" t="s">
        <v>26</v>
      </c>
      <c r="F45" s="203">
        <v>30000</v>
      </c>
      <c r="G45" s="203"/>
      <c r="H45" s="77" t="s">
        <v>27</v>
      </c>
      <c r="I45" s="204" t="s">
        <v>28</v>
      </c>
      <c r="J45" s="204"/>
      <c r="K45" s="78" t="s">
        <v>29</v>
      </c>
      <c r="L45" s="79">
        <v>652807.28</v>
      </c>
    </row>
    <row r="46" spans="1:12" ht="61.2" hidden="1" x14ac:dyDescent="0.3">
      <c r="A46" s="75" t="s">
        <v>214</v>
      </c>
      <c r="B46" s="76" t="s">
        <v>219</v>
      </c>
      <c r="C46" s="76" t="s">
        <v>220</v>
      </c>
      <c r="D46" s="76" t="s">
        <v>216</v>
      </c>
      <c r="E46" s="77" t="s">
        <v>26</v>
      </c>
      <c r="F46" s="203">
        <v>14139.57</v>
      </c>
      <c r="G46" s="203"/>
      <c r="H46" s="77" t="s">
        <v>26</v>
      </c>
      <c r="I46" s="204" t="s">
        <v>28</v>
      </c>
      <c r="J46" s="204"/>
      <c r="K46" s="78" t="s">
        <v>29</v>
      </c>
      <c r="L46" s="79">
        <v>666946.85</v>
      </c>
    </row>
    <row r="47" spans="1:12" ht="61.2" hidden="1" x14ac:dyDescent="0.3">
      <c r="A47" s="75" t="s">
        <v>223</v>
      </c>
      <c r="B47" s="76" t="s">
        <v>229</v>
      </c>
      <c r="C47" s="76" t="s">
        <v>230</v>
      </c>
      <c r="D47" s="76" t="s">
        <v>225</v>
      </c>
      <c r="E47" s="77" t="s">
        <v>26</v>
      </c>
      <c r="F47" s="203">
        <v>24663.55</v>
      </c>
      <c r="G47" s="203"/>
      <c r="H47" s="77" t="s">
        <v>26</v>
      </c>
      <c r="I47" s="204" t="s">
        <v>28</v>
      </c>
      <c r="J47" s="204"/>
      <c r="K47" s="78" t="s">
        <v>29</v>
      </c>
      <c r="L47" s="79">
        <v>691610.4</v>
      </c>
    </row>
    <row r="48" spans="1:12" ht="61.2" hidden="1" x14ac:dyDescent="0.3">
      <c r="A48" s="75" t="s">
        <v>231</v>
      </c>
      <c r="B48" s="76" t="s">
        <v>241</v>
      </c>
      <c r="C48" s="76" t="s">
        <v>242</v>
      </c>
      <c r="D48" s="76" t="s">
        <v>233</v>
      </c>
      <c r="E48" s="77" t="s">
        <v>26</v>
      </c>
      <c r="F48" s="203">
        <v>37730.03</v>
      </c>
      <c r="G48" s="203"/>
      <c r="H48" s="77" t="s">
        <v>26</v>
      </c>
      <c r="I48" s="204" t="s">
        <v>28</v>
      </c>
      <c r="J48" s="204"/>
      <c r="K48" s="78" t="s">
        <v>29</v>
      </c>
      <c r="L48" s="79">
        <v>729340.43</v>
      </c>
    </row>
    <row r="49" spans="1:12" ht="61.2" hidden="1" x14ac:dyDescent="0.3">
      <c r="A49" s="75" t="s">
        <v>231</v>
      </c>
      <c r="B49" s="76" t="s">
        <v>241</v>
      </c>
      <c r="C49" s="76" t="s">
        <v>243</v>
      </c>
      <c r="D49" s="76" t="s">
        <v>236</v>
      </c>
      <c r="E49" s="77" t="s">
        <v>26</v>
      </c>
      <c r="F49" s="203">
        <v>24620.44</v>
      </c>
      <c r="G49" s="203"/>
      <c r="H49" s="77" t="s">
        <v>26</v>
      </c>
      <c r="I49" s="204" t="s">
        <v>28</v>
      </c>
      <c r="J49" s="204"/>
      <c r="K49" s="78" t="s">
        <v>29</v>
      </c>
      <c r="L49" s="79">
        <v>753960.87</v>
      </c>
    </row>
    <row r="50" spans="1:12" ht="61.2" hidden="1" x14ac:dyDescent="0.3">
      <c r="A50" s="75" t="s">
        <v>703</v>
      </c>
      <c r="B50" s="76" t="s">
        <v>1042</v>
      </c>
      <c r="C50" s="76" t="s">
        <v>1043</v>
      </c>
      <c r="D50" s="76" t="s">
        <v>1044</v>
      </c>
      <c r="E50" s="77" t="s">
        <v>26</v>
      </c>
      <c r="F50" s="203">
        <v>230268.12</v>
      </c>
      <c r="G50" s="203"/>
      <c r="H50" s="77" t="s">
        <v>27</v>
      </c>
      <c r="I50" s="204" t="s">
        <v>28</v>
      </c>
      <c r="J50" s="204"/>
      <c r="K50" s="78" t="s">
        <v>29</v>
      </c>
      <c r="L50" s="79">
        <v>984228.99</v>
      </c>
    </row>
    <row r="51" spans="1:12" ht="61.2" hidden="1" x14ac:dyDescent="0.3">
      <c r="A51" s="75" t="s">
        <v>703</v>
      </c>
      <c r="B51" s="76" t="s">
        <v>1042</v>
      </c>
      <c r="C51" s="76" t="s">
        <v>1045</v>
      </c>
      <c r="D51" s="76" t="s">
        <v>1044</v>
      </c>
      <c r="E51" s="77" t="s">
        <v>26</v>
      </c>
      <c r="F51" s="203">
        <v>325424.25</v>
      </c>
      <c r="G51" s="203"/>
      <c r="H51" s="77" t="s">
        <v>27</v>
      </c>
      <c r="I51" s="204" t="s">
        <v>28</v>
      </c>
      <c r="J51" s="204"/>
      <c r="K51" s="78" t="s">
        <v>29</v>
      </c>
      <c r="L51" s="79">
        <v>1309653.24</v>
      </c>
    </row>
    <row r="52" spans="1:12" ht="61.2" hidden="1" x14ac:dyDescent="0.3">
      <c r="A52" s="75" t="s">
        <v>703</v>
      </c>
      <c r="B52" s="76" t="s">
        <v>1042</v>
      </c>
      <c r="C52" s="76" t="s">
        <v>1046</v>
      </c>
      <c r="D52" s="76" t="s">
        <v>1044</v>
      </c>
      <c r="E52" s="77" t="s">
        <v>26</v>
      </c>
      <c r="F52" s="203">
        <v>156164.24</v>
      </c>
      <c r="G52" s="203"/>
      <c r="H52" s="77" t="s">
        <v>27</v>
      </c>
      <c r="I52" s="204" t="s">
        <v>28</v>
      </c>
      <c r="J52" s="204"/>
      <c r="K52" s="78" t="s">
        <v>29</v>
      </c>
      <c r="L52" s="79">
        <v>1465817.48</v>
      </c>
    </row>
    <row r="53" spans="1:12" ht="61.2" hidden="1" x14ac:dyDescent="0.3">
      <c r="A53" s="75" t="s">
        <v>703</v>
      </c>
      <c r="B53" s="76" t="s">
        <v>1042</v>
      </c>
      <c r="C53" s="76" t="s">
        <v>1047</v>
      </c>
      <c r="D53" s="76" t="s">
        <v>1044</v>
      </c>
      <c r="E53" s="77" t="s">
        <v>26</v>
      </c>
      <c r="F53" s="203">
        <v>5553.33</v>
      </c>
      <c r="G53" s="203"/>
      <c r="H53" s="77" t="s">
        <v>27</v>
      </c>
      <c r="I53" s="204" t="s">
        <v>28</v>
      </c>
      <c r="J53" s="204"/>
      <c r="K53" s="78" t="s">
        <v>29</v>
      </c>
      <c r="L53" s="79">
        <v>1471370.81</v>
      </c>
    </row>
    <row r="54" spans="1:12" ht="71.400000000000006" hidden="1" x14ac:dyDescent="0.3">
      <c r="A54" s="75" t="s">
        <v>703</v>
      </c>
      <c r="B54" s="76" t="s">
        <v>1048</v>
      </c>
      <c r="C54" s="76" t="s">
        <v>1049</v>
      </c>
      <c r="D54" s="76" t="s">
        <v>1050</v>
      </c>
      <c r="E54" s="77" t="s">
        <v>26</v>
      </c>
      <c r="F54" s="203">
        <v>595296.9</v>
      </c>
      <c r="G54" s="203"/>
      <c r="H54" s="77" t="s">
        <v>27</v>
      </c>
      <c r="I54" s="204" t="s">
        <v>28</v>
      </c>
      <c r="J54" s="204"/>
      <c r="K54" s="78" t="s">
        <v>29</v>
      </c>
      <c r="L54" s="79">
        <v>2066667.71</v>
      </c>
    </row>
    <row r="55" spans="1:12" ht="61.2" hidden="1" x14ac:dyDescent="0.3">
      <c r="A55" s="75" t="s">
        <v>244</v>
      </c>
      <c r="B55" s="76" t="s">
        <v>251</v>
      </c>
      <c r="C55" s="76" t="s">
        <v>252</v>
      </c>
      <c r="D55" s="76" t="s">
        <v>246</v>
      </c>
      <c r="E55" s="77" t="s">
        <v>26</v>
      </c>
      <c r="F55" s="203">
        <v>12218.5</v>
      </c>
      <c r="G55" s="203"/>
      <c r="H55" s="77" t="s">
        <v>26</v>
      </c>
      <c r="I55" s="204" t="s">
        <v>28</v>
      </c>
      <c r="J55" s="204"/>
      <c r="K55" s="78" t="s">
        <v>29</v>
      </c>
      <c r="L55" s="79">
        <v>2078886.21</v>
      </c>
    </row>
    <row r="56" spans="1:12" ht="61.2" hidden="1" x14ac:dyDescent="0.3">
      <c r="A56" s="75" t="s">
        <v>244</v>
      </c>
      <c r="B56" s="76" t="s">
        <v>1051</v>
      </c>
      <c r="C56" s="76" t="s">
        <v>1052</v>
      </c>
      <c r="D56" s="76" t="s">
        <v>1044</v>
      </c>
      <c r="E56" s="77" t="s">
        <v>26</v>
      </c>
      <c r="F56" s="203">
        <v>37015.410000000003</v>
      </c>
      <c r="G56" s="203"/>
      <c r="H56" s="77" t="s">
        <v>27</v>
      </c>
      <c r="I56" s="204" t="s">
        <v>28</v>
      </c>
      <c r="J56" s="204"/>
      <c r="K56" s="78" t="s">
        <v>29</v>
      </c>
      <c r="L56" s="79">
        <v>2115901.62</v>
      </c>
    </row>
    <row r="57" spans="1:12" ht="61.2" hidden="1" x14ac:dyDescent="0.3">
      <c r="A57" s="75" t="s">
        <v>244</v>
      </c>
      <c r="B57" s="76" t="s">
        <v>1051</v>
      </c>
      <c r="C57" s="76" t="s">
        <v>1053</v>
      </c>
      <c r="D57" s="76" t="s">
        <v>1044</v>
      </c>
      <c r="E57" s="77" t="s">
        <v>26</v>
      </c>
      <c r="F57" s="203">
        <v>49450.01</v>
      </c>
      <c r="G57" s="203"/>
      <c r="H57" s="77" t="s">
        <v>27</v>
      </c>
      <c r="I57" s="204" t="s">
        <v>28</v>
      </c>
      <c r="J57" s="204"/>
      <c r="K57" s="78" t="s">
        <v>29</v>
      </c>
      <c r="L57" s="79">
        <v>2165351.63</v>
      </c>
    </row>
    <row r="58" spans="1:12" ht="61.2" hidden="1" x14ac:dyDescent="0.3">
      <c r="A58" s="75" t="s">
        <v>244</v>
      </c>
      <c r="B58" s="76" t="s">
        <v>1051</v>
      </c>
      <c r="C58" s="76" t="s">
        <v>1054</v>
      </c>
      <c r="D58" s="76" t="s">
        <v>1044</v>
      </c>
      <c r="E58" s="77" t="s">
        <v>26</v>
      </c>
      <c r="F58" s="203">
        <v>506201.12</v>
      </c>
      <c r="G58" s="203"/>
      <c r="H58" s="77" t="s">
        <v>27</v>
      </c>
      <c r="I58" s="204" t="s">
        <v>28</v>
      </c>
      <c r="J58" s="204"/>
      <c r="K58" s="78" t="s">
        <v>29</v>
      </c>
      <c r="L58" s="79">
        <v>2671552.75</v>
      </c>
    </row>
    <row r="59" spans="1:12" ht="61.2" hidden="1" x14ac:dyDescent="0.3">
      <c r="A59" s="75" t="s">
        <v>244</v>
      </c>
      <c r="B59" s="76" t="s">
        <v>1051</v>
      </c>
      <c r="C59" s="76" t="s">
        <v>1055</v>
      </c>
      <c r="D59" s="76" t="s">
        <v>1044</v>
      </c>
      <c r="E59" s="77" t="s">
        <v>26</v>
      </c>
      <c r="F59" s="203">
        <v>47075.66</v>
      </c>
      <c r="G59" s="203"/>
      <c r="H59" s="77" t="s">
        <v>27</v>
      </c>
      <c r="I59" s="204" t="s">
        <v>28</v>
      </c>
      <c r="J59" s="204"/>
      <c r="K59" s="78" t="s">
        <v>29</v>
      </c>
      <c r="L59" s="79">
        <v>2718628.41</v>
      </c>
    </row>
    <row r="60" spans="1:12" ht="61.2" hidden="1" x14ac:dyDescent="0.3">
      <c r="A60" s="75" t="s">
        <v>244</v>
      </c>
      <c r="B60" s="76" t="s">
        <v>1056</v>
      </c>
      <c r="C60" s="76" t="s">
        <v>1057</v>
      </c>
      <c r="D60" s="76" t="s">
        <v>1044</v>
      </c>
      <c r="E60" s="77" t="s">
        <v>26</v>
      </c>
      <c r="F60" s="203">
        <v>642417.92000000004</v>
      </c>
      <c r="G60" s="203"/>
      <c r="H60" s="77" t="s">
        <v>27</v>
      </c>
      <c r="I60" s="204" t="s">
        <v>28</v>
      </c>
      <c r="J60" s="204"/>
      <c r="K60" s="78" t="s">
        <v>29</v>
      </c>
      <c r="L60" s="79">
        <v>3361046.33</v>
      </c>
    </row>
    <row r="61" spans="1:12" ht="71.400000000000006" hidden="1" x14ac:dyDescent="0.3">
      <c r="A61" s="75" t="s">
        <v>244</v>
      </c>
      <c r="B61" s="76" t="s">
        <v>1058</v>
      </c>
      <c r="C61" s="76" t="s">
        <v>1059</v>
      </c>
      <c r="D61" s="76" t="s">
        <v>1050</v>
      </c>
      <c r="E61" s="77" t="s">
        <v>26</v>
      </c>
      <c r="F61" s="203">
        <v>15922</v>
      </c>
      <c r="G61" s="203"/>
      <c r="H61" s="77" t="s">
        <v>27</v>
      </c>
      <c r="I61" s="204" t="s">
        <v>28</v>
      </c>
      <c r="J61" s="204"/>
      <c r="K61" s="78" t="s">
        <v>29</v>
      </c>
      <c r="L61" s="79">
        <v>3376968.33</v>
      </c>
    </row>
    <row r="62" spans="1:12" ht="71.400000000000006" hidden="1" x14ac:dyDescent="0.3">
      <c r="A62" s="75" t="s">
        <v>244</v>
      </c>
      <c r="B62" s="76" t="s">
        <v>1058</v>
      </c>
      <c r="C62" s="76" t="s">
        <v>1060</v>
      </c>
      <c r="D62" s="76" t="s">
        <v>1050</v>
      </c>
      <c r="E62" s="77" t="s">
        <v>26</v>
      </c>
      <c r="F62" s="203">
        <v>59777.33</v>
      </c>
      <c r="G62" s="203"/>
      <c r="H62" s="77" t="s">
        <v>27</v>
      </c>
      <c r="I62" s="204" t="s">
        <v>28</v>
      </c>
      <c r="J62" s="204"/>
      <c r="K62" s="78" t="s">
        <v>29</v>
      </c>
      <c r="L62" s="79">
        <v>3436745.66</v>
      </c>
    </row>
    <row r="63" spans="1:12" ht="71.400000000000006" hidden="1" x14ac:dyDescent="0.3">
      <c r="A63" s="75" t="s">
        <v>244</v>
      </c>
      <c r="B63" s="76" t="s">
        <v>1058</v>
      </c>
      <c r="C63" s="76" t="s">
        <v>1061</v>
      </c>
      <c r="D63" s="76" t="s">
        <v>1050</v>
      </c>
      <c r="E63" s="77" t="s">
        <v>26</v>
      </c>
      <c r="F63" s="203">
        <v>127096.65</v>
      </c>
      <c r="G63" s="203"/>
      <c r="H63" s="77" t="s">
        <v>27</v>
      </c>
      <c r="I63" s="204" t="s">
        <v>28</v>
      </c>
      <c r="J63" s="204"/>
      <c r="K63" s="78" t="s">
        <v>29</v>
      </c>
      <c r="L63" s="79">
        <v>3563842.31</v>
      </c>
    </row>
    <row r="64" spans="1:12" ht="71.400000000000006" hidden="1" x14ac:dyDescent="0.3">
      <c r="A64" s="75" t="s">
        <v>244</v>
      </c>
      <c r="B64" s="76" t="s">
        <v>1058</v>
      </c>
      <c r="C64" s="76" t="s">
        <v>1062</v>
      </c>
      <c r="D64" s="76" t="s">
        <v>1050</v>
      </c>
      <c r="E64" s="77" t="s">
        <v>26</v>
      </c>
      <c r="F64" s="203">
        <v>186923.94</v>
      </c>
      <c r="G64" s="203"/>
      <c r="H64" s="77" t="s">
        <v>27</v>
      </c>
      <c r="I64" s="204" t="s">
        <v>28</v>
      </c>
      <c r="J64" s="204"/>
      <c r="K64" s="78" t="s">
        <v>29</v>
      </c>
      <c r="L64" s="79">
        <v>3750766.25</v>
      </c>
    </row>
    <row r="65" spans="1:12" ht="71.400000000000006" hidden="1" x14ac:dyDescent="0.3">
      <c r="A65" s="75" t="s">
        <v>244</v>
      </c>
      <c r="B65" s="76" t="s">
        <v>1058</v>
      </c>
      <c r="C65" s="76" t="s">
        <v>1063</v>
      </c>
      <c r="D65" s="76" t="s">
        <v>1050</v>
      </c>
      <c r="E65" s="77" t="s">
        <v>26</v>
      </c>
      <c r="F65" s="203">
        <v>58011.51</v>
      </c>
      <c r="G65" s="203"/>
      <c r="H65" s="77" t="s">
        <v>27</v>
      </c>
      <c r="I65" s="204" t="s">
        <v>28</v>
      </c>
      <c r="J65" s="204"/>
      <c r="K65" s="78" t="s">
        <v>29</v>
      </c>
      <c r="L65" s="79">
        <v>3808777.76</v>
      </c>
    </row>
    <row r="66" spans="1:12" ht="71.400000000000006" hidden="1" x14ac:dyDescent="0.3">
      <c r="A66" s="75" t="s">
        <v>244</v>
      </c>
      <c r="B66" s="76" t="s">
        <v>1058</v>
      </c>
      <c r="C66" s="76" t="s">
        <v>1064</v>
      </c>
      <c r="D66" s="76" t="s">
        <v>1050</v>
      </c>
      <c r="E66" s="77" t="s">
        <v>26</v>
      </c>
      <c r="F66" s="203">
        <v>195276.6</v>
      </c>
      <c r="G66" s="203"/>
      <c r="H66" s="77" t="s">
        <v>27</v>
      </c>
      <c r="I66" s="204" t="s">
        <v>28</v>
      </c>
      <c r="J66" s="204"/>
      <c r="K66" s="78" t="s">
        <v>29</v>
      </c>
      <c r="L66" s="79">
        <v>4004054.36</v>
      </c>
    </row>
    <row r="67" spans="1:12" ht="61.2" hidden="1" x14ac:dyDescent="0.3">
      <c r="A67" s="75" t="s">
        <v>253</v>
      </c>
      <c r="B67" s="76" t="s">
        <v>1065</v>
      </c>
      <c r="C67" s="76" t="s">
        <v>1066</v>
      </c>
      <c r="D67" s="76" t="s">
        <v>1044</v>
      </c>
      <c r="E67" s="77" t="s">
        <v>26</v>
      </c>
      <c r="F67" s="203">
        <v>440339.71</v>
      </c>
      <c r="G67" s="203"/>
      <c r="H67" s="77" t="s">
        <v>27</v>
      </c>
      <c r="I67" s="204" t="s">
        <v>28</v>
      </c>
      <c r="J67" s="204"/>
      <c r="K67" s="78" t="s">
        <v>29</v>
      </c>
      <c r="L67" s="79">
        <v>4444394.07</v>
      </c>
    </row>
    <row r="68" spans="1:12" ht="61.2" hidden="1" x14ac:dyDescent="0.3">
      <c r="A68" s="75" t="s">
        <v>253</v>
      </c>
      <c r="B68" s="76" t="s">
        <v>1065</v>
      </c>
      <c r="C68" s="76" t="s">
        <v>1067</v>
      </c>
      <c r="D68" s="76" t="s">
        <v>1044</v>
      </c>
      <c r="E68" s="77" t="s">
        <v>26</v>
      </c>
      <c r="F68" s="203">
        <v>143328.51</v>
      </c>
      <c r="G68" s="203"/>
      <c r="H68" s="77" t="s">
        <v>27</v>
      </c>
      <c r="I68" s="204" t="s">
        <v>28</v>
      </c>
      <c r="J68" s="204"/>
      <c r="K68" s="78" t="s">
        <v>29</v>
      </c>
      <c r="L68" s="79">
        <v>4587722.58</v>
      </c>
    </row>
    <row r="69" spans="1:12" ht="71.400000000000006" hidden="1" x14ac:dyDescent="0.3">
      <c r="A69" s="75" t="s">
        <v>253</v>
      </c>
      <c r="B69" s="76" t="s">
        <v>1065</v>
      </c>
      <c r="C69" s="76" t="s">
        <v>1068</v>
      </c>
      <c r="D69" s="76" t="s">
        <v>1044</v>
      </c>
      <c r="E69" s="77" t="s">
        <v>26</v>
      </c>
      <c r="F69" s="203">
        <v>243132.98</v>
      </c>
      <c r="G69" s="203"/>
      <c r="H69" s="77" t="s">
        <v>27</v>
      </c>
      <c r="I69" s="204" t="s">
        <v>28</v>
      </c>
      <c r="J69" s="204"/>
      <c r="K69" s="78" t="s">
        <v>29</v>
      </c>
      <c r="L69" s="79">
        <v>4830855.5599999996</v>
      </c>
    </row>
    <row r="70" spans="1:12" ht="61.2" hidden="1" x14ac:dyDescent="0.3">
      <c r="A70" s="75" t="s">
        <v>253</v>
      </c>
      <c r="B70" s="76" t="s">
        <v>1069</v>
      </c>
      <c r="C70" s="76" t="s">
        <v>1070</v>
      </c>
      <c r="D70" s="76" t="s">
        <v>1044</v>
      </c>
      <c r="E70" s="77" t="s">
        <v>26</v>
      </c>
      <c r="F70" s="203">
        <v>19842.52</v>
      </c>
      <c r="G70" s="203"/>
      <c r="H70" s="77" t="s">
        <v>27</v>
      </c>
      <c r="I70" s="204" t="s">
        <v>28</v>
      </c>
      <c r="J70" s="204"/>
      <c r="K70" s="78" t="s">
        <v>29</v>
      </c>
      <c r="L70" s="79">
        <v>4850698.08</v>
      </c>
    </row>
    <row r="71" spans="1:12" ht="71.400000000000006" hidden="1" x14ac:dyDescent="0.3">
      <c r="A71" s="75" t="s">
        <v>253</v>
      </c>
      <c r="B71" s="76" t="s">
        <v>1069</v>
      </c>
      <c r="C71" s="76" t="s">
        <v>1071</v>
      </c>
      <c r="D71" s="76" t="s">
        <v>1044</v>
      </c>
      <c r="E71" s="77" t="s">
        <v>26</v>
      </c>
      <c r="F71" s="203">
        <v>1028588</v>
      </c>
      <c r="G71" s="203"/>
      <c r="H71" s="77" t="s">
        <v>27</v>
      </c>
      <c r="I71" s="204" t="s">
        <v>28</v>
      </c>
      <c r="J71" s="204"/>
      <c r="K71" s="78" t="s">
        <v>29</v>
      </c>
      <c r="L71" s="79">
        <v>5879286.0800000001</v>
      </c>
    </row>
    <row r="72" spans="1:12" ht="71.400000000000006" hidden="1" x14ac:dyDescent="0.3">
      <c r="A72" s="75" t="s">
        <v>253</v>
      </c>
      <c r="B72" s="76" t="s">
        <v>261</v>
      </c>
      <c r="C72" s="76" t="s">
        <v>262</v>
      </c>
      <c r="D72" s="76" t="s">
        <v>255</v>
      </c>
      <c r="E72" s="77" t="s">
        <v>26</v>
      </c>
      <c r="F72" s="206">
        <v>232.8</v>
      </c>
      <c r="G72" s="206"/>
      <c r="H72" s="77" t="s">
        <v>26</v>
      </c>
      <c r="I72" s="204" t="s">
        <v>28</v>
      </c>
      <c r="J72" s="204"/>
      <c r="K72" s="78" t="s">
        <v>29</v>
      </c>
      <c r="L72" s="79">
        <v>5879518.8799999999</v>
      </c>
    </row>
    <row r="73" spans="1:12" ht="61.2" hidden="1" x14ac:dyDescent="0.3">
      <c r="A73" s="75" t="s">
        <v>253</v>
      </c>
      <c r="B73" s="76" t="s">
        <v>261</v>
      </c>
      <c r="C73" s="76" t="s">
        <v>263</v>
      </c>
      <c r="D73" s="76" t="s">
        <v>257</v>
      </c>
      <c r="E73" s="77" t="s">
        <v>26</v>
      </c>
      <c r="F73" s="206">
        <v>146.80000000000001</v>
      </c>
      <c r="G73" s="206"/>
      <c r="H73" s="77" t="s">
        <v>26</v>
      </c>
      <c r="I73" s="204" t="s">
        <v>28</v>
      </c>
      <c r="J73" s="204"/>
      <c r="K73" s="78" t="s">
        <v>29</v>
      </c>
      <c r="L73" s="79">
        <v>5879665.6799999997</v>
      </c>
    </row>
    <row r="74" spans="1:12" ht="61.2" hidden="1" x14ac:dyDescent="0.3">
      <c r="A74" s="75" t="s">
        <v>253</v>
      </c>
      <c r="B74" s="76" t="s">
        <v>267</v>
      </c>
      <c r="C74" s="76" t="s">
        <v>268</v>
      </c>
      <c r="D74" s="76" t="s">
        <v>259</v>
      </c>
      <c r="E74" s="77" t="s">
        <v>26</v>
      </c>
      <c r="F74" s="203">
        <v>27529.439999999999</v>
      </c>
      <c r="G74" s="203"/>
      <c r="H74" s="77" t="s">
        <v>26</v>
      </c>
      <c r="I74" s="204" t="s">
        <v>28</v>
      </c>
      <c r="J74" s="204"/>
      <c r="K74" s="78" t="s">
        <v>29</v>
      </c>
      <c r="L74" s="79">
        <v>5907195.1200000001</v>
      </c>
    </row>
    <row r="75" spans="1:12" ht="61.2" hidden="1" x14ac:dyDescent="0.3">
      <c r="A75" s="75" t="s">
        <v>253</v>
      </c>
      <c r="B75" s="76" t="s">
        <v>274</v>
      </c>
      <c r="C75" s="76" t="s">
        <v>275</v>
      </c>
      <c r="D75" s="76" t="s">
        <v>272</v>
      </c>
      <c r="E75" s="77" t="s">
        <v>26</v>
      </c>
      <c r="F75" s="206">
        <v>982.5</v>
      </c>
      <c r="G75" s="206"/>
      <c r="H75" s="77" t="s">
        <v>26</v>
      </c>
      <c r="I75" s="204" t="s">
        <v>28</v>
      </c>
      <c r="J75" s="204"/>
      <c r="K75" s="78" t="s">
        <v>29</v>
      </c>
      <c r="L75" s="79">
        <v>5908177.6200000001</v>
      </c>
    </row>
    <row r="76" spans="1:12" ht="61.2" hidden="1" x14ac:dyDescent="0.3">
      <c r="A76" s="75" t="s">
        <v>709</v>
      </c>
      <c r="B76" s="76" t="s">
        <v>1072</v>
      </c>
      <c r="C76" s="76" t="s">
        <v>1073</v>
      </c>
      <c r="D76" s="76" t="s">
        <v>1074</v>
      </c>
      <c r="E76" s="77" t="s">
        <v>26</v>
      </c>
      <c r="F76" s="203">
        <v>21280</v>
      </c>
      <c r="G76" s="203"/>
      <c r="H76" s="77" t="s">
        <v>27</v>
      </c>
      <c r="I76" s="204" t="s">
        <v>28</v>
      </c>
      <c r="J76" s="204"/>
      <c r="K76" s="78" t="s">
        <v>29</v>
      </c>
      <c r="L76" s="79">
        <v>5929457.6200000001</v>
      </c>
    </row>
    <row r="77" spans="1:12" ht="71.400000000000006" hidden="1" x14ac:dyDescent="0.3">
      <c r="A77" s="75" t="s">
        <v>709</v>
      </c>
      <c r="B77" s="76" t="s">
        <v>1075</v>
      </c>
      <c r="C77" s="76" t="s">
        <v>1076</v>
      </c>
      <c r="D77" s="76" t="s">
        <v>1050</v>
      </c>
      <c r="E77" s="77" t="s">
        <v>26</v>
      </c>
      <c r="F77" s="203">
        <v>649414.80000000005</v>
      </c>
      <c r="G77" s="203"/>
      <c r="H77" s="77" t="s">
        <v>27</v>
      </c>
      <c r="I77" s="204" t="s">
        <v>28</v>
      </c>
      <c r="J77" s="204"/>
      <c r="K77" s="78" t="s">
        <v>29</v>
      </c>
      <c r="L77" s="79">
        <v>6578872.4199999999</v>
      </c>
    </row>
    <row r="78" spans="1:12" ht="61.2" hidden="1" x14ac:dyDescent="0.3">
      <c r="A78" s="75" t="s">
        <v>709</v>
      </c>
      <c r="B78" s="76" t="s">
        <v>1077</v>
      </c>
      <c r="C78" s="76" t="s">
        <v>1073</v>
      </c>
      <c r="D78" s="76" t="s">
        <v>1078</v>
      </c>
      <c r="E78" s="77" t="s">
        <v>26</v>
      </c>
      <c r="F78" s="203">
        <v>8725.7199999999993</v>
      </c>
      <c r="G78" s="203"/>
      <c r="H78" s="77" t="s">
        <v>27</v>
      </c>
      <c r="I78" s="204" t="s">
        <v>28</v>
      </c>
      <c r="J78" s="204"/>
      <c r="K78" s="78" t="s">
        <v>29</v>
      </c>
      <c r="L78" s="79">
        <v>6587598.1399999997</v>
      </c>
    </row>
    <row r="79" spans="1:12" ht="61.2" hidden="1" x14ac:dyDescent="0.3">
      <c r="A79" s="75" t="s">
        <v>709</v>
      </c>
      <c r="B79" s="76" t="s">
        <v>1079</v>
      </c>
      <c r="C79" s="76" t="s">
        <v>1073</v>
      </c>
      <c r="D79" s="76" t="s">
        <v>1080</v>
      </c>
      <c r="E79" s="77" t="s">
        <v>26</v>
      </c>
      <c r="F79" s="206">
        <v>8</v>
      </c>
      <c r="G79" s="206"/>
      <c r="H79" s="77" t="s">
        <v>27</v>
      </c>
      <c r="I79" s="204" t="s">
        <v>28</v>
      </c>
      <c r="J79" s="204"/>
      <c r="K79" s="78" t="s">
        <v>29</v>
      </c>
      <c r="L79" s="79">
        <v>6587606.1399999997</v>
      </c>
    </row>
    <row r="80" spans="1:12" ht="71.400000000000006" hidden="1" x14ac:dyDescent="0.3">
      <c r="A80" s="75" t="s">
        <v>280</v>
      </c>
      <c r="B80" s="76" t="s">
        <v>1081</v>
      </c>
      <c r="C80" s="76" t="s">
        <v>1082</v>
      </c>
      <c r="D80" s="76" t="s">
        <v>1050</v>
      </c>
      <c r="E80" s="77" t="s">
        <v>26</v>
      </c>
      <c r="F80" s="203">
        <v>528589.25</v>
      </c>
      <c r="G80" s="203"/>
      <c r="H80" s="77" t="s">
        <v>27</v>
      </c>
      <c r="I80" s="204" t="s">
        <v>28</v>
      </c>
      <c r="J80" s="204"/>
      <c r="K80" s="78" t="s">
        <v>29</v>
      </c>
      <c r="L80" s="79">
        <v>7116195.3899999997</v>
      </c>
    </row>
    <row r="81" spans="1:12" ht="71.400000000000006" hidden="1" x14ac:dyDescent="0.3">
      <c r="A81" s="75" t="s">
        <v>280</v>
      </c>
      <c r="B81" s="76" t="s">
        <v>1083</v>
      </c>
      <c r="C81" s="76" t="s">
        <v>1084</v>
      </c>
      <c r="D81" s="76" t="s">
        <v>1085</v>
      </c>
      <c r="E81" s="77" t="s">
        <v>26</v>
      </c>
      <c r="F81" s="203">
        <v>36523.5</v>
      </c>
      <c r="G81" s="203"/>
      <c r="H81" s="77" t="s">
        <v>27</v>
      </c>
      <c r="I81" s="204" t="s">
        <v>28</v>
      </c>
      <c r="J81" s="204"/>
      <c r="K81" s="78" t="s">
        <v>29</v>
      </c>
      <c r="L81" s="79">
        <v>7152718.8899999997</v>
      </c>
    </row>
    <row r="82" spans="1:12" ht="71.400000000000006" hidden="1" x14ac:dyDescent="0.3">
      <c r="A82" s="75" t="s">
        <v>280</v>
      </c>
      <c r="B82" s="76" t="s">
        <v>1086</v>
      </c>
      <c r="C82" s="76" t="s">
        <v>1084</v>
      </c>
      <c r="D82" s="76" t="s">
        <v>1085</v>
      </c>
      <c r="E82" s="77" t="s">
        <v>26</v>
      </c>
      <c r="F82" s="203">
        <v>53380.5</v>
      </c>
      <c r="G82" s="203"/>
      <c r="H82" s="77" t="s">
        <v>27</v>
      </c>
      <c r="I82" s="204" t="s">
        <v>28</v>
      </c>
      <c r="J82" s="204"/>
      <c r="K82" s="78" t="s">
        <v>29</v>
      </c>
      <c r="L82" s="79">
        <v>7206099.3899999997</v>
      </c>
    </row>
    <row r="83" spans="1:12" ht="71.400000000000006" hidden="1" x14ac:dyDescent="0.3">
      <c r="A83" s="75" t="s">
        <v>280</v>
      </c>
      <c r="B83" s="76" t="s">
        <v>294</v>
      </c>
      <c r="C83" s="76" t="s">
        <v>295</v>
      </c>
      <c r="D83" s="76" t="s">
        <v>284</v>
      </c>
      <c r="E83" s="77" t="s">
        <v>26</v>
      </c>
      <c r="F83" s="203">
        <v>54613.34</v>
      </c>
      <c r="G83" s="203"/>
      <c r="H83" s="77" t="s">
        <v>26</v>
      </c>
      <c r="I83" s="204" t="s">
        <v>28</v>
      </c>
      <c r="J83" s="204"/>
      <c r="K83" s="78" t="s">
        <v>29</v>
      </c>
      <c r="L83" s="79">
        <v>7260712.7300000004</v>
      </c>
    </row>
    <row r="84" spans="1:12" ht="71.400000000000006" hidden="1" x14ac:dyDescent="0.3">
      <c r="A84" s="75" t="s">
        <v>280</v>
      </c>
      <c r="B84" s="76" t="s">
        <v>299</v>
      </c>
      <c r="C84" s="76" t="s">
        <v>300</v>
      </c>
      <c r="D84" s="76" t="s">
        <v>288</v>
      </c>
      <c r="E84" s="77" t="s">
        <v>26</v>
      </c>
      <c r="F84" s="203">
        <v>109344.38</v>
      </c>
      <c r="G84" s="203"/>
      <c r="H84" s="77" t="s">
        <v>26</v>
      </c>
      <c r="I84" s="204" t="s">
        <v>28</v>
      </c>
      <c r="J84" s="204"/>
      <c r="K84" s="78" t="s">
        <v>29</v>
      </c>
      <c r="L84" s="79">
        <v>7370057.1100000003</v>
      </c>
    </row>
    <row r="85" spans="1:12" ht="71.400000000000006" hidden="1" x14ac:dyDescent="0.3">
      <c r="A85" s="75" t="s">
        <v>715</v>
      </c>
      <c r="B85" s="76" t="s">
        <v>1087</v>
      </c>
      <c r="C85" s="76" t="s">
        <v>1088</v>
      </c>
      <c r="D85" s="76" t="s">
        <v>912</v>
      </c>
      <c r="E85" s="77" t="s">
        <v>26</v>
      </c>
      <c r="F85" s="203">
        <v>31047.4</v>
      </c>
      <c r="G85" s="203"/>
      <c r="H85" s="77" t="s">
        <v>27</v>
      </c>
      <c r="I85" s="204" t="s">
        <v>28</v>
      </c>
      <c r="J85" s="204"/>
      <c r="K85" s="78" t="s">
        <v>29</v>
      </c>
      <c r="L85" s="79">
        <v>7401104.5099999998</v>
      </c>
    </row>
    <row r="86" spans="1:12" ht="71.400000000000006" hidden="1" x14ac:dyDescent="0.3">
      <c r="A86" s="75" t="s">
        <v>715</v>
      </c>
      <c r="B86" s="76" t="s">
        <v>1087</v>
      </c>
      <c r="C86" s="76" t="s">
        <v>1088</v>
      </c>
      <c r="D86" s="76" t="s">
        <v>247</v>
      </c>
      <c r="E86" s="77" t="s">
        <v>26</v>
      </c>
      <c r="F86" s="203">
        <v>12760.1</v>
      </c>
      <c r="G86" s="203"/>
      <c r="H86" s="77" t="s">
        <v>27</v>
      </c>
      <c r="I86" s="204" t="s">
        <v>28</v>
      </c>
      <c r="J86" s="204"/>
      <c r="K86" s="78" t="s">
        <v>29</v>
      </c>
      <c r="L86" s="79">
        <v>7413864.6100000003</v>
      </c>
    </row>
    <row r="87" spans="1:12" ht="71.400000000000006" hidden="1" x14ac:dyDescent="0.3">
      <c r="A87" s="75" t="s">
        <v>715</v>
      </c>
      <c r="B87" s="76" t="s">
        <v>1089</v>
      </c>
      <c r="C87" s="76" t="s">
        <v>1088</v>
      </c>
      <c r="D87" s="76" t="s">
        <v>912</v>
      </c>
      <c r="E87" s="77" t="s">
        <v>26</v>
      </c>
      <c r="F87" s="203">
        <v>14070</v>
      </c>
      <c r="G87" s="203"/>
      <c r="H87" s="77" t="s">
        <v>27</v>
      </c>
      <c r="I87" s="204" t="s">
        <v>28</v>
      </c>
      <c r="J87" s="204"/>
      <c r="K87" s="78" t="s">
        <v>29</v>
      </c>
      <c r="L87" s="79">
        <v>7427934.6100000003</v>
      </c>
    </row>
    <row r="88" spans="1:12" ht="61.2" hidden="1" x14ac:dyDescent="0.3">
      <c r="A88" s="75" t="s">
        <v>301</v>
      </c>
      <c r="B88" s="76" t="s">
        <v>309</v>
      </c>
      <c r="C88" s="76" t="s">
        <v>310</v>
      </c>
      <c r="D88" s="76" t="s">
        <v>303</v>
      </c>
      <c r="E88" s="77" t="s">
        <v>26</v>
      </c>
      <c r="F88" s="206">
        <v>95.5</v>
      </c>
      <c r="G88" s="206"/>
      <c r="H88" s="77" t="s">
        <v>26</v>
      </c>
      <c r="I88" s="204" t="s">
        <v>28</v>
      </c>
      <c r="J88" s="204"/>
      <c r="K88" s="78" t="s">
        <v>29</v>
      </c>
      <c r="L88" s="79">
        <v>7428030.1100000003</v>
      </c>
    </row>
    <row r="89" spans="1:12" ht="61.2" hidden="1" x14ac:dyDescent="0.3">
      <c r="A89" s="75" t="s">
        <v>301</v>
      </c>
      <c r="B89" s="76" t="s">
        <v>309</v>
      </c>
      <c r="C89" s="76" t="s">
        <v>311</v>
      </c>
      <c r="D89" s="76" t="s">
        <v>305</v>
      </c>
      <c r="E89" s="77" t="s">
        <v>26</v>
      </c>
      <c r="F89" s="206">
        <v>182.5</v>
      </c>
      <c r="G89" s="206"/>
      <c r="H89" s="77" t="s">
        <v>26</v>
      </c>
      <c r="I89" s="204" t="s">
        <v>28</v>
      </c>
      <c r="J89" s="204"/>
      <c r="K89" s="78" t="s">
        <v>29</v>
      </c>
      <c r="L89" s="79">
        <v>7428212.6100000003</v>
      </c>
    </row>
    <row r="90" spans="1:12" ht="71.400000000000006" hidden="1" x14ac:dyDescent="0.3">
      <c r="A90" s="75" t="s">
        <v>301</v>
      </c>
      <c r="B90" s="76" t="s">
        <v>317</v>
      </c>
      <c r="C90" s="76" t="s">
        <v>318</v>
      </c>
      <c r="D90" s="76" t="s">
        <v>313</v>
      </c>
      <c r="E90" s="77" t="s">
        <v>26</v>
      </c>
      <c r="F90" s="203">
        <v>67592.02</v>
      </c>
      <c r="G90" s="203"/>
      <c r="H90" s="77" t="s">
        <v>26</v>
      </c>
      <c r="I90" s="204" t="s">
        <v>28</v>
      </c>
      <c r="J90" s="204"/>
      <c r="K90" s="78" t="s">
        <v>29</v>
      </c>
      <c r="L90" s="79">
        <v>7495804.6299999999</v>
      </c>
    </row>
    <row r="91" spans="1:12" ht="71.400000000000006" hidden="1" x14ac:dyDescent="0.3">
      <c r="A91" s="75" t="s">
        <v>321</v>
      </c>
      <c r="B91" s="76" t="s">
        <v>1090</v>
      </c>
      <c r="C91" s="76" t="s">
        <v>1091</v>
      </c>
      <c r="D91" s="76" t="s">
        <v>1092</v>
      </c>
      <c r="E91" s="77" t="s">
        <v>26</v>
      </c>
      <c r="F91" s="203">
        <v>19912.5</v>
      </c>
      <c r="G91" s="203"/>
      <c r="H91" s="77" t="s">
        <v>27</v>
      </c>
      <c r="I91" s="204" t="s">
        <v>28</v>
      </c>
      <c r="J91" s="204"/>
      <c r="K91" s="78" t="s">
        <v>29</v>
      </c>
      <c r="L91" s="79">
        <v>7515717.1299999999</v>
      </c>
    </row>
    <row r="92" spans="1:12" ht="71.400000000000006" hidden="1" x14ac:dyDescent="0.3">
      <c r="A92" s="75" t="s">
        <v>321</v>
      </c>
      <c r="B92" s="76" t="s">
        <v>1093</v>
      </c>
      <c r="C92" s="76" t="s">
        <v>1091</v>
      </c>
      <c r="D92" s="76" t="s">
        <v>912</v>
      </c>
      <c r="E92" s="77" t="s">
        <v>26</v>
      </c>
      <c r="F92" s="203">
        <v>7697.5</v>
      </c>
      <c r="G92" s="203"/>
      <c r="H92" s="77" t="s">
        <v>27</v>
      </c>
      <c r="I92" s="204" t="s">
        <v>28</v>
      </c>
      <c r="J92" s="204"/>
      <c r="K92" s="78" t="s">
        <v>29</v>
      </c>
      <c r="L92" s="79">
        <v>7523414.6299999999</v>
      </c>
    </row>
    <row r="93" spans="1:12" ht="61.2" hidden="1" x14ac:dyDescent="0.3">
      <c r="A93" s="75" t="s">
        <v>321</v>
      </c>
      <c r="B93" s="76" t="s">
        <v>1094</v>
      </c>
      <c r="C93" s="76" t="s">
        <v>1095</v>
      </c>
      <c r="D93" s="76" t="s">
        <v>1044</v>
      </c>
      <c r="E93" s="77" t="s">
        <v>26</v>
      </c>
      <c r="F93" s="203">
        <v>189750</v>
      </c>
      <c r="G93" s="203"/>
      <c r="H93" s="77" t="s">
        <v>27</v>
      </c>
      <c r="I93" s="204" t="s">
        <v>28</v>
      </c>
      <c r="J93" s="204"/>
      <c r="K93" s="78" t="s">
        <v>29</v>
      </c>
      <c r="L93" s="79">
        <v>7713164.6299999999</v>
      </c>
    </row>
    <row r="94" spans="1:12" ht="71.400000000000006" hidden="1" x14ac:dyDescent="0.3">
      <c r="A94" s="75" t="s">
        <v>321</v>
      </c>
      <c r="B94" s="76" t="s">
        <v>1096</v>
      </c>
      <c r="C94" s="76" t="s">
        <v>1097</v>
      </c>
      <c r="D94" s="76" t="s">
        <v>1050</v>
      </c>
      <c r="E94" s="77" t="s">
        <v>26</v>
      </c>
      <c r="F94" s="203">
        <v>68266.679999999993</v>
      </c>
      <c r="G94" s="203"/>
      <c r="H94" s="77" t="s">
        <v>27</v>
      </c>
      <c r="I94" s="204" t="s">
        <v>28</v>
      </c>
      <c r="J94" s="204"/>
      <c r="K94" s="78" t="s">
        <v>29</v>
      </c>
      <c r="L94" s="79">
        <v>7781431.3099999996</v>
      </c>
    </row>
    <row r="95" spans="1:12" ht="81.599999999999994" hidden="1" x14ac:dyDescent="0.3">
      <c r="A95" s="75" t="s">
        <v>321</v>
      </c>
      <c r="B95" s="76" t="s">
        <v>1096</v>
      </c>
      <c r="C95" s="76" t="s">
        <v>1098</v>
      </c>
      <c r="D95" s="76" t="s">
        <v>1050</v>
      </c>
      <c r="E95" s="77" t="s">
        <v>26</v>
      </c>
      <c r="F95" s="203">
        <v>59184.160000000003</v>
      </c>
      <c r="G95" s="203"/>
      <c r="H95" s="77" t="s">
        <v>27</v>
      </c>
      <c r="I95" s="204" t="s">
        <v>28</v>
      </c>
      <c r="J95" s="204"/>
      <c r="K95" s="78" t="s">
        <v>29</v>
      </c>
      <c r="L95" s="79">
        <v>7840615.4699999997</v>
      </c>
    </row>
    <row r="96" spans="1:12" ht="71.400000000000006" hidden="1" x14ac:dyDescent="0.3">
      <c r="A96" s="75" t="s">
        <v>321</v>
      </c>
      <c r="B96" s="76" t="s">
        <v>1096</v>
      </c>
      <c r="C96" s="76" t="s">
        <v>1099</v>
      </c>
      <c r="D96" s="76" t="s">
        <v>1050</v>
      </c>
      <c r="E96" s="77" t="s">
        <v>26</v>
      </c>
      <c r="F96" s="203">
        <v>70250.67</v>
      </c>
      <c r="G96" s="203"/>
      <c r="H96" s="77" t="s">
        <v>27</v>
      </c>
      <c r="I96" s="204" t="s">
        <v>28</v>
      </c>
      <c r="J96" s="204"/>
      <c r="K96" s="78" t="s">
        <v>29</v>
      </c>
      <c r="L96" s="79">
        <v>7910866.1399999997</v>
      </c>
    </row>
    <row r="97" spans="1:12" ht="71.400000000000006" hidden="1" x14ac:dyDescent="0.3">
      <c r="A97" s="75" t="s">
        <v>321</v>
      </c>
      <c r="B97" s="76" t="s">
        <v>1096</v>
      </c>
      <c r="C97" s="76" t="s">
        <v>1100</v>
      </c>
      <c r="D97" s="76" t="s">
        <v>1050</v>
      </c>
      <c r="E97" s="77" t="s">
        <v>26</v>
      </c>
      <c r="F97" s="203">
        <v>324707.40000000002</v>
      </c>
      <c r="G97" s="203"/>
      <c r="H97" s="77" t="s">
        <v>27</v>
      </c>
      <c r="I97" s="204" t="s">
        <v>28</v>
      </c>
      <c r="J97" s="204"/>
      <c r="K97" s="78" t="s">
        <v>29</v>
      </c>
      <c r="L97" s="79">
        <v>8235573.54</v>
      </c>
    </row>
    <row r="98" spans="1:12" ht="71.400000000000006" hidden="1" x14ac:dyDescent="0.3">
      <c r="A98" s="75" t="s">
        <v>321</v>
      </c>
      <c r="B98" s="76" t="s">
        <v>1096</v>
      </c>
      <c r="C98" s="76" t="s">
        <v>1101</v>
      </c>
      <c r="D98" s="76" t="s">
        <v>1050</v>
      </c>
      <c r="E98" s="77" t="s">
        <v>26</v>
      </c>
      <c r="F98" s="203">
        <v>122132.28</v>
      </c>
      <c r="G98" s="203"/>
      <c r="H98" s="77" t="s">
        <v>27</v>
      </c>
      <c r="I98" s="204" t="s">
        <v>28</v>
      </c>
      <c r="J98" s="204"/>
      <c r="K98" s="78" t="s">
        <v>29</v>
      </c>
      <c r="L98" s="79">
        <v>8357705.8200000003</v>
      </c>
    </row>
    <row r="99" spans="1:12" ht="71.400000000000006" hidden="1" x14ac:dyDescent="0.3">
      <c r="A99" s="75" t="s">
        <v>334</v>
      </c>
      <c r="B99" s="76" t="s">
        <v>1102</v>
      </c>
      <c r="C99" s="76" t="s">
        <v>1103</v>
      </c>
      <c r="D99" s="76" t="s">
        <v>1050</v>
      </c>
      <c r="E99" s="77" t="s">
        <v>26</v>
      </c>
      <c r="F99" s="203">
        <v>70051.05</v>
      </c>
      <c r="G99" s="203"/>
      <c r="H99" s="77" t="s">
        <v>27</v>
      </c>
      <c r="I99" s="204" t="s">
        <v>28</v>
      </c>
      <c r="J99" s="204"/>
      <c r="K99" s="78" t="s">
        <v>29</v>
      </c>
      <c r="L99" s="79">
        <v>8427756.8699999992</v>
      </c>
    </row>
    <row r="100" spans="1:12" ht="71.400000000000006" hidden="1" x14ac:dyDescent="0.3">
      <c r="A100" s="75" t="s">
        <v>334</v>
      </c>
      <c r="B100" s="76" t="s">
        <v>1102</v>
      </c>
      <c r="C100" s="76" t="s">
        <v>1104</v>
      </c>
      <c r="D100" s="76" t="s">
        <v>1050</v>
      </c>
      <c r="E100" s="77" t="s">
        <v>26</v>
      </c>
      <c r="F100" s="203">
        <v>575773.27</v>
      </c>
      <c r="G100" s="203"/>
      <c r="H100" s="77" t="s">
        <v>27</v>
      </c>
      <c r="I100" s="204" t="s">
        <v>28</v>
      </c>
      <c r="J100" s="204"/>
      <c r="K100" s="78" t="s">
        <v>29</v>
      </c>
      <c r="L100" s="79">
        <v>9003530.1400000006</v>
      </c>
    </row>
    <row r="101" spans="1:12" ht="71.400000000000006" hidden="1" x14ac:dyDescent="0.3">
      <c r="A101" s="75" t="s">
        <v>741</v>
      </c>
      <c r="B101" s="76" t="s">
        <v>1105</v>
      </c>
      <c r="C101" s="76" t="s">
        <v>1106</v>
      </c>
      <c r="D101" s="76" t="s">
        <v>1050</v>
      </c>
      <c r="E101" s="77" t="s">
        <v>26</v>
      </c>
      <c r="F101" s="203">
        <v>6279</v>
      </c>
      <c r="G101" s="203"/>
      <c r="H101" s="77" t="s">
        <v>27</v>
      </c>
      <c r="I101" s="204" t="s">
        <v>28</v>
      </c>
      <c r="J101" s="204"/>
      <c r="K101" s="78" t="s">
        <v>29</v>
      </c>
      <c r="L101" s="79">
        <v>9009809.1400000006</v>
      </c>
    </row>
    <row r="102" spans="1:12" ht="71.400000000000006" hidden="1" x14ac:dyDescent="0.3">
      <c r="A102" s="75" t="s">
        <v>741</v>
      </c>
      <c r="B102" s="76" t="s">
        <v>1107</v>
      </c>
      <c r="C102" s="76" t="s">
        <v>1108</v>
      </c>
      <c r="D102" s="76" t="s">
        <v>1050</v>
      </c>
      <c r="E102" s="77" t="s">
        <v>26</v>
      </c>
      <c r="F102" s="203">
        <v>11871.67</v>
      </c>
      <c r="G102" s="203"/>
      <c r="H102" s="77" t="s">
        <v>27</v>
      </c>
      <c r="I102" s="204" t="s">
        <v>28</v>
      </c>
      <c r="J102" s="204"/>
      <c r="K102" s="78" t="s">
        <v>29</v>
      </c>
      <c r="L102" s="79">
        <v>9021680.8100000005</v>
      </c>
    </row>
    <row r="103" spans="1:12" ht="71.400000000000006" hidden="1" x14ac:dyDescent="0.3">
      <c r="A103" s="75" t="s">
        <v>741</v>
      </c>
      <c r="B103" s="76" t="s">
        <v>1107</v>
      </c>
      <c r="C103" s="76" t="s">
        <v>1109</v>
      </c>
      <c r="D103" s="76" t="s">
        <v>1050</v>
      </c>
      <c r="E103" s="77" t="s">
        <v>26</v>
      </c>
      <c r="F103" s="203">
        <v>15922</v>
      </c>
      <c r="G103" s="203"/>
      <c r="H103" s="77" t="s">
        <v>27</v>
      </c>
      <c r="I103" s="204" t="s">
        <v>28</v>
      </c>
      <c r="J103" s="204"/>
      <c r="K103" s="78" t="s">
        <v>29</v>
      </c>
      <c r="L103" s="79">
        <v>9037602.8100000005</v>
      </c>
    </row>
    <row r="104" spans="1:12" ht="71.400000000000006" hidden="1" x14ac:dyDescent="0.3">
      <c r="A104" s="75" t="s">
        <v>741</v>
      </c>
      <c r="B104" s="76" t="s">
        <v>1107</v>
      </c>
      <c r="C104" s="76" t="s">
        <v>1110</v>
      </c>
      <c r="D104" s="76" t="s">
        <v>1050</v>
      </c>
      <c r="E104" s="77" t="s">
        <v>26</v>
      </c>
      <c r="F104" s="203">
        <v>21862.09</v>
      </c>
      <c r="G104" s="203"/>
      <c r="H104" s="77" t="s">
        <v>27</v>
      </c>
      <c r="I104" s="204" t="s">
        <v>28</v>
      </c>
      <c r="J104" s="204"/>
      <c r="K104" s="78" t="s">
        <v>29</v>
      </c>
      <c r="L104" s="79">
        <v>9059464.9000000004</v>
      </c>
    </row>
    <row r="105" spans="1:12" ht="71.400000000000006" hidden="1" x14ac:dyDescent="0.3">
      <c r="A105" s="75" t="s">
        <v>741</v>
      </c>
      <c r="B105" s="76" t="s">
        <v>1107</v>
      </c>
      <c r="C105" s="76" t="s">
        <v>1111</v>
      </c>
      <c r="D105" s="76" t="s">
        <v>1050</v>
      </c>
      <c r="E105" s="77" t="s">
        <v>26</v>
      </c>
      <c r="F105" s="203">
        <v>97638.3</v>
      </c>
      <c r="G105" s="203"/>
      <c r="H105" s="77" t="s">
        <v>27</v>
      </c>
      <c r="I105" s="204" t="s">
        <v>28</v>
      </c>
      <c r="J105" s="204"/>
      <c r="K105" s="78" t="s">
        <v>29</v>
      </c>
      <c r="L105" s="79">
        <v>9157103.1999999993</v>
      </c>
    </row>
    <row r="106" spans="1:12" ht="71.400000000000006" hidden="1" x14ac:dyDescent="0.3">
      <c r="A106" s="75" t="s">
        <v>741</v>
      </c>
      <c r="B106" s="76" t="s">
        <v>1112</v>
      </c>
      <c r="C106" s="76" t="s">
        <v>1113</v>
      </c>
      <c r="D106" s="76" t="s">
        <v>1114</v>
      </c>
      <c r="E106" s="77" t="s">
        <v>26</v>
      </c>
      <c r="F106" s="203">
        <v>178272.5</v>
      </c>
      <c r="G106" s="203"/>
      <c r="H106" s="77" t="s">
        <v>27</v>
      </c>
      <c r="I106" s="204" t="s">
        <v>28</v>
      </c>
      <c r="J106" s="204"/>
      <c r="K106" s="78" t="s">
        <v>29</v>
      </c>
      <c r="L106" s="79">
        <v>9335375.6999999993</v>
      </c>
    </row>
    <row r="107" spans="1:12" ht="61.2" hidden="1" x14ac:dyDescent="0.3">
      <c r="A107" s="75" t="s">
        <v>343</v>
      </c>
      <c r="B107" s="76" t="s">
        <v>1115</v>
      </c>
      <c r="C107" s="76" t="s">
        <v>1116</v>
      </c>
      <c r="D107" s="76" t="s">
        <v>1117</v>
      </c>
      <c r="E107" s="77" t="s">
        <v>26</v>
      </c>
      <c r="F107" s="203">
        <v>8946.76</v>
      </c>
      <c r="G107" s="203"/>
      <c r="H107" s="77" t="s">
        <v>27</v>
      </c>
      <c r="I107" s="204" t="s">
        <v>28</v>
      </c>
      <c r="J107" s="204"/>
      <c r="K107" s="78" t="s">
        <v>29</v>
      </c>
      <c r="L107" s="79">
        <v>9344322.4600000009</v>
      </c>
    </row>
    <row r="108" spans="1:12" ht="61.2" hidden="1" x14ac:dyDescent="0.3">
      <c r="A108" s="75" t="s">
        <v>343</v>
      </c>
      <c r="B108" s="76" t="s">
        <v>1118</v>
      </c>
      <c r="C108" s="76" t="s">
        <v>1116</v>
      </c>
      <c r="D108" s="76" t="s">
        <v>337</v>
      </c>
      <c r="E108" s="77" t="s">
        <v>26</v>
      </c>
      <c r="F108" s="203">
        <v>4353.24</v>
      </c>
      <c r="G108" s="203"/>
      <c r="H108" s="77" t="s">
        <v>27</v>
      </c>
      <c r="I108" s="204" t="s">
        <v>28</v>
      </c>
      <c r="J108" s="204"/>
      <c r="K108" s="78" t="s">
        <v>29</v>
      </c>
      <c r="L108" s="79">
        <v>9348675.6999999993</v>
      </c>
    </row>
    <row r="109" spans="1:12" ht="61.2" hidden="1" x14ac:dyDescent="0.3">
      <c r="A109" s="75" t="s">
        <v>343</v>
      </c>
      <c r="B109" s="76" t="s">
        <v>1119</v>
      </c>
      <c r="C109" s="76" t="s">
        <v>1120</v>
      </c>
      <c r="D109" s="76" t="s">
        <v>1121</v>
      </c>
      <c r="E109" s="77" t="s">
        <v>26</v>
      </c>
      <c r="F109" s="203">
        <v>21280</v>
      </c>
      <c r="G109" s="203"/>
      <c r="H109" s="77" t="s">
        <v>27</v>
      </c>
      <c r="I109" s="204" t="s">
        <v>28</v>
      </c>
      <c r="J109" s="204"/>
      <c r="K109" s="78" t="s">
        <v>29</v>
      </c>
      <c r="L109" s="79">
        <v>9369955.6999999993</v>
      </c>
    </row>
    <row r="110" spans="1:12" ht="61.2" hidden="1" x14ac:dyDescent="0.3">
      <c r="A110" s="75" t="s">
        <v>343</v>
      </c>
      <c r="B110" s="76" t="s">
        <v>1122</v>
      </c>
      <c r="C110" s="76" t="s">
        <v>1116</v>
      </c>
      <c r="D110" s="76" t="s">
        <v>1123</v>
      </c>
      <c r="E110" s="77" t="s">
        <v>26</v>
      </c>
      <c r="F110" s="203">
        <v>5613.85</v>
      </c>
      <c r="G110" s="203"/>
      <c r="H110" s="77" t="s">
        <v>27</v>
      </c>
      <c r="I110" s="204" t="s">
        <v>28</v>
      </c>
      <c r="J110" s="204"/>
      <c r="K110" s="78" t="s">
        <v>29</v>
      </c>
      <c r="L110" s="79">
        <v>9375569.5500000007</v>
      </c>
    </row>
    <row r="111" spans="1:12" ht="61.2" hidden="1" x14ac:dyDescent="0.3">
      <c r="A111" s="75" t="s">
        <v>343</v>
      </c>
      <c r="B111" s="76" t="s">
        <v>1124</v>
      </c>
      <c r="C111" s="76" t="s">
        <v>1120</v>
      </c>
      <c r="D111" s="76" t="s">
        <v>1125</v>
      </c>
      <c r="E111" s="77" t="s">
        <v>26</v>
      </c>
      <c r="F111" s="203">
        <v>8982.16</v>
      </c>
      <c r="G111" s="203"/>
      <c r="H111" s="77" t="s">
        <v>27</v>
      </c>
      <c r="I111" s="204" t="s">
        <v>28</v>
      </c>
      <c r="J111" s="204"/>
      <c r="K111" s="78" t="s">
        <v>29</v>
      </c>
      <c r="L111" s="79">
        <v>9384551.7100000009</v>
      </c>
    </row>
    <row r="112" spans="1:12" ht="71.400000000000006" hidden="1" x14ac:dyDescent="0.3">
      <c r="A112" s="75" t="s">
        <v>343</v>
      </c>
      <c r="B112" s="76" t="s">
        <v>1126</v>
      </c>
      <c r="C112" s="76" t="s">
        <v>1127</v>
      </c>
      <c r="D112" s="76" t="s">
        <v>1128</v>
      </c>
      <c r="E112" s="77" t="s">
        <v>26</v>
      </c>
      <c r="F112" s="203">
        <v>3806.83</v>
      </c>
      <c r="G112" s="203"/>
      <c r="H112" s="77" t="s">
        <v>27</v>
      </c>
      <c r="I112" s="204" t="s">
        <v>28</v>
      </c>
      <c r="J112" s="204"/>
      <c r="K112" s="78" t="s">
        <v>29</v>
      </c>
      <c r="L112" s="79">
        <v>9388358.5399999991</v>
      </c>
    </row>
    <row r="113" spans="1:12" ht="71.400000000000006" hidden="1" x14ac:dyDescent="0.3">
      <c r="A113" s="75" t="s">
        <v>343</v>
      </c>
      <c r="B113" s="76" t="s">
        <v>1129</v>
      </c>
      <c r="C113" s="76" t="s">
        <v>1127</v>
      </c>
      <c r="D113" s="76" t="s">
        <v>1128</v>
      </c>
      <c r="E113" s="77" t="s">
        <v>26</v>
      </c>
      <c r="F113" s="203">
        <v>5563.83</v>
      </c>
      <c r="G113" s="203"/>
      <c r="H113" s="77" t="s">
        <v>27</v>
      </c>
      <c r="I113" s="204" t="s">
        <v>28</v>
      </c>
      <c r="J113" s="204"/>
      <c r="K113" s="78" t="s">
        <v>29</v>
      </c>
      <c r="L113" s="79">
        <v>9393922.3699999992</v>
      </c>
    </row>
    <row r="114" spans="1:12" ht="71.400000000000006" hidden="1" x14ac:dyDescent="0.3">
      <c r="A114" s="75" t="s">
        <v>343</v>
      </c>
      <c r="B114" s="76" t="s">
        <v>350</v>
      </c>
      <c r="C114" s="76" t="s">
        <v>351</v>
      </c>
      <c r="D114" s="76" t="s">
        <v>345</v>
      </c>
      <c r="E114" s="77" t="s">
        <v>26</v>
      </c>
      <c r="F114" s="203">
        <v>83173.34</v>
      </c>
      <c r="G114" s="203"/>
      <c r="H114" s="77" t="s">
        <v>26</v>
      </c>
      <c r="I114" s="204" t="s">
        <v>28</v>
      </c>
      <c r="J114" s="204"/>
      <c r="K114" s="78" t="s">
        <v>29</v>
      </c>
      <c r="L114" s="79">
        <v>9477095.7100000009</v>
      </c>
    </row>
    <row r="115" spans="1:12" ht="61.2" hidden="1" x14ac:dyDescent="0.3">
      <c r="A115" s="75" t="s">
        <v>352</v>
      </c>
      <c r="B115" s="76" t="s">
        <v>361</v>
      </c>
      <c r="C115" s="76" t="s">
        <v>362</v>
      </c>
      <c r="D115" s="76" t="s">
        <v>354</v>
      </c>
      <c r="E115" s="77" t="s">
        <v>26</v>
      </c>
      <c r="F115" s="203">
        <v>10539.92</v>
      </c>
      <c r="G115" s="203"/>
      <c r="H115" s="77" t="s">
        <v>26</v>
      </c>
      <c r="I115" s="204" t="s">
        <v>28</v>
      </c>
      <c r="J115" s="204"/>
      <c r="K115" s="78" t="s">
        <v>29</v>
      </c>
      <c r="L115" s="79">
        <v>9487635.6300000008</v>
      </c>
    </row>
    <row r="116" spans="1:12" ht="71.400000000000006" hidden="1" x14ac:dyDescent="0.3">
      <c r="A116" s="75" t="s">
        <v>352</v>
      </c>
      <c r="B116" s="76" t="s">
        <v>1130</v>
      </c>
      <c r="C116" s="76" t="s">
        <v>1131</v>
      </c>
      <c r="D116" s="76" t="s">
        <v>1132</v>
      </c>
      <c r="E116" s="77" t="s">
        <v>26</v>
      </c>
      <c r="F116" s="203">
        <v>42388.67</v>
      </c>
      <c r="G116" s="203"/>
      <c r="H116" s="77" t="s">
        <v>27</v>
      </c>
      <c r="I116" s="204" t="s">
        <v>28</v>
      </c>
      <c r="J116" s="204"/>
      <c r="K116" s="78" t="s">
        <v>29</v>
      </c>
      <c r="L116" s="79">
        <v>9530024.3000000007</v>
      </c>
    </row>
    <row r="117" spans="1:12" ht="71.400000000000006" hidden="1" x14ac:dyDescent="0.3">
      <c r="A117" s="75" t="s">
        <v>352</v>
      </c>
      <c r="B117" s="76" t="s">
        <v>1133</v>
      </c>
      <c r="C117" s="76" t="s">
        <v>1131</v>
      </c>
      <c r="D117" s="76" t="s">
        <v>1132</v>
      </c>
      <c r="E117" s="77" t="s">
        <v>26</v>
      </c>
      <c r="F117" s="203">
        <v>61952.66</v>
      </c>
      <c r="G117" s="203"/>
      <c r="H117" s="77" t="s">
        <v>27</v>
      </c>
      <c r="I117" s="204" t="s">
        <v>28</v>
      </c>
      <c r="J117" s="204"/>
      <c r="K117" s="78" t="s">
        <v>29</v>
      </c>
      <c r="L117" s="79">
        <v>9591976.9600000009</v>
      </c>
    </row>
    <row r="118" spans="1:12" ht="61.2" hidden="1" x14ac:dyDescent="0.3">
      <c r="A118" s="75" t="s">
        <v>363</v>
      </c>
      <c r="B118" s="76" t="s">
        <v>1134</v>
      </c>
      <c r="C118" s="76" t="s">
        <v>1135</v>
      </c>
      <c r="D118" s="76" t="s">
        <v>1136</v>
      </c>
      <c r="E118" s="77" t="s">
        <v>26</v>
      </c>
      <c r="F118" s="203">
        <v>12482.2</v>
      </c>
      <c r="G118" s="203"/>
      <c r="H118" s="77" t="s">
        <v>27</v>
      </c>
      <c r="I118" s="204" t="s">
        <v>28</v>
      </c>
      <c r="J118" s="204"/>
      <c r="K118" s="78" t="s">
        <v>29</v>
      </c>
      <c r="L118" s="79">
        <v>9604459.1600000001</v>
      </c>
    </row>
    <row r="119" spans="1:12" ht="61.2" hidden="1" x14ac:dyDescent="0.3">
      <c r="A119" s="75" t="s">
        <v>363</v>
      </c>
      <c r="B119" s="76" t="s">
        <v>1137</v>
      </c>
      <c r="C119" s="76" t="s">
        <v>1135</v>
      </c>
      <c r="D119" s="76" t="s">
        <v>1138</v>
      </c>
      <c r="E119" s="77" t="s">
        <v>26</v>
      </c>
      <c r="F119" s="203">
        <v>8797.7999999999993</v>
      </c>
      <c r="G119" s="203"/>
      <c r="H119" s="77" t="s">
        <v>27</v>
      </c>
      <c r="I119" s="204" t="s">
        <v>28</v>
      </c>
      <c r="J119" s="204"/>
      <c r="K119" s="78" t="s">
        <v>29</v>
      </c>
      <c r="L119" s="79">
        <v>9613256.9600000009</v>
      </c>
    </row>
    <row r="120" spans="1:12" ht="61.2" hidden="1" x14ac:dyDescent="0.3">
      <c r="A120" s="75" t="s">
        <v>363</v>
      </c>
      <c r="B120" s="76" t="s">
        <v>1139</v>
      </c>
      <c r="C120" s="76" t="s">
        <v>1140</v>
      </c>
      <c r="D120" s="76" t="s">
        <v>1141</v>
      </c>
      <c r="E120" s="77" t="s">
        <v>26</v>
      </c>
      <c r="F120" s="203">
        <v>23940</v>
      </c>
      <c r="G120" s="203"/>
      <c r="H120" s="77" t="s">
        <v>27</v>
      </c>
      <c r="I120" s="204" t="s">
        <v>28</v>
      </c>
      <c r="J120" s="204"/>
      <c r="K120" s="78" t="s">
        <v>29</v>
      </c>
      <c r="L120" s="79">
        <v>9637196.9600000009</v>
      </c>
    </row>
    <row r="121" spans="1:12" ht="61.2" hidden="1" x14ac:dyDescent="0.3">
      <c r="A121" s="75" t="s">
        <v>363</v>
      </c>
      <c r="B121" s="76" t="s">
        <v>1142</v>
      </c>
      <c r="C121" s="76" t="s">
        <v>1135</v>
      </c>
      <c r="D121" s="76" t="s">
        <v>1138</v>
      </c>
      <c r="E121" s="77" t="s">
        <v>26</v>
      </c>
      <c r="F121" s="203">
        <v>7138.8</v>
      </c>
      <c r="G121" s="203"/>
      <c r="H121" s="77" t="s">
        <v>27</v>
      </c>
      <c r="I121" s="204" t="s">
        <v>28</v>
      </c>
      <c r="J121" s="204"/>
      <c r="K121" s="78" t="s">
        <v>29</v>
      </c>
      <c r="L121" s="79">
        <v>9644335.7599999998</v>
      </c>
    </row>
    <row r="122" spans="1:12" ht="61.2" hidden="1" x14ac:dyDescent="0.3">
      <c r="A122" s="75" t="s">
        <v>363</v>
      </c>
      <c r="B122" s="76" t="s">
        <v>1143</v>
      </c>
      <c r="C122" s="76" t="s">
        <v>1140</v>
      </c>
      <c r="D122" s="76" t="s">
        <v>1144</v>
      </c>
      <c r="E122" s="77" t="s">
        <v>26</v>
      </c>
      <c r="F122" s="203">
        <v>7799.91</v>
      </c>
      <c r="G122" s="203"/>
      <c r="H122" s="77" t="s">
        <v>27</v>
      </c>
      <c r="I122" s="204" t="s">
        <v>28</v>
      </c>
      <c r="J122" s="204"/>
      <c r="K122" s="78" t="s">
        <v>29</v>
      </c>
      <c r="L122" s="79">
        <v>9652135.6699999999</v>
      </c>
    </row>
    <row r="123" spans="1:12" ht="61.2" hidden="1" x14ac:dyDescent="0.3">
      <c r="A123" s="75" t="s">
        <v>363</v>
      </c>
      <c r="B123" s="76" t="s">
        <v>1145</v>
      </c>
      <c r="C123" s="76" t="s">
        <v>1140</v>
      </c>
      <c r="D123" s="76" t="s">
        <v>1138</v>
      </c>
      <c r="E123" s="77" t="s">
        <v>26</v>
      </c>
      <c r="F123" s="206">
        <v>231.24</v>
      </c>
      <c r="G123" s="206"/>
      <c r="H123" s="77" t="s">
        <v>27</v>
      </c>
      <c r="I123" s="204" t="s">
        <v>28</v>
      </c>
      <c r="J123" s="204"/>
      <c r="K123" s="78" t="s">
        <v>29</v>
      </c>
      <c r="L123" s="79">
        <v>9652366.9100000001</v>
      </c>
    </row>
    <row r="124" spans="1:12" ht="71.400000000000006" hidden="1" x14ac:dyDescent="0.3">
      <c r="A124" s="75" t="s">
        <v>363</v>
      </c>
      <c r="B124" s="76" t="s">
        <v>369</v>
      </c>
      <c r="C124" s="76" t="s">
        <v>370</v>
      </c>
      <c r="D124" s="76" t="s">
        <v>365</v>
      </c>
      <c r="E124" s="77" t="s">
        <v>26</v>
      </c>
      <c r="F124" s="203">
        <v>55418.67</v>
      </c>
      <c r="G124" s="203"/>
      <c r="H124" s="77" t="s">
        <v>26</v>
      </c>
      <c r="I124" s="204" t="s">
        <v>28</v>
      </c>
      <c r="J124" s="204"/>
      <c r="K124" s="78" t="s">
        <v>29</v>
      </c>
      <c r="L124" s="79">
        <v>9707785.5800000001</v>
      </c>
    </row>
    <row r="125" spans="1:12" ht="61.2" hidden="1" x14ac:dyDescent="0.3">
      <c r="A125" s="75" t="s">
        <v>383</v>
      </c>
      <c r="B125" s="76" t="s">
        <v>390</v>
      </c>
      <c r="C125" s="76" t="s">
        <v>391</v>
      </c>
      <c r="D125" s="76" t="s">
        <v>385</v>
      </c>
      <c r="E125" s="77" t="s">
        <v>26</v>
      </c>
      <c r="F125" s="203">
        <v>55210.68</v>
      </c>
      <c r="G125" s="203"/>
      <c r="H125" s="77" t="s">
        <v>26</v>
      </c>
      <c r="I125" s="204" t="s">
        <v>28</v>
      </c>
      <c r="J125" s="204"/>
      <c r="K125" s="78" t="s">
        <v>29</v>
      </c>
      <c r="L125" s="79">
        <v>9762996.2599999998</v>
      </c>
    </row>
    <row r="126" spans="1:12" ht="61.2" hidden="1" x14ac:dyDescent="0.3">
      <c r="A126" s="75" t="s">
        <v>394</v>
      </c>
      <c r="B126" s="76" t="s">
        <v>400</v>
      </c>
      <c r="C126" s="76" t="s">
        <v>401</v>
      </c>
      <c r="D126" s="76" t="s">
        <v>398</v>
      </c>
      <c r="E126" s="77" t="s">
        <v>26</v>
      </c>
      <c r="F126" s="203">
        <v>4455.57</v>
      </c>
      <c r="G126" s="203"/>
      <c r="H126" s="77" t="s">
        <v>26</v>
      </c>
      <c r="I126" s="204" t="s">
        <v>28</v>
      </c>
      <c r="J126" s="204"/>
      <c r="K126" s="78" t="s">
        <v>29</v>
      </c>
      <c r="L126" s="79">
        <v>9767451.8300000001</v>
      </c>
    </row>
    <row r="127" spans="1:12" ht="61.2" hidden="1" x14ac:dyDescent="0.3">
      <c r="A127" s="75" t="s">
        <v>407</v>
      </c>
      <c r="B127" s="76" t="s">
        <v>413</v>
      </c>
      <c r="C127" s="76" t="s">
        <v>414</v>
      </c>
      <c r="D127" s="76" t="s">
        <v>409</v>
      </c>
      <c r="E127" s="77" t="s">
        <v>26</v>
      </c>
      <c r="F127" s="203">
        <v>43194.71</v>
      </c>
      <c r="G127" s="203"/>
      <c r="H127" s="77" t="s">
        <v>26</v>
      </c>
      <c r="I127" s="204" t="s">
        <v>28</v>
      </c>
      <c r="J127" s="204"/>
      <c r="K127" s="78" t="s">
        <v>29</v>
      </c>
      <c r="L127" s="79">
        <v>9810646.5399999991</v>
      </c>
    </row>
    <row r="128" spans="1:12" ht="61.2" hidden="1" x14ac:dyDescent="0.3">
      <c r="A128" s="75" t="s">
        <v>407</v>
      </c>
      <c r="B128" s="76" t="s">
        <v>421</v>
      </c>
      <c r="C128" s="76" t="s">
        <v>422</v>
      </c>
      <c r="D128" s="76" t="s">
        <v>418</v>
      </c>
      <c r="E128" s="77" t="s">
        <v>26</v>
      </c>
      <c r="F128" s="203">
        <v>70815</v>
      </c>
      <c r="G128" s="203"/>
      <c r="H128" s="77" t="s">
        <v>26</v>
      </c>
      <c r="I128" s="204" t="s">
        <v>28</v>
      </c>
      <c r="J128" s="204"/>
      <c r="K128" s="78" t="s">
        <v>29</v>
      </c>
      <c r="L128" s="79">
        <v>9881461.5399999991</v>
      </c>
    </row>
    <row r="129" spans="1:12" ht="61.2" hidden="1" x14ac:dyDescent="0.3">
      <c r="A129" s="75" t="s">
        <v>423</v>
      </c>
      <c r="B129" s="76" t="s">
        <v>430</v>
      </c>
      <c r="C129" s="76" t="s">
        <v>431</v>
      </c>
      <c r="D129" s="76" t="s">
        <v>427</v>
      </c>
      <c r="E129" s="77" t="s">
        <v>26</v>
      </c>
      <c r="F129" s="203">
        <v>77100</v>
      </c>
      <c r="G129" s="203"/>
      <c r="H129" s="77" t="s">
        <v>26</v>
      </c>
      <c r="I129" s="204" t="s">
        <v>28</v>
      </c>
      <c r="J129" s="204"/>
      <c r="K129" s="78" t="s">
        <v>29</v>
      </c>
      <c r="L129" s="79">
        <v>9958561.5399999991</v>
      </c>
    </row>
    <row r="130" spans="1:12" ht="61.2" hidden="1" x14ac:dyDescent="0.3">
      <c r="A130" s="75" t="s">
        <v>432</v>
      </c>
      <c r="B130" s="76" t="s">
        <v>439</v>
      </c>
      <c r="C130" s="76" t="s">
        <v>440</v>
      </c>
      <c r="D130" s="76" t="s">
        <v>434</v>
      </c>
      <c r="E130" s="77" t="s">
        <v>26</v>
      </c>
      <c r="F130" s="203">
        <v>49751.39</v>
      </c>
      <c r="G130" s="203"/>
      <c r="H130" s="77" t="s">
        <v>26</v>
      </c>
      <c r="I130" s="204" t="s">
        <v>28</v>
      </c>
      <c r="J130" s="204"/>
      <c r="K130" s="78" t="s">
        <v>29</v>
      </c>
      <c r="L130" s="79">
        <v>10008312.93</v>
      </c>
    </row>
    <row r="131" spans="1:12" ht="61.2" hidden="1" x14ac:dyDescent="0.3">
      <c r="A131" s="75" t="s">
        <v>432</v>
      </c>
      <c r="B131" s="76" t="s">
        <v>439</v>
      </c>
      <c r="C131" s="76" t="s">
        <v>441</v>
      </c>
      <c r="D131" s="76" t="s">
        <v>436</v>
      </c>
      <c r="E131" s="77" t="s">
        <v>26</v>
      </c>
      <c r="F131" s="203">
        <v>15284.79</v>
      </c>
      <c r="G131" s="203"/>
      <c r="H131" s="77" t="s">
        <v>26</v>
      </c>
      <c r="I131" s="204" t="s">
        <v>28</v>
      </c>
      <c r="J131" s="204"/>
      <c r="K131" s="78" t="s">
        <v>29</v>
      </c>
      <c r="L131" s="79">
        <v>10023597.720000001</v>
      </c>
    </row>
    <row r="132" spans="1:12" ht="61.2" hidden="1" x14ac:dyDescent="0.3">
      <c r="A132" s="75" t="s">
        <v>432</v>
      </c>
      <c r="B132" s="76" t="s">
        <v>450</v>
      </c>
      <c r="C132" s="76" t="s">
        <v>451</v>
      </c>
      <c r="D132" s="76" t="s">
        <v>447</v>
      </c>
      <c r="E132" s="77" t="s">
        <v>26</v>
      </c>
      <c r="F132" s="203">
        <v>73380</v>
      </c>
      <c r="G132" s="203"/>
      <c r="H132" s="77" t="s">
        <v>26</v>
      </c>
      <c r="I132" s="204" t="s">
        <v>28</v>
      </c>
      <c r="J132" s="204"/>
      <c r="K132" s="78" t="s">
        <v>29</v>
      </c>
      <c r="L132" s="79">
        <v>10096977.720000001</v>
      </c>
    </row>
    <row r="133" spans="1:12" ht="61.2" hidden="1" x14ac:dyDescent="0.3">
      <c r="A133" s="75" t="s">
        <v>452</v>
      </c>
      <c r="B133" s="76" t="s">
        <v>1146</v>
      </c>
      <c r="C133" s="76" t="s">
        <v>1147</v>
      </c>
      <c r="D133" s="76" t="s">
        <v>1148</v>
      </c>
      <c r="E133" s="77" t="s">
        <v>26</v>
      </c>
      <c r="F133" s="206">
        <v>337.5</v>
      </c>
      <c r="G133" s="206"/>
      <c r="H133" s="77" t="s">
        <v>27</v>
      </c>
      <c r="I133" s="204" t="s">
        <v>28</v>
      </c>
      <c r="J133" s="204"/>
      <c r="K133" s="78" t="s">
        <v>29</v>
      </c>
      <c r="L133" s="79">
        <v>10097315.220000001</v>
      </c>
    </row>
    <row r="134" spans="1:12" ht="61.2" hidden="1" x14ac:dyDescent="0.3">
      <c r="A134" s="75" t="s">
        <v>452</v>
      </c>
      <c r="B134" s="76" t="s">
        <v>1149</v>
      </c>
      <c r="C134" s="76" t="s">
        <v>1147</v>
      </c>
      <c r="D134" s="76" t="s">
        <v>1148</v>
      </c>
      <c r="E134" s="77" t="s">
        <v>26</v>
      </c>
      <c r="F134" s="203">
        <v>8100</v>
      </c>
      <c r="G134" s="203"/>
      <c r="H134" s="77" t="s">
        <v>27</v>
      </c>
      <c r="I134" s="204" t="s">
        <v>28</v>
      </c>
      <c r="J134" s="204"/>
      <c r="K134" s="78" t="s">
        <v>29</v>
      </c>
      <c r="L134" s="79">
        <v>10105415.220000001</v>
      </c>
    </row>
    <row r="135" spans="1:12" ht="61.2" hidden="1" x14ac:dyDescent="0.3">
      <c r="A135" s="75" t="s">
        <v>452</v>
      </c>
      <c r="B135" s="76" t="s">
        <v>1150</v>
      </c>
      <c r="C135" s="76" t="s">
        <v>1151</v>
      </c>
      <c r="D135" s="76" t="s">
        <v>1152</v>
      </c>
      <c r="E135" s="77" t="s">
        <v>26</v>
      </c>
      <c r="F135" s="203">
        <v>71540</v>
      </c>
      <c r="G135" s="203"/>
      <c r="H135" s="77" t="s">
        <v>27</v>
      </c>
      <c r="I135" s="204" t="s">
        <v>28</v>
      </c>
      <c r="J135" s="204"/>
      <c r="K135" s="78" t="s">
        <v>29</v>
      </c>
      <c r="L135" s="79">
        <v>10176955.220000001</v>
      </c>
    </row>
    <row r="136" spans="1:12" ht="61.2" hidden="1" x14ac:dyDescent="0.3">
      <c r="A136" s="75" t="s">
        <v>452</v>
      </c>
      <c r="B136" s="76" t="s">
        <v>456</v>
      </c>
      <c r="C136" s="76" t="s">
        <v>457</v>
      </c>
      <c r="D136" s="76" t="s">
        <v>454</v>
      </c>
      <c r="E136" s="77" t="s">
        <v>26</v>
      </c>
      <c r="F136" s="203">
        <v>1366.8</v>
      </c>
      <c r="G136" s="203"/>
      <c r="H136" s="77" t="s">
        <v>26</v>
      </c>
      <c r="I136" s="204" t="s">
        <v>28</v>
      </c>
      <c r="J136" s="204"/>
      <c r="K136" s="78" t="s">
        <v>29</v>
      </c>
      <c r="L136" s="79">
        <v>10178322.02</v>
      </c>
    </row>
    <row r="137" spans="1:12" ht="71.400000000000006" hidden="1" x14ac:dyDescent="0.3">
      <c r="A137" s="75" t="s">
        <v>460</v>
      </c>
      <c r="B137" s="76" t="s">
        <v>1153</v>
      </c>
      <c r="C137" s="76" t="s">
        <v>1154</v>
      </c>
      <c r="D137" s="76" t="s">
        <v>1155</v>
      </c>
      <c r="E137" s="77" t="s">
        <v>26</v>
      </c>
      <c r="F137" s="203">
        <v>14946</v>
      </c>
      <c r="G137" s="203"/>
      <c r="H137" s="77" t="s">
        <v>27</v>
      </c>
      <c r="I137" s="204" t="s">
        <v>28</v>
      </c>
      <c r="J137" s="204"/>
      <c r="K137" s="78" t="s">
        <v>29</v>
      </c>
      <c r="L137" s="79">
        <v>10193268.02</v>
      </c>
    </row>
    <row r="138" spans="1:12" ht="71.400000000000006" hidden="1" x14ac:dyDescent="0.3">
      <c r="A138" s="75" t="s">
        <v>460</v>
      </c>
      <c r="B138" s="76" t="s">
        <v>1156</v>
      </c>
      <c r="C138" s="76" t="s">
        <v>1154</v>
      </c>
      <c r="D138" s="76" t="s">
        <v>1155</v>
      </c>
      <c r="E138" s="77" t="s">
        <v>26</v>
      </c>
      <c r="F138" s="203">
        <v>34874</v>
      </c>
      <c r="G138" s="203"/>
      <c r="H138" s="77" t="s">
        <v>27</v>
      </c>
      <c r="I138" s="204" t="s">
        <v>28</v>
      </c>
      <c r="J138" s="204"/>
      <c r="K138" s="78" t="s">
        <v>29</v>
      </c>
      <c r="L138" s="79">
        <v>10228142.02</v>
      </c>
    </row>
    <row r="139" spans="1:12" ht="61.2" hidden="1" x14ac:dyDescent="0.3">
      <c r="A139" s="75" t="s">
        <v>460</v>
      </c>
      <c r="B139" s="76" t="s">
        <v>466</v>
      </c>
      <c r="C139" s="76" t="s">
        <v>467</v>
      </c>
      <c r="D139" s="76" t="s">
        <v>462</v>
      </c>
      <c r="E139" s="77" t="s">
        <v>26</v>
      </c>
      <c r="F139" s="203">
        <v>38110.9</v>
      </c>
      <c r="G139" s="203"/>
      <c r="H139" s="77" t="s">
        <v>26</v>
      </c>
      <c r="I139" s="204" t="s">
        <v>28</v>
      </c>
      <c r="J139" s="204"/>
      <c r="K139" s="78" t="s">
        <v>29</v>
      </c>
      <c r="L139" s="79">
        <v>10266252.92</v>
      </c>
    </row>
    <row r="140" spans="1:12" ht="61.2" hidden="1" x14ac:dyDescent="0.3">
      <c r="A140" s="75" t="s">
        <v>460</v>
      </c>
      <c r="B140" s="76" t="s">
        <v>1157</v>
      </c>
      <c r="C140" s="76" t="s">
        <v>1158</v>
      </c>
      <c r="D140" s="76" t="s">
        <v>1159</v>
      </c>
      <c r="E140" s="77" t="s">
        <v>26</v>
      </c>
      <c r="F140" s="206">
        <v>408.54</v>
      </c>
      <c r="G140" s="206"/>
      <c r="H140" s="77" t="s">
        <v>27</v>
      </c>
      <c r="I140" s="204" t="s">
        <v>28</v>
      </c>
      <c r="J140" s="204"/>
      <c r="K140" s="78" t="s">
        <v>29</v>
      </c>
      <c r="L140" s="79">
        <v>10266661.460000001</v>
      </c>
    </row>
    <row r="141" spans="1:12" ht="61.2" hidden="1" x14ac:dyDescent="0.3">
      <c r="A141" s="75" t="s">
        <v>460</v>
      </c>
      <c r="B141" s="76" t="s">
        <v>1160</v>
      </c>
      <c r="C141" s="76" t="s">
        <v>1158</v>
      </c>
      <c r="D141" s="76" t="s">
        <v>1159</v>
      </c>
      <c r="E141" s="77" t="s">
        <v>26</v>
      </c>
      <c r="F141" s="203">
        <v>9804.82</v>
      </c>
      <c r="G141" s="203"/>
      <c r="H141" s="77" t="s">
        <v>27</v>
      </c>
      <c r="I141" s="204" t="s">
        <v>28</v>
      </c>
      <c r="J141" s="204"/>
      <c r="K141" s="78" t="s">
        <v>29</v>
      </c>
      <c r="L141" s="79">
        <v>10276466.279999999</v>
      </c>
    </row>
    <row r="142" spans="1:12" ht="71.400000000000006" hidden="1" x14ac:dyDescent="0.3">
      <c r="A142" s="75" t="s">
        <v>781</v>
      </c>
      <c r="B142" s="76" t="s">
        <v>1161</v>
      </c>
      <c r="C142" s="76" t="s">
        <v>1162</v>
      </c>
      <c r="D142" s="76" t="s">
        <v>1163</v>
      </c>
      <c r="E142" s="77" t="s">
        <v>26</v>
      </c>
      <c r="F142" s="203">
        <v>13006.5</v>
      </c>
      <c r="G142" s="203"/>
      <c r="H142" s="77" t="s">
        <v>27</v>
      </c>
      <c r="I142" s="204" t="s">
        <v>28</v>
      </c>
      <c r="J142" s="204"/>
      <c r="K142" s="78" t="s">
        <v>29</v>
      </c>
      <c r="L142" s="79">
        <v>10289472.779999999</v>
      </c>
    </row>
    <row r="143" spans="1:12" ht="71.400000000000006" hidden="1" x14ac:dyDescent="0.3">
      <c r="A143" s="75" t="s">
        <v>781</v>
      </c>
      <c r="B143" s="76" t="s">
        <v>1164</v>
      </c>
      <c r="C143" s="76" t="s">
        <v>1162</v>
      </c>
      <c r="D143" s="76" t="s">
        <v>1163</v>
      </c>
      <c r="E143" s="77" t="s">
        <v>26</v>
      </c>
      <c r="F143" s="203">
        <v>30348.5</v>
      </c>
      <c r="G143" s="203"/>
      <c r="H143" s="77" t="s">
        <v>27</v>
      </c>
      <c r="I143" s="204" t="s">
        <v>28</v>
      </c>
      <c r="J143" s="204"/>
      <c r="K143" s="78" t="s">
        <v>29</v>
      </c>
      <c r="L143" s="79">
        <v>10319821.279999999</v>
      </c>
    </row>
    <row r="144" spans="1:12" ht="61.2" hidden="1" x14ac:dyDescent="0.3">
      <c r="A144" s="75" t="s">
        <v>781</v>
      </c>
      <c r="B144" s="76" t="s">
        <v>1165</v>
      </c>
      <c r="C144" s="76" t="s">
        <v>1166</v>
      </c>
      <c r="D144" s="76" t="s">
        <v>1167</v>
      </c>
      <c r="E144" s="77" t="s">
        <v>26</v>
      </c>
      <c r="F144" s="203">
        <v>37500</v>
      </c>
      <c r="G144" s="203"/>
      <c r="H144" s="77" t="s">
        <v>27</v>
      </c>
      <c r="I144" s="204" t="s">
        <v>28</v>
      </c>
      <c r="J144" s="204"/>
      <c r="K144" s="78" t="s">
        <v>29</v>
      </c>
      <c r="L144" s="79">
        <v>10357321.279999999</v>
      </c>
    </row>
    <row r="145" spans="1:12" ht="71.400000000000006" hidden="1" x14ac:dyDescent="0.3">
      <c r="A145" s="75" t="s">
        <v>1168</v>
      </c>
      <c r="B145" s="76" t="s">
        <v>1169</v>
      </c>
      <c r="C145" s="76" t="s">
        <v>1170</v>
      </c>
      <c r="D145" s="76" t="s">
        <v>1171</v>
      </c>
      <c r="E145" s="77" t="s">
        <v>26</v>
      </c>
      <c r="F145" s="203">
        <v>23835</v>
      </c>
      <c r="G145" s="203"/>
      <c r="H145" s="77" t="s">
        <v>27</v>
      </c>
      <c r="I145" s="204" t="s">
        <v>28</v>
      </c>
      <c r="J145" s="204"/>
      <c r="K145" s="78" t="s">
        <v>29</v>
      </c>
      <c r="L145" s="79">
        <v>10381156.279999999</v>
      </c>
    </row>
    <row r="146" spans="1:12" ht="71.400000000000006" hidden="1" x14ac:dyDescent="0.3">
      <c r="A146" s="75" t="s">
        <v>1168</v>
      </c>
      <c r="B146" s="76" t="s">
        <v>1172</v>
      </c>
      <c r="C146" s="76" t="s">
        <v>1170</v>
      </c>
      <c r="D146" s="76" t="s">
        <v>1171</v>
      </c>
      <c r="E146" s="77" t="s">
        <v>26</v>
      </c>
      <c r="F146" s="203">
        <v>55615</v>
      </c>
      <c r="G146" s="203"/>
      <c r="H146" s="77" t="s">
        <v>27</v>
      </c>
      <c r="I146" s="204" t="s">
        <v>28</v>
      </c>
      <c r="J146" s="204"/>
      <c r="K146" s="78" t="s">
        <v>29</v>
      </c>
      <c r="L146" s="79">
        <v>10436771.279999999</v>
      </c>
    </row>
    <row r="147" spans="1:12" ht="71.400000000000006" hidden="1" x14ac:dyDescent="0.3">
      <c r="A147" s="75" t="s">
        <v>472</v>
      </c>
      <c r="B147" s="76" t="s">
        <v>1173</v>
      </c>
      <c r="C147" s="76" t="s">
        <v>1174</v>
      </c>
      <c r="D147" s="76" t="s">
        <v>1175</v>
      </c>
      <c r="E147" s="77" t="s">
        <v>26</v>
      </c>
      <c r="F147" s="203">
        <v>23758.5</v>
      </c>
      <c r="G147" s="203"/>
      <c r="H147" s="77" t="s">
        <v>27</v>
      </c>
      <c r="I147" s="204" t="s">
        <v>28</v>
      </c>
      <c r="J147" s="204"/>
      <c r="K147" s="78" t="s">
        <v>29</v>
      </c>
      <c r="L147" s="79">
        <v>10460529.779999999</v>
      </c>
    </row>
    <row r="148" spans="1:12" ht="71.400000000000006" hidden="1" x14ac:dyDescent="0.3">
      <c r="A148" s="75" t="s">
        <v>472</v>
      </c>
      <c r="B148" s="76" t="s">
        <v>1176</v>
      </c>
      <c r="C148" s="76" t="s">
        <v>1174</v>
      </c>
      <c r="D148" s="76" t="s">
        <v>1175</v>
      </c>
      <c r="E148" s="77" t="s">
        <v>26</v>
      </c>
      <c r="F148" s="203">
        <v>55436.5</v>
      </c>
      <c r="G148" s="203"/>
      <c r="H148" s="77" t="s">
        <v>27</v>
      </c>
      <c r="I148" s="204" t="s">
        <v>28</v>
      </c>
      <c r="J148" s="204"/>
      <c r="K148" s="78" t="s">
        <v>29</v>
      </c>
      <c r="L148" s="79">
        <v>10515966.279999999</v>
      </c>
    </row>
    <row r="149" spans="1:12" ht="61.2" hidden="1" x14ac:dyDescent="0.3">
      <c r="A149" s="75" t="s">
        <v>472</v>
      </c>
      <c r="B149" s="76" t="s">
        <v>477</v>
      </c>
      <c r="C149" s="76" t="s">
        <v>478</v>
      </c>
      <c r="D149" s="76" t="s">
        <v>474</v>
      </c>
      <c r="E149" s="77" t="s">
        <v>26</v>
      </c>
      <c r="F149" s="203">
        <v>33340.83</v>
      </c>
      <c r="G149" s="203"/>
      <c r="H149" s="77" t="s">
        <v>26</v>
      </c>
      <c r="I149" s="204" t="s">
        <v>28</v>
      </c>
      <c r="J149" s="204"/>
      <c r="K149" s="78" t="s">
        <v>29</v>
      </c>
      <c r="L149" s="79">
        <v>10549307.109999999</v>
      </c>
    </row>
    <row r="150" spans="1:12" ht="71.400000000000006" hidden="1" x14ac:dyDescent="0.3">
      <c r="A150" s="75" t="s">
        <v>481</v>
      </c>
      <c r="B150" s="76" t="s">
        <v>487</v>
      </c>
      <c r="C150" s="76" t="s">
        <v>488</v>
      </c>
      <c r="D150" s="76" t="s">
        <v>483</v>
      </c>
      <c r="E150" s="77" t="s">
        <v>26</v>
      </c>
      <c r="F150" s="203">
        <v>70827.87</v>
      </c>
      <c r="G150" s="203"/>
      <c r="H150" s="77" t="s">
        <v>26</v>
      </c>
      <c r="I150" s="204" t="s">
        <v>28</v>
      </c>
      <c r="J150" s="204"/>
      <c r="K150" s="78" t="s">
        <v>29</v>
      </c>
      <c r="L150" s="79">
        <v>10620134.98</v>
      </c>
    </row>
    <row r="151" spans="1:12" ht="71.400000000000006" hidden="1" x14ac:dyDescent="0.3">
      <c r="A151" s="75" t="s">
        <v>491</v>
      </c>
      <c r="B151" s="76" t="s">
        <v>502</v>
      </c>
      <c r="C151" s="76" t="s">
        <v>503</v>
      </c>
      <c r="D151" s="76" t="s">
        <v>493</v>
      </c>
      <c r="E151" s="77" t="s">
        <v>26</v>
      </c>
      <c r="F151" s="203">
        <v>1840.22</v>
      </c>
      <c r="G151" s="203"/>
      <c r="H151" s="77" t="s">
        <v>26</v>
      </c>
      <c r="I151" s="204" t="s">
        <v>28</v>
      </c>
      <c r="J151" s="204"/>
      <c r="K151" s="78" t="s">
        <v>29</v>
      </c>
      <c r="L151" s="79">
        <v>10621975.199999999</v>
      </c>
    </row>
    <row r="152" spans="1:12" ht="61.2" hidden="1" x14ac:dyDescent="0.3">
      <c r="A152" s="75" t="s">
        <v>491</v>
      </c>
      <c r="B152" s="76" t="s">
        <v>502</v>
      </c>
      <c r="C152" s="76" t="s">
        <v>504</v>
      </c>
      <c r="D152" s="76" t="s">
        <v>496</v>
      </c>
      <c r="E152" s="77" t="s">
        <v>26</v>
      </c>
      <c r="F152" s="203">
        <v>18810.41</v>
      </c>
      <c r="G152" s="203"/>
      <c r="H152" s="77" t="s">
        <v>26</v>
      </c>
      <c r="I152" s="204" t="s">
        <v>28</v>
      </c>
      <c r="J152" s="204"/>
      <c r="K152" s="78" t="s">
        <v>29</v>
      </c>
      <c r="L152" s="79">
        <v>10640785.609999999</v>
      </c>
    </row>
    <row r="153" spans="1:12" ht="71.400000000000006" hidden="1" x14ac:dyDescent="0.3">
      <c r="A153" s="75" t="s">
        <v>491</v>
      </c>
      <c r="B153" s="76" t="s">
        <v>1177</v>
      </c>
      <c r="C153" s="76" t="s">
        <v>1178</v>
      </c>
      <c r="D153" s="76" t="s">
        <v>1179</v>
      </c>
      <c r="E153" s="77" t="s">
        <v>26</v>
      </c>
      <c r="F153" s="203">
        <v>24135</v>
      </c>
      <c r="G153" s="203"/>
      <c r="H153" s="77" t="s">
        <v>27</v>
      </c>
      <c r="I153" s="204" t="s">
        <v>28</v>
      </c>
      <c r="J153" s="204"/>
      <c r="K153" s="78" t="s">
        <v>29</v>
      </c>
      <c r="L153" s="79">
        <v>10664920.609999999</v>
      </c>
    </row>
    <row r="154" spans="1:12" ht="71.400000000000006" hidden="1" x14ac:dyDescent="0.3">
      <c r="A154" s="75" t="s">
        <v>491</v>
      </c>
      <c r="B154" s="76" t="s">
        <v>1180</v>
      </c>
      <c r="C154" s="76" t="s">
        <v>1178</v>
      </c>
      <c r="D154" s="76" t="s">
        <v>1179</v>
      </c>
      <c r="E154" s="77" t="s">
        <v>26</v>
      </c>
      <c r="F154" s="203">
        <v>56315</v>
      </c>
      <c r="G154" s="203"/>
      <c r="H154" s="77" t="s">
        <v>27</v>
      </c>
      <c r="I154" s="204" t="s">
        <v>28</v>
      </c>
      <c r="J154" s="204"/>
      <c r="K154" s="78" t="s">
        <v>29</v>
      </c>
      <c r="L154" s="79">
        <v>10721235.609999999</v>
      </c>
    </row>
    <row r="155" spans="1:12" ht="61.2" hidden="1" x14ac:dyDescent="0.3">
      <c r="A155" s="75" t="s">
        <v>505</v>
      </c>
      <c r="B155" s="76" t="s">
        <v>517</v>
      </c>
      <c r="C155" s="76" t="s">
        <v>518</v>
      </c>
      <c r="D155" s="76" t="s">
        <v>507</v>
      </c>
      <c r="E155" s="77" t="s">
        <v>26</v>
      </c>
      <c r="F155" s="203">
        <v>44813.05</v>
      </c>
      <c r="G155" s="203"/>
      <c r="H155" s="77" t="s">
        <v>26</v>
      </c>
      <c r="I155" s="204" t="s">
        <v>28</v>
      </c>
      <c r="J155" s="204"/>
      <c r="K155" s="78" t="s">
        <v>29</v>
      </c>
      <c r="L155" s="79">
        <v>10766048.66</v>
      </c>
    </row>
    <row r="156" spans="1:12" ht="61.2" hidden="1" x14ac:dyDescent="0.3">
      <c r="A156" s="75" t="s">
        <v>505</v>
      </c>
      <c r="B156" s="76" t="s">
        <v>517</v>
      </c>
      <c r="C156" s="76" t="s">
        <v>519</v>
      </c>
      <c r="D156" s="76" t="s">
        <v>509</v>
      </c>
      <c r="E156" s="77" t="s">
        <v>26</v>
      </c>
      <c r="F156" s="203">
        <v>10887.73</v>
      </c>
      <c r="G156" s="203"/>
      <c r="H156" s="77" t="s">
        <v>26</v>
      </c>
      <c r="I156" s="204" t="s">
        <v>28</v>
      </c>
      <c r="J156" s="204"/>
      <c r="K156" s="78" t="s">
        <v>29</v>
      </c>
      <c r="L156" s="79">
        <v>10776936.390000001</v>
      </c>
    </row>
    <row r="157" spans="1:12" ht="61.2" x14ac:dyDescent="0.3">
      <c r="A157" s="75" t="s">
        <v>520</v>
      </c>
      <c r="B157" s="76" t="s">
        <v>1181</v>
      </c>
      <c r="C157" s="76" t="s">
        <v>522</v>
      </c>
      <c r="D157" s="76" t="s">
        <v>310</v>
      </c>
      <c r="E157" s="77" t="s">
        <v>523</v>
      </c>
      <c r="F157" s="199" t="s">
        <v>28</v>
      </c>
      <c r="G157" s="199"/>
      <c r="H157" s="77" t="s">
        <v>26</v>
      </c>
      <c r="I157" s="205">
        <v>95.5</v>
      </c>
      <c r="J157" s="205"/>
      <c r="K157" s="78" t="s">
        <v>29</v>
      </c>
      <c r="L157" s="79">
        <v>10776840.890000001</v>
      </c>
    </row>
    <row r="158" spans="1:12" ht="61.2" x14ac:dyDescent="0.3">
      <c r="A158" s="75" t="s">
        <v>520</v>
      </c>
      <c r="B158" s="76" t="s">
        <v>1181</v>
      </c>
      <c r="C158" s="76" t="s">
        <v>522</v>
      </c>
      <c r="D158" s="76" t="s">
        <v>78</v>
      </c>
      <c r="E158" s="77" t="s">
        <v>523</v>
      </c>
      <c r="F158" s="199" t="s">
        <v>28</v>
      </c>
      <c r="G158" s="199"/>
      <c r="H158" s="77" t="s">
        <v>26</v>
      </c>
      <c r="I158" s="200">
        <v>8642</v>
      </c>
      <c r="J158" s="200"/>
      <c r="K158" s="78" t="s">
        <v>29</v>
      </c>
      <c r="L158" s="79">
        <v>10768198.890000001</v>
      </c>
    </row>
    <row r="159" spans="1:12" ht="61.2" x14ac:dyDescent="0.3">
      <c r="A159" s="75" t="s">
        <v>520</v>
      </c>
      <c r="B159" s="76" t="s">
        <v>1182</v>
      </c>
      <c r="C159" s="76" t="s">
        <v>522</v>
      </c>
      <c r="D159" s="76" t="s">
        <v>164</v>
      </c>
      <c r="E159" s="77" t="s">
        <v>523</v>
      </c>
      <c r="F159" s="199" t="s">
        <v>28</v>
      </c>
      <c r="G159" s="199"/>
      <c r="H159" s="77" t="s">
        <v>26</v>
      </c>
      <c r="I159" s="200">
        <v>1732.5</v>
      </c>
      <c r="J159" s="200"/>
      <c r="K159" s="78" t="s">
        <v>29</v>
      </c>
      <c r="L159" s="79">
        <v>10766466.390000001</v>
      </c>
    </row>
    <row r="160" spans="1:12" ht="61.2" x14ac:dyDescent="0.3">
      <c r="A160" s="75" t="s">
        <v>520</v>
      </c>
      <c r="B160" s="76" t="s">
        <v>1182</v>
      </c>
      <c r="C160" s="76" t="s">
        <v>522</v>
      </c>
      <c r="D160" s="76" t="s">
        <v>1029</v>
      </c>
      <c r="E160" s="77" t="s">
        <v>523</v>
      </c>
      <c r="F160" s="199" t="s">
        <v>28</v>
      </c>
      <c r="G160" s="199"/>
      <c r="H160" s="77" t="s">
        <v>26</v>
      </c>
      <c r="I160" s="200">
        <v>7892.5</v>
      </c>
      <c r="J160" s="200"/>
      <c r="K160" s="78" t="s">
        <v>29</v>
      </c>
      <c r="L160" s="79">
        <v>10758573.890000001</v>
      </c>
    </row>
    <row r="161" spans="1:12" ht="61.2" x14ac:dyDescent="0.3">
      <c r="A161" s="75" t="s">
        <v>520</v>
      </c>
      <c r="B161" s="76" t="s">
        <v>1182</v>
      </c>
      <c r="C161" s="76" t="s">
        <v>522</v>
      </c>
      <c r="D161" s="76" t="s">
        <v>1026</v>
      </c>
      <c r="E161" s="77" t="s">
        <v>523</v>
      </c>
      <c r="F161" s="199" t="s">
        <v>28</v>
      </c>
      <c r="G161" s="199"/>
      <c r="H161" s="77" t="s">
        <v>26</v>
      </c>
      <c r="I161" s="200">
        <v>123625</v>
      </c>
      <c r="J161" s="200"/>
      <c r="K161" s="78" t="s">
        <v>29</v>
      </c>
      <c r="L161" s="79">
        <v>10634948.890000001</v>
      </c>
    </row>
    <row r="162" spans="1:12" ht="71.400000000000006" x14ac:dyDescent="0.3">
      <c r="A162" s="75" t="s">
        <v>520</v>
      </c>
      <c r="B162" s="76" t="s">
        <v>1182</v>
      </c>
      <c r="C162" s="76" t="s">
        <v>522</v>
      </c>
      <c r="D162" s="76" t="s">
        <v>84</v>
      </c>
      <c r="E162" s="77" t="s">
        <v>523</v>
      </c>
      <c r="F162" s="199" t="s">
        <v>28</v>
      </c>
      <c r="G162" s="199"/>
      <c r="H162" s="77" t="s">
        <v>26</v>
      </c>
      <c r="I162" s="200">
        <v>16238.66</v>
      </c>
      <c r="J162" s="200"/>
      <c r="K162" s="78" t="s">
        <v>29</v>
      </c>
      <c r="L162" s="79">
        <v>10618710.23</v>
      </c>
    </row>
    <row r="163" spans="1:12" ht="61.2" x14ac:dyDescent="0.3">
      <c r="A163" s="75" t="s">
        <v>520</v>
      </c>
      <c r="B163" s="76" t="s">
        <v>1183</v>
      </c>
      <c r="C163" s="76" t="s">
        <v>522</v>
      </c>
      <c r="D163" s="76" t="s">
        <v>175</v>
      </c>
      <c r="E163" s="77" t="s">
        <v>523</v>
      </c>
      <c r="F163" s="199" t="s">
        <v>28</v>
      </c>
      <c r="G163" s="199"/>
      <c r="H163" s="77" t="s">
        <v>26</v>
      </c>
      <c r="I163" s="200">
        <v>7780.38</v>
      </c>
      <c r="J163" s="200"/>
      <c r="K163" s="78" t="s">
        <v>29</v>
      </c>
      <c r="L163" s="79">
        <v>10610929.85</v>
      </c>
    </row>
    <row r="164" spans="1:12" ht="61.2" x14ac:dyDescent="0.3">
      <c r="A164" s="75" t="s">
        <v>520</v>
      </c>
      <c r="B164" s="76" t="s">
        <v>1183</v>
      </c>
      <c r="C164" s="76" t="s">
        <v>522</v>
      </c>
      <c r="D164" s="76" t="s">
        <v>194</v>
      </c>
      <c r="E164" s="77" t="s">
        <v>523</v>
      </c>
      <c r="F164" s="199" t="s">
        <v>28</v>
      </c>
      <c r="G164" s="199"/>
      <c r="H164" s="77" t="s">
        <v>26</v>
      </c>
      <c r="I164" s="200">
        <v>7937.9</v>
      </c>
      <c r="J164" s="200"/>
      <c r="K164" s="78" t="s">
        <v>29</v>
      </c>
      <c r="L164" s="79">
        <v>10602991.949999999</v>
      </c>
    </row>
    <row r="165" spans="1:12" ht="61.2" x14ac:dyDescent="0.3">
      <c r="A165" s="75" t="s">
        <v>520</v>
      </c>
      <c r="B165" s="76" t="s">
        <v>1183</v>
      </c>
      <c r="C165" s="76" t="s">
        <v>522</v>
      </c>
      <c r="D165" s="76" t="s">
        <v>194</v>
      </c>
      <c r="E165" s="77" t="s">
        <v>523</v>
      </c>
      <c r="F165" s="199" t="s">
        <v>28</v>
      </c>
      <c r="G165" s="199"/>
      <c r="H165" s="77" t="s">
        <v>26</v>
      </c>
      <c r="I165" s="200">
        <v>7937.91</v>
      </c>
      <c r="J165" s="200"/>
      <c r="K165" s="78" t="s">
        <v>29</v>
      </c>
      <c r="L165" s="79">
        <v>10595054.039999999</v>
      </c>
    </row>
    <row r="166" spans="1:12" ht="61.2" x14ac:dyDescent="0.3">
      <c r="A166" s="75" t="s">
        <v>520</v>
      </c>
      <c r="B166" s="76" t="s">
        <v>1183</v>
      </c>
      <c r="C166" s="76" t="s">
        <v>522</v>
      </c>
      <c r="D166" s="76" t="s">
        <v>194</v>
      </c>
      <c r="E166" s="77" t="s">
        <v>523</v>
      </c>
      <c r="F166" s="199" t="s">
        <v>28</v>
      </c>
      <c r="G166" s="199"/>
      <c r="H166" s="77" t="s">
        <v>26</v>
      </c>
      <c r="I166" s="200">
        <v>7937.9</v>
      </c>
      <c r="J166" s="200"/>
      <c r="K166" s="78" t="s">
        <v>29</v>
      </c>
      <c r="L166" s="79">
        <v>10587116.140000001</v>
      </c>
    </row>
    <row r="167" spans="1:12" ht="61.2" x14ac:dyDescent="0.3">
      <c r="A167" s="75" t="s">
        <v>520</v>
      </c>
      <c r="B167" s="76" t="s">
        <v>1183</v>
      </c>
      <c r="C167" s="76" t="s">
        <v>522</v>
      </c>
      <c r="D167" s="76" t="s">
        <v>203</v>
      </c>
      <c r="E167" s="77" t="s">
        <v>523</v>
      </c>
      <c r="F167" s="199" t="s">
        <v>28</v>
      </c>
      <c r="G167" s="199"/>
      <c r="H167" s="77" t="s">
        <v>26</v>
      </c>
      <c r="I167" s="200">
        <v>14501.12</v>
      </c>
      <c r="J167" s="200"/>
      <c r="K167" s="78" t="s">
        <v>29</v>
      </c>
      <c r="L167" s="79">
        <v>10572615.02</v>
      </c>
    </row>
    <row r="168" spans="1:12" ht="61.2" x14ac:dyDescent="0.3">
      <c r="A168" s="75" t="s">
        <v>520</v>
      </c>
      <c r="B168" s="76" t="s">
        <v>1183</v>
      </c>
      <c r="C168" s="76" t="s">
        <v>522</v>
      </c>
      <c r="D168" s="76" t="s">
        <v>203</v>
      </c>
      <c r="E168" s="77" t="s">
        <v>523</v>
      </c>
      <c r="F168" s="199" t="s">
        <v>28</v>
      </c>
      <c r="G168" s="199"/>
      <c r="H168" s="77" t="s">
        <v>26</v>
      </c>
      <c r="I168" s="200">
        <v>19939.03</v>
      </c>
      <c r="J168" s="200"/>
      <c r="K168" s="78" t="s">
        <v>29</v>
      </c>
      <c r="L168" s="79">
        <v>10552675.99</v>
      </c>
    </row>
    <row r="169" spans="1:12" ht="61.2" x14ac:dyDescent="0.3">
      <c r="A169" s="75" t="s">
        <v>520</v>
      </c>
      <c r="B169" s="76" t="s">
        <v>1183</v>
      </c>
      <c r="C169" s="76" t="s">
        <v>522</v>
      </c>
      <c r="D169" s="76" t="s">
        <v>212</v>
      </c>
      <c r="E169" s="77" t="s">
        <v>523</v>
      </c>
      <c r="F169" s="199" t="s">
        <v>28</v>
      </c>
      <c r="G169" s="199"/>
      <c r="H169" s="77" t="s">
        <v>26</v>
      </c>
      <c r="I169" s="200">
        <v>16634.12</v>
      </c>
      <c r="J169" s="200"/>
      <c r="K169" s="78" t="s">
        <v>29</v>
      </c>
      <c r="L169" s="79">
        <v>10536041.869999999</v>
      </c>
    </row>
    <row r="170" spans="1:12" ht="61.2" x14ac:dyDescent="0.3">
      <c r="A170" s="75" t="s">
        <v>520</v>
      </c>
      <c r="B170" s="76" t="s">
        <v>1183</v>
      </c>
      <c r="C170" s="76" t="s">
        <v>522</v>
      </c>
      <c r="D170" s="76" t="s">
        <v>212</v>
      </c>
      <c r="E170" s="77" t="s">
        <v>523</v>
      </c>
      <c r="F170" s="199" t="s">
        <v>28</v>
      </c>
      <c r="G170" s="199"/>
      <c r="H170" s="77" t="s">
        <v>26</v>
      </c>
      <c r="I170" s="200">
        <v>16634.11</v>
      </c>
      <c r="J170" s="200"/>
      <c r="K170" s="78" t="s">
        <v>29</v>
      </c>
      <c r="L170" s="79">
        <v>10519407.76</v>
      </c>
    </row>
    <row r="171" spans="1:12" ht="61.2" x14ac:dyDescent="0.3">
      <c r="A171" s="75" t="s">
        <v>520</v>
      </c>
      <c r="B171" s="76" t="s">
        <v>1183</v>
      </c>
      <c r="C171" s="76" t="s">
        <v>522</v>
      </c>
      <c r="D171" s="76" t="s">
        <v>220</v>
      </c>
      <c r="E171" s="77" t="s">
        <v>523</v>
      </c>
      <c r="F171" s="199" t="s">
        <v>28</v>
      </c>
      <c r="G171" s="199"/>
      <c r="H171" s="77" t="s">
        <v>26</v>
      </c>
      <c r="I171" s="200">
        <v>14139.57</v>
      </c>
      <c r="J171" s="200"/>
      <c r="K171" s="78" t="s">
        <v>29</v>
      </c>
      <c r="L171" s="79">
        <v>10505268.189999999</v>
      </c>
    </row>
    <row r="172" spans="1:12" ht="61.2" x14ac:dyDescent="0.3">
      <c r="A172" s="75" t="s">
        <v>520</v>
      </c>
      <c r="B172" s="76" t="s">
        <v>1183</v>
      </c>
      <c r="C172" s="76" t="s">
        <v>522</v>
      </c>
      <c r="D172" s="76" t="s">
        <v>230</v>
      </c>
      <c r="E172" s="77" t="s">
        <v>523</v>
      </c>
      <c r="F172" s="199" t="s">
        <v>28</v>
      </c>
      <c r="G172" s="199"/>
      <c r="H172" s="77" t="s">
        <v>26</v>
      </c>
      <c r="I172" s="200">
        <v>24663.55</v>
      </c>
      <c r="J172" s="200"/>
      <c r="K172" s="78" t="s">
        <v>29</v>
      </c>
      <c r="L172" s="79">
        <v>10480604.640000001</v>
      </c>
    </row>
    <row r="173" spans="1:12" ht="61.2" x14ac:dyDescent="0.3">
      <c r="A173" s="75" t="s">
        <v>520</v>
      </c>
      <c r="B173" s="76" t="s">
        <v>1183</v>
      </c>
      <c r="C173" s="76" t="s">
        <v>522</v>
      </c>
      <c r="D173" s="76" t="s">
        <v>242</v>
      </c>
      <c r="E173" s="77" t="s">
        <v>523</v>
      </c>
      <c r="F173" s="199" t="s">
        <v>28</v>
      </c>
      <c r="G173" s="199"/>
      <c r="H173" s="77" t="s">
        <v>26</v>
      </c>
      <c r="I173" s="200">
        <v>13205.51</v>
      </c>
      <c r="J173" s="200"/>
      <c r="K173" s="78" t="s">
        <v>29</v>
      </c>
      <c r="L173" s="79">
        <v>10467399.130000001</v>
      </c>
    </row>
    <row r="174" spans="1:12" ht="61.2" x14ac:dyDescent="0.3">
      <c r="A174" s="75" t="s">
        <v>520</v>
      </c>
      <c r="B174" s="76" t="s">
        <v>1183</v>
      </c>
      <c r="C174" s="76" t="s">
        <v>522</v>
      </c>
      <c r="D174" s="76" t="s">
        <v>242</v>
      </c>
      <c r="E174" s="77" t="s">
        <v>523</v>
      </c>
      <c r="F174" s="199" t="s">
        <v>28</v>
      </c>
      <c r="G174" s="199"/>
      <c r="H174" s="77" t="s">
        <v>26</v>
      </c>
      <c r="I174" s="200">
        <v>24524.52</v>
      </c>
      <c r="J174" s="200"/>
      <c r="K174" s="78" t="s">
        <v>29</v>
      </c>
      <c r="L174" s="79">
        <v>10442874.609999999</v>
      </c>
    </row>
    <row r="175" spans="1:12" ht="61.2" x14ac:dyDescent="0.3">
      <c r="A175" s="75" t="s">
        <v>520</v>
      </c>
      <c r="B175" s="76" t="s">
        <v>1183</v>
      </c>
      <c r="C175" s="76" t="s">
        <v>522</v>
      </c>
      <c r="D175" s="76" t="s">
        <v>1029</v>
      </c>
      <c r="E175" s="77" t="s">
        <v>523</v>
      </c>
      <c r="F175" s="199" t="s">
        <v>28</v>
      </c>
      <c r="G175" s="199"/>
      <c r="H175" s="77" t="s">
        <v>26</v>
      </c>
      <c r="I175" s="200">
        <v>1732.5</v>
      </c>
      <c r="J175" s="200"/>
      <c r="K175" s="78" t="s">
        <v>29</v>
      </c>
      <c r="L175" s="79">
        <v>10441142.109999999</v>
      </c>
    </row>
    <row r="176" spans="1:12" ht="61.2" x14ac:dyDescent="0.3">
      <c r="A176" s="75" t="s">
        <v>520</v>
      </c>
      <c r="B176" s="76" t="s">
        <v>1183</v>
      </c>
      <c r="C176" s="76" t="s">
        <v>522</v>
      </c>
      <c r="D176" s="76" t="s">
        <v>153</v>
      </c>
      <c r="E176" s="77" t="s">
        <v>523</v>
      </c>
      <c r="F176" s="199" t="s">
        <v>28</v>
      </c>
      <c r="G176" s="199"/>
      <c r="H176" s="77" t="s">
        <v>26</v>
      </c>
      <c r="I176" s="200">
        <v>17565.7</v>
      </c>
      <c r="J176" s="200"/>
      <c r="K176" s="78" t="s">
        <v>29</v>
      </c>
      <c r="L176" s="79">
        <v>10423576.41</v>
      </c>
    </row>
    <row r="177" spans="1:12" ht="61.2" x14ac:dyDescent="0.3">
      <c r="A177" s="75" t="s">
        <v>520</v>
      </c>
      <c r="B177" s="76" t="s">
        <v>1183</v>
      </c>
      <c r="C177" s="76" t="s">
        <v>522</v>
      </c>
      <c r="D177" s="76" t="s">
        <v>1026</v>
      </c>
      <c r="E177" s="77" t="s">
        <v>523</v>
      </c>
      <c r="F177" s="199" t="s">
        <v>28</v>
      </c>
      <c r="G177" s="199"/>
      <c r="H177" s="77" t="s">
        <v>26</v>
      </c>
      <c r="I177" s="200">
        <v>37625</v>
      </c>
      <c r="J177" s="200"/>
      <c r="K177" s="78" t="s">
        <v>29</v>
      </c>
      <c r="L177" s="79">
        <v>10385951.41</v>
      </c>
    </row>
    <row r="178" spans="1:12" ht="61.2" x14ac:dyDescent="0.3">
      <c r="A178" s="75" t="s">
        <v>520</v>
      </c>
      <c r="B178" s="76" t="s">
        <v>1183</v>
      </c>
      <c r="C178" s="76" t="s">
        <v>522</v>
      </c>
      <c r="D178" s="76" t="s">
        <v>1032</v>
      </c>
      <c r="E178" s="77" t="s">
        <v>523</v>
      </c>
      <c r="F178" s="199" t="s">
        <v>28</v>
      </c>
      <c r="G178" s="199"/>
      <c r="H178" s="77" t="s">
        <v>26</v>
      </c>
      <c r="I178" s="200">
        <v>80625</v>
      </c>
      <c r="J178" s="200"/>
      <c r="K178" s="78" t="s">
        <v>29</v>
      </c>
      <c r="L178" s="79">
        <v>10305326.41</v>
      </c>
    </row>
    <row r="179" spans="1:12" ht="61.2" x14ac:dyDescent="0.3">
      <c r="A179" s="75" t="s">
        <v>520</v>
      </c>
      <c r="B179" s="76" t="s">
        <v>1183</v>
      </c>
      <c r="C179" s="76" t="s">
        <v>522</v>
      </c>
      <c r="D179" s="76" t="s">
        <v>1034</v>
      </c>
      <c r="E179" s="77" t="s">
        <v>523</v>
      </c>
      <c r="F179" s="199" t="s">
        <v>28</v>
      </c>
      <c r="G179" s="199"/>
      <c r="H179" s="77" t="s">
        <v>26</v>
      </c>
      <c r="I179" s="200">
        <v>11233.32</v>
      </c>
      <c r="J179" s="200"/>
      <c r="K179" s="78" t="s">
        <v>29</v>
      </c>
      <c r="L179" s="79">
        <v>10294093.09</v>
      </c>
    </row>
    <row r="180" spans="1:12" ht="61.2" x14ac:dyDescent="0.3">
      <c r="A180" s="75" t="s">
        <v>520</v>
      </c>
      <c r="B180" s="76" t="s">
        <v>1183</v>
      </c>
      <c r="C180" s="76" t="s">
        <v>522</v>
      </c>
      <c r="D180" s="76" t="s">
        <v>193</v>
      </c>
      <c r="E180" s="77" t="s">
        <v>523</v>
      </c>
      <c r="F180" s="199" t="s">
        <v>28</v>
      </c>
      <c r="G180" s="199"/>
      <c r="H180" s="77" t="s">
        <v>26</v>
      </c>
      <c r="I180" s="200">
        <v>20143.75</v>
      </c>
      <c r="J180" s="200"/>
      <c r="K180" s="78" t="s">
        <v>29</v>
      </c>
      <c r="L180" s="79">
        <v>10273949.34</v>
      </c>
    </row>
    <row r="181" spans="1:12" ht="61.2" x14ac:dyDescent="0.3">
      <c r="A181" s="75" t="s">
        <v>520</v>
      </c>
      <c r="B181" s="76" t="s">
        <v>1183</v>
      </c>
      <c r="C181" s="76" t="s">
        <v>522</v>
      </c>
      <c r="D181" s="76" t="s">
        <v>213</v>
      </c>
      <c r="E181" s="77" t="s">
        <v>523</v>
      </c>
      <c r="F181" s="199" t="s">
        <v>28</v>
      </c>
      <c r="G181" s="199"/>
      <c r="H181" s="77" t="s">
        <v>26</v>
      </c>
      <c r="I181" s="200">
        <v>8171</v>
      </c>
      <c r="J181" s="200"/>
      <c r="K181" s="78" t="s">
        <v>29</v>
      </c>
      <c r="L181" s="79">
        <v>10265778.34</v>
      </c>
    </row>
    <row r="182" spans="1:12" ht="61.2" x14ac:dyDescent="0.3">
      <c r="A182" s="75" t="s">
        <v>520</v>
      </c>
      <c r="B182" s="76" t="s">
        <v>1184</v>
      </c>
      <c r="C182" s="76" t="s">
        <v>522</v>
      </c>
      <c r="D182" s="76" t="s">
        <v>213</v>
      </c>
      <c r="E182" s="77" t="s">
        <v>523</v>
      </c>
      <c r="F182" s="199" t="s">
        <v>28</v>
      </c>
      <c r="G182" s="199"/>
      <c r="H182" s="77" t="s">
        <v>26</v>
      </c>
      <c r="I182" s="200">
        <v>2381.9499999999998</v>
      </c>
      <c r="J182" s="200"/>
      <c r="K182" s="78" t="s">
        <v>29</v>
      </c>
      <c r="L182" s="79">
        <v>10263396.390000001</v>
      </c>
    </row>
    <row r="183" spans="1:12" ht="61.2" x14ac:dyDescent="0.3">
      <c r="A183" s="75" t="s">
        <v>520</v>
      </c>
      <c r="B183" s="76" t="s">
        <v>1184</v>
      </c>
      <c r="C183" s="76" t="s">
        <v>522</v>
      </c>
      <c r="D183" s="76" t="s">
        <v>1038</v>
      </c>
      <c r="E183" s="77" t="s">
        <v>523</v>
      </c>
      <c r="F183" s="199" t="s">
        <v>28</v>
      </c>
      <c r="G183" s="199"/>
      <c r="H183" s="77" t="s">
        <v>26</v>
      </c>
      <c r="I183" s="200">
        <v>20241.25</v>
      </c>
      <c r="J183" s="200"/>
      <c r="K183" s="78" t="s">
        <v>29</v>
      </c>
      <c r="L183" s="79">
        <v>10243155.140000001</v>
      </c>
    </row>
    <row r="184" spans="1:12" ht="61.2" x14ac:dyDescent="0.3">
      <c r="A184" s="75" t="s">
        <v>520</v>
      </c>
      <c r="B184" s="76" t="s">
        <v>1184</v>
      </c>
      <c r="C184" s="76" t="s">
        <v>522</v>
      </c>
      <c r="D184" s="76" t="s">
        <v>243</v>
      </c>
      <c r="E184" s="77" t="s">
        <v>523</v>
      </c>
      <c r="F184" s="199" t="s">
        <v>28</v>
      </c>
      <c r="G184" s="199"/>
      <c r="H184" s="77" t="s">
        <v>26</v>
      </c>
      <c r="I184" s="200">
        <v>6045.69</v>
      </c>
      <c r="J184" s="200"/>
      <c r="K184" s="78" t="s">
        <v>29</v>
      </c>
      <c r="L184" s="79">
        <v>10237109.449999999</v>
      </c>
    </row>
    <row r="185" spans="1:12" ht="61.2" x14ac:dyDescent="0.3">
      <c r="A185" s="75" t="s">
        <v>520</v>
      </c>
      <c r="B185" s="76" t="s">
        <v>1184</v>
      </c>
      <c r="C185" s="76" t="s">
        <v>522</v>
      </c>
      <c r="D185" s="76" t="s">
        <v>243</v>
      </c>
      <c r="E185" s="77" t="s">
        <v>523</v>
      </c>
      <c r="F185" s="199" t="s">
        <v>28</v>
      </c>
      <c r="G185" s="199"/>
      <c r="H185" s="77" t="s">
        <v>26</v>
      </c>
      <c r="I185" s="200">
        <v>9574.61</v>
      </c>
      <c r="J185" s="200"/>
      <c r="K185" s="78" t="s">
        <v>29</v>
      </c>
      <c r="L185" s="79">
        <v>10227534.84</v>
      </c>
    </row>
    <row r="186" spans="1:12" ht="61.2" x14ac:dyDescent="0.3">
      <c r="A186" s="75" t="s">
        <v>520</v>
      </c>
      <c r="B186" s="76" t="s">
        <v>1184</v>
      </c>
      <c r="C186" s="76" t="s">
        <v>522</v>
      </c>
      <c r="D186" s="76" t="s">
        <v>243</v>
      </c>
      <c r="E186" s="77" t="s">
        <v>523</v>
      </c>
      <c r="F186" s="199" t="s">
        <v>28</v>
      </c>
      <c r="G186" s="199"/>
      <c r="H186" s="77" t="s">
        <v>26</v>
      </c>
      <c r="I186" s="200">
        <v>1231.02</v>
      </c>
      <c r="J186" s="200"/>
      <c r="K186" s="78" t="s">
        <v>29</v>
      </c>
      <c r="L186" s="79">
        <v>10226303.82</v>
      </c>
    </row>
    <row r="187" spans="1:12" ht="61.2" x14ac:dyDescent="0.3">
      <c r="A187" s="75" t="s">
        <v>520</v>
      </c>
      <c r="B187" s="76" t="s">
        <v>1184</v>
      </c>
      <c r="C187" s="76" t="s">
        <v>522</v>
      </c>
      <c r="D187" s="76" t="s">
        <v>153</v>
      </c>
      <c r="E187" s="77" t="s">
        <v>523</v>
      </c>
      <c r="F187" s="199" t="s">
        <v>28</v>
      </c>
      <c r="G187" s="199"/>
      <c r="H187" s="77" t="s">
        <v>26</v>
      </c>
      <c r="I187" s="200">
        <v>10410.299999999999</v>
      </c>
      <c r="J187" s="200"/>
      <c r="K187" s="78" t="s">
        <v>29</v>
      </c>
      <c r="L187" s="79">
        <v>10215893.52</v>
      </c>
    </row>
    <row r="188" spans="1:12" ht="61.2" x14ac:dyDescent="0.3">
      <c r="A188" s="75" t="s">
        <v>520</v>
      </c>
      <c r="B188" s="76" t="s">
        <v>1184</v>
      </c>
      <c r="C188" s="76" t="s">
        <v>522</v>
      </c>
      <c r="D188" s="76" t="s">
        <v>162</v>
      </c>
      <c r="E188" s="77" t="s">
        <v>523</v>
      </c>
      <c r="F188" s="199" t="s">
        <v>28</v>
      </c>
      <c r="G188" s="199"/>
      <c r="H188" s="77" t="s">
        <v>26</v>
      </c>
      <c r="I188" s="200">
        <v>18830</v>
      </c>
      <c r="J188" s="200"/>
      <c r="K188" s="78" t="s">
        <v>29</v>
      </c>
      <c r="L188" s="79">
        <v>10197063.52</v>
      </c>
    </row>
    <row r="189" spans="1:12" ht="61.2" x14ac:dyDescent="0.3">
      <c r="A189" s="75" t="s">
        <v>520</v>
      </c>
      <c r="B189" s="76" t="s">
        <v>1184</v>
      </c>
      <c r="C189" s="76" t="s">
        <v>522</v>
      </c>
      <c r="D189" s="76" t="s">
        <v>1030</v>
      </c>
      <c r="E189" s="77" t="s">
        <v>523</v>
      </c>
      <c r="F189" s="199" t="s">
        <v>28</v>
      </c>
      <c r="G189" s="199"/>
      <c r="H189" s="77" t="s">
        <v>26</v>
      </c>
      <c r="I189" s="200">
        <v>25555</v>
      </c>
      <c r="J189" s="200"/>
      <c r="K189" s="78" t="s">
        <v>29</v>
      </c>
      <c r="L189" s="79">
        <v>10171508.52</v>
      </c>
    </row>
    <row r="190" spans="1:12" ht="61.2" x14ac:dyDescent="0.3">
      <c r="A190" s="75" t="s">
        <v>520</v>
      </c>
      <c r="B190" s="76" t="s">
        <v>1185</v>
      </c>
      <c r="C190" s="76" t="s">
        <v>522</v>
      </c>
      <c r="D190" s="76" t="s">
        <v>243</v>
      </c>
      <c r="E190" s="77" t="s">
        <v>523</v>
      </c>
      <c r="F190" s="199" t="s">
        <v>28</v>
      </c>
      <c r="G190" s="199"/>
      <c r="H190" s="77" t="s">
        <v>26</v>
      </c>
      <c r="I190" s="200">
        <v>4103.41</v>
      </c>
      <c r="J190" s="200"/>
      <c r="K190" s="78" t="s">
        <v>29</v>
      </c>
      <c r="L190" s="79">
        <v>10167405.109999999</v>
      </c>
    </row>
    <row r="191" spans="1:12" ht="61.2" x14ac:dyDescent="0.3">
      <c r="A191" s="75" t="s">
        <v>520</v>
      </c>
      <c r="B191" s="76" t="s">
        <v>1185</v>
      </c>
      <c r="C191" s="76" t="s">
        <v>522</v>
      </c>
      <c r="D191" s="76" t="s">
        <v>243</v>
      </c>
      <c r="E191" s="77" t="s">
        <v>523</v>
      </c>
      <c r="F191" s="199" t="s">
        <v>28</v>
      </c>
      <c r="G191" s="199"/>
      <c r="H191" s="77" t="s">
        <v>26</v>
      </c>
      <c r="I191" s="205">
        <v>930.11</v>
      </c>
      <c r="J191" s="205"/>
      <c r="K191" s="78" t="s">
        <v>29</v>
      </c>
      <c r="L191" s="79">
        <v>10166475</v>
      </c>
    </row>
    <row r="192" spans="1:12" ht="61.2" x14ac:dyDescent="0.3">
      <c r="A192" s="75" t="s">
        <v>520</v>
      </c>
      <c r="B192" s="76" t="s">
        <v>1185</v>
      </c>
      <c r="C192" s="76" t="s">
        <v>522</v>
      </c>
      <c r="D192" s="76" t="s">
        <v>252</v>
      </c>
      <c r="E192" s="77" t="s">
        <v>523</v>
      </c>
      <c r="F192" s="199" t="s">
        <v>28</v>
      </c>
      <c r="G192" s="199"/>
      <c r="H192" s="77" t="s">
        <v>26</v>
      </c>
      <c r="I192" s="200">
        <v>12218.5</v>
      </c>
      <c r="J192" s="200"/>
      <c r="K192" s="78" t="s">
        <v>29</v>
      </c>
      <c r="L192" s="79">
        <v>10154256.5</v>
      </c>
    </row>
    <row r="193" spans="1:12" ht="61.2" x14ac:dyDescent="0.3">
      <c r="A193" s="75" t="s">
        <v>520</v>
      </c>
      <c r="B193" s="76" t="s">
        <v>1185</v>
      </c>
      <c r="C193" s="76" t="s">
        <v>522</v>
      </c>
      <c r="D193" s="76" t="s">
        <v>268</v>
      </c>
      <c r="E193" s="77" t="s">
        <v>523</v>
      </c>
      <c r="F193" s="199" t="s">
        <v>28</v>
      </c>
      <c r="G193" s="199"/>
      <c r="H193" s="77" t="s">
        <v>26</v>
      </c>
      <c r="I193" s="200">
        <v>27529.439999999999</v>
      </c>
      <c r="J193" s="200"/>
      <c r="K193" s="78" t="s">
        <v>29</v>
      </c>
      <c r="L193" s="79">
        <v>10126727.060000001</v>
      </c>
    </row>
    <row r="194" spans="1:12" ht="61.2" x14ac:dyDescent="0.3">
      <c r="A194" s="75" t="s">
        <v>520</v>
      </c>
      <c r="B194" s="76" t="s">
        <v>1185</v>
      </c>
      <c r="C194" s="76" t="s">
        <v>522</v>
      </c>
      <c r="D194" s="76" t="s">
        <v>1073</v>
      </c>
      <c r="E194" s="77" t="s">
        <v>523</v>
      </c>
      <c r="F194" s="199" t="s">
        <v>28</v>
      </c>
      <c r="G194" s="199"/>
      <c r="H194" s="77" t="s">
        <v>26</v>
      </c>
      <c r="I194" s="200">
        <v>22510.29</v>
      </c>
      <c r="J194" s="200"/>
      <c r="K194" s="78" t="s">
        <v>29</v>
      </c>
      <c r="L194" s="79">
        <v>10104216.77</v>
      </c>
    </row>
    <row r="195" spans="1:12" ht="61.2" x14ac:dyDescent="0.3">
      <c r="A195" s="75" t="s">
        <v>520</v>
      </c>
      <c r="B195" s="76" t="s">
        <v>1185</v>
      </c>
      <c r="C195" s="76" t="s">
        <v>522</v>
      </c>
      <c r="D195" s="76" t="s">
        <v>1073</v>
      </c>
      <c r="E195" s="77" t="s">
        <v>523</v>
      </c>
      <c r="F195" s="199" t="s">
        <v>28</v>
      </c>
      <c r="G195" s="199"/>
      <c r="H195" s="77" t="s">
        <v>26</v>
      </c>
      <c r="I195" s="200">
        <v>7503.43</v>
      </c>
      <c r="J195" s="200"/>
      <c r="K195" s="78" t="s">
        <v>29</v>
      </c>
      <c r="L195" s="79">
        <v>10096713.34</v>
      </c>
    </row>
    <row r="196" spans="1:12" ht="61.2" x14ac:dyDescent="0.3">
      <c r="A196" s="75" t="s">
        <v>520</v>
      </c>
      <c r="B196" s="76" t="s">
        <v>1185</v>
      </c>
      <c r="C196" s="76" t="s">
        <v>522</v>
      </c>
      <c r="D196" s="76" t="s">
        <v>1088</v>
      </c>
      <c r="E196" s="77" t="s">
        <v>523</v>
      </c>
      <c r="F196" s="199" t="s">
        <v>28</v>
      </c>
      <c r="G196" s="199"/>
      <c r="H196" s="77" t="s">
        <v>26</v>
      </c>
      <c r="I196" s="200">
        <v>22063.599999999999</v>
      </c>
      <c r="J196" s="200"/>
      <c r="K196" s="78" t="s">
        <v>29</v>
      </c>
      <c r="L196" s="79">
        <v>10074649.74</v>
      </c>
    </row>
    <row r="197" spans="1:12" ht="61.2" x14ac:dyDescent="0.3">
      <c r="A197" s="75" t="s">
        <v>520</v>
      </c>
      <c r="B197" s="76" t="s">
        <v>1186</v>
      </c>
      <c r="C197" s="76" t="s">
        <v>522</v>
      </c>
      <c r="D197" s="76" t="s">
        <v>1088</v>
      </c>
      <c r="E197" s="77" t="s">
        <v>523</v>
      </c>
      <c r="F197" s="199" t="s">
        <v>28</v>
      </c>
      <c r="G197" s="199"/>
      <c r="H197" s="77" t="s">
        <v>26</v>
      </c>
      <c r="I197" s="200">
        <v>35813.9</v>
      </c>
      <c r="J197" s="200"/>
      <c r="K197" s="78" t="s">
        <v>29</v>
      </c>
      <c r="L197" s="79">
        <v>10038835.84</v>
      </c>
    </row>
    <row r="198" spans="1:12" ht="61.2" x14ac:dyDescent="0.3">
      <c r="A198" s="75" t="s">
        <v>520</v>
      </c>
      <c r="B198" s="76" t="s">
        <v>1186</v>
      </c>
      <c r="C198" s="76" t="s">
        <v>522</v>
      </c>
      <c r="D198" s="76" t="s">
        <v>1091</v>
      </c>
      <c r="E198" s="77" t="s">
        <v>523</v>
      </c>
      <c r="F198" s="199" t="s">
        <v>28</v>
      </c>
      <c r="G198" s="199"/>
      <c r="H198" s="77" t="s">
        <v>26</v>
      </c>
      <c r="I198" s="200">
        <v>19474.25</v>
      </c>
      <c r="J198" s="200"/>
      <c r="K198" s="78" t="s">
        <v>29</v>
      </c>
      <c r="L198" s="79">
        <v>10019361.59</v>
      </c>
    </row>
    <row r="199" spans="1:12" ht="61.2" x14ac:dyDescent="0.3">
      <c r="A199" s="75" t="s">
        <v>520</v>
      </c>
      <c r="B199" s="76" t="s">
        <v>1186</v>
      </c>
      <c r="C199" s="76" t="s">
        <v>522</v>
      </c>
      <c r="D199" s="76" t="s">
        <v>1091</v>
      </c>
      <c r="E199" s="77" t="s">
        <v>523</v>
      </c>
      <c r="F199" s="199" t="s">
        <v>28</v>
      </c>
      <c r="G199" s="199"/>
      <c r="H199" s="77" t="s">
        <v>26</v>
      </c>
      <c r="I199" s="200">
        <v>8135.75</v>
      </c>
      <c r="J199" s="200"/>
      <c r="K199" s="78" t="s">
        <v>29</v>
      </c>
      <c r="L199" s="79">
        <v>10011225.84</v>
      </c>
    </row>
    <row r="200" spans="1:12" ht="61.2" x14ac:dyDescent="0.3">
      <c r="A200" s="75" t="s">
        <v>520</v>
      </c>
      <c r="B200" s="76" t="s">
        <v>1186</v>
      </c>
      <c r="C200" s="76" t="s">
        <v>522</v>
      </c>
      <c r="D200" s="76" t="s">
        <v>1116</v>
      </c>
      <c r="E200" s="77" t="s">
        <v>523</v>
      </c>
      <c r="F200" s="199" t="s">
        <v>28</v>
      </c>
      <c r="G200" s="199"/>
      <c r="H200" s="77" t="s">
        <v>26</v>
      </c>
      <c r="I200" s="200">
        <v>18913.849999999999</v>
      </c>
      <c r="J200" s="200"/>
      <c r="K200" s="78" t="s">
        <v>29</v>
      </c>
      <c r="L200" s="79">
        <v>9992311.9900000002</v>
      </c>
    </row>
    <row r="201" spans="1:12" ht="61.2" x14ac:dyDescent="0.3">
      <c r="A201" s="75" t="s">
        <v>520</v>
      </c>
      <c r="B201" s="76" t="s">
        <v>1186</v>
      </c>
      <c r="C201" s="76" t="s">
        <v>522</v>
      </c>
      <c r="D201" s="76" t="s">
        <v>1120</v>
      </c>
      <c r="E201" s="77" t="s">
        <v>523</v>
      </c>
      <c r="F201" s="199" t="s">
        <v>28</v>
      </c>
      <c r="G201" s="199"/>
      <c r="H201" s="77" t="s">
        <v>26</v>
      </c>
      <c r="I201" s="200">
        <v>18119.47</v>
      </c>
      <c r="J201" s="200"/>
      <c r="K201" s="78" t="s">
        <v>29</v>
      </c>
      <c r="L201" s="79">
        <v>9974192.5199999996</v>
      </c>
    </row>
    <row r="202" spans="1:12" ht="61.2" x14ac:dyDescent="0.3">
      <c r="A202" s="75" t="s">
        <v>520</v>
      </c>
      <c r="B202" s="76" t="s">
        <v>1186</v>
      </c>
      <c r="C202" s="76" t="s">
        <v>522</v>
      </c>
      <c r="D202" s="76" t="s">
        <v>1120</v>
      </c>
      <c r="E202" s="77" t="s">
        <v>523</v>
      </c>
      <c r="F202" s="199" t="s">
        <v>28</v>
      </c>
      <c r="G202" s="199"/>
      <c r="H202" s="77" t="s">
        <v>26</v>
      </c>
      <c r="I202" s="200">
        <v>12142.69</v>
      </c>
      <c r="J202" s="200"/>
      <c r="K202" s="78" t="s">
        <v>29</v>
      </c>
      <c r="L202" s="79">
        <v>9962049.8300000001</v>
      </c>
    </row>
    <row r="203" spans="1:12" ht="61.2" x14ac:dyDescent="0.3">
      <c r="A203" s="75" t="s">
        <v>520</v>
      </c>
      <c r="B203" s="76" t="s">
        <v>1186</v>
      </c>
      <c r="C203" s="76" t="s">
        <v>522</v>
      </c>
      <c r="D203" s="76" t="s">
        <v>1135</v>
      </c>
      <c r="E203" s="77" t="s">
        <v>523</v>
      </c>
      <c r="F203" s="199" t="s">
        <v>28</v>
      </c>
      <c r="G203" s="199"/>
      <c r="H203" s="77" t="s">
        <v>26</v>
      </c>
      <c r="I203" s="200">
        <v>25541.4</v>
      </c>
      <c r="J203" s="200"/>
      <c r="K203" s="78" t="s">
        <v>29</v>
      </c>
      <c r="L203" s="79">
        <v>9936508.4299999997</v>
      </c>
    </row>
    <row r="204" spans="1:12" ht="61.2" x14ac:dyDescent="0.3">
      <c r="A204" s="75" t="s">
        <v>520</v>
      </c>
      <c r="B204" s="76" t="s">
        <v>1186</v>
      </c>
      <c r="C204" s="76" t="s">
        <v>522</v>
      </c>
      <c r="D204" s="76" t="s">
        <v>1135</v>
      </c>
      <c r="E204" s="77" t="s">
        <v>523</v>
      </c>
      <c r="F204" s="199" t="s">
        <v>28</v>
      </c>
      <c r="G204" s="199"/>
      <c r="H204" s="77" t="s">
        <v>26</v>
      </c>
      <c r="I204" s="200">
        <v>2877.4</v>
      </c>
      <c r="J204" s="200"/>
      <c r="K204" s="78" t="s">
        <v>29</v>
      </c>
      <c r="L204" s="79">
        <v>9933631.0299999993</v>
      </c>
    </row>
    <row r="205" spans="1:12" ht="61.2" x14ac:dyDescent="0.3">
      <c r="A205" s="75" t="s">
        <v>520</v>
      </c>
      <c r="B205" s="76" t="s">
        <v>1186</v>
      </c>
      <c r="C205" s="76" t="s">
        <v>522</v>
      </c>
      <c r="D205" s="76" t="s">
        <v>1140</v>
      </c>
      <c r="E205" s="77" t="s">
        <v>523</v>
      </c>
      <c r="F205" s="199" t="s">
        <v>28</v>
      </c>
      <c r="G205" s="199"/>
      <c r="H205" s="77" t="s">
        <v>26</v>
      </c>
      <c r="I205" s="200">
        <v>25541.4</v>
      </c>
      <c r="J205" s="200"/>
      <c r="K205" s="78" t="s">
        <v>29</v>
      </c>
      <c r="L205" s="79">
        <v>9908089.6300000008</v>
      </c>
    </row>
    <row r="206" spans="1:12" ht="61.2" x14ac:dyDescent="0.3">
      <c r="A206" s="75" t="s">
        <v>520</v>
      </c>
      <c r="B206" s="76" t="s">
        <v>1186</v>
      </c>
      <c r="C206" s="76" t="s">
        <v>522</v>
      </c>
      <c r="D206" s="76" t="s">
        <v>1140</v>
      </c>
      <c r="E206" s="77" t="s">
        <v>523</v>
      </c>
      <c r="F206" s="199" t="s">
        <v>28</v>
      </c>
      <c r="G206" s="199"/>
      <c r="H206" s="77" t="s">
        <v>26</v>
      </c>
      <c r="I206" s="200">
        <v>6429.75</v>
      </c>
      <c r="J206" s="200"/>
      <c r="K206" s="78" t="s">
        <v>29</v>
      </c>
      <c r="L206" s="79">
        <v>9901659.8800000008</v>
      </c>
    </row>
    <row r="207" spans="1:12" ht="61.2" x14ac:dyDescent="0.3">
      <c r="A207" s="75" t="s">
        <v>520</v>
      </c>
      <c r="B207" s="76" t="s">
        <v>1186</v>
      </c>
      <c r="C207" s="76" t="s">
        <v>522</v>
      </c>
      <c r="D207" s="76" t="s">
        <v>391</v>
      </c>
      <c r="E207" s="77" t="s">
        <v>523</v>
      </c>
      <c r="F207" s="199" t="s">
        <v>28</v>
      </c>
      <c r="G207" s="199"/>
      <c r="H207" s="77" t="s">
        <v>26</v>
      </c>
      <c r="I207" s="205">
        <v>463.06</v>
      </c>
      <c r="J207" s="205"/>
      <c r="K207" s="78" t="s">
        <v>29</v>
      </c>
      <c r="L207" s="79">
        <v>9901196.8200000003</v>
      </c>
    </row>
    <row r="208" spans="1:12" ht="61.2" x14ac:dyDescent="0.3">
      <c r="A208" s="75" t="s">
        <v>520</v>
      </c>
      <c r="B208" s="76" t="s">
        <v>1187</v>
      </c>
      <c r="C208" s="76" t="s">
        <v>522</v>
      </c>
      <c r="D208" s="76" t="s">
        <v>422</v>
      </c>
      <c r="E208" s="77" t="s">
        <v>523</v>
      </c>
      <c r="F208" s="199" t="s">
        <v>28</v>
      </c>
      <c r="G208" s="199"/>
      <c r="H208" s="77" t="s">
        <v>26</v>
      </c>
      <c r="I208" s="200">
        <v>70815</v>
      </c>
      <c r="J208" s="200"/>
      <c r="K208" s="78" t="s">
        <v>29</v>
      </c>
      <c r="L208" s="79">
        <v>9830381.8200000003</v>
      </c>
    </row>
    <row r="209" spans="1:12" ht="61.2" x14ac:dyDescent="0.3">
      <c r="A209" s="75" t="s">
        <v>520</v>
      </c>
      <c r="B209" s="76" t="s">
        <v>1187</v>
      </c>
      <c r="C209" s="76" t="s">
        <v>522</v>
      </c>
      <c r="D209" s="76" t="s">
        <v>431</v>
      </c>
      <c r="E209" s="77" t="s">
        <v>523</v>
      </c>
      <c r="F209" s="199" t="s">
        <v>28</v>
      </c>
      <c r="G209" s="199"/>
      <c r="H209" s="77" t="s">
        <v>26</v>
      </c>
      <c r="I209" s="205">
        <v>725</v>
      </c>
      <c r="J209" s="205"/>
      <c r="K209" s="78" t="s">
        <v>29</v>
      </c>
      <c r="L209" s="79">
        <v>9829656.8200000003</v>
      </c>
    </row>
    <row r="210" spans="1:12" ht="61.2" x14ac:dyDescent="0.3">
      <c r="A210" s="75" t="s">
        <v>520</v>
      </c>
      <c r="B210" s="76" t="s">
        <v>1187</v>
      </c>
      <c r="C210" s="76" t="s">
        <v>522</v>
      </c>
      <c r="D210" s="76" t="s">
        <v>431</v>
      </c>
      <c r="E210" s="77" t="s">
        <v>523</v>
      </c>
      <c r="F210" s="199" t="s">
        <v>28</v>
      </c>
      <c r="G210" s="199"/>
      <c r="H210" s="77" t="s">
        <v>26</v>
      </c>
      <c r="I210" s="200">
        <v>73380</v>
      </c>
      <c r="J210" s="200"/>
      <c r="K210" s="78" t="s">
        <v>29</v>
      </c>
      <c r="L210" s="79">
        <v>9756276.8200000003</v>
      </c>
    </row>
    <row r="211" spans="1:12" ht="61.2" x14ac:dyDescent="0.3">
      <c r="A211" s="75" t="s">
        <v>520</v>
      </c>
      <c r="B211" s="76" t="s">
        <v>1187</v>
      </c>
      <c r="C211" s="76" t="s">
        <v>522</v>
      </c>
      <c r="D211" s="76" t="s">
        <v>431</v>
      </c>
      <c r="E211" s="77" t="s">
        <v>523</v>
      </c>
      <c r="F211" s="199" t="s">
        <v>28</v>
      </c>
      <c r="G211" s="199"/>
      <c r="H211" s="77" t="s">
        <v>26</v>
      </c>
      <c r="I211" s="200">
        <v>2995</v>
      </c>
      <c r="J211" s="200"/>
      <c r="K211" s="78" t="s">
        <v>29</v>
      </c>
      <c r="L211" s="79">
        <v>9753281.8200000003</v>
      </c>
    </row>
    <row r="212" spans="1:12" ht="61.2" x14ac:dyDescent="0.3">
      <c r="A212" s="75" t="s">
        <v>520</v>
      </c>
      <c r="B212" s="76" t="s">
        <v>1187</v>
      </c>
      <c r="C212" s="76" t="s">
        <v>522</v>
      </c>
      <c r="D212" s="76" t="s">
        <v>451</v>
      </c>
      <c r="E212" s="77" t="s">
        <v>523</v>
      </c>
      <c r="F212" s="199" t="s">
        <v>28</v>
      </c>
      <c r="G212" s="199"/>
      <c r="H212" s="77" t="s">
        <v>26</v>
      </c>
      <c r="I212" s="200">
        <v>67820</v>
      </c>
      <c r="J212" s="200"/>
      <c r="K212" s="78" t="s">
        <v>29</v>
      </c>
      <c r="L212" s="79">
        <v>9685461.8200000003</v>
      </c>
    </row>
    <row r="213" spans="1:12" ht="61.2" x14ac:dyDescent="0.3">
      <c r="A213" s="75" t="s">
        <v>520</v>
      </c>
      <c r="B213" s="76" t="s">
        <v>1187</v>
      </c>
      <c r="C213" s="76" t="s">
        <v>522</v>
      </c>
      <c r="D213" s="76" t="s">
        <v>451</v>
      </c>
      <c r="E213" s="77" t="s">
        <v>523</v>
      </c>
      <c r="F213" s="199" t="s">
        <v>28</v>
      </c>
      <c r="G213" s="199"/>
      <c r="H213" s="77" t="s">
        <v>26</v>
      </c>
      <c r="I213" s="200">
        <v>5560</v>
      </c>
      <c r="J213" s="200"/>
      <c r="K213" s="78" t="s">
        <v>29</v>
      </c>
      <c r="L213" s="79">
        <v>9679901.8200000003</v>
      </c>
    </row>
    <row r="214" spans="1:12" ht="61.2" x14ac:dyDescent="0.3">
      <c r="A214" s="75" t="s">
        <v>520</v>
      </c>
      <c r="B214" s="76" t="s">
        <v>1187</v>
      </c>
      <c r="C214" s="76" t="s">
        <v>522</v>
      </c>
      <c r="D214" s="76" t="s">
        <v>1151</v>
      </c>
      <c r="E214" s="77" t="s">
        <v>523</v>
      </c>
      <c r="F214" s="199" t="s">
        <v>28</v>
      </c>
      <c r="G214" s="199"/>
      <c r="H214" s="77" t="s">
        <v>26</v>
      </c>
      <c r="I214" s="200">
        <v>71540</v>
      </c>
      <c r="J214" s="200"/>
      <c r="K214" s="78" t="s">
        <v>29</v>
      </c>
      <c r="L214" s="79">
        <v>9608361.8200000003</v>
      </c>
    </row>
    <row r="215" spans="1:12" ht="71.400000000000006" x14ac:dyDescent="0.3">
      <c r="A215" s="75" t="s">
        <v>520</v>
      </c>
      <c r="B215" s="76" t="s">
        <v>1187</v>
      </c>
      <c r="C215" s="76" t="s">
        <v>522</v>
      </c>
      <c r="D215" s="76" t="s">
        <v>1084</v>
      </c>
      <c r="E215" s="77" t="s">
        <v>523</v>
      </c>
      <c r="F215" s="199" t="s">
        <v>28</v>
      </c>
      <c r="G215" s="199"/>
      <c r="H215" s="77" t="s">
        <v>26</v>
      </c>
      <c r="I215" s="200">
        <v>46245.33</v>
      </c>
      <c r="J215" s="200"/>
      <c r="K215" s="78" t="s">
        <v>29</v>
      </c>
      <c r="L215" s="79">
        <v>9562116.4900000002</v>
      </c>
    </row>
    <row r="216" spans="1:12" ht="71.400000000000006" x14ac:dyDescent="0.3">
      <c r="A216" s="75" t="s">
        <v>520</v>
      </c>
      <c r="B216" s="76" t="s">
        <v>1187</v>
      </c>
      <c r="C216" s="76" t="s">
        <v>522</v>
      </c>
      <c r="D216" s="76" t="s">
        <v>1084</v>
      </c>
      <c r="E216" s="77" t="s">
        <v>523</v>
      </c>
      <c r="F216" s="199" t="s">
        <v>28</v>
      </c>
      <c r="G216" s="199"/>
      <c r="H216" s="77" t="s">
        <v>26</v>
      </c>
      <c r="I216" s="200">
        <v>43658.67</v>
      </c>
      <c r="J216" s="200"/>
      <c r="K216" s="78" t="s">
        <v>29</v>
      </c>
      <c r="L216" s="79">
        <v>9518457.8200000003</v>
      </c>
    </row>
    <row r="217" spans="1:12" ht="71.400000000000006" x14ac:dyDescent="0.3">
      <c r="A217" s="75" t="s">
        <v>520</v>
      </c>
      <c r="B217" s="76" t="s">
        <v>1187</v>
      </c>
      <c r="C217" s="76" t="s">
        <v>522</v>
      </c>
      <c r="D217" s="76" t="s">
        <v>318</v>
      </c>
      <c r="E217" s="77" t="s">
        <v>523</v>
      </c>
      <c r="F217" s="199" t="s">
        <v>28</v>
      </c>
      <c r="G217" s="199"/>
      <c r="H217" s="77" t="s">
        <v>26</v>
      </c>
      <c r="I217" s="200">
        <v>27110</v>
      </c>
      <c r="J217" s="200"/>
      <c r="K217" s="78" t="s">
        <v>29</v>
      </c>
      <c r="L217" s="79">
        <v>9491347.8200000003</v>
      </c>
    </row>
    <row r="218" spans="1:12" ht="71.400000000000006" x14ac:dyDescent="0.3">
      <c r="A218" s="75" t="s">
        <v>520</v>
      </c>
      <c r="B218" s="76" t="s">
        <v>1187</v>
      </c>
      <c r="C218" s="76" t="s">
        <v>522</v>
      </c>
      <c r="D218" s="76" t="s">
        <v>1178</v>
      </c>
      <c r="E218" s="77" t="s">
        <v>523</v>
      </c>
      <c r="F218" s="199" t="s">
        <v>28</v>
      </c>
      <c r="G218" s="199"/>
      <c r="H218" s="77" t="s">
        <v>26</v>
      </c>
      <c r="I218" s="200">
        <v>5300</v>
      </c>
      <c r="J218" s="200"/>
      <c r="K218" s="78" t="s">
        <v>29</v>
      </c>
      <c r="L218" s="79">
        <v>9486047.8200000003</v>
      </c>
    </row>
    <row r="219" spans="1:12" ht="61.2" x14ac:dyDescent="0.3">
      <c r="A219" s="75" t="s">
        <v>520</v>
      </c>
      <c r="B219" s="76" t="s">
        <v>1188</v>
      </c>
      <c r="C219" s="76" t="s">
        <v>522</v>
      </c>
      <c r="D219" s="76" t="s">
        <v>243</v>
      </c>
      <c r="E219" s="77" t="s">
        <v>523</v>
      </c>
      <c r="F219" s="199" t="s">
        <v>28</v>
      </c>
      <c r="G219" s="199"/>
      <c r="H219" s="77" t="s">
        <v>26</v>
      </c>
      <c r="I219" s="200">
        <v>2735.6</v>
      </c>
      <c r="J219" s="200"/>
      <c r="K219" s="78" t="s">
        <v>29</v>
      </c>
      <c r="L219" s="79">
        <v>9483312.2200000007</v>
      </c>
    </row>
    <row r="220" spans="1:12" ht="61.2" x14ac:dyDescent="0.3">
      <c r="A220" s="75" t="s">
        <v>520</v>
      </c>
      <c r="B220" s="76" t="s">
        <v>1188</v>
      </c>
      <c r="C220" s="76" t="s">
        <v>522</v>
      </c>
      <c r="D220" s="76" t="s">
        <v>362</v>
      </c>
      <c r="E220" s="77" t="s">
        <v>523</v>
      </c>
      <c r="F220" s="199" t="s">
        <v>28</v>
      </c>
      <c r="G220" s="199"/>
      <c r="H220" s="77" t="s">
        <v>26</v>
      </c>
      <c r="I220" s="200">
        <v>4517.1099999999997</v>
      </c>
      <c r="J220" s="200"/>
      <c r="K220" s="78" t="s">
        <v>29</v>
      </c>
      <c r="L220" s="79">
        <v>9478795.1099999994</v>
      </c>
    </row>
    <row r="221" spans="1:12" ht="61.2" x14ac:dyDescent="0.3">
      <c r="A221" s="75" t="s">
        <v>520</v>
      </c>
      <c r="B221" s="76" t="s">
        <v>1188</v>
      </c>
      <c r="C221" s="76" t="s">
        <v>522</v>
      </c>
      <c r="D221" s="76" t="s">
        <v>362</v>
      </c>
      <c r="E221" s="77" t="s">
        <v>523</v>
      </c>
      <c r="F221" s="199" t="s">
        <v>28</v>
      </c>
      <c r="G221" s="199"/>
      <c r="H221" s="77" t="s">
        <v>26</v>
      </c>
      <c r="I221" s="200">
        <v>4456.88</v>
      </c>
      <c r="J221" s="200"/>
      <c r="K221" s="78" t="s">
        <v>29</v>
      </c>
      <c r="L221" s="79">
        <v>9474338.2300000004</v>
      </c>
    </row>
    <row r="222" spans="1:12" ht="61.2" x14ac:dyDescent="0.3">
      <c r="A222" s="75" t="s">
        <v>520</v>
      </c>
      <c r="B222" s="76" t="s">
        <v>1188</v>
      </c>
      <c r="C222" s="76" t="s">
        <v>522</v>
      </c>
      <c r="D222" s="76" t="s">
        <v>391</v>
      </c>
      <c r="E222" s="77" t="s">
        <v>523</v>
      </c>
      <c r="F222" s="199" t="s">
        <v>28</v>
      </c>
      <c r="G222" s="199"/>
      <c r="H222" s="77" t="s">
        <v>26</v>
      </c>
      <c r="I222" s="200">
        <v>54747.62</v>
      </c>
      <c r="J222" s="200"/>
      <c r="K222" s="78" t="s">
        <v>29</v>
      </c>
      <c r="L222" s="79">
        <v>9419590.6099999994</v>
      </c>
    </row>
    <row r="223" spans="1:12" ht="61.2" x14ac:dyDescent="0.3">
      <c r="A223" s="75" t="s">
        <v>520</v>
      </c>
      <c r="B223" s="76" t="s">
        <v>1188</v>
      </c>
      <c r="C223" s="76" t="s">
        <v>522</v>
      </c>
      <c r="D223" s="76" t="s">
        <v>414</v>
      </c>
      <c r="E223" s="77" t="s">
        <v>523</v>
      </c>
      <c r="F223" s="199" t="s">
        <v>28</v>
      </c>
      <c r="G223" s="199"/>
      <c r="H223" s="77" t="s">
        <v>26</v>
      </c>
      <c r="I223" s="205">
        <v>467.94</v>
      </c>
      <c r="J223" s="205"/>
      <c r="K223" s="78" t="s">
        <v>29</v>
      </c>
      <c r="L223" s="79">
        <v>9419122.6699999999</v>
      </c>
    </row>
    <row r="224" spans="1:12" ht="61.2" x14ac:dyDescent="0.3">
      <c r="A224" s="75" t="s">
        <v>520</v>
      </c>
      <c r="B224" s="76" t="s">
        <v>1188</v>
      </c>
      <c r="C224" s="76" t="s">
        <v>522</v>
      </c>
      <c r="D224" s="76" t="s">
        <v>414</v>
      </c>
      <c r="E224" s="77" t="s">
        <v>523</v>
      </c>
      <c r="F224" s="199" t="s">
        <v>28</v>
      </c>
      <c r="G224" s="199"/>
      <c r="H224" s="77" t="s">
        <v>26</v>
      </c>
      <c r="I224" s="200">
        <v>42726.77</v>
      </c>
      <c r="J224" s="200"/>
      <c r="K224" s="78" t="s">
        <v>29</v>
      </c>
      <c r="L224" s="79">
        <v>9376395.9000000004</v>
      </c>
    </row>
    <row r="225" spans="1:12" ht="61.2" x14ac:dyDescent="0.3">
      <c r="A225" s="75" t="s">
        <v>520</v>
      </c>
      <c r="B225" s="76" t="s">
        <v>1188</v>
      </c>
      <c r="C225" s="76" t="s">
        <v>522</v>
      </c>
      <c r="D225" s="76" t="s">
        <v>440</v>
      </c>
      <c r="E225" s="77" t="s">
        <v>523</v>
      </c>
      <c r="F225" s="199" t="s">
        <v>28</v>
      </c>
      <c r="G225" s="199"/>
      <c r="H225" s="77" t="s">
        <v>26</v>
      </c>
      <c r="I225" s="205">
        <v>548.11</v>
      </c>
      <c r="J225" s="205"/>
      <c r="K225" s="78" t="s">
        <v>29</v>
      </c>
      <c r="L225" s="79">
        <v>9375847.7899999991</v>
      </c>
    </row>
    <row r="226" spans="1:12" ht="61.2" x14ac:dyDescent="0.3">
      <c r="A226" s="75" t="s">
        <v>520</v>
      </c>
      <c r="B226" s="76" t="s">
        <v>1188</v>
      </c>
      <c r="C226" s="76" t="s">
        <v>522</v>
      </c>
      <c r="D226" s="76" t="s">
        <v>440</v>
      </c>
      <c r="E226" s="77" t="s">
        <v>523</v>
      </c>
      <c r="F226" s="199" t="s">
        <v>28</v>
      </c>
      <c r="G226" s="199"/>
      <c r="H226" s="77" t="s">
        <v>26</v>
      </c>
      <c r="I226" s="200">
        <v>37945.97</v>
      </c>
      <c r="J226" s="200"/>
      <c r="K226" s="78" t="s">
        <v>29</v>
      </c>
      <c r="L226" s="79">
        <v>9337901.8200000003</v>
      </c>
    </row>
    <row r="227" spans="1:12" ht="61.2" x14ac:dyDescent="0.3">
      <c r="A227" s="75" t="s">
        <v>520</v>
      </c>
      <c r="B227" s="76" t="s">
        <v>1188</v>
      </c>
      <c r="C227" s="76" t="s">
        <v>522</v>
      </c>
      <c r="D227" s="76" t="s">
        <v>440</v>
      </c>
      <c r="E227" s="77" t="s">
        <v>523</v>
      </c>
      <c r="F227" s="199" t="s">
        <v>28</v>
      </c>
      <c r="G227" s="199"/>
      <c r="H227" s="77" t="s">
        <v>26</v>
      </c>
      <c r="I227" s="200">
        <v>5354.6</v>
      </c>
      <c r="J227" s="200"/>
      <c r="K227" s="78" t="s">
        <v>29</v>
      </c>
      <c r="L227" s="79">
        <v>9332547.2200000007</v>
      </c>
    </row>
    <row r="228" spans="1:12" ht="61.2" x14ac:dyDescent="0.3">
      <c r="A228" s="75" t="s">
        <v>520</v>
      </c>
      <c r="B228" s="76" t="s">
        <v>1188</v>
      </c>
      <c r="C228" s="76" t="s">
        <v>522</v>
      </c>
      <c r="D228" s="76" t="s">
        <v>440</v>
      </c>
      <c r="E228" s="77" t="s">
        <v>523</v>
      </c>
      <c r="F228" s="199" t="s">
        <v>28</v>
      </c>
      <c r="G228" s="199"/>
      <c r="H228" s="77" t="s">
        <v>26</v>
      </c>
      <c r="I228" s="200">
        <v>5902.71</v>
      </c>
      <c r="J228" s="200"/>
      <c r="K228" s="78" t="s">
        <v>29</v>
      </c>
      <c r="L228" s="79">
        <v>9326644.5099999998</v>
      </c>
    </row>
    <row r="229" spans="1:12" ht="61.2" x14ac:dyDescent="0.3">
      <c r="A229" s="75" t="s">
        <v>520</v>
      </c>
      <c r="B229" s="76" t="s">
        <v>1188</v>
      </c>
      <c r="C229" s="76" t="s">
        <v>522</v>
      </c>
      <c r="D229" s="76" t="s">
        <v>467</v>
      </c>
      <c r="E229" s="77" t="s">
        <v>523</v>
      </c>
      <c r="F229" s="199" t="s">
        <v>28</v>
      </c>
      <c r="G229" s="199"/>
      <c r="H229" s="77" t="s">
        <v>26</v>
      </c>
      <c r="I229" s="200">
        <v>13265.52</v>
      </c>
      <c r="J229" s="200"/>
      <c r="K229" s="78" t="s">
        <v>29</v>
      </c>
      <c r="L229" s="79">
        <v>9313378.9900000002</v>
      </c>
    </row>
    <row r="230" spans="1:12" ht="71.400000000000006" x14ac:dyDescent="0.3">
      <c r="A230" s="75" t="s">
        <v>520</v>
      </c>
      <c r="B230" s="76" t="s">
        <v>1189</v>
      </c>
      <c r="C230" s="76" t="s">
        <v>522</v>
      </c>
      <c r="D230" s="76" t="s">
        <v>295</v>
      </c>
      <c r="E230" s="77" t="s">
        <v>523</v>
      </c>
      <c r="F230" s="199" t="s">
        <v>28</v>
      </c>
      <c r="G230" s="199"/>
      <c r="H230" s="77" t="s">
        <v>26</v>
      </c>
      <c r="I230" s="200">
        <v>53141.34</v>
      </c>
      <c r="J230" s="200"/>
      <c r="K230" s="78" t="s">
        <v>29</v>
      </c>
      <c r="L230" s="79">
        <v>9260237.6500000004</v>
      </c>
    </row>
    <row r="231" spans="1:12" ht="71.400000000000006" x14ac:dyDescent="0.3">
      <c r="A231" s="75" t="s">
        <v>520</v>
      </c>
      <c r="B231" s="76" t="s">
        <v>1189</v>
      </c>
      <c r="C231" s="76" t="s">
        <v>522</v>
      </c>
      <c r="D231" s="76" t="s">
        <v>295</v>
      </c>
      <c r="E231" s="77" t="s">
        <v>523</v>
      </c>
      <c r="F231" s="199" t="s">
        <v>28</v>
      </c>
      <c r="G231" s="199"/>
      <c r="H231" s="77" t="s">
        <v>26</v>
      </c>
      <c r="I231" s="200">
        <v>1472</v>
      </c>
      <c r="J231" s="200"/>
      <c r="K231" s="78" t="s">
        <v>29</v>
      </c>
      <c r="L231" s="79">
        <v>9258765.6500000004</v>
      </c>
    </row>
    <row r="232" spans="1:12" ht="71.400000000000006" x14ac:dyDescent="0.3">
      <c r="A232" s="75" t="s">
        <v>520</v>
      </c>
      <c r="B232" s="76" t="s">
        <v>1189</v>
      </c>
      <c r="C232" s="76" t="s">
        <v>522</v>
      </c>
      <c r="D232" s="76" t="s">
        <v>300</v>
      </c>
      <c r="E232" s="77" t="s">
        <v>523</v>
      </c>
      <c r="F232" s="199" t="s">
        <v>28</v>
      </c>
      <c r="G232" s="199"/>
      <c r="H232" s="77" t="s">
        <v>26</v>
      </c>
      <c r="I232" s="200">
        <v>75277.919999999998</v>
      </c>
      <c r="J232" s="200"/>
      <c r="K232" s="78" t="s">
        <v>29</v>
      </c>
      <c r="L232" s="79">
        <v>9183487.7300000004</v>
      </c>
    </row>
    <row r="233" spans="1:12" ht="71.400000000000006" x14ac:dyDescent="0.3">
      <c r="A233" s="75" t="s">
        <v>520</v>
      </c>
      <c r="B233" s="76" t="s">
        <v>1189</v>
      </c>
      <c r="C233" s="76" t="s">
        <v>522</v>
      </c>
      <c r="D233" s="76" t="s">
        <v>300</v>
      </c>
      <c r="E233" s="77" t="s">
        <v>523</v>
      </c>
      <c r="F233" s="199" t="s">
        <v>28</v>
      </c>
      <c r="G233" s="199"/>
      <c r="H233" s="77" t="s">
        <v>26</v>
      </c>
      <c r="I233" s="200">
        <v>34066.46</v>
      </c>
      <c r="J233" s="200"/>
      <c r="K233" s="78" t="s">
        <v>29</v>
      </c>
      <c r="L233" s="79">
        <v>9149421.2699999996</v>
      </c>
    </row>
    <row r="234" spans="1:12" ht="71.400000000000006" x14ac:dyDescent="0.3">
      <c r="A234" s="75" t="s">
        <v>520</v>
      </c>
      <c r="B234" s="76" t="s">
        <v>1189</v>
      </c>
      <c r="C234" s="76" t="s">
        <v>522</v>
      </c>
      <c r="D234" s="76" t="s">
        <v>351</v>
      </c>
      <c r="E234" s="77" t="s">
        <v>523</v>
      </c>
      <c r="F234" s="199" t="s">
        <v>28</v>
      </c>
      <c r="G234" s="199"/>
      <c r="H234" s="77" t="s">
        <v>26</v>
      </c>
      <c r="I234" s="200">
        <v>37776</v>
      </c>
      <c r="J234" s="200"/>
      <c r="K234" s="78" t="s">
        <v>29</v>
      </c>
      <c r="L234" s="79">
        <v>9111645.2699999996</v>
      </c>
    </row>
    <row r="235" spans="1:12" ht="71.400000000000006" x14ac:dyDescent="0.3">
      <c r="A235" s="75" t="s">
        <v>520</v>
      </c>
      <c r="B235" s="76" t="s">
        <v>1189</v>
      </c>
      <c r="C235" s="76" t="s">
        <v>522</v>
      </c>
      <c r="D235" s="76" t="s">
        <v>351</v>
      </c>
      <c r="E235" s="77" t="s">
        <v>523</v>
      </c>
      <c r="F235" s="199" t="s">
        <v>28</v>
      </c>
      <c r="G235" s="199"/>
      <c r="H235" s="77" t="s">
        <v>26</v>
      </c>
      <c r="I235" s="200">
        <v>45397.34</v>
      </c>
      <c r="J235" s="200"/>
      <c r="K235" s="78" t="s">
        <v>29</v>
      </c>
      <c r="L235" s="79">
        <v>9066247.9299999997</v>
      </c>
    </row>
    <row r="236" spans="1:12" ht="71.400000000000006" x14ac:dyDescent="0.3">
      <c r="A236" s="75" t="s">
        <v>520</v>
      </c>
      <c r="B236" s="76" t="s">
        <v>1189</v>
      </c>
      <c r="C236" s="76" t="s">
        <v>522</v>
      </c>
      <c r="D236" s="76" t="s">
        <v>1127</v>
      </c>
      <c r="E236" s="77" t="s">
        <v>523</v>
      </c>
      <c r="F236" s="199" t="s">
        <v>28</v>
      </c>
      <c r="G236" s="199"/>
      <c r="H236" s="77" t="s">
        <v>26</v>
      </c>
      <c r="I236" s="200">
        <v>9370.66</v>
      </c>
      <c r="J236" s="200"/>
      <c r="K236" s="78" t="s">
        <v>29</v>
      </c>
      <c r="L236" s="79">
        <v>9056877.2699999996</v>
      </c>
    </row>
    <row r="237" spans="1:12" ht="71.400000000000006" x14ac:dyDescent="0.3">
      <c r="A237" s="75" t="s">
        <v>520</v>
      </c>
      <c r="B237" s="76" t="s">
        <v>1189</v>
      </c>
      <c r="C237" s="76" t="s">
        <v>522</v>
      </c>
      <c r="D237" s="76" t="s">
        <v>1131</v>
      </c>
      <c r="E237" s="77" t="s">
        <v>523</v>
      </c>
      <c r="F237" s="199" t="s">
        <v>28</v>
      </c>
      <c r="G237" s="199"/>
      <c r="H237" s="77" t="s">
        <v>26</v>
      </c>
      <c r="I237" s="200">
        <v>4845.33</v>
      </c>
      <c r="J237" s="200"/>
      <c r="K237" s="78" t="s">
        <v>29</v>
      </c>
      <c r="L237" s="79">
        <v>9052031.9399999995</v>
      </c>
    </row>
    <row r="238" spans="1:12" ht="61.2" x14ac:dyDescent="0.3">
      <c r="A238" s="75" t="s">
        <v>520</v>
      </c>
      <c r="B238" s="76" t="s">
        <v>1190</v>
      </c>
      <c r="C238" s="76" t="s">
        <v>522</v>
      </c>
      <c r="D238" s="76" t="s">
        <v>457</v>
      </c>
      <c r="E238" s="77" t="s">
        <v>523</v>
      </c>
      <c r="F238" s="199" t="s">
        <v>28</v>
      </c>
      <c r="G238" s="199"/>
      <c r="H238" s="77" t="s">
        <v>26</v>
      </c>
      <c r="I238" s="200">
        <v>1366.8</v>
      </c>
      <c r="J238" s="200"/>
      <c r="K238" s="78" t="s">
        <v>29</v>
      </c>
      <c r="L238" s="79">
        <v>9050665.1400000006</v>
      </c>
    </row>
    <row r="239" spans="1:12" ht="61.2" x14ac:dyDescent="0.3">
      <c r="A239" s="75" t="s">
        <v>520</v>
      </c>
      <c r="B239" s="76" t="s">
        <v>1190</v>
      </c>
      <c r="C239" s="76" t="s">
        <v>522</v>
      </c>
      <c r="D239" s="76" t="s">
        <v>78</v>
      </c>
      <c r="E239" s="77" t="s">
        <v>523</v>
      </c>
      <c r="F239" s="199" t="s">
        <v>28</v>
      </c>
      <c r="G239" s="199"/>
      <c r="H239" s="77" t="s">
        <v>26</v>
      </c>
      <c r="I239" s="200">
        <v>11026</v>
      </c>
      <c r="J239" s="200"/>
      <c r="K239" s="78" t="s">
        <v>29</v>
      </c>
      <c r="L239" s="79">
        <v>9039639.1400000006</v>
      </c>
    </row>
    <row r="240" spans="1:12" ht="61.2" x14ac:dyDescent="0.3">
      <c r="A240" s="75" t="s">
        <v>520</v>
      </c>
      <c r="B240" s="76" t="s">
        <v>1191</v>
      </c>
      <c r="C240" s="76" t="s">
        <v>522</v>
      </c>
      <c r="D240" s="76" t="s">
        <v>181</v>
      </c>
      <c r="E240" s="77" t="s">
        <v>523</v>
      </c>
      <c r="F240" s="199" t="s">
        <v>28</v>
      </c>
      <c r="G240" s="199"/>
      <c r="H240" s="77" t="s">
        <v>26</v>
      </c>
      <c r="I240" s="205">
        <v>143.55000000000001</v>
      </c>
      <c r="J240" s="205"/>
      <c r="K240" s="78" t="s">
        <v>29</v>
      </c>
      <c r="L240" s="79">
        <v>9039495.5899999999</v>
      </c>
    </row>
    <row r="241" spans="1:14" ht="61.2" x14ac:dyDescent="0.3">
      <c r="A241" s="75" t="s">
        <v>520</v>
      </c>
      <c r="B241" s="76" t="s">
        <v>1191</v>
      </c>
      <c r="C241" s="76" t="s">
        <v>522</v>
      </c>
      <c r="D241" s="76" t="s">
        <v>263</v>
      </c>
      <c r="E241" s="77" t="s">
        <v>523</v>
      </c>
      <c r="F241" s="199" t="s">
        <v>28</v>
      </c>
      <c r="G241" s="199"/>
      <c r="H241" s="77" t="s">
        <v>26</v>
      </c>
      <c r="I241" s="205">
        <v>146.80000000000001</v>
      </c>
      <c r="J241" s="205"/>
      <c r="K241" s="78" t="s">
        <v>29</v>
      </c>
      <c r="L241" s="79">
        <v>9039348.7899999991</v>
      </c>
    </row>
    <row r="242" spans="1:14" ht="61.2" x14ac:dyDescent="0.3">
      <c r="A242" s="75" t="s">
        <v>520</v>
      </c>
      <c r="B242" s="76" t="s">
        <v>1191</v>
      </c>
      <c r="C242" s="76" t="s">
        <v>522</v>
      </c>
      <c r="D242" s="76" t="s">
        <v>275</v>
      </c>
      <c r="E242" s="77" t="s">
        <v>523</v>
      </c>
      <c r="F242" s="199" t="s">
        <v>28</v>
      </c>
      <c r="G242" s="199"/>
      <c r="H242" s="77" t="s">
        <v>26</v>
      </c>
      <c r="I242" s="205">
        <v>982.5</v>
      </c>
      <c r="J242" s="205"/>
      <c r="K242" s="78" t="s">
        <v>29</v>
      </c>
      <c r="L242" s="79">
        <v>9038366.2899999991</v>
      </c>
    </row>
    <row r="243" spans="1:14" ht="61.2" x14ac:dyDescent="0.3">
      <c r="A243" s="75" t="s">
        <v>520</v>
      </c>
      <c r="B243" s="76" t="s">
        <v>1192</v>
      </c>
      <c r="C243" s="76" t="s">
        <v>522</v>
      </c>
      <c r="D243" s="76" t="s">
        <v>311</v>
      </c>
      <c r="E243" s="77" t="s">
        <v>523</v>
      </c>
      <c r="F243" s="199" t="s">
        <v>28</v>
      </c>
      <c r="G243" s="199"/>
      <c r="H243" s="77" t="s">
        <v>26</v>
      </c>
      <c r="I243" s="205">
        <v>182.5</v>
      </c>
      <c r="J243" s="205"/>
      <c r="K243" s="78" t="s">
        <v>29</v>
      </c>
      <c r="L243" s="79">
        <v>9038183.7899999991</v>
      </c>
    </row>
    <row r="244" spans="1:14" ht="71.400000000000006" x14ac:dyDescent="0.3">
      <c r="A244" s="75" t="s">
        <v>520</v>
      </c>
      <c r="B244" s="76" t="s">
        <v>1192</v>
      </c>
      <c r="C244" s="76" t="s">
        <v>522</v>
      </c>
      <c r="D244" s="76" t="s">
        <v>262</v>
      </c>
      <c r="E244" s="77" t="s">
        <v>523</v>
      </c>
      <c r="F244" s="199" t="s">
        <v>28</v>
      </c>
      <c r="G244" s="199"/>
      <c r="H244" s="77" t="s">
        <v>26</v>
      </c>
      <c r="I244" s="205">
        <v>232.8</v>
      </c>
      <c r="J244" s="205"/>
      <c r="K244" s="78" t="s">
        <v>29</v>
      </c>
      <c r="L244" s="79">
        <v>9037950.9900000002</v>
      </c>
    </row>
    <row r="245" spans="1:14" ht="61.2" x14ac:dyDescent="0.3">
      <c r="A245" s="75" t="s">
        <v>520</v>
      </c>
      <c r="B245" s="76" t="s">
        <v>1193</v>
      </c>
      <c r="C245" s="76" t="s">
        <v>522</v>
      </c>
      <c r="D245" s="76" t="s">
        <v>1034</v>
      </c>
      <c r="E245" s="77" t="s">
        <v>523</v>
      </c>
      <c r="F245" s="199" t="s">
        <v>28</v>
      </c>
      <c r="G245" s="199"/>
      <c r="H245" s="77" t="s">
        <v>26</v>
      </c>
      <c r="I245" s="200">
        <v>2808.33</v>
      </c>
      <c r="J245" s="200"/>
      <c r="K245" s="78" t="s">
        <v>29</v>
      </c>
      <c r="L245" s="79">
        <v>9035142.6600000001</v>
      </c>
    </row>
    <row r="246" spans="1:14" ht="61.2" x14ac:dyDescent="0.3">
      <c r="A246" s="75" t="s">
        <v>520</v>
      </c>
      <c r="B246" s="76" t="s">
        <v>1193</v>
      </c>
      <c r="C246" s="76" t="s">
        <v>522</v>
      </c>
      <c r="D246" s="76" t="s">
        <v>1032</v>
      </c>
      <c r="E246" s="77" t="s">
        <v>523</v>
      </c>
      <c r="F246" s="199" t="s">
        <v>28</v>
      </c>
      <c r="G246" s="199"/>
      <c r="H246" s="77" t="s">
        <v>26</v>
      </c>
      <c r="I246" s="200">
        <v>75250</v>
      </c>
      <c r="J246" s="200"/>
      <c r="K246" s="78" t="s">
        <v>29</v>
      </c>
      <c r="L246" s="79">
        <v>8959892.6600000001</v>
      </c>
    </row>
    <row r="247" spans="1:14" ht="71.400000000000006" x14ac:dyDescent="0.3">
      <c r="A247" s="75" t="s">
        <v>520</v>
      </c>
      <c r="B247" s="76" t="s">
        <v>1193</v>
      </c>
      <c r="C247" s="76" t="s">
        <v>522</v>
      </c>
      <c r="D247" s="76" t="s">
        <v>1131</v>
      </c>
      <c r="E247" s="77" t="s">
        <v>523</v>
      </c>
      <c r="F247" s="199" t="s">
        <v>28</v>
      </c>
      <c r="G247" s="199"/>
      <c r="H247" s="77" t="s">
        <v>26</v>
      </c>
      <c r="I247" s="200">
        <v>9370.67</v>
      </c>
      <c r="J247" s="200"/>
      <c r="K247" s="78" t="s">
        <v>29</v>
      </c>
      <c r="L247" s="79">
        <v>8950521.9900000002</v>
      </c>
    </row>
    <row r="248" spans="1:14" ht="71.400000000000006" x14ac:dyDescent="0.3">
      <c r="A248" s="75" t="s">
        <v>520</v>
      </c>
      <c r="B248" s="76" t="s">
        <v>1193</v>
      </c>
      <c r="C248" s="76" t="s">
        <v>522</v>
      </c>
      <c r="D248" s="76" t="s">
        <v>1131</v>
      </c>
      <c r="E248" s="77" t="s">
        <v>523</v>
      </c>
      <c r="F248" s="199" t="s">
        <v>28</v>
      </c>
      <c r="G248" s="199"/>
      <c r="H248" s="77" t="s">
        <v>26</v>
      </c>
      <c r="I248" s="200">
        <v>54613.33</v>
      </c>
      <c r="J248" s="200"/>
      <c r="K248" s="78" t="s">
        <v>29</v>
      </c>
      <c r="L248" s="79">
        <v>8895908.6600000001</v>
      </c>
    </row>
    <row r="249" spans="1:14" ht="71.400000000000006" x14ac:dyDescent="0.3">
      <c r="A249" s="75" t="s">
        <v>520</v>
      </c>
      <c r="B249" s="76" t="s">
        <v>1193</v>
      </c>
      <c r="C249" s="76" t="s">
        <v>522</v>
      </c>
      <c r="D249" s="76" t="s">
        <v>1131</v>
      </c>
      <c r="E249" s="77" t="s">
        <v>523</v>
      </c>
      <c r="F249" s="199" t="s">
        <v>28</v>
      </c>
      <c r="G249" s="199"/>
      <c r="H249" s="77" t="s">
        <v>26</v>
      </c>
      <c r="I249" s="200">
        <v>35512</v>
      </c>
      <c r="J249" s="200"/>
      <c r="K249" s="78" t="s">
        <v>29</v>
      </c>
      <c r="L249" s="79">
        <v>8860396.6600000001</v>
      </c>
    </row>
    <row r="250" spans="1:14" ht="71.400000000000006" x14ac:dyDescent="0.3">
      <c r="A250" s="75" t="s">
        <v>520</v>
      </c>
      <c r="B250" s="76" t="s">
        <v>1193</v>
      </c>
      <c r="C250" s="76" t="s">
        <v>522</v>
      </c>
      <c r="D250" s="76" t="s">
        <v>370</v>
      </c>
      <c r="E250" s="77" t="s">
        <v>523</v>
      </c>
      <c r="F250" s="199" t="s">
        <v>28</v>
      </c>
      <c r="G250" s="199"/>
      <c r="H250" s="77" t="s">
        <v>26</v>
      </c>
      <c r="I250" s="200">
        <v>25834.67</v>
      </c>
      <c r="J250" s="200"/>
      <c r="K250" s="78" t="s">
        <v>29</v>
      </c>
      <c r="L250" s="79">
        <v>8834561.9900000002</v>
      </c>
    </row>
    <row r="251" spans="1:14" ht="71.400000000000006" x14ac:dyDescent="0.3">
      <c r="A251" s="75" t="s">
        <v>520</v>
      </c>
      <c r="B251" s="76" t="s">
        <v>1193</v>
      </c>
      <c r="C251" s="76" t="s">
        <v>522</v>
      </c>
      <c r="D251" s="76" t="s">
        <v>370</v>
      </c>
      <c r="E251" s="77" t="s">
        <v>523</v>
      </c>
      <c r="F251" s="199" t="s">
        <v>28</v>
      </c>
      <c r="G251" s="199"/>
      <c r="H251" s="77" t="s">
        <v>26</v>
      </c>
      <c r="I251" s="200">
        <v>29584</v>
      </c>
      <c r="J251" s="200"/>
      <c r="K251" s="78" t="s">
        <v>29</v>
      </c>
      <c r="L251" s="79">
        <v>8804977.9900000002</v>
      </c>
    </row>
    <row r="252" spans="1:14" ht="71.400000000000006" x14ac:dyDescent="0.3">
      <c r="A252" s="75" t="s">
        <v>520</v>
      </c>
      <c r="B252" s="76" t="s">
        <v>1193</v>
      </c>
      <c r="C252" s="76" t="s">
        <v>522</v>
      </c>
      <c r="D252" s="76" t="s">
        <v>1154</v>
      </c>
      <c r="E252" s="77" t="s">
        <v>523</v>
      </c>
      <c r="F252" s="199" t="s">
        <v>28</v>
      </c>
      <c r="G252" s="199"/>
      <c r="H252" s="77" t="s">
        <v>26</v>
      </c>
      <c r="I252" s="200">
        <v>24220</v>
      </c>
      <c r="J252" s="200"/>
      <c r="K252" s="78" t="s">
        <v>29</v>
      </c>
      <c r="L252" s="79">
        <v>8780757.9900000002</v>
      </c>
    </row>
    <row r="253" spans="1:14" ht="61.2" x14ac:dyDescent="0.3">
      <c r="A253" s="75" t="s">
        <v>520</v>
      </c>
      <c r="B253" s="76" t="s">
        <v>1193</v>
      </c>
      <c r="C253" s="76" t="s">
        <v>522</v>
      </c>
      <c r="D253" s="76" t="s">
        <v>1166</v>
      </c>
      <c r="E253" s="77" t="s">
        <v>523</v>
      </c>
      <c r="F253" s="199" t="s">
        <v>28</v>
      </c>
      <c r="G253" s="199"/>
      <c r="H253" s="77" t="s">
        <v>26</v>
      </c>
      <c r="I253" s="200">
        <v>37500</v>
      </c>
      <c r="J253" s="200"/>
      <c r="K253" s="78" t="s">
        <v>29</v>
      </c>
      <c r="L253" s="79">
        <v>8743257.9900000002</v>
      </c>
    </row>
    <row r="254" spans="1:14" ht="71.400000000000006" x14ac:dyDescent="0.3">
      <c r="A254" s="75" t="s">
        <v>520</v>
      </c>
      <c r="B254" s="76" t="s">
        <v>1193</v>
      </c>
      <c r="C254" s="76" t="s">
        <v>522</v>
      </c>
      <c r="D254" s="76" t="s">
        <v>1174</v>
      </c>
      <c r="E254" s="77" t="s">
        <v>523</v>
      </c>
      <c r="F254" s="199" t="s">
        <v>28</v>
      </c>
      <c r="G254" s="199"/>
      <c r="H254" s="77" t="s">
        <v>26</v>
      </c>
      <c r="I254" s="200">
        <v>70617.5</v>
      </c>
      <c r="J254" s="200"/>
      <c r="K254" s="78" t="s">
        <v>29</v>
      </c>
      <c r="L254" s="79">
        <v>8672640.4900000002</v>
      </c>
      <c r="M254">
        <f>SUBTOTAL(9,I157:J254)</f>
        <v>2104295.9000000004</v>
      </c>
      <c r="N254" t="s">
        <v>1471</v>
      </c>
    </row>
    <row r="255" spans="1:14" ht="61.2" hidden="1" x14ac:dyDescent="0.3">
      <c r="A255" s="75" t="s">
        <v>524</v>
      </c>
      <c r="B255" s="76" t="s">
        <v>1194</v>
      </c>
      <c r="C255" s="76" t="s">
        <v>1195</v>
      </c>
      <c r="D255" s="76" t="s">
        <v>1196</v>
      </c>
      <c r="E255" s="77" t="s">
        <v>26</v>
      </c>
      <c r="F255" s="203">
        <v>1428.85</v>
      </c>
      <c r="G255" s="203"/>
      <c r="H255" s="77" t="s">
        <v>27</v>
      </c>
      <c r="I255" s="204" t="s">
        <v>28</v>
      </c>
      <c r="J255" s="204"/>
      <c r="K255" s="78" t="s">
        <v>29</v>
      </c>
      <c r="L255" s="79">
        <v>8674069.3399999999</v>
      </c>
    </row>
    <row r="256" spans="1:14" ht="61.2" hidden="1" x14ac:dyDescent="0.3">
      <c r="A256" s="75" t="s">
        <v>527</v>
      </c>
      <c r="B256" s="76" t="s">
        <v>536</v>
      </c>
      <c r="C256" s="76" t="s">
        <v>537</v>
      </c>
      <c r="D256" s="76" t="s">
        <v>529</v>
      </c>
      <c r="E256" s="77" t="s">
        <v>26</v>
      </c>
      <c r="F256" s="203">
        <v>1785.64</v>
      </c>
      <c r="G256" s="203"/>
      <c r="H256" s="77" t="s">
        <v>26</v>
      </c>
      <c r="I256" s="204" t="s">
        <v>28</v>
      </c>
      <c r="J256" s="204"/>
      <c r="K256" s="78" t="s">
        <v>29</v>
      </c>
      <c r="L256" s="79">
        <v>8675854.9800000004</v>
      </c>
    </row>
    <row r="257" spans="1:12" ht="61.2" hidden="1" x14ac:dyDescent="0.3">
      <c r="A257" s="75" t="s">
        <v>527</v>
      </c>
      <c r="B257" s="76" t="s">
        <v>536</v>
      </c>
      <c r="C257" s="76" t="s">
        <v>538</v>
      </c>
      <c r="D257" s="76" t="s">
        <v>532</v>
      </c>
      <c r="E257" s="77" t="s">
        <v>26</v>
      </c>
      <c r="F257" s="203">
        <v>26030.2</v>
      </c>
      <c r="G257" s="203"/>
      <c r="H257" s="77" t="s">
        <v>26</v>
      </c>
      <c r="I257" s="204" t="s">
        <v>28</v>
      </c>
      <c r="J257" s="204"/>
      <c r="K257" s="78" t="s">
        <v>29</v>
      </c>
      <c r="L257" s="79">
        <v>8701885.1799999997</v>
      </c>
    </row>
    <row r="258" spans="1:12" ht="71.400000000000006" hidden="1" x14ac:dyDescent="0.3">
      <c r="A258" s="75" t="s">
        <v>527</v>
      </c>
      <c r="B258" s="76" t="s">
        <v>1197</v>
      </c>
      <c r="C258" s="76" t="s">
        <v>1198</v>
      </c>
      <c r="D258" s="76" t="s">
        <v>1199</v>
      </c>
      <c r="E258" s="77" t="s">
        <v>26</v>
      </c>
      <c r="F258" s="203">
        <v>19201.5</v>
      </c>
      <c r="G258" s="203"/>
      <c r="H258" s="77" t="s">
        <v>27</v>
      </c>
      <c r="I258" s="204" t="s">
        <v>28</v>
      </c>
      <c r="J258" s="204"/>
      <c r="K258" s="78" t="s">
        <v>29</v>
      </c>
      <c r="L258" s="79">
        <v>8721086.6799999997</v>
      </c>
    </row>
    <row r="259" spans="1:12" ht="71.400000000000006" hidden="1" x14ac:dyDescent="0.3">
      <c r="A259" s="75" t="s">
        <v>527</v>
      </c>
      <c r="B259" s="76" t="s">
        <v>1200</v>
      </c>
      <c r="C259" s="76" t="s">
        <v>1198</v>
      </c>
      <c r="D259" s="76" t="s">
        <v>1199</v>
      </c>
      <c r="E259" s="77" t="s">
        <v>26</v>
      </c>
      <c r="F259" s="203">
        <v>44803.5</v>
      </c>
      <c r="G259" s="203"/>
      <c r="H259" s="77" t="s">
        <v>27</v>
      </c>
      <c r="I259" s="204" t="s">
        <v>28</v>
      </c>
      <c r="J259" s="204"/>
      <c r="K259" s="78" t="s">
        <v>29</v>
      </c>
      <c r="L259" s="79">
        <v>8765890.1799999997</v>
      </c>
    </row>
    <row r="260" spans="1:12" ht="71.400000000000006" hidden="1" x14ac:dyDescent="0.3">
      <c r="A260" s="75" t="s">
        <v>818</v>
      </c>
      <c r="B260" s="76" t="s">
        <v>1201</v>
      </c>
      <c r="C260" s="76" t="s">
        <v>1202</v>
      </c>
      <c r="D260" s="76" t="s">
        <v>1203</v>
      </c>
      <c r="E260" s="77" t="s">
        <v>26</v>
      </c>
      <c r="F260" s="203">
        <v>24232.5</v>
      </c>
      <c r="G260" s="203"/>
      <c r="H260" s="77" t="s">
        <v>27</v>
      </c>
      <c r="I260" s="204" t="s">
        <v>28</v>
      </c>
      <c r="J260" s="204"/>
      <c r="K260" s="78" t="s">
        <v>29</v>
      </c>
      <c r="L260" s="79">
        <v>8790122.6799999997</v>
      </c>
    </row>
    <row r="261" spans="1:12" ht="61.2" hidden="1" x14ac:dyDescent="0.3">
      <c r="A261" s="75" t="s">
        <v>818</v>
      </c>
      <c r="B261" s="76" t="s">
        <v>1204</v>
      </c>
      <c r="C261" s="76" t="s">
        <v>1202</v>
      </c>
      <c r="D261" s="76" t="s">
        <v>1205</v>
      </c>
      <c r="E261" s="77" t="s">
        <v>26</v>
      </c>
      <c r="F261" s="203">
        <v>7260.25</v>
      </c>
      <c r="G261" s="203"/>
      <c r="H261" s="77" t="s">
        <v>27</v>
      </c>
      <c r="I261" s="204" t="s">
        <v>28</v>
      </c>
      <c r="J261" s="204"/>
      <c r="K261" s="78" t="s">
        <v>29</v>
      </c>
      <c r="L261" s="79">
        <v>8797382.9299999997</v>
      </c>
    </row>
    <row r="262" spans="1:12" ht="61.2" x14ac:dyDescent="0.3">
      <c r="A262" s="75" t="s">
        <v>543</v>
      </c>
      <c r="B262" s="76" t="s">
        <v>1206</v>
      </c>
      <c r="C262" s="76" t="s">
        <v>522</v>
      </c>
      <c r="D262" s="76" t="s">
        <v>1041</v>
      </c>
      <c r="E262" s="77" t="s">
        <v>523</v>
      </c>
      <c r="F262" s="199" t="s">
        <v>28</v>
      </c>
      <c r="G262" s="199"/>
      <c r="H262" s="77" t="s">
        <v>26</v>
      </c>
      <c r="I262" s="200">
        <v>30000</v>
      </c>
      <c r="J262" s="200"/>
      <c r="K262" s="78" t="s">
        <v>29</v>
      </c>
      <c r="L262" s="79">
        <v>8767382.9299999997</v>
      </c>
    </row>
    <row r="263" spans="1:12" ht="61.2" x14ac:dyDescent="0.3">
      <c r="A263" s="75" t="s">
        <v>543</v>
      </c>
      <c r="B263" s="76" t="s">
        <v>1206</v>
      </c>
      <c r="C263" s="76" t="s">
        <v>522</v>
      </c>
      <c r="D263" s="76" t="s">
        <v>1035</v>
      </c>
      <c r="E263" s="77" t="s">
        <v>523</v>
      </c>
      <c r="F263" s="199" t="s">
        <v>28</v>
      </c>
      <c r="G263" s="199"/>
      <c r="H263" s="77" t="s">
        <v>26</v>
      </c>
      <c r="I263" s="200">
        <v>2812.5</v>
      </c>
      <c r="J263" s="200"/>
      <c r="K263" s="78" t="s">
        <v>29</v>
      </c>
      <c r="L263" s="79">
        <v>8764570.4299999997</v>
      </c>
    </row>
    <row r="264" spans="1:12" ht="61.2" x14ac:dyDescent="0.3">
      <c r="A264" s="75" t="s">
        <v>543</v>
      </c>
      <c r="B264" s="76" t="s">
        <v>1206</v>
      </c>
      <c r="C264" s="76" t="s">
        <v>522</v>
      </c>
      <c r="D264" s="76" t="s">
        <v>1147</v>
      </c>
      <c r="E264" s="77" t="s">
        <v>523</v>
      </c>
      <c r="F264" s="199" t="s">
        <v>28</v>
      </c>
      <c r="G264" s="199"/>
      <c r="H264" s="77" t="s">
        <v>26</v>
      </c>
      <c r="I264" s="200">
        <v>8437.5</v>
      </c>
      <c r="J264" s="200"/>
      <c r="K264" s="78" t="s">
        <v>29</v>
      </c>
      <c r="L264" s="79">
        <v>8756132.9299999997</v>
      </c>
    </row>
    <row r="265" spans="1:12" ht="61.2" x14ac:dyDescent="0.3">
      <c r="A265" s="75" t="s">
        <v>543</v>
      </c>
      <c r="B265" s="76" t="s">
        <v>1206</v>
      </c>
      <c r="C265" s="76" t="s">
        <v>522</v>
      </c>
      <c r="D265" s="76" t="s">
        <v>362</v>
      </c>
      <c r="E265" s="77" t="s">
        <v>523</v>
      </c>
      <c r="F265" s="199" t="s">
        <v>28</v>
      </c>
      <c r="G265" s="199"/>
      <c r="H265" s="77" t="s">
        <v>26</v>
      </c>
      <c r="I265" s="200">
        <v>1565.93</v>
      </c>
      <c r="J265" s="200"/>
      <c r="K265" s="78" t="s">
        <v>29</v>
      </c>
      <c r="L265" s="79">
        <v>8754567</v>
      </c>
    </row>
    <row r="266" spans="1:12" ht="61.2" x14ac:dyDescent="0.3">
      <c r="A266" s="75" t="s">
        <v>543</v>
      </c>
      <c r="B266" s="76" t="s">
        <v>1206</v>
      </c>
      <c r="C266" s="76" t="s">
        <v>522</v>
      </c>
      <c r="D266" s="76" t="s">
        <v>401</v>
      </c>
      <c r="E266" s="77" t="s">
        <v>523</v>
      </c>
      <c r="F266" s="199" t="s">
        <v>28</v>
      </c>
      <c r="G266" s="199"/>
      <c r="H266" s="77" t="s">
        <v>26</v>
      </c>
      <c r="I266" s="200">
        <v>4770.38</v>
      </c>
      <c r="J266" s="200"/>
      <c r="K266" s="78" t="s">
        <v>29</v>
      </c>
      <c r="L266" s="79">
        <v>8749796.6199999992</v>
      </c>
    </row>
    <row r="267" spans="1:12" ht="61.2" x14ac:dyDescent="0.3">
      <c r="A267" s="75" t="s">
        <v>543</v>
      </c>
      <c r="B267" s="76" t="s">
        <v>1206</v>
      </c>
      <c r="C267" s="76" t="s">
        <v>522</v>
      </c>
      <c r="D267" s="76" t="s">
        <v>441</v>
      </c>
      <c r="E267" s="77" t="s">
        <v>523</v>
      </c>
      <c r="F267" s="199" t="s">
        <v>28</v>
      </c>
      <c r="G267" s="199"/>
      <c r="H267" s="77" t="s">
        <v>26</v>
      </c>
      <c r="I267" s="200">
        <v>9109.73</v>
      </c>
      <c r="J267" s="200"/>
      <c r="K267" s="78" t="s">
        <v>29</v>
      </c>
      <c r="L267" s="79">
        <v>8740686.8900000006</v>
      </c>
    </row>
    <row r="268" spans="1:12" ht="61.2" x14ac:dyDescent="0.3">
      <c r="A268" s="75" t="s">
        <v>543</v>
      </c>
      <c r="B268" s="76" t="s">
        <v>1206</v>
      </c>
      <c r="C268" s="76" t="s">
        <v>522</v>
      </c>
      <c r="D268" s="76" t="s">
        <v>441</v>
      </c>
      <c r="E268" s="77" t="s">
        <v>523</v>
      </c>
      <c r="F268" s="199" t="s">
        <v>28</v>
      </c>
      <c r="G268" s="199"/>
      <c r="H268" s="77" t="s">
        <v>26</v>
      </c>
      <c r="I268" s="200">
        <v>2476.14</v>
      </c>
      <c r="J268" s="200"/>
      <c r="K268" s="78" t="s">
        <v>29</v>
      </c>
      <c r="L268" s="79">
        <v>8738210.75</v>
      </c>
    </row>
    <row r="269" spans="1:12" ht="71.400000000000006" hidden="1" x14ac:dyDescent="0.3">
      <c r="A269" s="75" t="s">
        <v>543</v>
      </c>
      <c r="B269" s="76" t="s">
        <v>1207</v>
      </c>
      <c r="C269" s="76" t="s">
        <v>1208</v>
      </c>
      <c r="D269" s="76" t="s">
        <v>1209</v>
      </c>
      <c r="E269" s="77" t="s">
        <v>26</v>
      </c>
      <c r="F269" s="203">
        <v>3399</v>
      </c>
      <c r="G269" s="203"/>
      <c r="H269" s="77" t="s">
        <v>27</v>
      </c>
      <c r="I269" s="204" t="s">
        <v>28</v>
      </c>
      <c r="J269" s="204"/>
      <c r="K269" s="78" t="s">
        <v>29</v>
      </c>
      <c r="L269" s="79">
        <v>8741609.75</v>
      </c>
    </row>
    <row r="270" spans="1:12" ht="61.2" hidden="1" x14ac:dyDescent="0.3">
      <c r="A270" s="75" t="s">
        <v>543</v>
      </c>
      <c r="B270" s="76" t="s">
        <v>550</v>
      </c>
      <c r="C270" s="76" t="s">
        <v>551</v>
      </c>
      <c r="D270" s="76" t="s">
        <v>547</v>
      </c>
      <c r="E270" s="77" t="s">
        <v>26</v>
      </c>
      <c r="F270" s="203">
        <v>17983.41</v>
      </c>
      <c r="G270" s="203"/>
      <c r="H270" s="77" t="s">
        <v>26</v>
      </c>
      <c r="I270" s="204" t="s">
        <v>28</v>
      </c>
      <c r="J270" s="204"/>
      <c r="K270" s="78" t="s">
        <v>29</v>
      </c>
      <c r="L270" s="79">
        <v>8759593.1600000001</v>
      </c>
    </row>
    <row r="271" spans="1:12" ht="71.400000000000006" hidden="1" x14ac:dyDescent="0.3">
      <c r="A271" s="75" t="s">
        <v>558</v>
      </c>
      <c r="B271" s="76" t="s">
        <v>1210</v>
      </c>
      <c r="C271" s="76" t="s">
        <v>1211</v>
      </c>
      <c r="D271" s="76" t="s">
        <v>1212</v>
      </c>
      <c r="E271" s="77" t="s">
        <v>26</v>
      </c>
      <c r="F271" s="203">
        <v>6582</v>
      </c>
      <c r="G271" s="203"/>
      <c r="H271" s="77" t="s">
        <v>27</v>
      </c>
      <c r="I271" s="204" t="s">
        <v>28</v>
      </c>
      <c r="J271" s="204"/>
      <c r="K271" s="78" t="s">
        <v>29</v>
      </c>
      <c r="L271" s="79">
        <v>8766175.1600000001</v>
      </c>
    </row>
    <row r="272" spans="1:12" ht="71.400000000000006" hidden="1" x14ac:dyDescent="0.3">
      <c r="A272" s="75" t="s">
        <v>558</v>
      </c>
      <c r="B272" s="76" t="s">
        <v>1213</v>
      </c>
      <c r="C272" s="76" t="s">
        <v>1214</v>
      </c>
      <c r="D272" s="76" t="s">
        <v>1215</v>
      </c>
      <c r="E272" s="77" t="s">
        <v>26</v>
      </c>
      <c r="F272" s="203">
        <v>16066.5</v>
      </c>
      <c r="G272" s="203"/>
      <c r="H272" s="77" t="s">
        <v>27</v>
      </c>
      <c r="I272" s="204" t="s">
        <v>28</v>
      </c>
      <c r="J272" s="204"/>
      <c r="K272" s="78" t="s">
        <v>29</v>
      </c>
      <c r="L272" s="79">
        <v>8782241.6600000001</v>
      </c>
    </row>
    <row r="273" spans="1:12" ht="71.400000000000006" hidden="1" x14ac:dyDescent="0.3">
      <c r="A273" s="75" t="s">
        <v>558</v>
      </c>
      <c r="B273" s="76" t="s">
        <v>1216</v>
      </c>
      <c r="C273" s="76" t="s">
        <v>1214</v>
      </c>
      <c r="D273" s="76" t="s">
        <v>1215</v>
      </c>
      <c r="E273" s="77" t="s">
        <v>26</v>
      </c>
      <c r="F273" s="203">
        <v>37488.5</v>
      </c>
      <c r="G273" s="203"/>
      <c r="H273" s="77" t="s">
        <v>27</v>
      </c>
      <c r="I273" s="204" t="s">
        <v>28</v>
      </c>
      <c r="J273" s="204"/>
      <c r="K273" s="78" t="s">
        <v>29</v>
      </c>
      <c r="L273" s="79">
        <v>8819730.1600000001</v>
      </c>
    </row>
    <row r="274" spans="1:12" ht="61.2" hidden="1" x14ac:dyDescent="0.3">
      <c r="A274" s="75" t="s">
        <v>571</v>
      </c>
      <c r="B274" s="76" t="s">
        <v>1217</v>
      </c>
      <c r="C274" s="76" t="s">
        <v>1218</v>
      </c>
      <c r="D274" s="76" t="s">
        <v>1219</v>
      </c>
      <c r="E274" s="77" t="s">
        <v>26</v>
      </c>
      <c r="F274" s="203">
        <v>1352.3</v>
      </c>
      <c r="G274" s="203"/>
      <c r="H274" s="77" t="s">
        <v>27</v>
      </c>
      <c r="I274" s="204" t="s">
        <v>28</v>
      </c>
      <c r="J274" s="204"/>
      <c r="K274" s="78" t="s">
        <v>29</v>
      </c>
      <c r="L274" s="79">
        <v>8821082.4600000009</v>
      </c>
    </row>
    <row r="275" spans="1:12" ht="61.2" hidden="1" x14ac:dyDescent="0.3">
      <c r="A275" s="75" t="s">
        <v>571</v>
      </c>
      <c r="B275" s="76" t="s">
        <v>1217</v>
      </c>
      <c r="C275" s="76" t="s">
        <v>1220</v>
      </c>
      <c r="D275" s="76" t="s">
        <v>1219</v>
      </c>
      <c r="E275" s="77" t="s">
        <v>26</v>
      </c>
      <c r="F275" s="203">
        <v>2374.9699999999998</v>
      </c>
      <c r="G275" s="203"/>
      <c r="H275" s="77" t="s">
        <v>27</v>
      </c>
      <c r="I275" s="204" t="s">
        <v>28</v>
      </c>
      <c r="J275" s="204"/>
      <c r="K275" s="78" t="s">
        <v>29</v>
      </c>
      <c r="L275" s="79">
        <v>8823457.4299999997</v>
      </c>
    </row>
    <row r="276" spans="1:12" ht="61.2" hidden="1" x14ac:dyDescent="0.3">
      <c r="A276" s="75" t="s">
        <v>571</v>
      </c>
      <c r="B276" s="76" t="s">
        <v>1217</v>
      </c>
      <c r="C276" s="76" t="s">
        <v>1221</v>
      </c>
      <c r="D276" s="76" t="s">
        <v>1219</v>
      </c>
      <c r="E276" s="77" t="s">
        <v>26</v>
      </c>
      <c r="F276" s="203">
        <v>36839.599999999999</v>
      </c>
      <c r="G276" s="203"/>
      <c r="H276" s="77" t="s">
        <v>27</v>
      </c>
      <c r="I276" s="204" t="s">
        <v>28</v>
      </c>
      <c r="J276" s="204"/>
      <c r="K276" s="78" t="s">
        <v>29</v>
      </c>
      <c r="L276" s="79">
        <v>8860297.0299999993</v>
      </c>
    </row>
    <row r="277" spans="1:12" ht="71.400000000000006" hidden="1" x14ac:dyDescent="0.3">
      <c r="A277" s="75" t="s">
        <v>571</v>
      </c>
      <c r="B277" s="76" t="s">
        <v>1217</v>
      </c>
      <c r="C277" s="76" t="s">
        <v>1222</v>
      </c>
      <c r="D277" s="76" t="s">
        <v>1219</v>
      </c>
      <c r="E277" s="77" t="s">
        <v>26</v>
      </c>
      <c r="F277" s="206">
        <v>231.24</v>
      </c>
      <c r="G277" s="206"/>
      <c r="H277" s="77" t="s">
        <v>27</v>
      </c>
      <c r="I277" s="204" t="s">
        <v>28</v>
      </c>
      <c r="J277" s="204"/>
      <c r="K277" s="78" t="s">
        <v>29</v>
      </c>
      <c r="L277" s="79">
        <v>8860528.2699999996</v>
      </c>
    </row>
    <row r="278" spans="1:12" ht="71.400000000000006" hidden="1" x14ac:dyDescent="0.3">
      <c r="A278" s="75" t="s">
        <v>571</v>
      </c>
      <c r="B278" s="76" t="s">
        <v>1217</v>
      </c>
      <c r="C278" s="76" t="s">
        <v>1223</v>
      </c>
      <c r="D278" s="76" t="s">
        <v>1219</v>
      </c>
      <c r="E278" s="77" t="s">
        <v>26</v>
      </c>
      <c r="F278" s="206">
        <v>376.09</v>
      </c>
      <c r="G278" s="206"/>
      <c r="H278" s="77" t="s">
        <v>27</v>
      </c>
      <c r="I278" s="204" t="s">
        <v>28</v>
      </c>
      <c r="J278" s="204"/>
      <c r="K278" s="78" t="s">
        <v>29</v>
      </c>
      <c r="L278" s="79">
        <v>8860904.3599999994</v>
      </c>
    </row>
    <row r="279" spans="1:12" ht="71.400000000000006" hidden="1" x14ac:dyDescent="0.3">
      <c r="A279" s="75" t="s">
        <v>571</v>
      </c>
      <c r="B279" s="76" t="s">
        <v>1217</v>
      </c>
      <c r="C279" s="76" t="s">
        <v>1224</v>
      </c>
      <c r="D279" s="76" t="s">
        <v>1219</v>
      </c>
      <c r="E279" s="77" t="s">
        <v>26</v>
      </c>
      <c r="F279" s="203">
        <v>7603.84</v>
      </c>
      <c r="G279" s="203"/>
      <c r="H279" s="77" t="s">
        <v>27</v>
      </c>
      <c r="I279" s="204" t="s">
        <v>28</v>
      </c>
      <c r="J279" s="204"/>
      <c r="K279" s="78" t="s">
        <v>29</v>
      </c>
      <c r="L279" s="79">
        <v>8868508.1999999993</v>
      </c>
    </row>
    <row r="280" spans="1:12" ht="61.2" hidden="1" x14ac:dyDescent="0.3">
      <c r="A280" s="75" t="s">
        <v>571</v>
      </c>
      <c r="B280" s="76" t="s">
        <v>578</v>
      </c>
      <c r="C280" s="76" t="s">
        <v>579</v>
      </c>
      <c r="D280" s="76" t="s">
        <v>573</v>
      </c>
      <c r="E280" s="77" t="s">
        <v>26</v>
      </c>
      <c r="F280" s="203">
        <v>32611.56</v>
      </c>
      <c r="G280" s="203"/>
      <c r="H280" s="77" t="s">
        <v>26</v>
      </c>
      <c r="I280" s="204" t="s">
        <v>28</v>
      </c>
      <c r="J280" s="204"/>
      <c r="K280" s="78" t="s">
        <v>29</v>
      </c>
      <c r="L280" s="79">
        <v>8901119.7599999998</v>
      </c>
    </row>
    <row r="281" spans="1:12" ht="61.2" hidden="1" x14ac:dyDescent="0.3">
      <c r="A281" s="75" t="s">
        <v>571</v>
      </c>
      <c r="B281" s="76" t="s">
        <v>584</v>
      </c>
      <c r="C281" s="76" t="s">
        <v>585</v>
      </c>
      <c r="D281" s="76" t="s">
        <v>575</v>
      </c>
      <c r="E281" s="77" t="s">
        <v>26</v>
      </c>
      <c r="F281" s="203">
        <v>4442.8900000000003</v>
      </c>
      <c r="G281" s="203"/>
      <c r="H281" s="77" t="s">
        <v>26</v>
      </c>
      <c r="I281" s="204" t="s">
        <v>28</v>
      </c>
      <c r="J281" s="204"/>
      <c r="K281" s="78" t="s">
        <v>29</v>
      </c>
      <c r="L281" s="79">
        <v>8905562.6500000004</v>
      </c>
    </row>
    <row r="282" spans="1:12" ht="61.2" hidden="1" x14ac:dyDescent="0.3">
      <c r="A282" s="75" t="s">
        <v>588</v>
      </c>
      <c r="B282" s="76" t="s">
        <v>1225</v>
      </c>
      <c r="C282" s="76" t="s">
        <v>1226</v>
      </c>
      <c r="D282" s="76" t="s">
        <v>1227</v>
      </c>
      <c r="E282" s="77" t="s">
        <v>26</v>
      </c>
      <c r="F282" s="203">
        <v>23632.83</v>
      </c>
      <c r="G282" s="203"/>
      <c r="H282" s="77" t="s">
        <v>27</v>
      </c>
      <c r="I282" s="204" t="s">
        <v>28</v>
      </c>
      <c r="J282" s="204"/>
      <c r="K282" s="78" t="s">
        <v>29</v>
      </c>
      <c r="L282" s="79">
        <v>8929195.4800000004</v>
      </c>
    </row>
    <row r="283" spans="1:12" ht="61.2" hidden="1" x14ac:dyDescent="0.3">
      <c r="A283" s="75" t="s">
        <v>588</v>
      </c>
      <c r="B283" s="76" t="s">
        <v>1228</v>
      </c>
      <c r="C283" s="76" t="s">
        <v>1226</v>
      </c>
      <c r="D283" s="76" t="s">
        <v>1227</v>
      </c>
      <c r="E283" s="77" t="s">
        <v>26</v>
      </c>
      <c r="F283" s="203">
        <v>26120.5</v>
      </c>
      <c r="G283" s="203"/>
      <c r="H283" s="77" t="s">
        <v>27</v>
      </c>
      <c r="I283" s="204" t="s">
        <v>28</v>
      </c>
      <c r="J283" s="204"/>
      <c r="K283" s="78" t="s">
        <v>29</v>
      </c>
      <c r="L283" s="79">
        <v>8955315.9800000004</v>
      </c>
    </row>
    <row r="284" spans="1:12" ht="61.2" hidden="1" x14ac:dyDescent="0.3">
      <c r="A284" s="75" t="s">
        <v>588</v>
      </c>
      <c r="B284" s="76" t="s">
        <v>600</v>
      </c>
      <c r="C284" s="76" t="s">
        <v>601</v>
      </c>
      <c r="D284" s="76" t="s">
        <v>593</v>
      </c>
      <c r="E284" s="77" t="s">
        <v>26</v>
      </c>
      <c r="F284" s="203">
        <v>14617.22</v>
      </c>
      <c r="G284" s="203"/>
      <c r="H284" s="77" t="s">
        <v>26</v>
      </c>
      <c r="I284" s="204" t="s">
        <v>28</v>
      </c>
      <c r="J284" s="204"/>
      <c r="K284" s="78" t="s">
        <v>29</v>
      </c>
      <c r="L284" s="79">
        <v>8969933.1999999993</v>
      </c>
    </row>
    <row r="285" spans="1:12" ht="61.2" hidden="1" x14ac:dyDescent="0.3">
      <c r="A285" s="75" t="s">
        <v>940</v>
      </c>
      <c r="B285" s="76" t="s">
        <v>1229</v>
      </c>
      <c r="C285" s="76" t="s">
        <v>1230</v>
      </c>
      <c r="D285" s="76" t="s">
        <v>1231</v>
      </c>
      <c r="E285" s="77" t="s">
        <v>26</v>
      </c>
      <c r="F285" s="203">
        <v>103926.83</v>
      </c>
      <c r="G285" s="203"/>
      <c r="H285" s="77" t="s">
        <v>27</v>
      </c>
      <c r="I285" s="204" t="s">
        <v>28</v>
      </c>
      <c r="J285" s="204"/>
      <c r="K285" s="78" t="s">
        <v>29</v>
      </c>
      <c r="L285" s="79">
        <v>9073860.0299999993</v>
      </c>
    </row>
    <row r="286" spans="1:12" ht="61.2" hidden="1" x14ac:dyDescent="0.3">
      <c r="A286" s="75" t="s">
        <v>940</v>
      </c>
      <c r="B286" s="76" t="s">
        <v>1232</v>
      </c>
      <c r="C286" s="76" t="s">
        <v>1230</v>
      </c>
      <c r="D286" s="76" t="s">
        <v>1231</v>
      </c>
      <c r="E286" s="77" t="s">
        <v>26</v>
      </c>
      <c r="F286" s="203">
        <v>114866.5</v>
      </c>
      <c r="G286" s="203"/>
      <c r="H286" s="77" t="s">
        <v>27</v>
      </c>
      <c r="I286" s="204" t="s">
        <v>28</v>
      </c>
      <c r="J286" s="204"/>
      <c r="K286" s="78" t="s">
        <v>29</v>
      </c>
      <c r="L286" s="79">
        <v>9188726.5299999993</v>
      </c>
    </row>
    <row r="287" spans="1:12" ht="61.2" hidden="1" x14ac:dyDescent="0.3">
      <c r="A287" s="75" t="s">
        <v>604</v>
      </c>
      <c r="B287" s="76" t="s">
        <v>610</v>
      </c>
      <c r="C287" s="76" t="s">
        <v>611</v>
      </c>
      <c r="D287" s="76" t="s">
        <v>606</v>
      </c>
      <c r="E287" s="77" t="s">
        <v>26</v>
      </c>
      <c r="F287" s="203">
        <v>95477.16</v>
      </c>
      <c r="G287" s="203"/>
      <c r="H287" s="77" t="s">
        <v>26</v>
      </c>
      <c r="I287" s="204" t="s">
        <v>28</v>
      </c>
      <c r="J287" s="204"/>
      <c r="K287" s="78" t="s">
        <v>29</v>
      </c>
      <c r="L287" s="79">
        <v>9284203.6899999995</v>
      </c>
    </row>
    <row r="288" spans="1:12" ht="61.2" hidden="1" x14ac:dyDescent="0.3">
      <c r="A288" s="75" t="s">
        <v>614</v>
      </c>
      <c r="B288" s="76" t="s">
        <v>620</v>
      </c>
      <c r="C288" s="76" t="s">
        <v>621</v>
      </c>
      <c r="D288" s="76" t="s">
        <v>616</v>
      </c>
      <c r="E288" s="77" t="s">
        <v>26</v>
      </c>
      <c r="F288" s="203">
        <v>39453.599999999999</v>
      </c>
      <c r="G288" s="203"/>
      <c r="H288" s="77" t="s">
        <v>26</v>
      </c>
      <c r="I288" s="204" t="s">
        <v>28</v>
      </c>
      <c r="J288" s="204"/>
      <c r="K288" s="78" t="s">
        <v>29</v>
      </c>
      <c r="L288" s="79">
        <v>9323657.2899999991</v>
      </c>
    </row>
    <row r="289" spans="1:12" ht="61.2" hidden="1" x14ac:dyDescent="0.3">
      <c r="A289" s="75" t="s">
        <v>614</v>
      </c>
      <c r="B289" s="76" t="s">
        <v>631</v>
      </c>
      <c r="C289" s="76" t="s">
        <v>632</v>
      </c>
      <c r="D289" s="76" t="s">
        <v>627</v>
      </c>
      <c r="E289" s="77" t="s">
        <v>26</v>
      </c>
      <c r="F289" s="203">
        <v>46041</v>
      </c>
      <c r="G289" s="203"/>
      <c r="H289" s="77" t="s">
        <v>26</v>
      </c>
      <c r="I289" s="204" t="s">
        <v>28</v>
      </c>
      <c r="J289" s="204"/>
      <c r="K289" s="78" t="s">
        <v>29</v>
      </c>
      <c r="L289" s="79">
        <v>9369698.2899999991</v>
      </c>
    </row>
    <row r="290" spans="1:12" ht="61.2" hidden="1" x14ac:dyDescent="0.3">
      <c r="A290" s="75" t="s">
        <v>955</v>
      </c>
      <c r="B290" s="76" t="s">
        <v>1233</v>
      </c>
      <c r="C290" s="76" t="s">
        <v>1234</v>
      </c>
      <c r="D290" s="76" t="s">
        <v>1235</v>
      </c>
      <c r="E290" s="77" t="s">
        <v>26</v>
      </c>
      <c r="F290" s="203">
        <v>23870</v>
      </c>
      <c r="G290" s="203"/>
      <c r="H290" s="77" t="s">
        <v>27</v>
      </c>
      <c r="I290" s="204" t="s">
        <v>28</v>
      </c>
      <c r="J290" s="204"/>
      <c r="K290" s="78" t="s">
        <v>29</v>
      </c>
      <c r="L290" s="79">
        <v>9393568.2899999991</v>
      </c>
    </row>
    <row r="291" spans="1:12" ht="61.2" hidden="1" x14ac:dyDescent="0.3">
      <c r="A291" s="75" t="s">
        <v>955</v>
      </c>
      <c r="B291" s="76" t="s">
        <v>1233</v>
      </c>
      <c r="C291" s="76" t="s">
        <v>1236</v>
      </c>
      <c r="D291" s="76" t="s">
        <v>1235</v>
      </c>
      <c r="E291" s="77" t="s">
        <v>26</v>
      </c>
      <c r="F291" s="203">
        <v>12665</v>
      </c>
      <c r="G291" s="203"/>
      <c r="H291" s="77" t="s">
        <v>27</v>
      </c>
      <c r="I291" s="204" t="s">
        <v>28</v>
      </c>
      <c r="J291" s="204"/>
      <c r="K291" s="78" t="s">
        <v>29</v>
      </c>
      <c r="L291" s="79">
        <v>9406233.2899999991</v>
      </c>
    </row>
    <row r="292" spans="1:12" ht="61.2" hidden="1" x14ac:dyDescent="0.3">
      <c r="A292" s="75" t="s">
        <v>955</v>
      </c>
      <c r="B292" s="76" t="s">
        <v>1237</v>
      </c>
      <c r="C292" s="76" t="s">
        <v>1238</v>
      </c>
      <c r="D292" s="76" t="s">
        <v>1235</v>
      </c>
      <c r="E292" s="77" t="s">
        <v>26</v>
      </c>
      <c r="F292" s="203">
        <v>9216.4</v>
      </c>
      <c r="G292" s="203"/>
      <c r="H292" s="77" t="s">
        <v>27</v>
      </c>
      <c r="I292" s="204" t="s">
        <v>28</v>
      </c>
      <c r="J292" s="204"/>
      <c r="K292" s="78" t="s">
        <v>29</v>
      </c>
      <c r="L292" s="79">
        <v>9415449.6899999995</v>
      </c>
    </row>
    <row r="293" spans="1:12" ht="61.2" hidden="1" x14ac:dyDescent="0.3">
      <c r="A293" s="75" t="s">
        <v>955</v>
      </c>
      <c r="B293" s="76" t="s">
        <v>1233</v>
      </c>
      <c r="C293" s="76" t="s">
        <v>1238</v>
      </c>
      <c r="D293" s="76" t="s">
        <v>1235</v>
      </c>
      <c r="E293" s="77" t="s">
        <v>26</v>
      </c>
      <c r="F293" s="203">
        <v>1983.6</v>
      </c>
      <c r="G293" s="203"/>
      <c r="H293" s="77" t="s">
        <v>27</v>
      </c>
      <c r="I293" s="204" t="s">
        <v>28</v>
      </c>
      <c r="J293" s="204"/>
      <c r="K293" s="78" t="s">
        <v>29</v>
      </c>
      <c r="L293" s="79">
        <v>9417433.2899999991</v>
      </c>
    </row>
    <row r="294" spans="1:12" ht="61.2" hidden="1" x14ac:dyDescent="0.3">
      <c r="A294" s="75" t="s">
        <v>641</v>
      </c>
      <c r="B294" s="76" t="s">
        <v>649</v>
      </c>
      <c r="C294" s="76" t="s">
        <v>650</v>
      </c>
      <c r="D294" s="76" t="s">
        <v>643</v>
      </c>
      <c r="E294" s="77" t="s">
        <v>26</v>
      </c>
      <c r="F294" s="203">
        <v>11475.36</v>
      </c>
      <c r="G294" s="203"/>
      <c r="H294" s="77" t="s">
        <v>26</v>
      </c>
      <c r="I294" s="204" t="s">
        <v>28</v>
      </c>
      <c r="J294" s="204"/>
      <c r="K294" s="78" t="s">
        <v>29</v>
      </c>
      <c r="L294" s="79">
        <v>9428908.6500000004</v>
      </c>
    </row>
    <row r="295" spans="1:12" ht="71.400000000000006" hidden="1" x14ac:dyDescent="0.3">
      <c r="A295" s="75" t="s">
        <v>973</v>
      </c>
      <c r="B295" s="76" t="s">
        <v>1239</v>
      </c>
      <c r="C295" s="76" t="s">
        <v>1240</v>
      </c>
      <c r="D295" s="76" t="s">
        <v>644</v>
      </c>
      <c r="E295" s="77" t="s">
        <v>26</v>
      </c>
      <c r="F295" s="203">
        <v>10587.5</v>
      </c>
      <c r="G295" s="203"/>
      <c r="H295" s="77" t="s">
        <v>27</v>
      </c>
      <c r="I295" s="204" t="s">
        <v>28</v>
      </c>
      <c r="J295" s="204"/>
      <c r="K295" s="78" t="s">
        <v>29</v>
      </c>
      <c r="L295" s="79">
        <v>9439496.1500000004</v>
      </c>
    </row>
    <row r="296" spans="1:12" ht="71.400000000000006" hidden="1" x14ac:dyDescent="0.3">
      <c r="A296" s="75" t="s">
        <v>973</v>
      </c>
      <c r="B296" s="76" t="s">
        <v>1241</v>
      </c>
      <c r="C296" s="76" t="s">
        <v>1240</v>
      </c>
      <c r="D296" s="76" t="s">
        <v>644</v>
      </c>
      <c r="E296" s="77" t="s">
        <v>26</v>
      </c>
      <c r="F296" s="203">
        <v>7035</v>
      </c>
      <c r="G296" s="203"/>
      <c r="H296" s="77" t="s">
        <v>27</v>
      </c>
      <c r="I296" s="204" t="s">
        <v>28</v>
      </c>
      <c r="J296" s="204"/>
      <c r="K296" s="78" t="s">
        <v>29</v>
      </c>
      <c r="L296" s="79">
        <v>9446531.1500000004</v>
      </c>
    </row>
    <row r="297" spans="1:12" ht="61.2" hidden="1" x14ac:dyDescent="0.3">
      <c r="A297" s="75" t="s">
        <v>973</v>
      </c>
      <c r="B297" s="76" t="s">
        <v>1242</v>
      </c>
      <c r="C297" s="76" t="s">
        <v>1243</v>
      </c>
      <c r="D297" s="76" t="s">
        <v>1244</v>
      </c>
      <c r="E297" s="77" t="s">
        <v>26</v>
      </c>
      <c r="F297" s="203">
        <v>9099.85</v>
      </c>
      <c r="G297" s="203"/>
      <c r="H297" s="77" t="s">
        <v>27</v>
      </c>
      <c r="I297" s="204" t="s">
        <v>28</v>
      </c>
      <c r="J297" s="204"/>
      <c r="K297" s="78" t="s">
        <v>29</v>
      </c>
      <c r="L297" s="79">
        <v>9455631</v>
      </c>
    </row>
    <row r="298" spans="1:12" ht="61.2" hidden="1" x14ac:dyDescent="0.3">
      <c r="A298" s="75" t="s">
        <v>973</v>
      </c>
      <c r="B298" s="76" t="s">
        <v>1245</v>
      </c>
      <c r="C298" s="76" t="s">
        <v>1243</v>
      </c>
      <c r="D298" s="76" t="s">
        <v>1244</v>
      </c>
      <c r="E298" s="77" t="s">
        <v>26</v>
      </c>
      <c r="F298" s="203">
        <v>158900.15</v>
      </c>
      <c r="G298" s="203"/>
      <c r="H298" s="77" t="s">
        <v>27</v>
      </c>
      <c r="I298" s="204" t="s">
        <v>28</v>
      </c>
      <c r="J298" s="204"/>
      <c r="K298" s="78" t="s">
        <v>29</v>
      </c>
      <c r="L298" s="79">
        <v>9614531.1500000004</v>
      </c>
    </row>
    <row r="299" spans="1:12" ht="61.2" hidden="1" x14ac:dyDescent="0.3">
      <c r="A299" s="75" t="s">
        <v>973</v>
      </c>
      <c r="B299" s="76" t="s">
        <v>1242</v>
      </c>
      <c r="C299" s="76" t="s">
        <v>1246</v>
      </c>
      <c r="D299" s="76" t="s">
        <v>1244</v>
      </c>
      <c r="E299" s="77" t="s">
        <v>26</v>
      </c>
      <c r="F299" s="203">
        <v>25800</v>
      </c>
      <c r="G299" s="203"/>
      <c r="H299" s="77" t="s">
        <v>27</v>
      </c>
      <c r="I299" s="204" t="s">
        <v>28</v>
      </c>
      <c r="J299" s="204"/>
      <c r="K299" s="78" t="s">
        <v>29</v>
      </c>
      <c r="L299" s="79">
        <v>9640331.1500000004</v>
      </c>
    </row>
    <row r="300" spans="1:12" ht="61.2" hidden="1" x14ac:dyDescent="0.3">
      <c r="A300" s="75" t="s">
        <v>973</v>
      </c>
      <c r="B300" s="76" t="s">
        <v>1242</v>
      </c>
      <c r="C300" s="76" t="s">
        <v>1247</v>
      </c>
      <c r="D300" s="76" t="s">
        <v>1244</v>
      </c>
      <c r="E300" s="77" t="s">
        <v>26</v>
      </c>
      <c r="F300" s="203">
        <v>32500</v>
      </c>
      <c r="G300" s="203"/>
      <c r="H300" s="77" t="s">
        <v>27</v>
      </c>
      <c r="I300" s="204" t="s">
        <v>28</v>
      </c>
      <c r="J300" s="204"/>
      <c r="K300" s="78" t="s">
        <v>29</v>
      </c>
      <c r="L300" s="79">
        <v>9672831.1500000004</v>
      </c>
    </row>
    <row r="301" spans="1:12" ht="61.2" hidden="1" x14ac:dyDescent="0.3">
      <c r="A301" s="75" t="s">
        <v>973</v>
      </c>
      <c r="B301" s="76" t="s">
        <v>1242</v>
      </c>
      <c r="C301" s="76" t="s">
        <v>1248</v>
      </c>
      <c r="D301" s="76" t="s">
        <v>1244</v>
      </c>
      <c r="E301" s="77" t="s">
        <v>26</v>
      </c>
      <c r="F301" s="203">
        <v>20000</v>
      </c>
      <c r="G301" s="203"/>
      <c r="H301" s="77" t="s">
        <v>27</v>
      </c>
      <c r="I301" s="204" t="s">
        <v>28</v>
      </c>
      <c r="J301" s="204"/>
      <c r="K301" s="78" t="s">
        <v>29</v>
      </c>
      <c r="L301" s="79">
        <v>9692831.1500000004</v>
      </c>
    </row>
    <row r="302" spans="1:12" ht="61.2" hidden="1" x14ac:dyDescent="0.3">
      <c r="A302" s="75" t="s">
        <v>973</v>
      </c>
      <c r="B302" s="76" t="s">
        <v>1242</v>
      </c>
      <c r="C302" s="76" t="s">
        <v>1249</v>
      </c>
      <c r="D302" s="76" t="s">
        <v>1244</v>
      </c>
      <c r="E302" s="77" t="s">
        <v>26</v>
      </c>
      <c r="F302" s="203">
        <v>18533.580000000002</v>
      </c>
      <c r="G302" s="203"/>
      <c r="H302" s="77" t="s">
        <v>27</v>
      </c>
      <c r="I302" s="204" t="s">
        <v>28</v>
      </c>
      <c r="J302" s="204"/>
      <c r="K302" s="78" t="s">
        <v>29</v>
      </c>
      <c r="L302" s="79">
        <v>9711364.7300000004</v>
      </c>
    </row>
    <row r="303" spans="1:12" ht="61.2" hidden="1" x14ac:dyDescent="0.3">
      <c r="A303" s="75" t="s">
        <v>653</v>
      </c>
      <c r="B303" s="76" t="s">
        <v>657</v>
      </c>
      <c r="C303" s="76" t="s">
        <v>658</v>
      </c>
      <c r="D303" s="76" t="s">
        <v>655</v>
      </c>
      <c r="E303" s="77" t="s">
        <v>26</v>
      </c>
      <c r="F303" s="203">
        <v>11205.92</v>
      </c>
      <c r="G303" s="203"/>
      <c r="H303" s="77" t="s">
        <v>26</v>
      </c>
      <c r="I303" s="204" t="s">
        <v>28</v>
      </c>
      <c r="J303" s="204"/>
      <c r="K303" s="78" t="s">
        <v>29</v>
      </c>
      <c r="L303" s="79">
        <v>9722570.6500000004</v>
      </c>
    </row>
    <row r="304" spans="1:12" ht="61.2" hidden="1" x14ac:dyDescent="0.3">
      <c r="A304" s="75" t="s">
        <v>653</v>
      </c>
      <c r="B304" s="76" t="s">
        <v>1250</v>
      </c>
      <c r="C304" s="76" t="s">
        <v>1251</v>
      </c>
      <c r="D304" s="76" t="s">
        <v>1252</v>
      </c>
      <c r="E304" s="77" t="s">
        <v>26</v>
      </c>
      <c r="F304" s="203">
        <v>16944.830000000002</v>
      </c>
      <c r="G304" s="203"/>
      <c r="H304" s="77" t="s">
        <v>27</v>
      </c>
      <c r="I304" s="204" t="s">
        <v>28</v>
      </c>
      <c r="J304" s="204"/>
      <c r="K304" s="78" t="s">
        <v>29</v>
      </c>
      <c r="L304" s="79">
        <v>9739515.4800000004</v>
      </c>
    </row>
    <row r="305" spans="1:12" ht="61.2" hidden="1" x14ac:dyDescent="0.3">
      <c r="A305" s="75" t="s">
        <v>653</v>
      </c>
      <c r="B305" s="76" t="s">
        <v>1253</v>
      </c>
      <c r="C305" s="76" t="s">
        <v>1251</v>
      </c>
      <c r="D305" s="76" t="s">
        <v>1252</v>
      </c>
      <c r="E305" s="77" t="s">
        <v>26</v>
      </c>
      <c r="F305" s="203">
        <v>18728.5</v>
      </c>
      <c r="G305" s="203"/>
      <c r="H305" s="77" t="s">
        <v>27</v>
      </c>
      <c r="I305" s="204" t="s">
        <v>28</v>
      </c>
      <c r="J305" s="204"/>
      <c r="K305" s="78" t="s">
        <v>29</v>
      </c>
      <c r="L305" s="79">
        <v>9758243.9800000004</v>
      </c>
    </row>
    <row r="306" spans="1:12" ht="61.2" hidden="1" x14ac:dyDescent="0.3">
      <c r="A306" s="75" t="s">
        <v>836</v>
      </c>
      <c r="B306" s="76" t="s">
        <v>1254</v>
      </c>
      <c r="C306" s="76" t="s">
        <v>1255</v>
      </c>
      <c r="D306" s="76" t="s">
        <v>1256</v>
      </c>
      <c r="E306" s="77" t="s">
        <v>26</v>
      </c>
      <c r="F306" s="203">
        <v>35450.83</v>
      </c>
      <c r="G306" s="203"/>
      <c r="H306" s="77" t="s">
        <v>27</v>
      </c>
      <c r="I306" s="204" t="s">
        <v>28</v>
      </c>
      <c r="J306" s="204"/>
      <c r="K306" s="78" t="s">
        <v>29</v>
      </c>
      <c r="L306" s="79">
        <v>9793694.8100000005</v>
      </c>
    </row>
    <row r="307" spans="1:12" ht="61.2" hidden="1" x14ac:dyDescent="0.3">
      <c r="A307" s="75" t="s">
        <v>836</v>
      </c>
      <c r="B307" s="76" t="s">
        <v>1257</v>
      </c>
      <c r="C307" s="76" t="s">
        <v>1255</v>
      </c>
      <c r="D307" s="76" t="s">
        <v>1256</v>
      </c>
      <c r="E307" s="77" t="s">
        <v>26</v>
      </c>
      <c r="F307" s="203">
        <v>39182.5</v>
      </c>
      <c r="G307" s="203"/>
      <c r="H307" s="77" t="s">
        <v>27</v>
      </c>
      <c r="I307" s="204" t="s">
        <v>28</v>
      </c>
      <c r="J307" s="204"/>
      <c r="K307" s="78" t="s">
        <v>29</v>
      </c>
      <c r="L307" s="79">
        <v>9832877.3100000005</v>
      </c>
    </row>
    <row r="308" spans="1:12" ht="71.400000000000006" hidden="1" x14ac:dyDescent="0.3">
      <c r="A308" s="75" t="s">
        <v>843</v>
      </c>
      <c r="B308" s="76" t="s">
        <v>1258</v>
      </c>
      <c r="C308" s="76" t="s">
        <v>1259</v>
      </c>
      <c r="D308" s="76" t="s">
        <v>1260</v>
      </c>
      <c r="E308" s="77" t="s">
        <v>26</v>
      </c>
      <c r="F308" s="203">
        <v>3259.5</v>
      </c>
      <c r="G308" s="203"/>
      <c r="H308" s="77" t="s">
        <v>27</v>
      </c>
      <c r="I308" s="204" t="s">
        <v>28</v>
      </c>
      <c r="J308" s="204"/>
      <c r="K308" s="78" t="s">
        <v>29</v>
      </c>
      <c r="L308" s="79">
        <v>9836136.8100000005</v>
      </c>
    </row>
    <row r="309" spans="1:12" ht="71.400000000000006" hidden="1" x14ac:dyDescent="0.3">
      <c r="A309" s="75" t="s">
        <v>843</v>
      </c>
      <c r="B309" s="76" t="s">
        <v>1261</v>
      </c>
      <c r="C309" s="76" t="s">
        <v>1262</v>
      </c>
      <c r="D309" s="76" t="s">
        <v>1263</v>
      </c>
      <c r="E309" s="77" t="s">
        <v>26</v>
      </c>
      <c r="F309" s="203">
        <v>18781.78</v>
      </c>
      <c r="G309" s="203"/>
      <c r="H309" s="77" t="s">
        <v>27</v>
      </c>
      <c r="I309" s="204" t="s">
        <v>28</v>
      </c>
      <c r="J309" s="204"/>
      <c r="K309" s="78" t="s">
        <v>29</v>
      </c>
      <c r="L309" s="79">
        <v>9854918.5899999999</v>
      </c>
    </row>
    <row r="310" spans="1:12" ht="71.400000000000006" hidden="1" x14ac:dyDescent="0.3">
      <c r="A310" s="75" t="s">
        <v>843</v>
      </c>
      <c r="B310" s="76" t="s">
        <v>1261</v>
      </c>
      <c r="C310" s="76" t="s">
        <v>1264</v>
      </c>
      <c r="D310" s="76" t="s">
        <v>1263</v>
      </c>
      <c r="E310" s="77" t="s">
        <v>26</v>
      </c>
      <c r="F310" s="203">
        <v>115234.51</v>
      </c>
      <c r="G310" s="203"/>
      <c r="H310" s="77" t="s">
        <v>27</v>
      </c>
      <c r="I310" s="204" t="s">
        <v>28</v>
      </c>
      <c r="J310" s="204"/>
      <c r="K310" s="78" t="s">
        <v>29</v>
      </c>
      <c r="L310" s="79">
        <v>9970153.0999999996</v>
      </c>
    </row>
    <row r="311" spans="1:12" ht="71.400000000000006" hidden="1" x14ac:dyDescent="0.3">
      <c r="A311" s="75" t="s">
        <v>843</v>
      </c>
      <c r="B311" s="76" t="s">
        <v>1265</v>
      </c>
      <c r="C311" s="76" t="s">
        <v>1266</v>
      </c>
      <c r="D311" s="76" t="s">
        <v>1263</v>
      </c>
      <c r="E311" s="77" t="s">
        <v>26</v>
      </c>
      <c r="F311" s="203">
        <v>25125.06</v>
      </c>
      <c r="G311" s="203"/>
      <c r="H311" s="77" t="s">
        <v>27</v>
      </c>
      <c r="I311" s="204" t="s">
        <v>28</v>
      </c>
      <c r="J311" s="204"/>
      <c r="K311" s="78" t="s">
        <v>29</v>
      </c>
      <c r="L311" s="79">
        <v>9995278.1600000001</v>
      </c>
    </row>
    <row r="312" spans="1:12" ht="71.400000000000006" hidden="1" x14ac:dyDescent="0.3">
      <c r="A312" s="75" t="s">
        <v>843</v>
      </c>
      <c r="B312" s="76" t="s">
        <v>1265</v>
      </c>
      <c r="C312" s="76" t="s">
        <v>1267</v>
      </c>
      <c r="D312" s="76" t="s">
        <v>1263</v>
      </c>
      <c r="E312" s="77" t="s">
        <v>26</v>
      </c>
      <c r="F312" s="203">
        <v>8515.51</v>
      </c>
      <c r="G312" s="203"/>
      <c r="H312" s="77" t="s">
        <v>27</v>
      </c>
      <c r="I312" s="204" t="s">
        <v>28</v>
      </c>
      <c r="J312" s="204"/>
      <c r="K312" s="78" t="s">
        <v>29</v>
      </c>
      <c r="L312" s="79">
        <v>10003793.67</v>
      </c>
    </row>
    <row r="313" spans="1:12" ht="71.400000000000006" hidden="1" x14ac:dyDescent="0.3">
      <c r="A313" s="75" t="s">
        <v>843</v>
      </c>
      <c r="B313" s="76" t="s">
        <v>1265</v>
      </c>
      <c r="C313" s="76" t="s">
        <v>1268</v>
      </c>
      <c r="D313" s="76" t="s">
        <v>1263</v>
      </c>
      <c r="E313" s="77" t="s">
        <v>26</v>
      </c>
      <c r="F313" s="203">
        <v>32907.42</v>
      </c>
      <c r="G313" s="203"/>
      <c r="H313" s="77" t="s">
        <v>27</v>
      </c>
      <c r="I313" s="204" t="s">
        <v>28</v>
      </c>
      <c r="J313" s="204"/>
      <c r="K313" s="78" t="s">
        <v>29</v>
      </c>
      <c r="L313" s="79">
        <v>10036701.09</v>
      </c>
    </row>
    <row r="314" spans="1:12" ht="71.400000000000006" hidden="1" x14ac:dyDescent="0.3">
      <c r="A314" s="75" t="s">
        <v>843</v>
      </c>
      <c r="B314" s="76" t="s">
        <v>1265</v>
      </c>
      <c r="C314" s="76" t="s">
        <v>1269</v>
      </c>
      <c r="D314" s="76" t="s">
        <v>1263</v>
      </c>
      <c r="E314" s="77" t="s">
        <v>26</v>
      </c>
      <c r="F314" s="203">
        <v>51900.66</v>
      </c>
      <c r="G314" s="203"/>
      <c r="H314" s="77" t="s">
        <v>27</v>
      </c>
      <c r="I314" s="204" t="s">
        <v>28</v>
      </c>
      <c r="J314" s="204"/>
      <c r="K314" s="78" t="s">
        <v>29</v>
      </c>
      <c r="L314" s="79">
        <v>10088601.75</v>
      </c>
    </row>
    <row r="315" spans="1:12" ht="71.400000000000006" hidden="1" x14ac:dyDescent="0.3">
      <c r="A315" s="75" t="s">
        <v>843</v>
      </c>
      <c r="B315" s="76" t="s">
        <v>1265</v>
      </c>
      <c r="C315" s="76" t="s">
        <v>1270</v>
      </c>
      <c r="D315" s="76" t="s">
        <v>1263</v>
      </c>
      <c r="E315" s="77" t="s">
        <v>26</v>
      </c>
      <c r="F315" s="203">
        <v>121101.54</v>
      </c>
      <c r="G315" s="203"/>
      <c r="H315" s="77" t="s">
        <v>27</v>
      </c>
      <c r="I315" s="204" t="s">
        <v>28</v>
      </c>
      <c r="J315" s="204"/>
      <c r="K315" s="78" t="s">
        <v>29</v>
      </c>
      <c r="L315" s="79">
        <v>10209703.289999999</v>
      </c>
    </row>
    <row r="316" spans="1:12" ht="71.400000000000006" hidden="1" x14ac:dyDescent="0.3">
      <c r="A316" s="75" t="s">
        <v>843</v>
      </c>
      <c r="B316" s="76" t="s">
        <v>1265</v>
      </c>
      <c r="C316" s="76" t="s">
        <v>1271</v>
      </c>
      <c r="D316" s="76" t="s">
        <v>1263</v>
      </c>
      <c r="E316" s="77" t="s">
        <v>26</v>
      </c>
      <c r="F316" s="203">
        <v>34248.480000000003</v>
      </c>
      <c r="G316" s="203"/>
      <c r="H316" s="77" t="s">
        <v>27</v>
      </c>
      <c r="I316" s="204" t="s">
        <v>28</v>
      </c>
      <c r="J316" s="204"/>
      <c r="K316" s="78" t="s">
        <v>29</v>
      </c>
      <c r="L316" s="79">
        <v>10243951.77</v>
      </c>
    </row>
    <row r="317" spans="1:12" ht="71.400000000000006" hidden="1" x14ac:dyDescent="0.3">
      <c r="A317" s="75" t="s">
        <v>843</v>
      </c>
      <c r="B317" s="76" t="s">
        <v>1265</v>
      </c>
      <c r="C317" s="76" t="s">
        <v>1272</v>
      </c>
      <c r="D317" s="76" t="s">
        <v>1263</v>
      </c>
      <c r="E317" s="77" t="s">
        <v>26</v>
      </c>
      <c r="F317" s="203">
        <v>35637.339999999997</v>
      </c>
      <c r="G317" s="203"/>
      <c r="H317" s="77" t="s">
        <v>27</v>
      </c>
      <c r="I317" s="204" t="s">
        <v>28</v>
      </c>
      <c r="J317" s="204"/>
      <c r="K317" s="78" t="s">
        <v>29</v>
      </c>
      <c r="L317" s="79">
        <v>10279589.109999999</v>
      </c>
    </row>
    <row r="318" spans="1:12" ht="71.400000000000006" hidden="1" x14ac:dyDescent="0.3">
      <c r="A318" s="75" t="s">
        <v>843</v>
      </c>
      <c r="B318" s="76" t="s">
        <v>1265</v>
      </c>
      <c r="C318" s="76" t="s">
        <v>1273</v>
      </c>
      <c r="D318" s="76" t="s">
        <v>1263</v>
      </c>
      <c r="E318" s="77" t="s">
        <v>26</v>
      </c>
      <c r="F318" s="203">
        <v>98532.66</v>
      </c>
      <c r="G318" s="203"/>
      <c r="H318" s="77" t="s">
        <v>27</v>
      </c>
      <c r="I318" s="204" t="s">
        <v>28</v>
      </c>
      <c r="J318" s="204"/>
      <c r="K318" s="78" t="s">
        <v>29</v>
      </c>
      <c r="L318" s="79">
        <v>10378121.77</v>
      </c>
    </row>
    <row r="319" spans="1:12" ht="71.400000000000006" hidden="1" x14ac:dyDescent="0.3">
      <c r="A319" s="75" t="s">
        <v>843</v>
      </c>
      <c r="B319" s="76" t="s">
        <v>1265</v>
      </c>
      <c r="C319" s="76" t="s">
        <v>1274</v>
      </c>
      <c r="D319" s="76" t="s">
        <v>1263</v>
      </c>
      <c r="E319" s="77" t="s">
        <v>26</v>
      </c>
      <c r="F319" s="203">
        <v>10028.530000000001</v>
      </c>
      <c r="G319" s="203"/>
      <c r="H319" s="77" t="s">
        <v>27</v>
      </c>
      <c r="I319" s="204" t="s">
        <v>28</v>
      </c>
      <c r="J319" s="204"/>
      <c r="K319" s="78" t="s">
        <v>29</v>
      </c>
      <c r="L319" s="79">
        <v>10388150.300000001</v>
      </c>
    </row>
    <row r="320" spans="1:12" ht="71.400000000000006" hidden="1" x14ac:dyDescent="0.3">
      <c r="A320" s="75" t="s">
        <v>843</v>
      </c>
      <c r="B320" s="76" t="s">
        <v>1265</v>
      </c>
      <c r="C320" s="76" t="s">
        <v>1275</v>
      </c>
      <c r="D320" s="76" t="s">
        <v>1263</v>
      </c>
      <c r="E320" s="77" t="s">
        <v>26</v>
      </c>
      <c r="F320" s="203">
        <v>16410.16</v>
      </c>
      <c r="G320" s="203"/>
      <c r="H320" s="77" t="s">
        <v>27</v>
      </c>
      <c r="I320" s="204" t="s">
        <v>28</v>
      </c>
      <c r="J320" s="204"/>
      <c r="K320" s="78" t="s">
        <v>29</v>
      </c>
      <c r="L320" s="79">
        <v>10404560.460000001</v>
      </c>
    </row>
    <row r="321" spans="1:12" ht="61.2" hidden="1" x14ac:dyDescent="0.3">
      <c r="A321" s="75" t="s">
        <v>843</v>
      </c>
      <c r="B321" s="76" t="s">
        <v>1265</v>
      </c>
      <c r="C321" s="76" t="s">
        <v>1276</v>
      </c>
      <c r="D321" s="76" t="s">
        <v>1263</v>
      </c>
      <c r="E321" s="77" t="s">
        <v>26</v>
      </c>
      <c r="F321" s="203">
        <v>49601.51</v>
      </c>
      <c r="G321" s="203"/>
      <c r="H321" s="77" t="s">
        <v>27</v>
      </c>
      <c r="I321" s="204" t="s">
        <v>28</v>
      </c>
      <c r="J321" s="204"/>
      <c r="K321" s="78" t="s">
        <v>29</v>
      </c>
      <c r="L321" s="79">
        <v>10454161.970000001</v>
      </c>
    </row>
    <row r="322" spans="1:12" ht="61.2" hidden="1" x14ac:dyDescent="0.3">
      <c r="A322" s="75" t="s">
        <v>843</v>
      </c>
      <c r="B322" s="76" t="s">
        <v>1265</v>
      </c>
      <c r="C322" s="76" t="s">
        <v>1277</v>
      </c>
      <c r="D322" s="76" t="s">
        <v>1263</v>
      </c>
      <c r="E322" s="77" t="s">
        <v>26</v>
      </c>
      <c r="F322" s="203">
        <v>18756.88</v>
      </c>
      <c r="G322" s="203"/>
      <c r="H322" s="77" t="s">
        <v>27</v>
      </c>
      <c r="I322" s="204" t="s">
        <v>28</v>
      </c>
      <c r="J322" s="204"/>
      <c r="K322" s="78" t="s">
        <v>29</v>
      </c>
      <c r="L322" s="79">
        <v>10472918.85</v>
      </c>
    </row>
    <row r="323" spans="1:12" ht="61.2" hidden="1" x14ac:dyDescent="0.3">
      <c r="A323" s="75" t="s">
        <v>843</v>
      </c>
      <c r="B323" s="76" t="s">
        <v>1265</v>
      </c>
      <c r="C323" s="76" t="s">
        <v>1278</v>
      </c>
      <c r="D323" s="76" t="s">
        <v>1263</v>
      </c>
      <c r="E323" s="77" t="s">
        <v>26</v>
      </c>
      <c r="F323" s="203">
        <v>14930.24</v>
      </c>
      <c r="G323" s="203"/>
      <c r="H323" s="77" t="s">
        <v>27</v>
      </c>
      <c r="I323" s="204" t="s">
        <v>28</v>
      </c>
      <c r="J323" s="204"/>
      <c r="K323" s="78" t="s">
        <v>29</v>
      </c>
      <c r="L323" s="79">
        <v>10487849.09</v>
      </c>
    </row>
    <row r="324" spans="1:12" ht="61.2" hidden="1" x14ac:dyDescent="0.3">
      <c r="A324" s="75" t="s">
        <v>843</v>
      </c>
      <c r="B324" s="76" t="s">
        <v>1265</v>
      </c>
      <c r="C324" s="76" t="s">
        <v>1279</v>
      </c>
      <c r="D324" s="76" t="s">
        <v>1263</v>
      </c>
      <c r="E324" s="77" t="s">
        <v>26</v>
      </c>
      <c r="F324" s="203">
        <v>20244.39</v>
      </c>
      <c r="G324" s="203"/>
      <c r="H324" s="77" t="s">
        <v>27</v>
      </c>
      <c r="I324" s="204" t="s">
        <v>28</v>
      </c>
      <c r="J324" s="204"/>
      <c r="K324" s="78" t="s">
        <v>29</v>
      </c>
      <c r="L324" s="79">
        <v>10508093.48</v>
      </c>
    </row>
    <row r="325" spans="1:12" ht="61.2" hidden="1" x14ac:dyDescent="0.3">
      <c r="A325" s="75" t="s">
        <v>843</v>
      </c>
      <c r="B325" s="76" t="s">
        <v>1280</v>
      </c>
      <c r="C325" s="76" t="s">
        <v>1281</v>
      </c>
      <c r="D325" s="76" t="s">
        <v>1282</v>
      </c>
      <c r="E325" s="77" t="s">
        <v>26</v>
      </c>
      <c r="F325" s="206">
        <v>297.11</v>
      </c>
      <c r="G325" s="206"/>
      <c r="H325" s="77" t="s">
        <v>27</v>
      </c>
      <c r="I325" s="204" t="s">
        <v>28</v>
      </c>
      <c r="J325" s="204"/>
      <c r="K325" s="78" t="s">
        <v>29</v>
      </c>
      <c r="L325" s="79">
        <v>10508390.59</v>
      </c>
    </row>
    <row r="326" spans="1:12" ht="61.2" hidden="1" x14ac:dyDescent="0.3">
      <c r="A326" s="75" t="s">
        <v>843</v>
      </c>
      <c r="B326" s="76" t="s">
        <v>1280</v>
      </c>
      <c r="C326" s="76" t="s">
        <v>1283</v>
      </c>
      <c r="D326" s="76" t="s">
        <v>1282</v>
      </c>
      <c r="E326" s="77" t="s">
        <v>26</v>
      </c>
      <c r="F326" s="203">
        <v>9544.81</v>
      </c>
      <c r="G326" s="203"/>
      <c r="H326" s="77" t="s">
        <v>27</v>
      </c>
      <c r="I326" s="204" t="s">
        <v>28</v>
      </c>
      <c r="J326" s="204"/>
      <c r="K326" s="78" t="s">
        <v>29</v>
      </c>
      <c r="L326" s="79">
        <v>10517935.4</v>
      </c>
    </row>
    <row r="327" spans="1:12" ht="61.2" hidden="1" x14ac:dyDescent="0.3">
      <c r="A327" s="75" t="s">
        <v>843</v>
      </c>
      <c r="B327" s="76" t="s">
        <v>1280</v>
      </c>
      <c r="C327" s="76" t="s">
        <v>1284</v>
      </c>
      <c r="D327" s="76" t="s">
        <v>1282</v>
      </c>
      <c r="E327" s="77" t="s">
        <v>26</v>
      </c>
      <c r="F327" s="206">
        <v>516.98</v>
      </c>
      <c r="G327" s="206"/>
      <c r="H327" s="77" t="s">
        <v>27</v>
      </c>
      <c r="I327" s="204" t="s">
        <v>28</v>
      </c>
      <c r="J327" s="204"/>
      <c r="K327" s="78" t="s">
        <v>29</v>
      </c>
      <c r="L327" s="79">
        <v>10518452.380000001</v>
      </c>
    </row>
    <row r="328" spans="1:12" ht="61.2" hidden="1" x14ac:dyDescent="0.3">
      <c r="A328" s="75" t="s">
        <v>843</v>
      </c>
      <c r="B328" s="76" t="s">
        <v>1280</v>
      </c>
      <c r="C328" s="76" t="s">
        <v>1285</v>
      </c>
      <c r="D328" s="76" t="s">
        <v>1282</v>
      </c>
      <c r="E328" s="77" t="s">
        <v>26</v>
      </c>
      <c r="F328" s="206">
        <v>427.23</v>
      </c>
      <c r="G328" s="206"/>
      <c r="H328" s="77" t="s">
        <v>27</v>
      </c>
      <c r="I328" s="204" t="s">
        <v>28</v>
      </c>
      <c r="J328" s="204"/>
      <c r="K328" s="78" t="s">
        <v>29</v>
      </c>
      <c r="L328" s="79">
        <v>10518879.609999999</v>
      </c>
    </row>
    <row r="329" spans="1:12" ht="61.2" hidden="1" x14ac:dyDescent="0.3">
      <c r="A329" s="75" t="s">
        <v>843</v>
      </c>
      <c r="B329" s="76" t="s">
        <v>1280</v>
      </c>
      <c r="C329" s="76" t="s">
        <v>1286</v>
      </c>
      <c r="D329" s="76" t="s">
        <v>1282</v>
      </c>
      <c r="E329" s="77" t="s">
        <v>26</v>
      </c>
      <c r="F329" s="206">
        <v>183.05</v>
      </c>
      <c r="G329" s="206"/>
      <c r="H329" s="77" t="s">
        <v>27</v>
      </c>
      <c r="I329" s="204" t="s">
        <v>28</v>
      </c>
      <c r="J329" s="204"/>
      <c r="K329" s="78" t="s">
        <v>29</v>
      </c>
      <c r="L329" s="79">
        <v>10519062.66</v>
      </c>
    </row>
    <row r="330" spans="1:12" ht="61.2" hidden="1" x14ac:dyDescent="0.3">
      <c r="A330" s="75" t="s">
        <v>843</v>
      </c>
      <c r="B330" s="76" t="s">
        <v>1280</v>
      </c>
      <c r="C330" s="76" t="s">
        <v>1287</v>
      </c>
      <c r="D330" s="76" t="s">
        <v>1282</v>
      </c>
      <c r="E330" s="77" t="s">
        <v>26</v>
      </c>
      <c r="F330" s="203">
        <v>53521.26</v>
      </c>
      <c r="G330" s="203"/>
      <c r="H330" s="77" t="s">
        <v>27</v>
      </c>
      <c r="I330" s="204" t="s">
        <v>28</v>
      </c>
      <c r="J330" s="204"/>
      <c r="K330" s="78" t="s">
        <v>29</v>
      </c>
      <c r="L330" s="79">
        <v>10572583.92</v>
      </c>
    </row>
    <row r="331" spans="1:12" ht="61.2" hidden="1" x14ac:dyDescent="0.3">
      <c r="A331" s="75" t="s">
        <v>843</v>
      </c>
      <c r="B331" s="76" t="s">
        <v>1280</v>
      </c>
      <c r="C331" s="76" t="s">
        <v>1288</v>
      </c>
      <c r="D331" s="76" t="s">
        <v>1282</v>
      </c>
      <c r="E331" s="77" t="s">
        <v>26</v>
      </c>
      <c r="F331" s="203">
        <v>18815.580000000002</v>
      </c>
      <c r="G331" s="203"/>
      <c r="H331" s="77" t="s">
        <v>27</v>
      </c>
      <c r="I331" s="204" t="s">
        <v>28</v>
      </c>
      <c r="J331" s="204"/>
      <c r="K331" s="78" t="s">
        <v>29</v>
      </c>
      <c r="L331" s="79">
        <v>10591399.5</v>
      </c>
    </row>
    <row r="332" spans="1:12" ht="61.2" hidden="1" x14ac:dyDescent="0.3">
      <c r="A332" s="75" t="s">
        <v>843</v>
      </c>
      <c r="B332" s="76" t="s">
        <v>1280</v>
      </c>
      <c r="C332" s="76" t="s">
        <v>1289</v>
      </c>
      <c r="D332" s="76" t="s">
        <v>1282</v>
      </c>
      <c r="E332" s="77" t="s">
        <v>26</v>
      </c>
      <c r="F332" s="203">
        <v>8799.85</v>
      </c>
      <c r="G332" s="203"/>
      <c r="H332" s="77" t="s">
        <v>27</v>
      </c>
      <c r="I332" s="204" t="s">
        <v>28</v>
      </c>
      <c r="J332" s="204"/>
      <c r="K332" s="78" t="s">
        <v>29</v>
      </c>
      <c r="L332" s="79">
        <v>10600199.35</v>
      </c>
    </row>
    <row r="333" spans="1:12" ht="61.2" hidden="1" x14ac:dyDescent="0.3">
      <c r="A333" s="75" t="s">
        <v>843</v>
      </c>
      <c r="B333" s="76" t="s">
        <v>1280</v>
      </c>
      <c r="C333" s="76" t="s">
        <v>1290</v>
      </c>
      <c r="D333" s="76" t="s">
        <v>1282</v>
      </c>
      <c r="E333" s="77" t="s">
        <v>26</v>
      </c>
      <c r="F333" s="203">
        <v>1780.13</v>
      </c>
      <c r="G333" s="203"/>
      <c r="H333" s="77" t="s">
        <v>27</v>
      </c>
      <c r="I333" s="204" t="s">
        <v>28</v>
      </c>
      <c r="J333" s="204"/>
      <c r="K333" s="78" t="s">
        <v>29</v>
      </c>
      <c r="L333" s="79">
        <v>10601979.48</v>
      </c>
    </row>
    <row r="334" spans="1:12" ht="71.400000000000006" hidden="1" x14ac:dyDescent="0.3">
      <c r="A334" s="75" t="s">
        <v>843</v>
      </c>
      <c r="B334" s="76" t="s">
        <v>1280</v>
      </c>
      <c r="C334" s="76" t="s">
        <v>1291</v>
      </c>
      <c r="D334" s="76" t="s">
        <v>1282</v>
      </c>
      <c r="E334" s="77" t="s">
        <v>26</v>
      </c>
      <c r="F334" s="206">
        <v>166.08</v>
      </c>
      <c r="G334" s="206"/>
      <c r="H334" s="77" t="s">
        <v>27</v>
      </c>
      <c r="I334" s="204" t="s">
        <v>28</v>
      </c>
      <c r="J334" s="204"/>
      <c r="K334" s="78" t="s">
        <v>29</v>
      </c>
      <c r="L334" s="79">
        <v>10602145.560000001</v>
      </c>
    </row>
    <row r="335" spans="1:12" ht="61.2" hidden="1" x14ac:dyDescent="0.3">
      <c r="A335" s="75" t="s">
        <v>843</v>
      </c>
      <c r="B335" s="76" t="s">
        <v>1280</v>
      </c>
      <c r="C335" s="76" t="s">
        <v>1292</v>
      </c>
      <c r="D335" s="76" t="s">
        <v>1282</v>
      </c>
      <c r="E335" s="77" t="s">
        <v>26</v>
      </c>
      <c r="F335" s="203">
        <v>7043.9</v>
      </c>
      <c r="G335" s="203"/>
      <c r="H335" s="77" t="s">
        <v>27</v>
      </c>
      <c r="I335" s="204" t="s">
        <v>28</v>
      </c>
      <c r="J335" s="204"/>
      <c r="K335" s="78" t="s">
        <v>29</v>
      </c>
      <c r="L335" s="79">
        <v>10609189.460000001</v>
      </c>
    </row>
    <row r="336" spans="1:12" ht="61.2" hidden="1" x14ac:dyDescent="0.3">
      <c r="A336" s="75" t="s">
        <v>843</v>
      </c>
      <c r="B336" s="76" t="s">
        <v>1280</v>
      </c>
      <c r="C336" s="76" t="s">
        <v>1293</v>
      </c>
      <c r="D336" s="76" t="s">
        <v>1282</v>
      </c>
      <c r="E336" s="77" t="s">
        <v>26</v>
      </c>
      <c r="F336" s="203">
        <v>71507.570000000007</v>
      </c>
      <c r="G336" s="203"/>
      <c r="H336" s="77" t="s">
        <v>27</v>
      </c>
      <c r="I336" s="204" t="s">
        <v>28</v>
      </c>
      <c r="J336" s="204"/>
      <c r="K336" s="78" t="s">
        <v>29</v>
      </c>
      <c r="L336" s="79">
        <v>10680697.029999999</v>
      </c>
    </row>
    <row r="337" spans="1:12" ht="71.400000000000006" hidden="1" x14ac:dyDescent="0.3">
      <c r="A337" s="75" t="s">
        <v>843</v>
      </c>
      <c r="B337" s="76" t="s">
        <v>1280</v>
      </c>
      <c r="C337" s="76" t="s">
        <v>1294</v>
      </c>
      <c r="D337" s="76" t="s">
        <v>1282</v>
      </c>
      <c r="E337" s="77" t="s">
        <v>26</v>
      </c>
      <c r="F337" s="206">
        <v>79.5</v>
      </c>
      <c r="G337" s="206"/>
      <c r="H337" s="77" t="s">
        <v>27</v>
      </c>
      <c r="I337" s="204" t="s">
        <v>28</v>
      </c>
      <c r="J337" s="204"/>
      <c r="K337" s="78" t="s">
        <v>29</v>
      </c>
      <c r="L337" s="79">
        <v>10680776.529999999</v>
      </c>
    </row>
    <row r="338" spans="1:12" ht="71.400000000000006" hidden="1" x14ac:dyDescent="0.3">
      <c r="A338" s="75" t="s">
        <v>843</v>
      </c>
      <c r="B338" s="76" t="s">
        <v>1280</v>
      </c>
      <c r="C338" s="76" t="s">
        <v>1295</v>
      </c>
      <c r="D338" s="76" t="s">
        <v>1282</v>
      </c>
      <c r="E338" s="77" t="s">
        <v>26</v>
      </c>
      <c r="F338" s="203">
        <v>1637.52</v>
      </c>
      <c r="G338" s="203"/>
      <c r="H338" s="77" t="s">
        <v>27</v>
      </c>
      <c r="I338" s="204" t="s">
        <v>28</v>
      </c>
      <c r="J338" s="204"/>
      <c r="K338" s="78" t="s">
        <v>29</v>
      </c>
      <c r="L338" s="79">
        <v>10682414.050000001</v>
      </c>
    </row>
    <row r="339" spans="1:12" ht="71.400000000000006" hidden="1" x14ac:dyDescent="0.3">
      <c r="A339" s="75" t="s">
        <v>843</v>
      </c>
      <c r="B339" s="76" t="s">
        <v>1280</v>
      </c>
      <c r="C339" s="76" t="s">
        <v>1296</v>
      </c>
      <c r="D339" s="76" t="s">
        <v>1282</v>
      </c>
      <c r="E339" s="77" t="s">
        <v>26</v>
      </c>
      <c r="F339" s="203">
        <v>12495.58</v>
      </c>
      <c r="G339" s="203"/>
      <c r="H339" s="77" t="s">
        <v>27</v>
      </c>
      <c r="I339" s="204" t="s">
        <v>28</v>
      </c>
      <c r="J339" s="204"/>
      <c r="K339" s="78" t="s">
        <v>29</v>
      </c>
      <c r="L339" s="79">
        <v>10694909.630000001</v>
      </c>
    </row>
    <row r="340" spans="1:12" ht="61.2" hidden="1" x14ac:dyDescent="0.3">
      <c r="A340" s="75" t="s">
        <v>843</v>
      </c>
      <c r="B340" s="76" t="s">
        <v>1280</v>
      </c>
      <c r="C340" s="76" t="s">
        <v>1297</v>
      </c>
      <c r="D340" s="76" t="s">
        <v>1282</v>
      </c>
      <c r="E340" s="77" t="s">
        <v>26</v>
      </c>
      <c r="F340" s="203">
        <v>1773.63</v>
      </c>
      <c r="G340" s="203"/>
      <c r="H340" s="77" t="s">
        <v>27</v>
      </c>
      <c r="I340" s="204" t="s">
        <v>28</v>
      </c>
      <c r="J340" s="204"/>
      <c r="K340" s="78" t="s">
        <v>29</v>
      </c>
      <c r="L340" s="79">
        <v>10696683.26</v>
      </c>
    </row>
    <row r="341" spans="1:12" ht="61.2" hidden="1" x14ac:dyDescent="0.3">
      <c r="A341" s="75" t="s">
        <v>843</v>
      </c>
      <c r="B341" s="76" t="s">
        <v>1280</v>
      </c>
      <c r="C341" s="76" t="s">
        <v>1298</v>
      </c>
      <c r="D341" s="76" t="s">
        <v>1282</v>
      </c>
      <c r="E341" s="77" t="s">
        <v>26</v>
      </c>
      <c r="F341" s="203">
        <v>23815.72</v>
      </c>
      <c r="G341" s="203"/>
      <c r="H341" s="77" t="s">
        <v>27</v>
      </c>
      <c r="I341" s="204" t="s">
        <v>28</v>
      </c>
      <c r="J341" s="204"/>
      <c r="K341" s="78" t="s">
        <v>29</v>
      </c>
      <c r="L341" s="79">
        <v>10720498.98</v>
      </c>
    </row>
    <row r="342" spans="1:12" ht="61.2" hidden="1" x14ac:dyDescent="0.3">
      <c r="A342" s="75" t="s">
        <v>843</v>
      </c>
      <c r="B342" s="76" t="s">
        <v>1280</v>
      </c>
      <c r="C342" s="76" t="s">
        <v>1299</v>
      </c>
      <c r="D342" s="76" t="s">
        <v>1282</v>
      </c>
      <c r="E342" s="77" t="s">
        <v>26</v>
      </c>
      <c r="F342" s="203">
        <v>9847.8799999999992</v>
      </c>
      <c r="G342" s="203"/>
      <c r="H342" s="77" t="s">
        <v>27</v>
      </c>
      <c r="I342" s="204" t="s">
        <v>28</v>
      </c>
      <c r="J342" s="204"/>
      <c r="K342" s="78" t="s">
        <v>29</v>
      </c>
      <c r="L342" s="79">
        <v>10730346.859999999</v>
      </c>
    </row>
    <row r="343" spans="1:12" ht="61.2" hidden="1" x14ac:dyDescent="0.3">
      <c r="A343" s="75" t="s">
        <v>843</v>
      </c>
      <c r="B343" s="76" t="s">
        <v>1280</v>
      </c>
      <c r="C343" s="76" t="s">
        <v>1300</v>
      </c>
      <c r="D343" s="76" t="s">
        <v>1282</v>
      </c>
      <c r="E343" s="77" t="s">
        <v>26</v>
      </c>
      <c r="F343" s="203">
        <v>5143.8999999999996</v>
      </c>
      <c r="G343" s="203"/>
      <c r="H343" s="77" t="s">
        <v>27</v>
      </c>
      <c r="I343" s="204" t="s">
        <v>28</v>
      </c>
      <c r="J343" s="204"/>
      <c r="K343" s="78" t="s">
        <v>29</v>
      </c>
      <c r="L343" s="79">
        <v>10735490.76</v>
      </c>
    </row>
    <row r="344" spans="1:12" ht="61.2" hidden="1" x14ac:dyDescent="0.3">
      <c r="A344" s="75" t="s">
        <v>843</v>
      </c>
      <c r="B344" s="76" t="s">
        <v>1280</v>
      </c>
      <c r="C344" s="76" t="s">
        <v>1301</v>
      </c>
      <c r="D344" s="76" t="s">
        <v>1282</v>
      </c>
      <c r="E344" s="77" t="s">
        <v>26</v>
      </c>
      <c r="F344" s="203">
        <v>72417.960000000006</v>
      </c>
      <c r="G344" s="203"/>
      <c r="H344" s="77" t="s">
        <v>27</v>
      </c>
      <c r="I344" s="204" t="s">
        <v>28</v>
      </c>
      <c r="J344" s="204"/>
      <c r="K344" s="78" t="s">
        <v>29</v>
      </c>
      <c r="L344" s="79">
        <v>10807908.720000001</v>
      </c>
    </row>
    <row r="345" spans="1:12" ht="61.2" hidden="1" x14ac:dyDescent="0.3">
      <c r="A345" s="75" t="s">
        <v>843</v>
      </c>
      <c r="B345" s="76" t="s">
        <v>1280</v>
      </c>
      <c r="C345" s="76" t="s">
        <v>1302</v>
      </c>
      <c r="D345" s="76" t="s">
        <v>1282</v>
      </c>
      <c r="E345" s="77" t="s">
        <v>26</v>
      </c>
      <c r="F345" s="203">
        <v>43221.78</v>
      </c>
      <c r="G345" s="203"/>
      <c r="H345" s="77" t="s">
        <v>27</v>
      </c>
      <c r="I345" s="204" t="s">
        <v>28</v>
      </c>
      <c r="J345" s="204"/>
      <c r="K345" s="78" t="s">
        <v>29</v>
      </c>
      <c r="L345" s="79">
        <v>10851130.5</v>
      </c>
    </row>
    <row r="346" spans="1:12" ht="61.2" hidden="1" x14ac:dyDescent="0.3">
      <c r="A346" s="75" t="s">
        <v>843</v>
      </c>
      <c r="B346" s="76" t="s">
        <v>1280</v>
      </c>
      <c r="C346" s="76" t="s">
        <v>1303</v>
      </c>
      <c r="D346" s="76" t="s">
        <v>1282</v>
      </c>
      <c r="E346" s="77" t="s">
        <v>26</v>
      </c>
      <c r="F346" s="203">
        <v>19406.82</v>
      </c>
      <c r="G346" s="203"/>
      <c r="H346" s="77" t="s">
        <v>27</v>
      </c>
      <c r="I346" s="204" t="s">
        <v>28</v>
      </c>
      <c r="J346" s="204"/>
      <c r="K346" s="78" t="s">
        <v>29</v>
      </c>
      <c r="L346" s="79">
        <v>10870537.32</v>
      </c>
    </row>
    <row r="347" spans="1:12" ht="61.2" x14ac:dyDescent="0.3">
      <c r="A347" s="75" t="s">
        <v>843</v>
      </c>
      <c r="B347" s="76" t="s">
        <v>1304</v>
      </c>
      <c r="C347" s="76" t="s">
        <v>522</v>
      </c>
      <c r="D347" s="76" t="s">
        <v>1060</v>
      </c>
      <c r="E347" s="77" t="s">
        <v>523</v>
      </c>
      <c r="F347" s="199" t="s">
        <v>28</v>
      </c>
      <c r="G347" s="199"/>
      <c r="H347" s="77" t="s">
        <v>26</v>
      </c>
      <c r="I347" s="200">
        <v>10894</v>
      </c>
      <c r="J347" s="200"/>
      <c r="K347" s="78" t="s">
        <v>29</v>
      </c>
      <c r="L347" s="79">
        <v>10859643.32</v>
      </c>
    </row>
    <row r="348" spans="1:12" ht="71.400000000000006" x14ac:dyDescent="0.3">
      <c r="A348" s="75" t="s">
        <v>843</v>
      </c>
      <c r="B348" s="76" t="s">
        <v>1304</v>
      </c>
      <c r="C348" s="76" t="s">
        <v>522</v>
      </c>
      <c r="D348" s="76" t="s">
        <v>1109</v>
      </c>
      <c r="E348" s="77" t="s">
        <v>523</v>
      </c>
      <c r="F348" s="199" t="s">
        <v>28</v>
      </c>
      <c r="G348" s="199"/>
      <c r="H348" s="77" t="s">
        <v>26</v>
      </c>
      <c r="I348" s="205">
        <v>195.53</v>
      </c>
      <c r="J348" s="205"/>
      <c r="K348" s="78" t="s">
        <v>29</v>
      </c>
      <c r="L348" s="79">
        <v>10859447.789999999</v>
      </c>
    </row>
    <row r="349" spans="1:12" ht="61.2" x14ac:dyDescent="0.3">
      <c r="A349" s="75" t="s">
        <v>843</v>
      </c>
      <c r="B349" s="76" t="s">
        <v>1304</v>
      </c>
      <c r="C349" s="76" t="s">
        <v>522</v>
      </c>
      <c r="D349" s="76" t="s">
        <v>1110</v>
      </c>
      <c r="E349" s="77" t="s">
        <v>523</v>
      </c>
      <c r="F349" s="199" t="s">
        <v>28</v>
      </c>
      <c r="G349" s="199"/>
      <c r="H349" s="77" t="s">
        <v>26</v>
      </c>
      <c r="I349" s="200">
        <v>3140.75</v>
      </c>
      <c r="J349" s="200"/>
      <c r="K349" s="78" t="s">
        <v>29</v>
      </c>
      <c r="L349" s="79">
        <v>10856307.039999999</v>
      </c>
    </row>
    <row r="350" spans="1:12" ht="71.400000000000006" x14ac:dyDescent="0.3">
      <c r="A350" s="75" t="s">
        <v>843</v>
      </c>
      <c r="B350" s="76" t="s">
        <v>1304</v>
      </c>
      <c r="C350" s="76" t="s">
        <v>522</v>
      </c>
      <c r="D350" s="76" t="s">
        <v>1104</v>
      </c>
      <c r="E350" s="77" t="s">
        <v>523</v>
      </c>
      <c r="F350" s="199" t="s">
        <v>28</v>
      </c>
      <c r="G350" s="199"/>
      <c r="H350" s="77" t="s">
        <v>26</v>
      </c>
      <c r="I350" s="200">
        <v>18401.599999999999</v>
      </c>
      <c r="J350" s="200"/>
      <c r="K350" s="78" t="s">
        <v>29</v>
      </c>
      <c r="L350" s="79">
        <v>10837905.439999999</v>
      </c>
    </row>
    <row r="351" spans="1:12" ht="71.400000000000006" x14ac:dyDescent="0.3">
      <c r="A351" s="75" t="s">
        <v>843</v>
      </c>
      <c r="B351" s="76" t="s">
        <v>1304</v>
      </c>
      <c r="C351" s="76" t="s">
        <v>522</v>
      </c>
      <c r="D351" s="76" t="s">
        <v>1082</v>
      </c>
      <c r="E351" s="77" t="s">
        <v>523</v>
      </c>
      <c r="F351" s="199" t="s">
        <v>28</v>
      </c>
      <c r="G351" s="199"/>
      <c r="H351" s="77" t="s">
        <v>26</v>
      </c>
      <c r="I351" s="200">
        <v>119452.12</v>
      </c>
      <c r="J351" s="200"/>
      <c r="K351" s="78" t="s">
        <v>29</v>
      </c>
      <c r="L351" s="79">
        <v>10718453.32</v>
      </c>
    </row>
    <row r="352" spans="1:12" ht="61.2" x14ac:dyDescent="0.3">
      <c r="A352" s="75" t="s">
        <v>843</v>
      </c>
      <c r="B352" s="76" t="s">
        <v>1304</v>
      </c>
      <c r="C352" s="76" t="s">
        <v>522</v>
      </c>
      <c r="D352" s="76" t="s">
        <v>1103</v>
      </c>
      <c r="E352" s="77" t="s">
        <v>523</v>
      </c>
      <c r="F352" s="199" t="s">
        <v>28</v>
      </c>
      <c r="G352" s="199"/>
      <c r="H352" s="77" t="s">
        <v>26</v>
      </c>
      <c r="I352" s="200">
        <v>10222.83</v>
      </c>
      <c r="J352" s="200"/>
      <c r="K352" s="78" t="s">
        <v>29</v>
      </c>
      <c r="L352" s="79">
        <v>10708230.49</v>
      </c>
    </row>
    <row r="353" spans="1:12" ht="61.2" x14ac:dyDescent="0.3">
      <c r="A353" s="75" t="s">
        <v>843</v>
      </c>
      <c r="B353" s="76" t="s">
        <v>1304</v>
      </c>
      <c r="C353" s="76" t="s">
        <v>522</v>
      </c>
      <c r="D353" s="76" t="s">
        <v>1049</v>
      </c>
      <c r="E353" s="77" t="s">
        <v>523</v>
      </c>
      <c r="F353" s="199" t="s">
        <v>28</v>
      </c>
      <c r="G353" s="199"/>
      <c r="H353" s="77" t="s">
        <v>26</v>
      </c>
      <c r="I353" s="200">
        <v>378451.88</v>
      </c>
      <c r="J353" s="200"/>
      <c r="K353" s="78" t="s">
        <v>29</v>
      </c>
      <c r="L353" s="79">
        <v>10329778.609999999</v>
      </c>
    </row>
    <row r="354" spans="1:12" ht="71.400000000000006" x14ac:dyDescent="0.3">
      <c r="A354" s="75" t="s">
        <v>843</v>
      </c>
      <c r="B354" s="76" t="s">
        <v>1304</v>
      </c>
      <c r="C354" s="76" t="s">
        <v>522</v>
      </c>
      <c r="D354" s="76" t="s">
        <v>1062</v>
      </c>
      <c r="E354" s="77" t="s">
        <v>523</v>
      </c>
      <c r="F354" s="199" t="s">
        <v>28</v>
      </c>
      <c r="G354" s="199"/>
      <c r="H354" s="77" t="s">
        <v>26</v>
      </c>
      <c r="I354" s="200">
        <v>49662.81</v>
      </c>
      <c r="J354" s="200"/>
      <c r="K354" s="78" t="s">
        <v>29</v>
      </c>
      <c r="L354" s="79">
        <v>10280115.800000001</v>
      </c>
    </row>
    <row r="355" spans="1:12" ht="71.400000000000006" x14ac:dyDescent="0.3">
      <c r="A355" s="75" t="s">
        <v>843</v>
      </c>
      <c r="B355" s="76" t="s">
        <v>1304</v>
      </c>
      <c r="C355" s="76" t="s">
        <v>522</v>
      </c>
      <c r="D355" s="76" t="s">
        <v>1101</v>
      </c>
      <c r="E355" s="77" t="s">
        <v>523</v>
      </c>
      <c r="F355" s="199" t="s">
        <v>28</v>
      </c>
      <c r="G355" s="199"/>
      <c r="H355" s="77" t="s">
        <v>26</v>
      </c>
      <c r="I355" s="200">
        <v>14966.87</v>
      </c>
      <c r="J355" s="200"/>
      <c r="K355" s="78" t="s">
        <v>29</v>
      </c>
      <c r="L355" s="79">
        <v>10265148.93</v>
      </c>
    </row>
    <row r="356" spans="1:12" ht="71.400000000000006" x14ac:dyDescent="0.3">
      <c r="A356" s="75" t="s">
        <v>843</v>
      </c>
      <c r="B356" s="76" t="s">
        <v>1304</v>
      </c>
      <c r="C356" s="76" t="s">
        <v>522</v>
      </c>
      <c r="D356" s="76" t="s">
        <v>1273</v>
      </c>
      <c r="E356" s="77" t="s">
        <v>523</v>
      </c>
      <c r="F356" s="199" t="s">
        <v>28</v>
      </c>
      <c r="G356" s="199"/>
      <c r="H356" s="77" t="s">
        <v>26</v>
      </c>
      <c r="I356" s="200">
        <v>10840.27</v>
      </c>
      <c r="J356" s="200"/>
      <c r="K356" s="78" t="s">
        <v>29</v>
      </c>
      <c r="L356" s="79">
        <v>10254308.66</v>
      </c>
    </row>
    <row r="357" spans="1:12" ht="71.400000000000006" hidden="1" x14ac:dyDescent="0.3">
      <c r="A357" s="75" t="s">
        <v>885</v>
      </c>
      <c r="B357" s="76" t="s">
        <v>1305</v>
      </c>
      <c r="C357" s="76" t="s">
        <v>1306</v>
      </c>
      <c r="D357" s="76" t="s">
        <v>1307</v>
      </c>
      <c r="E357" s="77" t="s">
        <v>26</v>
      </c>
      <c r="F357" s="203">
        <v>1600.5</v>
      </c>
      <c r="G357" s="203"/>
      <c r="H357" s="77" t="s">
        <v>27</v>
      </c>
      <c r="I357" s="204" t="s">
        <v>28</v>
      </c>
      <c r="J357" s="204"/>
      <c r="K357" s="78" t="s">
        <v>29</v>
      </c>
      <c r="L357" s="79">
        <v>10255909.16</v>
      </c>
    </row>
    <row r="358" spans="1:12" ht="61.2" hidden="1" x14ac:dyDescent="0.3">
      <c r="A358" s="75" t="s">
        <v>1308</v>
      </c>
      <c r="B358" s="76" t="s">
        <v>1309</v>
      </c>
      <c r="C358" s="76" t="s">
        <v>1310</v>
      </c>
      <c r="D358" s="76" t="s">
        <v>1311</v>
      </c>
      <c r="E358" s="77" t="s">
        <v>26</v>
      </c>
      <c r="F358" s="203">
        <v>16456.5</v>
      </c>
      <c r="G358" s="203"/>
      <c r="H358" s="77" t="s">
        <v>27</v>
      </c>
      <c r="I358" s="204" t="s">
        <v>28</v>
      </c>
      <c r="J358" s="204"/>
      <c r="K358" s="78" t="s">
        <v>29</v>
      </c>
      <c r="L358" s="79">
        <v>10272365.66</v>
      </c>
    </row>
    <row r="359" spans="1:12" ht="71.400000000000006" hidden="1" x14ac:dyDescent="0.3">
      <c r="A359" s="75" t="s">
        <v>1312</v>
      </c>
      <c r="B359" s="76" t="s">
        <v>1313</v>
      </c>
      <c r="C359" s="76" t="s">
        <v>1314</v>
      </c>
      <c r="D359" s="76" t="s">
        <v>1315</v>
      </c>
      <c r="E359" s="77" t="s">
        <v>26</v>
      </c>
      <c r="F359" s="203">
        <v>12716.91</v>
      </c>
      <c r="G359" s="203"/>
      <c r="H359" s="77" t="s">
        <v>27</v>
      </c>
      <c r="I359" s="204" t="s">
        <v>28</v>
      </c>
      <c r="J359" s="204"/>
      <c r="K359" s="78" t="s">
        <v>29</v>
      </c>
      <c r="L359" s="79">
        <v>10285082.57</v>
      </c>
    </row>
    <row r="360" spans="1:12" ht="61.2" hidden="1" x14ac:dyDescent="0.3">
      <c r="A360" s="75" t="s">
        <v>1312</v>
      </c>
      <c r="B360" s="76" t="s">
        <v>1313</v>
      </c>
      <c r="C360" s="76" t="s">
        <v>1316</v>
      </c>
      <c r="D360" s="76" t="s">
        <v>1315</v>
      </c>
      <c r="E360" s="77" t="s">
        <v>26</v>
      </c>
      <c r="F360" s="203">
        <v>60006.879999999997</v>
      </c>
      <c r="G360" s="203"/>
      <c r="H360" s="77" t="s">
        <v>27</v>
      </c>
      <c r="I360" s="204" t="s">
        <v>28</v>
      </c>
      <c r="J360" s="204"/>
      <c r="K360" s="78" t="s">
        <v>29</v>
      </c>
      <c r="L360" s="79">
        <v>10345089.449999999</v>
      </c>
    </row>
    <row r="361" spans="1:12" ht="61.2" hidden="1" x14ac:dyDescent="0.3">
      <c r="A361" s="75" t="s">
        <v>1312</v>
      </c>
      <c r="B361" s="76" t="s">
        <v>1313</v>
      </c>
      <c r="C361" s="76" t="s">
        <v>1317</v>
      </c>
      <c r="D361" s="76" t="s">
        <v>1315</v>
      </c>
      <c r="E361" s="77" t="s">
        <v>26</v>
      </c>
      <c r="F361" s="203">
        <v>763182.61</v>
      </c>
      <c r="G361" s="203"/>
      <c r="H361" s="77" t="s">
        <v>27</v>
      </c>
      <c r="I361" s="204" t="s">
        <v>28</v>
      </c>
      <c r="J361" s="204"/>
      <c r="K361" s="78" t="s">
        <v>29</v>
      </c>
      <c r="L361" s="79">
        <v>11108272.060000001</v>
      </c>
    </row>
    <row r="362" spans="1:12" ht="71.400000000000006" hidden="1" x14ac:dyDescent="0.3">
      <c r="A362" s="75" t="s">
        <v>666</v>
      </c>
      <c r="B362" s="76" t="s">
        <v>672</v>
      </c>
      <c r="C362" s="76" t="s">
        <v>673</v>
      </c>
      <c r="D362" s="76" t="s">
        <v>96</v>
      </c>
      <c r="E362" s="77" t="s">
        <v>26</v>
      </c>
      <c r="F362" s="203">
        <v>4433.33</v>
      </c>
      <c r="G362" s="203"/>
      <c r="H362" s="77" t="s">
        <v>26</v>
      </c>
      <c r="I362" s="204" t="s">
        <v>28</v>
      </c>
      <c r="J362" s="204"/>
      <c r="K362" s="78" t="s">
        <v>29</v>
      </c>
      <c r="L362" s="79">
        <v>11112705.390000001</v>
      </c>
    </row>
    <row r="363" spans="1:12" ht="61.2" hidden="1" x14ac:dyDescent="0.3">
      <c r="A363" s="75" t="s">
        <v>666</v>
      </c>
      <c r="B363" s="76" t="s">
        <v>856</v>
      </c>
      <c r="C363" s="76" t="s">
        <v>857</v>
      </c>
      <c r="D363" s="76" t="s">
        <v>504</v>
      </c>
      <c r="E363" s="77" t="s">
        <v>26</v>
      </c>
      <c r="F363" s="199" t="s">
        <v>28</v>
      </c>
      <c r="G363" s="199"/>
      <c r="H363" s="77" t="s">
        <v>26</v>
      </c>
      <c r="I363" s="200">
        <v>13156.54</v>
      </c>
      <c r="J363" s="200"/>
      <c r="K363" s="78" t="s">
        <v>29</v>
      </c>
      <c r="L363" s="79">
        <v>11099548.85</v>
      </c>
    </row>
    <row r="364" spans="1:12" ht="71.400000000000006" hidden="1" x14ac:dyDescent="0.3">
      <c r="A364" s="75" t="s">
        <v>666</v>
      </c>
      <c r="B364" s="76" t="s">
        <v>1318</v>
      </c>
      <c r="C364" s="76" t="s">
        <v>1319</v>
      </c>
      <c r="D364" s="76" t="s">
        <v>1320</v>
      </c>
      <c r="E364" s="77" t="s">
        <v>26</v>
      </c>
      <c r="F364" s="203">
        <v>24232.54</v>
      </c>
      <c r="G364" s="203"/>
      <c r="H364" s="77" t="s">
        <v>27</v>
      </c>
      <c r="I364" s="204" t="s">
        <v>28</v>
      </c>
      <c r="J364" s="204"/>
      <c r="K364" s="78" t="s">
        <v>29</v>
      </c>
      <c r="L364" s="79">
        <v>11123781.390000001</v>
      </c>
    </row>
    <row r="365" spans="1:12" ht="71.400000000000006" hidden="1" x14ac:dyDescent="0.3">
      <c r="A365" s="75" t="s">
        <v>666</v>
      </c>
      <c r="B365" s="76" t="s">
        <v>1318</v>
      </c>
      <c r="C365" s="76" t="s">
        <v>1321</v>
      </c>
      <c r="D365" s="76" t="s">
        <v>1320</v>
      </c>
      <c r="E365" s="77" t="s">
        <v>26</v>
      </c>
      <c r="F365" s="203">
        <v>52778.41</v>
      </c>
      <c r="G365" s="203"/>
      <c r="H365" s="77" t="s">
        <v>27</v>
      </c>
      <c r="I365" s="204" t="s">
        <v>28</v>
      </c>
      <c r="J365" s="204"/>
      <c r="K365" s="78" t="s">
        <v>29</v>
      </c>
      <c r="L365" s="79">
        <v>11176559.800000001</v>
      </c>
    </row>
    <row r="366" spans="1:12" ht="71.400000000000006" hidden="1" x14ac:dyDescent="0.3">
      <c r="A366" s="75" t="s">
        <v>666</v>
      </c>
      <c r="B366" s="76" t="s">
        <v>1318</v>
      </c>
      <c r="C366" s="76" t="s">
        <v>1322</v>
      </c>
      <c r="D366" s="76" t="s">
        <v>1320</v>
      </c>
      <c r="E366" s="77" t="s">
        <v>26</v>
      </c>
      <c r="F366" s="203">
        <v>26883.75</v>
      </c>
      <c r="G366" s="203"/>
      <c r="H366" s="77" t="s">
        <v>27</v>
      </c>
      <c r="I366" s="204" t="s">
        <v>28</v>
      </c>
      <c r="J366" s="204"/>
      <c r="K366" s="78" t="s">
        <v>29</v>
      </c>
      <c r="L366" s="79">
        <v>11203443.550000001</v>
      </c>
    </row>
    <row r="367" spans="1:12" ht="71.400000000000006" hidden="1" x14ac:dyDescent="0.3">
      <c r="A367" s="75" t="s">
        <v>666</v>
      </c>
      <c r="B367" s="76" t="s">
        <v>1318</v>
      </c>
      <c r="C367" s="76" t="s">
        <v>1323</v>
      </c>
      <c r="D367" s="76" t="s">
        <v>1320</v>
      </c>
      <c r="E367" s="77" t="s">
        <v>26</v>
      </c>
      <c r="F367" s="203">
        <v>216912.36</v>
      </c>
      <c r="G367" s="203"/>
      <c r="H367" s="77" t="s">
        <v>27</v>
      </c>
      <c r="I367" s="204" t="s">
        <v>28</v>
      </c>
      <c r="J367" s="204"/>
      <c r="K367" s="78" t="s">
        <v>29</v>
      </c>
      <c r="L367" s="79">
        <v>11420355.91</v>
      </c>
    </row>
    <row r="368" spans="1:12" ht="71.400000000000006" hidden="1" x14ac:dyDescent="0.3">
      <c r="A368" s="75" t="s">
        <v>666</v>
      </c>
      <c r="B368" s="76" t="s">
        <v>1318</v>
      </c>
      <c r="C368" s="76" t="s">
        <v>1324</v>
      </c>
      <c r="D368" s="76" t="s">
        <v>1320</v>
      </c>
      <c r="E368" s="77" t="s">
        <v>26</v>
      </c>
      <c r="F368" s="203">
        <v>71100</v>
      </c>
      <c r="G368" s="203"/>
      <c r="H368" s="77" t="s">
        <v>27</v>
      </c>
      <c r="I368" s="204" t="s">
        <v>28</v>
      </c>
      <c r="J368" s="204"/>
      <c r="K368" s="78" t="s">
        <v>29</v>
      </c>
      <c r="L368" s="79">
        <v>11491455.91</v>
      </c>
    </row>
    <row r="369" spans="1:12" ht="61.2" hidden="1" x14ac:dyDescent="0.3">
      <c r="A369" s="75" t="s">
        <v>666</v>
      </c>
      <c r="B369" s="76" t="s">
        <v>1318</v>
      </c>
      <c r="C369" s="76" t="s">
        <v>1325</v>
      </c>
      <c r="D369" s="76" t="s">
        <v>1320</v>
      </c>
      <c r="E369" s="77" t="s">
        <v>26</v>
      </c>
      <c r="F369" s="203">
        <v>56557.06</v>
      </c>
      <c r="G369" s="203"/>
      <c r="H369" s="77" t="s">
        <v>27</v>
      </c>
      <c r="I369" s="204" t="s">
        <v>28</v>
      </c>
      <c r="J369" s="204"/>
      <c r="K369" s="78" t="s">
        <v>29</v>
      </c>
      <c r="L369" s="79">
        <v>11548012.970000001</v>
      </c>
    </row>
    <row r="370" spans="1:12" ht="61.2" hidden="1" x14ac:dyDescent="0.3">
      <c r="A370" s="75" t="s">
        <v>666</v>
      </c>
      <c r="B370" s="76" t="s">
        <v>1318</v>
      </c>
      <c r="C370" s="76" t="s">
        <v>1326</v>
      </c>
      <c r="D370" s="76" t="s">
        <v>1320</v>
      </c>
      <c r="E370" s="77" t="s">
        <v>26</v>
      </c>
      <c r="F370" s="203">
        <v>283562.7</v>
      </c>
      <c r="G370" s="203"/>
      <c r="H370" s="77" t="s">
        <v>27</v>
      </c>
      <c r="I370" s="204" t="s">
        <v>28</v>
      </c>
      <c r="J370" s="204"/>
      <c r="K370" s="78" t="s">
        <v>29</v>
      </c>
      <c r="L370" s="79">
        <v>11831575.67</v>
      </c>
    </row>
    <row r="371" spans="1:12" ht="71.400000000000006" hidden="1" x14ac:dyDescent="0.3">
      <c r="A371" s="75" t="s">
        <v>666</v>
      </c>
      <c r="B371" s="76" t="s">
        <v>1327</v>
      </c>
      <c r="C371" s="76" t="s">
        <v>1328</v>
      </c>
      <c r="D371" s="76" t="s">
        <v>1320</v>
      </c>
      <c r="E371" s="77" t="s">
        <v>26</v>
      </c>
      <c r="F371" s="203">
        <v>594663.53</v>
      </c>
      <c r="G371" s="203"/>
      <c r="H371" s="77" t="s">
        <v>27</v>
      </c>
      <c r="I371" s="204" t="s">
        <v>28</v>
      </c>
      <c r="J371" s="204"/>
      <c r="K371" s="78" t="s">
        <v>29</v>
      </c>
      <c r="L371" s="79">
        <v>12426239.199999999</v>
      </c>
    </row>
    <row r="372" spans="1:12" ht="71.400000000000006" hidden="1" x14ac:dyDescent="0.3">
      <c r="A372" s="75" t="s">
        <v>666</v>
      </c>
      <c r="B372" s="76" t="s">
        <v>1329</v>
      </c>
      <c r="C372" s="76" t="s">
        <v>1330</v>
      </c>
      <c r="D372" s="76" t="s">
        <v>1320</v>
      </c>
      <c r="E372" s="77" t="s">
        <v>26</v>
      </c>
      <c r="F372" s="203">
        <v>7736.56</v>
      </c>
      <c r="G372" s="203"/>
      <c r="H372" s="77" t="s">
        <v>27</v>
      </c>
      <c r="I372" s="204" t="s">
        <v>28</v>
      </c>
      <c r="J372" s="204"/>
      <c r="K372" s="78" t="s">
        <v>29</v>
      </c>
      <c r="L372" s="79">
        <v>12433975.76</v>
      </c>
    </row>
    <row r="373" spans="1:12" ht="71.400000000000006" hidden="1" x14ac:dyDescent="0.3">
      <c r="A373" s="75" t="s">
        <v>666</v>
      </c>
      <c r="B373" s="76" t="s">
        <v>1329</v>
      </c>
      <c r="C373" s="76" t="s">
        <v>1331</v>
      </c>
      <c r="D373" s="76" t="s">
        <v>1320</v>
      </c>
      <c r="E373" s="77" t="s">
        <v>26</v>
      </c>
      <c r="F373" s="203">
        <v>30810.52</v>
      </c>
      <c r="G373" s="203"/>
      <c r="H373" s="77" t="s">
        <v>27</v>
      </c>
      <c r="I373" s="204" t="s">
        <v>28</v>
      </c>
      <c r="J373" s="204"/>
      <c r="K373" s="78" t="s">
        <v>29</v>
      </c>
      <c r="L373" s="79">
        <v>12464786.279999999</v>
      </c>
    </row>
    <row r="374" spans="1:12" ht="71.400000000000006" hidden="1" x14ac:dyDescent="0.3">
      <c r="A374" s="75" t="s">
        <v>666</v>
      </c>
      <c r="B374" s="76" t="s">
        <v>1329</v>
      </c>
      <c r="C374" s="76" t="s">
        <v>1332</v>
      </c>
      <c r="D374" s="76" t="s">
        <v>1320</v>
      </c>
      <c r="E374" s="77" t="s">
        <v>26</v>
      </c>
      <c r="F374" s="203">
        <v>81768.009999999995</v>
      </c>
      <c r="G374" s="203"/>
      <c r="H374" s="77" t="s">
        <v>27</v>
      </c>
      <c r="I374" s="204" t="s">
        <v>28</v>
      </c>
      <c r="J374" s="204"/>
      <c r="K374" s="78" t="s">
        <v>29</v>
      </c>
      <c r="L374" s="79">
        <v>12546554.289999999</v>
      </c>
    </row>
    <row r="375" spans="1:12" ht="71.400000000000006" hidden="1" x14ac:dyDescent="0.3">
      <c r="A375" s="75" t="s">
        <v>666</v>
      </c>
      <c r="B375" s="76" t="s">
        <v>1329</v>
      </c>
      <c r="C375" s="76" t="s">
        <v>1333</v>
      </c>
      <c r="D375" s="76" t="s">
        <v>1320</v>
      </c>
      <c r="E375" s="77" t="s">
        <v>26</v>
      </c>
      <c r="F375" s="203">
        <v>97667.34</v>
      </c>
      <c r="G375" s="203"/>
      <c r="H375" s="77" t="s">
        <v>27</v>
      </c>
      <c r="I375" s="204" t="s">
        <v>28</v>
      </c>
      <c r="J375" s="204"/>
      <c r="K375" s="78" t="s">
        <v>29</v>
      </c>
      <c r="L375" s="79">
        <v>12644221.630000001</v>
      </c>
    </row>
    <row r="376" spans="1:12" ht="71.400000000000006" hidden="1" x14ac:dyDescent="0.3">
      <c r="A376" s="75" t="s">
        <v>666</v>
      </c>
      <c r="B376" s="76" t="s">
        <v>1329</v>
      </c>
      <c r="C376" s="76" t="s">
        <v>1334</v>
      </c>
      <c r="D376" s="76" t="s">
        <v>1320</v>
      </c>
      <c r="E376" s="77" t="s">
        <v>26</v>
      </c>
      <c r="F376" s="203">
        <v>256376.78</v>
      </c>
      <c r="G376" s="203"/>
      <c r="H376" s="77" t="s">
        <v>27</v>
      </c>
      <c r="I376" s="204" t="s">
        <v>28</v>
      </c>
      <c r="J376" s="204"/>
      <c r="K376" s="78" t="s">
        <v>29</v>
      </c>
      <c r="L376" s="79">
        <v>12900598.41</v>
      </c>
    </row>
    <row r="377" spans="1:12" ht="71.400000000000006" hidden="1" x14ac:dyDescent="0.3">
      <c r="A377" s="75" t="s">
        <v>666</v>
      </c>
      <c r="B377" s="76" t="s">
        <v>1329</v>
      </c>
      <c r="C377" s="76" t="s">
        <v>1335</v>
      </c>
      <c r="D377" s="76" t="s">
        <v>1320</v>
      </c>
      <c r="E377" s="77" t="s">
        <v>26</v>
      </c>
      <c r="F377" s="203">
        <v>129561.25</v>
      </c>
      <c r="G377" s="203"/>
      <c r="H377" s="77" t="s">
        <v>27</v>
      </c>
      <c r="I377" s="204" t="s">
        <v>28</v>
      </c>
      <c r="J377" s="204"/>
      <c r="K377" s="78" t="s">
        <v>29</v>
      </c>
      <c r="L377" s="79">
        <v>13030159.66</v>
      </c>
    </row>
    <row r="378" spans="1:12" ht="71.400000000000006" hidden="1" x14ac:dyDescent="0.3">
      <c r="A378" s="75" t="s">
        <v>666</v>
      </c>
      <c r="B378" s="76" t="s">
        <v>1329</v>
      </c>
      <c r="C378" s="76" t="s">
        <v>1336</v>
      </c>
      <c r="D378" s="76" t="s">
        <v>1320</v>
      </c>
      <c r="E378" s="77" t="s">
        <v>26</v>
      </c>
      <c r="F378" s="203">
        <v>8005.83</v>
      </c>
      <c r="G378" s="203"/>
      <c r="H378" s="77" t="s">
        <v>27</v>
      </c>
      <c r="I378" s="204" t="s">
        <v>28</v>
      </c>
      <c r="J378" s="204"/>
      <c r="K378" s="78" t="s">
        <v>29</v>
      </c>
      <c r="L378" s="79">
        <v>13038165.49</v>
      </c>
    </row>
    <row r="379" spans="1:12" ht="71.400000000000006" hidden="1" x14ac:dyDescent="0.3">
      <c r="A379" s="75" t="s">
        <v>666</v>
      </c>
      <c r="B379" s="76" t="s">
        <v>1329</v>
      </c>
      <c r="C379" s="76" t="s">
        <v>1337</v>
      </c>
      <c r="D379" s="76" t="s">
        <v>1320</v>
      </c>
      <c r="E379" s="77" t="s">
        <v>26</v>
      </c>
      <c r="F379" s="203">
        <v>8750</v>
      </c>
      <c r="G379" s="203"/>
      <c r="H379" s="77" t="s">
        <v>27</v>
      </c>
      <c r="I379" s="204" t="s">
        <v>28</v>
      </c>
      <c r="J379" s="204"/>
      <c r="K379" s="78" t="s">
        <v>29</v>
      </c>
      <c r="L379" s="79">
        <v>13046915.49</v>
      </c>
    </row>
    <row r="380" spans="1:12" ht="61.2" hidden="1" x14ac:dyDescent="0.3">
      <c r="A380" s="75" t="s">
        <v>666</v>
      </c>
      <c r="B380" s="76" t="s">
        <v>1338</v>
      </c>
      <c r="C380" s="76" t="s">
        <v>1339</v>
      </c>
      <c r="D380" s="76" t="s">
        <v>1340</v>
      </c>
      <c r="E380" s="77" t="s">
        <v>26</v>
      </c>
      <c r="F380" s="203">
        <v>18739.32</v>
      </c>
      <c r="G380" s="203"/>
      <c r="H380" s="77" t="s">
        <v>27</v>
      </c>
      <c r="I380" s="204" t="s">
        <v>28</v>
      </c>
      <c r="J380" s="204"/>
      <c r="K380" s="78" t="s">
        <v>29</v>
      </c>
      <c r="L380" s="79">
        <v>13065654.810000001</v>
      </c>
    </row>
    <row r="381" spans="1:12" ht="61.2" x14ac:dyDescent="0.3">
      <c r="A381" s="75" t="s">
        <v>666</v>
      </c>
      <c r="B381" s="76" t="s">
        <v>1341</v>
      </c>
      <c r="C381" s="76" t="s">
        <v>522</v>
      </c>
      <c r="D381" s="76" t="s">
        <v>1060</v>
      </c>
      <c r="E381" s="77" t="s">
        <v>523</v>
      </c>
      <c r="F381" s="199" t="s">
        <v>28</v>
      </c>
      <c r="G381" s="199"/>
      <c r="H381" s="77" t="s">
        <v>26</v>
      </c>
      <c r="I381" s="205">
        <v>419</v>
      </c>
      <c r="J381" s="205"/>
      <c r="K381" s="78" t="s">
        <v>29</v>
      </c>
      <c r="L381" s="79">
        <v>13065235.810000001</v>
      </c>
    </row>
    <row r="382" spans="1:12" ht="71.400000000000006" x14ac:dyDescent="0.3">
      <c r="A382" s="75" t="s">
        <v>666</v>
      </c>
      <c r="B382" s="76" t="s">
        <v>1341</v>
      </c>
      <c r="C382" s="76" t="s">
        <v>522</v>
      </c>
      <c r="D382" s="76" t="s">
        <v>1109</v>
      </c>
      <c r="E382" s="77" t="s">
        <v>523</v>
      </c>
      <c r="F382" s="199" t="s">
        <v>28</v>
      </c>
      <c r="G382" s="199"/>
      <c r="H382" s="77" t="s">
        <v>26</v>
      </c>
      <c r="I382" s="205">
        <v>558.66999999999996</v>
      </c>
      <c r="J382" s="205"/>
      <c r="K382" s="78" t="s">
        <v>29</v>
      </c>
      <c r="L382" s="79">
        <v>13064677.140000001</v>
      </c>
    </row>
    <row r="383" spans="1:12" ht="71.400000000000006" x14ac:dyDescent="0.3">
      <c r="A383" s="75" t="s">
        <v>666</v>
      </c>
      <c r="B383" s="76" t="s">
        <v>1341</v>
      </c>
      <c r="C383" s="76" t="s">
        <v>522</v>
      </c>
      <c r="D383" s="76" t="s">
        <v>1113</v>
      </c>
      <c r="E383" s="77" t="s">
        <v>523</v>
      </c>
      <c r="F383" s="199" t="s">
        <v>28</v>
      </c>
      <c r="G383" s="199"/>
      <c r="H383" s="77" t="s">
        <v>26</v>
      </c>
      <c r="I383" s="200">
        <v>26565.53</v>
      </c>
      <c r="J383" s="200"/>
      <c r="K383" s="78" t="s">
        <v>29</v>
      </c>
      <c r="L383" s="79">
        <v>13038111.609999999</v>
      </c>
    </row>
    <row r="384" spans="1:12" ht="71.400000000000006" x14ac:dyDescent="0.3">
      <c r="A384" s="75" t="s">
        <v>666</v>
      </c>
      <c r="B384" s="76" t="s">
        <v>1341</v>
      </c>
      <c r="C384" s="76" t="s">
        <v>522</v>
      </c>
      <c r="D384" s="76" t="s">
        <v>1104</v>
      </c>
      <c r="E384" s="77" t="s">
        <v>523</v>
      </c>
      <c r="F384" s="199" t="s">
        <v>28</v>
      </c>
      <c r="G384" s="199"/>
      <c r="H384" s="77" t="s">
        <v>26</v>
      </c>
      <c r="I384" s="200">
        <v>16578.8</v>
      </c>
      <c r="J384" s="200"/>
      <c r="K384" s="78" t="s">
        <v>29</v>
      </c>
      <c r="L384" s="79">
        <v>13021532.810000001</v>
      </c>
    </row>
    <row r="385" spans="1:12" ht="71.400000000000006" x14ac:dyDescent="0.3">
      <c r="A385" s="75" t="s">
        <v>666</v>
      </c>
      <c r="B385" s="76" t="s">
        <v>1341</v>
      </c>
      <c r="C385" s="76" t="s">
        <v>522</v>
      </c>
      <c r="D385" s="76" t="s">
        <v>1082</v>
      </c>
      <c r="E385" s="77" t="s">
        <v>523</v>
      </c>
      <c r="F385" s="199" t="s">
        <v>28</v>
      </c>
      <c r="G385" s="199"/>
      <c r="H385" s="77" t="s">
        <v>26</v>
      </c>
      <c r="I385" s="200">
        <v>109347.5</v>
      </c>
      <c r="J385" s="200"/>
      <c r="K385" s="78" t="s">
        <v>29</v>
      </c>
      <c r="L385" s="79">
        <v>12912185.310000001</v>
      </c>
    </row>
    <row r="386" spans="1:12" ht="61.2" x14ac:dyDescent="0.3">
      <c r="A386" s="75" t="s">
        <v>666</v>
      </c>
      <c r="B386" s="76" t="s">
        <v>1341</v>
      </c>
      <c r="C386" s="76" t="s">
        <v>522</v>
      </c>
      <c r="D386" s="76" t="s">
        <v>1054</v>
      </c>
      <c r="E386" s="77" t="s">
        <v>523</v>
      </c>
      <c r="F386" s="199" t="s">
        <v>28</v>
      </c>
      <c r="G386" s="199"/>
      <c r="H386" s="77" t="s">
        <v>26</v>
      </c>
      <c r="I386" s="200">
        <v>10537.25</v>
      </c>
      <c r="J386" s="200"/>
      <c r="K386" s="78" t="s">
        <v>29</v>
      </c>
      <c r="L386" s="79">
        <v>12901648.060000001</v>
      </c>
    </row>
    <row r="387" spans="1:12" ht="61.2" x14ac:dyDescent="0.3">
      <c r="A387" s="75" t="s">
        <v>666</v>
      </c>
      <c r="B387" s="76" t="s">
        <v>1341</v>
      </c>
      <c r="C387" s="76" t="s">
        <v>522</v>
      </c>
      <c r="D387" s="76" t="s">
        <v>1049</v>
      </c>
      <c r="E387" s="77" t="s">
        <v>523</v>
      </c>
      <c r="F387" s="199" t="s">
        <v>28</v>
      </c>
      <c r="G387" s="199"/>
      <c r="H387" s="77" t="s">
        <v>26</v>
      </c>
      <c r="I387" s="200">
        <v>216845.02</v>
      </c>
      <c r="J387" s="200"/>
      <c r="K387" s="78" t="s">
        <v>29</v>
      </c>
      <c r="L387" s="79">
        <v>12684803.039999999</v>
      </c>
    </row>
    <row r="388" spans="1:12" ht="61.2" x14ac:dyDescent="0.3">
      <c r="A388" s="75" t="s">
        <v>666</v>
      </c>
      <c r="B388" s="76" t="s">
        <v>1341</v>
      </c>
      <c r="C388" s="76" t="s">
        <v>522</v>
      </c>
      <c r="D388" s="76" t="s">
        <v>1063</v>
      </c>
      <c r="E388" s="77" t="s">
        <v>523</v>
      </c>
      <c r="F388" s="199" t="s">
        <v>28</v>
      </c>
      <c r="G388" s="199"/>
      <c r="H388" s="77" t="s">
        <v>26</v>
      </c>
      <c r="I388" s="200">
        <v>58011.51</v>
      </c>
      <c r="J388" s="200"/>
      <c r="K388" s="78" t="s">
        <v>29</v>
      </c>
      <c r="L388" s="79">
        <v>12626791.529999999</v>
      </c>
    </row>
    <row r="389" spans="1:12" ht="61.2" x14ac:dyDescent="0.3">
      <c r="A389" s="75" t="s">
        <v>666</v>
      </c>
      <c r="B389" s="76" t="s">
        <v>1341</v>
      </c>
      <c r="C389" s="76" t="s">
        <v>522</v>
      </c>
      <c r="D389" s="76" t="s">
        <v>1076</v>
      </c>
      <c r="E389" s="77" t="s">
        <v>523</v>
      </c>
      <c r="F389" s="199" t="s">
        <v>28</v>
      </c>
      <c r="G389" s="199"/>
      <c r="H389" s="77" t="s">
        <v>26</v>
      </c>
      <c r="I389" s="200">
        <v>75316.95</v>
      </c>
      <c r="J389" s="200"/>
      <c r="K389" s="78" t="s">
        <v>29</v>
      </c>
      <c r="L389" s="79">
        <v>12551474.58</v>
      </c>
    </row>
    <row r="390" spans="1:12" ht="71.400000000000006" x14ac:dyDescent="0.3">
      <c r="A390" s="75" t="s">
        <v>666</v>
      </c>
      <c r="B390" s="76" t="s">
        <v>1341</v>
      </c>
      <c r="C390" s="76" t="s">
        <v>522</v>
      </c>
      <c r="D390" s="76" t="s">
        <v>1062</v>
      </c>
      <c r="E390" s="77" t="s">
        <v>523</v>
      </c>
      <c r="F390" s="199" t="s">
        <v>28</v>
      </c>
      <c r="G390" s="199"/>
      <c r="H390" s="77" t="s">
        <v>26</v>
      </c>
      <c r="I390" s="200">
        <v>38842.6</v>
      </c>
      <c r="J390" s="200"/>
      <c r="K390" s="78" t="s">
        <v>29</v>
      </c>
      <c r="L390" s="79">
        <v>12512631.98</v>
      </c>
    </row>
    <row r="391" spans="1:12" ht="71.400000000000006" x14ac:dyDescent="0.3">
      <c r="A391" s="75" t="s">
        <v>666</v>
      </c>
      <c r="B391" s="76" t="s">
        <v>1341</v>
      </c>
      <c r="C391" s="76" t="s">
        <v>522</v>
      </c>
      <c r="D391" s="76" t="s">
        <v>1101</v>
      </c>
      <c r="E391" s="77" t="s">
        <v>523</v>
      </c>
      <c r="F391" s="199" t="s">
        <v>28</v>
      </c>
      <c r="G391" s="199"/>
      <c r="H391" s="77" t="s">
        <v>26</v>
      </c>
      <c r="I391" s="200">
        <v>14966.87</v>
      </c>
      <c r="J391" s="200"/>
      <c r="K391" s="78" t="s">
        <v>29</v>
      </c>
      <c r="L391" s="79">
        <v>12497665.109999999</v>
      </c>
    </row>
    <row r="392" spans="1:12" ht="71.400000000000006" x14ac:dyDescent="0.3">
      <c r="A392" s="75" t="s">
        <v>666</v>
      </c>
      <c r="B392" s="76" t="s">
        <v>1341</v>
      </c>
      <c r="C392" s="76" t="s">
        <v>522</v>
      </c>
      <c r="D392" s="76" t="s">
        <v>1324</v>
      </c>
      <c r="E392" s="77" t="s">
        <v>523</v>
      </c>
      <c r="F392" s="199" t="s">
        <v>28</v>
      </c>
      <c r="G392" s="199"/>
      <c r="H392" s="77" t="s">
        <v>26</v>
      </c>
      <c r="I392" s="200">
        <v>10238.4</v>
      </c>
      <c r="J392" s="200"/>
      <c r="K392" s="78" t="s">
        <v>29</v>
      </c>
      <c r="L392" s="79">
        <v>12487426.710000001</v>
      </c>
    </row>
    <row r="393" spans="1:12" ht="61.2" x14ac:dyDescent="0.3">
      <c r="A393" s="75" t="s">
        <v>666</v>
      </c>
      <c r="B393" s="76" t="s">
        <v>1342</v>
      </c>
      <c r="C393" s="76" t="s">
        <v>522</v>
      </c>
      <c r="D393" s="76" t="s">
        <v>1095</v>
      </c>
      <c r="E393" s="77" t="s">
        <v>523</v>
      </c>
      <c r="F393" s="199" t="s">
        <v>28</v>
      </c>
      <c r="G393" s="199"/>
      <c r="H393" s="77" t="s">
        <v>26</v>
      </c>
      <c r="I393" s="200">
        <v>92301</v>
      </c>
      <c r="J393" s="200"/>
      <c r="K393" s="78" t="s">
        <v>29</v>
      </c>
      <c r="L393" s="79">
        <v>12395125.710000001</v>
      </c>
    </row>
    <row r="394" spans="1:12" ht="61.2" x14ac:dyDescent="0.3">
      <c r="A394" s="75" t="s">
        <v>666</v>
      </c>
      <c r="B394" s="76" t="s">
        <v>1342</v>
      </c>
      <c r="C394" s="76" t="s">
        <v>522</v>
      </c>
      <c r="D394" s="76" t="s">
        <v>1059</v>
      </c>
      <c r="E394" s="77" t="s">
        <v>523</v>
      </c>
      <c r="F394" s="199" t="s">
        <v>28</v>
      </c>
      <c r="G394" s="199"/>
      <c r="H394" s="77" t="s">
        <v>26</v>
      </c>
      <c r="I394" s="200">
        <v>8715.2000000000007</v>
      </c>
      <c r="J394" s="200"/>
      <c r="K394" s="78" t="s">
        <v>29</v>
      </c>
      <c r="L394" s="79">
        <v>12386410.51</v>
      </c>
    </row>
    <row r="395" spans="1:12" ht="61.2" x14ac:dyDescent="0.3">
      <c r="A395" s="75" t="s">
        <v>666</v>
      </c>
      <c r="B395" s="76" t="s">
        <v>1342</v>
      </c>
      <c r="C395" s="76" t="s">
        <v>522</v>
      </c>
      <c r="D395" s="76" t="s">
        <v>1060</v>
      </c>
      <c r="E395" s="77" t="s">
        <v>523</v>
      </c>
      <c r="F395" s="199" t="s">
        <v>28</v>
      </c>
      <c r="G395" s="199"/>
      <c r="H395" s="77" t="s">
        <v>26</v>
      </c>
      <c r="I395" s="200">
        <v>5614.6</v>
      </c>
      <c r="J395" s="200"/>
      <c r="K395" s="78" t="s">
        <v>29</v>
      </c>
      <c r="L395" s="79">
        <v>12380795.91</v>
      </c>
    </row>
    <row r="396" spans="1:12" ht="61.2" x14ac:dyDescent="0.3">
      <c r="A396" s="75" t="s">
        <v>666</v>
      </c>
      <c r="B396" s="76" t="s">
        <v>1342</v>
      </c>
      <c r="C396" s="76" t="s">
        <v>522</v>
      </c>
      <c r="D396" s="76" t="s">
        <v>1061</v>
      </c>
      <c r="E396" s="77" t="s">
        <v>523</v>
      </c>
      <c r="F396" s="199" t="s">
        <v>28</v>
      </c>
      <c r="G396" s="199"/>
      <c r="H396" s="77" t="s">
        <v>26</v>
      </c>
      <c r="I396" s="200">
        <v>14413.6</v>
      </c>
      <c r="J396" s="200"/>
      <c r="K396" s="78" t="s">
        <v>29</v>
      </c>
      <c r="L396" s="79">
        <v>12366382.310000001</v>
      </c>
    </row>
    <row r="397" spans="1:12" ht="61.2" x14ac:dyDescent="0.3">
      <c r="A397" s="75" t="s">
        <v>666</v>
      </c>
      <c r="B397" s="76" t="s">
        <v>1342</v>
      </c>
      <c r="C397" s="76" t="s">
        <v>522</v>
      </c>
      <c r="D397" s="76" t="s">
        <v>1110</v>
      </c>
      <c r="E397" s="77" t="s">
        <v>523</v>
      </c>
      <c r="F397" s="199" t="s">
        <v>28</v>
      </c>
      <c r="G397" s="199"/>
      <c r="H397" s="77" t="s">
        <v>26</v>
      </c>
      <c r="I397" s="200">
        <v>8868</v>
      </c>
      <c r="J397" s="200"/>
      <c r="K397" s="78" t="s">
        <v>29</v>
      </c>
      <c r="L397" s="79">
        <v>12357514.310000001</v>
      </c>
    </row>
    <row r="398" spans="1:12" ht="71.400000000000006" x14ac:dyDescent="0.3">
      <c r="A398" s="75" t="s">
        <v>666</v>
      </c>
      <c r="B398" s="76" t="s">
        <v>1342</v>
      </c>
      <c r="C398" s="76" t="s">
        <v>522</v>
      </c>
      <c r="D398" s="76" t="s">
        <v>1104</v>
      </c>
      <c r="E398" s="77" t="s">
        <v>523</v>
      </c>
      <c r="F398" s="199" t="s">
        <v>28</v>
      </c>
      <c r="G398" s="199"/>
      <c r="H398" s="77" t="s">
        <v>26</v>
      </c>
      <c r="I398" s="200">
        <v>100745.85</v>
      </c>
      <c r="J398" s="200"/>
      <c r="K398" s="78" t="s">
        <v>29</v>
      </c>
      <c r="L398" s="79">
        <v>12256768.460000001</v>
      </c>
    </row>
    <row r="399" spans="1:12" ht="71.400000000000006" x14ac:dyDescent="0.3">
      <c r="A399" s="75" t="s">
        <v>666</v>
      </c>
      <c r="B399" s="76" t="s">
        <v>1342</v>
      </c>
      <c r="C399" s="76" t="s">
        <v>522</v>
      </c>
      <c r="D399" s="76" t="s">
        <v>1082</v>
      </c>
      <c r="E399" s="77" t="s">
        <v>523</v>
      </c>
      <c r="F399" s="199" t="s">
        <v>28</v>
      </c>
      <c r="G399" s="199"/>
      <c r="H399" s="77" t="s">
        <v>26</v>
      </c>
      <c r="I399" s="200">
        <v>23758.75</v>
      </c>
      <c r="J399" s="200"/>
      <c r="K399" s="78" t="s">
        <v>29</v>
      </c>
      <c r="L399" s="79">
        <v>12233009.710000001</v>
      </c>
    </row>
    <row r="400" spans="1:12" ht="61.2" x14ac:dyDescent="0.3">
      <c r="A400" s="75" t="s">
        <v>666</v>
      </c>
      <c r="B400" s="76" t="s">
        <v>1342</v>
      </c>
      <c r="C400" s="76" t="s">
        <v>522</v>
      </c>
      <c r="D400" s="76" t="s">
        <v>1054</v>
      </c>
      <c r="E400" s="77" t="s">
        <v>523</v>
      </c>
      <c r="F400" s="199" t="s">
        <v>28</v>
      </c>
      <c r="G400" s="199"/>
      <c r="H400" s="77" t="s">
        <v>26</v>
      </c>
      <c r="I400" s="200">
        <v>205343.51</v>
      </c>
      <c r="J400" s="200"/>
      <c r="K400" s="78" t="s">
        <v>29</v>
      </c>
      <c r="L400" s="79">
        <v>12027666.199999999</v>
      </c>
    </row>
    <row r="401" spans="1:12" ht="61.2" x14ac:dyDescent="0.3">
      <c r="A401" s="75" t="s">
        <v>666</v>
      </c>
      <c r="B401" s="76" t="s">
        <v>1342</v>
      </c>
      <c r="C401" s="76" t="s">
        <v>522</v>
      </c>
      <c r="D401" s="76" t="s">
        <v>1076</v>
      </c>
      <c r="E401" s="77" t="s">
        <v>523</v>
      </c>
      <c r="F401" s="199" t="s">
        <v>28</v>
      </c>
      <c r="G401" s="199"/>
      <c r="H401" s="77" t="s">
        <v>26</v>
      </c>
      <c r="I401" s="200">
        <v>75690.37</v>
      </c>
      <c r="J401" s="200"/>
      <c r="K401" s="78" t="s">
        <v>29</v>
      </c>
      <c r="L401" s="79">
        <v>11951975.83</v>
      </c>
    </row>
    <row r="402" spans="1:12" ht="71.400000000000006" x14ac:dyDescent="0.3">
      <c r="A402" s="75" t="s">
        <v>666</v>
      </c>
      <c r="B402" s="76" t="s">
        <v>1342</v>
      </c>
      <c r="C402" s="76" t="s">
        <v>522</v>
      </c>
      <c r="D402" s="76" t="s">
        <v>1062</v>
      </c>
      <c r="E402" s="77" t="s">
        <v>523</v>
      </c>
      <c r="F402" s="199" t="s">
        <v>28</v>
      </c>
      <c r="G402" s="199"/>
      <c r="H402" s="77" t="s">
        <v>26</v>
      </c>
      <c r="I402" s="200">
        <v>8617.2900000000009</v>
      </c>
      <c r="J402" s="200"/>
      <c r="K402" s="78" t="s">
        <v>29</v>
      </c>
      <c r="L402" s="79">
        <v>11943358.539999999</v>
      </c>
    </row>
    <row r="403" spans="1:12" ht="71.400000000000006" x14ac:dyDescent="0.3">
      <c r="A403" s="75" t="s">
        <v>666</v>
      </c>
      <c r="B403" s="76" t="s">
        <v>1342</v>
      </c>
      <c r="C403" s="76" t="s">
        <v>522</v>
      </c>
      <c r="D403" s="76" t="s">
        <v>1101</v>
      </c>
      <c r="E403" s="77" t="s">
        <v>523</v>
      </c>
      <c r="F403" s="199" t="s">
        <v>28</v>
      </c>
      <c r="G403" s="199"/>
      <c r="H403" s="77" t="s">
        <v>26</v>
      </c>
      <c r="I403" s="200">
        <v>3725.52</v>
      </c>
      <c r="J403" s="200"/>
      <c r="K403" s="78" t="s">
        <v>29</v>
      </c>
      <c r="L403" s="79">
        <v>11939633.02</v>
      </c>
    </row>
    <row r="404" spans="1:12" ht="71.400000000000006" x14ac:dyDescent="0.3">
      <c r="A404" s="75" t="s">
        <v>666</v>
      </c>
      <c r="B404" s="76" t="s">
        <v>1342</v>
      </c>
      <c r="C404" s="76" t="s">
        <v>522</v>
      </c>
      <c r="D404" s="76" t="s">
        <v>1332</v>
      </c>
      <c r="E404" s="77" t="s">
        <v>523</v>
      </c>
      <c r="F404" s="199" t="s">
        <v>28</v>
      </c>
      <c r="G404" s="199"/>
      <c r="H404" s="77" t="s">
        <v>26</v>
      </c>
      <c r="I404" s="205">
        <v>482.66</v>
      </c>
      <c r="J404" s="205"/>
      <c r="K404" s="78" t="s">
        <v>29</v>
      </c>
      <c r="L404" s="79">
        <v>11939150.359999999</v>
      </c>
    </row>
    <row r="405" spans="1:12" ht="61.2" x14ac:dyDescent="0.3">
      <c r="A405" s="75" t="s">
        <v>666</v>
      </c>
      <c r="B405" s="76" t="s">
        <v>1342</v>
      </c>
      <c r="C405" s="76" t="s">
        <v>522</v>
      </c>
      <c r="D405" s="76" t="s">
        <v>1054</v>
      </c>
      <c r="E405" s="77" t="s">
        <v>523</v>
      </c>
      <c r="F405" s="199" t="s">
        <v>28</v>
      </c>
      <c r="G405" s="199"/>
      <c r="H405" s="77" t="s">
        <v>26</v>
      </c>
      <c r="I405" s="200">
        <v>1859.51</v>
      </c>
      <c r="J405" s="200"/>
      <c r="K405" s="78" t="s">
        <v>29</v>
      </c>
      <c r="L405" s="79">
        <v>11937290.85</v>
      </c>
    </row>
    <row r="406" spans="1:12" ht="71.400000000000006" x14ac:dyDescent="0.3">
      <c r="A406" s="75" t="s">
        <v>666</v>
      </c>
      <c r="B406" s="76" t="s">
        <v>1342</v>
      </c>
      <c r="C406" s="76" t="s">
        <v>522</v>
      </c>
      <c r="D406" s="76" t="s">
        <v>1324</v>
      </c>
      <c r="E406" s="77" t="s">
        <v>523</v>
      </c>
      <c r="F406" s="199" t="s">
        <v>28</v>
      </c>
      <c r="G406" s="199"/>
      <c r="H406" s="77" t="s">
        <v>26</v>
      </c>
      <c r="I406" s="200">
        <v>53182.8</v>
      </c>
      <c r="J406" s="200"/>
      <c r="K406" s="78" t="s">
        <v>29</v>
      </c>
      <c r="L406" s="79">
        <v>11884108.050000001</v>
      </c>
    </row>
    <row r="407" spans="1:12" ht="71.400000000000006" x14ac:dyDescent="0.3">
      <c r="A407" s="75" t="s">
        <v>666</v>
      </c>
      <c r="B407" s="76" t="s">
        <v>1343</v>
      </c>
      <c r="C407" s="76" t="s">
        <v>522</v>
      </c>
      <c r="D407" s="76" t="s">
        <v>1071</v>
      </c>
      <c r="E407" s="77" t="s">
        <v>523</v>
      </c>
      <c r="F407" s="199" t="s">
        <v>28</v>
      </c>
      <c r="G407" s="199"/>
      <c r="H407" s="77" t="s">
        <v>26</v>
      </c>
      <c r="I407" s="200">
        <v>191402.2</v>
      </c>
      <c r="J407" s="200"/>
      <c r="K407" s="78" t="s">
        <v>29</v>
      </c>
      <c r="L407" s="79">
        <v>11692705.85</v>
      </c>
    </row>
    <row r="408" spans="1:12" ht="61.2" x14ac:dyDescent="0.3">
      <c r="A408" s="75" t="s">
        <v>666</v>
      </c>
      <c r="B408" s="76" t="s">
        <v>1343</v>
      </c>
      <c r="C408" s="76" t="s">
        <v>522</v>
      </c>
      <c r="D408" s="76" t="s">
        <v>1060</v>
      </c>
      <c r="E408" s="77" t="s">
        <v>523</v>
      </c>
      <c r="F408" s="199" t="s">
        <v>28</v>
      </c>
      <c r="G408" s="199"/>
      <c r="H408" s="77" t="s">
        <v>26</v>
      </c>
      <c r="I408" s="205">
        <v>558.66999999999996</v>
      </c>
      <c r="J408" s="205"/>
      <c r="K408" s="78" t="s">
        <v>29</v>
      </c>
      <c r="L408" s="79">
        <v>11692147.18</v>
      </c>
    </row>
    <row r="409" spans="1:12" ht="61.2" x14ac:dyDescent="0.3">
      <c r="A409" s="75" t="s">
        <v>666</v>
      </c>
      <c r="B409" s="76" t="s">
        <v>1343</v>
      </c>
      <c r="C409" s="76" t="s">
        <v>522</v>
      </c>
      <c r="D409" s="76" t="s">
        <v>1061</v>
      </c>
      <c r="E409" s="77" t="s">
        <v>523</v>
      </c>
      <c r="F409" s="199" t="s">
        <v>28</v>
      </c>
      <c r="G409" s="199"/>
      <c r="H409" s="77" t="s">
        <v>26</v>
      </c>
      <c r="I409" s="200">
        <v>7067.13</v>
      </c>
      <c r="J409" s="200"/>
      <c r="K409" s="78" t="s">
        <v>29</v>
      </c>
      <c r="L409" s="79">
        <v>11685080.050000001</v>
      </c>
    </row>
    <row r="410" spans="1:12" ht="61.2" x14ac:dyDescent="0.3">
      <c r="A410" s="75" t="s">
        <v>666</v>
      </c>
      <c r="B410" s="76" t="s">
        <v>1343</v>
      </c>
      <c r="C410" s="76" t="s">
        <v>522</v>
      </c>
      <c r="D410" s="76" t="s">
        <v>1110</v>
      </c>
      <c r="E410" s="77" t="s">
        <v>523</v>
      </c>
      <c r="F410" s="199" t="s">
        <v>28</v>
      </c>
      <c r="G410" s="199"/>
      <c r="H410" s="77" t="s">
        <v>26</v>
      </c>
      <c r="I410" s="200">
        <v>9853.34</v>
      </c>
      <c r="J410" s="200"/>
      <c r="K410" s="78" t="s">
        <v>29</v>
      </c>
      <c r="L410" s="79">
        <v>11675226.710000001</v>
      </c>
    </row>
    <row r="411" spans="1:12" ht="71.400000000000006" x14ac:dyDescent="0.3">
      <c r="A411" s="75" t="s">
        <v>666</v>
      </c>
      <c r="B411" s="76" t="s">
        <v>1343</v>
      </c>
      <c r="C411" s="76" t="s">
        <v>522</v>
      </c>
      <c r="D411" s="76" t="s">
        <v>1113</v>
      </c>
      <c r="E411" s="77" t="s">
        <v>523</v>
      </c>
      <c r="F411" s="199" t="s">
        <v>28</v>
      </c>
      <c r="G411" s="199"/>
      <c r="H411" s="77" t="s">
        <v>26</v>
      </c>
      <c r="I411" s="200">
        <v>10959.37</v>
      </c>
      <c r="J411" s="200"/>
      <c r="K411" s="78" t="s">
        <v>29</v>
      </c>
      <c r="L411" s="79">
        <v>11664267.34</v>
      </c>
    </row>
    <row r="412" spans="1:12" ht="71.400000000000006" x14ac:dyDescent="0.3">
      <c r="A412" s="75" t="s">
        <v>666</v>
      </c>
      <c r="B412" s="76" t="s">
        <v>1343</v>
      </c>
      <c r="C412" s="76" t="s">
        <v>522</v>
      </c>
      <c r="D412" s="76" t="s">
        <v>1104</v>
      </c>
      <c r="E412" s="77" t="s">
        <v>523</v>
      </c>
      <c r="F412" s="199" t="s">
        <v>28</v>
      </c>
      <c r="G412" s="199"/>
      <c r="H412" s="77" t="s">
        <v>26</v>
      </c>
      <c r="I412" s="200">
        <v>60673.19</v>
      </c>
      <c r="J412" s="200"/>
      <c r="K412" s="78" t="s">
        <v>29</v>
      </c>
      <c r="L412" s="79">
        <v>11603594.15</v>
      </c>
    </row>
    <row r="413" spans="1:12" ht="71.400000000000006" x14ac:dyDescent="0.3">
      <c r="A413" s="75" t="s">
        <v>666</v>
      </c>
      <c r="B413" s="76" t="s">
        <v>1343</v>
      </c>
      <c r="C413" s="76" t="s">
        <v>522</v>
      </c>
      <c r="D413" s="76" t="s">
        <v>1082</v>
      </c>
      <c r="E413" s="77" t="s">
        <v>523</v>
      </c>
      <c r="F413" s="199" t="s">
        <v>28</v>
      </c>
      <c r="G413" s="199"/>
      <c r="H413" s="77" t="s">
        <v>26</v>
      </c>
      <c r="I413" s="200">
        <v>81094.63</v>
      </c>
      <c r="J413" s="200"/>
      <c r="K413" s="78" t="s">
        <v>29</v>
      </c>
      <c r="L413" s="79">
        <v>11522499.52</v>
      </c>
    </row>
    <row r="414" spans="1:12" ht="61.2" x14ac:dyDescent="0.3">
      <c r="A414" s="75" t="s">
        <v>666</v>
      </c>
      <c r="B414" s="76" t="s">
        <v>1343</v>
      </c>
      <c r="C414" s="76" t="s">
        <v>522</v>
      </c>
      <c r="D414" s="76" t="s">
        <v>1054</v>
      </c>
      <c r="E414" s="77" t="s">
        <v>523</v>
      </c>
      <c r="F414" s="199" t="s">
        <v>28</v>
      </c>
      <c r="G414" s="199"/>
      <c r="H414" s="77" t="s">
        <v>26</v>
      </c>
      <c r="I414" s="200">
        <v>60124.3</v>
      </c>
      <c r="J414" s="200"/>
      <c r="K414" s="78" t="s">
        <v>29</v>
      </c>
      <c r="L414" s="79">
        <v>11462375.220000001</v>
      </c>
    </row>
    <row r="415" spans="1:12" ht="61.2" x14ac:dyDescent="0.3">
      <c r="A415" s="75" t="s">
        <v>666</v>
      </c>
      <c r="B415" s="76" t="s">
        <v>1343</v>
      </c>
      <c r="C415" s="76" t="s">
        <v>522</v>
      </c>
      <c r="D415" s="76" t="s">
        <v>1052</v>
      </c>
      <c r="E415" s="77" t="s">
        <v>523</v>
      </c>
      <c r="F415" s="199" t="s">
        <v>28</v>
      </c>
      <c r="G415" s="199"/>
      <c r="H415" s="77" t="s">
        <v>26</v>
      </c>
      <c r="I415" s="200">
        <v>37015.410000000003</v>
      </c>
      <c r="J415" s="200"/>
      <c r="K415" s="78" t="s">
        <v>29</v>
      </c>
      <c r="L415" s="79">
        <v>11425359.810000001</v>
      </c>
    </row>
    <row r="416" spans="1:12" ht="61.2" x14ac:dyDescent="0.3">
      <c r="A416" s="75" t="s">
        <v>666</v>
      </c>
      <c r="B416" s="76" t="s">
        <v>1343</v>
      </c>
      <c r="C416" s="76" t="s">
        <v>522</v>
      </c>
      <c r="D416" s="76" t="s">
        <v>1053</v>
      </c>
      <c r="E416" s="77" t="s">
        <v>523</v>
      </c>
      <c r="F416" s="199" t="s">
        <v>28</v>
      </c>
      <c r="G416" s="199"/>
      <c r="H416" s="77" t="s">
        <v>26</v>
      </c>
      <c r="I416" s="200">
        <v>29555.34</v>
      </c>
      <c r="J416" s="200"/>
      <c r="K416" s="78" t="s">
        <v>29</v>
      </c>
      <c r="L416" s="79">
        <v>11395804.470000001</v>
      </c>
    </row>
    <row r="417" spans="1:12" ht="61.2" x14ac:dyDescent="0.3">
      <c r="A417" s="75" t="s">
        <v>666</v>
      </c>
      <c r="B417" s="76" t="s">
        <v>1343</v>
      </c>
      <c r="C417" s="76" t="s">
        <v>522</v>
      </c>
      <c r="D417" s="76" t="s">
        <v>1076</v>
      </c>
      <c r="E417" s="77" t="s">
        <v>523</v>
      </c>
      <c r="F417" s="199" t="s">
        <v>28</v>
      </c>
      <c r="G417" s="199"/>
      <c r="H417" s="77" t="s">
        <v>26</v>
      </c>
      <c r="I417" s="200">
        <v>119208.75</v>
      </c>
      <c r="J417" s="200"/>
      <c r="K417" s="78" t="s">
        <v>29</v>
      </c>
      <c r="L417" s="79">
        <v>11276595.720000001</v>
      </c>
    </row>
    <row r="418" spans="1:12" ht="71.400000000000006" x14ac:dyDescent="0.3">
      <c r="A418" s="75" t="s">
        <v>666</v>
      </c>
      <c r="B418" s="76" t="s">
        <v>1343</v>
      </c>
      <c r="C418" s="76" t="s">
        <v>522</v>
      </c>
      <c r="D418" s="76" t="s">
        <v>1062</v>
      </c>
      <c r="E418" s="77" t="s">
        <v>523</v>
      </c>
      <c r="F418" s="199" t="s">
        <v>28</v>
      </c>
      <c r="G418" s="199"/>
      <c r="H418" s="77" t="s">
        <v>26</v>
      </c>
      <c r="I418" s="200">
        <v>16910.62</v>
      </c>
      <c r="J418" s="200"/>
      <c r="K418" s="78" t="s">
        <v>29</v>
      </c>
      <c r="L418" s="79">
        <v>11259685.1</v>
      </c>
    </row>
    <row r="419" spans="1:12" ht="71.400000000000006" x14ac:dyDescent="0.3">
      <c r="A419" s="75" t="s">
        <v>666</v>
      </c>
      <c r="B419" s="76" t="s">
        <v>1343</v>
      </c>
      <c r="C419" s="76" t="s">
        <v>522</v>
      </c>
      <c r="D419" s="76" t="s">
        <v>1101</v>
      </c>
      <c r="E419" s="77" t="s">
        <v>523</v>
      </c>
      <c r="F419" s="199" t="s">
        <v>28</v>
      </c>
      <c r="G419" s="199"/>
      <c r="H419" s="77" t="s">
        <v>26</v>
      </c>
      <c r="I419" s="200">
        <v>9362.4</v>
      </c>
      <c r="J419" s="200"/>
      <c r="K419" s="78" t="s">
        <v>29</v>
      </c>
      <c r="L419" s="79">
        <v>11250322.699999999</v>
      </c>
    </row>
    <row r="420" spans="1:12" ht="71.400000000000006" x14ac:dyDescent="0.3">
      <c r="A420" s="75" t="s">
        <v>666</v>
      </c>
      <c r="B420" s="76" t="s">
        <v>1343</v>
      </c>
      <c r="C420" s="76" t="s">
        <v>522</v>
      </c>
      <c r="D420" s="76" t="s">
        <v>1332</v>
      </c>
      <c r="E420" s="77" t="s">
        <v>523</v>
      </c>
      <c r="F420" s="199" t="s">
        <v>28</v>
      </c>
      <c r="G420" s="199"/>
      <c r="H420" s="77" t="s">
        <v>26</v>
      </c>
      <c r="I420" s="205">
        <v>255.53</v>
      </c>
      <c r="J420" s="205"/>
      <c r="K420" s="78" t="s">
        <v>29</v>
      </c>
      <c r="L420" s="79">
        <v>11250067.17</v>
      </c>
    </row>
    <row r="421" spans="1:12" ht="61.2" x14ac:dyDescent="0.3">
      <c r="A421" s="75" t="s">
        <v>666</v>
      </c>
      <c r="B421" s="76" t="s">
        <v>1343</v>
      </c>
      <c r="C421" s="76" t="s">
        <v>522</v>
      </c>
      <c r="D421" s="76" t="s">
        <v>1054</v>
      </c>
      <c r="E421" s="77" t="s">
        <v>523</v>
      </c>
      <c r="F421" s="199" t="s">
        <v>28</v>
      </c>
      <c r="G421" s="199"/>
      <c r="H421" s="77" t="s">
        <v>26</v>
      </c>
      <c r="I421" s="200">
        <v>4663.54</v>
      </c>
      <c r="J421" s="200"/>
      <c r="K421" s="78" t="s">
        <v>29</v>
      </c>
      <c r="L421" s="79">
        <v>11245403.630000001</v>
      </c>
    </row>
    <row r="422" spans="1:12" ht="71.400000000000006" x14ac:dyDescent="0.3">
      <c r="A422" s="75" t="s">
        <v>666</v>
      </c>
      <c r="B422" s="76" t="s">
        <v>1343</v>
      </c>
      <c r="C422" s="76" t="s">
        <v>522</v>
      </c>
      <c r="D422" s="76" t="s">
        <v>1273</v>
      </c>
      <c r="E422" s="77" t="s">
        <v>523</v>
      </c>
      <c r="F422" s="199" t="s">
        <v>28</v>
      </c>
      <c r="G422" s="199"/>
      <c r="H422" s="77" t="s">
        <v>26</v>
      </c>
      <c r="I422" s="200">
        <v>32855.370000000003</v>
      </c>
      <c r="J422" s="200"/>
      <c r="K422" s="78" t="s">
        <v>29</v>
      </c>
      <c r="L422" s="79">
        <v>11212548.26</v>
      </c>
    </row>
    <row r="423" spans="1:12" ht="61.2" x14ac:dyDescent="0.3">
      <c r="A423" s="75" t="s">
        <v>666</v>
      </c>
      <c r="B423" s="76" t="s">
        <v>1343</v>
      </c>
      <c r="C423" s="76" t="s">
        <v>522</v>
      </c>
      <c r="D423" s="76" t="s">
        <v>1103</v>
      </c>
      <c r="E423" s="77" t="s">
        <v>523</v>
      </c>
      <c r="F423" s="199" t="s">
        <v>28</v>
      </c>
      <c r="G423" s="199"/>
      <c r="H423" s="77" t="s">
        <v>26</v>
      </c>
      <c r="I423" s="200">
        <v>49266.68</v>
      </c>
      <c r="J423" s="200"/>
      <c r="K423" s="78" t="s">
        <v>29</v>
      </c>
      <c r="L423" s="79">
        <v>11163281.58</v>
      </c>
    </row>
    <row r="424" spans="1:12" ht="71.400000000000006" x14ac:dyDescent="0.3">
      <c r="A424" s="75" t="s">
        <v>666</v>
      </c>
      <c r="B424" s="76" t="s">
        <v>1343</v>
      </c>
      <c r="C424" s="76" t="s">
        <v>522</v>
      </c>
      <c r="D424" s="76" t="s">
        <v>1109</v>
      </c>
      <c r="E424" s="77" t="s">
        <v>523</v>
      </c>
      <c r="F424" s="199" t="s">
        <v>28</v>
      </c>
      <c r="G424" s="199"/>
      <c r="H424" s="77" t="s">
        <v>26</v>
      </c>
      <c r="I424" s="205">
        <v>838</v>
      </c>
      <c r="J424" s="205"/>
      <c r="K424" s="78" t="s">
        <v>29</v>
      </c>
      <c r="L424" s="79">
        <v>11162443.58</v>
      </c>
    </row>
    <row r="425" spans="1:12" ht="71.400000000000006" x14ac:dyDescent="0.3">
      <c r="A425" s="75" t="s">
        <v>666</v>
      </c>
      <c r="B425" s="76" t="s">
        <v>1344</v>
      </c>
      <c r="C425" s="76" t="s">
        <v>859</v>
      </c>
      <c r="D425" s="76" t="s">
        <v>84</v>
      </c>
      <c r="E425" s="77" t="s">
        <v>523</v>
      </c>
      <c r="F425" s="199" t="s">
        <v>28</v>
      </c>
      <c r="G425" s="199"/>
      <c r="H425" s="77" t="s">
        <v>26</v>
      </c>
      <c r="I425" s="200">
        <v>16010.67</v>
      </c>
      <c r="J425" s="200"/>
      <c r="K425" s="78" t="s">
        <v>29</v>
      </c>
      <c r="L425" s="79">
        <v>11146432.91</v>
      </c>
    </row>
    <row r="426" spans="1:12" ht="71.400000000000006" x14ac:dyDescent="0.3">
      <c r="A426" s="75" t="s">
        <v>666</v>
      </c>
      <c r="B426" s="76" t="s">
        <v>1344</v>
      </c>
      <c r="C426" s="76" t="s">
        <v>859</v>
      </c>
      <c r="D426" s="76" t="s">
        <v>673</v>
      </c>
      <c r="E426" s="77" t="s">
        <v>523</v>
      </c>
      <c r="F426" s="199" t="s">
        <v>28</v>
      </c>
      <c r="G426" s="199"/>
      <c r="H426" s="77" t="s">
        <v>26</v>
      </c>
      <c r="I426" s="200">
        <v>4433.33</v>
      </c>
      <c r="J426" s="200"/>
      <c r="K426" s="78" t="s">
        <v>29</v>
      </c>
      <c r="L426" s="79">
        <v>11141999.58</v>
      </c>
    </row>
    <row r="427" spans="1:12" ht="61.2" x14ac:dyDescent="0.3">
      <c r="A427" s="75" t="s">
        <v>666</v>
      </c>
      <c r="B427" s="76" t="s">
        <v>1344</v>
      </c>
      <c r="C427" s="76" t="s">
        <v>859</v>
      </c>
      <c r="D427" s="76" t="s">
        <v>551</v>
      </c>
      <c r="E427" s="77" t="s">
        <v>523</v>
      </c>
      <c r="F427" s="199" t="s">
        <v>28</v>
      </c>
      <c r="G427" s="199"/>
      <c r="H427" s="77" t="s">
        <v>26</v>
      </c>
      <c r="I427" s="200">
        <v>9201.51</v>
      </c>
      <c r="J427" s="200"/>
      <c r="K427" s="78" t="s">
        <v>29</v>
      </c>
      <c r="L427" s="79">
        <v>11132798.07</v>
      </c>
    </row>
    <row r="428" spans="1:12" ht="61.2" x14ac:dyDescent="0.3">
      <c r="A428" s="75" t="s">
        <v>666</v>
      </c>
      <c r="B428" s="76" t="s">
        <v>1344</v>
      </c>
      <c r="C428" s="76" t="s">
        <v>859</v>
      </c>
      <c r="D428" s="76" t="s">
        <v>585</v>
      </c>
      <c r="E428" s="77" t="s">
        <v>523</v>
      </c>
      <c r="F428" s="199" t="s">
        <v>28</v>
      </c>
      <c r="G428" s="199"/>
      <c r="H428" s="77" t="s">
        <v>26</v>
      </c>
      <c r="I428" s="200">
        <v>2238.11</v>
      </c>
      <c r="J428" s="200"/>
      <c r="K428" s="78" t="s">
        <v>29</v>
      </c>
      <c r="L428" s="79">
        <v>11130559.960000001</v>
      </c>
    </row>
    <row r="429" spans="1:12" ht="61.2" x14ac:dyDescent="0.3">
      <c r="A429" s="75" t="s">
        <v>666</v>
      </c>
      <c r="B429" s="76" t="s">
        <v>1344</v>
      </c>
      <c r="C429" s="76" t="s">
        <v>859</v>
      </c>
      <c r="D429" s="76" t="s">
        <v>478</v>
      </c>
      <c r="E429" s="77" t="s">
        <v>523</v>
      </c>
      <c r="F429" s="199" t="s">
        <v>28</v>
      </c>
      <c r="G429" s="199"/>
      <c r="H429" s="77" t="s">
        <v>26</v>
      </c>
      <c r="I429" s="200">
        <v>25680.37</v>
      </c>
      <c r="J429" s="200"/>
      <c r="K429" s="78" t="s">
        <v>29</v>
      </c>
      <c r="L429" s="79">
        <v>11104879.59</v>
      </c>
    </row>
    <row r="430" spans="1:12" ht="61.2" hidden="1" x14ac:dyDescent="0.3">
      <c r="A430" s="75" t="s">
        <v>666</v>
      </c>
      <c r="B430" s="76" t="s">
        <v>675</v>
      </c>
      <c r="C430" s="76" t="s">
        <v>676</v>
      </c>
      <c r="D430" s="76" t="s">
        <v>327</v>
      </c>
      <c r="E430" s="77" t="s">
        <v>26</v>
      </c>
      <c r="F430" s="203">
        <v>7725</v>
      </c>
      <c r="G430" s="203"/>
      <c r="H430" s="77" t="s">
        <v>26</v>
      </c>
      <c r="I430" s="204" t="s">
        <v>28</v>
      </c>
      <c r="J430" s="204"/>
      <c r="K430" s="78" t="s">
        <v>29</v>
      </c>
      <c r="L430" s="79">
        <v>11112604.59</v>
      </c>
    </row>
    <row r="431" spans="1:12" ht="71.400000000000006" hidden="1" x14ac:dyDescent="0.3">
      <c r="A431" s="75" t="s">
        <v>666</v>
      </c>
      <c r="B431" s="76" t="s">
        <v>675</v>
      </c>
      <c r="C431" s="76" t="s">
        <v>677</v>
      </c>
      <c r="D431" s="76" t="s">
        <v>330</v>
      </c>
      <c r="E431" s="77" t="s">
        <v>26</v>
      </c>
      <c r="F431" s="206">
        <v>905.62</v>
      </c>
      <c r="G431" s="206"/>
      <c r="H431" s="77" t="s">
        <v>26</v>
      </c>
      <c r="I431" s="204" t="s">
        <v>28</v>
      </c>
      <c r="J431" s="204"/>
      <c r="K431" s="78" t="s">
        <v>29</v>
      </c>
      <c r="L431" s="79">
        <v>11113510.210000001</v>
      </c>
    </row>
    <row r="432" spans="1:12" ht="71.400000000000006" x14ac:dyDescent="0.3">
      <c r="A432" s="75" t="s">
        <v>666</v>
      </c>
      <c r="B432" s="76" t="s">
        <v>1345</v>
      </c>
      <c r="C432" s="76" t="s">
        <v>522</v>
      </c>
      <c r="D432" s="76" t="s">
        <v>318</v>
      </c>
      <c r="E432" s="77" t="s">
        <v>523</v>
      </c>
      <c r="F432" s="199" t="s">
        <v>28</v>
      </c>
      <c r="G432" s="199"/>
      <c r="H432" s="77" t="s">
        <v>26</v>
      </c>
      <c r="I432" s="200">
        <v>43658.67</v>
      </c>
      <c r="J432" s="200"/>
      <c r="K432" s="78" t="s">
        <v>29</v>
      </c>
      <c r="L432" s="79">
        <v>11069851.539999999</v>
      </c>
    </row>
    <row r="433" spans="1:12" ht="71.400000000000006" x14ac:dyDescent="0.3">
      <c r="A433" s="75" t="s">
        <v>666</v>
      </c>
      <c r="B433" s="76" t="s">
        <v>1345</v>
      </c>
      <c r="C433" s="76" t="s">
        <v>522</v>
      </c>
      <c r="D433" s="76" t="s">
        <v>1162</v>
      </c>
      <c r="E433" s="77" t="s">
        <v>523</v>
      </c>
      <c r="F433" s="199" t="s">
        <v>28</v>
      </c>
      <c r="G433" s="199"/>
      <c r="H433" s="77" t="s">
        <v>26</v>
      </c>
      <c r="I433" s="200">
        <v>43355</v>
      </c>
      <c r="J433" s="200"/>
      <c r="K433" s="78" t="s">
        <v>29</v>
      </c>
      <c r="L433" s="79">
        <v>11026496.539999999</v>
      </c>
    </row>
    <row r="434" spans="1:12" ht="71.400000000000006" x14ac:dyDescent="0.3">
      <c r="A434" s="75" t="s">
        <v>666</v>
      </c>
      <c r="B434" s="76" t="s">
        <v>1345</v>
      </c>
      <c r="C434" s="76" t="s">
        <v>522</v>
      </c>
      <c r="D434" s="76" t="s">
        <v>1178</v>
      </c>
      <c r="E434" s="77" t="s">
        <v>523</v>
      </c>
      <c r="F434" s="199" t="s">
        <v>28</v>
      </c>
      <c r="G434" s="199"/>
      <c r="H434" s="77" t="s">
        <v>26</v>
      </c>
      <c r="I434" s="200">
        <v>53555</v>
      </c>
      <c r="J434" s="200"/>
      <c r="K434" s="78" t="s">
        <v>29</v>
      </c>
      <c r="L434" s="79">
        <v>10972941.539999999</v>
      </c>
    </row>
    <row r="435" spans="1:12" ht="71.400000000000006" x14ac:dyDescent="0.3">
      <c r="A435" s="75" t="s">
        <v>666</v>
      </c>
      <c r="B435" s="76" t="s">
        <v>1345</v>
      </c>
      <c r="C435" s="76" t="s">
        <v>522</v>
      </c>
      <c r="D435" s="76" t="s">
        <v>1178</v>
      </c>
      <c r="E435" s="77" t="s">
        <v>523</v>
      </c>
      <c r="F435" s="199" t="s">
        <v>28</v>
      </c>
      <c r="G435" s="199"/>
      <c r="H435" s="77" t="s">
        <v>26</v>
      </c>
      <c r="I435" s="200">
        <v>21595</v>
      </c>
      <c r="J435" s="200"/>
      <c r="K435" s="78" t="s">
        <v>29</v>
      </c>
      <c r="L435" s="79">
        <v>10951346.539999999</v>
      </c>
    </row>
    <row r="436" spans="1:12" ht="71.400000000000006" x14ac:dyDescent="0.3">
      <c r="A436" s="75" t="s">
        <v>666</v>
      </c>
      <c r="B436" s="76" t="s">
        <v>1345</v>
      </c>
      <c r="C436" s="76" t="s">
        <v>522</v>
      </c>
      <c r="D436" s="76" t="s">
        <v>1214</v>
      </c>
      <c r="E436" s="77" t="s">
        <v>523</v>
      </c>
      <c r="F436" s="199" t="s">
        <v>28</v>
      </c>
      <c r="G436" s="199"/>
      <c r="H436" s="77" t="s">
        <v>26</v>
      </c>
      <c r="I436" s="200">
        <v>53555</v>
      </c>
      <c r="J436" s="200"/>
      <c r="K436" s="78" t="s">
        <v>29</v>
      </c>
      <c r="L436" s="79">
        <v>10897791.539999999</v>
      </c>
    </row>
    <row r="437" spans="1:12" ht="71.400000000000006" x14ac:dyDescent="0.3">
      <c r="A437" s="75" t="s">
        <v>666</v>
      </c>
      <c r="B437" s="76" t="s">
        <v>1345</v>
      </c>
      <c r="C437" s="76" t="s">
        <v>522</v>
      </c>
      <c r="D437" s="76" t="s">
        <v>488</v>
      </c>
      <c r="E437" s="77" t="s">
        <v>523</v>
      </c>
      <c r="F437" s="199" t="s">
        <v>28</v>
      </c>
      <c r="G437" s="199"/>
      <c r="H437" s="77" t="s">
        <v>26</v>
      </c>
      <c r="I437" s="200">
        <v>4195</v>
      </c>
      <c r="J437" s="200"/>
      <c r="K437" s="78" t="s">
        <v>29</v>
      </c>
      <c r="L437" s="79">
        <v>10893596.539999999</v>
      </c>
    </row>
    <row r="438" spans="1:12" ht="61.2" x14ac:dyDescent="0.3">
      <c r="A438" s="75" t="s">
        <v>666</v>
      </c>
      <c r="B438" s="76" t="s">
        <v>1345</v>
      </c>
      <c r="C438" s="76" t="s">
        <v>522</v>
      </c>
      <c r="D438" s="76" t="s">
        <v>441</v>
      </c>
      <c r="E438" s="77" t="s">
        <v>523</v>
      </c>
      <c r="F438" s="199" t="s">
        <v>28</v>
      </c>
      <c r="G438" s="199"/>
      <c r="H438" s="77" t="s">
        <v>26</v>
      </c>
      <c r="I438" s="200">
        <v>3698.92</v>
      </c>
      <c r="J438" s="200"/>
      <c r="K438" s="78" t="s">
        <v>29</v>
      </c>
      <c r="L438" s="79">
        <v>10889897.619999999</v>
      </c>
    </row>
    <row r="439" spans="1:12" ht="61.2" x14ac:dyDescent="0.3">
      <c r="A439" s="75" t="s">
        <v>666</v>
      </c>
      <c r="B439" s="76" t="s">
        <v>1345</v>
      </c>
      <c r="C439" s="76" t="s">
        <v>522</v>
      </c>
      <c r="D439" s="76" t="s">
        <v>1240</v>
      </c>
      <c r="E439" s="77" t="s">
        <v>523</v>
      </c>
      <c r="F439" s="199" t="s">
        <v>28</v>
      </c>
      <c r="G439" s="199"/>
      <c r="H439" s="77" t="s">
        <v>26</v>
      </c>
      <c r="I439" s="200">
        <v>13745.55</v>
      </c>
      <c r="J439" s="200"/>
      <c r="K439" s="78" t="s">
        <v>29</v>
      </c>
      <c r="L439" s="79">
        <v>10876152.07</v>
      </c>
    </row>
    <row r="440" spans="1:12" ht="61.2" x14ac:dyDescent="0.3">
      <c r="A440" s="75" t="s">
        <v>666</v>
      </c>
      <c r="B440" s="76" t="s">
        <v>1345</v>
      </c>
      <c r="C440" s="76" t="s">
        <v>522</v>
      </c>
      <c r="D440" s="76" t="s">
        <v>1240</v>
      </c>
      <c r="E440" s="77" t="s">
        <v>523</v>
      </c>
      <c r="F440" s="199" t="s">
        <v>28</v>
      </c>
      <c r="G440" s="199"/>
      <c r="H440" s="77" t="s">
        <v>26</v>
      </c>
      <c r="I440" s="200">
        <v>3876.95</v>
      </c>
      <c r="J440" s="200"/>
      <c r="K440" s="78" t="s">
        <v>29</v>
      </c>
      <c r="L440" s="79">
        <v>10872275.119999999</v>
      </c>
    </row>
    <row r="441" spans="1:12" ht="61.2" x14ac:dyDescent="0.3">
      <c r="A441" s="75" t="s">
        <v>666</v>
      </c>
      <c r="B441" s="76" t="s">
        <v>1345</v>
      </c>
      <c r="C441" s="76" t="s">
        <v>522</v>
      </c>
      <c r="D441" s="76" t="s">
        <v>585</v>
      </c>
      <c r="E441" s="77" t="s">
        <v>523</v>
      </c>
      <c r="F441" s="199" t="s">
        <v>28</v>
      </c>
      <c r="G441" s="199"/>
      <c r="H441" s="77" t="s">
        <v>26</v>
      </c>
      <c r="I441" s="200">
        <v>2204.7800000000002</v>
      </c>
      <c r="J441" s="200"/>
      <c r="K441" s="78" t="s">
        <v>29</v>
      </c>
      <c r="L441" s="79">
        <v>10870070.34</v>
      </c>
    </row>
    <row r="442" spans="1:12" ht="61.2" x14ac:dyDescent="0.3">
      <c r="A442" s="75" t="s">
        <v>666</v>
      </c>
      <c r="B442" s="76" t="s">
        <v>1345</v>
      </c>
      <c r="C442" s="76" t="s">
        <v>522</v>
      </c>
      <c r="D442" s="76" t="s">
        <v>467</v>
      </c>
      <c r="E442" s="77" t="s">
        <v>523</v>
      </c>
      <c r="F442" s="199" t="s">
        <v>28</v>
      </c>
      <c r="G442" s="199"/>
      <c r="H442" s="77" t="s">
        <v>26</v>
      </c>
      <c r="I442" s="200">
        <v>1136</v>
      </c>
      <c r="J442" s="200"/>
      <c r="K442" s="78" t="s">
        <v>29</v>
      </c>
      <c r="L442" s="79">
        <v>10868934.34</v>
      </c>
    </row>
    <row r="443" spans="1:12" ht="61.2" x14ac:dyDescent="0.3">
      <c r="A443" s="75" t="s">
        <v>666</v>
      </c>
      <c r="B443" s="76" t="s">
        <v>1345</v>
      </c>
      <c r="C443" s="76" t="s">
        <v>522</v>
      </c>
      <c r="D443" s="76" t="s">
        <v>1202</v>
      </c>
      <c r="E443" s="77" t="s">
        <v>523</v>
      </c>
      <c r="F443" s="199" t="s">
        <v>28</v>
      </c>
      <c r="G443" s="199"/>
      <c r="H443" s="77" t="s">
        <v>26</v>
      </c>
      <c r="I443" s="200">
        <v>10497.58</v>
      </c>
      <c r="J443" s="200"/>
      <c r="K443" s="78" t="s">
        <v>29</v>
      </c>
      <c r="L443" s="79">
        <v>10858436.76</v>
      </c>
    </row>
    <row r="444" spans="1:12" ht="61.2" x14ac:dyDescent="0.3">
      <c r="A444" s="75" t="s">
        <v>666</v>
      </c>
      <c r="B444" s="76" t="s">
        <v>1345</v>
      </c>
      <c r="C444" s="76" t="s">
        <v>522</v>
      </c>
      <c r="D444" s="76" t="s">
        <v>1202</v>
      </c>
      <c r="E444" s="77" t="s">
        <v>523</v>
      </c>
      <c r="F444" s="199" t="s">
        <v>28</v>
      </c>
      <c r="G444" s="199"/>
      <c r="H444" s="77" t="s">
        <v>26</v>
      </c>
      <c r="I444" s="200">
        <v>7558.26</v>
      </c>
      <c r="J444" s="200"/>
      <c r="K444" s="78" t="s">
        <v>29</v>
      </c>
      <c r="L444" s="79">
        <v>10850878.5</v>
      </c>
    </row>
    <row r="445" spans="1:12" ht="61.2" x14ac:dyDescent="0.3">
      <c r="A445" s="75" t="s">
        <v>666</v>
      </c>
      <c r="B445" s="76" t="s">
        <v>1345</v>
      </c>
      <c r="C445" s="76" t="s">
        <v>522</v>
      </c>
      <c r="D445" s="76" t="s">
        <v>579</v>
      </c>
      <c r="E445" s="77" t="s">
        <v>523</v>
      </c>
      <c r="F445" s="199" t="s">
        <v>28</v>
      </c>
      <c r="G445" s="199"/>
      <c r="H445" s="77" t="s">
        <v>26</v>
      </c>
      <c r="I445" s="200">
        <v>32611.56</v>
      </c>
      <c r="J445" s="200"/>
      <c r="K445" s="78" t="s">
        <v>29</v>
      </c>
      <c r="L445" s="79">
        <v>10818266.939999999</v>
      </c>
    </row>
    <row r="446" spans="1:12" ht="61.2" x14ac:dyDescent="0.3">
      <c r="A446" s="75" t="s">
        <v>666</v>
      </c>
      <c r="B446" s="76" t="s">
        <v>1345</v>
      </c>
      <c r="C446" s="76" t="s">
        <v>522</v>
      </c>
      <c r="D446" s="76" t="s">
        <v>601</v>
      </c>
      <c r="E446" s="77" t="s">
        <v>523</v>
      </c>
      <c r="F446" s="199" t="s">
        <v>28</v>
      </c>
      <c r="G446" s="199"/>
      <c r="H446" s="77" t="s">
        <v>26</v>
      </c>
      <c r="I446" s="200">
        <v>1343.2</v>
      </c>
      <c r="J446" s="200"/>
      <c r="K446" s="78" t="s">
        <v>29</v>
      </c>
      <c r="L446" s="79">
        <v>10816923.74</v>
      </c>
    </row>
    <row r="447" spans="1:12" ht="61.2" x14ac:dyDescent="0.3">
      <c r="A447" s="75" t="s">
        <v>666</v>
      </c>
      <c r="B447" s="76" t="s">
        <v>1345</v>
      </c>
      <c r="C447" s="76" t="s">
        <v>522</v>
      </c>
      <c r="D447" s="76" t="s">
        <v>601</v>
      </c>
      <c r="E447" s="77" t="s">
        <v>523</v>
      </c>
      <c r="F447" s="199" t="s">
        <v>28</v>
      </c>
      <c r="G447" s="199"/>
      <c r="H447" s="77" t="s">
        <v>26</v>
      </c>
      <c r="I447" s="200">
        <v>13274.02</v>
      </c>
      <c r="J447" s="200"/>
      <c r="K447" s="78" t="s">
        <v>29</v>
      </c>
      <c r="L447" s="79">
        <v>10803649.720000001</v>
      </c>
    </row>
    <row r="448" spans="1:12" ht="61.2" x14ac:dyDescent="0.3">
      <c r="A448" s="75" t="s">
        <v>666</v>
      </c>
      <c r="B448" s="76" t="s">
        <v>1345</v>
      </c>
      <c r="C448" s="76" t="s">
        <v>522</v>
      </c>
      <c r="D448" s="76" t="s">
        <v>621</v>
      </c>
      <c r="E448" s="77" t="s">
        <v>523</v>
      </c>
      <c r="F448" s="199" t="s">
        <v>28</v>
      </c>
      <c r="G448" s="199"/>
      <c r="H448" s="77" t="s">
        <v>26</v>
      </c>
      <c r="I448" s="200">
        <v>19349.419999999998</v>
      </c>
      <c r="J448" s="200"/>
      <c r="K448" s="78" t="s">
        <v>29</v>
      </c>
      <c r="L448" s="79">
        <v>10784300.300000001</v>
      </c>
    </row>
    <row r="449" spans="1:12" ht="61.2" x14ac:dyDescent="0.3">
      <c r="A449" s="75" t="s">
        <v>666</v>
      </c>
      <c r="B449" s="76" t="s">
        <v>1345</v>
      </c>
      <c r="C449" s="76" t="s">
        <v>522</v>
      </c>
      <c r="D449" s="76" t="s">
        <v>621</v>
      </c>
      <c r="E449" s="77" t="s">
        <v>523</v>
      </c>
      <c r="F449" s="199" t="s">
        <v>28</v>
      </c>
      <c r="G449" s="199"/>
      <c r="H449" s="77" t="s">
        <v>26</v>
      </c>
      <c r="I449" s="200">
        <v>12693.77</v>
      </c>
      <c r="J449" s="200"/>
      <c r="K449" s="78" t="s">
        <v>29</v>
      </c>
      <c r="L449" s="79">
        <v>10771606.529999999</v>
      </c>
    </row>
    <row r="450" spans="1:12" ht="61.2" x14ac:dyDescent="0.3">
      <c r="A450" s="75" t="s">
        <v>666</v>
      </c>
      <c r="B450" s="76" t="s">
        <v>1345</v>
      </c>
      <c r="C450" s="76" t="s">
        <v>522</v>
      </c>
      <c r="D450" s="76" t="s">
        <v>621</v>
      </c>
      <c r="E450" s="77" t="s">
        <v>523</v>
      </c>
      <c r="F450" s="199" t="s">
        <v>28</v>
      </c>
      <c r="G450" s="199"/>
      <c r="H450" s="77" t="s">
        <v>26</v>
      </c>
      <c r="I450" s="200">
        <v>7410.41</v>
      </c>
      <c r="J450" s="200"/>
      <c r="K450" s="78" t="s">
        <v>29</v>
      </c>
      <c r="L450" s="79">
        <v>10764196.119999999</v>
      </c>
    </row>
    <row r="451" spans="1:12" ht="61.2" x14ac:dyDescent="0.3">
      <c r="A451" s="75" t="s">
        <v>666</v>
      </c>
      <c r="B451" s="76" t="s">
        <v>1345</v>
      </c>
      <c r="C451" s="76" t="s">
        <v>522</v>
      </c>
      <c r="D451" s="76" t="s">
        <v>658</v>
      </c>
      <c r="E451" s="77" t="s">
        <v>523</v>
      </c>
      <c r="F451" s="199" t="s">
        <v>28</v>
      </c>
      <c r="G451" s="199"/>
      <c r="H451" s="77" t="s">
        <v>26</v>
      </c>
      <c r="I451" s="200">
        <v>11205.92</v>
      </c>
      <c r="J451" s="200"/>
      <c r="K451" s="78" t="s">
        <v>29</v>
      </c>
      <c r="L451" s="79">
        <v>10752990.199999999</v>
      </c>
    </row>
    <row r="452" spans="1:12" ht="61.2" x14ac:dyDescent="0.3">
      <c r="A452" s="75" t="s">
        <v>666</v>
      </c>
      <c r="B452" s="76" t="s">
        <v>1345</v>
      </c>
      <c r="C452" s="76" t="s">
        <v>522</v>
      </c>
      <c r="D452" s="76" t="s">
        <v>467</v>
      </c>
      <c r="E452" s="77" t="s">
        <v>523</v>
      </c>
      <c r="F452" s="199" t="s">
        <v>28</v>
      </c>
      <c r="G452" s="199"/>
      <c r="H452" s="77" t="s">
        <v>26</v>
      </c>
      <c r="I452" s="200">
        <v>23709.38</v>
      </c>
      <c r="J452" s="200"/>
      <c r="K452" s="78" t="s">
        <v>29</v>
      </c>
      <c r="L452" s="79">
        <v>10729280.82</v>
      </c>
    </row>
    <row r="453" spans="1:12" ht="61.2" x14ac:dyDescent="0.3">
      <c r="A453" s="75" t="s">
        <v>666</v>
      </c>
      <c r="B453" s="76" t="s">
        <v>1345</v>
      </c>
      <c r="C453" s="76" t="s">
        <v>522</v>
      </c>
      <c r="D453" s="76" t="s">
        <v>478</v>
      </c>
      <c r="E453" s="77" t="s">
        <v>523</v>
      </c>
      <c r="F453" s="199" t="s">
        <v>28</v>
      </c>
      <c r="G453" s="199"/>
      <c r="H453" s="77" t="s">
        <v>26</v>
      </c>
      <c r="I453" s="200">
        <v>1627.35</v>
      </c>
      <c r="J453" s="200"/>
      <c r="K453" s="78" t="s">
        <v>29</v>
      </c>
      <c r="L453" s="79">
        <v>10727653.470000001</v>
      </c>
    </row>
    <row r="454" spans="1:12" ht="61.2" x14ac:dyDescent="0.3">
      <c r="A454" s="75" t="s">
        <v>666</v>
      </c>
      <c r="B454" s="76" t="s">
        <v>1346</v>
      </c>
      <c r="C454" s="76" t="s">
        <v>522</v>
      </c>
      <c r="D454" s="76" t="s">
        <v>1226</v>
      </c>
      <c r="E454" s="77" t="s">
        <v>523</v>
      </c>
      <c r="F454" s="199" t="s">
        <v>28</v>
      </c>
      <c r="G454" s="199"/>
      <c r="H454" s="77" t="s">
        <v>26</v>
      </c>
      <c r="I454" s="200">
        <v>49753.33</v>
      </c>
      <c r="J454" s="200"/>
      <c r="K454" s="78" t="s">
        <v>29</v>
      </c>
      <c r="L454" s="79">
        <v>10677900.140000001</v>
      </c>
    </row>
    <row r="455" spans="1:12" ht="61.2" x14ac:dyDescent="0.3">
      <c r="A455" s="75" t="s">
        <v>666</v>
      </c>
      <c r="B455" s="76" t="s">
        <v>1346</v>
      </c>
      <c r="C455" s="76" t="s">
        <v>522</v>
      </c>
      <c r="D455" s="76" t="s">
        <v>1230</v>
      </c>
      <c r="E455" s="77" t="s">
        <v>523</v>
      </c>
      <c r="F455" s="199" t="s">
        <v>28</v>
      </c>
      <c r="G455" s="199"/>
      <c r="H455" s="77" t="s">
        <v>26</v>
      </c>
      <c r="I455" s="200">
        <v>169040</v>
      </c>
      <c r="J455" s="200"/>
      <c r="K455" s="78" t="s">
        <v>29</v>
      </c>
      <c r="L455" s="79">
        <v>10508860.140000001</v>
      </c>
    </row>
    <row r="456" spans="1:12" ht="61.2" x14ac:dyDescent="0.3">
      <c r="A456" s="75" t="s">
        <v>666</v>
      </c>
      <c r="B456" s="76" t="s">
        <v>1346</v>
      </c>
      <c r="C456" s="76" t="s">
        <v>522</v>
      </c>
      <c r="D456" s="76" t="s">
        <v>1230</v>
      </c>
      <c r="E456" s="77" t="s">
        <v>523</v>
      </c>
      <c r="F456" s="199" t="s">
        <v>28</v>
      </c>
      <c r="G456" s="199"/>
      <c r="H456" s="77" t="s">
        <v>26</v>
      </c>
      <c r="I456" s="200">
        <v>13970</v>
      </c>
      <c r="J456" s="200"/>
      <c r="K456" s="78" t="s">
        <v>29</v>
      </c>
      <c r="L456" s="79">
        <v>10494890.140000001</v>
      </c>
    </row>
    <row r="457" spans="1:12" ht="61.2" x14ac:dyDescent="0.3">
      <c r="A457" s="75" t="s">
        <v>666</v>
      </c>
      <c r="B457" s="76" t="s">
        <v>1346</v>
      </c>
      <c r="C457" s="76" t="s">
        <v>522</v>
      </c>
      <c r="D457" s="76" t="s">
        <v>676</v>
      </c>
      <c r="E457" s="77" t="s">
        <v>523</v>
      </c>
      <c r="F457" s="199" t="s">
        <v>28</v>
      </c>
      <c r="G457" s="199"/>
      <c r="H457" s="77" t="s">
        <v>26</v>
      </c>
      <c r="I457" s="200">
        <v>7725</v>
      </c>
      <c r="J457" s="200"/>
      <c r="K457" s="78" t="s">
        <v>29</v>
      </c>
      <c r="L457" s="79">
        <v>10487165.140000001</v>
      </c>
    </row>
    <row r="458" spans="1:12" ht="71.400000000000006" x14ac:dyDescent="0.3">
      <c r="A458" s="75" t="s">
        <v>666</v>
      </c>
      <c r="B458" s="76" t="s">
        <v>1346</v>
      </c>
      <c r="C458" s="76" t="s">
        <v>522</v>
      </c>
      <c r="D458" s="76" t="s">
        <v>677</v>
      </c>
      <c r="E458" s="77" t="s">
        <v>523</v>
      </c>
      <c r="F458" s="199" t="s">
        <v>28</v>
      </c>
      <c r="G458" s="199"/>
      <c r="H458" s="77" t="s">
        <v>26</v>
      </c>
      <c r="I458" s="205">
        <v>905.62</v>
      </c>
      <c r="J458" s="205"/>
      <c r="K458" s="78" t="s">
        <v>29</v>
      </c>
      <c r="L458" s="79">
        <v>10486259.52</v>
      </c>
    </row>
    <row r="459" spans="1:12" ht="61.2" x14ac:dyDescent="0.3">
      <c r="A459" s="75" t="s">
        <v>666</v>
      </c>
      <c r="B459" s="76" t="s">
        <v>1346</v>
      </c>
      <c r="C459" s="76" t="s">
        <v>522</v>
      </c>
      <c r="D459" s="76" t="s">
        <v>1234</v>
      </c>
      <c r="E459" s="77" t="s">
        <v>523</v>
      </c>
      <c r="F459" s="199" t="s">
        <v>28</v>
      </c>
      <c r="G459" s="199"/>
      <c r="H459" s="77" t="s">
        <v>26</v>
      </c>
      <c r="I459" s="200">
        <v>23870</v>
      </c>
      <c r="J459" s="200"/>
      <c r="K459" s="78" t="s">
        <v>29</v>
      </c>
      <c r="L459" s="79">
        <v>10462389.52</v>
      </c>
    </row>
    <row r="460" spans="1:12" ht="61.2" x14ac:dyDescent="0.3">
      <c r="A460" s="75" t="s">
        <v>666</v>
      </c>
      <c r="B460" s="76" t="s">
        <v>1346</v>
      </c>
      <c r="C460" s="76" t="s">
        <v>522</v>
      </c>
      <c r="D460" s="76" t="s">
        <v>1236</v>
      </c>
      <c r="E460" s="77" t="s">
        <v>523</v>
      </c>
      <c r="F460" s="199" t="s">
        <v>28</v>
      </c>
      <c r="G460" s="199"/>
      <c r="H460" s="77" t="s">
        <v>26</v>
      </c>
      <c r="I460" s="200">
        <v>12665</v>
      </c>
      <c r="J460" s="200"/>
      <c r="K460" s="78" t="s">
        <v>29</v>
      </c>
      <c r="L460" s="79">
        <v>10449724.52</v>
      </c>
    </row>
    <row r="461" spans="1:12" ht="61.2" x14ac:dyDescent="0.3">
      <c r="A461" s="75" t="s">
        <v>666</v>
      </c>
      <c r="B461" s="76" t="s">
        <v>1346</v>
      </c>
      <c r="C461" s="76" t="s">
        <v>522</v>
      </c>
      <c r="D461" s="76" t="s">
        <v>1238</v>
      </c>
      <c r="E461" s="77" t="s">
        <v>523</v>
      </c>
      <c r="F461" s="199" t="s">
        <v>28</v>
      </c>
      <c r="G461" s="199"/>
      <c r="H461" s="77" t="s">
        <v>26</v>
      </c>
      <c r="I461" s="200">
        <v>11200</v>
      </c>
      <c r="J461" s="200"/>
      <c r="K461" s="78" t="s">
        <v>29</v>
      </c>
      <c r="L461" s="79">
        <v>10438524.52</v>
      </c>
    </row>
    <row r="462" spans="1:12" ht="71.400000000000006" x14ac:dyDescent="0.3">
      <c r="A462" s="75" t="s">
        <v>666</v>
      </c>
      <c r="B462" s="76" t="s">
        <v>1346</v>
      </c>
      <c r="C462" s="76" t="s">
        <v>522</v>
      </c>
      <c r="D462" s="76" t="s">
        <v>503</v>
      </c>
      <c r="E462" s="77" t="s">
        <v>523</v>
      </c>
      <c r="F462" s="199" t="s">
        <v>28</v>
      </c>
      <c r="G462" s="199"/>
      <c r="H462" s="77" t="s">
        <v>26</v>
      </c>
      <c r="I462" s="200">
        <v>1840.22</v>
      </c>
      <c r="J462" s="200"/>
      <c r="K462" s="78" t="s">
        <v>29</v>
      </c>
      <c r="L462" s="79">
        <v>10436684.300000001</v>
      </c>
    </row>
    <row r="463" spans="1:12" ht="61.2" x14ac:dyDescent="0.3">
      <c r="A463" s="75" t="s">
        <v>666</v>
      </c>
      <c r="B463" s="76" t="s">
        <v>1346</v>
      </c>
      <c r="C463" s="76" t="s">
        <v>522</v>
      </c>
      <c r="D463" s="76" t="s">
        <v>478</v>
      </c>
      <c r="E463" s="77" t="s">
        <v>523</v>
      </c>
      <c r="F463" s="199" t="s">
        <v>28</v>
      </c>
      <c r="G463" s="199"/>
      <c r="H463" s="77" t="s">
        <v>26</v>
      </c>
      <c r="I463" s="200">
        <v>6033.1</v>
      </c>
      <c r="J463" s="200"/>
      <c r="K463" s="78" t="s">
        <v>29</v>
      </c>
      <c r="L463" s="79">
        <v>10430651.199999999</v>
      </c>
    </row>
    <row r="464" spans="1:12" ht="61.2" x14ac:dyDescent="0.3">
      <c r="A464" s="75" t="s">
        <v>666</v>
      </c>
      <c r="B464" s="76" t="s">
        <v>1346</v>
      </c>
      <c r="C464" s="76" t="s">
        <v>522</v>
      </c>
      <c r="D464" s="76" t="s">
        <v>650</v>
      </c>
      <c r="E464" s="77" t="s">
        <v>523</v>
      </c>
      <c r="F464" s="199" t="s">
        <v>28</v>
      </c>
      <c r="G464" s="199"/>
      <c r="H464" s="77" t="s">
        <v>26</v>
      </c>
      <c r="I464" s="200">
        <v>11475.36</v>
      </c>
      <c r="J464" s="200"/>
      <c r="K464" s="78" t="s">
        <v>29</v>
      </c>
      <c r="L464" s="79">
        <v>10419175.84</v>
      </c>
    </row>
    <row r="465" spans="1:12" ht="61.2" x14ac:dyDescent="0.3">
      <c r="A465" s="75" t="s">
        <v>666</v>
      </c>
      <c r="B465" s="76" t="s">
        <v>1347</v>
      </c>
      <c r="C465" s="76" t="s">
        <v>522</v>
      </c>
      <c r="D465" s="76" t="s">
        <v>1043</v>
      </c>
      <c r="E465" s="77" t="s">
        <v>523</v>
      </c>
      <c r="F465" s="199" t="s">
        <v>28</v>
      </c>
      <c r="G465" s="199"/>
      <c r="H465" s="77" t="s">
        <v>26</v>
      </c>
      <c r="I465" s="200">
        <v>47075.66</v>
      </c>
      <c r="J465" s="200"/>
      <c r="K465" s="78" t="s">
        <v>29</v>
      </c>
      <c r="L465" s="79">
        <v>10372100.18</v>
      </c>
    </row>
    <row r="466" spans="1:12" ht="61.2" x14ac:dyDescent="0.3">
      <c r="A466" s="75" t="s">
        <v>666</v>
      </c>
      <c r="B466" s="76" t="s">
        <v>1347</v>
      </c>
      <c r="C466" s="76" t="s">
        <v>522</v>
      </c>
      <c r="D466" s="76" t="s">
        <v>1043</v>
      </c>
      <c r="E466" s="77" t="s">
        <v>523</v>
      </c>
      <c r="F466" s="199" t="s">
        <v>28</v>
      </c>
      <c r="G466" s="199"/>
      <c r="H466" s="77" t="s">
        <v>26</v>
      </c>
      <c r="I466" s="200">
        <v>24435.98</v>
      </c>
      <c r="J466" s="200"/>
      <c r="K466" s="78" t="s">
        <v>29</v>
      </c>
      <c r="L466" s="79">
        <v>10347664.199999999</v>
      </c>
    </row>
    <row r="467" spans="1:12" ht="61.2" x14ac:dyDescent="0.3">
      <c r="A467" s="75" t="s">
        <v>666</v>
      </c>
      <c r="B467" s="76" t="s">
        <v>1347</v>
      </c>
      <c r="C467" s="76" t="s">
        <v>522</v>
      </c>
      <c r="D467" s="76" t="s">
        <v>1045</v>
      </c>
      <c r="E467" s="77" t="s">
        <v>523</v>
      </c>
      <c r="F467" s="199" t="s">
        <v>28</v>
      </c>
      <c r="G467" s="199"/>
      <c r="H467" s="77" t="s">
        <v>26</v>
      </c>
      <c r="I467" s="200">
        <v>94434.92</v>
      </c>
      <c r="J467" s="200"/>
      <c r="K467" s="78" t="s">
        <v>29</v>
      </c>
      <c r="L467" s="79">
        <v>10253229.279999999</v>
      </c>
    </row>
    <row r="468" spans="1:12" ht="71.400000000000006" x14ac:dyDescent="0.3">
      <c r="A468" s="75" t="s">
        <v>666</v>
      </c>
      <c r="B468" s="76" t="s">
        <v>1347</v>
      </c>
      <c r="C468" s="76" t="s">
        <v>522</v>
      </c>
      <c r="D468" s="76" t="s">
        <v>1321</v>
      </c>
      <c r="E468" s="77" t="s">
        <v>523</v>
      </c>
      <c r="F468" s="199" t="s">
        <v>28</v>
      </c>
      <c r="G468" s="199"/>
      <c r="H468" s="77" t="s">
        <v>26</v>
      </c>
      <c r="I468" s="200">
        <v>30154.18</v>
      </c>
      <c r="J468" s="200"/>
      <c r="K468" s="78" t="s">
        <v>29</v>
      </c>
      <c r="L468" s="79">
        <v>10223075.1</v>
      </c>
    </row>
    <row r="469" spans="1:12" ht="61.2" x14ac:dyDescent="0.3">
      <c r="A469" s="75" t="s">
        <v>666</v>
      </c>
      <c r="B469" s="76" t="s">
        <v>1347</v>
      </c>
      <c r="C469" s="76" t="s">
        <v>522</v>
      </c>
      <c r="D469" s="76" t="s">
        <v>1046</v>
      </c>
      <c r="E469" s="77" t="s">
        <v>523</v>
      </c>
      <c r="F469" s="199" t="s">
        <v>28</v>
      </c>
      <c r="G469" s="199"/>
      <c r="H469" s="77" t="s">
        <v>26</v>
      </c>
      <c r="I469" s="200">
        <v>12447.87</v>
      </c>
      <c r="J469" s="200"/>
      <c r="K469" s="78" t="s">
        <v>29</v>
      </c>
      <c r="L469" s="79">
        <v>10210627.23</v>
      </c>
    </row>
    <row r="470" spans="1:12" ht="71.400000000000006" x14ac:dyDescent="0.3">
      <c r="A470" s="75" t="s">
        <v>666</v>
      </c>
      <c r="B470" s="76" t="s">
        <v>1347</v>
      </c>
      <c r="C470" s="76" t="s">
        <v>522</v>
      </c>
      <c r="D470" s="76" t="s">
        <v>1106</v>
      </c>
      <c r="E470" s="77" t="s">
        <v>523</v>
      </c>
      <c r="F470" s="199" t="s">
        <v>28</v>
      </c>
      <c r="G470" s="199"/>
      <c r="H470" s="77" t="s">
        <v>26</v>
      </c>
      <c r="I470" s="200">
        <v>1046.5</v>
      </c>
      <c r="J470" s="200"/>
      <c r="K470" s="78" t="s">
        <v>29</v>
      </c>
      <c r="L470" s="79">
        <v>10209580.73</v>
      </c>
    </row>
    <row r="471" spans="1:12" ht="61.2" x14ac:dyDescent="0.3">
      <c r="A471" s="75" t="s">
        <v>666</v>
      </c>
      <c r="B471" s="76" t="s">
        <v>1347</v>
      </c>
      <c r="C471" s="76" t="s">
        <v>522</v>
      </c>
      <c r="D471" s="76" t="s">
        <v>1067</v>
      </c>
      <c r="E471" s="77" t="s">
        <v>523</v>
      </c>
      <c r="F471" s="199" t="s">
        <v>28</v>
      </c>
      <c r="G471" s="199"/>
      <c r="H471" s="77" t="s">
        <v>26</v>
      </c>
      <c r="I471" s="200">
        <v>15219.02</v>
      </c>
      <c r="J471" s="200"/>
      <c r="K471" s="78" t="s">
        <v>29</v>
      </c>
      <c r="L471" s="79">
        <v>10194361.710000001</v>
      </c>
    </row>
    <row r="472" spans="1:12" ht="81.599999999999994" x14ac:dyDescent="0.3">
      <c r="A472" s="75" t="s">
        <v>666</v>
      </c>
      <c r="B472" s="76" t="s">
        <v>1347</v>
      </c>
      <c r="C472" s="76" t="s">
        <v>522</v>
      </c>
      <c r="D472" s="76" t="s">
        <v>1098</v>
      </c>
      <c r="E472" s="77" t="s">
        <v>523</v>
      </c>
      <c r="F472" s="199" t="s">
        <v>28</v>
      </c>
      <c r="G472" s="199"/>
      <c r="H472" s="77" t="s">
        <v>26</v>
      </c>
      <c r="I472" s="200">
        <v>2863.75</v>
      </c>
      <c r="J472" s="200"/>
      <c r="K472" s="78" t="s">
        <v>29</v>
      </c>
      <c r="L472" s="79">
        <v>10191497.960000001</v>
      </c>
    </row>
    <row r="473" spans="1:12" ht="71.400000000000006" x14ac:dyDescent="0.3">
      <c r="A473" s="75" t="s">
        <v>666</v>
      </c>
      <c r="B473" s="76" t="s">
        <v>1347</v>
      </c>
      <c r="C473" s="76" t="s">
        <v>522</v>
      </c>
      <c r="D473" s="76" t="s">
        <v>1099</v>
      </c>
      <c r="E473" s="77" t="s">
        <v>523</v>
      </c>
      <c r="F473" s="199" t="s">
        <v>28</v>
      </c>
      <c r="G473" s="199"/>
      <c r="H473" s="77" t="s">
        <v>26</v>
      </c>
      <c r="I473" s="205">
        <v>949.33</v>
      </c>
      <c r="J473" s="205"/>
      <c r="K473" s="78" t="s">
        <v>29</v>
      </c>
      <c r="L473" s="79">
        <v>10190548.630000001</v>
      </c>
    </row>
    <row r="474" spans="1:12" ht="61.2" x14ac:dyDescent="0.3">
      <c r="A474" s="75" t="s">
        <v>666</v>
      </c>
      <c r="B474" s="76" t="s">
        <v>1347</v>
      </c>
      <c r="C474" s="76" t="s">
        <v>522</v>
      </c>
      <c r="D474" s="76" t="s">
        <v>1317</v>
      </c>
      <c r="E474" s="77" t="s">
        <v>523</v>
      </c>
      <c r="F474" s="199" t="s">
        <v>28</v>
      </c>
      <c r="G474" s="199"/>
      <c r="H474" s="77" t="s">
        <v>26</v>
      </c>
      <c r="I474" s="200">
        <v>213881.63</v>
      </c>
      <c r="J474" s="200"/>
      <c r="K474" s="78" t="s">
        <v>29</v>
      </c>
      <c r="L474" s="79">
        <v>9976667</v>
      </c>
    </row>
    <row r="475" spans="1:12" ht="61.2" x14ac:dyDescent="0.3">
      <c r="A475" s="75" t="s">
        <v>666</v>
      </c>
      <c r="B475" s="76" t="s">
        <v>1347</v>
      </c>
      <c r="C475" s="76" t="s">
        <v>522</v>
      </c>
      <c r="D475" s="76" t="s">
        <v>1060</v>
      </c>
      <c r="E475" s="77" t="s">
        <v>523</v>
      </c>
      <c r="F475" s="199" t="s">
        <v>28</v>
      </c>
      <c r="G475" s="199"/>
      <c r="H475" s="77" t="s">
        <v>26</v>
      </c>
      <c r="I475" s="205">
        <v>614.53</v>
      </c>
      <c r="J475" s="205"/>
      <c r="K475" s="78" t="s">
        <v>29</v>
      </c>
      <c r="L475" s="79">
        <v>9976052.4700000007</v>
      </c>
    </row>
    <row r="476" spans="1:12" ht="61.2" x14ac:dyDescent="0.3">
      <c r="A476" s="75" t="s">
        <v>666</v>
      </c>
      <c r="B476" s="76" t="s">
        <v>1347</v>
      </c>
      <c r="C476" s="76" t="s">
        <v>522</v>
      </c>
      <c r="D476" s="76" t="s">
        <v>1061</v>
      </c>
      <c r="E476" s="77" t="s">
        <v>523</v>
      </c>
      <c r="F476" s="199" t="s">
        <v>28</v>
      </c>
      <c r="G476" s="199"/>
      <c r="H476" s="77" t="s">
        <v>26</v>
      </c>
      <c r="I476" s="200">
        <v>11648.2</v>
      </c>
      <c r="J476" s="200"/>
      <c r="K476" s="78" t="s">
        <v>29</v>
      </c>
      <c r="L476" s="79">
        <v>9964404.2699999996</v>
      </c>
    </row>
    <row r="477" spans="1:12" ht="71.400000000000006" x14ac:dyDescent="0.3">
      <c r="A477" s="75" t="s">
        <v>666</v>
      </c>
      <c r="B477" s="76" t="s">
        <v>1347</v>
      </c>
      <c r="C477" s="76" t="s">
        <v>522</v>
      </c>
      <c r="D477" s="76" t="s">
        <v>1113</v>
      </c>
      <c r="E477" s="77" t="s">
        <v>523</v>
      </c>
      <c r="F477" s="199" t="s">
        <v>28</v>
      </c>
      <c r="G477" s="199"/>
      <c r="H477" s="77" t="s">
        <v>26</v>
      </c>
      <c r="I477" s="200">
        <v>10637.9</v>
      </c>
      <c r="J477" s="200"/>
      <c r="K477" s="78" t="s">
        <v>29</v>
      </c>
      <c r="L477" s="79">
        <v>9953766.3699999992</v>
      </c>
    </row>
    <row r="478" spans="1:12" ht="71.400000000000006" x14ac:dyDescent="0.3">
      <c r="A478" s="75" t="s">
        <v>666</v>
      </c>
      <c r="B478" s="76" t="s">
        <v>1347</v>
      </c>
      <c r="C478" s="76" t="s">
        <v>522</v>
      </c>
      <c r="D478" s="76" t="s">
        <v>1104</v>
      </c>
      <c r="E478" s="77" t="s">
        <v>523</v>
      </c>
      <c r="F478" s="199" t="s">
        <v>28</v>
      </c>
      <c r="G478" s="199"/>
      <c r="H478" s="77" t="s">
        <v>26</v>
      </c>
      <c r="I478" s="200">
        <v>83993.46</v>
      </c>
      <c r="J478" s="200"/>
      <c r="K478" s="78" t="s">
        <v>29</v>
      </c>
      <c r="L478" s="79">
        <v>9869772.9100000001</v>
      </c>
    </row>
    <row r="479" spans="1:12" ht="71.400000000000006" x14ac:dyDescent="0.3">
      <c r="A479" s="75" t="s">
        <v>666</v>
      </c>
      <c r="B479" s="76" t="s">
        <v>1347</v>
      </c>
      <c r="C479" s="76" t="s">
        <v>522</v>
      </c>
      <c r="D479" s="76" t="s">
        <v>1335</v>
      </c>
      <c r="E479" s="77" t="s">
        <v>523</v>
      </c>
      <c r="F479" s="199" t="s">
        <v>28</v>
      </c>
      <c r="G479" s="199"/>
      <c r="H479" s="77" t="s">
        <v>26</v>
      </c>
      <c r="I479" s="200">
        <v>129561.25</v>
      </c>
      <c r="J479" s="200"/>
      <c r="K479" s="78" t="s">
        <v>29</v>
      </c>
      <c r="L479" s="79">
        <v>9740211.6600000001</v>
      </c>
    </row>
    <row r="480" spans="1:12" ht="61.2" x14ac:dyDescent="0.3">
      <c r="A480" s="75" t="s">
        <v>666</v>
      </c>
      <c r="B480" s="76" t="s">
        <v>1347</v>
      </c>
      <c r="C480" s="76" t="s">
        <v>522</v>
      </c>
      <c r="D480" s="76" t="s">
        <v>1054</v>
      </c>
      <c r="E480" s="77" t="s">
        <v>523</v>
      </c>
      <c r="F480" s="199" t="s">
        <v>28</v>
      </c>
      <c r="G480" s="199"/>
      <c r="H480" s="77" t="s">
        <v>26</v>
      </c>
      <c r="I480" s="200">
        <v>36806.58</v>
      </c>
      <c r="J480" s="200"/>
      <c r="K480" s="78" t="s">
        <v>29</v>
      </c>
      <c r="L480" s="79">
        <v>9703405.0800000001</v>
      </c>
    </row>
    <row r="481" spans="1:12" ht="61.2" x14ac:dyDescent="0.3">
      <c r="A481" s="75" t="s">
        <v>666</v>
      </c>
      <c r="B481" s="76" t="s">
        <v>1348</v>
      </c>
      <c r="C481" s="76" t="s">
        <v>522</v>
      </c>
      <c r="D481" s="76" t="s">
        <v>1060</v>
      </c>
      <c r="E481" s="77" t="s">
        <v>523</v>
      </c>
      <c r="F481" s="199" t="s">
        <v>28</v>
      </c>
      <c r="G481" s="199"/>
      <c r="H481" s="77" t="s">
        <v>26</v>
      </c>
      <c r="I481" s="200">
        <v>3826.87</v>
      </c>
      <c r="J481" s="200"/>
      <c r="K481" s="78" t="s">
        <v>29</v>
      </c>
      <c r="L481" s="79">
        <v>9699578.2100000009</v>
      </c>
    </row>
    <row r="482" spans="1:12" ht="61.2" x14ac:dyDescent="0.3">
      <c r="A482" s="75" t="s">
        <v>666</v>
      </c>
      <c r="B482" s="76" t="s">
        <v>1348</v>
      </c>
      <c r="C482" s="76" t="s">
        <v>522</v>
      </c>
      <c r="D482" s="76" t="s">
        <v>1061</v>
      </c>
      <c r="E482" s="77" t="s">
        <v>523</v>
      </c>
      <c r="F482" s="199" t="s">
        <v>28</v>
      </c>
      <c r="G482" s="199"/>
      <c r="H482" s="77" t="s">
        <v>26</v>
      </c>
      <c r="I482" s="200">
        <v>22011.46</v>
      </c>
      <c r="J482" s="200"/>
      <c r="K482" s="78" t="s">
        <v>29</v>
      </c>
      <c r="L482" s="79">
        <v>9677566.75</v>
      </c>
    </row>
    <row r="483" spans="1:12" ht="71.400000000000006" x14ac:dyDescent="0.3">
      <c r="A483" s="75" t="s">
        <v>666</v>
      </c>
      <c r="B483" s="76" t="s">
        <v>1348</v>
      </c>
      <c r="C483" s="76" t="s">
        <v>522</v>
      </c>
      <c r="D483" s="76" t="s">
        <v>1113</v>
      </c>
      <c r="E483" s="77" t="s">
        <v>523</v>
      </c>
      <c r="F483" s="199" t="s">
        <v>28</v>
      </c>
      <c r="G483" s="199"/>
      <c r="H483" s="77" t="s">
        <v>26</v>
      </c>
      <c r="I483" s="200">
        <v>7335.48</v>
      </c>
      <c r="J483" s="200"/>
      <c r="K483" s="78" t="s">
        <v>29</v>
      </c>
      <c r="L483" s="79">
        <v>9670231.2699999996</v>
      </c>
    </row>
    <row r="484" spans="1:12" ht="71.400000000000006" x14ac:dyDescent="0.3">
      <c r="A484" s="75" t="s">
        <v>666</v>
      </c>
      <c r="B484" s="76" t="s">
        <v>1348</v>
      </c>
      <c r="C484" s="76" t="s">
        <v>522</v>
      </c>
      <c r="D484" s="76" t="s">
        <v>1104</v>
      </c>
      <c r="E484" s="77" t="s">
        <v>523</v>
      </c>
      <c r="F484" s="199" t="s">
        <v>28</v>
      </c>
      <c r="G484" s="199"/>
      <c r="H484" s="77" t="s">
        <v>26</v>
      </c>
      <c r="I484" s="200">
        <v>132775.04999999999</v>
      </c>
      <c r="J484" s="200"/>
      <c r="K484" s="78" t="s">
        <v>29</v>
      </c>
      <c r="L484" s="79">
        <v>9537456.2200000007</v>
      </c>
    </row>
    <row r="485" spans="1:12" ht="71.400000000000006" x14ac:dyDescent="0.3">
      <c r="A485" s="75" t="s">
        <v>666</v>
      </c>
      <c r="B485" s="76" t="s">
        <v>1348</v>
      </c>
      <c r="C485" s="76" t="s">
        <v>522</v>
      </c>
      <c r="D485" s="76" t="s">
        <v>1082</v>
      </c>
      <c r="E485" s="77" t="s">
        <v>523</v>
      </c>
      <c r="F485" s="199" t="s">
        <v>28</v>
      </c>
      <c r="G485" s="199"/>
      <c r="H485" s="77" t="s">
        <v>26</v>
      </c>
      <c r="I485" s="200">
        <v>28567.75</v>
      </c>
      <c r="J485" s="200"/>
      <c r="K485" s="78" t="s">
        <v>29</v>
      </c>
      <c r="L485" s="79">
        <v>9508888.4700000007</v>
      </c>
    </row>
    <row r="486" spans="1:12" ht="61.2" x14ac:dyDescent="0.3">
      <c r="A486" s="75" t="s">
        <v>666</v>
      </c>
      <c r="B486" s="76" t="s">
        <v>1348</v>
      </c>
      <c r="C486" s="76" t="s">
        <v>522</v>
      </c>
      <c r="D486" s="76" t="s">
        <v>1103</v>
      </c>
      <c r="E486" s="77" t="s">
        <v>523</v>
      </c>
      <c r="F486" s="199" t="s">
        <v>28</v>
      </c>
      <c r="G486" s="199"/>
      <c r="H486" s="77" t="s">
        <v>26</v>
      </c>
      <c r="I486" s="200">
        <v>10561.54</v>
      </c>
      <c r="J486" s="200"/>
      <c r="K486" s="78" t="s">
        <v>29</v>
      </c>
      <c r="L486" s="79">
        <v>9498326.9299999997</v>
      </c>
    </row>
    <row r="487" spans="1:12" ht="71.400000000000006" x14ac:dyDescent="0.3">
      <c r="A487" s="75" t="s">
        <v>666</v>
      </c>
      <c r="B487" s="76" t="s">
        <v>1348</v>
      </c>
      <c r="C487" s="76" t="s">
        <v>522</v>
      </c>
      <c r="D487" s="76" t="s">
        <v>1271</v>
      </c>
      <c r="E487" s="77" t="s">
        <v>523</v>
      </c>
      <c r="F487" s="199" t="s">
        <v>28</v>
      </c>
      <c r="G487" s="199"/>
      <c r="H487" s="77" t="s">
        <v>26</v>
      </c>
      <c r="I487" s="200">
        <v>34248.480000000003</v>
      </c>
      <c r="J487" s="200"/>
      <c r="K487" s="78" t="s">
        <v>29</v>
      </c>
      <c r="L487" s="79">
        <v>9464078.4499999993</v>
      </c>
    </row>
    <row r="488" spans="1:12" ht="61.2" x14ac:dyDescent="0.3">
      <c r="A488" s="75" t="s">
        <v>666</v>
      </c>
      <c r="B488" s="76" t="s">
        <v>1348</v>
      </c>
      <c r="C488" s="76" t="s">
        <v>522</v>
      </c>
      <c r="D488" s="76" t="s">
        <v>1054</v>
      </c>
      <c r="E488" s="77" t="s">
        <v>523</v>
      </c>
      <c r="F488" s="199" t="s">
        <v>28</v>
      </c>
      <c r="G488" s="199"/>
      <c r="H488" s="77" t="s">
        <v>26</v>
      </c>
      <c r="I488" s="200">
        <v>186866.43</v>
      </c>
      <c r="J488" s="200"/>
      <c r="K488" s="78" t="s">
        <v>29</v>
      </c>
      <c r="L488" s="79">
        <v>9277212.0199999996</v>
      </c>
    </row>
    <row r="489" spans="1:12" ht="61.2" x14ac:dyDescent="0.3">
      <c r="A489" s="75" t="s">
        <v>666</v>
      </c>
      <c r="B489" s="76" t="s">
        <v>1348</v>
      </c>
      <c r="C489" s="76" t="s">
        <v>522</v>
      </c>
      <c r="D489" s="76" t="s">
        <v>1057</v>
      </c>
      <c r="E489" s="77" t="s">
        <v>523</v>
      </c>
      <c r="F489" s="199" t="s">
        <v>28</v>
      </c>
      <c r="G489" s="199"/>
      <c r="H489" s="77" t="s">
        <v>26</v>
      </c>
      <c r="I489" s="200">
        <v>52804.3</v>
      </c>
      <c r="J489" s="200"/>
      <c r="K489" s="78" t="s">
        <v>29</v>
      </c>
      <c r="L489" s="79">
        <v>9224407.7200000007</v>
      </c>
    </row>
    <row r="490" spans="1:12" ht="61.2" x14ac:dyDescent="0.3">
      <c r="A490" s="75" t="s">
        <v>666</v>
      </c>
      <c r="B490" s="76" t="s">
        <v>1348</v>
      </c>
      <c r="C490" s="76" t="s">
        <v>522</v>
      </c>
      <c r="D490" s="76" t="s">
        <v>1076</v>
      </c>
      <c r="E490" s="77" t="s">
        <v>523</v>
      </c>
      <c r="F490" s="199" t="s">
        <v>28</v>
      </c>
      <c r="G490" s="199"/>
      <c r="H490" s="77" t="s">
        <v>26</v>
      </c>
      <c r="I490" s="200">
        <v>91000.8</v>
      </c>
      <c r="J490" s="200"/>
      <c r="K490" s="78" t="s">
        <v>29</v>
      </c>
      <c r="L490" s="79">
        <v>9133406.9199999999</v>
      </c>
    </row>
    <row r="491" spans="1:12" ht="71.400000000000006" x14ac:dyDescent="0.3">
      <c r="A491" s="75" t="s">
        <v>666</v>
      </c>
      <c r="B491" s="76" t="s">
        <v>1348</v>
      </c>
      <c r="C491" s="76" t="s">
        <v>522</v>
      </c>
      <c r="D491" s="76" t="s">
        <v>1324</v>
      </c>
      <c r="E491" s="77" t="s">
        <v>523</v>
      </c>
      <c r="F491" s="199" t="s">
        <v>28</v>
      </c>
      <c r="G491" s="199"/>
      <c r="H491" s="77" t="s">
        <v>26</v>
      </c>
      <c r="I491" s="200">
        <v>7678.8</v>
      </c>
      <c r="J491" s="200"/>
      <c r="K491" s="78" t="s">
        <v>29</v>
      </c>
      <c r="L491" s="79">
        <v>9125728.1199999992</v>
      </c>
    </row>
    <row r="492" spans="1:12" ht="71.400000000000006" x14ac:dyDescent="0.3">
      <c r="A492" s="75" t="s">
        <v>666</v>
      </c>
      <c r="B492" s="76" t="s">
        <v>1348</v>
      </c>
      <c r="C492" s="76" t="s">
        <v>522</v>
      </c>
      <c r="D492" s="76" t="s">
        <v>1101</v>
      </c>
      <c r="E492" s="77" t="s">
        <v>523</v>
      </c>
      <c r="F492" s="199" t="s">
        <v>28</v>
      </c>
      <c r="G492" s="199"/>
      <c r="H492" s="77" t="s">
        <v>26</v>
      </c>
      <c r="I492" s="200">
        <v>6543.96</v>
      </c>
      <c r="J492" s="200"/>
      <c r="K492" s="78" t="s">
        <v>29</v>
      </c>
      <c r="L492" s="79">
        <v>9119184.1600000001</v>
      </c>
    </row>
    <row r="493" spans="1:12" ht="71.400000000000006" x14ac:dyDescent="0.3">
      <c r="A493" s="75" t="s">
        <v>666</v>
      </c>
      <c r="B493" s="76" t="s">
        <v>1348</v>
      </c>
      <c r="C493" s="76" t="s">
        <v>522</v>
      </c>
      <c r="D493" s="76" t="s">
        <v>1113</v>
      </c>
      <c r="E493" s="77" t="s">
        <v>523</v>
      </c>
      <c r="F493" s="199" t="s">
        <v>28</v>
      </c>
      <c r="G493" s="199"/>
      <c r="H493" s="77" t="s">
        <v>26</v>
      </c>
      <c r="I493" s="205">
        <v>642.95000000000005</v>
      </c>
      <c r="J493" s="205"/>
      <c r="K493" s="78" t="s">
        <v>29</v>
      </c>
      <c r="L493" s="79">
        <v>9118541.2100000009</v>
      </c>
    </row>
    <row r="494" spans="1:12" ht="71.400000000000006" x14ac:dyDescent="0.3">
      <c r="A494" s="75" t="s">
        <v>666</v>
      </c>
      <c r="B494" s="76" t="s">
        <v>1348</v>
      </c>
      <c r="C494" s="76" t="s">
        <v>522</v>
      </c>
      <c r="D494" s="76" t="s">
        <v>1272</v>
      </c>
      <c r="E494" s="77" t="s">
        <v>523</v>
      </c>
      <c r="F494" s="199" t="s">
        <v>28</v>
      </c>
      <c r="G494" s="199"/>
      <c r="H494" s="77" t="s">
        <v>26</v>
      </c>
      <c r="I494" s="200">
        <v>7716.26</v>
      </c>
      <c r="J494" s="200"/>
      <c r="K494" s="78" t="s">
        <v>29</v>
      </c>
      <c r="L494" s="79">
        <v>9110824.9499999993</v>
      </c>
    </row>
    <row r="495" spans="1:12" ht="71.400000000000006" x14ac:dyDescent="0.3">
      <c r="A495" s="75" t="s">
        <v>666</v>
      </c>
      <c r="B495" s="76" t="s">
        <v>1348</v>
      </c>
      <c r="C495" s="76" t="s">
        <v>522</v>
      </c>
      <c r="D495" s="76" t="s">
        <v>1064</v>
      </c>
      <c r="E495" s="77" t="s">
        <v>523</v>
      </c>
      <c r="F495" s="199" t="s">
        <v>28</v>
      </c>
      <c r="G495" s="199"/>
      <c r="H495" s="77" t="s">
        <v>26</v>
      </c>
      <c r="I495" s="200">
        <v>58216.75</v>
      </c>
      <c r="J495" s="200"/>
      <c r="K495" s="78" t="s">
        <v>29</v>
      </c>
      <c r="L495" s="79">
        <v>9052608.1999999993</v>
      </c>
    </row>
    <row r="496" spans="1:12" ht="71.400000000000006" x14ac:dyDescent="0.3">
      <c r="A496" s="75" t="s">
        <v>666</v>
      </c>
      <c r="B496" s="76" t="s">
        <v>1349</v>
      </c>
      <c r="C496" s="76" t="s">
        <v>522</v>
      </c>
      <c r="D496" s="76" t="s">
        <v>1319</v>
      </c>
      <c r="E496" s="77" t="s">
        <v>523</v>
      </c>
      <c r="F496" s="199" t="s">
        <v>28</v>
      </c>
      <c r="G496" s="199"/>
      <c r="H496" s="77" t="s">
        <v>26</v>
      </c>
      <c r="I496" s="200">
        <v>24232.54</v>
      </c>
      <c r="J496" s="200"/>
      <c r="K496" s="78" t="s">
        <v>29</v>
      </c>
      <c r="L496" s="79">
        <v>9028375.6600000001</v>
      </c>
    </row>
    <row r="497" spans="1:12" ht="61.2" x14ac:dyDescent="0.3">
      <c r="A497" s="75" t="s">
        <v>666</v>
      </c>
      <c r="B497" s="76" t="s">
        <v>1349</v>
      </c>
      <c r="C497" s="76" t="s">
        <v>522</v>
      </c>
      <c r="D497" s="76" t="s">
        <v>1045</v>
      </c>
      <c r="E497" s="77" t="s">
        <v>523</v>
      </c>
      <c r="F497" s="199" t="s">
        <v>28</v>
      </c>
      <c r="G497" s="199"/>
      <c r="H497" s="77" t="s">
        <v>26</v>
      </c>
      <c r="I497" s="200">
        <v>67104.5</v>
      </c>
      <c r="J497" s="200"/>
      <c r="K497" s="78" t="s">
        <v>29</v>
      </c>
      <c r="L497" s="79">
        <v>8961271.1600000001</v>
      </c>
    </row>
    <row r="498" spans="1:12" ht="71.400000000000006" x14ac:dyDescent="0.3">
      <c r="A498" s="75" t="s">
        <v>666</v>
      </c>
      <c r="B498" s="76" t="s">
        <v>1349</v>
      </c>
      <c r="C498" s="76" t="s">
        <v>522</v>
      </c>
      <c r="D498" s="76" t="s">
        <v>1321</v>
      </c>
      <c r="E498" s="77" t="s">
        <v>523</v>
      </c>
      <c r="F498" s="199" t="s">
        <v>28</v>
      </c>
      <c r="G498" s="199"/>
      <c r="H498" s="77" t="s">
        <v>26</v>
      </c>
      <c r="I498" s="200">
        <v>12446.76</v>
      </c>
      <c r="J498" s="200"/>
      <c r="K498" s="78" t="s">
        <v>29</v>
      </c>
      <c r="L498" s="79">
        <v>8948824.4000000004</v>
      </c>
    </row>
    <row r="499" spans="1:12" ht="61.2" x14ac:dyDescent="0.3">
      <c r="A499" s="75" t="s">
        <v>666</v>
      </c>
      <c r="B499" s="76" t="s">
        <v>1349</v>
      </c>
      <c r="C499" s="76" t="s">
        <v>522</v>
      </c>
      <c r="D499" s="76" t="s">
        <v>1046</v>
      </c>
      <c r="E499" s="77" t="s">
        <v>523</v>
      </c>
      <c r="F499" s="199" t="s">
        <v>28</v>
      </c>
      <c r="G499" s="199"/>
      <c r="H499" s="77" t="s">
        <v>26</v>
      </c>
      <c r="I499" s="200">
        <v>86569.31</v>
      </c>
      <c r="J499" s="200"/>
      <c r="K499" s="78" t="s">
        <v>29</v>
      </c>
      <c r="L499" s="79">
        <v>8862255.0899999999</v>
      </c>
    </row>
    <row r="500" spans="1:12" ht="71.400000000000006" x14ac:dyDescent="0.3">
      <c r="A500" s="75" t="s">
        <v>666</v>
      </c>
      <c r="B500" s="76" t="s">
        <v>1349</v>
      </c>
      <c r="C500" s="76" t="s">
        <v>522</v>
      </c>
      <c r="D500" s="76" t="s">
        <v>1106</v>
      </c>
      <c r="E500" s="77" t="s">
        <v>523</v>
      </c>
      <c r="F500" s="199" t="s">
        <v>28</v>
      </c>
      <c r="G500" s="199"/>
      <c r="H500" s="77" t="s">
        <v>26</v>
      </c>
      <c r="I500" s="205">
        <v>59.8</v>
      </c>
      <c r="J500" s="205"/>
      <c r="K500" s="78" t="s">
        <v>29</v>
      </c>
      <c r="L500" s="79">
        <v>8862195.2899999991</v>
      </c>
    </row>
    <row r="501" spans="1:12" ht="61.2" x14ac:dyDescent="0.3">
      <c r="A501" s="75" t="s">
        <v>666</v>
      </c>
      <c r="B501" s="76" t="s">
        <v>1349</v>
      </c>
      <c r="C501" s="76" t="s">
        <v>522</v>
      </c>
      <c r="D501" s="76" t="s">
        <v>1067</v>
      </c>
      <c r="E501" s="77" t="s">
        <v>523</v>
      </c>
      <c r="F501" s="199" t="s">
        <v>28</v>
      </c>
      <c r="G501" s="199"/>
      <c r="H501" s="77" t="s">
        <v>26</v>
      </c>
      <c r="I501" s="200">
        <v>33250.67</v>
      </c>
      <c r="J501" s="200"/>
      <c r="K501" s="78" t="s">
        <v>29</v>
      </c>
      <c r="L501" s="79">
        <v>8828944.6199999992</v>
      </c>
    </row>
    <row r="502" spans="1:12" ht="81.599999999999994" x14ac:dyDescent="0.3">
      <c r="A502" s="75" t="s">
        <v>666</v>
      </c>
      <c r="B502" s="76" t="s">
        <v>1349</v>
      </c>
      <c r="C502" s="76" t="s">
        <v>522</v>
      </c>
      <c r="D502" s="76" t="s">
        <v>1098</v>
      </c>
      <c r="E502" s="77" t="s">
        <v>523</v>
      </c>
      <c r="F502" s="199" t="s">
        <v>28</v>
      </c>
      <c r="G502" s="199"/>
      <c r="H502" s="77" t="s">
        <v>26</v>
      </c>
      <c r="I502" s="200">
        <v>30852.13</v>
      </c>
      <c r="J502" s="200"/>
      <c r="K502" s="78" t="s">
        <v>29</v>
      </c>
      <c r="L502" s="79">
        <v>8798092.4900000002</v>
      </c>
    </row>
    <row r="503" spans="1:12" ht="71.400000000000006" x14ac:dyDescent="0.3">
      <c r="A503" s="75" t="s">
        <v>666</v>
      </c>
      <c r="B503" s="76" t="s">
        <v>1349</v>
      </c>
      <c r="C503" s="76" t="s">
        <v>522</v>
      </c>
      <c r="D503" s="76" t="s">
        <v>1099</v>
      </c>
      <c r="E503" s="77" t="s">
        <v>523</v>
      </c>
      <c r="F503" s="199" t="s">
        <v>28</v>
      </c>
      <c r="G503" s="199"/>
      <c r="H503" s="77" t="s">
        <v>26</v>
      </c>
      <c r="I503" s="200">
        <v>45568</v>
      </c>
      <c r="J503" s="200"/>
      <c r="K503" s="78" t="s">
        <v>29</v>
      </c>
      <c r="L503" s="79">
        <v>8752524.4900000002</v>
      </c>
    </row>
    <row r="504" spans="1:12" ht="61.2" x14ac:dyDescent="0.3">
      <c r="A504" s="75" t="s">
        <v>666</v>
      </c>
      <c r="B504" s="76" t="s">
        <v>1349</v>
      </c>
      <c r="C504" s="76" t="s">
        <v>522</v>
      </c>
      <c r="D504" s="76" t="s">
        <v>1317</v>
      </c>
      <c r="E504" s="77" t="s">
        <v>523</v>
      </c>
      <c r="F504" s="199" t="s">
        <v>28</v>
      </c>
      <c r="G504" s="199"/>
      <c r="H504" s="77" t="s">
        <v>26</v>
      </c>
      <c r="I504" s="200">
        <v>508915.4</v>
      </c>
      <c r="J504" s="200"/>
      <c r="K504" s="78" t="s">
        <v>29</v>
      </c>
      <c r="L504" s="79">
        <v>8243609.0899999999</v>
      </c>
    </row>
    <row r="505" spans="1:12" ht="61.2" x14ac:dyDescent="0.3">
      <c r="A505" s="75" t="s">
        <v>666</v>
      </c>
      <c r="B505" s="76" t="s">
        <v>1349</v>
      </c>
      <c r="C505" s="76" t="s">
        <v>522</v>
      </c>
      <c r="D505" s="76" t="s">
        <v>1060</v>
      </c>
      <c r="E505" s="77" t="s">
        <v>523</v>
      </c>
      <c r="F505" s="199" t="s">
        <v>28</v>
      </c>
      <c r="G505" s="199"/>
      <c r="H505" s="77" t="s">
        <v>26</v>
      </c>
      <c r="I505" s="200">
        <v>1592.2</v>
      </c>
      <c r="J505" s="200"/>
      <c r="K505" s="78" t="s">
        <v>29</v>
      </c>
      <c r="L505" s="79">
        <v>8242016.8899999997</v>
      </c>
    </row>
    <row r="506" spans="1:12" ht="71.400000000000006" x14ac:dyDescent="0.3">
      <c r="A506" s="75" t="s">
        <v>666</v>
      </c>
      <c r="B506" s="76" t="s">
        <v>1349</v>
      </c>
      <c r="C506" s="76" t="s">
        <v>522</v>
      </c>
      <c r="D506" s="76" t="s">
        <v>1109</v>
      </c>
      <c r="E506" s="77" t="s">
        <v>523</v>
      </c>
      <c r="F506" s="199" t="s">
        <v>28</v>
      </c>
      <c r="G506" s="199"/>
      <c r="H506" s="77" t="s">
        <v>26</v>
      </c>
      <c r="I506" s="200">
        <v>12597.93</v>
      </c>
      <c r="J506" s="200"/>
      <c r="K506" s="78" t="s">
        <v>29</v>
      </c>
      <c r="L506" s="79">
        <v>8229418.96</v>
      </c>
    </row>
    <row r="507" spans="1:12" ht="71.400000000000006" x14ac:dyDescent="0.3">
      <c r="A507" s="75" t="s">
        <v>666</v>
      </c>
      <c r="B507" s="76" t="s">
        <v>1349</v>
      </c>
      <c r="C507" s="76" t="s">
        <v>522</v>
      </c>
      <c r="D507" s="76" t="s">
        <v>1113</v>
      </c>
      <c r="E507" s="77" t="s">
        <v>523</v>
      </c>
      <c r="F507" s="199" t="s">
        <v>28</v>
      </c>
      <c r="G507" s="199"/>
      <c r="H507" s="77" t="s">
        <v>26</v>
      </c>
      <c r="I507" s="200">
        <v>8153.77</v>
      </c>
      <c r="J507" s="200"/>
      <c r="K507" s="78" t="s">
        <v>29</v>
      </c>
      <c r="L507" s="79">
        <v>8221265.1900000004</v>
      </c>
    </row>
    <row r="508" spans="1:12" ht="71.400000000000006" x14ac:dyDescent="0.3">
      <c r="A508" s="75" t="s">
        <v>666</v>
      </c>
      <c r="B508" s="76" t="s">
        <v>1349</v>
      </c>
      <c r="C508" s="76" t="s">
        <v>522</v>
      </c>
      <c r="D508" s="76" t="s">
        <v>1104</v>
      </c>
      <c r="E508" s="77" t="s">
        <v>523</v>
      </c>
      <c r="F508" s="199" t="s">
        <v>28</v>
      </c>
      <c r="G508" s="199"/>
      <c r="H508" s="77" t="s">
        <v>26</v>
      </c>
      <c r="I508" s="200">
        <v>1822.8</v>
      </c>
      <c r="J508" s="200"/>
      <c r="K508" s="78" t="s">
        <v>29</v>
      </c>
      <c r="L508" s="79">
        <v>8219442.3899999997</v>
      </c>
    </row>
    <row r="509" spans="1:12" ht="71.400000000000006" x14ac:dyDescent="0.3">
      <c r="A509" s="75" t="s">
        <v>666</v>
      </c>
      <c r="B509" s="76" t="s">
        <v>1349</v>
      </c>
      <c r="C509" s="76" t="s">
        <v>522</v>
      </c>
      <c r="D509" s="76" t="s">
        <v>1082</v>
      </c>
      <c r="E509" s="77" t="s">
        <v>523</v>
      </c>
      <c r="F509" s="199" t="s">
        <v>28</v>
      </c>
      <c r="G509" s="199"/>
      <c r="H509" s="77" t="s">
        <v>26</v>
      </c>
      <c r="I509" s="200">
        <v>14283.88</v>
      </c>
      <c r="J509" s="200"/>
      <c r="K509" s="78" t="s">
        <v>29</v>
      </c>
      <c r="L509" s="79">
        <v>8205158.5099999998</v>
      </c>
    </row>
    <row r="510" spans="1:12" ht="61.2" x14ac:dyDescent="0.3">
      <c r="A510" s="75" t="s">
        <v>666</v>
      </c>
      <c r="B510" s="76" t="s">
        <v>1349</v>
      </c>
      <c r="C510" s="76" t="s">
        <v>522</v>
      </c>
      <c r="D510" s="76" t="s">
        <v>1076</v>
      </c>
      <c r="E510" s="77" t="s">
        <v>523</v>
      </c>
      <c r="F510" s="199" t="s">
        <v>28</v>
      </c>
      <c r="G510" s="199"/>
      <c r="H510" s="77" t="s">
        <v>26</v>
      </c>
      <c r="I510" s="200">
        <v>46850.48</v>
      </c>
      <c r="J510" s="200"/>
      <c r="K510" s="78" t="s">
        <v>29</v>
      </c>
      <c r="L510" s="79">
        <v>8158308.0300000003</v>
      </c>
    </row>
    <row r="511" spans="1:12" ht="71.400000000000006" x14ac:dyDescent="0.3">
      <c r="A511" s="75" t="s">
        <v>666</v>
      </c>
      <c r="B511" s="76" t="s">
        <v>1349</v>
      </c>
      <c r="C511" s="76" t="s">
        <v>522</v>
      </c>
      <c r="D511" s="76" t="s">
        <v>1062</v>
      </c>
      <c r="E511" s="77" t="s">
        <v>523</v>
      </c>
      <c r="F511" s="199" t="s">
        <v>28</v>
      </c>
      <c r="G511" s="199"/>
      <c r="H511" s="77" t="s">
        <v>26</v>
      </c>
      <c r="I511" s="200">
        <v>10075.1</v>
      </c>
      <c r="J511" s="200"/>
      <c r="K511" s="78" t="s">
        <v>29</v>
      </c>
      <c r="L511" s="79">
        <v>8148232.9299999997</v>
      </c>
    </row>
    <row r="512" spans="1:12" ht="71.400000000000006" x14ac:dyDescent="0.3">
      <c r="A512" s="75" t="s">
        <v>666</v>
      </c>
      <c r="B512" s="76" t="s">
        <v>1349</v>
      </c>
      <c r="C512" s="76" t="s">
        <v>522</v>
      </c>
      <c r="D512" s="76" t="s">
        <v>1101</v>
      </c>
      <c r="E512" s="77" t="s">
        <v>523</v>
      </c>
      <c r="F512" s="199" t="s">
        <v>28</v>
      </c>
      <c r="G512" s="199"/>
      <c r="H512" s="77" t="s">
        <v>26</v>
      </c>
      <c r="I512" s="200">
        <v>5604.48</v>
      </c>
      <c r="J512" s="200"/>
      <c r="K512" s="78" t="s">
        <v>29</v>
      </c>
      <c r="L512" s="79">
        <v>8142628.4500000002</v>
      </c>
    </row>
    <row r="513" spans="1:12" ht="71.400000000000006" x14ac:dyDescent="0.3">
      <c r="A513" s="75" t="s">
        <v>666</v>
      </c>
      <c r="B513" s="76" t="s">
        <v>1349</v>
      </c>
      <c r="C513" s="76" t="s">
        <v>522</v>
      </c>
      <c r="D513" s="76" t="s">
        <v>1272</v>
      </c>
      <c r="E513" s="77" t="s">
        <v>523</v>
      </c>
      <c r="F513" s="199" t="s">
        <v>28</v>
      </c>
      <c r="G513" s="199"/>
      <c r="H513" s="77" t="s">
        <v>26</v>
      </c>
      <c r="I513" s="200">
        <v>5082.1899999999996</v>
      </c>
      <c r="J513" s="200"/>
      <c r="K513" s="78" t="s">
        <v>29</v>
      </c>
      <c r="L513" s="79">
        <v>8137546.2599999998</v>
      </c>
    </row>
    <row r="514" spans="1:12" ht="61.2" x14ac:dyDescent="0.3">
      <c r="A514" s="75" t="s">
        <v>666</v>
      </c>
      <c r="B514" s="76" t="s">
        <v>1349</v>
      </c>
      <c r="C514" s="76" t="s">
        <v>522</v>
      </c>
      <c r="D514" s="76" t="s">
        <v>1076</v>
      </c>
      <c r="E514" s="77" t="s">
        <v>523</v>
      </c>
      <c r="F514" s="199" t="s">
        <v>28</v>
      </c>
      <c r="G514" s="199"/>
      <c r="H514" s="77" t="s">
        <v>26</v>
      </c>
      <c r="I514" s="205">
        <v>574.5</v>
      </c>
      <c r="J514" s="205"/>
      <c r="K514" s="78" t="s">
        <v>29</v>
      </c>
      <c r="L514" s="79">
        <v>8136971.7599999998</v>
      </c>
    </row>
    <row r="515" spans="1:12" ht="71.400000000000006" x14ac:dyDescent="0.3">
      <c r="A515" s="75" t="s">
        <v>666</v>
      </c>
      <c r="B515" s="76" t="s">
        <v>1349</v>
      </c>
      <c r="C515" s="76" t="s">
        <v>522</v>
      </c>
      <c r="D515" s="76" t="s">
        <v>1062</v>
      </c>
      <c r="E515" s="77" t="s">
        <v>523</v>
      </c>
      <c r="F515" s="199" t="s">
        <v>28</v>
      </c>
      <c r="G515" s="199"/>
      <c r="H515" s="77" t="s">
        <v>26</v>
      </c>
      <c r="I515" s="200">
        <v>3919.9</v>
      </c>
      <c r="J515" s="200"/>
      <c r="K515" s="78" t="s">
        <v>29</v>
      </c>
      <c r="L515" s="79">
        <v>8133051.8600000003</v>
      </c>
    </row>
    <row r="516" spans="1:12" ht="61.2" x14ac:dyDescent="0.3">
      <c r="A516" s="75" t="s">
        <v>666</v>
      </c>
      <c r="B516" s="76" t="s">
        <v>1350</v>
      </c>
      <c r="C516" s="76" t="s">
        <v>522</v>
      </c>
      <c r="D516" s="76" t="s">
        <v>1043</v>
      </c>
      <c r="E516" s="77" t="s">
        <v>523</v>
      </c>
      <c r="F516" s="199" t="s">
        <v>28</v>
      </c>
      <c r="G516" s="199"/>
      <c r="H516" s="77" t="s">
        <v>26</v>
      </c>
      <c r="I516" s="200">
        <v>47416.34</v>
      </c>
      <c r="J516" s="200"/>
      <c r="K516" s="78" t="s">
        <v>29</v>
      </c>
      <c r="L516" s="79">
        <v>8085635.5199999996</v>
      </c>
    </row>
    <row r="517" spans="1:12" ht="71.400000000000006" x14ac:dyDescent="0.3">
      <c r="A517" s="75" t="s">
        <v>666</v>
      </c>
      <c r="B517" s="76" t="s">
        <v>1350</v>
      </c>
      <c r="C517" s="76" t="s">
        <v>522</v>
      </c>
      <c r="D517" s="76" t="s">
        <v>1321</v>
      </c>
      <c r="E517" s="77" t="s">
        <v>523</v>
      </c>
      <c r="F517" s="199" t="s">
        <v>28</v>
      </c>
      <c r="G517" s="199"/>
      <c r="H517" s="77" t="s">
        <v>26</v>
      </c>
      <c r="I517" s="200">
        <v>10177.469999999999</v>
      </c>
      <c r="J517" s="200"/>
      <c r="K517" s="78" t="s">
        <v>29</v>
      </c>
      <c r="L517" s="79">
        <v>8075458.0499999998</v>
      </c>
    </row>
    <row r="518" spans="1:12" ht="61.2" x14ac:dyDescent="0.3">
      <c r="A518" s="75" t="s">
        <v>666</v>
      </c>
      <c r="B518" s="76" t="s">
        <v>1350</v>
      </c>
      <c r="C518" s="76" t="s">
        <v>522</v>
      </c>
      <c r="D518" s="76" t="s">
        <v>1046</v>
      </c>
      <c r="E518" s="77" t="s">
        <v>523</v>
      </c>
      <c r="F518" s="199" t="s">
        <v>28</v>
      </c>
      <c r="G518" s="199"/>
      <c r="H518" s="77" t="s">
        <v>26</v>
      </c>
      <c r="I518" s="200">
        <v>57147.06</v>
      </c>
      <c r="J518" s="200"/>
      <c r="K518" s="78" t="s">
        <v>29</v>
      </c>
      <c r="L518" s="79">
        <v>8018310.9900000002</v>
      </c>
    </row>
    <row r="519" spans="1:12" ht="61.2" x14ac:dyDescent="0.3">
      <c r="A519" s="75" t="s">
        <v>666</v>
      </c>
      <c r="B519" s="76" t="s">
        <v>1350</v>
      </c>
      <c r="C519" s="76" t="s">
        <v>522</v>
      </c>
      <c r="D519" s="76" t="s">
        <v>1066</v>
      </c>
      <c r="E519" s="77" t="s">
        <v>523</v>
      </c>
      <c r="F519" s="199" t="s">
        <v>28</v>
      </c>
      <c r="G519" s="199"/>
      <c r="H519" s="77" t="s">
        <v>26</v>
      </c>
      <c r="I519" s="200">
        <v>145824.6</v>
      </c>
      <c r="J519" s="200"/>
      <c r="K519" s="78" t="s">
        <v>29</v>
      </c>
      <c r="L519" s="79">
        <v>7872486.3899999997</v>
      </c>
    </row>
    <row r="520" spans="1:12" ht="71.400000000000006" x14ac:dyDescent="0.3">
      <c r="A520" s="75" t="s">
        <v>666</v>
      </c>
      <c r="B520" s="76" t="s">
        <v>1350</v>
      </c>
      <c r="C520" s="76" t="s">
        <v>522</v>
      </c>
      <c r="D520" s="76" t="s">
        <v>1097</v>
      </c>
      <c r="E520" s="77" t="s">
        <v>523</v>
      </c>
      <c r="F520" s="199" t="s">
        <v>28</v>
      </c>
      <c r="G520" s="199"/>
      <c r="H520" s="77" t="s">
        <v>26</v>
      </c>
      <c r="I520" s="200">
        <v>33893.339999999997</v>
      </c>
      <c r="J520" s="200"/>
      <c r="K520" s="78" t="s">
        <v>29</v>
      </c>
      <c r="L520" s="79">
        <v>7838593.0499999998</v>
      </c>
    </row>
    <row r="521" spans="1:12" ht="61.2" x14ac:dyDescent="0.3">
      <c r="A521" s="75" t="s">
        <v>666</v>
      </c>
      <c r="B521" s="76" t="s">
        <v>1350</v>
      </c>
      <c r="C521" s="76" t="s">
        <v>522</v>
      </c>
      <c r="D521" s="76" t="s">
        <v>1060</v>
      </c>
      <c r="E521" s="77" t="s">
        <v>523</v>
      </c>
      <c r="F521" s="199" t="s">
        <v>28</v>
      </c>
      <c r="G521" s="199"/>
      <c r="H521" s="77" t="s">
        <v>26</v>
      </c>
      <c r="I521" s="200">
        <v>1452.53</v>
      </c>
      <c r="J521" s="200"/>
      <c r="K521" s="78" t="s">
        <v>29</v>
      </c>
      <c r="L521" s="79">
        <v>7837140.5199999996</v>
      </c>
    </row>
    <row r="522" spans="1:12" ht="61.2" x14ac:dyDescent="0.3">
      <c r="A522" s="75" t="s">
        <v>666</v>
      </c>
      <c r="B522" s="76" t="s">
        <v>1350</v>
      </c>
      <c r="C522" s="76" t="s">
        <v>522</v>
      </c>
      <c r="D522" s="76" t="s">
        <v>1061</v>
      </c>
      <c r="E522" s="77" t="s">
        <v>523</v>
      </c>
      <c r="F522" s="199" t="s">
        <v>28</v>
      </c>
      <c r="G522" s="199"/>
      <c r="H522" s="77" t="s">
        <v>26</v>
      </c>
      <c r="I522" s="200">
        <v>22765.66</v>
      </c>
      <c r="J522" s="200"/>
      <c r="K522" s="78" t="s">
        <v>29</v>
      </c>
      <c r="L522" s="79">
        <v>7814374.8600000003</v>
      </c>
    </row>
    <row r="523" spans="1:12" ht="71.400000000000006" x14ac:dyDescent="0.3">
      <c r="A523" s="75" t="s">
        <v>666</v>
      </c>
      <c r="B523" s="76" t="s">
        <v>1350</v>
      </c>
      <c r="C523" s="76" t="s">
        <v>522</v>
      </c>
      <c r="D523" s="76" t="s">
        <v>1113</v>
      </c>
      <c r="E523" s="77" t="s">
        <v>523</v>
      </c>
      <c r="F523" s="199" t="s">
        <v>28</v>
      </c>
      <c r="G523" s="199"/>
      <c r="H523" s="77" t="s">
        <v>26</v>
      </c>
      <c r="I523" s="200">
        <v>7101.68</v>
      </c>
      <c r="J523" s="200"/>
      <c r="K523" s="78" t="s">
        <v>29</v>
      </c>
      <c r="L523" s="79">
        <v>7807273.1799999997</v>
      </c>
    </row>
    <row r="524" spans="1:12" ht="71.400000000000006" x14ac:dyDescent="0.3">
      <c r="A524" s="75" t="s">
        <v>666</v>
      </c>
      <c r="B524" s="76" t="s">
        <v>1350</v>
      </c>
      <c r="C524" s="76" t="s">
        <v>522</v>
      </c>
      <c r="D524" s="76" t="s">
        <v>1104</v>
      </c>
      <c r="E524" s="77" t="s">
        <v>523</v>
      </c>
      <c r="F524" s="199" t="s">
        <v>28</v>
      </c>
      <c r="G524" s="199"/>
      <c r="H524" s="77" t="s">
        <v>26</v>
      </c>
      <c r="I524" s="200">
        <v>26300.400000000001</v>
      </c>
      <c r="J524" s="200"/>
      <c r="K524" s="78" t="s">
        <v>29</v>
      </c>
      <c r="L524" s="79">
        <v>7780972.7800000003</v>
      </c>
    </row>
    <row r="525" spans="1:12" ht="71.400000000000006" x14ac:dyDescent="0.3">
      <c r="A525" s="75" t="s">
        <v>666</v>
      </c>
      <c r="B525" s="76" t="s">
        <v>1350</v>
      </c>
      <c r="C525" s="76" t="s">
        <v>522</v>
      </c>
      <c r="D525" s="76" t="s">
        <v>1082</v>
      </c>
      <c r="E525" s="77" t="s">
        <v>523</v>
      </c>
      <c r="F525" s="199" t="s">
        <v>28</v>
      </c>
      <c r="G525" s="199"/>
      <c r="H525" s="77" t="s">
        <v>26</v>
      </c>
      <c r="I525" s="200">
        <v>24961</v>
      </c>
      <c r="J525" s="200"/>
      <c r="K525" s="78" t="s">
        <v>29</v>
      </c>
      <c r="L525" s="79">
        <v>7756011.7800000003</v>
      </c>
    </row>
    <row r="526" spans="1:12" ht="61.2" x14ac:dyDescent="0.3">
      <c r="A526" s="75" t="s">
        <v>666</v>
      </c>
      <c r="B526" s="76" t="s">
        <v>1350</v>
      </c>
      <c r="C526" s="76" t="s">
        <v>522</v>
      </c>
      <c r="D526" s="76" t="s">
        <v>1057</v>
      </c>
      <c r="E526" s="77" t="s">
        <v>523</v>
      </c>
      <c r="F526" s="199" t="s">
        <v>28</v>
      </c>
      <c r="G526" s="199"/>
      <c r="H526" s="77" t="s">
        <v>26</v>
      </c>
      <c r="I526" s="200">
        <v>35183.19</v>
      </c>
      <c r="J526" s="200"/>
      <c r="K526" s="78" t="s">
        <v>29</v>
      </c>
      <c r="L526" s="79">
        <v>7720828.5899999999</v>
      </c>
    </row>
    <row r="527" spans="1:12" ht="61.2" x14ac:dyDescent="0.3">
      <c r="A527" s="75" t="s">
        <v>666</v>
      </c>
      <c r="B527" s="76" t="s">
        <v>1350</v>
      </c>
      <c r="C527" s="76" t="s">
        <v>522</v>
      </c>
      <c r="D527" s="76" t="s">
        <v>1076</v>
      </c>
      <c r="E527" s="77" t="s">
        <v>523</v>
      </c>
      <c r="F527" s="199" t="s">
        <v>28</v>
      </c>
      <c r="G527" s="199"/>
      <c r="H527" s="77" t="s">
        <v>26</v>
      </c>
      <c r="I527" s="200">
        <v>79482.080000000002</v>
      </c>
      <c r="J527" s="200"/>
      <c r="K527" s="78" t="s">
        <v>29</v>
      </c>
      <c r="L527" s="79">
        <v>7641346.5099999998</v>
      </c>
    </row>
    <row r="528" spans="1:12" ht="71.400000000000006" x14ac:dyDescent="0.3">
      <c r="A528" s="75" t="s">
        <v>666</v>
      </c>
      <c r="B528" s="76" t="s">
        <v>1350</v>
      </c>
      <c r="C528" s="76" t="s">
        <v>522</v>
      </c>
      <c r="D528" s="76" t="s">
        <v>1064</v>
      </c>
      <c r="E528" s="77" t="s">
        <v>523</v>
      </c>
      <c r="F528" s="199" t="s">
        <v>28</v>
      </c>
      <c r="G528" s="199"/>
      <c r="H528" s="77" t="s">
        <v>26</v>
      </c>
      <c r="I528" s="200">
        <v>9190.2999999999993</v>
      </c>
      <c r="J528" s="200"/>
      <c r="K528" s="78" t="s">
        <v>29</v>
      </c>
      <c r="L528" s="79">
        <v>7632156.21</v>
      </c>
    </row>
    <row r="529" spans="1:12" ht="71.400000000000006" x14ac:dyDescent="0.3">
      <c r="A529" s="75" t="s">
        <v>666</v>
      </c>
      <c r="B529" s="76" t="s">
        <v>1350</v>
      </c>
      <c r="C529" s="76" t="s">
        <v>522</v>
      </c>
      <c r="D529" s="76" t="s">
        <v>1113</v>
      </c>
      <c r="E529" s="77" t="s">
        <v>523</v>
      </c>
      <c r="F529" s="199" t="s">
        <v>28</v>
      </c>
      <c r="G529" s="199"/>
      <c r="H529" s="77" t="s">
        <v>26</v>
      </c>
      <c r="I529" s="205">
        <v>701.4</v>
      </c>
      <c r="J529" s="205"/>
      <c r="K529" s="78" t="s">
        <v>29</v>
      </c>
      <c r="L529" s="79">
        <v>7631454.8099999996</v>
      </c>
    </row>
    <row r="530" spans="1:12" ht="71.400000000000006" x14ac:dyDescent="0.3">
      <c r="A530" s="75" t="s">
        <v>666</v>
      </c>
      <c r="B530" s="76" t="s">
        <v>1350</v>
      </c>
      <c r="C530" s="76" t="s">
        <v>522</v>
      </c>
      <c r="D530" s="76" t="s">
        <v>1064</v>
      </c>
      <c r="E530" s="77" t="s">
        <v>523</v>
      </c>
      <c r="F530" s="199" t="s">
        <v>28</v>
      </c>
      <c r="G530" s="199"/>
      <c r="H530" s="77" t="s">
        <v>26</v>
      </c>
      <c r="I530" s="200">
        <v>7117.3</v>
      </c>
      <c r="J530" s="200"/>
      <c r="K530" s="78" t="s">
        <v>29</v>
      </c>
      <c r="L530" s="79">
        <v>7624337.5099999998</v>
      </c>
    </row>
    <row r="531" spans="1:12" ht="61.2" x14ac:dyDescent="0.3">
      <c r="A531" s="75" t="s">
        <v>666</v>
      </c>
      <c r="B531" s="76" t="s">
        <v>1351</v>
      </c>
      <c r="C531" s="76" t="s">
        <v>522</v>
      </c>
      <c r="D531" s="76" t="s">
        <v>1043</v>
      </c>
      <c r="E531" s="77" t="s">
        <v>523</v>
      </c>
      <c r="F531" s="199" t="s">
        <v>28</v>
      </c>
      <c r="G531" s="199"/>
      <c r="H531" s="77" t="s">
        <v>26</v>
      </c>
      <c r="I531" s="200">
        <v>111340.14</v>
      </c>
      <c r="J531" s="200"/>
      <c r="K531" s="78" t="s">
        <v>29</v>
      </c>
      <c r="L531" s="79">
        <v>7512997.3700000001</v>
      </c>
    </row>
    <row r="532" spans="1:12" ht="61.2" x14ac:dyDescent="0.3">
      <c r="A532" s="75" t="s">
        <v>666</v>
      </c>
      <c r="B532" s="76" t="s">
        <v>1351</v>
      </c>
      <c r="C532" s="76" t="s">
        <v>522</v>
      </c>
      <c r="D532" s="76" t="s">
        <v>1055</v>
      </c>
      <c r="E532" s="77" t="s">
        <v>523</v>
      </c>
      <c r="F532" s="199" t="s">
        <v>28</v>
      </c>
      <c r="G532" s="199"/>
      <c r="H532" s="77" t="s">
        <v>26</v>
      </c>
      <c r="I532" s="200">
        <v>21338.9</v>
      </c>
      <c r="J532" s="200"/>
      <c r="K532" s="78" t="s">
        <v>29</v>
      </c>
      <c r="L532" s="79">
        <v>7491658.4699999997</v>
      </c>
    </row>
    <row r="533" spans="1:12" ht="61.2" x14ac:dyDescent="0.3">
      <c r="A533" s="75" t="s">
        <v>666</v>
      </c>
      <c r="B533" s="76" t="s">
        <v>1351</v>
      </c>
      <c r="C533" s="76" t="s">
        <v>522</v>
      </c>
      <c r="D533" s="76" t="s">
        <v>1066</v>
      </c>
      <c r="E533" s="77" t="s">
        <v>523</v>
      </c>
      <c r="F533" s="199" t="s">
        <v>28</v>
      </c>
      <c r="G533" s="199"/>
      <c r="H533" s="77" t="s">
        <v>26</v>
      </c>
      <c r="I533" s="200">
        <v>129842.9</v>
      </c>
      <c r="J533" s="200"/>
      <c r="K533" s="78" t="s">
        <v>29</v>
      </c>
      <c r="L533" s="79">
        <v>7361815.5700000003</v>
      </c>
    </row>
    <row r="534" spans="1:12" ht="61.2" x14ac:dyDescent="0.3">
      <c r="A534" s="75" t="s">
        <v>666</v>
      </c>
      <c r="B534" s="76" t="s">
        <v>1351</v>
      </c>
      <c r="C534" s="76" t="s">
        <v>522</v>
      </c>
      <c r="D534" s="76" t="s">
        <v>1317</v>
      </c>
      <c r="E534" s="77" t="s">
        <v>523</v>
      </c>
      <c r="F534" s="199" t="s">
        <v>28</v>
      </c>
      <c r="G534" s="199"/>
      <c r="H534" s="77" t="s">
        <v>26</v>
      </c>
      <c r="I534" s="200">
        <v>15763.71</v>
      </c>
      <c r="J534" s="200"/>
      <c r="K534" s="78" t="s">
        <v>29</v>
      </c>
      <c r="L534" s="79">
        <v>7346051.8600000003</v>
      </c>
    </row>
    <row r="535" spans="1:12" ht="61.2" x14ac:dyDescent="0.3">
      <c r="A535" s="75" t="s">
        <v>666</v>
      </c>
      <c r="B535" s="76" t="s">
        <v>1351</v>
      </c>
      <c r="C535" s="76" t="s">
        <v>522</v>
      </c>
      <c r="D535" s="76" t="s">
        <v>1059</v>
      </c>
      <c r="E535" s="77" t="s">
        <v>523</v>
      </c>
      <c r="F535" s="199" t="s">
        <v>28</v>
      </c>
      <c r="G535" s="199"/>
      <c r="H535" s="77" t="s">
        <v>26</v>
      </c>
      <c r="I535" s="200">
        <v>2905.07</v>
      </c>
      <c r="J535" s="200"/>
      <c r="K535" s="78" t="s">
        <v>29</v>
      </c>
      <c r="L535" s="79">
        <v>7343146.79</v>
      </c>
    </row>
    <row r="536" spans="1:12" ht="61.2" x14ac:dyDescent="0.3">
      <c r="A536" s="75" t="s">
        <v>666</v>
      </c>
      <c r="B536" s="76" t="s">
        <v>1351</v>
      </c>
      <c r="C536" s="76" t="s">
        <v>522</v>
      </c>
      <c r="D536" s="76" t="s">
        <v>1060</v>
      </c>
      <c r="E536" s="77" t="s">
        <v>523</v>
      </c>
      <c r="F536" s="199" t="s">
        <v>28</v>
      </c>
      <c r="G536" s="199"/>
      <c r="H536" s="77" t="s">
        <v>26</v>
      </c>
      <c r="I536" s="200">
        <v>1452.53</v>
      </c>
      <c r="J536" s="200"/>
      <c r="K536" s="78" t="s">
        <v>29</v>
      </c>
      <c r="L536" s="79">
        <v>7341694.2599999998</v>
      </c>
    </row>
    <row r="537" spans="1:12" ht="61.2" x14ac:dyDescent="0.3">
      <c r="A537" s="75" t="s">
        <v>666</v>
      </c>
      <c r="B537" s="76" t="s">
        <v>1351</v>
      </c>
      <c r="C537" s="76" t="s">
        <v>522</v>
      </c>
      <c r="D537" s="76" t="s">
        <v>1061</v>
      </c>
      <c r="E537" s="77" t="s">
        <v>523</v>
      </c>
      <c r="F537" s="199" t="s">
        <v>28</v>
      </c>
      <c r="G537" s="199"/>
      <c r="H537" s="77" t="s">
        <v>26</v>
      </c>
      <c r="I537" s="200">
        <v>22095.27</v>
      </c>
      <c r="J537" s="200"/>
      <c r="K537" s="78" t="s">
        <v>29</v>
      </c>
      <c r="L537" s="79">
        <v>7319598.9900000002</v>
      </c>
    </row>
    <row r="538" spans="1:12" ht="71.400000000000006" x14ac:dyDescent="0.3">
      <c r="A538" s="75" t="s">
        <v>666</v>
      </c>
      <c r="B538" s="76" t="s">
        <v>1351</v>
      </c>
      <c r="C538" s="76" t="s">
        <v>522</v>
      </c>
      <c r="D538" s="76" t="s">
        <v>1113</v>
      </c>
      <c r="E538" s="77" t="s">
        <v>523</v>
      </c>
      <c r="F538" s="199" t="s">
        <v>28</v>
      </c>
      <c r="G538" s="199"/>
      <c r="H538" s="77" t="s">
        <v>26</v>
      </c>
      <c r="I538" s="200">
        <v>3623.9</v>
      </c>
      <c r="J538" s="200"/>
      <c r="K538" s="78" t="s">
        <v>29</v>
      </c>
      <c r="L538" s="79">
        <v>7315975.0899999999</v>
      </c>
    </row>
    <row r="539" spans="1:12" ht="71.400000000000006" x14ac:dyDescent="0.3">
      <c r="A539" s="75" t="s">
        <v>666</v>
      </c>
      <c r="B539" s="76" t="s">
        <v>1351</v>
      </c>
      <c r="C539" s="76" t="s">
        <v>522</v>
      </c>
      <c r="D539" s="76" t="s">
        <v>1104</v>
      </c>
      <c r="E539" s="77" t="s">
        <v>523</v>
      </c>
      <c r="F539" s="199" t="s">
        <v>28</v>
      </c>
      <c r="G539" s="199"/>
      <c r="H539" s="77" t="s">
        <v>26</v>
      </c>
      <c r="I539" s="200">
        <v>48174</v>
      </c>
      <c r="J539" s="200"/>
      <c r="K539" s="78" t="s">
        <v>29</v>
      </c>
      <c r="L539" s="79">
        <v>7267801.0899999999</v>
      </c>
    </row>
    <row r="540" spans="1:12" ht="71.400000000000006" x14ac:dyDescent="0.3">
      <c r="A540" s="75" t="s">
        <v>666</v>
      </c>
      <c r="B540" s="76" t="s">
        <v>1351</v>
      </c>
      <c r="C540" s="76" t="s">
        <v>522</v>
      </c>
      <c r="D540" s="76" t="s">
        <v>1082</v>
      </c>
      <c r="E540" s="77" t="s">
        <v>523</v>
      </c>
      <c r="F540" s="199" t="s">
        <v>28</v>
      </c>
      <c r="G540" s="199"/>
      <c r="H540" s="77" t="s">
        <v>26</v>
      </c>
      <c r="I540" s="200">
        <v>15715.12</v>
      </c>
      <c r="J540" s="200"/>
      <c r="K540" s="78" t="s">
        <v>29</v>
      </c>
      <c r="L540" s="79">
        <v>7252085.9699999997</v>
      </c>
    </row>
    <row r="541" spans="1:12" ht="61.2" x14ac:dyDescent="0.3">
      <c r="A541" s="75" t="s">
        <v>666</v>
      </c>
      <c r="B541" s="76" t="s">
        <v>1351</v>
      </c>
      <c r="C541" s="76" t="s">
        <v>522</v>
      </c>
      <c r="D541" s="76" t="s">
        <v>1057</v>
      </c>
      <c r="E541" s="77" t="s">
        <v>523</v>
      </c>
      <c r="F541" s="199" t="s">
        <v>28</v>
      </c>
      <c r="G541" s="199"/>
      <c r="H541" s="77" t="s">
        <v>26</v>
      </c>
      <c r="I541" s="200">
        <v>98554.26</v>
      </c>
      <c r="J541" s="200"/>
      <c r="K541" s="78" t="s">
        <v>29</v>
      </c>
      <c r="L541" s="79">
        <v>7153531.71</v>
      </c>
    </row>
    <row r="542" spans="1:12" ht="61.2" x14ac:dyDescent="0.3">
      <c r="A542" s="75" t="s">
        <v>666</v>
      </c>
      <c r="B542" s="76" t="s">
        <v>1351</v>
      </c>
      <c r="C542" s="76" t="s">
        <v>522</v>
      </c>
      <c r="D542" s="76" t="s">
        <v>1076</v>
      </c>
      <c r="E542" s="77" t="s">
        <v>523</v>
      </c>
      <c r="F542" s="199" t="s">
        <v>28</v>
      </c>
      <c r="G542" s="199"/>
      <c r="H542" s="77" t="s">
        <v>26</v>
      </c>
      <c r="I542" s="200">
        <v>79482.070000000007</v>
      </c>
      <c r="J542" s="200"/>
      <c r="K542" s="78" t="s">
        <v>29</v>
      </c>
      <c r="L542" s="79">
        <v>7074049.6399999997</v>
      </c>
    </row>
    <row r="543" spans="1:12" ht="71.400000000000006" x14ac:dyDescent="0.3">
      <c r="A543" s="75" t="s">
        <v>666</v>
      </c>
      <c r="B543" s="76" t="s">
        <v>1351</v>
      </c>
      <c r="C543" s="76" t="s">
        <v>522</v>
      </c>
      <c r="D543" s="76" t="s">
        <v>1064</v>
      </c>
      <c r="E543" s="77" t="s">
        <v>523</v>
      </c>
      <c r="F543" s="199" t="s">
        <v>28</v>
      </c>
      <c r="G543" s="199"/>
      <c r="H543" s="77" t="s">
        <v>26</v>
      </c>
      <c r="I543" s="200">
        <v>14787.4</v>
      </c>
      <c r="J543" s="200"/>
      <c r="K543" s="78" t="s">
        <v>29</v>
      </c>
      <c r="L543" s="79">
        <v>7059262.2400000002</v>
      </c>
    </row>
    <row r="544" spans="1:12" ht="71.400000000000006" x14ac:dyDescent="0.3">
      <c r="A544" s="75" t="s">
        <v>666</v>
      </c>
      <c r="B544" s="76" t="s">
        <v>1351</v>
      </c>
      <c r="C544" s="76" t="s">
        <v>522</v>
      </c>
      <c r="D544" s="76" t="s">
        <v>1101</v>
      </c>
      <c r="E544" s="77" t="s">
        <v>523</v>
      </c>
      <c r="F544" s="199" t="s">
        <v>28</v>
      </c>
      <c r="G544" s="199"/>
      <c r="H544" s="77" t="s">
        <v>26</v>
      </c>
      <c r="I544" s="200">
        <v>1846.56</v>
      </c>
      <c r="J544" s="200"/>
      <c r="K544" s="78" t="s">
        <v>29</v>
      </c>
      <c r="L544" s="79">
        <v>7057415.6799999997</v>
      </c>
    </row>
    <row r="545" spans="1:12" ht="71.400000000000006" x14ac:dyDescent="0.3">
      <c r="A545" s="75" t="s">
        <v>666</v>
      </c>
      <c r="B545" s="76" t="s">
        <v>1351</v>
      </c>
      <c r="C545" s="76" t="s">
        <v>522</v>
      </c>
      <c r="D545" s="76" t="s">
        <v>1113</v>
      </c>
      <c r="E545" s="77" t="s">
        <v>523</v>
      </c>
      <c r="F545" s="199" t="s">
        <v>28</v>
      </c>
      <c r="G545" s="199"/>
      <c r="H545" s="77" t="s">
        <v>26</v>
      </c>
      <c r="I545" s="205">
        <v>263.02</v>
      </c>
      <c r="J545" s="205"/>
      <c r="K545" s="78" t="s">
        <v>29</v>
      </c>
      <c r="L545" s="79">
        <v>7057152.6600000001</v>
      </c>
    </row>
    <row r="546" spans="1:12" ht="71.400000000000006" x14ac:dyDescent="0.3">
      <c r="A546" s="75" t="s">
        <v>666</v>
      </c>
      <c r="B546" s="76" t="s">
        <v>1351</v>
      </c>
      <c r="C546" s="76" t="s">
        <v>522</v>
      </c>
      <c r="D546" s="76" t="s">
        <v>1272</v>
      </c>
      <c r="E546" s="77" t="s">
        <v>523</v>
      </c>
      <c r="F546" s="199" t="s">
        <v>28</v>
      </c>
      <c r="G546" s="199"/>
      <c r="H546" s="77" t="s">
        <v>26</v>
      </c>
      <c r="I546" s="200">
        <v>2045.27</v>
      </c>
      <c r="J546" s="200"/>
      <c r="K546" s="78" t="s">
        <v>29</v>
      </c>
      <c r="L546" s="79">
        <v>7055107.3899999997</v>
      </c>
    </row>
    <row r="547" spans="1:12" ht="61.2" x14ac:dyDescent="0.3">
      <c r="A547" s="75" t="s">
        <v>666</v>
      </c>
      <c r="B547" s="76" t="s">
        <v>1351</v>
      </c>
      <c r="C547" s="76" t="s">
        <v>522</v>
      </c>
      <c r="D547" s="76" t="s">
        <v>1076</v>
      </c>
      <c r="E547" s="77" t="s">
        <v>523</v>
      </c>
      <c r="F547" s="199" t="s">
        <v>28</v>
      </c>
      <c r="G547" s="199"/>
      <c r="H547" s="77" t="s">
        <v>26</v>
      </c>
      <c r="I547" s="205">
        <v>574.5</v>
      </c>
      <c r="J547" s="205"/>
      <c r="K547" s="78" t="s">
        <v>29</v>
      </c>
      <c r="L547" s="79">
        <v>7054532.8899999997</v>
      </c>
    </row>
    <row r="548" spans="1:12" ht="71.400000000000006" x14ac:dyDescent="0.3">
      <c r="A548" s="75" t="s">
        <v>666</v>
      </c>
      <c r="B548" s="76" t="s">
        <v>1351</v>
      </c>
      <c r="C548" s="76" t="s">
        <v>522</v>
      </c>
      <c r="D548" s="76" t="s">
        <v>1064</v>
      </c>
      <c r="E548" s="77" t="s">
        <v>523</v>
      </c>
      <c r="F548" s="199" t="s">
        <v>28</v>
      </c>
      <c r="G548" s="199"/>
      <c r="H548" s="77" t="s">
        <v>26</v>
      </c>
      <c r="I548" s="200">
        <v>22733.9</v>
      </c>
      <c r="J548" s="200"/>
      <c r="K548" s="78" t="s">
        <v>29</v>
      </c>
      <c r="L548" s="79">
        <v>7031798.9900000002</v>
      </c>
    </row>
    <row r="549" spans="1:12" ht="61.2" x14ac:dyDescent="0.3">
      <c r="A549" s="75" t="s">
        <v>666</v>
      </c>
      <c r="B549" s="76" t="s">
        <v>1352</v>
      </c>
      <c r="C549" s="76" t="s">
        <v>522</v>
      </c>
      <c r="D549" s="76" t="s">
        <v>1045</v>
      </c>
      <c r="E549" s="77" t="s">
        <v>523</v>
      </c>
      <c r="F549" s="199" t="s">
        <v>28</v>
      </c>
      <c r="G549" s="199"/>
      <c r="H549" s="77" t="s">
        <v>26</v>
      </c>
      <c r="I549" s="200">
        <v>31988.65</v>
      </c>
      <c r="J549" s="200"/>
      <c r="K549" s="78" t="s">
        <v>29</v>
      </c>
      <c r="L549" s="79">
        <v>6999810.3399999999</v>
      </c>
    </row>
    <row r="550" spans="1:12" ht="61.2" x14ac:dyDescent="0.3">
      <c r="A550" s="75" t="s">
        <v>666</v>
      </c>
      <c r="B550" s="76" t="s">
        <v>1352</v>
      </c>
      <c r="C550" s="76" t="s">
        <v>522</v>
      </c>
      <c r="D550" s="76" t="s">
        <v>1066</v>
      </c>
      <c r="E550" s="77" t="s">
        <v>523</v>
      </c>
      <c r="F550" s="199" t="s">
        <v>28</v>
      </c>
      <c r="G550" s="199"/>
      <c r="H550" s="77" t="s">
        <v>26</v>
      </c>
      <c r="I550" s="200">
        <v>50676.15</v>
      </c>
      <c r="J550" s="200"/>
      <c r="K550" s="78" t="s">
        <v>29</v>
      </c>
      <c r="L550" s="79">
        <v>6949134.1900000004</v>
      </c>
    </row>
    <row r="551" spans="1:12" ht="61.2" x14ac:dyDescent="0.3">
      <c r="A551" s="75" t="s">
        <v>666</v>
      </c>
      <c r="B551" s="76" t="s">
        <v>1352</v>
      </c>
      <c r="C551" s="76" t="s">
        <v>522</v>
      </c>
      <c r="D551" s="76" t="s">
        <v>1066</v>
      </c>
      <c r="E551" s="77" t="s">
        <v>523</v>
      </c>
      <c r="F551" s="199" t="s">
        <v>28</v>
      </c>
      <c r="G551" s="199"/>
      <c r="H551" s="77" t="s">
        <v>26</v>
      </c>
      <c r="I551" s="200">
        <v>28524.3</v>
      </c>
      <c r="J551" s="200"/>
      <c r="K551" s="78" t="s">
        <v>29</v>
      </c>
      <c r="L551" s="79">
        <v>6920609.8899999997</v>
      </c>
    </row>
    <row r="552" spans="1:12" ht="61.2" x14ac:dyDescent="0.3">
      <c r="A552" s="75" t="s">
        <v>666</v>
      </c>
      <c r="B552" s="76" t="s">
        <v>1352</v>
      </c>
      <c r="C552" s="76" t="s">
        <v>522</v>
      </c>
      <c r="D552" s="76" t="s">
        <v>1095</v>
      </c>
      <c r="E552" s="77" t="s">
        <v>523</v>
      </c>
      <c r="F552" s="199" t="s">
        <v>28</v>
      </c>
      <c r="G552" s="199"/>
      <c r="H552" s="77" t="s">
        <v>26</v>
      </c>
      <c r="I552" s="200">
        <v>33627</v>
      </c>
      <c r="J552" s="200"/>
      <c r="K552" s="78" t="s">
        <v>29</v>
      </c>
      <c r="L552" s="79">
        <v>6886982.8899999997</v>
      </c>
    </row>
    <row r="553" spans="1:12" ht="71.400000000000006" x14ac:dyDescent="0.3">
      <c r="A553" s="75" t="s">
        <v>666</v>
      </c>
      <c r="B553" s="76" t="s">
        <v>1352</v>
      </c>
      <c r="C553" s="76" t="s">
        <v>522</v>
      </c>
      <c r="D553" s="76" t="s">
        <v>1097</v>
      </c>
      <c r="E553" s="77" t="s">
        <v>523</v>
      </c>
      <c r="F553" s="199" t="s">
        <v>28</v>
      </c>
      <c r="G553" s="199"/>
      <c r="H553" s="77" t="s">
        <v>26</v>
      </c>
      <c r="I553" s="200">
        <v>20586.669999999998</v>
      </c>
      <c r="J553" s="200"/>
      <c r="K553" s="78" t="s">
        <v>29</v>
      </c>
      <c r="L553" s="79">
        <v>6866396.2199999997</v>
      </c>
    </row>
    <row r="554" spans="1:12" ht="61.2" x14ac:dyDescent="0.3">
      <c r="A554" s="75" t="s">
        <v>666</v>
      </c>
      <c r="B554" s="76" t="s">
        <v>1352</v>
      </c>
      <c r="C554" s="76" t="s">
        <v>522</v>
      </c>
      <c r="D554" s="76" t="s">
        <v>1067</v>
      </c>
      <c r="E554" s="77" t="s">
        <v>523</v>
      </c>
      <c r="F554" s="199" t="s">
        <v>28</v>
      </c>
      <c r="G554" s="199"/>
      <c r="H554" s="77" t="s">
        <v>26</v>
      </c>
      <c r="I554" s="200">
        <v>4623.5</v>
      </c>
      <c r="J554" s="200"/>
      <c r="K554" s="78" t="s">
        <v>29</v>
      </c>
      <c r="L554" s="79">
        <v>6861772.7199999997</v>
      </c>
    </row>
    <row r="555" spans="1:12" ht="61.2" x14ac:dyDescent="0.3">
      <c r="A555" s="75" t="s">
        <v>666</v>
      </c>
      <c r="B555" s="76" t="s">
        <v>1352</v>
      </c>
      <c r="C555" s="76" t="s">
        <v>522</v>
      </c>
      <c r="D555" s="76" t="s">
        <v>1325</v>
      </c>
      <c r="E555" s="77" t="s">
        <v>523</v>
      </c>
      <c r="F555" s="199" t="s">
        <v>28</v>
      </c>
      <c r="G555" s="199"/>
      <c r="H555" s="77" t="s">
        <v>26</v>
      </c>
      <c r="I555" s="200">
        <v>56557.06</v>
      </c>
      <c r="J555" s="200"/>
      <c r="K555" s="78" t="s">
        <v>29</v>
      </c>
      <c r="L555" s="79">
        <v>6805215.6600000001</v>
      </c>
    </row>
    <row r="556" spans="1:12" ht="61.2" x14ac:dyDescent="0.3">
      <c r="A556" s="75" t="s">
        <v>666</v>
      </c>
      <c r="B556" s="76" t="s">
        <v>1352</v>
      </c>
      <c r="C556" s="76" t="s">
        <v>522</v>
      </c>
      <c r="D556" s="76" t="s">
        <v>1067</v>
      </c>
      <c r="E556" s="77" t="s">
        <v>523</v>
      </c>
      <c r="F556" s="199" t="s">
        <v>28</v>
      </c>
      <c r="G556" s="199"/>
      <c r="H556" s="77" t="s">
        <v>26</v>
      </c>
      <c r="I556" s="200">
        <v>28087.77</v>
      </c>
      <c r="J556" s="200"/>
      <c r="K556" s="78" t="s">
        <v>29</v>
      </c>
      <c r="L556" s="79">
        <v>6777127.8899999997</v>
      </c>
    </row>
    <row r="557" spans="1:12" ht="81.599999999999994" x14ac:dyDescent="0.3">
      <c r="A557" s="75" t="s">
        <v>666</v>
      </c>
      <c r="B557" s="76" t="s">
        <v>1352</v>
      </c>
      <c r="C557" s="76" t="s">
        <v>522</v>
      </c>
      <c r="D557" s="76" t="s">
        <v>1098</v>
      </c>
      <c r="E557" s="77" t="s">
        <v>523</v>
      </c>
      <c r="F557" s="199" t="s">
        <v>28</v>
      </c>
      <c r="G557" s="199"/>
      <c r="H557" s="77" t="s">
        <v>26</v>
      </c>
      <c r="I557" s="200">
        <v>25468.28</v>
      </c>
      <c r="J557" s="200"/>
      <c r="K557" s="78" t="s">
        <v>29</v>
      </c>
      <c r="L557" s="79">
        <v>6751659.6100000003</v>
      </c>
    </row>
    <row r="558" spans="1:12" ht="71.400000000000006" x14ac:dyDescent="0.3">
      <c r="A558" s="75" t="s">
        <v>666</v>
      </c>
      <c r="B558" s="76" t="s">
        <v>1352</v>
      </c>
      <c r="C558" s="76" t="s">
        <v>522</v>
      </c>
      <c r="D558" s="76" t="s">
        <v>1099</v>
      </c>
      <c r="E558" s="77" t="s">
        <v>523</v>
      </c>
      <c r="F558" s="199" t="s">
        <v>28</v>
      </c>
      <c r="G558" s="199"/>
      <c r="H558" s="77" t="s">
        <v>26</v>
      </c>
      <c r="I558" s="200">
        <v>14145.07</v>
      </c>
      <c r="J558" s="200"/>
      <c r="K558" s="78" t="s">
        <v>29</v>
      </c>
      <c r="L558" s="79">
        <v>6737514.54</v>
      </c>
    </row>
    <row r="559" spans="1:12" ht="71.400000000000006" x14ac:dyDescent="0.3">
      <c r="A559" s="75" t="s">
        <v>666</v>
      </c>
      <c r="B559" s="76" t="s">
        <v>1352</v>
      </c>
      <c r="C559" s="76" t="s">
        <v>522</v>
      </c>
      <c r="D559" s="76" t="s">
        <v>1071</v>
      </c>
      <c r="E559" s="77" t="s">
        <v>523</v>
      </c>
      <c r="F559" s="199" t="s">
        <v>28</v>
      </c>
      <c r="G559" s="199"/>
      <c r="H559" s="77" t="s">
        <v>26</v>
      </c>
      <c r="I559" s="200">
        <v>21400.799999999999</v>
      </c>
      <c r="J559" s="200"/>
      <c r="K559" s="78" t="s">
        <v>29</v>
      </c>
      <c r="L559" s="79">
        <v>6716113.7400000002</v>
      </c>
    </row>
    <row r="560" spans="1:12" ht="61.2" x14ac:dyDescent="0.3">
      <c r="A560" s="75" t="s">
        <v>666</v>
      </c>
      <c r="B560" s="76" t="s">
        <v>1352</v>
      </c>
      <c r="C560" s="76" t="s">
        <v>522</v>
      </c>
      <c r="D560" s="76" t="s">
        <v>1060</v>
      </c>
      <c r="E560" s="77" t="s">
        <v>523</v>
      </c>
      <c r="F560" s="199" t="s">
        <v>28</v>
      </c>
      <c r="G560" s="199"/>
      <c r="H560" s="77" t="s">
        <v>26</v>
      </c>
      <c r="I560" s="205">
        <v>446.93</v>
      </c>
      <c r="J560" s="205"/>
      <c r="K560" s="78" t="s">
        <v>29</v>
      </c>
      <c r="L560" s="79">
        <v>6715666.8099999996</v>
      </c>
    </row>
    <row r="561" spans="1:12" ht="71.400000000000006" x14ac:dyDescent="0.3">
      <c r="A561" s="75" t="s">
        <v>666</v>
      </c>
      <c r="B561" s="76" t="s">
        <v>1352</v>
      </c>
      <c r="C561" s="76" t="s">
        <v>522</v>
      </c>
      <c r="D561" s="76" t="s">
        <v>1109</v>
      </c>
      <c r="E561" s="77" t="s">
        <v>523</v>
      </c>
      <c r="F561" s="199" t="s">
        <v>28</v>
      </c>
      <c r="G561" s="199"/>
      <c r="H561" s="77" t="s">
        <v>26</v>
      </c>
      <c r="I561" s="200">
        <v>1731.87</v>
      </c>
      <c r="J561" s="200"/>
      <c r="K561" s="78" t="s">
        <v>29</v>
      </c>
      <c r="L561" s="79">
        <v>6713934.9400000004</v>
      </c>
    </row>
    <row r="562" spans="1:12" ht="71.400000000000006" x14ac:dyDescent="0.3">
      <c r="A562" s="75" t="s">
        <v>666</v>
      </c>
      <c r="B562" s="76" t="s">
        <v>1352</v>
      </c>
      <c r="C562" s="76" t="s">
        <v>522</v>
      </c>
      <c r="D562" s="76" t="s">
        <v>1113</v>
      </c>
      <c r="E562" s="77" t="s">
        <v>523</v>
      </c>
      <c r="F562" s="199" t="s">
        <v>28</v>
      </c>
      <c r="G562" s="199"/>
      <c r="H562" s="77" t="s">
        <v>26</v>
      </c>
      <c r="I562" s="200">
        <v>15869.18</v>
      </c>
      <c r="J562" s="200"/>
      <c r="K562" s="78" t="s">
        <v>29</v>
      </c>
      <c r="L562" s="79">
        <v>6698065.7599999998</v>
      </c>
    </row>
    <row r="563" spans="1:12" ht="71.400000000000006" x14ac:dyDescent="0.3">
      <c r="A563" s="75" t="s">
        <v>666</v>
      </c>
      <c r="B563" s="76" t="s">
        <v>1352</v>
      </c>
      <c r="C563" s="76" t="s">
        <v>522</v>
      </c>
      <c r="D563" s="76" t="s">
        <v>1104</v>
      </c>
      <c r="E563" s="77" t="s">
        <v>523</v>
      </c>
      <c r="F563" s="199" t="s">
        <v>28</v>
      </c>
      <c r="G563" s="199"/>
      <c r="H563" s="77" t="s">
        <v>26</v>
      </c>
      <c r="I563" s="200">
        <v>7378</v>
      </c>
      <c r="J563" s="200"/>
      <c r="K563" s="78" t="s">
        <v>29</v>
      </c>
      <c r="L563" s="79">
        <v>6690687.7599999998</v>
      </c>
    </row>
    <row r="564" spans="1:12" ht="71.400000000000006" x14ac:dyDescent="0.3">
      <c r="A564" s="75" t="s">
        <v>666</v>
      </c>
      <c r="B564" s="76" t="s">
        <v>1352</v>
      </c>
      <c r="C564" s="76" t="s">
        <v>522</v>
      </c>
      <c r="D564" s="76" t="s">
        <v>1082</v>
      </c>
      <c r="E564" s="77" t="s">
        <v>523</v>
      </c>
      <c r="F564" s="199" t="s">
        <v>28</v>
      </c>
      <c r="G564" s="199"/>
      <c r="H564" s="77" t="s">
        <v>26</v>
      </c>
      <c r="I564" s="200">
        <v>49893.38</v>
      </c>
      <c r="J564" s="200"/>
      <c r="K564" s="78" t="s">
        <v>29</v>
      </c>
      <c r="L564" s="79">
        <v>6640794.3799999999</v>
      </c>
    </row>
    <row r="565" spans="1:12" ht="61.2" x14ac:dyDescent="0.3">
      <c r="A565" s="75" t="s">
        <v>666</v>
      </c>
      <c r="B565" s="76" t="s">
        <v>1352</v>
      </c>
      <c r="C565" s="76" t="s">
        <v>522</v>
      </c>
      <c r="D565" s="76" t="s">
        <v>1076</v>
      </c>
      <c r="E565" s="77" t="s">
        <v>523</v>
      </c>
      <c r="F565" s="199" t="s">
        <v>28</v>
      </c>
      <c r="G565" s="199"/>
      <c r="H565" s="77" t="s">
        <v>26</v>
      </c>
      <c r="I565" s="200">
        <v>81061.95</v>
      </c>
      <c r="J565" s="200"/>
      <c r="K565" s="78" t="s">
        <v>29</v>
      </c>
      <c r="L565" s="79">
        <v>6559732.4299999997</v>
      </c>
    </row>
    <row r="566" spans="1:12" ht="71.400000000000006" x14ac:dyDescent="0.3">
      <c r="A566" s="75" t="s">
        <v>666</v>
      </c>
      <c r="B566" s="76" t="s">
        <v>1352</v>
      </c>
      <c r="C566" s="76" t="s">
        <v>522</v>
      </c>
      <c r="D566" s="76" t="s">
        <v>1100</v>
      </c>
      <c r="E566" s="77" t="s">
        <v>523</v>
      </c>
      <c r="F566" s="199" t="s">
        <v>28</v>
      </c>
      <c r="G566" s="199"/>
      <c r="H566" s="77" t="s">
        <v>26</v>
      </c>
      <c r="I566" s="200">
        <v>77844.75</v>
      </c>
      <c r="J566" s="200"/>
      <c r="K566" s="78" t="s">
        <v>29</v>
      </c>
      <c r="L566" s="79">
        <v>6481887.6799999997</v>
      </c>
    </row>
    <row r="567" spans="1:12" ht="71.400000000000006" x14ac:dyDescent="0.3">
      <c r="A567" s="75" t="s">
        <v>666</v>
      </c>
      <c r="B567" s="76" t="s">
        <v>1352</v>
      </c>
      <c r="C567" s="76" t="s">
        <v>522</v>
      </c>
      <c r="D567" s="76" t="s">
        <v>1064</v>
      </c>
      <c r="E567" s="77" t="s">
        <v>523</v>
      </c>
      <c r="F567" s="199" t="s">
        <v>28</v>
      </c>
      <c r="G567" s="199"/>
      <c r="H567" s="77" t="s">
        <v>26</v>
      </c>
      <c r="I567" s="200">
        <v>18415.150000000001</v>
      </c>
      <c r="J567" s="200"/>
      <c r="K567" s="78" t="s">
        <v>29</v>
      </c>
      <c r="L567" s="79">
        <v>6463472.5300000003</v>
      </c>
    </row>
    <row r="568" spans="1:12" ht="71.400000000000006" x14ac:dyDescent="0.3">
      <c r="A568" s="75" t="s">
        <v>666</v>
      </c>
      <c r="B568" s="76" t="s">
        <v>1352</v>
      </c>
      <c r="C568" s="76" t="s">
        <v>522</v>
      </c>
      <c r="D568" s="76" t="s">
        <v>1101</v>
      </c>
      <c r="E568" s="77" t="s">
        <v>523</v>
      </c>
      <c r="F568" s="199" t="s">
        <v>28</v>
      </c>
      <c r="G568" s="199"/>
      <c r="H568" s="77" t="s">
        <v>26</v>
      </c>
      <c r="I568" s="200">
        <v>13087.92</v>
      </c>
      <c r="J568" s="200"/>
      <c r="K568" s="78" t="s">
        <v>29</v>
      </c>
      <c r="L568" s="79">
        <v>6450384.6100000003</v>
      </c>
    </row>
    <row r="569" spans="1:12" ht="71.400000000000006" x14ac:dyDescent="0.3">
      <c r="A569" s="75" t="s">
        <v>666</v>
      </c>
      <c r="B569" s="76" t="s">
        <v>1352</v>
      </c>
      <c r="C569" s="76" t="s">
        <v>522</v>
      </c>
      <c r="D569" s="76" t="s">
        <v>1272</v>
      </c>
      <c r="E569" s="77" t="s">
        <v>523</v>
      </c>
      <c r="F569" s="199" t="s">
        <v>28</v>
      </c>
      <c r="G569" s="199"/>
      <c r="H569" s="77" t="s">
        <v>26</v>
      </c>
      <c r="I569" s="200">
        <v>12240.66</v>
      </c>
      <c r="J569" s="200"/>
      <c r="K569" s="78" t="s">
        <v>29</v>
      </c>
      <c r="L569" s="79">
        <v>6438143.9500000002</v>
      </c>
    </row>
    <row r="570" spans="1:12" ht="71.400000000000006" x14ac:dyDescent="0.3">
      <c r="A570" s="75" t="s">
        <v>666</v>
      </c>
      <c r="B570" s="76" t="s">
        <v>1352</v>
      </c>
      <c r="C570" s="76" t="s">
        <v>522</v>
      </c>
      <c r="D570" s="76" t="s">
        <v>1064</v>
      </c>
      <c r="E570" s="77" t="s">
        <v>523</v>
      </c>
      <c r="F570" s="199" t="s">
        <v>28</v>
      </c>
      <c r="G570" s="199"/>
      <c r="H570" s="77" t="s">
        <v>26</v>
      </c>
      <c r="I570" s="200">
        <v>9812.2000000000007</v>
      </c>
      <c r="J570" s="200"/>
      <c r="K570" s="78" t="s">
        <v>29</v>
      </c>
      <c r="L570" s="79">
        <v>6428331.75</v>
      </c>
    </row>
    <row r="571" spans="1:12" ht="61.2" x14ac:dyDescent="0.3">
      <c r="A571" s="75" t="s">
        <v>666</v>
      </c>
      <c r="B571" s="76" t="s">
        <v>1353</v>
      </c>
      <c r="C571" s="76" t="s">
        <v>522</v>
      </c>
      <c r="D571" s="76" t="s">
        <v>1055</v>
      </c>
      <c r="E571" s="77" t="s">
        <v>523</v>
      </c>
      <c r="F571" s="199" t="s">
        <v>28</v>
      </c>
      <c r="G571" s="199"/>
      <c r="H571" s="77" t="s">
        <v>26</v>
      </c>
      <c r="I571" s="200">
        <v>4181.0600000000004</v>
      </c>
      <c r="J571" s="200"/>
      <c r="K571" s="78" t="s">
        <v>29</v>
      </c>
      <c r="L571" s="79">
        <v>6424150.6900000004</v>
      </c>
    </row>
    <row r="572" spans="1:12" ht="71.400000000000006" x14ac:dyDescent="0.3">
      <c r="A572" s="75" t="s">
        <v>666</v>
      </c>
      <c r="B572" s="76" t="s">
        <v>1353</v>
      </c>
      <c r="C572" s="76" t="s">
        <v>522</v>
      </c>
      <c r="D572" s="76" t="s">
        <v>1262</v>
      </c>
      <c r="E572" s="77" t="s">
        <v>523</v>
      </c>
      <c r="F572" s="199" t="s">
        <v>28</v>
      </c>
      <c r="G572" s="199"/>
      <c r="H572" s="77" t="s">
        <v>26</v>
      </c>
      <c r="I572" s="200">
        <v>14989.31</v>
      </c>
      <c r="J572" s="200"/>
      <c r="K572" s="78" t="s">
        <v>29</v>
      </c>
      <c r="L572" s="79">
        <v>6409161.3799999999</v>
      </c>
    </row>
    <row r="573" spans="1:12" ht="71.400000000000006" x14ac:dyDescent="0.3">
      <c r="A573" s="75" t="s">
        <v>666</v>
      </c>
      <c r="B573" s="76" t="s">
        <v>1353</v>
      </c>
      <c r="C573" s="76" t="s">
        <v>522</v>
      </c>
      <c r="D573" s="76" t="s">
        <v>1106</v>
      </c>
      <c r="E573" s="77" t="s">
        <v>523</v>
      </c>
      <c r="F573" s="199" t="s">
        <v>28</v>
      </c>
      <c r="G573" s="199"/>
      <c r="H573" s="77" t="s">
        <v>26</v>
      </c>
      <c r="I573" s="200">
        <v>1764.1</v>
      </c>
      <c r="J573" s="200"/>
      <c r="K573" s="78" t="s">
        <v>29</v>
      </c>
      <c r="L573" s="79">
        <v>6407397.2800000003</v>
      </c>
    </row>
    <row r="574" spans="1:12" ht="61.2" x14ac:dyDescent="0.3">
      <c r="A574" s="75" t="s">
        <v>666</v>
      </c>
      <c r="B574" s="76" t="s">
        <v>1353</v>
      </c>
      <c r="C574" s="76" t="s">
        <v>522</v>
      </c>
      <c r="D574" s="76" t="s">
        <v>1047</v>
      </c>
      <c r="E574" s="77" t="s">
        <v>523</v>
      </c>
      <c r="F574" s="199" t="s">
        <v>28</v>
      </c>
      <c r="G574" s="199"/>
      <c r="H574" s="77" t="s">
        <v>26</v>
      </c>
      <c r="I574" s="200">
        <v>3136</v>
      </c>
      <c r="J574" s="200"/>
      <c r="K574" s="78" t="s">
        <v>29</v>
      </c>
      <c r="L574" s="79">
        <v>6404261.2800000003</v>
      </c>
    </row>
    <row r="575" spans="1:12" ht="71.400000000000006" x14ac:dyDescent="0.3">
      <c r="A575" s="75" t="s">
        <v>666</v>
      </c>
      <c r="B575" s="76" t="s">
        <v>1353</v>
      </c>
      <c r="C575" s="76" t="s">
        <v>522</v>
      </c>
      <c r="D575" s="76" t="s">
        <v>1097</v>
      </c>
      <c r="E575" s="77" t="s">
        <v>523</v>
      </c>
      <c r="F575" s="199" t="s">
        <v>28</v>
      </c>
      <c r="G575" s="199"/>
      <c r="H575" s="77" t="s">
        <v>26</v>
      </c>
      <c r="I575" s="200">
        <v>13786.67</v>
      </c>
      <c r="J575" s="200"/>
      <c r="K575" s="78" t="s">
        <v>29</v>
      </c>
      <c r="L575" s="79">
        <v>6390474.6100000003</v>
      </c>
    </row>
    <row r="576" spans="1:12" ht="61.2" x14ac:dyDescent="0.3">
      <c r="A576" s="75" t="s">
        <v>666</v>
      </c>
      <c r="B576" s="76" t="s">
        <v>1353</v>
      </c>
      <c r="C576" s="76" t="s">
        <v>522</v>
      </c>
      <c r="D576" s="76" t="s">
        <v>1067</v>
      </c>
      <c r="E576" s="77" t="s">
        <v>523</v>
      </c>
      <c r="F576" s="199" t="s">
        <v>28</v>
      </c>
      <c r="G576" s="199"/>
      <c r="H576" s="77" t="s">
        <v>26</v>
      </c>
      <c r="I576" s="200">
        <v>19264.580000000002</v>
      </c>
      <c r="J576" s="200"/>
      <c r="K576" s="78" t="s">
        <v>29</v>
      </c>
      <c r="L576" s="79">
        <v>6371210.0300000003</v>
      </c>
    </row>
    <row r="577" spans="1:12" ht="61.2" x14ac:dyDescent="0.3">
      <c r="A577" s="75" t="s">
        <v>666</v>
      </c>
      <c r="B577" s="76" t="s">
        <v>1353</v>
      </c>
      <c r="C577" s="76" t="s">
        <v>522</v>
      </c>
      <c r="D577" s="76" t="s">
        <v>1326</v>
      </c>
      <c r="E577" s="77" t="s">
        <v>523</v>
      </c>
      <c r="F577" s="199" t="s">
        <v>28</v>
      </c>
      <c r="G577" s="199"/>
      <c r="H577" s="77" t="s">
        <v>26</v>
      </c>
      <c r="I577" s="200">
        <v>2021.28</v>
      </c>
      <c r="J577" s="200"/>
      <c r="K577" s="78" t="s">
        <v>29</v>
      </c>
      <c r="L577" s="79">
        <v>6369188.75</v>
      </c>
    </row>
    <row r="578" spans="1:12" ht="71.400000000000006" x14ac:dyDescent="0.3">
      <c r="A578" s="75" t="s">
        <v>666</v>
      </c>
      <c r="B578" s="76" t="s">
        <v>1353</v>
      </c>
      <c r="C578" s="76" t="s">
        <v>522</v>
      </c>
      <c r="D578" s="76" t="s">
        <v>1071</v>
      </c>
      <c r="E578" s="77" t="s">
        <v>523</v>
      </c>
      <c r="F578" s="199" t="s">
        <v>28</v>
      </c>
      <c r="G578" s="199"/>
      <c r="H578" s="77" t="s">
        <v>26</v>
      </c>
      <c r="I578" s="200">
        <v>111631.2</v>
      </c>
      <c r="J578" s="200"/>
      <c r="K578" s="78" t="s">
        <v>29</v>
      </c>
      <c r="L578" s="79">
        <v>6257557.5499999998</v>
      </c>
    </row>
    <row r="579" spans="1:12" ht="71.400000000000006" x14ac:dyDescent="0.3">
      <c r="A579" s="75" t="s">
        <v>666</v>
      </c>
      <c r="B579" s="76" t="s">
        <v>1353</v>
      </c>
      <c r="C579" s="76" t="s">
        <v>522</v>
      </c>
      <c r="D579" s="76" t="s">
        <v>1068</v>
      </c>
      <c r="E579" s="77" t="s">
        <v>523</v>
      </c>
      <c r="F579" s="199" t="s">
        <v>28</v>
      </c>
      <c r="G579" s="199"/>
      <c r="H579" s="77" t="s">
        <v>26</v>
      </c>
      <c r="I579" s="200">
        <v>243132.98</v>
      </c>
      <c r="J579" s="200"/>
      <c r="K579" s="78" t="s">
        <v>29</v>
      </c>
      <c r="L579" s="79">
        <v>6014424.5700000003</v>
      </c>
    </row>
    <row r="580" spans="1:12" ht="61.2" x14ac:dyDescent="0.3">
      <c r="A580" s="75" t="s">
        <v>666</v>
      </c>
      <c r="B580" s="76" t="s">
        <v>1353</v>
      </c>
      <c r="C580" s="76" t="s">
        <v>522</v>
      </c>
      <c r="D580" s="76" t="s">
        <v>1060</v>
      </c>
      <c r="E580" s="77" t="s">
        <v>523</v>
      </c>
      <c r="F580" s="199" t="s">
        <v>28</v>
      </c>
      <c r="G580" s="199"/>
      <c r="H580" s="77" t="s">
        <v>26</v>
      </c>
      <c r="I580" s="200">
        <v>2486.0700000000002</v>
      </c>
      <c r="J580" s="200"/>
      <c r="K580" s="78" t="s">
        <v>29</v>
      </c>
      <c r="L580" s="79">
        <v>6011938.5</v>
      </c>
    </row>
    <row r="581" spans="1:12" ht="61.2" x14ac:dyDescent="0.3">
      <c r="A581" s="75" t="s">
        <v>666</v>
      </c>
      <c r="B581" s="76" t="s">
        <v>1353</v>
      </c>
      <c r="C581" s="76" t="s">
        <v>522</v>
      </c>
      <c r="D581" s="76" t="s">
        <v>1061</v>
      </c>
      <c r="E581" s="77" t="s">
        <v>523</v>
      </c>
      <c r="F581" s="199" t="s">
        <v>28</v>
      </c>
      <c r="G581" s="199"/>
      <c r="H581" s="77" t="s">
        <v>26</v>
      </c>
      <c r="I581" s="200">
        <v>12095.13</v>
      </c>
      <c r="J581" s="200"/>
      <c r="K581" s="78" t="s">
        <v>29</v>
      </c>
      <c r="L581" s="79">
        <v>5999843.3700000001</v>
      </c>
    </row>
    <row r="582" spans="1:12" ht="71.400000000000006" x14ac:dyDescent="0.3">
      <c r="A582" s="75" t="s">
        <v>666</v>
      </c>
      <c r="B582" s="76" t="s">
        <v>1353</v>
      </c>
      <c r="C582" s="76" t="s">
        <v>522</v>
      </c>
      <c r="D582" s="76" t="s">
        <v>1113</v>
      </c>
      <c r="E582" s="77" t="s">
        <v>523</v>
      </c>
      <c r="F582" s="199" t="s">
        <v>28</v>
      </c>
      <c r="G582" s="199"/>
      <c r="H582" s="77" t="s">
        <v>26</v>
      </c>
      <c r="I582" s="200">
        <v>40681.199999999997</v>
      </c>
      <c r="J582" s="200"/>
      <c r="K582" s="78" t="s">
        <v>29</v>
      </c>
      <c r="L582" s="79">
        <v>5959162.1699999999</v>
      </c>
    </row>
    <row r="583" spans="1:12" ht="71.400000000000006" x14ac:dyDescent="0.3">
      <c r="A583" s="75" t="s">
        <v>666</v>
      </c>
      <c r="B583" s="76" t="s">
        <v>1353</v>
      </c>
      <c r="C583" s="76" t="s">
        <v>522</v>
      </c>
      <c r="D583" s="76" t="s">
        <v>1104</v>
      </c>
      <c r="E583" s="77" t="s">
        <v>523</v>
      </c>
      <c r="F583" s="199" t="s">
        <v>28</v>
      </c>
      <c r="G583" s="199"/>
      <c r="H583" s="77" t="s">
        <v>26</v>
      </c>
      <c r="I583" s="205">
        <v>57.87</v>
      </c>
      <c r="J583" s="205"/>
      <c r="K583" s="78" t="s">
        <v>29</v>
      </c>
      <c r="L583" s="79">
        <v>5959104.2999999998</v>
      </c>
    </row>
    <row r="584" spans="1:12" ht="61.2" x14ac:dyDescent="0.3">
      <c r="A584" s="75" t="s">
        <v>666</v>
      </c>
      <c r="B584" s="76" t="s">
        <v>1353</v>
      </c>
      <c r="C584" s="76" t="s">
        <v>522</v>
      </c>
      <c r="D584" s="76" t="s">
        <v>1057</v>
      </c>
      <c r="E584" s="77" t="s">
        <v>523</v>
      </c>
      <c r="F584" s="199" t="s">
        <v>28</v>
      </c>
      <c r="G584" s="199"/>
      <c r="H584" s="77" t="s">
        <v>26</v>
      </c>
      <c r="I584" s="200">
        <v>106848.28</v>
      </c>
      <c r="J584" s="200"/>
      <c r="K584" s="78" t="s">
        <v>29</v>
      </c>
      <c r="L584" s="79">
        <v>5852256.0199999996</v>
      </c>
    </row>
    <row r="585" spans="1:12" ht="61.2" x14ac:dyDescent="0.3">
      <c r="A585" s="75" t="s">
        <v>666</v>
      </c>
      <c r="B585" s="76" t="s">
        <v>1353</v>
      </c>
      <c r="C585" s="76" t="s">
        <v>522</v>
      </c>
      <c r="D585" s="76" t="s">
        <v>1076</v>
      </c>
      <c r="E585" s="77" t="s">
        <v>523</v>
      </c>
      <c r="F585" s="199" t="s">
        <v>28</v>
      </c>
      <c r="G585" s="199"/>
      <c r="H585" s="77" t="s">
        <v>26</v>
      </c>
      <c r="I585" s="205">
        <v>172.35</v>
      </c>
      <c r="J585" s="205"/>
      <c r="K585" s="78" t="s">
        <v>29</v>
      </c>
      <c r="L585" s="79">
        <v>5852083.6699999999</v>
      </c>
    </row>
    <row r="586" spans="1:12" ht="71.400000000000006" x14ac:dyDescent="0.3">
      <c r="A586" s="75" t="s">
        <v>666</v>
      </c>
      <c r="B586" s="76" t="s">
        <v>1353</v>
      </c>
      <c r="C586" s="76" t="s">
        <v>522</v>
      </c>
      <c r="D586" s="76" t="s">
        <v>1064</v>
      </c>
      <c r="E586" s="77" t="s">
        <v>523</v>
      </c>
      <c r="F586" s="199" t="s">
        <v>28</v>
      </c>
      <c r="G586" s="199"/>
      <c r="H586" s="77" t="s">
        <v>26</v>
      </c>
      <c r="I586" s="200">
        <v>9328.5</v>
      </c>
      <c r="J586" s="200"/>
      <c r="K586" s="78" t="s">
        <v>29</v>
      </c>
      <c r="L586" s="79">
        <v>5842755.1699999999</v>
      </c>
    </row>
    <row r="587" spans="1:12" ht="71.400000000000006" hidden="1" x14ac:dyDescent="0.3">
      <c r="A587" s="75" t="s">
        <v>666</v>
      </c>
      <c r="B587" s="76" t="s">
        <v>864</v>
      </c>
      <c r="C587" s="76" t="s">
        <v>865</v>
      </c>
      <c r="D587" s="76" t="s">
        <v>823</v>
      </c>
      <c r="E587" s="77" t="s">
        <v>26</v>
      </c>
      <c r="F587" s="203">
        <v>49282.5</v>
      </c>
      <c r="G587" s="203"/>
      <c r="H587" s="77" t="s">
        <v>26</v>
      </c>
      <c r="I587" s="204" t="s">
        <v>28</v>
      </c>
      <c r="J587" s="204"/>
      <c r="K587" s="78" t="s">
        <v>29</v>
      </c>
      <c r="L587" s="79">
        <v>5892037.6699999999</v>
      </c>
    </row>
    <row r="588" spans="1:12" ht="71.400000000000006" hidden="1" x14ac:dyDescent="0.3">
      <c r="A588" s="75" t="s">
        <v>666</v>
      </c>
      <c r="B588" s="76" t="s">
        <v>864</v>
      </c>
      <c r="C588" s="76" t="s">
        <v>866</v>
      </c>
      <c r="D588" s="76" t="s">
        <v>829</v>
      </c>
      <c r="E588" s="77" t="s">
        <v>26</v>
      </c>
      <c r="F588" s="203">
        <v>4697.25</v>
      </c>
      <c r="G588" s="203"/>
      <c r="H588" s="77" t="s">
        <v>26</v>
      </c>
      <c r="I588" s="204" t="s">
        <v>28</v>
      </c>
      <c r="J588" s="204"/>
      <c r="K588" s="78" t="s">
        <v>29</v>
      </c>
      <c r="L588" s="79">
        <v>5896734.9199999999</v>
      </c>
    </row>
    <row r="589" spans="1:12" ht="71.400000000000006" hidden="1" x14ac:dyDescent="0.3">
      <c r="A589" s="75" t="s">
        <v>666</v>
      </c>
      <c r="B589" s="76" t="s">
        <v>893</v>
      </c>
      <c r="C589" s="76" t="s">
        <v>894</v>
      </c>
      <c r="D589" s="76" t="s">
        <v>870</v>
      </c>
      <c r="E589" s="77" t="s">
        <v>26</v>
      </c>
      <c r="F589" s="203">
        <v>65328</v>
      </c>
      <c r="G589" s="203"/>
      <c r="H589" s="77" t="s">
        <v>26</v>
      </c>
      <c r="I589" s="204" t="s">
        <v>28</v>
      </c>
      <c r="J589" s="204"/>
      <c r="K589" s="78" t="s">
        <v>29</v>
      </c>
      <c r="L589" s="79">
        <v>5962062.9199999999</v>
      </c>
    </row>
    <row r="590" spans="1:12" ht="61.2" x14ac:dyDescent="0.3">
      <c r="A590" s="75" t="s">
        <v>666</v>
      </c>
      <c r="B590" s="76" t="s">
        <v>1354</v>
      </c>
      <c r="C590" s="76" t="s">
        <v>522</v>
      </c>
      <c r="D590" s="76" t="s">
        <v>1243</v>
      </c>
      <c r="E590" s="77" t="s">
        <v>523</v>
      </c>
      <c r="F590" s="199" t="s">
        <v>28</v>
      </c>
      <c r="G590" s="199"/>
      <c r="H590" s="77" t="s">
        <v>26</v>
      </c>
      <c r="I590" s="200">
        <v>168000</v>
      </c>
      <c r="J590" s="200"/>
      <c r="K590" s="78" t="s">
        <v>29</v>
      </c>
      <c r="L590" s="79">
        <v>5794062.9199999999</v>
      </c>
    </row>
    <row r="591" spans="1:12" ht="61.2" x14ac:dyDescent="0.3">
      <c r="A591" s="75" t="s">
        <v>666</v>
      </c>
      <c r="B591" s="76" t="s">
        <v>1354</v>
      </c>
      <c r="C591" s="76" t="s">
        <v>522</v>
      </c>
      <c r="D591" s="76" t="s">
        <v>1246</v>
      </c>
      <c r="E591" s="77" t="s">
        <v>523</v>
      </c>
      <c r="F591" s="199" t="s">
        <v>28</v>
      </c>
      <c r="G591" s="199"/>
      <c r="H591" s="77" t="s">
        <v>26</v>
      </c>
      <c r="I591" s="200">
        <v>25800</v>
      </c>
      <c r="J591" s="200"/>
      <c r="K591" s="78" t="s">
        <v>29</v>
      </c>
      <c r="L591" s="79">
        <v>5768262.9199999999</v>
      </c>
    </row>
    <row r="592" spans="1:12" ht="61.2" x14ac:dyDescent="0.3">
      <c r="A592" s="75" t="s">
        <v>666</v>
      </c>
      <c r="B592" s="76" t="s">
        <v>1354</v>
      </c>
      <c r="C592" s="76" t="s">
        <v>522</v>
      </c>
      <c r="D592" s="76" t="s">
        <v>1247</v>
      </c>
      <c r="E592" s="77" t="s">
        <v>523</v>
      </c>
      <c r="F592" s="199" t="s">
        <v>28</v>
      </c>
      <c r="G592" s="199"/>
      <c r="H592" s="77" t="s">
        <v>26</v>
      </c>
      <c r="I592" s="200">
        <v>32500</v>
      </c>
      <c r="J592" s="200"/>
      <c r="K592" s="78" t="s">
        <v>29</v>
      </c>
      <c r="L592" s="79">
        <v>5735762.9199999999</v>
      </c>
    </row>
    <row r="593" spans="1:12" ht="61.2" x14ac:dyDescent="0.3">
      <c r="A593" s="75" t="s">
        <v>666</v>
      </c>
      <c r="B593" s="76" t="s">
        <v>1354</v>
      </c>
      <c r="C593" s="76" t="s">
        <v>522</v>
      </c>
      <c r="D593" s="76" t="s">
        <v>1248</v>
      </c>
      <c r="E593" s="77" t="s">
        <v>523</v>
      </c>
      <c r="F593" s="199" t="s">
        <v>28</v>
      </c>
      <c r="G593" s="199"/>
      <c r="H593" s="77" t="s">
        <v>26</v>
      </c>
      <c r="I593" s="200">
        <v>20000</v>
      </c>
      <c r="J593" s="200"/>
      <c r="K593" s="78" t="s">
        <v>29</v>
      </c>
      <c r="L593" s="79">
        <v>5715762.9199999999</v>
      </c>
    </row>
    <row r="594" spans="1:12" ht="61.2" x14ac:dyDescent="0.3">
      <c r="A594" s="75" t="s">
        <v>666</v>
      </c>
      <c r="B594" s="76" t="s">
        <v>1354</v>
      </c>
      <c r="C594" s="76" t="s">
        <v>522</v>
      </c>
      <c r="D594" s="76" t="s">
        <v>1249</v>
      </c>
      <c r="E594" s="77" t="s">
        <v>523</v>
      </c>
      <c r="F594" s="199" t="s">
        <v>28</v>
      </c>
      <c r="G594" s="199"/>
      <c r="H594" s="77" t="s">
        <v>26</v>
      </c>
      <c r="I594" s="200">
        <v>18533.580000000002</v>
      </c>
      <c r="J594" s="200"/>
      <c r="K594" s="78" t="s">
        <v>29</v>
      </c>
      <c r="L594" s="79">
        <v>5697229.3399999999</v>
      </c>
    </row>
    <row r="595" spans="1:12" ht="71.400000000000006" x14ac:dyDescent="0.3">
      <c r="A595" s="75" t="s">
        <v>666</v>
      </c>
      <c r="B595" s="76" t="s">
        <v>1355</v>
      </c>
      <c r="C595" s="76" t="s">
        <v>522</v>
      </c>
      <c r="D595" s="76" t="s">
        <v>894</v>
      </c>
      <c r="E595" s="77" t="s">
        <v>523</v>
      </c>
      <c r="F595" s="199" t="s">
        <v>28</v>
      </c>
      <c r="G595" s="199"/>
      <c r="H595" s="77" t="s">
        <v>26</v>
      </c>
      <c r="I595" s="200">
        <v>52568</v>
      </c>
      <c r="J595" s="200"/>
      <c r="K595" s="78" t="s">
        <v>29</v>
      </c>
      <c r="L595" s="79">
        <v>5644661.3399999999</v>
      </c>
    </row>
    <row r="596" spans="1:12" ht="71.400000000000006" x14ac:dyDescent="0.3">
      <c r="A596" s="75" t="s">
        <v>666</v>
      </c>
      <c r="B596" s="76" t="s">
        <v>1355</v>
      </c>
      <c r="C596" s="76" t="s">
        <v>522</v>
      </c>
      <c r="D596" s="76" t="s">
        <v>894</v>
      </c>
      <c r="E596" s="77" t="s">
        <v>523</v>
      </c>
      <c r="F596" s="199" t="s">
        <v>28</v>
      </c>
      <c r="G596" s="199"/>
      <c r="H596" s="77" t="s">
        <v>26</v>
      </c>
      <c r="I596" s="200">
        <v>12760</v>
      </c>
      <c r="J596" s="200"/>
      <c r="K596" s="78" t="s">
        <v>29</v>
      </c>
      <c r="L596" s="79">
        <v>5631901.3399999999</v>
      </c>
    </row>
    <row r="597" spans="1:12" ht="71.400000000000006" x14ac:dyDescent="0.3">
      <c r="A597" s="75" t="s">
        <v>666</v>
      </c>
      <c r="B597" s="76" t="s">
        <v>1355</v>
      </c>
      <c r="C597" s="76" t="s">
        <v>522</v>
      </c>
      <c r="D597" s="76" t="s">
        <v>1154</v>
      </c>
      <c r="E597" s="77" t="s">
        <v>523</v>
      </c>
      <c r="F597" s="199" t="s">
        <v>28</v>
      </c>
      <c r="G597" s="199"/>
      <c r="H597" s="77" t="s">
        <v>26</v>
      </c>
      <c r="I597" s="200">
        <v>3695</v>
      </c>
      <c r="J597" s="200"/>
      <c r="K597" s="78" t="s">
        <v>29</v>
      </c>
      <c r="L597" s="79">
        <v>5628206.3399999999</v>
      </c>
    </row>
    <row r="598" spans="1:12" ht="71.400000000000006" x14ac:dyDescent="0.3">
      <c r="A598" s="75" t="s">
        <v>666</v>
      </c>
      <c r="B598" s="76" t="s">
        <v>1355</v>
      </c>
      <c r="C598" s="76" t="s">
        <v>522</v>
      </c>
      <c r="D598" s="76" t="s">
        <v>1154</v>
      </c>
      <c r="E598" s="77" t="s">
        <v>523</v>
      </c>
      <c r="F598" s="199" t="s">
        <v>28</v>
      </c>
      <c r="G598" s="199"/>
      <c r="H598" s="77" t="s">
        <v>26</v>
      </c>
      <c r="I598" s="200">
        <v>21905</v>
      </c>
      <c r="J598" s="200"/>
      <c r="K598" s="78" t="s">
        <v>29</v>
      </c>
      <c r="L598" s="79">
        <v>5606301.3399999999</v>
      </c>
    </row>
    <row r="599" spans="1:12" ht="71.400000000000006" x14ac:dyDescent="0.3">
      <c r="A599" s="75" t="s">
        <v>666</v>
      </c>
      <c r="B599" s="76" t="s">
        <v>1355</v>
      </c>
      <c r="C599" s="76" t="s">
        <v>522</v>
      </c>
      <c r="D599" s="76" t="s">
        <v>1170</v>
      </c>
      <c r="E599" s="77" t="s">
        <v>523</v>
      </c>
      <c r="F599" s="199" t="s">
        <v>28</v>
      </c>
      <c r="G599" s="199"/>
      <c r="H599" s="77" t="s">
        <v>26</v>
      </c>
      <c r="I599" s="200">
        <v>39340</v>
      </c>
      <c r="J599" s="200"/>
      <c r="K599" s="78" t="s">
        <v>29</v>
      </c>
      <c r="L599" s="79">
        <v>5566961.3399999999</v>
      </c>
    </row>
    <row r="600" spans="1:12" ht="61.2" x14ac:dyDescent="0.3">
      <c r="A600" s="75" t="s">
        <v>666</v>
      </c>
      <c r="B600" s="76" t="s">
        <v>1356</v>
      </c>
      <c r="C600" s="76" t="s">
        <v>859</v>
      </c>
      <c r="D600" s="76" t="s">
        <v>519</v>
      </c>
      <c r="E600" s="77" t="s">
        <v>523</v>
      </c>
      <c r="F600" s="199" t="s">
        <v>28</v>
      </c>
      <c r="G600" s="199"/>
      <c r="H600" s="77" t="s">
        <v>26</v>
      </c>
      <c r="I600" s="200">
        <v>10887.73</v>
      </c>
      <c r="J600" s="200"/>
      <c r="K600" s="78" t="s">
        <v>29</v>
      </c>
      <c r="L600" s="79">
        <v>5556073.6100000003</v>
      </c>
    </row>
    <row r="601" spans="1:12" ht="61.2" x14ac:dyDescent="0.3">
      <c r="A601" s="75" t="s">
        <v>666</v>
      </c>
      <c r="B601" s="76" t="s">
        <v>1356</v>
      </c>
      <c r="C601" s="76" t="s">
        <v>859</v>
      </c>
      <c r="D601" s="76" t="s">
        <v>538</v>
      </c>
      <c r="E601" s="77" t="s">
        <v>523</v>
      </c>
      <c r="F601" s="199" t="s">
        <v>28</v>
      </c>
      <c r="G601" s="199"/>
      <c r="H601" s="77" t="s">
        <v>26</v>
      </c>
      <c r="I601" s="200">
        <v>26030.2</v>
      </c>
      <c r="J601" s="200"/>
      <c r="K601" s="78" t="s">
        <v>29</v>
      </c>
      <c r="L601" s="79">
        <v>5530043.4100000001</v>
      </c>
    </row>
    <row r="602" spans="1:12" ht="61.2" x14ac:dyDescent="0.3">
      <c r="A602" s="75" t="s">
        <v>666</v>
      </c>
      <c r="B602" s="76" t="s">
        <v>1356</v>
      </c>
      <c r="C602" s="76" t="s">
        <v>859</v>
      </c>
      <c r="D602" s="76" t="s">
        <v>551</v>
      </c>
      <c r="E602" s="77" t="s">
        <v>523</v>
      </c>
      <c r="F602" s="199" t="s">
        <v>28</v>
      </c>
      <c r="G602" s="199"/>
      <c r="H602" s="77" t="s">
        <v>26</v>
      </c>
      <c r="I602" s="200">
        <v>8781.9</v>
      </c>
      <c r="J602" s="200"/>
      <c r="K602" s="78" t="s">
        <v>29</v>
      </c>
      <c r="L602" s="79">
        <v>5521261.5099999998</v>
      </c>
    </row>
    <row r="603" spans="1:12" ht="61.2" x14ac:dyDescent="0.3">
      <c r="A603" s="75" t="s">
        <v>666</v>
      </c>
      <c r="B603" s="76" t="s">
        <v>1356</v>
      </c>
      <c r="C603" s="76" t="s">
        <v>859</v>
      </c>
      <c r="D603" s="76" t="s">
        <v>518</v>
      </c>
      <c r="E603" s="77" t="s">
        <v>523</v>
      </c>
      <c r="F603" s="199" t="s">
        <v>28</v>
      </c>
      <c r="G603" s="199"/>
      <c r="H603" s="77" t="s">
        <v>26</v>
      </c>
      <c r="I603" s="200">
        <v>44813.05</v>
      </c>
      <c r="J603" s="200"/>
      <c r="K603" s="78" t="s">
        <v>29</v>
      </c>
      <c r="L603" s="79">
        <v>5476448.46</v>
      </c>
    </row>
    <row r="604" spans="1:12" ht="61.2" x14ac:dyDescent="0.3">
      <c r="A604" s="75" t="s">
        <v>666</v>
      </c>
      <c r="B604" s="76" t="s">
        <v>1356</v>
      </c>
      <c r="C604" s="76" t="s">
        <v>859</v>
      </c>
      <c r="D604" s="76" t="s">
        <v>537</v>
      </c>
      <c r="E604" s="77" t="s">
        <v>523</v>
      </c>
      <c r="F604" s="199" t="s">
        <v>28</v>
      </c>
      <c r="G604" s="199"/>
      <c r="H604" s="77" t="s">
        <v>26</v>
      </c>
      <c r="I604" s="200">
        <v>1785.64</v>
      </c>
      <c r="J604" s="200"/>
      <c r="K604" s="78" t="s">
        <v>29</v>
      </c>
      <c r="L604" s="79">
        <v>5474662.8200000003</v>
      </c>
    </row>
    <row r="605" spans="1:12" ht="61.2" x14ac:dyDescent="0.3">
      <c r="A605" s="75" t="s">
        <v>666</v>
      </c>
      <c r="B605" s="76" t="s">
        <v>1356</v>
      </c>
      <c r="C605" s="76" t="s">
        <v>859</v>
      </c>
      <c r="D605" s="76" t="s">
        <v>1202</v>
      </c>
      <c r="E605" s="77" t="s">
        <v>523</v>
      </c>
      <c r="F605" s="199" t="s">
        <v>28</v>
      </c>
      <c r="G605" s="199"/>
      <c r="H605" s="77" t="s">
        <v>26</v>
      </c>
      <c r="I605" s="200">
        <v>13436.91</v>
      </c>
      <c r="J605" s="200"/>
      <c r="K605" s="78" t="s">
        <v>29</v>
      </c>
      <c r="L605" s="79">
        <v>5461225.9100000001</v>
      </c>
    </row>
    <row r="606" spans="1:12" ht="71.400000000000006" x14ac:dyDescent="0.3">
      <c r="A606" s="75" t="s">
        <v>666</v>
      </c>
      <c r="B606" s="76" t="s">
        <v>1356</v>
      </c>
      <c r="C606" s="76" t="s">
        <v>859</v>
      </c>
      <c r="D606" s="76" t="s">
        <v>1174</v>
      </c>
      <c r="E606" s="77" t="s">
        <v>523</v>
      </c>
      <c r="F606" s="199" t="s">
        <v>28</v>
      </c>
      <c r="G606" s="199"/>
      <c r="H606" s="77" t="s">
        <v>26</v>
      </c>
      <c r="I606" s="200">
        <v>8577.5</v>
      </c>
      <c r="J606" s="200"/>
      <c r="K606" s="78" t="s">
        <v>29</v>
      </c>
      <c r="L606" s="79">
        <v>5452648.4100000001</v>
      </c>
    </row>
    <row r="607" spans="1:12" ht="71.400000000000006" x14ac:dyDescent="0.3">
      <c r="A607" s="75" t="s">
        <v>666</v>
      </c>
      <c r="B607" s="76" t="s">
        <v>1356</v>
      </c>
      <c r="C607" s="76" t="s">
        <v>859</v>
      </c>
      <c r="D607" s="76" t="s">
        <v>488</v>
      </c>
      <c r="E607" s="77" t="s">
        <v>523</v>
      </c>
      <c r="F607" s="199" t="s">
        <v>28</v>
      </c>
      <c r="G607" s="199"/>
      <c r="H607" s="77" t="s">
        <v>26</v>
      </c>
      <c r="I607" s="200">
        <v>77235</v>
      </c>
      <c r="J607" s="200"/>
      <c r="K607" s="78" t="s">
        <v>29</v>
      </c>
      <c r="L607" s="79">
        <v>5375413.4100000001</v>
      </c>
    </row>
    <row r="608" spans="1:12" ht="71.400000000000006" x14ac:dyDescent="0.3">
      <c r="A608" s="75" t="s">
        <v>666</v>
      </c>
      <c r="B608" s="76" t="s">
        <v>1356</v>
      </c>
      <c r="C608" s="76" t="s">
        <v>859</v>
      </c>
      <c r="D608" s="76" t="s">
        <v>1170</v>
      </c>
      <c r="E608" s="77" t="s">
        <v>523</v>
      </c>
      <c r="F608" s="199" t="s">
        <v>28</v>
      </c>
      <c r="G608" s="199"/>
      <c r="H608" s="77" t="s">
        <v>26</v>
      </c>
      <c r="I608" s="200">
        <v>40110</v>
      </c>
      <c r="J608" s="200"/>
      <c r="K608" s="78" t="s">
        <v>29</v>
      </c>
      <c r="L608" s="79">
        <v>5335303.41</v>
      </c>
    </row>
    <row r="609" spans="1:14" ht="71.400000000000006" x14ac:dyDescent="0.3">
      <c r="A609" s="75" t="s">
        <v>666</v>
      </c>
      <c r="B609" s="76" t="s">
        <v>1356</v>
      </c>
      <c r="C609" s="76" t="s">
        <v>859</v>
      </c>
      <c r="D609" s="76" t="s">
        <v>1198</v>
      </c>
      <c r="E609" s="77" t="s">
        <v>523</v>
      </c>
      <c r="F609" s="199" t="s">
        <v>28</v>
      </c>
      <c r="G609" s="199"/>
      <c r="H609" s="77" t="s">
        <v>26</v>
      </c>
      <c r="I609" s="200">
        <v>64005</v>
      </c>
      <c r="J609" s="200"/>
      <c r="K609" s="78" t="s">
        <v>29</v>
      </c>
      <c r="L609" s="79">
        <v>5271298.41</v>
      </c>
    </row>
    <row r="610" spans="1:14" ht="71.400000000000006" x14ac:dyDescent="0.3">
      <c r="A610" s="75" t="s">
        <v>666</v>
      </c>
      <c r="B610" s="76" t="s">
        <v>1356</v>
      </c>
      <c r="C610" s="76" t="s">
        <v>859</v>
      </c>
      <c r="D610" s="76" t="s">
        <v>865</v>
      </c>
      <c r="E610" s="77" t="s">
        <v>523</v>
      </c>
      <c r="F610" s="199" t="s">
        <v>28</v>
      </c>
      <c r="G610" s="199"/>
      <c r="H610" s="77" t="s">
        <v>26</v>
      </c>
      <c r="I610" s="200">
        <v>49282.5</v>
      </c>
      <c r="J610" s="200"/>
      <c r="K610" s="78" t="s">
        <v>29</v>
      </c>
      <c r="L610" s="79">
        <v>5222015.91</v>
      </c>
    </row>
    <row r="611" spans="1:14" ht="71.400000000000006" x14ac:dyDescent="0.3">
      <c r="A611" s="75" t="s">
        <v>666</v>
      </c>
      <c r="B611" s="76" t="s">
        <v>1356</v>
      </c>
      <c r="C611" s="76" t="s">
        <v>859</v>
      </c>
      <c r="D611" s="76" t="s">
        <v>1208</v>
      </c>
      <c r="E611" s="77" t="s">
        <v>523</v>
      </c>
      <c r="F611" s="199" t="s">
        <v>28</v>
      </c>
      <c r="G611" s="199"/>
      <c r="H611" s="77" t="s">
        <v>26</v>
      </c>
      <c r="I611" s="200">
        <v>3399</v>
      </c>
      <c r="J611" s="200"/>
      <c r="K611" s="78" t="s">
        <v>29</v>
      </c>
      <c r="L611" s="79">
        <v>5218616.91</v>
      </c>
    </row>
    <row r="612" spans="1:14" ht="71.400000000000006" x14ac:dyDescent="0.3">
      <c r="A612" s="75" t="s">
        <v>666</v>
      </c>
      <c r="B612" s="76" t="s">
        <v>1356</v>
      </c>
      <c r="C612" s="76" t="s">
        <v>859</v>
      </c>
      <c r="D612" s="76" t="s">
        <v>1211</v>
      </c>
      <c r="E612" s="77" t="s">
        <v>523</v>
      </c>
      <c r="F612" s="199" t="s">
        <v>28</v>
      </c>
      <c r="G612" s="199"/>
      <c r="H612" s="77" t="s">
        <v>26</v>
      </c>
      <c r="I612" s="200">
        <v>6582</v>
      </c>
      <c r="J612" s="200"/>
      <c r="K612" s="78" t="s">
        <v>29</v>
      </c>
      <c r="L612" s="79">
        <v>5212034.91</v>
      </c>
    </row>
    <row r="613" spans="1:14" ht="71.400000000000006" x14ac:dyDescent="0.3">
      <c r="A613" s="75" t="s">
        <v>666</v>
      </c>
      <c r="B613" s="76" t="s">
        <v>1356</v>
      </c>
      <c r="C613" s="76" t="s">
        <v>859</v>
      </c>
      <c r="D613" s="76" t="s">
        <v>866</v>
      </c>
      <c r="E613" s="77" t="s">
        <v>523</v>
      </c>
      <c r="F613" s="199" t="s">
        <v>28</v>
      </c>
      <c r="G613" s="199"/>
      <c r="H613" s="77" t="s">
        <v>26</v>
      </c>
      <c r="I613" s="200">
        <v>4697.25</v>
      </c>
      <c r="J613" s="200"/>
      <c r="K613" s="78" t="s">
        <v>29</v>
      </c>
      <c r="L613" s="79">
        <v>5207337.66</v>
      </c>
    </row>
    <row r="614" spans="1:14" ht="71.400000000000006" x14ac:dyDescent="0.3">
      <c r="A614" s="75" t="s">
        <v>666</v>
      </c>
      <c r="B614" s="76" t="s">
        <v>1356</v>
      </c>
      <c r="C614" s="76" t="s">
        <v>859</v>
      </c>
      <c r="D614" s="76" t="s">
        <v>1259</v>
      </c>
      <c r="E614" s="77" t="s">
        <v>523</v>
      </c>
      <c r="F614" s="199" t="s">
        <v>28</v>
      </c>
      <c r="G614" s="199"/>
      <c r="H614" s="77" t="s">
        <v>26</v>
      </c>
      <c r="I614" s="200">
        <v>3259.5</v>
      </c>
      <c r="J614" s="200"/>
      <c r="K614" s="78" t="s">
        <v>29</v>
      </c>
      <c r="L614" s="79">
        <v>5204078.16</v>
      </c>
    </row>
    <row r="615" spans="1:14" ht="71.400000000000006" x14ac:dyDescent="0.3">
      <c r="A615" s="75" t="s">
        <v>666</v>
      </c>
      <c r="B615" s="76" t="s">
        <v>1356</v>
      </c>
      <c r="C615" s="76" t="s">
        <v>859</v>
      </c>
      <c r="D615" s="76" t="s">
        <v>1306</v>
      </c>
      <c r="E615" s="77" t="s">
        <v>523</v>
      </c>
      <c r="F615" s="199" t="s">
        <v>28</v>
      </c>
      <c r="G615" s="199"/>
      <c r="H615" s="77" t="s">
        <v>26</v>
      </c>
      <c r="I615" s="200">
        <v>1600.5</v>
      </c>
      <c r="J615" s="200"/>
      <c r="K615" s="78" t="s">
        <v>29</v>
      </c>
      <c r="L615" s="79">
        <v>5202477.66</v>
      </c>
      <c r="M615">
        <f>SUBTOTAL(9,I262:J615)</f>
        <v>8666516.3600000031</v>
      </c>
      <c r="N615" t="s">
        <v>1472</v>
      </c>
    </row>
    <row r="616" spans="1:14" hidden="1" x14ac:dyDescent="0.3">
      <c r="A616" s="201" t="s">
        <v>681</v>
      </c>
      <c r="B616" s="201"/>
      <c r="C616" s="201"/>
      <c r="D616" s="201"/>
      <c r="E616" s="202">
        <v>17638877.239999998</v>
      </c>
      <c r="F616" s="202"/>
      <c r="G616" s="202"/>
      <c r="H616" s="202">
        <v>12436399.58</v>
      </c>
      <c r="I616" s="202"/>
      <c r="J616" s="202"/>
      <c r="K616" s="80" t="s">
        <v>29</v>
      </c>
      <c r="L616" s="81">
        <v>5202477.66</v>
      </c>
    </row>
    <row r="618" spans="1:14" x14ac:dyDescent="0.3">
      <c r="J618" s="95">
        <f>SUBTOTAL(9,I19:J615)</f>
        <v>12423243.040000001</v>
      </c>
    </row>
  </sheetData>
  <autoFilter ref="A8:L616">
    <filterColumn colId="1">
      <filters>
        <filter val="Вимога-накладна ІБ00-000531 від 08.10.2024 00:00:00_x000a_Списаны ТМЦ"/>
        <filter val="Вимога-накладна ІБ00-000572 від 30.11.2024 20:00:00_x000a_Списаны ТМЦ"/>
        <filter val="Вимога-накладна ІБ00-000573 від 30.11.2024 20:00:00_x000a_Списаны ТМЦ"/>
        <filter val="Вимога-накладна ІБ00-000579 від 30.11.2024 20:00:00_x000a_Списаны ТМЦ"/>
        <filter val="Вимога-накладна ІБ00-000580 від 30.11.2024 20:00:00_x000a_Списаны ТМЦ"/>
        <filter val="Вимога-накладна ІБ00-000581 від 30.11.2024 20:00:00_x000a_Списаны ТМЦ"/>
        <filter val="Вимога-накладна ІБ00-000615 від 30.11.2024 20:00:00_x000a_Списаны ТМЦ"/>
        <filter val="Вимога-накладна ІБ00-000616 від 30.11.2024 20:00:00_x000a_Списаны ТМЦ"/>
        <filter val="Вимога-накладна ІБ00-000617 від 30.11.2024 20:00:00_x000a_Списаны ТМЦ"/>
        <filter val="Вимога-накладна ІБ00-000618 від 30.11.2024 21:00:00_x000a_Списаны ТМЦ"/>
        <filter val="Вимога-накладна ІБ00-000663 від 04.12.2024 00:00:00_x000a_Списаны ТМЦ"/>
        <filter val="Вимога-накладна ІБ00-000684 від 23.12.2024 18:01:06_x000a_Списаны ТМЦ"/>
        <filter val="Вимога-накладна ІБ00-000685 від 30.12.2024 19:00:00_x000a_Списаны ТМЦ"/>
        <filter val="Вимога-накладна ІБ00-000686 від 30.12.2024 19:00:03_x000a_Списаны ТМЦ"/>
        <filter val="Вимога-накладна ІБ00-000687 від 30.12.2024 19:00:06_x000a_Списаны ТМЦ"/>
        <filter val="Вимога-накладна ІБ00-000696 від 30.12.2024 23:31:00_x000a_Списаны ТМЦ"/>
        <filter val="Вимога-накладна ІБ00-000697 від 30.12.2024 20:00:00_x000a_Списаны ТМЦ"/>
        <filter val="Вимога-накладна ІБ00-000712 від 30.12.2024 22:10:00_x000a_Списаны ТМЦ"/>
        <filter val="Вимога-накладна ІБ00-000713 від 30.12.2024 22:10:05_x000a_Списаны ТМЦ"/>
        <filter val="Вимога-накладна ІБ00-000721 від 30.12.2024 22:15:00_x000a_Списаны ТМЦ"/>
        <filter val="Вимога-накладна ІБ00-000722 від 30.12.2024 23:16:00_x000a_Списаны ТМЦ"/>
        <filter val="Вимога-накладна ІБ00-000723 від 30.12.2024 23:16:03_x000a_Списаны ТМЦ"/>
        <filter val="Вимога-накладна ІБ00-000724 від 30.12.2024 23:17:00_x000a_Списаны ТМЦ"/>
        <filter val="Вимога-накладна ІБ00-000727 від 30.12.2024 23:17:02_x000a_Списаны ТМЦ"/>
        <filter val="Вимога-накладна ІБ00-000728 від 30.12.2024 23:20:00_x000a_Списаны ТМЦ"/>
        <filter val="Вимога-накладна ІБ00-000729 від 30.12.2024 23:20:03_x000a_Списаны ТМЦ"/>
        <filter val="Вимога-накладна ІБ00-000732 від 30.12.2024 23:30:00_x000a_Списаны ТМЦ"/>
        <filter val="Вимога-накладна ІБ00-000733 від 30.12.2024 23:20:09_x000a_Списаны ТМЦ"/>
        <filter val="Списання товарів ІБ00-000674 від 30.11.2024 21:00:00_x000a_Списаны ТМЦ"/>
        <filter val="Списання товарів ІБ00-000675 від 30.11.2024 21:00:00_x000a_Списаны ТМЦ"/>
        <filter val="Списання товарів ІБ00-000676 від 30.11.2024 20:00:00_x000a_Списаны ТМЦ"/>
        <filter val="Списання товарів ІБ00-000677 від 30.11.2024 21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224">
    <mergeCell ref="F11:G11"/>
    <mergeCell ref="I11:J11"/>
    <mergeCell ref="F12:G12"/>
    <mergeCell ref="I12:J12"/>
    <mergeCell ref="F13:G13"/>
    <mergeCell ref="I13:J13"/>
    <mergeCell ref="K8:L9"/>
    <mergeCell ref="F9:G9"/>
    <mergeCell ref="I9:J9"/>
    <mergeCell ref="F10:G10"/>
    <mergeCell ref="I10:J10"/>
    <mergeCell ref="A8:A9"/>
    <mergeCell ref="B8:B9"/>
    <mergeCell ref="C8:C9"/>
    <mergeCell ref="D8:D9"/>
    <mergeCell ref="E8:G8"/>
    <mergeCell ref="H8:J8"/>
    <mergeCell ref="F20:G20"/>
    <mergeCell ref="I20:J20"/>
    <mergeCell ref="F21:G21"/>
    <mergeCell ref="I21:J21"/>
    <mergeCell ref="F22:G22"/>
    <mergeCell ref="I22:J22"/>
    <mergeCell ref="F17:G17"/>
    <mergeCell ref="I17:J17"/>
    <mergeCell ref="F18:G18"/>
    <mergeCell ref="I18:J18"/>
    <mergeCell ref="F19:G19"/>
    <mergeCell ref="I19:J19"/>
    <mergeCell ref="F14:G14"/>
    <mergeCell ref="I14:J14"/>
    <mergeCell ref="F15:G15"/>
    <mergeCell ref="I15:J15"/>
    <mergeCell ref="F16:G16"/>
    <mergeCell ref="I16:J16"/>
    <mergeCell ref="F29:G29"/>
    <mergeCell ref="I29:J29"/>
    <mergeCell ref="F30:G30"/>
    <mergeCell ref="I30:J30"/>
    <mergeCell ref="F31:G31"/>
    <mergeCell ref="I31:J31"/>
    <mergeCell ref="F26:G26"/>
    <mergeCell ref="I26:J26"/>
    <mergeCell ref="F27:G27"/>
    <mergeCell ref="I27:J27"/>
    <mergeCell ref="F28:G28"/>
    <mergeCell ref="I28:J28"/>
    <mergeCell ref="F23:G23"/>
    <mergeCell ref="I23:J23"/>
    <mergeCell ref="F24:G24"/>
    <mergeCell ref="I24:J24"/>
    <mergeCell ref="F25:G25"/>
    <mergeCell ref="I25:J25"/>
    <mergeCell ref="F38:G38"/>
    <mergeCell ref="I38:J38"/>
    <mergeCell ref="F39:G39"/>
    <mergeCell ref="I39:J39"/>
    <mergeCell ref="F40:G40"/>
    <mergeCell ref="I40:J40"/>
    <mergeCell ref="F35:G35"/>
    <mergeCell ref="I35:J35"/>
    <mergeCell ref="F36:G36"/>
    <mergeCell ref="I36:J36"/>
    <mergeCell ref="F37:G37"/>
    <mergeCell ref="I37:J37"/>
    <mergeCell ref="F32:G32"/>
    <mergeCell ref="I32:J32"/>
    <mergeCell ref="F33:G33"/>
    <mergeCell ref="I33:J33"/>
    <mergeCell ref="F34:G34"/>
    <mergeCell ref="I34:J34"/>
    <mergeCell ref="F47:G47"/>
    <mergeCell ref="I47:J47"/>
    <mergeCell ref="F48:G48"/>
    <mergeCell ref="I48:J48"/>
    <mergeCell ref="F49:G49"/>
    <mergeCell ref="I49:J49"/>
    <mergeCell ref="F44:G44"/>
    <mergeCell ref="I44:J44"/>
    <mergeCell ref="F45:G45"/>
    <mergeCell ref="I45:J45"/>
    <mergeCell ref="F46:G46"/>
    <mergeCell ref="I46:J46"/>
    <mergeCell ref="F41:G41"/>
    <mergeCell ref="I41:J41"/>
    <mergeCell ref="F42:G42"/>
    <mergeCell ref="I42:J42"/>
    <mergeCell ref="F43:G43"/>
    <mergeCell ref="I43:J43"/>
    <mergeCell ref="F56:G56"/>
    <mergeCell ref="I56:J56"/>
    <mergeCell ref="F57:G57"/>
    <mergeCell ref="I57:J57"/>
    <mergeCell ref="F58:G58"/>
    <mergeCell ref="I58:J58"/>
    <mergeCell ref="F53:G53"/>
    <mergeCell ref="I53:J53"/>
    <mergeCell ref="F54:G54"/>
    <mergeCell ref="I54:J54"/>
    <mergeCell ref="F55:G55"/>
    <mergeCell ref="I55:J55"/>
    <mergeCell ref="F50:G50"/>
    <mergeCell ref="I50:J50"/>
    <mergeCell ref="F51:G51"/>
    <mergeCell ref="I51:J51"/>
    <mergeCell ref="F52:G52"/>
    <mergeCell ref="I52:J52"/>
    <mergeCell ref="F65:G65"/>
    <mergeCell ref="I65:J65"/>
    <mergeCell ref="F66:G66"/>
    <mergeCell ref="I66:J66"/>
    <mergeCell ref="F67:G67"/>
    <mergeCell ref="I67:J67"/>
    <mergeCell ref="F62:G62"/>
    <mergeCell ref="I62:J62"/>
    <mergeCell ref="F63:G63"/>
    <mergeCell ref="I63:J63"/>
    <mergeCell ref="F64:G64"/>
    <mergeCell ref="I64:J64"/>
    <mergeCell ref="F59:G59"/>
    <mergeCell ref="I59:J59"/>
    <mergeCell ref="F60:G60"/>
    <mergeCell ref="I60:J60"/>
    <mergeCell ref="F61:G61"/>
    <mergeCell ref="I61:J61"/>
    <mergeCell ref="F74:G74"/>
    <mergeCell ref="I74:J74"/>
    <mergeCell ref="F75:G75"/>
    <mergeCell ref="I75:J75"/>
    <mergeCell ref="F76:G76"/>
    <mergeCell ref="I76:J76"/>
    <mergeCell ref="F71:G71"/>
    <mergeCell ref="I71:J71"/>
    <mergeCell ref="F72:G72"/>
    <mergeCell ref="I72:J72"/>
    <mergeCell ref="F73:G73"/>
    <mergeCell ref="I73:J73"/>
    <mergeCell ref="F68:G68"/>
    <mergeCell ref="I68:J68"/>
    <mergeCell ref="F69:G69"/>
    <mergeCell ref="I69:J69"/>
    <mergeCell ref="F70:G70"/>
    <mergeCell ref="I70:J70"/>
    <mergeCell ref="F83:G83"/>
    <mergeCell ref="I83:J83"/>
    <mergeCell ref="F84:G84"/>
    <mergeCell ref="I84:J84"/>
    <mergeCell ref="F85:G85"/>
    <mergeCell ref="I85:J85"/>
    <mergeCell ref="F80:G80"/>
    <mergeCell ref="I80:J80"/>
    <mergeCell ref="F81:G81"/>
    <mergeCell ref="I81:J81"/>
    <mergeCell ref="F82:G82"/>
    <mergeCell ref="I82:J82"/>
    <mergeCell ref="F77:G77"/>
    <mergeCell ref="I77:J77"/>
    <mergeCell ref="F78:G78"/>
    <mergeCell ref="I78:J78"/>
    <mergeCell ref="F79:G79"/>
    <mergeCell ref="I79:J79"/>
    <mergeCell ref="F92:G92"/>
    <mergeCell ref="I92:J92"/>
    <mergeCell ref="F93:G93"/>
    <mergeCell ref="I93:J93"/>
    <mergeCell ref="F94:G94"/>
    <mergeCell ref="I94:J94"/>
    <mergeCell ref="F89:G89"/>
    <mergeCell ref="I89:J89"/>
    <mergeCell ref="F90:G90"/>
    <mergeCell ref="I90:J90"/>
    <mergeCell ref="F91:G91"/>
    <mergeCell ref="I91:J91"/>
    <mergeCell ref="F86:G86"/>
    <mergeCell ref="I86:J86"/>
    <mergeCell ref="F87:G87"/>
    <mergeCell ref="I87:J87"/>
    <mergeCell ref="F88:G88"/>
    <mergeCell ref="I88:J88"/>
    <mergeCell ref="F101:G101"/>
    <mergeCell ref="I101:J101"/>
    <mergeCell ref="F102:G102"/>
    <mergeCell ref="I102:J102"/>
    <mergeCell ref="F103:G103"/>
    <mergeCell ref="I103:J103"/>
    <mergeCell ref="F98:G98"/>
    <mergeCell ref="I98:J98"/>
    <mergeCell ref="F99:G99"/>
    <mergeCell ref="I99:J99"/>
    <mergeCell ref="F100:G100"/>
    <mergeCell ref="I100:J100"/>
    <mergeCell ref="F95:G95"/>
    <mergeCell ref="I95:J95"/>
    <mergeCell ref="F96:G96"/>
    <mergeCell ref="I96:J96"/>
    <mergeCell ref="F97:G97"/>
    <mergeCell ref="I97:J97"/>
    <mergeCell ref="F110:G110"/>
    <mergeCell ref="I110:J110"/>
    <mergeCell ref="F111:G111"/>
    <mergeCell ref="I111:J111"/>
    <mergeCell ref="F112:G112"/>
    <mergeCell ref="I112:J112"/>
    <mergeCell ref="F107:G107"/>
    <mergeCell ref="I107:J107"/>
    <mergeCell ref="F108:G108"/>
    <mergeCell ref="I108:J108"/>
    <mergeCell ref="F109:G109"/>
    <mergeCell ref="I109:J109"/>
    <mergeCell ref="F104:G104"/>
    <mergeCell ref="I104:J104"/>
    <mergeCell ref="F105:G105"/>
    <mergeCell ref="I105:J105"/>
    <mergeCell ref="F106:G106"/>
    <mergeCell ref="I106:J106"/>
    <mergeCell ref="F119:G119"/>
    <mergeCell ref="I119:J119"/>
    <mergeCell ref="F120:G120"/>
    <mergeCell ref="I120:J120"/>
    <mergeCell ref="F121:G121"/>
    <mergeCell ref="I121:J121"/>
    <mergeCell ref="F116:G116"/>
    <mergeCell ref="I116:J116"/>
    <mergeCell ref="F117:G117"/>
    <mergeCell ref="I117:J117"/>
    <mergeCell ref="F118:G118"/>
    <mergeCell ref="I118:J118"/>
    <mergeCell ref="F113:G113"/>
    <mergeCell ref="I113:J113"/>
    <mergeCell ref="F114:G114"/>
    <mergeCell ref="I114:J114"/>
    <mergeCell ref="F115:G115"/>
    <mergeCell ref="I115:J115"/>
    <mergeCell ref="F128:G128"/>
    <mergeCell ref="I128:J128"/>
    <mergeCell ref="F129:G129"/>
    <mergeCell ref="I129:J129"/>
    <mergeCell ref="F130:G130"/>
    <mergeCell ref="I130:J130"/>
    <mergeCell ref="F125:G125"/>
    <mergeCell ref="I125:J125"/>
    <mergeCell ref="F126:G126"/>
    <mergeCell ref="I126:J126"/>
    <mergeCell ref="F127:G127"/>
    <mergeCell ref="I127:J127"/>
    <mergeCell ref="F122:G122"/>
    <mergeCell ref="I122:J122"/>
    <mergeCell ref="F123:G123"/>
    <mergeCell ref="I123:J123"/>
    <mergeCell ref="F124:G124"/>
    <mergeCell ref="I124:J124"/>
    <mergeCell ref="F137:G137"/>
    <mergeCell ref="I137:J137"/>
    <mergeCell ref="F138:G138"/>
    <mergeCell ref="I138:J138"/>
    <mergeCell ref="F139:G139"/>
    <mergeCell ref="I139:J139"/>
    <mergeCell ref="F134:G134"/>
    <mergeCell ref="I134:J134"/>
    <mergeCell ref="F135:G135"/>
    <mergeCell ref="I135:J135"/>
    <mergeCell ref="F136:G136"/>
    <mergeCell ref="I136:J136"/>
    <mergeCell ref="F131:G131"/>
    <mergeCell ref="I131:J131"/>
    <mergeCell ref="F132:G132"/>
    <mergeCell ref="I132:J132"/>
    <mergeCell ref="F133:G133"/>
    <mergeCell ref="I133:J133"/>
    <mergeCell ref="F146:G146"/>
    <mergeCell ref="I146:J146"/>
    <mergeCell ref="F147:G147"/>
    <mergeCell ref="I147:J147"/>
    <mergeCell ref="F148:G148"/>
    <mergeCell ref="I148:J148"/>
    <mergeCell ref="F143:G143"/>
    <mergeCell ref="I143:J143"/>
    <mergeCell ref="F144:G144"/>
    <mergeCell ref="I144:J144"/>
    <mergeCell ref="F145:G145"/>
    <mergeCell ref="I145:J145"/>
    <mergeCell ref="F140:G140"/>
    <mergeCell ref="I140:J140"/>
    <mergeCell ref="F141:G141"/>
    <mergeCell ref="I141:J141"/>
    <mergeCell ref="F142:G142"/>
    <mergeCell ref="I142:J142"/>
    <mergeCell ref="F155:G155"/>
    <mergeCell ref="I155:J155"/>
    <mergeCell ref="F156:G156"/>
    <mergeCell ref="I156:J156"/>
    <mergeCell ref="F157:G157"/>
    <mergeCell ref="I157:J157"/>
    <mergeCell ref="F152:G152"/>
    <mergeCell ref="I152:J152"/>
    <mergeCell ref="F153:G153"/>
    <mergeCell ref="I153:J153"/>
    <mergeCell ref="F154:G154"/>
    <mergeCell ref="I154:J154"/>
    <mergeCell ref="F149:G149"/>
    <mergeCell ref="I149:J149"/>
    <mergeCell ref="F150:G150"/>
    <mergeCell ref="I150:J150"/>
    <mergeCell ref="F151:G151"/>
    <mergeCell ref="I151:J151"/>
    <mergeCell ref="F164:G164"/>
    <mergeCell ref="I164:J164"/>
    <mergeCell ref="F165:G165"/>
    <mergeCell ref="I165:J165"/>
    <mergeCell ref="F166:G166"/>
    <mergeCell ref="I166:J166"/>
    <mergeCell ref="F161:G161"/>
    <mergeCell ref="I161:J161"/>
    <mergeCell ref="F162:G162"/>
    <mergeCell ref="I162:J162"/>
    <mergeCell ref="F163:G163"/>
    <mergeCell ref="I163:J163"/>
    <mergeCell ref="F158:G158"/>
    <mergeCell ref="I158:J158"/>
    <mergeCell ref="F159:G159"/>
    <mergeCell ref="I159:J159"/>
    <mergeCell ref="F160:G160"/>
    <mergeCell ref="I160:J160"/>
    <mergeCell ref="F173:G173"/>
    <mergeCell ref="I173:J173"/>
    <mergeCell ref="F174:G174"/>
    <mergeCell ref="I174:J174"/>
    <mergeCell ref="F175:G175"/>
    <mergeCell ref="I175:J175"/>
    <mergeCell ref="F170:G170"/>
    <mergeCell ref="I170:J170"/>
    <mergeCell ref="F171:G171"/>
    <mergeCell ref="I171:J171"/>
    <mergeCell ref="F172:G172"/>
    <mergeCell ref="I172:J172"/>
    <mergeCell ref="F167:G167"/>
    <mergeCell ref="I167:J167"/>
    <mergeCell ref="F168:G168"/>
    <mergeCell ref="I168:J168"/>
    <mergeCell ref="F169:G169"/>
    <mergeCell ref="I169:J169"/>
    <mergeCell ref="F182:G182"/>
    <mergeCell ref="I182:J182"/>
    <mergeCell ref="F183:G183"/>
    <mergeCell ref="I183:J183"/>
    <mergeCell ref="F184:G184"/>
    <mergeCell ref="I184:J184"/>
    <mergeCell ref="F179:G179"/>
    <mergeCell ref="I179:J179"/>
    <mergeCell ref="F180:G180"/>
    <mergeCell ref="I180:J180"/>
    <mergeCell ref="F181:G181"/>
    <mergeCell ref="I181:J181"/>
    <mergeCell ref="F176:G176"/>
    <mergeCell ref="I176:J176"/>
    <mergeCell ref="F177:G177"/>
    <mergeCell ref="I177:J177"/>
    <mergeCell ref="F178:G178"/>
    <mergeCell ref="I178:J178"/>
    <mergeCell ref="F191:G191"/>
    <mergeCell ref="I191:J191"/>
    <mergeCell ref="F192:G192"/>
    <mergeCell ref="I192:J192"/>
    <mergeCell ref="F193:G193"/>
    <mergeCell ref="I193:J193"/>
    <mergeCell ref="F188:G188"/>
    <mergeCell ref="I188:J188"/>
    <mergeCell ref="F189:G189"/>
    <mergeCell ref="I189:J189"/>
    <mergeCell ref="F190:G190"/>
    <mergeCell ref="I190:J190"/>
    <mergeCell ref="F185:G185"/>
    <mergeCell ref="I185:J185"/>
    <mergeCell ref="F186:G186"/>
    <mergeCell ref="I186:J186"/>
    <mergeCell ref="F187:G187"/>
    <mergeCell ref="I187:J187"/>
    <mergeCell ref="F200:G200"/>
    <mergeCell ref="I200:J200"/>
    <mergeCell ref="F201:G201"/>
    <mergeCell ref="I201:J201"/>
    <mergeCell ref="F202:G202"/>
    <mergeCell ref="I202:J202"/>
    <mergeCell ref="F197:G197"/>
    <mergeCell ref="I197:J197"/>
    <mergeCell ref="F198:G198"/>
    <mergeCell ref="I198:J198"/>
    <mergeCell ref="F199:G199"/>
    <mergeCell ref="I199:J199"/>
    <mergeCell ref="F194:G194"/>
    <mergeCell ref="I194:J194"/>
    <mergeCell ref="F195:G195"/>
    <mergeCell ref="I195:J195"/>
    <mergeCell ref="F196:G196"/>
    <mergeCell ref="I196:J196"/>
    <mergeCell ref="F209:G209"/>
    <mergeCell ref="I209:J209"/>
    <mergeCell ref="F210:G210"/>
    <mergeCell ref="I210:J210"/>
    <mergeCell ref="F211:G211"/>
    <mergeCell ref="I211:J211"/>
    <mergeCell ref="F206:G206"/>
    <mergeCell ref="I206:J206"/>
    <mergeCell ref="F207:G207"/>
    <mergeCell ref="I207:J207"/>
    <mergeCell ref="F208:G208"/>
    <mergeCell ref="I208:J208"/>
    <mergeCell ref="F203:G203"/>
    <mergeCell ref="I203:J203"/>
    <mergeCell ref="F204:G204"/>
    <mergeCell ref="I204:J204"/>
    <mergeCell ref="F205:G205"/>
    <mergeCell ref="I205:J205"/>
    <mergeCell ref="F218:G218"/>
    <mergeCell ref="I218:J218"/>
    <mergeCell ref="F219:G219"/>
    <mergeCell ref="I219:J219"/>
    <mergeCell ref="F220:G220"/>
    <mergeCell ref="I220:J220"/>
    <mergeCell ref="F215:G215"/>
    <mergeCell ref="I215:J215"/>
    <mergeCell ref="F216:G216"/>
    <mergeCell ref="I216:J216"/>
    <mergeCell ref="F217:G217"/>
    <mergeCell ref="I217:J217"/>
    <mergeCell ref="F212:G212"/>
    <mergeCell ref="I212:J212"/>
    <mergeCell ref="F213:G213"/>
    <mergeCell ref="I213:J213"/>
    <mergeCell ref="F214:G214"/>
    <mergeCell ref="I214:J214"/>
    <mergeCell ref="F227:G227"/>
    <mergeCell ref="I227:J227"/>
    <mergeCell ref="F228:G228"/>
    <mergeCell ref="I228:J228"/>
    <mergeCell ref="F229:G229"/>
    <mergeCell ref="I229:J229"/>
    <mergeCell ref="F224:G224"/>
    <mergeCell ref="I224:J224"/>
    <mergeCell ref="F225:G225"/>
    <mergeCell ref="I225:J225"/>
    <mergeCell ref="F226:G226"/>
    <mergeCell ref="I226:J226"/>
    <mergeCell ref="F221:G221"/>
    <mergeCell ref="I221:J221"/>
    <mergeCell ref="F222:G222"/>
    <mergeCell ref="I222:J222"/>
    <mergeCell ref="F223:G223"/>
    <mergeCell ref="I223:J223"/>
    <mergeCell ref="F236:G236"/>
    <mergeCell ref="I236:J236"/>
    <mergeCell ref="F237:G237"/>
    <mergeCell ref="I237:J237"/>
    <mergeCell ref="F238:G238"/>
    <mergeCell ref="I238:J238"/>
    <mergeCell ref="F233:G233"/>
    <mergeCell ref="I233:J233"/>
    <mergeCell ref="F234:G234"/>
    <mergeCell ref="I234:J234"/>
    <mergeCell ref="F235:G235"/>
    <mergeCell ref="I235:J235"/>
    <mergeCell ref="F230:G230"/>
    <mergeCell ref="I230:J230"/>
    <mergeCell ref="F231:G231"/>
    <mergeCell ref="I231:J231"/>
    <mergeCell ref="F232:G232"/>
    <mergeCell ref="I232:J232"/>
    <mergeCell ref="F245:G245"/>
    <mergeCell ref="I245:J245"/>
    <mergeCell ref="F246:G246"/>
    <mergeCell ref="I246:J246"/>
    <mergeCell ref="F247:G247"/>
    <mergeCell ref="I247:J247"/>
    <mergeCell ref="F242:G242"/>
    <mergeCell ref="I242:J242"/>
    <mergeCell ref="F243:G243"/>
    <mergeCell ref="I243:J243"/>
    <mergeCell ref="F244:G244"/>
    <mergeCell ref="I244:J244"/>
    <mergeCell ref="F239:G239"/>
    <mergeCell ref="I239:J239"/>
    <mergeCell ref="F240:G240"/>
    <mergeCell ref="I240:J240"/>
    <mergeCell ref="F241:G241"/>
    <mergeCell ref="I241:J241"/>
    <mergeCell ref="F254:G254"/>
    <mergeCell ref="I254:J254"/>
    <mergeCell ref="F255:G255"/>
    <mergeCell ref="I255:J255"/>
    <mergeCell ref="F256:G256"/>
    <mergeCell ref="I256:J256"/>
    <mergeCell ref="F251:G251"/>
    <mergeCell ref="I251:J251"/>
    <mergeCell ref="F252:G252"/>
    <mergeCell ref="I252:J252"/>
    <mergeCell ref="F253:G253"/>
    <mergeCell ref="I253:J253"/>
    <mergeCell ref="F248:G248"/>
    <mergeCell ref="I248:J248"/>
    <mergeCell ref="F249:G249"/>
    <mergeCell ref="I249:J249"/>
    <mergeCell ref="F250:G250"/>
    <mergeCell ref="I250:J250"/>
    <mergeCell ref="F263:G263"/>
    <mergeCell ref="I263:J263"/>
    <mergeCell ref="F264:G264"/>
    <mergeCell ref="I264:J264"/>
    <mergeCell ref="F265:G265"/>
    <mergeCell ref="I265:J265"/>
    <mergeCell ref="F260:G260"/>
    <mergeCell ref="I260:J260"/>
    <mergeCell ref="F261:G261"/>
    <mergeCell ref="I261:J261"/>
    <mergeCell ref="F262:G262"/>
    <mergeCell ref="I262:J262"/>
    <mergeCell ref="F257:G257"/>
    <mergeCell ref="I257:J257"/>
    <mergeCell ref="F258:G258"/>
    <mergeCell ref="I258:J258"/>
    <mergeCell ref="F259:G259"/>
    <mergeCell ref="I259:J259"/>
    <mergeCell ref="F272:G272"/>
    <mergeCell ref="I272:J272"/>
    <mergeCell ref="F273:G273"/>
    <mergeCell ref="I273:J273"/>
    <mergeCell ref="F274:G274"/>
    <mergeCell ref="I274:J274"/>
    <mergeCell ref="F269:G269"/>
    <mergeCell ref="I269:J269"/>
    <mergeCell ref="F270:G270"/>
    <mergeCell ref="I270:J270"/>
    <mergeCell ref="F271:G271"/>
    <mergeCell ref="I271:J271"/>
    <mergeCell ref="F266:G266"/>
    <mergeCell ref="I266:J266"/>
    <mergeCell ref="F267:G267"/>
    <mergeCell ref="I267:J267"/>
    <mergeCell ref="F268:G268"/>
    <mergeCell ref="I268:J268"/>
    <mergeCell ref="F281:G281"/>
    <mergeCell ref="I281:J281"/>
    <mergeCell ref="F282:G282"/>
    <mergeCell ref="I282:J282"/>
    <mergeCell ref="F283:G283"/>
    <mergeCell ref="I283:J283"/>
    <mergeCell ref="F278:G278"/>
    <mergeCell ref="I278:J278"/>
    <mergeCell ref="F279:G279"/>
    <mergeCell ref="I279:J279"/>
    <mergeCell ref="F280:G280"/>
    <mergeCell ref="I280:J280"/>
    <mergeCell ref="F275:G275"/>
    <mergeCell ref="I275:J275"/>
    <mergeCell ref="F276:G276"/>
    <mergeCell ref="I276:J276"/>
    <mergeCell ref="F277:G277"/>
    <mergeCell ref="I277:J277"/>
    <mergeCell ref="F290:G290"/>
    <mergeCell ref="I290:J290"/>
    <mergeCell ref="F291:G291"/>
    <mergeCell ref="I291:J291"/>
    <mergeCell ref="F292:G292"/>
    <mergeCell ref="I292:J292"/>
    <mergeCell ref="F287:G287"/>
    <mergeCell ref="I287:J287"/>
    <mergeCell ref="F288:G288"/>
    <mergeCell ref="I288:J288"/>
    <mergeCell ref="F289:G289"/>
    <mergeCell ref="I289:J289"/>
    <mergeCell ref="F284:G284"/>
    <mergeCell ref="I284:J284"/>
    <mergeCell ref="F285:G285"/>
    <mergeCell ref="I285:J285"/>
    <mergeCell ref="F286:G286"/>
    <mergeCell ref="I286:J286"/>
    <mergeCell ref="F299:G299"/>
    <mergeCell ref="I299:J299"/>
    <mergeCell ref="F300:G300"/>
    <mergeCell ref="I300:J300"/>
    <mergeCell ref="F301:G301"/>
    <mergeCell ref="I301:J301"/>
    <mergeCell ref="F296:G296"/>
    <mergeCell ref="I296:J296"/>
    <mergeCell ref="F297:G297"/>
    <mergeCell ref="I297:J297"/>
    <mergeCell ref="F298:G298"/>
    <mergeCell ref="I298:J298"/>
    <mergeCell ref="F293:G293"/>
    <mergeCell ref="I293:J293"/>
    <mergeCell ref="F294:G294"/>
    <mergeCell ref="I294:J294"/>
    <mergeCell ref="F295:G295"/>
    <mergeCell ref="I295:J295"/>
    <mergeCell ref="F308:G308"/>
    <mergeCell ref="I308:J308"/>
    <mergeCell ref="F309:G309"/>
    <mergeCell ref="I309:J309"/>
    <mergeCell ref="F310:G310"/>
    <mergeCell ref="I310:J310"/>
    <mergeCell ref="F305:G305"/>
    <mergeCell ref="I305:J305"/>
    <mergeCell ref="F306:G306"/>
    <mergeCell ref="I306:J306"/>
    <mergeCell ref="F307:G307"/>
    <mergeCell ref="I307:J307"/>
    <mergeCell ref="F302:G302"/>
    <mergeCell ref="I302:J302"/>
    <mergeCell ref="F303:G303"/>
    <mergeCell ref="I303:J303"/>
    <mergeCell ref="F304:G304"/>
    <mergeCell ref="I304:J304"/>
    <mergeCell ref="F317:G317"/>
    <mergeCell ref="I317:J317"/>
    <mergeCell ref="F318:G318"/>
    <mergeCell ref="I318:J318"/>
    <mergeCell ref="F319:G319"/>
    <mergeCell ref="I319:J319"/>
    <mergeCell ref="F314:G314"/>
    <mergeCell ref="I314:J314"/>
    <mergeCell ref="F315:G315"/>
    <mergeCell ref="I315:J315"/>
    <mergeCell ref="F316:G316"/>
    <mergeCell ref="I316:J316"/>
    <mergeCell ref="F311:G311"/>
    <mergeCell ref="I311:J311"/>
    <mergeCell ref="F312:G312"/>
    <mergeCell ref="I312:J312"/>
    <mergeCell ref="F313:G313"/>
    <mergeCell ref="I313:J313"/>
    <mergeCell ref="F326:G326"/>
    <mergeCell ref="I326:J326"/>
    <mergeCell ref="F327:G327"/>
    <mergeCell ref="I327:J327"/>
    <mergeCell ref="F328:G328"/>
    <mergeCell ref="I328:J328"/>
    <mergeCell ref="F323:G323"/>
    <mergeCell ref="I323:J323"/>
    <mergeCell ref="F324:G324"/>
    <mergeCell ref="I324:J324"/>
    <mergeCell ref="F325:G325"/>
    <mergeCell ref="I325:J325"/>
    <mergeCell ref="F320:G320"/>
    <mergeCell ref="I320:J320"/>
    <mergeCell ref="F321:G321"/>
    <mergeCell ref="I321:J321"/>
    <mergeCell ref="F322:G322"/>
    <mergeCell ref="I322:J322"/>
    <mergeCell ref="F335:G335"/>
    <mergeCell ref="I335:J335"/>
    <mergeCell ref="F336:G336"/>
    <mergeCell ref="I336:J336"/>
    <mergeCell ref="F337:G337"/>
    <mergeCell ref="I337:J337"/>
    <mergeCell ref="F332:G332"/>
    <mergeCell ref="I332:J332"/>
    <mergeCell ref="F333:G333"/>
    <mergeCell ref="I333:J333"/>
    <mergeCell ref="F334:G334"/>
    <mergeCell ref="I334:J334"/>
    <mergeCell ref="F329:G329"/>
    <mergeCell ref="I329:J329"/>
    <mergeCell ref="F330:G330"/>
    <mergeCell ref="I330:J330"/>
    <mergeCell ref="F331:G331"/>
    <mergeCell ref="I331:J331"/>
    <mergeCell ref="F344:G344"/>
    <mergeCell ref="I344:J344"/>
    <mergeCell ref="F345:G345"/>
    <mergeCell ref="I345:J345"/>
    <mergeCell ref="F346:G346"/>
    <mergeCell ref="I346:J346"/>
    <mergeCell ref="F341:G341"/>
    <mergeCell ref="I341:J341"/>
    <mergeCell ref="F342:G342"/>
    <mergeCell ref="I342:J342"/>
    <mergeCell ref="F343:G343"/>
    <mergeCell ref="I343:J343"/>
    <mergeCell ref="F338:G338"/>
    <mergeCell ref="I338:J338"/>
    <mergeCell ref="F339:G339"/>
    <mergeCell ref="I339:J339"/>
    <mergeCell ref="F340:G340"/>
    <mergeCell ref="I340:J340"/>
    <mergeCell ref="F353:G353"/>
    <mergeCell ref="I353:J353"/>
    <mergeCell ref="F354:G354"/>
    <mergeCell ref="I354:J354"/>
    <mergeCell ref="F355:G355"/>
    <mergeCell ref="I355:J355"/>
    <mergeCell ref="F350:G350"/>
    <mergeCell ref="I350:J350"/>
    <mergeCell ref="F351:G351"/>
    <mergeCell ref="I351:J351"/>
    <mergeCell ref="F352:G352"/>
    <mergeCell ref="I352:J352"/>
    <mergeCell ref="F347:G347"/>
    <mergeCell ref="I347:J347"/>
    <mergeCell ref="F348:G348"/>
    <mergeCell ref="I348:J348"/>
    <mergeCell ref="F349:G349"/>
    <mergeCell ref="I349:J349"/>
    <mergeCell ref="F362:G362"/>
    <mergeCell ref="I362:J362"/>
    <mergeCell ref="F363:G363"/>
    <mergeCell ref="I363:J363"/>
    <mergeCell ref="F364:G364"/>
    <mergeCell ref="I364:J364"/>
    <mergeCell ref="F359:G359"/>
    <mergeCell ref="I359:J359"/>
    <mergeCell ref="F360:G360"/>
    <mergeCell ref="I360:J360"/>
    <mergeCell ref="F361:G361"/>
    <mergeCell ref="I361:J361"/>
    <mergeCell ref="F356:G356"/>
    <mergeCell ref="I356:J356"/>
    <mergeCell ref="F357:G357"/>
    <mergeCell ref="I357:J357"/>
    <mergeCell ref="F358:G358"/>
    <mergeCell ref="I358:J358"/>
    <mergeCell ref="F371:G371"/>
    <mergeCell ref="I371:J371"/>
    <mergeCell ref="F372:G372"/>
    <mergeCell ref="I372:J372"/>
    <mergeCell ref="F373:G373"/>
    <mergeCell ref="I373:J373"/>
    <mergeCell ref="F368:G368"/>
    <mergeCell ref="I368:J368"/>
    <mergeCell ref="F369:G369"/>
    <mergeCell ref="I369:J369"/>
    <mergeCell ref="F370:G370"/>
    <mergeCell ref="I370:J370"/>
    <mergeCell ref="F365:G365"/>
    <mergeCell ref="I365:J365"/>
    <mergeCell ref="F366:G366"/>
    <mergeCell ref="I366:J366"/>
    <mergeCell ref="F367:G367"/>
    <mergeCell ref="I367:J367"/>
    <mergeCell ref="F380:G380"/>
    <mergeCell ref="I380:J380"/>
    <mergeCell ref="F381:G381"/>
    <mergeCell ref="I381:J381"/>
    <mergeCell ref="F382:G382"/>
    <mergeCell ref="I382:J382"/>
    <mergeCell ref="F377:G377"/>
    <mergeCell ref="I377:J377"/>
    <mergeCell ref="F378:G378"/>
    <mergeCell ref="I378:J378"/>
    <mergeCell ref="F379:G379"/>
    <mergeCell ref="I379:J379"/>
    <mergeCell ref="F374:G374"/>
    <mergeCell ref="I374:J374"/>
    <mergeCell ref="F375:G375"/>
    <mergeCell ref="I375:J375"/>
    <mergeCell ref="F376:G376"/>
    <mergeCell ref="I376:J376"/>
    <mergeCell ref="F389:G389"/>
    <mergeCell ref="I389:J389"/>
    <mergeCell ref="F390:G390"/>
    <mergeCell ref="I390:J390"/>
    <mergeCell ref="F391:G391"/>
    <mergeCell ref="I391:J391"/>
    <mergeCell ref="F386:G386"/>
    <mergeCell ref="I386:J386"/>
    <mergeCell ref="F387:G387"/>
    <mergeCell ref="I387:J387"/>
    <mergeCell ref="F388:G388"/>
    <mergeCell ref="I388:J388"/>
    <mergeCell ref="F383:G383"/>
    <mergeCell ref="I383:J383"/>
    <mergeCell ref="F384:G384"/>
    <mergeCell ref="I384:J384"/>
    <mergeCell ref="F385:G385"/>
    <mergeCell ref="I385:J385"/>
    <mergeCell ref="F398:G398"/>
    <mergeCell ref="I398:J398"/>
    <mergeCell ref="F399:G399"/>
    <mergeCell ref="I399:J399"/>
    <mergeCell ref="F400:G400"/>
    <mergeCell ref="I400:J400"/>
    <mergeCell ref="F395:G395"/>
    <mergeCell ref="I395:J395"/>
    <mergeCell ref="F396:G396"/>
    <mergeCell ref="I396:J396"/>
    <mergeCell ref="F397:G397"/>
    <mergeCell ref="I397:J397"/>
    <mergeCell ref="F392:G392"/>
    <mergeCell ref="I392:J392"/>
    <mergeCell ref="F393:G393"/>
    <mergeCell ref="I393:J393"/>
    <mergeCell ref="F394:G394"/>
    <mergeCell ref="I394:J394"/>
    <mergeCell ref="F407:G407"/>
    <mergeCell ref="I407:J407"/>
    <mergeCell ref="F408:G408"/>
    <mergeCell ref="I408:J408"/>
    <mergeCell ref="F409:G409"/>
    <mergeCell ref="I409:J409"/>
    <mergeCell ref="F404:G404"/>
    <mergeCell ref="I404:J404"/>
    <mergeCell ref="F405:G405"/>
    <mergeCell ref="I405:J405"/>
    <mergeCell ref="F406:G406"/>
    <mergeCell ref="I406:J406"/>
    <mergeCell ref="F401:G401"/>
    <mergeCell ref="I401:J401"/>
    <mergeCell ref="F402:G402"/>
    <mergeCell ref="I402:J402"/>
    <mergeCell ref="F403:G403"/>
    <mergeCell ref="I403:J403"/>
    <mergeCell ref="F416:G416"/>
    <mergeCell ref="I416:J416"/>
    <mergeCell ref="F417:G417"/>
    <mergeCell ref="I417:J417"/>
    <mergeCell ref="F418:G418"/>
    <mergeCell ref="I418:J418"/>
    <mergeCell ref="F413:G413"/>
    <mergeCell ref="I413:J413"/>
    <mergeCell ref="F414:G414"/>
    <mergeCell ref="I414:J414"/>
    <mergeCell ref="F415:G415"/>
    <mergeCell ref="I415:J415"/>
    <mergeCell ref="F410:G410"/>
    <mergeCell ref="I410:J410"/>
    <mergeCell ref="F411:G411"/>
    <mergeCell ref="I411:J411"/>
    <mergeCell ref="F412:G412"/>
    <mergeCell ref="I412:J412"/>
    <mergeCell ref="F425:G425"/>
    <mergeCell ref="I425:J425"/>
    <mergeCell ref="F426:G426"/>
    <mergeCell ref="I426:J426"/>
    <mergeCell ref="F427:G427"/>
    <mergeCell ref="I427:J427"/>
    <mergeCell ref="F422:G422"/>
    <mergeCell ref="I422:J422"/>
    <mergeCell ref="F423:G423"/>
    <mergeCell ref="I423:J423"/>
    <mergeCell ref="F424:G424"/>
    <mergeCell ref="I424:J424"/>
    <mergeCell ref="F419:G419"/>
    <mergeCell ref="I419:J419"/>
    <mergeCell ref="F420:G420"/>
    <mergeCell ref="I420:J420"/>
    <mergeCell ref="F421:G421"/>
    <mergeCell ref="I421:J421"/>
    <mergeCell ref="F434:G434"/>
    <mergeCell ref="I434:J434"/>
    <mergeCell ref="F435:G435"/>
    <mergeCell ref="I435:J435"/>
    <mergeCell ref="F436:G436"/>
    <mergeCell ref="I436:J436"/>
    <mergeCell ref="F431:G431"/>
    <mergeCell ref="I431:J431"/>
    <mergeCell ref="F432:G432"/>
    <mergeCell ref="I432:J432"/>
    <mergeCell ref="F433:G433"/>
    <mergeCell ref="I433:J433"/>
    <mergeCell ref="F428:G428"/>
    <mergeCell ref="I428:J428"/>
    <mergeCell ref="F429:G429"/>
    <mergeCell ref="I429:J429"/>
    <mergeCell ref="F430:G430"/>
    <mergeCell ref="I430:J430"/>
    <mergeCell ref="F443:G443"/>
    <mergeCell ref="I443:J443"/>
    <mergeCell ref="F444:G444"/>
    <mergeCell ref="I444:J444"/>
    <mergeCell ref="F445:G445"/>
    <mergeCell ref="I445:J445"/>
    <mergeCell ref="F440:G440"/>
    <mergeCell ref="I440:J440"/>
    <mergeCell ref="F441:G441"/>
    <mergeCell ref="I441:J441"/>
    <mergeCell ref="F442:G442"/>
    <mergeCell ref="I442:J442"/>
    <mergeCell ref="F437:G437"/>
    <mergeCell ref="I437:J437"/>
    <mergeCell ref="F438:G438"/>
    <mergeCell ref="I438:J438"/>
    <mergeCell ref="F439:G439"/>
    <mergeCell ref="I439:J439"/>
    <mergeCell ref="F452:G452"/>
    <mergeCell ref="I452:J452"/>
    <mergeCell ref="F453:G453"/>
    <mergeCell ref="I453:J453"/>
    <mergeCell ref="F454:G454"/>
    <mergeCell ref="I454:J454"/>
    <mergeCell ref="F449:G449"/>
    <mergeCell ref="I449:J449"/>
    <mergeCell ref="F450:G450"/>
    <mergeCell ref="I450:J450"/>
    <mergeCell ref="F451:G451"/>
    <mergeCell ref="I451:J451"/>
    <mergeCell ref="F446:G446"/>
    <mergeCell ref="I446:J446"/>
    <mergeCell ref="F447:G447"/>
    <mergeCell ref="I447:J447"/>
    <mergeCell ref="F448:G448"/>
    <mergeCell ref="I448:J448"/>
    <mergeCell ref="F461:G461"/>
    <mergeCell ref="I461:J461"/>
    <mergeCell ref="F462:G462"/>
    <mergeCell ref="I462:J462"/>
    <mergeCell ref="F463:G463"/>
    <mergeCell ref="I463:J463"/>
    <mergeCell ref="F458:G458"/>
    <mergeCell ref="I458:J458"/>
    <mergeCell ref="F459:G459"/>
    <mergeCell ref="I459:J459"/>
    <mergeCell ref="F460:G460"/>
    <mergeCell ref="I460:J460"/>
    <mergeCell ref="F455:G455"/>
    <mergeCell ref="I455:J455"/>
    <mergeCell ref="F456:G456"/>
    <mergeCell ref="I456:J456"/>
    <mergeCell ref="F457:G457"/>
    <mergeCell ref="I457:J457"/>
    <mergeCell ref="F470:G470"/>
    <mergeCell ref="I470:J470"/>
    <mergeCell ref="F471:G471"/>
    <mergeCell ref="I471:J471"/>
    <mergeCell ref="F472:G472"/>
    <mergeCell ref="I472:J472"/>
    <mergeCell ref="F467:G467"/>
    <mergeCell ref="I467:J467"/>
    <mergeCell ref="F468:G468"/>
    <mergeCell ref="I468:J468"/>
    <mergeCell ref="F469:G469"/>
    <mergeCell ref="I469:J469"/>
    <mergeCell ref="F464:G464"/>
    <mergeCell ref="I464:J464"/>
    <mergeCell ref="F465:G465"/>
    <mergeCell ref="I465:J465"/>
    <mergeCell ref="F466:G466"/>
    <mergeCell ref="I466:J466"/>
    <mergeCell ref="F479:G479"/>
    <mergeCell ref="I479:J479"/>
    <mergeCell ref="F480:G480"/>
    <mergeCell ref="I480:J480"/>
    <mergeCell ref="F481:G481"/>
    <mergeCell ref="I481:J481"/>
    <mergeCell ref="F476:G476"/>
    <mergeCell ref="I476:J476"/>
    <mergeCell ref="F477:G477"/>
    <mergeCell ref="I477:J477"/>
    <mergeCell ref="F478:G478"/>
    <mergeCell ref="I478:J478"/>
    <mergeCell ref="F473:G473"/>
    <mergeCell ref="I473:J473"/>
    <mergeCell ref="F474:G474"/>
    <mergeCell ref="I474:J474"/>
    <mergeCell ref="F475:G475"/>
    <mergeCell ref="I475:J475"/>
    <mergeCell ref="F488:G488"/>
    <mergeCell ref="I488:J488"/>
    <mergeCell ref="F489:G489"/>
    <mergeCell ref="I489:J489"/>
    <mergeCell ref="F490:G490"/>
    <mergeCell ref="I490:J490"/>
    <mergeCell ref="F485:G485"/>
    <mergeCell ref="I485:J485"/>
    <mergeCell ref="F486:G486"/>
    <mergeCell ref="I486:J486"/>
    <mergeCell ref="F487:G487"/>
    <mergeCell ref="I487:J487"/>
    <mergeCell ref="F482:G482"/>
    <mergeCell ref="I482:J482"/>
    <mergeCell ref="F483:G483"/>
    <mergeCell ref="I483:J483"/>
    <mergeCell ref="F484:G484"/>
    <mergeCell ref="I484:J484"/>
    <mergeCell ref="F497:G497"/>
    <mergeCell ref="I497:J497"/>
    <mergeCell ref="F498:G498"/>
    <mergeCell ref="I498:J498"/>
    <mergeCell ref="F499:G499"/>
    <mergeCell ref="I499:J499"/>
    <mergeCell ref="F494:G494"/>
    <mergeCell ref="I494:J494"/>
    <mergeCell ref="F495:G495"/>
    <mergeCell ref="I495:J495"/>
    <mergeCell ref="F496:G496"/>
    <mergeCell ref="I496:J496"/>
    <mergeCell ref="F491:G491"/>
    <mergeCell ref="I491:J491"/>
    <mergeCell ref="F492:G492"/>
    <mergeCell ref="I492:J492"/>
    <mergeCell ref="F493:G493"/>
    <mergeCell ref="I493:J493"/>
    <mergeCell ref="F506:G506"/>
    <mergeCell ref="I506:J506"/>
    <mergeCell ref="F507:G507"/>
    <mergeCell ref="I507:J507"/>
    <mergeCell ref="F508:G508"/>
    <mergeCell ref="I508:J508"/>
    <mergeCell ref="F503:G503"/>
    <mergeCell ref="I503:J503"/>
    <mergeCell ref="F504:G504"/>
    <mergeCell ref="I504:J504"/>
    <mergeCell ref="F505:G505"/>
    <mergeCell ref="I505:J505"/>
    <mergeCell ref="F500:G500"/>
    <mergeCell ref="I500:J500"/>
    <mergeCell ref="F501:G501"/>
    <mergeCell ref="I501:J501"/>
    <mergeCell ref="F502:G502"/>
    <mergeCell ref="I502:J502"/>
    <mergeCell ref="F515:G515"/>
    <mergeCell ref="I515:J515"/>
    <mergeCell ref="F516:G516"/>
    <mergeCell ref="I516:J516"/>
    <mergeCell ref="F517:G517"/>
    <mergeCell ref="I517:J517"/>
    <mergeCell ref="F512:G512"/>
    <mergeCell ref="I512:J512"/>
    <mergeCell ref="F513:G513"/>
    <mergeCell ref="I513:J513"/>
    <mergeCell ref="F514:G514"/>
    <mergeCell ref="I514:J514"/>
    <mergeCell ref="F509:G509"/>
    <mergeCell ref="I509:J509"/>
    <mergeCell ref="F510:G510"/>
    <mergeCell ref="I510:J510"/>
    <mergeCell ref="F511:G511"/>
    <mergeCell ref="I511:J511"/>
    <mergeCell ref="F524:G524"/>
    <mergeCell ref="I524:J524"/>
    <mergeCell ref="F525:G525"/>
    <mergeCell ref="I525:J525"/>
    <mergeCell ref="F526:G526"/>
    <mergeCell ref="I526:J526"/>
    <mergeCell ref="F521:G521"/>
    <mergeCell ref="I521:J521"/>
    <mergeCell ref="F522:G522"/>
    <mergeCell ref="I522:J522"/>
    <mergeCell ref="F523:G523"/>
    <mergeCell ref="I523:J523"/>
    <mergeCell ref="F518:G518"/>
    <mergeCell ref="I518:J518"/>
    <mergeCell ref="F519:G519"/>
    <mergeCell ref="I519:J519"/>
    <mergeCell ref="F520:G520"/>
    <mergeCell ref="I520:J520"/>
    <mergeCell ref="F533:G533"/>
    <mergeCell ref="I533:J533"/>
    <mergeCell ref="F534:G534"/>
    <mergeCell ref="I534:J534"/>
    <mergeCell ref="F535:G535"/>
    <mergeCell ref="I535:J535"/>
    <mergeCell ref="F530:G530"/>
    <mergeCell ref="I530:J530"/>
    <mergeCell ref="F531:G531"/>
    <mergeCell ref="I531:J531"/>
    <mergeCell ref="F532:G532"/>
    <mergeCell ref="I532:J532"/>
    <mergeCell ref="F527:G527"/>
    <mergeCell ref="I527:J527"/>
    <mergeCell ref="F528:G528"/>
    <mergeCell ref="I528:J528"/>
    <mergeCell ref="F529:G529"/>
    <mergeCell ref="I529:J529"/>
    <mergeCell ref="F542:G542"/>
    <mergeCell ref="I542:J542"/>
    <mergeCell ref="F543:G543"/>
    <mergeCell ref="I543:J543"/>
    <mergeCell ref="F544:G544"/>
    <mergeCell ref="I544:J544"/>
    <mergeCell ref="F539:G539"/>
    <mergeCell ref="I539:J539"/>
    <mergeCell ref="F540:G540"/>
    <mergeCell ref="I540:J540"/>
    <mergeCell ref="F541:G541"/>
    <mergeCell ref="I541:J541"/>
    <mergeCell ref="F536:G536"/>
    <mergeCell ref="I536:J536"/>
    <mergeCell ref="F537:G537"/>
    <mergeCell ref="I537:J537"/>
    <mergeCell ref="F538:G538"/>
    <mergeCell ref="I538:J538"/>
    <mergeCell ref="F551:G551"/>
    <mergeCell ref="I551:J551"/>
    <mergeCell ref="F552:G552"/>
    <mergeCell ref="I552:J552"/>
    <mergeCell ref="F553:G553"/>
    <mergeCell ref="I553:J553"/>
    <mergeCell ref="F548:G548"/>
    <mergeCell ref="I548:J548"/>
    <mergeCell ref="F549:G549"/>
    <mergeCell ref="I549:J549"/>
    <mergeCell ref="F550:G550"/>
    <mergeCell ref="I550:J550"/>
    <mergeCell ref="F545:G545"/>
    <mergeCell ref="I545:J545"/>
    <mergeCell ref="F546:G546"/>
    <mergeCell ref="I546:J546"/>
    <mergeCell ref="F547:G547"/>
    <mergeCell ref="I547:J547"/>
    <mergeCell ref="F560:G560"/>
    <mergeCell ref="I560:J560"/>
    <mergeCell ref="F561:G561"/>
    <mergeCell ref="I561:J561"/>
    <mergeCell ref="F562:G562"/>
    <mergeCell ref="I562:J562"/>
    <mergeCell ref="F557:G557"/>
    <mergeCell ref="I557:J557"/>
    <mergeCell ref="F558:G558"/>
    <mergeCell ref="I558:J558"/>
    <mergeCell ref="F559:G559"/>
    <mergeCell ref="I559:J559"/>
    <mergeCell ref="F554:G554"/>
    <mergeCell ref="I554:J554"/>
    <mergeCell ref="F555:G555"/>
    <mergeCell ref="I555:J555"/>
    <mergeCell ref="F556:G556"/>
    <mergeCell ref="I556:J556"/>
    <mergeCell ref="F569:G569"/>
    <mergeCell ref="I569:J569"/>
    <mergeCell ref="F570:G570"/>
    <mergeCell ref="I570:J570"/>
    <mergeCell ref="F571:G571"/>
    <mergeCell ref="I571:J571"/>
    <mergeCell ref="F566:G566"/>
    <mergeCell ref="I566:J566"/>
    <mergeCell ref="F567:G567"/>
    <mergeCell ref="I567:J567"/>
    <mergeCell ref="F568:G568"/>
    <mergeCell ref="I568:J568"/>
    <mergeCell ref="F563:G563"/>
    <mergeCell ref="I563:J563"/>
    <mergeCell ref="F564:G564"/>
    <mergeCell ref="I564:J564"/>
    <mergeCell ref="F565:G565"/>
    <mergeCell ref="I565:J565"/>
    <mergeCell ref="F578:G578"/>
    <mergeCell ref="I578:J578"/>
    <mergeCell ref="F579:G579"/>
    <mergeCell ref="I579:J579"/>
    <mergeCell ref="F580:G580"/>
    <mergeCell ref="I580:J580"/>
    <mergeCell ref="F575:G575"/>
    <mergeCell ref="I575:J575"/>
    <mergeCell ref="F576:G576"/>
    <mergeCell ref="I576:J576"/>
    <mergeCell ref="F577:G577"/>
    <mergeCell ref="I577:J577"/>
    <mergeCell ref="F572:G572"/>
    <mergeCell ref="I572:J572"/>
    <mergeCell ref="F573:G573"/>
    <mergeCell ref="I573:J573"/>
    <mergeCell ref="F574:G574"/>
    <mergeCell ref="I574:J574"/>
    <mergeCell ref="F587:G587"/>
    <mergeCell ref="I587:J587"/>
    <mergeCell ref="F588:G588"/>
    <mergeCell ref="I588:J588"/>
    <mergeCell ref="F589:G589"/>
    <mergeCell ref="I589:J589"/>
    <mergeCell ref="F584:G584"/>
    <mergeCell ref="I584:J584"/>
    <mergeCell ref="F585:G585"/>
    <mergeCell ref="I585:J585"/>
    <mergeCell ref="F586:G586"/>
    <mergeCell ref="I586:J586"/>
    <mergeCell ref="F581:G581"/>
    <mergeCell ref="I581:J581"/>
    <mergeCell ref="F582:G582"/>
    <mergeCell ref="I582:J582"/>
    <mergeCell ref="F583:G583"/>
    <mergeCell ref="I583:J583"/>
    <mergeCell ref="F596:G596"/>
    <mergeCell ref="I596:J596"/>
    <mergeCell ref="F597:G597"/>
    <mergeCell ref="I597:J597"/>
    <mergeCell ref="F598:G598"/>
    <mergeCell ref="I598:J598"/>
    <mergeCell ref="F593:G593"/>
    <mergeCell ref="I593:J593"/>
    <mergeCell ref="F594:G594"/>
    <mergeCell ref="I594:J594"/>
    <mergeCell ref="F595:G595"/>
    <mergeCell ref="I595:J595"/>
    <mergeCell ref="F590:G590"/>
    <mergeCell ref="I590:J590"/>
    <mergeCell ref="F591:G591"/>
    <mergeCell ref="I591:J591"/>
    <mergeCell ref="F592:G592"/>
    <mergeCell ref="I592:J592"/>
    <mergeCell ref="F605:G605"/>
    <mergeCell ref="I605:J605"/>
    <mergeCell ref="F606:G606"/>
    <mergeCell ref="I606:J606"/>
    <mergeCell ref="F607:G607"/>
    <mergeCell ref="I607:J607"/>
    <mergeCell ref="F602:G602"/>
    <mergeCell ref="I602:J602"/>
    <mergeCell ref="F603:G603"/>
    <mergeCell ref="I603:J603"/>
    <mergeCell ref="F604:G604"/>
    <mergeCell ref="I604:J604"/>
    <mergeCell ref="F599:G599"/>
    <mergeCell ref="I599:J599"/>
    <mergeCell ref="F600:G600"/>
    <mergeCell ref="I600:J600"/>
    <mergeCell ref="F601:G601"/>
    <mergeCell ref="I601:J601"/>
    <mergeCell ref="F614:G614"/>
    <mergeCell ref="I614:J614"/>
    <mergeCell ref="F615:G615"/>
    <mergeCell ref="I615:J615"/>
    <mergeCell ref="A616:D616"/>
    <mergeCell ref="E616:G616"/>
    <mergeCell ref="H616:J616"/>
    <mergeCell ref="F611:G611"/>
    <mergeCell ref="I611:J611"/>
    <mergeCell ref="F612:G612"/>
    <mergeCell ref="I612:J612"/>
    <mergeCell ref="F613:G613"/>
    <mergeCell ref="I613:J613"/>
    <mergeCell ref="F608:G608"/>
    <mergeCell ref="I608:J608"/>
    <mergeCell ref="F609:G609"/>
    <mergeCell ref="I609:J609"/>
    <mergeCell ref="F610:G610"/>
    <mergeCell ref="I610:J6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79"/>
  <sheetViews>
    <sheetView topLeftCell="A176" workbookViewId="0">
      <selection activeCell="M178" sqref="M178"/>
    </sheetView>
  </sheetViews>
  <sheetFormatPr defaultRowHeight="14.4" x14ac:dyDescent="0.3"/>
  <cols>
    <col min="2" max="4" width="26.77734375" customWidth="1"/>
    <col min="10" max="10" width="11.33203125" bestFit="1" customWidth="1"/>
  </cols>
  <sheetData>
    <row r="1" spans="1:12" ht="53.4" x14ac:dyDescent="0.3">
      <c r="A1" s="91" t="s">
        <v>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78" x14ac:dyDescent="0.3">
      <c r="A2" s="93" t="s">
        <v>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2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2" ht="20.399999999999999" x14ac:dyDescent="0.3">
      <c r="A4" s="94" t="s">
        <v>10</v>
      </c>
      <c r="B4" s="94" t="s">
        <v>11</v>
      </c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x14ac:dyDescent="0.3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</row>
    <row r="6" spans="1:12" ht="20.399999999999999" x14ac:dyDescent="0.3">
      <c r="A6" s="94" t="s">
        <v>12</v>
      </c>
      <c r="B6" s="94" t="s">
        <v>1467</v>
      </c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1:12" x14ac:dyDescent="0.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</row>
    <row r="8" spans="1:12" x14ac:dyDescent="0.3">
      <c r="A8" s="231" t="s">
        <v>14</v>
      </c>
      <c r="B8" s="226" t="s">
        <v>15</v>
      </c>
      <c r="C8" s="226" t="s">
        <v>16</v>
      </c>
      <c r="D8" s="233" t="s">
        <v>17</v>
      </c>
      <c r="E8" s="235" t="s">
        <v>18</v>
      </c>
      <c r="F8" s="235"/>
      <c r="G8" s="235"/>
      <c r="H8" s="236" t="s">
        <v>19</v>
      </c>
      <c r="I8" s="236"/>
      <c r="J8" s="236"/>
      <c r="K8" s="226" t="s">
        <v>20</v>
      </c>
      <c r="L8" s="226"/>
    </row>
    <row r="9" spans="1:12" hidden="1" x14ac:dyDescent="0.3">
      <c r="A9" s="227"/>
      <c r="B9" s="232"/>
      <c r="C9" s="232"/>
      <c r="D9" s="234"/>
      <c r="E9" s="82" t="s">
        <v>21</v>
      </c>
      <c r="F9" s="229"/>
      <c r="G9" s="229"/>
      <c r="H9" s="83" t="s">
        <v>21</v>
      </c>
      <c r="I9" s="230"/>
      <c r="J9" s="230"/>
      <c r="K9" s="227"/>
      <c r="L9" s="228"/>
    </row>
    <row r="10" spans="1:12" ht="61.2" hidden="1" x14ac:dyDescent="0.3">
      <c r="A10" s="84" t="s">
        <v>61</v>
      </c>
      <c r="B10" s="85" t="s">
        <v>1357</v>
      </c>
      <c r="C10" s="85" t="s">
        <v>1358</v>
      </c>
      <c r="D10" s="85" t="s">
        <v>1359</v>
      </c>
      <c r="E10" s="86" t="s">
        <v>26</v>
      </c>
      <c r="F10" s="223">
        <v>5433.5</v>
      </c>
      <c r="G10" s="223"/>
      <c r="H10" s="86" t="s">
        <v>27</v>
      </c>
      <c r="I10" s="224" t="s">
        <v>28</v>
      </c>
      <c r="J10" s="224"/>
      <c r="K10" s="87" t="s">
        <v>29</v>
      </c>
      <c r="L10" s="88">
        <v>5433.5</v>
      </c>
    </row>
    <row r="11" spans="1:12" ht="61.2" hidden="1" x14ac:dyDescent="0.3">
      <c r="A11" s="84" t="s">
        <v>214</v>
      </c>
      <c r="B11" s="85" t="s">
        <v>1360</v>
      </c>
      <c r="C11" s="85" t="s">
        <v>1361</v>
      </c>
      <c r="D11" s="85" t="s">
        <v>1362</v>
      </c>
      <c r="E11" s="86" t="s">
        <v>26</v>
      </c>
      <c r="F11" s="223">
        <v>2185.4</v>
      </c>
      <c r="G11" s="223"/>
      <c r="H11" s="86" t="s">
        <v>27</v>
      </c>
      <c r="I11" s="224" t="s">
        <v>28</v>
      </c>
      <c r="J11" s="224"/>
      <c r="K11" s="87" t="s">
        <v>29</v>
      </c>
      <c r="L11" s="88">
        <v>7618.9</v>
      </c>
    </row>
    <row r="12" spans="1:12" ht="61.2" hidden="1" x14ac:dyDescent="0.3">
      <c r="A12" s="84" t="s">
        <v>214</v>
      </c>
      <c r="B12" s="85" t="s">
        <v>1360</v>
      </c>
      <c r="C12" s="85" t="s">
        <v>1363</v>
      </c>
      <c r="D12" s="85" t="s">
        <v>1362</v>
      </c>
      <c r="E12" s="86" t="s">
        <v>26</v>
      </c>
      <c r="F12" s="223">
        <v>1790.93</v>
      </c>
      <c r="G12" s="223"/>
      <c r="H12" s="86" t="s">
        <v>27</v>
      </c>
      <c r="I12" s="224" t="s">
        <v>28</v>
      </c>
      <c r="J12" s="224"/>
      <c r="K12" s="87" t="s">
        <v>29</v>
      </c>
      <c r="L12" s="88">
        <v>9409.83</v>
      </c>
    </row>
    <row r="13" spans="1:12" ht="61.2" hidden="1" x14ac:dyDescent="0.3">
      <c r="A13" s="84" t="s">
        <v>214</v>
      </c>
      <c r="B13" s="85" t="s">
        <v>1360</v>
      </c>
      <c r="C13" s="85" t="s">
        <v>1364</v>
      </c>
      <c r="D13" s="85" t="s">
        <v>1362</v>
      </c>
      <c r="E13" s="86" t="s">
        <v>26</v>
      </c>
      <c r="F13" s="223">
        <v>2620.09</v>
      </c>
      <c r="G13" s="223"/>
      <c r="H13" s="86" t="s">
        <v>27</v>
      </c>
      <c r="I13" s="224" t="s">
        <v>28</v>
      </c>
      <c r="J13" s="224"/>
      <c r="K13" s="87" t="s">
        <v>29</v>
      </c>
      <c r="L13" s="88">
        <v>12029.92</v>
      </c>
    </row>
    <row r="14" spans="1:12" ht="51" hidden="1" x14ac:dyDescent="0.3">
      <c r="A14" s="84" t="s">
        <v>214</v>
      </c>
      <c r="B14" s="85" t="s">
        <v>1360</v>
      </c>
      <c r="C14" s="85" t="s">
        <v>1365</v>
      </c>
      <c r="D14" s="85" t="s">
        <v>1362</v>
      </c>
      <c r="E14" s="86" t="s">
        <v>26</v>
      </c>
      <c r="F14" s="223">
        <v>1667.59</v>
      </c>
      <c r="G14" s="223"/>
      <c r="H14" s="86" t="s">
        <v>27</v>
      </c>
      <c r="I14" s="224" t="s">
        <v>28</v>
      </c>
      <c r="J14" s="224"/>
      <c r="K14" s="87" t="s">
        <v>29</v>
      </c>
      <c r="L14" s="88">
        <v>13697.51</v>
      </c>
    </row>
    <row r="15" spans="1:12" ht="51" hidden="1" x14ac:dyDescent="0.3">
      <c r="A15" s="84" t="s">
        <v>214</v>
      </c>
      <c r="B15" s="85" t="s">
        <v>1360</v>
      </c>
      <c r="C15" s="85" t="s">
        <v>1366</v>
      </c>
      <c r="D15" s="85" t="s">
        <v>1362</v>
      </c>
      <c r="E15" s="86" t="s">
        <v>26</v>
      </c>
      <c r="F15" s="223">
        <v>26526</v>
      </c>
      <c r="G15" s="223"/>
      <c r="H15" s="86" t="s">
        <v>27</v>
      </c>
      <c r="I15" s="224" t="s">
        <v>28</v>
      </c>
      <c r="J15" s="224"/>
      <c r="K15" s="87" t="s">
        <v>29</v>
      </c>
      <c r="L15" s="88">
        <v>40223.51</v>
      </c>
    </row>
    <row r="16" spans="1:12" ht="51" hidden="1" x14ac:dyDescent="0.3">
      <c r="A16" s="84" t="s">
        <v>214</v>
      </c>
      <c r="B16" s="85" t="s">
        <v>1360</v>
      </c>
      <c r="C16" s="85" t="s">
        <v>1367</v>
      </c>
      <c r="D16" s="85" t="s">
        <v>1362</v>
      </c>
      <c r="E16" s="86" t="s">
        <v>26</v>
      </c>
      <c r="F16" s="223">
        <v>4265.28</v>
      </c>
      <c r="G16" s="223"/>
      <c r="H16" s="86" t="s">
        <v>27</v>
      </c>
      <c r="I16" s="224" t="s">
        <v>28</v>
      </c>
      <c r="J16" s="224"/>
      <c r="K16" s="87" t="s">
        <v>29</v>
      </c>
      <c r="L16" s="88">
        <v>44488.79</v>
      </c>
    </row>
    <row r="17" spans="1:12" ht="51" hidden="1" x14ac:dyDescent="0.3">
      <c r="A17" s="84" t="s">
        <v>214</v>
      </c>
      <c r="B17" s="85" t="s">
        <v>1360</v>
      </c>
      <c r="C17" s="85" t="s">
        <v>1368</v>
      </c>
      <c r="D17" s="85" t="s">
        <v>1362</v>
      </c>
      <c r="E17" s="86" t="s">
        <v>26</v>
      </c>
      <c r="F17" s="223">
        <v>7943.92</v>
      </c>
      <c r="G17" s="223"/>
      <c r="H17" s="86" t="s">
        <v>27</v>
      </c>
      <c r="I17" s="224" t="s">
        <v>28</v>
      </c>
      <c r="J17" s="224"/>
      <c r="K17" s="87" t="s">
        <v>29</v>
      </c>
      <c r="L17" s="88">
        <v>52432.71</v>
      </c>
    </row>
    <row r="18" spans="1:12" ht="51" hidden="1" x14ac:dyDescent="0.3">
      <c r="A18" s="84" t="s">
        <v>214</v>
      </c>
      <c r="B18" s="85" t="s">
        <v>1360</v>
      </c>
      <c r="C18" s="85" t="s">
        <v>1369</v>
      </c>
      <c r="D18" s="85" t="s">
        <v>1362</v>
      </c>
      <c r="E18" s="86" t="s">
        <v>26</v>
      </c>
      <c r="F18" s="223">
        <v>68593.05</v>
      </c>
      <c r="G18" s="223"/>
      <c r="H18" s="86" t="s">
        <v>27</v>
      </c>
      <c r="I18" s="224" t="s">
        <v>28</v>
      </c>
      <c r="J18" s="224"/>
      <c r="K18" s="87" t="s">
        <v>29</v>
      </c>
      <c r="L18" s="88">
        <v>121025.76</v>
      </c>
    </row>
    <row r="19" spans="1:12" ht="51" hidden="1" x14ac:dyDescent="0.3">
      <c r="A19" s="84" t="s">
        <v>214</v>
      </c>
      <c r="B19" s="85" t="s">
        <v>1360</v>
      </c>
      <c r="C19" s="85" t="s">
        <v>1370</v>
      </c>
      <c r="D19" s="85" t="s">
        <v>1362</v>
      </c>
      <c r="E19" s="86" t="s">
        <v>26</v>
      </c>
      <c r="F19" s="223">
        <v>4294.8999999999996</v>
      </c>
      <c r="G19" s="223"/>
      <c r="H19" s="86" t="s">
        <v>27</v>
      </c>
      <c r="I19" s="224" t="s">
        <v>28</v>
      </c>
      <c r="J19" s="224"/>
      <c r="K19" s="87" t="s">
        <v>29</v>
      </c>
      <c r="L19" s="88">
        <v>125320.66</v>
      </c>
    </row>
    <row r="20" spans="1:12" ht="51" hidden="1" x14ac:dyDescent="0.3">
      <c r="A20" s="84" t="s">
        <v>214</v>
      </c>
      <c r="B20" s="85" t="s">
        <v>1360</v>
      </c>
      <c r="C20" s="85" t="s">
        <v>1371</v>
      </c>
      <c r="D20" s="85" t="s">
        <v>1362</v>
      </c>
      <c r="E20" s="86" t="s">
        <v>26</v>
      </c>
      <c r="F20" s="223">
        <v>91224.93</v>
      </c>
      <c r="G20" s="223"/>
      <c r="H20" s="86" t="s">
        <v>27</v>
      </c>
      <c r="I20" s="224" t="s">
        <v>28</v>
      </c>
      <c r="J20" s="224"/>
      <c r="K20" s="87" t="s">
        <v>29</v>
      </c>
      <c r="L20" s="88">
        <v>216545.59</v>
      </c>
    </row>
    <row r="21" spans="1:12" ht="51" hidden="1" x14ac:dyDescent="0.3">
      <c r="A21" s="84" t="s">
        <v>214</v>
      </c>
      <c r="B21" s="85" t="s">
        <v>1360</v>
      </c>
      <c r="C21" s="85" t="s">
        <v>1372</v>
      </c>
      <c r="D21" s="85" t="s">
        <v>1362</v>
      </c>
      <c r="E21" s="86" t="s">
        <v>26</v>
      </c>
      <c r="F21" s="223">
        <v>177505.86</v>
      </c>
      <c r="G21" s="223"/>
      <c r="H21" s="86" t="s">
        <v>27</v>
      </c>
      <c r="I21" s="224" t="s">
        <v>28</v>
      </c>
      <c r="J21" s="224"/>
      <c r="K21" s="87" t="s">
        <v>29</v>
      </c>
      <c r="L21" s="88">
        <v>394051.45</v>
      </c>
    </row>
    <row r="22" spans="1:12" ht="51" hidden="1" x14ac:dyDescent="0.3">
      <c r="A22" s="84" t="s">
        <v>214</v>
      </c>
      <c r="B22" s="85" t="s">
        <v>1360</v>
      </c>
      <c r="C22" s="85" t="s">
        <v>1373</v>
      </c>
      <c r="D22" s="85" t="s">
        <v>1362</v>
      </c>
      <c r="E22" s="86" t="s">
        <v>26</v>
      </c>
      <c r="F22" s="223">
        <v>233064.22</v>
      </c>
      <c r="G22" s="223"/>
      <c r="H22" s="86" t="s">
        <v>27</v>
      </c>
      <c r="I22" s="224" t="s">
        <v>28</v>
      </c>
      <c r="J22" s="224"/>
      <c r="K22" s="87" t="s">
        <v>29</v>
      </c>
      <c r="L22" s="88">
        <v>627115.67000000004</v>
      </c>
    </row>
    <row r="23" spans="1:12" ht="61.2" hidden="1" x14ac:dyDescent="0.3">
      <c r="A23" s="84" t="s">
        <v>1374</v>
      </c>
      <c r="B23" s="85" t="s">
        <v>1375</v>
      </c>
      <c r="C23" s="85" t="s">
        <v>1376</v>
      </c>
      <c r="D23" s="85" t="s">
        <v>1377</v>
      </c>
      <c r="E23" s="86" t="s">
        <v>26</v>
      </c>
      <c r="F23" s="223">
        <v>577529.03</v>
      </c>
      <c r="G23" s="223"/>
      <c r="H23" s="86" t="s">
        <v>27</v>
      </c>
      <c r="I23" s="224" t="s">
        <v>28</v>
      </c>
      <c r="J23" s="224"/>
      <c r="K23" s="87" t="s">
        <v>29</v>
      </c>
      <c r="L23" s="88">
        <v>1204644.7</v>
      </c>
    </row>
    <row r="24" spans="1:12" ht="51" hidden="1" x14ac:dyDescent="0.3">
      <c r="A24" s="84" t="s">
        <v>703</v>
      </c>
      <c r="B24" s="85" t="s">
        <v>1378</v>
      </c>
      <c r="C24" s="85" t="s">
        <v>1379</v>
      </c>
      <c r="D24" s="85" t="s">
        <v>1380</v>
      </c>
      <c r="E24" s="86" t="s">
        <v>26</v>
      </c>
      <c r="F24" s="225">
        <v>45.28</v>
      </c>
      <c r="G24" s="225"/>
      <c r="H24" s="86" t="s">
        <v>27</v>
      </c>
      <c r="I24" s="224" t="s">
        <v>28</v>
      </c>
      <c r="J24" s="224"/>
      <c r="K24" s="87" t="s">
        <v>29</v>
      </c>
      <c r="L24" s="88">
        <v>1204689.98</v>
      </c>
    </row>
    <row r="25" spans="1:12" ht="51" hidden="1" x14ac:dyDescent="0.3">
      <c r="A25" s="84" t="s">
        <v>703</v>
      </c>
      <c r="B25" s="85" t="s">
        <v>1378</v>
      </c>
      <c r="C25" s="85" t="s">
        <v>1381</v>
      </c>
      <c r="D25" s="85" t="s">
        <v>1380</v>
      </c>
      <c r="E25" s="86" t="s">
        <v>26</v>
      </c>
      <c r="F25" s="225">
        <v>4.17</v>
      </c>
      <c r="G25" s="225"/>
      <c r="H25" s="86" t="s">
        <v>27</v>
      </c>
      <c r="I25" s="224" t="s">
        <v>28</v>
      </c>
      <c r="J25" s="224"/>
      <c r="K25" s="87" t="s">
        <v>29</v>
      </c>
      <c r="L25" s="88">
        <v>1204694.1499999999</v>
      </c>
    </row>
    <row r="26" spans="1:12" ht="51" hidden="1" x14ac:dyDescent="0.3">
      <c r="A26" s="84" t="s">
        <v>703</v>
      </c>
      <c r="B26" s="85" t="s">
        <v>1378</v>
      </c>
      <c r="C26" s="85" t="s">
        <v>1382</v>
      </c>
      <c r="D26" s="85" t="s">
        <v>1380</v>
      </c>
      <c r="E26" s="86" t="s">
        <v>26</v>
      </c>
      <c r="F26" s="225">
        <v>0.26</v>
      </c>
      <c r="G26" s="225"/>
      <c r="H26" s="86" t="s">
        <v>27</v>
      </c>
      <c r="I26" s="224" t="s">
        <v>28</v>
      </c>
      <c r="J26" s="224"/>
      <c r="K26" s="87" t="s">
        <v>29</v>
      </c>
      <c r="L26" s="88">
        <v>1204694.4099999999</v>
      </c>
    </row>
    <row r="27" spans="1:12" ht="51" hidden="1" x14ac:dyDescent="0.3">
      <c r="A27" s="84" t="s">
        <v>703</v>
      </c>
      <c r="B27" s="85" t="s">
        <v>1378</v>
      </c>
      <c r="C27" s="85" t="s">
        <v>1383</v>
      </c>
      <c r="D27" s="85" t="s">
        <v>1380</v>
      </c>
      <c r="E27" s="86" t="s">
        <v>26</v>
      </c>
      <c r="F27" s="225">
        <v>3.13</v>
      </c>
      <c r="G27" s="225"/>
      <c r="H27" s="86" t="s">
        <v>27</v>
      </c>
      <c r="I27" s="224" t="s">
        <v>28</v>
      </c>
      <c r="J27" s="224"/>
      <c r="K27" s="87" t="s">
        <v>29</v>
      </c>
      <c r="L27" s="88">
        <v>1204697.54</v>
      </c>
    </row>
    <row r="28" spans="1:12" ht="51" hidden="1" x14ac:dyDescent="0.3">
      <c r="A28" s="84" t="s">
        <v>703</v>
      </c>
      <c r="B28" s="85" t="s">
        <v>1378</v>
      </c>
      <c r="C28" s="85" t="s">
        <v>1384</v>
      </c>
      <c r="D28" s="85" t="s">
        <v>1380</v>
      </c>
      <c r="E28" s="86" t="s">
        <v>26</v>
      </c>
      <c r="F28" s="225">
        <v>6.27</v>
      </c>
      <c r="G28" s="225"/>
      <c r="H28" s="86" t="s">
        <v>27</v>
      </c>
      <c r="I28" s="224" t="s">
        <v>28</v>
      </c>
      <c r="J28" s="224"/>
      <c r="K28" s="87" t="s">
        <v>29</v>
      </c>
      <c r="L28" s="88">
        <v>1204703.81</v>
      </c>
    </row>
    <row r="29" spans="1:12" ht="51" hidden="1" x14ac:dyDescent="0.3">
      <c r="A29" s="84" t="s">
        <v>703</v>
      </c>
      <c r="B29" s="85" t="s">
        <v>1378</v>
      </c>
      <c r="C29" s="85" t="s">
        <v>1385</v>
      </c>
      <c r="D29" s="85" t="s">
        <v>1380</v>
      </c>
      <c r="E29" s="86" t="s">
        <v>26</v>
      </c>
      <c r="F29" s="225">
        <v>5.89</v>
      </c>
      <c r="G29" s="225"/>
      <c r="H29" s="86" t="s">
        <v>27</v>
      </c>
      <c r="I29" s="224" t="s">
        <v>28</v>
      </c>
      <c r="J29" s="224"/>
      <c r="K29" s="87" t="s">
        <v>29</v>
      </c>
      <c r="L29" s="88">
        <v>1204709.7</v>
      </c>
    </row>
    <row r="30" spans="1:12" ht="61.2" hidden="1" x14ac:dyDescent="0.3">
      <c r="A30" s="84" t="s">
        <v>703</v>
      </c>
      <c r="B30" s="85" t="s">
        <v>1386</v>
      </c>
      <c r="C30" s="85" t="s">
        <v>1387</v>
      </c>
      <c r="D30" s="85" t="s">
        <v>1388</v>
      </c>
      <c r="E30" s="86" t="s">
        <v>26</v>
      </c>
      <c r="F30" s="223">
        <v>254764.65</v>
      </c>
      <c r="G30" s="223"/>
      <c r="H30" s="86" t="s">
        <v>27</v>
      </c>
      <c r="I30" s="224" t="s">
        <v>28</v>
      </c>
      <c r="J30" s="224"/>
      <c r="K30" s="87" t="s">
        <v>29</v>
      </c>
      <c r="L30" s="88">
        <v>1459474.35</v>
      </c>
    </row>
    <row r="31" spans="1:12" ht="51" hidden="1" x14ac:dyDescent="0.3">
      <c r="A31" s="84" t="s">
        <v>703</v>
      </c>
      <c r="B31" s="85" t="s">
        <v>1386</v>
      </c>
      <c r="C31" s="85" t="s">
        <v>1389</v>
      </c>
      <c r="D31" s="85" t="s">
        <v>1388</v>
      </c>
      <c r="E31" s="86" t="s">
        <v>26</v>
      </c>
      <c r="F31" s="223">
        <v>213885.25</v>
      </c>
      <c r="G31" s="223"/>
      <c r="H31" s="86" t="s">
        <v>27</v>
      </c>
      <c r="I31" s="224" t="s">
        <v>28</v>
      </c>
      <c r="J31" s="224"/>
      <c r="K31" s="87" t="s">
        <v>29</v>
      </c>
      <c r="L31" s="88">
        <v>1673359.6</v>
      </c>
    </row>
    <row r="32" spans="1:12" ht="61.2" hidden="1" x14ac:dyDescent="0.3">
      <c r="A32" s="84" t="s">
        <v>703</v>
      </c>
      <c r="B32" s="85" t="s">
        <v>1386</v>
      </c>
      <c r="C32" s="85" t="s">
        <v>1390</v>
      </c>
      <c r="D32" s="85" t="s">
        <v>1388</v>
      </c>
      <c r="E32" s="86" t="s">
        <v>26</v>
      </c>
      <c r="F32" s="223">
        <v>169625.16</v>
      </c>
      <c r="G32" s="223"/>
      <c r="H32" s="86" t="s">
        <v>27</v>
      </c>
      <c r="I32" s="224" t="s">
        <v>28</v>
      </c>
      <c r="J32" s="224"/>
      <c r="K32" s="87" t="s">
        <v>29</v>
      </c>
      <c r="L32" s="88">
        <v>1842984.76</v>
      </c>
    </row>
    <row r="33" spans="1:12" ht="51" hidden="1" x14ac:dyDescent="0.3">
      <c r="A33" s="84" t="s">
        <v>703</v>
      </c>
      <c r="B33" s="85" t="s">
        <v>1391</v>
      </c>
      <c r="C33" s="85" t="s">
        <v>1379</v>
      </c>
      <c r="D33" s="85" t="s">
        <v>1392</v>
      </c>
      <c r="E33" s="86" t="s">
        <v>26</v>
      </c>
      <c r="F33" s="223">
        <v>529992.57999999996</v>
      </c>
      <c r="G33" s="223"/>
      <c r="H33" s="86" t="s">
        <v>27</v>
      </c>
      <c r="I33" s="224" t="s">
        <v>28</v>
      </c>
      <c r="J33" s="224"/>
      <c r="K33" s="87" t="s">
        <v>29</v>
      </c>
      <c r="L33" s="88">
        <v>2372977.34</v>
      </c>
    </row>
    <row r="34" spans="1:12" ht="51" hidden="1" x14ac:dyDescent="0.3">
      <c r="A34" s="84" t="s">
        <v>703</v>
      </c>
      <c r="B34" s="85" t="s">
        <v>1391</v>
      </c>
      <c r="C34" s="85" t="s">
        <v>1381</v>
      </c>
      <c r="D34" s="85" t="s">
        <v>1392</v>
      </c>
      <c r="E34" s="86" t="s">
        <v>26</v>
      </c>
      <c r="F34" s="223">
        <v>48859.27</v>
      </c>
      <c r="G34" s="223"/>
      <c r="H34" s="86" t="s">
        <v>27</v>
      </c>
      <c r="I34" s="224" t="s">
        <v>28</v>
      </c>
      <c r="J34" s="224"/>
      <c r="K34" s="87" t="s">
        <v>29</v>
      </c>
      <c r="L34" s="88">
        <v>2421836.61</v>
      </c>
    </row>
    <row r="35" spans="1:12" ht="51" hidden="1" x14ac:dyDescent="0.3">
      <c r="A35" s="84" t="s">
        <v>703</v>
      </c>
      <c r="B35" s="85" t="s">
        <v>1391</v>
      </c>
      <c r="C35" s="85" t="s">
        <v>1382</v>
      </c>
      <c r="D35" s="85" t="s">
        <v>1392</v>
      </c>
      <c r="E35" s="86" t="s">
        <v>26</v>
      </c>
      <c r="F35" s="223">
        <v>3003.9</v>
      </c>
      <c r="G35" s="223"/>
      <c r="H35" s="86" t="s">
        <v>27</v>
      </c>
      <c r="I35" s="224" t="s">
        <v>28</v>
      </c>
      <c r="J35" s="224"/>
      <c r="K35" s="87" t="s">
        <v>29</v>
      </c>
      <c r="L35" s="88">
        <v>2424840.5099999998</v>
      </c>
    </row>
    <row r="36" spans="1:12" ht="51" hidden="1" x14ac:dyDescent="0.3">
      <c r="A36" s="84" t="s">
        <v>703</v>
      </c>
      <c r="B36" s="85" t="s">
        <v>1391</v>
      </c>
      <c r="C36" s="85" t="s">
        <v>1383</v>
      </c>
      <c r="D36" s="85" t="s">
        <v>1392</v>
      </c>
      <c r="E36" s="86" t="s">
        <v>26</v>
      </c>
      <c r="F36" s="223">
        <v>36619.11</v>
      </c>
      <c r="G36" s="223"/>
      <c r="H36" s="86" t="s">
        <v>27</v>
      </c>
      <c r="I36" s="224" t="s">
        <v>28</v>
      </c>
      <c r="J36" s="224"/>
      <c r="K36" s="87" t="s">
        <v>29</v>
      </c>
      <c r="L36" s="88">
        <v>2461459.62</v>
      </c>
    </row>
    <row r="37" spans="1:12" ht="51" hidden="1" x14ac:dyDescent="0.3">
      <c r="A37" s="84" t="s">
        <v>703</v>
      </c>
      <c r="B37" s="85" t="s">
        <v>1391</v>
      </c>
      <c r="C37" s="85" t="s">
        <v>1384</v>
      </c>
      <c r="D37" s="85" t="s">
        <v>1392</v>
      </c>
      <c r="E37" s="86" t="s">
        <v>26</v>
      </c>
      <c r="F37" s="223">
        <v>73390.16</v>
      </c>
      <c r="G37" s="223"/>
      <c r="H37" s="86" t="s">
        <v>27</v>
      </c>
      <c r="I37" s="224" t="s">
        <v>28</v>
      </c>
      <c r="J37" s="224"/>
      <c r="K37" s="87" t="s">
        <v>29</v>
      </c>
      <c r="L37" s="88">
        <v>2534849.7799999998</v>
      </c>
    </row>
    <row r="38" spans="1:12" ht="51" hidden="1" x14ac:dyDescent="0.3">
      <c r="A38" s="84" t="s">
        <v>703</v>
      </c>
      <c r="B38" s="85" t="s">
        <v>1391</v>
      </c>
      <c r="C38" s="85" t="s">
        <v>1385</v>
      </c>
      <c r="D38" s="85" t="s">
        <v>1392</v>
      </c>
      <c r="E38" s="86" t="s">
        <v>26</v>
      </c>
      <c r="F38" s="223">
        <v>68897.149999999994</v>
      </c>
      <c r="G38" s="223"/>
      <c r="H38" s="86" t="s">
        <v>27</v>
      </c>
      <c r="I38" s="224" t="s">
        <v>28</v>
      </c>
      <c r="J38" s="224"/>
      <c r="K38" s="87" t="s">
        <v>29</v>
      </c>
      <c r="L38" s="88">
        <v>2603746.9300000002</v>
      </c>
    </row>
    <row r="39" spans="1:12" ht="51" hidden="1" x14ac:dyDescent="0.3">
      <c r="A39" s="84" t="s">
        <v>253</v>
      </c>
      <c r="B39" s="85" t="s">
        <v>1393</v>
      </c>
      <c r="C39" s="85" t="s">
        <v>1394</v>
      </c>
      <c r="D39" s="85" t="s">
        <v>1395</v>
      </c>
      <c r="E39" s="86" t="s">
        <v>26</v>
      </c>
      <c r="F39" s="223">
        <v>678502.63</v>
      </c>
      <c r="G39" s="223"/>
      <c r="H39" s="86" t="s">
        <v>27</v>
      </c>
      <c r="I39" s="224" t="s">
        <v>28</v>
      </c>
      <c r="J39" s="224"/>
      <c r="K39" s="87" t="s">
        <v>29</v>
      </c>
      <c r="L39" s="88">
        <v>3282249.56</v>
      </c>
    </row>
    <row r="40" spans="1:12" ht="51" hidden="1" x14ac:dyDescent="0.3">
      <c r="A40" s="84" t="s">
        <v>709</v>
      </c>
      <c r="B40" s="85" t="s">
        <v>1396</v>
      </c>
      <c r="C40" s="85" t="s">
        <v>1397</v>
      </c>
      <c r="D40" s="85" t="s">
        <v>1398</v>
      </c>
      <c r="E40" s="86" t="s">
        <v>26</v>
      </c>
      <c r="F40" s="223">
        <v>23514.880000000001</v>
      </c>
      <c r="G40" s="223"/>
      <c r="H40" s="86" t="s">
        <v>27</v>
      </c>
      <c r="I40" s="224" t="s">
        <v>28</v>
      </c>
      <c r="J40" s="224"/>
      <c r="K40" s="87" t="s">
        <v>29</v>
      </c>
      <c r="L40" s="88">
        <v>3305764.44</v>
      </c>
    </row>
    <row r="41" spans="1:12" ht="51" hidden="1" x14ac:dyDescent="0.3">
      <c r="A41" s="84" t="s">
        <v>709</v>
      </c>
      <c r="B41" s="85" t="s">
        <v>1396</v>
      </c>
      <c r="C41" s="85" t="s">
        <v>1399</v>
      </c>
      <c r="D41" s="85" t="s">
        <v>1398</v>
      </c>
      <c r="E41" s="86" t="s">
        <v>26</v>
      </c>
      <c r="F41" s="223">
        <v>180994.24</v>
      </c>
      <c r="G41" s="223"/>
      <c r="H41" s="86" t="s">
        <v>27</v>
      </c>
      <c r="I41" s="224" t="s">
        <v>28</v>
      </c>
      <c r="J41" s="224"/>
      <c r="K41" s="87" t="s">
        <v>29</v>
      </c>
      <c r="L41" s="88">
        <v>3486758.68</v>
      </c>
    </row>
    <row r="42" spans="1:12" ht="51" hidden="1" x14ac:dyDescent="0.3">
      <c r="A42" s="84" t="s">
        <v>709</v>
      </c>
      <c r="B42" s="85" t="s">
        <v>1396</v>
      </c>
      <c r="C42" s="85" t="s">
        <v>1400</v>
      </c>
      <c r="D42" s="85" t="s">
        <v>1398</v>
      </c>
      <c r="E42" s="86" t="s">
        <v>26</v>
      </c>
      <c r="F42" s="223">
        <v>285417.78999999998</v>
      </c>
      <c r="G42" s="223"/>
      <c r="H42" s="86" t="s">
        <v>27</v>
      </c>
      <c r="I42" s="224" t="s">
        <v>28</v>
      </c>
      <c r="J42" s="224"/>
      <c r="K42" s="87" t="s">
        <v>29</v>
      </c>
      <c r="L42" s="88">
        <v>3772176.47</v>
      </c>
    </row>
    <row r="43" spans="1:12" ht="51" hidden="1" x14ac:dyDescent="0.3">
      <c r="A43" s="84" t="s">
        <v>709</v>
      </c>
      <c r="B43" s="85" t="s">
        <v>1396</v>
      </c>
      <c r="C43" s="85" t="s">
        <v>1401</v>
      </c>
      <c r="D43" s="85" t="s">
        <v>1398</v>
      </c>
      <c r="E43" s="86" t="s">
        <v>26</v>
      </c>
      <c r="F43" s="223">
        <v>44942.13</v>
      </c>
      <c r="G43" s="223"/>
      <c r="H43" s="86" t="s">
        <v>27</v>
      </c>
      <c r="I43" s="224" t="s">
        <v>28</v>
      </c>
      <c r="J43" s="224"/>
      <c r="K43" s="87" t="s">
        <v>29</v>
      </c>
      <c r="L43" s="88">
        <v>3817118.6</v>
      </c>
    </row>
    <row r="44" spans="1:12" ht="61.2" hidden="1" x14ac:dyDescent="0.3">
      <c r="A44" s="84" t="s">
        <v>709</v>
      </c>
      <c r="B44" s="85" t="s">
        <v>1396</v>
      </c>
      <c r="C44" s="85" t="s">
        <v>1402</v>
      </c>
      <c r="D44" s="85" t="s">
        <v>1398</v>
      </c>
      <c r="E44" s="86" t="s">
        <v>26</v>
      </c>
      <c r="F44" s="223">
        <v>101775.1</v>
      </c>
      <c r="G44" s="223"/>
      <c r="H44" s="86" t="s">
        <v>27</v>
      </c>
      <c r="I44" s="224" t="s">
        <v>28</v>
      </c>
      <c r="J44" s="224"/>
      <c r="K44" s="87" t="s">
        <v>29</v>
      </c>
      <c r="L44" s="88">
        <v>3918893.7</v>
      </c>
    </row>
    <row r="45" spans="1:12" ht="51" hidden="1" x14ac:dyDescent="0.3">
      <c r="A45" s="84" t="s">
        <v>709</v>
      </c>
      <c r="B45" s="85" t="s">
        <v>1396</v>
      </c>
      <c r="C45" s="85" t="s">
        <v>1403</v>
      </c>
      <c r="D45" s="85" t="s">
        <v>1398</v>
      </c>
      <c r="E45" s="86" t="s">
        <v>26</v>
      </c>
      <c r="F45" s="223">
        <v>1320</v>
      </c>
      <c r="G45" s="223"/>
      <c r="H45" s="86" t="s">
        <v>27</v>
      </c>
      <c r="I45" s="224" t="s">
        <v>28</v>
      </c>
      <c r="J45" s="224"/>
      <c r="K45" s="87" t="s">
        <v>29</v>
      </c>
      <c r="L45" s="88">
        <v>3920213.7</v>
      </c>
    </row>
    <row r="46" spans="1:12" ht="51" hidden="1" x14ac:dyDescent="0.3">
      <c r="A46" s="84" t="s">
        <v>709</v>
      </c>
      <c r="B46" s="85" t="s">
        <v>1396</v>
      </c>
      <c r="C46" s="85" t="s">
        <v>1404</v>
      </c>
      <c r="D46" s="85" t="s">
        <v>1398</v>
      </c>
      <c r="E46" s="86" t="s">
        <v>26</v>
      </c>
      <c r="F46" s="223">
        <v>6930</v>
      </c>
      <c r="G46" s="223"/>
      <c r="H46" s="86" t="s">
        <v>27</v>
      </c>
      <c r="I46" s="224" t="s">
        <v>28</v>
      </c>
      <c r="J46" s="224"/>
      <c r="K46" s="87" t="s">
        <v>29</v>
      </c>
      <c r="L46" s="88">
        <v>3927143.7</v>
      </c>
    </row>
    <row r="47" spans="1:12" ht="51" hidden="1" x14ac:dyDescent="0.3">
      <c r="A47" s="84" t="s">
        <v>709</v>
      </c>
      <c r="B47" s="85" t="s">
        <v>1396</v>
      </c>
      <c r="C47" s="85" t="s">
        <v>1405</v>
      </c>
      <c r="D47" s="85" t="s">
        <v>1398</v>
      </c>
      <c r="E47" s="86" t="s">
        <v>26</v>
      </c>
      <c r="F47" s="225">
        <v>518.01</v>
      </c>
      <c r="G47" s="225"/>
      <c r="H47" s="86" t="s">
        <v>27</v>
      </c>
      <c r="I47" s="224" t="s">
        <v>28</v>
      </c>
      <c r="J47" s="224"/>
      <c r="K47" s="87" t="s">
        <v>29</v>
      </c>
      <c r="L47" s="88">
        <v>3927661.71</v>
      </c>
    </row>
    <row r="48" spans="1:12" ht="61.2" hidden="1" x14ac:dyDescent="0.3">
      <c r="A48" s="84" t="s">
        <v>280</v>
      </c>
      <c r="B48" s="85" t="s">
        <v>1406</v>
      </c>
      <c r="C48" s="85" t="s">
        <v>1407</v>
      </c>
      <c r="D48" s="85" t="s">
        <v>1408</v>
      </c>
      <c r="E48" s="86" t="s">
        <v>26</v>
      </c>
      <c r="F48" s="223">
        <v>16194.85</v>
      </c>
      <c r="G48" s="223"/>
      <c r="H48" s="86" t="s">
        <v>27</v>
      </c>
      <c r="I48" s="224" t="s">
        <v>28</v>
      </c>
      <c r="J48" s="224"/>
      <c r="K48" s="87" t="s">
        <v>29</v>
      </c>
      <c r="L48" s="88">
        <v>3943856.56</v>
      </c>
    </row>
    <row r="49" spans="1:12" ht="51" hidden="1" x14ac:dyDescent="0.3">
      <c r="A49" s="84" t="s">
        <v>321</v>
      </c>
      <c r="B49" s="85" t="s">
        <v>1409</v>
      </c>
      <c r="C49" s="85" t="s">
        <v>1410</v>
      </c>
      <c r="D49" s="85" t="s">
        <v>1411</v>
      </c>
      <c r="E49" s="86" t="s">
        <v>26</v>
      </c>
      <c r="F49" s="223">
        <v>4983.8500000000004</v>
      </c>
      <c r="G49" s="223"/>
      <c r="H49" s="86" t="s">
        <v>27</v>
      </c>
      <c r="I49" s="224" t="s">
        <v>28</v>
      </c>
      <c r="J49" s="224"/>
      <c r="K49" s="87" t="s">
        <v>29</v>
      </c>
      <c r="L49" s="88">
        <v>3948840.41</v>
      </c>
    </row>
    <row r="50" spans="1:12" ht="51" hidden="1" x14ac:dyDescent="0.3">
      <c r="A50" s="84" t="s">
        <v>321</v>
      </c>
      <c r="B50" s="85" t="s">
        <v>1409</v>
      </c>
      <c r="C50" s="85" t="s">
        <v>1412</v>
      </c>
      <c r="D50" s="85" t="s">
        <v>1411</v>
      </c>
      <c r="E50" s="86" t="s">
        <v>26</v>
      </c>
      <c r="F50" s="223">
        <v>3073.39</v>
      </c>
      <c r="G50" s="223"/>
      <c r="H50" s="86" t="s">
        <v>27</v>
      </c>
      <c r="I50" s="224" t="s">
        <v>28</v>
      </c>
      <c r="J50" s="224"/>
      <c r="K50" s="87" t="s">
        <v>29</v>
      </c>
      <c r="L50" s="88">
        <v>3951913.8</v>
      </c>
    </row>
    <row r="51" spans="1:12" ht="51" hidden="1" x14ac:dyDescent="0.3">
      <c r="A51" s="84" t="s">
        <v>321</v>
      </c>
      <c r="B51" s="85" t="s">
        <v>1413</v>
      </c>
      <c r="C51" s="85" t="s">
        <v>1414</v>
      </c>
      <c r="D51" s="85" t="s">
        <v>1415</v>
      </c>
      <c r="E51" s="86" t="s">
        <v>26</v>
      </c>
      <c r="F51" s="223">
        <v>241559.34</v>
      </c>
      <c r="G51" s="223"/>
      <c r="H51" s="86" t="s">
        <v>27</v>
      </c>
      <c r="I51" s="224" t="s">
        <v>28</v>
      </c>
      <c r="J51" s="224"/>
      <c r="K51" s="87" t="s">
        <v>29</v>
      </c>
      <c r="L51" s="88">
        <v>4193473.14</v>
      </c>
    </row>
    <row r="52" spans="1:12" ht="51" hidden="1" x14ac:dyDescent="0.3">
      <c r="A52" s="84" t="s">
        <v>321</v>
      </c>
      <c r="B52" s="85" t="s">
        <v>1413</v>
      </c>
      <c r="C52" s="85" t="s">
        <v>1416</v>
      </c>
      <c r="D52" s="85" t="s">
        <v>1415</v>
      </c>
      <c r="E52" s="86" t="s">
        <v>26</v>
      </c>
      <c r="F52" s="223">
        <v>137877.76999999999</v>
      </c>
      <c r="G52" s="223"/>
      <c r="H52" s="86" t="s">
        <v>27</v>
      </c>
      <c r="I52" s="224" t="s">
        <v>28</v>
      </c>
      <c r="J52" s="224"/>
      <c r="K52" s="87" t="s">
        <v>29</v>
      </c>
      <c r="L52" s="88">
        <v>4331350.91</v>
      </c>
    </row>
    <row r="53" spans="1:12" ht="51" hidden="1" x14ac:dyDescent="0.3">
      <c r="A53" s="84" t="s">
        <v>321</v>
      </c>
      <c r="B53" s="85" t="s">
        <v>1413</v>
      </c>
      <c r="C53" s="85" t="s">
        <v>1417</v>
      </c>
      <c r="D53" s="85" t="s">
        <v>1415</v>
      </c>
      <c r="E53" s="86" t="s">
        <v>26</v>
      </c>
      <c r="F53" s="223">
        <v>5383.5</v>
      </c>
      <c r="G53" s="223"/>
      <c r="H53" s="86" t="s">
        <v>27</v>
      </c>
      <c r="I53" s="224" t="s">
        <v>28</v>
      </c>
      <c r="J53" s="224"/>
      <c r="K53" s="87" t="s">
        <v>29</v>
      </c>
      <c r="L53" s="88">
        <v>4336734.41</v>
      </c>
    </row>
    <row r="54" spans="1:12" ht="51" hidden="1" x14ac:dyDescent="0.3">
      <c r="A54" s="84" t="s">
        <v>321</v>
      </c>
      <c r="B54" s="85" t="s">
        <v>1413</v>
      </c>
      <c r="C54" s="85" t="s">
        <v>1418</v>
      </c>
      <c r="D54" s="85" t="s">
        <v>1415</v>
      </c>
      <c r="E54" s="86" t="s">
        <v>26</v>
      </c>
      <c r="F54" s="223">
        <v>8971.23</v>
      </c>
      <c r="G54" s="223"/>
      <c r="H54" s="86" t="s">
        <v>27</v>
      </c>
      <c r="I54" s="224" t="s">
        <v>28</v>
      </c>
      <c r="J54" s="224"/>
      <c r="K54" s="87" t="s">
        <v>29</v>
      </c>
      <c r="L54" s="88">
        <v>4345705.6399999997</v>
      </c>
    </row>
    <row r="55" spans="1:12" ht="51" hidden="1" x14ac:dyDescent="0.3">
      <c r="A55" s="84" t="s">
        <v>527</v>
      </c>
      <c r="B55" s="85" t="s">
        <v>1419</v>
      </c>
      <c r="C55" s="85" t="s">
        <v>1420</v>
      </c>
      <c r="D55" s="85" t="s">
        <v>1421</v>
      </c>
      <c r="E55" s="86" t="s">
        <v>26</v>
      </c>
      <c r="F55" s="223">
        <v>28000</v>
      </c>
      <c r="G55" s="223"/>
      <c r="H55" s="86" t="s">
        <v>27</v>
      </c>
      <c r="I55" s="224" t="s">
        <v>28</v>
      </c>
      <c r="J55" s="224"/>
      <c r="K55" s="87" t="s">
        <v>29</v>
      </c>
      <c r="L55" s="88">
        <v>4373705.6399999997</v>
      </c>
    </row>
    <row r="56" spans="1:12" ht="51" hidden="1" x14ac:dyDescent="0.3">
      <c r="A56" s="84" t="s">
        <v>527</v>
      </c>
      <c r="B56" s="85" t="s">
        <v>1419</v>
      </c>
      <c r="C56" s="85" t="s">
        <v>1422</v>
      </c>
      <c r="D56" s="85" t="s">
        <v>1421</v>
      </c>
      <c r="E56" s="86" t="s">
        <v>26</v>
      </c>
      <c r="F56" s="223">
        <v>11250</v>
      </c>
      <c r="G56" s="223"/>
      <c r="H56" s="86" t="s">
        <v>27</v>
      </c>
      <c r="I56" s="224" t="s">
        <v>28</v>
      </c>
      <c r="J56" s="224"/>
      <c r="K56" s="87" t="s">
        <v>29</v>
      </c>
      <c r="L56" s="88">
        <v>4384955.6399999997</v>
      </c>
    </row>
    <row r="57" spans="1:12" ht="51" x14ac:dyDescent="0.3">
      <c r="A57" s="84" t="s">
        <v>527</v>
      </c>
      <c r="B57" s="85" t="s">
        <v>1423</v>
      </c>
      <c r="C57" s="85" t="s">
        <v>1424</v>
      </c>
      <c r="D57" s="85" t="s">
        <v>1366</v>
      </c>
      <c r="E57" s="86" t="s">
        <v>523</v>
      </c>
      <c r="F57" s="218" t="s">
        <v>28</v>
      </c>
      <c r="G57" s="218"/>
      <c r="H57" s="86" t="s">
        <v>26</v>
      </c>
      <c r="I57" s="219">
        <v>13439.84</v>
      </c>
      <c r="J57" s="219"/>
      <c r="K57" s="87" t="s">
        <v>29</v>
      </c>
      <c r="L57" s="88">
        <v>4371515.8</v>
      </c>
    </row>
    <row r="58" spans="1:12" ht="51" x14ac:dyDescent="0.3">
      <c r="A58" s="84" t="s">
        <v>527</v>
      </c>
      <c r="B58" s="85" t="s">
        <v>1423</v>
      </c>
      <c r="C58" s="85" t="s">
        <v>1424</v>
      </c>
      <c r="D58" s="85" t="s">
        <v>1372</v>
      </c>
      <c r="E58" s="86" t="s">
        <v>523</v>
      </c>
      <c r="F58" s="218" t="s">
        <v>28</v>
      </c>
      <c r="G58" s="218"/>
      <c r="H58" s="86" t="s">
        <v>26</v>
      </c>
      <c r="I58" s="219">
        <v>173199.79</v>
      </c>
      <c r="J58" s="219"/>
      <c r="K58" s="87" t="s">
        <v>29</v>
      </c>
      <c r="L58" s="88">
        <v>4198316.01</v>
      </c>
    </row>
    <row r="59" spans="1:12" ht="61.2" x14ac:dyDescent="0.3">
      <c r="A59" s="84" t="s">
        <v>527</v>
      </c>
      <c r="B59" s="85" t="s">
        <v>1423</v>
      </c>
      <c r="C59" s="85" t="s">
        <v>1424</v>
      </c>
      <c r="D59" s="85" t="s">
        <v>1376</v>
      </c>
      <c r="E59" s="86" t="s">
        <v>523</v>
      </c>
      <c r="F59" s="218" t="s">
        <v>28</v>
      </c>
      <c r="G59" s="218"/>
      <c r="H59" s="86" t="s">
        <v>26</v>
      </c>
      <c r="I59" s="219">
        <v>359188.72</v>
      </c>
      <c r="J59" s="219"/>
      <c r="K59" s="87" t="s">
        <v>29</v>
      </c>
      <c r="L59" s="88">
        <v>3839127.29</v>
      </c>
    </row>
    <row r="60" spans="1:12" ht="51" x14ac:dyDescent="0.3">
      <c r="A60" s="84" t="s">
        <v>527</v>
      </c>
      <c r="B60" s="85" t="s">
        <v>1423</v>
      </c>
      <c r="C60" s="85" t="s">
        <v>1424</v>
      </c>
      <c r="D60" s="85" t="s">
        <v>1369</v>
      </c>
      <c r="E60" s="86" t="s">
        <v>523</v>
      </c>
      <c r="F60" s="218" t="s">
        <v>28</v>
      </c>
      <c r="G60" s="218"/>
      <c r="H60" s="86" t="s">
        <v>26</v>
      </c>
      <c r="I60" s="219">
        <v>8100.09</v>
      </c>
      <c r="J60" s="219"/>
      <c r="K60" s="87" t="s">
        <v>29</v>
      </c>
      <c r="L60" s="88">
        <v>3831027.2</v>
      </c>
    </row>
    <row r="61" spans="1:12" ht="61.2" x14ac:dyDescent="0.3">
      <c r="A61" s="84" t="s">
        <v>527</v>
      </c>
      <c r="B61" s="85" t="s">
        <v>1423</v>
      </c>
      <c r="C61" s="85" t="s">
        <v>1424</v>
      </c>
      <c r="D61" s="85" t="s">
        <v>1364</v>
      </c>
      <c r="E61" s="86" t="s">
        <v>523</v>
      </c>
      <c r="F61" s="218" t="s">
        <v>28</v>
      </c>
      <c r="G61" s="218"/>
      <c r="H61" s="86" t="s">
        <v>26</v>
      </c>
      <c r="I61" s="219">
        <v>2620.09</v>
      </c>
      <c r="J61" s="219"/>
      <c r="K61" s="87" t="s">
        <v>29</v>
      </c>
      <c r="L61" s="88">
        <v>3828407.11</v>
      </c>
    </row>
    <row r="62" spans="1:12" ht="61.2" x14ac:dyDescent="0.3">
      <c r="A62" s="84" t="s">
        <v>527</v>
      </c>
      <c r="B62" s="85" t="s">
        <v>1423</v>
      </c>
      <c r="C62" s="85" t="s">
        <v>1424</v>
      </c>
      <c r="D62" s="85" t="s">
        <v>1407</v>
      </c>
      <c r="E62" s="86" t="s">
        <v>523</v>
      </c>
      <c r="F62" s="218" t="s">
        <v>28</v>
      </c>
      <c r="G62" s="218"/>
      <c r="H62" s="86" t="s">
        <v>26</v>
      </c>
      <c r="I62" s="219">
        <v>5279.52</v>
      </c>
      <c r="J62" s="219"/>
      <c r="K62" s="87" t="s">
        <v>29</v>
      </c>
      <c r="L62" s="88">
        <v>3823127.59</v>
      </c>
    </row>
    <row r="63" spans="1:12" ht="51" x14ac:dyDescent="0.3">
      <c r="A63" s="84" t="s">
        <v>527</v>
      </c>
      <c r="B63" s="85" t="s">
        <v>1423</v>
      </c>
      <c r="C63" s="85" t="s">
        <v>1424</v>
      </c>
      <c r="D63" s="85" t="s">
        <v>1371</v>
      </c>
      <c r="E63" s="86" t="s">
        <v>523</v>
      </c>
      <c r="F63" s="218" t="s">
        <v>28</v>
      </c>
      <c r="G63" s="218"/>
      <c r="H63" s="86" t="s">
        <v>26</v>
      </c>
      <c r="I63" s="219">
        <v>40508.97</v>
      </c>
      <c r="J63" s="219"/>
      <c r="K63" s="87" t="s">
        <v>29</v>
      </c>
      <c r="L63" s="88">
        <v>3782618.62</v>
      </c>
    </row>
    <row r="64" spans="1:12" ht="51" x14ac:dyDescent="0.3">
      <c r="A64" s="84" t="s">
        <v>527</v>
      </c>
      <c r="B64" s="85" t="s">
        <v>1423</v>
      </c>
      <c r="C64" s="85" t="s">
        <v>1424</v>
      </c>
      <c r="D64" s="85" t="s">
        <v>1401</v>
      </c>
      <c r="E64" s="86" t="s">
        <v>523</v>
      </c>
      <c r="F64" s="218" t="s">
        <v>28</v>
      </c>
      <c r="G64" s="218"/>
      <c r="H64" s="86" t="s">
        <v>26</v>
      </c>
      <c r="I64" s="219">
        <v>20876.34</v>
      </c>
      <c r="J64" s="219"/>
      <c r="K64" s="87" t="s">
        <v>29</v>
      </c>
      <c r="L64" s="88">
        <v>3761742.28</v>
      </c>
    </row>
    <row r="65" spans="1:12" ht="51" x14ac:dyDescent="0.3">
      <c r="A65" s="84" t="s">
        <v>527</v>
      </c>
      <c r="B65" s="85" t="s">
        <v>1423</v>
      </c>
      <c r="C65" s="85" t="s">
        <v>1424</v>
      </c>
      <c r="D65" s="85" t="s">
        <v>1420</v>
      </c>
      <c r="E65" s="86" t="s">
        <v>523</v>
      </c>
      <c r="F65" s="218" t="s">
        <v>28</v>
      </c>
      <c r="G65" s="218"/>
      <c r="H65" s="86" t="s">
        <v>26</v>
      </c>
      <c r="I65" s="219">
        <v>19810</v>
      </c>
      <c r="J65" s="219"/>
      <c r="K65" s="87" t="s">
        <v>29</v>
      </c>
      <c r="L65" s="88">
        <v>3741932.28</v>
      </c>
    </row>
    <row r="66" spans="1:12" ht="51" x14ac:dyDescent="0.3">
      <c r="A66" s="84" t="s">
        <v>527</v>
      </c>
      <c r="B66" s="85" t="s">
        <v>1423</v>
      </c>
      <c r="C66" s="85" t="s">
        <v>1424</v>
      </c>
      <c r="D66" s="85" t="s">
        <v>1422</v>
      </c>
      <c r="E66" s="86" t="s">
        <v>523</v>
      </c>
      <c r="F66" s="218" t="s">
        <v>28</v>
      </c>
      <c r="G66" s="218"/>
      <c r="H66" s="86" t="s">
        <v>26</v>
      </c>
      <c r="I66" s="219">
        <v>11250</v>
      </c>
      <c r="J66" s="219"/>
      <c r="K66" s="87" t="s">
        <v>29</v>
      </c>
      <c r="L66" s="88">
        <v>3730682.28</v>
      </c>
    </row>
    <row r="67" spans="1:12" ht="51" hidden="1" x14ac:dyDescent="0.3">
      <c r="A67" s="84" t="s">
        <v>818</v>
      </c>
      <c r="B67" s="85" t="s">
        <v>1425</v>
      </c>
      <c r="C67" s="85" t="s">
        <v>1426</v>
      </c>
      <c r="D67" s="85" t="s">
        <v>1427</v>
      </c>
      <c r="E67" s="86" t="s">
        <v>26</v>
      </c>
      <c r="F67" s="223">
        <v>9948.7000000000007</v>
      </c>
      <c r="G67" s="223"/>
      <c r="H67" s="86" t="s">
        <v>27</v>
      </c>
      <c r="I67" s="224" t="s">
        <v>28</v>
      </c>
      <c r="J67" s="224"/>
      <c r="K67" s="87" t="s">
        <v>29</v>
      </c>
      <c r="L67" s="88">
        <v>3740630.98</v>
      </c>
    </row>
    <row r="68" spans="1:12" ht="51" hidden="1" x14ac:dyDescent="0.3">
      <c r="A68" s="84" t="s">
        <v>818</v>
      </c>
      <c r="B68" s="85" t="s">
        <v>1425</v>
      </c>
      <c r="C68" s="85" t="s">
        <v>1428</v>
      </c>
      <c r="D68" s="85" t="s">
        <v>1427</v>
      </c>
      <c r="E68" s="86" t="s">
        <v>26</v>
      </c>
      <c r="F68" s="223">
        <v>9545.5300000000007</v>
      </c>
      <c r="G68" s="223"/>
      <c r="H68" s="86" t="s">
        <v>27</v>
      </c>
      <c r="I68" s="224" t="s">
        <v>28</v>
      </c>
      <c r="J68" s="224"/>
      <c r="K68" s="87" t="s">
        <v>29</v>
      </c>
      <c r="L68" s="88">
        <v>3750176.51</v>
      </c>
    </row>
    <row r="69" spans="1:12" ht="51" hidden="1" x14ac:dyDescent="0.3">
      <c r="A69" s="84" t="s">
        <v>818</v>
      </c>
      <c r="B69" s="85" t="s">
        <v>1425</v>
      </c>
      <c r="C69" s="85" t="s">
        <v>1429</v>
      </c>
      <c r="D69" s="85" t="s">
        <v>1427</v>
      </c>
      <c r="E69" s="86" t="s">
        <v>26</v>
      </c>
      <c r="F69" s="223">
        <v>2266.79</v>
      </c>
      <c r="G69" s="223"/>
      <c r="H69" s="86" t="s">
        <v>27</v>
      </c>
      <c r="I69" s="224" t="s">
        <v>28</v>
      </c>
      <c r="J69" s="224"/>
      <c r="K69" s="87" t="s">
        <v>29</v>
      </c>
      <c r="L69" s="88">
        <v>3752443.3</v>
      </c>
    </row>
    <row r="70" spans="1:12" ht="61.2" hidden="1" x14ac:dyDescent="0.3">
      <c r="A70" s="84" t="s">
        <v>818</v>
      </c>
      <c r="B70" s="85" t="s">
        <v>1425</v>
      </c>
      <c r="C70" s="85" t="s">
        <v>1430</v>
      </c>
      <c r="D70" s="85" t="s">
        <v>1427</v>
      </c>
      <c r="E70" s="86" t="s">
        <v>26</v>
      </c>
      <c r="F70" s="223">
        <v>10937.47</v>
      </c>
      <c r="G70" s="223"/>
      <c r="H70" s="86" t="s">
        <v>27</v>
      </c>
      <c r="I70" s="224" t="s">
        <v>28</v>
      </c>
      <c r="J70" s="224"/>
      <c r="K70" s="87" t="s">
        <v>29</v>
      </c>
      <c r="L70" s="88">
        <v>3763380.77</v>
      </c>
    </row>
    <row r="71" spans="1:12" ht="51" hidden="1" x14ac:dyDescent="0.3">
      <c r="A71" s="84" t="s">
        <v>818</v>
      </c>
      <c r="B71" s="85" t="s">
        <v>1425</v>
      </c>
      <c r="C71" s="85" t="s">
        <v>1431</v>
      </c>
      <c r="D71" s="85" t="s">
        <v>1427</v>
      </c>
      <c r="E71" s="86" t="s">
        <v>26</v>
      </c>
      <c r="F71" s="223">
        <v>3828.54</v>
      </c>
      <c r="G71" s="223"/>
      <c r="H71" s="86" t="s">
        <v>27</v>
      </c>
      <c r="I71" s="224" t="s">
        <v>28</v>
      </c>
      <c r="J71" s="224"/>
      <c r="K71" s="87" t="s">
        <v>29</v>
      </c>
      <c r="L71" s="88">
        <v>3767209.31</v>
      </c>
    </row>
    <row r="72" spans="1:12" ht="51" hidden="1" x14ac:dyDescent="0.3">
      <c r="A72" s="84" t="s">
        <v>818</v>
      </c>
      <c r="B72" s="85" t="s">
        <v>1425</v>
      </c>
      <c r="C72" s="85" t="s">
        <v>1432</v>
      </c>
      <c r="D72" s="85" t="s">
        <v>1427</v>
      </c>
      <c r="E72" s="86" t="s">
        <v>26</v>
      </c>
      <c r="F72" s="223">
        <v>12445.34</v>
      </c>
      <c r="G72" s="223"/>
      <c r="H72" s="86" t="s">
        <v>27</v>
      </c>
      <c r="I72" s="224" t="s">
        <v>28</v>
      </c>
      <c r="J72" s="224"/>
      <c r="K72" s="87" t="s">
        <v>29</v>
      </c>
      <c r="L72" s="88">
        <v>3779654.65</v>
      </c>
    </row>
    <row r="73" spans="1:12" ht="51" hidden="1" x14ac:dyDescent="0.3">
      <c r="A73" s="84" t="s">
        <v>818</v>
      </c>
      <c r="B73" s="85" t="s">
        <v>1425</v>
      </c>
      <c r="C73" s="85" t="s">
        <v>1433</v>
      </c>
      <c r="D73" s="85" t="s">
        <v>1427</v>
      </c>
      <c r="E73" s="86" t="s">
        <v>26</v>
      </c>
      <c r="F73" s="223">
        <v>7468.8</v>
      </c>
      <c r="G73" s="223"/>
      <c r="H73" s="86" t="s">
        <v>27</v>
      </c>
      <c r="I73" s="224" t="s">
        <v>28</v>
      </c>
      <c r="J73" s="224"/>
      <c r="K73" s="87" t="s">
        <v>29</v>
      </c>
      <c r="L73" s="88">
        <v>3787123.45</v>
      </c>
    </row>
    <row r="74" spans="1:12" ht="51" hidden="1" x14ac:dyDescent="0.3">
      <c r="A74" s="84" t="s">
        <v>818</v>
      </c>
      <c r="B74" s="85" t="s">
        <v>1425</v>
      </c>
      <c r="C74" s="85" t="s">
        <v>1434</v>
      </c>
      <c r="D74" s="85" t="s">
        <v>1427</v>
      </c>
      <c r="E74" s="86" t="s">
        <v>26</v>
      </c>
      <c r="F74" s="223">
        <v>16752.259999999998</v>
      </c>
      <c r="G74" s="223"/>
      <c r="H74" s="86" t="s">
        <v>27</v>
      </c>
      <c r="I74" s="224" t="s">
        <v>28</v>
      </c>
      <c r="J74" s="224"/>
      <c r="K74" s="87" t="s">
        <v>29</v>
      </c>
      <c r="L74" s="88">
        <v>3803875.71</v>
      </c>
    </row>
    <row r="75" spans="1:12" ht="51" x14ac:dyDescent="0.3">
      <c r="A75" s="84" t="s">
        <v>571</v>
      </c>
      <c r="B75" s="85" t="s">
        <v>1435</v>
      </c>
      <c r="C75" s="85" t="s">
        <v>1424</v>
      </c>
      <c r="D75" s="85" t="s">
        <v>1416</v>
      </c>
      <c r="E75" s="86" t="s">
        <v>523</v>
      </c>
      <c r="F75" s="218" t="s">
        <v>28</v>
      </c>
      <c r="G75" s="218"/>
      <c r="H75" s="86" t="s">
        <v>26</v>
      </c>
      <c r="I75" s="219">
        <v>113256.74</v>
      </c>
      <c r="J75" s="219"/>
      <c r="K75" s="87" t="s">
        <v>29</v>
      </c>
      <c r="L75" s="88">
        <v>3690618.97</v>
      </c>
    </row>
    <row r="76" spans="1:12" ht="51" x14ac:dyDescent="0.3">
      <c r="A76" s="84" t="s">
        <v>571</v>
      </c>
      <c r="B76" s="85" t="s">
        <v>1435</v>
      </c>
      <c r="C76" s="85" t="s">
        <v>1424</v>
      </c>
      <c r="D76" s="85" t="s">
        <v>1399</v>
      </c>
      <c r="E76" s="86" t="s">
        <v>523</v>
      </c>
      <c r="F76" s="218" t="s">
        <v>28</v>
      </c>
      <c r="G76" s="218"/>
      <c r="H76" s="86" t="s">
        <v>26</v>
      </c>
      <c r="I76" s="219">
        <v>55562.57</v>
      </c>
      <c r="J76" s="219"/>
      <c r="K76" s="87" t="s">
        <v>29</v>
      </c>
      <c r="L76" s="88">
        <v>3635056.4</v>
      </c>
    </row>
    <row r="77" spans="1:12" ht="51" x14ac:dyDescent="0.3">
      <c r="A77" s="84" t="s">
        <v>571</v>
      </c>
      <c r="B77" s="85" t="s">
        <v>1435</v>
      </c>
      <c r="C77" s="85" t="s">
        <v>1424</v>
      </c>
      <c r="D77" s="85" t="s">
        <v>1394</v>
      </c>
      <c r="E77" s="86" t="s">
        <v>523</v>
      </c>
      <c r="F77" s="218" t="s">
        <v>28</v>
      </c>
      <c r="G77" s="218"/>
      <c r="H77" s="86" t="s">
        <v>26</v>
      </c>
      <c r="I77" s="219">
        <v>617854.35</v>
      </c>
      <c r="J77" s="219"/>
      <c r="K77" s="87" t="s">
        <v>29</v>
      </c>
      <c r="L77" s="88">
        <v>3017202.05</v>
      </c>
    </row>
    <row r="78" spans="1:12" ht="51" x14ac:dyDescent="0.3">
      <c r="A78" s="84" t="s">
        <v>571</v>
      </c>
      <c r="B78" s="85" t="s">
        <v>1435</v>
      </c>
      <c r="C78" s="85" t="s">
        <v>1424</v>
      </c>
      <c r="D78" s="85" t="s">
        <v>1400</v>
      </c>
      <c r="E78" s="86" t="s">
        <v>523</v>
      </c>
      <c r="F78" s="218" t="s">
        <v>28</v>
      </c>
      <c r="G78" s="218"/>
      <c r="H78" s="86" t="s">
        <v>26</v>
      </c>
      <c r="I78" s="219">
        <v>39926.870000000003</v>
      </c>
      <c r="J78" s="219"/>
      <c r="K78" s="87" t="s">
        <v>29</v>
      </c>
      <c r="L78" s="88">
        <v>2977275.18</v>
      </c>
    </row>
    <row r="79" spans="1:12" ht="51" x14ac:dyDescent="0.3">
      <c r="A79" s="84" t="s">
        <v>571</v>
      </c>
      <c r="B79" s="85" t="s">
        <v>1435</v>
      </c>
      <c r="C79" s="85" t="s">
        <v>1424</v>
      </c>
      <c r="D79" s="85" t="s">
        <v>1372</v>
      </c>
      <c r="E79" s="86" t="s">
        <v>523</v>
      </c>
      <c r="F79" s="218" t="s">
        <v>28</v>
      </c>
      <c r="G79" s="218"/>
      <c r="H79" s="86" t="s">
        <v>26</v>
      </c>
      <c r="I79" s="219">
        <v>4306.07</v>
      </c>
      <c r="J79" s="219"/>
      <c r="K79" s="87" t="s">
        <v>29</v>
      </c>
      <c r="L79" s="88">
        <v>2972969.11</v>
      </c>
    </row>
    <row r="80" spans="1:12" ht="51" x14ac:dyDescent="0.3">
      <c r="A80" s="84" t="s">
        <v>571</v>
      </c>
      <c r="B80" s="85" t="s">
        <v>1435</v>
      </c>
      <c r="C80" s="85" t="s">
        <v>1424</v>
      </c>
      <c r="D80" s="85" t="s">
        <v>1385</v>
      </c>
      <c r="E80" s="86" t="s">
        <v>523</v>
      </c>
      <c r="F80" s="218" t="s">
        <v>28</v>
      </c>
      <c r="G80" s="218"/>
      <c r="H80" s="86" t="s">
        <v>26</v>
      </c>
      <c r="I80" s="219">
        <v>2711.46</v>
      </c>
      <c r="J80" s="219"/>
      <c r="K80" s="87" t="s">
        <v>29</v>
      </c>
      <c r="L80" s="88">
        <v>2970257.65</v>
      </c>
    </row>
    <row r="81" spans="1:12" ht="61.2" x14ac:dyDescent="0.3">
      <c r="A81" s="84" t="s">
        <v>571</v>
      </c>
      <c r="B81" s="85" t="s">
        <v>1435</v>
      </c>
      <c r="C81" s="85" t="s">
        <v>1424</v>
      </c>
      <c r="D81" s="85" t="s">
        <v>1407</v>
      </c>
      <c r="E81" s="86" t="s">
        <v>523</v>
      </c>
      <c r="F81" s="218" t="s">
        <v>28</v>
      </c>
      <c r="G81" s="218"/>
      <c r="H81" s="86" t="s">
        <v>26</v>
      </c>
      <c r="I81" s="222">
        <v>647.79</v>
      </c>
      <c r="J81" s="222"/>
      <c r="K81" s="87" t="s">
        <v>29</v>
      </c>
      <c r="L81" s="88">
        <v>2969609.86</v>
      </c>
    </row>
    <row r="82" spans="1:12" ht="51" x14ac:dyDescent="0.3">
      <c r="A82" s="84" t="s">
        <v>571</v>
      </c>
      <c r="B82" s="85" t="s">
        <v>1435</v>
      </c>
      <c r="C82" s="85" t="s">
        <v>1424</v>
      </c>
      <c r="D82" s="85" t="s">
        <v>1369</v>
      </c>
      <c r="E82" s="86" t="s">
        <v>523</v>
      </c>
      <c r="F82" s="218" t="s">
        <v>28</v>
      </c>
      <c r="G82" s="218"/>
      <c r="H82" s="86" t="s">
        <v>26</v>
      </c>
      <c r="I82" s="219">
        <v>7731.91</v>
      </c>
      <c r="J82" s="219"/>
      <c r="K82" s="87" t="s">
        <v>29</v>
      </c>
      <c r="L82" s="88">
        <v>2961877.95</v>
      </c>
    </row>
    <row r="83" spans="1:12" ht="51" x14ac:dyDescent="0.3">
      <c r="A83" s="84" t="s">
        <v>571</v>
      </c>
      <c r="B83" s="85" t="s">
        <v>1435</v>
      </c>
      <c r="C83" s="85" t="s">
        <v>1424</v>
      </c>
      <c r="D83" s="85" t="s">
        <v>1420</v>
      </c>
      <c r="E83" s="86" t="s">
        <v>523</v>
      </c>
      <c r="F83" s="218" t="s">
        <v>28</v>
      </c>
      <c r="G83" s="218"/>
      <c r="H83" s="86" t="s">
        <v>26</v>
      </c>
      <c r="I83" s="219">
        <v>8190</v>
      </c>
      <c r="J83" s="219"/>
      <c r="K83" s="87" t="s">
        <v>29</v>
      </c>
      <c r="L83" s="88">
        <v>2953687.95</v>
      </c>
    </row>
    <row r="84" spans="1:12" ht="51" hidden="1" x14ac:dyDescent="0.3">
      <c r="A84" s="84" t="s">
        <v>604</v>
      </c>
      <c r="B84" s="85" t="s">
        <v>1436</v>
      </c>
      <c r="C84" s="85" t="s">
        <v>1437</v>
      </c>
      <c r="D84" s="85" t="s">
        <v>1438</v>
      </c>
      <c r="E84" s="86" t="s">
        <v>26</v>
      </c>
      <c r="F84" s="223">
        <v>18699.25</v>
      </c>
      <c r="G84" s="223"/>
      <c r="H84" s="86" t="s">
        <v>27</v>
      </c>
      <c r="I84" s="224" t="s">
        <v>28</v>
      </c>
      <c r="J84" s="224"/>
      <c r="K84" s="87" t="s">
        <v>29</v>
      </c>
      <c r="L84" s="88">
        <v>2972387.2</v>
      </c>
    </row>
    <row r="85" spans="1:12" ht="51" hidden="1" x14ac:dyDescent="0.3">
      <c r="A85" s="84" t="s">
        <v>604</v>
      </c>
      <c r="B85" s="85" t="s">
        <v>1436</v>
      </c>
      <c r="C85" s="85" t="s">
        <v>1439</v>
      </c>
      <c r="D85" s="85" t="s">
        <v>1438</v>
      </c>
      <c r="E85" s="86" t="s">
        <v>26</v>
      </c>
      <c r="F85" s="223">
        <v>4008.91</v>
      </c>
      <c r="G85" s="223"/>
      <c r="H85" s="86" t="s">
        <v>27</v>
      </c>
      <c r="I85" s="224" t="s">
        <v>28</v>
      </c>
      <c r="J85" s="224"/>
      <c r="K85" s="87" t="s">
        <v>29</v>
      </c>
      <c r="L85" s="88">
        <v>2976396.11</v>
      </c>
    </row>
    <row r="86" spans="1:12" ht="51" x14ac:dyDescent="0.3">
      <c r="A86" s="84" t="s">
        <v>1440</v>
      </c>
      <c r="B86" s="85" t="s">
        <v>1441</v>
      </c>
      <c r="C86" s="85" t="s">
        <v>1424</v>
      </c>
      <c r="D86" s="85" t="s">
        <v>1399</v>
      </c>
      <c r="E86" s="86" t="s">
        <v>523</v>
      </c>
      <c r="F86" s="218" t="s">
        <v>28</v>
      </c>
      <c r="G86" s="218"/>
      <c r="H86" s="86" t="s">
        <v>26</v>
      </c>
      <c r="I86" s="219">
        <v>29611.19</v>
      </c>
      <c r="J86" s="219"/>
      <c r="K86" s="87" t="s">
        <v>29</v>
      </c>
      <c r="L86" s="88">
        <v>2946784.92</v>
      </c>
    </row>
    <row r="87" spans="1:12" ht="61.2" x14ac:dyDescent="0.3">
      <c r="A87" s="84" t="s">
        <v>1440</v>
      </c>
      <c r="B87" s="85" t="s">
        <v>1441</v>
      </c>
      <c r="C87" s="85" t="s">
        <v>1424</v>
      </c>
      <c r="D87" s="85" t="s">
        <v>1407</v>
      </c>
      <c r="E87" s="86" t="s">
        <v>523</v>
      </c>
      <c r="F87" s="218" t="s">
        <v>28</v>
      </c>
      <c r="G87" s="218"/>
      <c r="H87" s="86" t="s">
        <v>26</v>
      </c>
      <c r="I87" s="219">
        <v>3886.77</v>
      </c>
      <c r="J87" s="219"/>
      <c r="K87" s="87" t="s">
        <v>29</v>
      </c>
      <c r="L87" s="88">
        <v>2942898.15</v>
      </c>
    </row>
    <row r="88" spans="1:12" ht="51" x14ac:dyDescent="0.3">
      <c r="A88" s="84" t="s">
        <v>1440</v>
      </c>
      <c r="B88" s="85" t="s">
        <v>1441</v>
      </c>
      <c r="C88" s="85" t="s">
        <v>1424</v>
      </c>
      <c r="D88" s="85" t="s">
        <v>1400</v>
      </c>
      <c r="E88" s="86" t="s">
        <v>523</v>
      </c>
      <c r="F88" s="218" t="s">
        <v>28</v>
      </c>
      <c r="G88" s="218"/>
      <c r="H88" s="86" t="s">
        <v>26</v>
      </c>
      <c r="I88" s="219">
        <v>39926.86</v>
      </c>
      <c r="J88" s="219"/>
      <c r="K88" s="87" t="s">
        <v>29</v>
      </c>
      <c r="L88" s="88">
        <v>2902971.29</v>
      </c>
    </row>
    <row r="89" spans="1:12" ht="51" x14ac:dyDescent="0.3">
      <c r="A89" s="84" t="s">
        <v>1440</v>
      </c>
      <c r="B89" s="85" t="s">
        <v>1441</v>
      </c>
      <c r="C89" s="85" t="s">
        <v>1424</v>
      </c>
      <c r="D89" s="85" t="s">
        <v>1385</v>
      </c>
      <c r="E89" s="86" t="s">
        <v>523</v>
      </c>
      <c r="F89" s="218" t="s">
        <v>28</v>
      </c>
      <c r="G89" s="218"/>
      <c r="H89" s="86" t="s">
        <v>26</v>
      </c>
      <c r="I89" s="219">
        <v>66191.58</v>
      </c>
      <c r="J89" s="219"/>
      <c r="K89" s="87" t="s">
        <v>29</v>
      </c>
      <c r="L89" s="88">
        <v>2836779.71</v>
      </c>
    </row>
    <row r="90" spans="1:12" ht="51" x14ac:dyDescent="0.3">
      <c r="A90" s="84" t="s">
        <v>1440</v>
      </c>
      <c r="B90" s="85" t="s">
        <v>1441</v>
      </c>
      <c r="C90" s="85" t="s">
        <v>1424</v>
      </c>
      <c r="D90" s="85" t="s">
        <v>1369</v>
      </c>
      <c r="E90" s="86" t="s">
        <v>523</v>
      </c>
      <c r="F90" s="218" t="s">
        <v>28</v>
      </c>
      <c r="G90" s="218"/>
      <c r="H90" s="86" t="s">
        <v>26</v>
      </c>
      <c r="I90" s="219">
        <v>10677.39</v>
      </c>
      <c r="J90" s="219"/>
      <c r="K90" s="87" t="s">
        <v>29</v>
      </c>
      <c r="L90" s="88">
        <v>2826102.32</v>
      </c>
    </row>
    <row r="91" spans="1:12" ht="51" x14ac:dyDescent="0.3">
      <c r="A91" s="84" t="s">
        <v>1440</v>
      </c>
      <c r="B91" s="85" t="s">
        <v>1441</v>
      </c>
      <c r="C91" s="85" t="s">
        <v>1424</v>
      </c>
      <c r="D91" s="85" t="s">
        <v>1366</v>
      </c>
      <c r="E91" s="86" t="s">
        <v>523</v>
      </c>
      <c r="F91" s="218" t="s">
        <v>28</v>
      </c>
      <c r="G91" s="218"/>
      <c r="H91" s="86" t="s">
        <v>26</v>
      </c>
      <c r="I91" s="219">
        <v>4951.5200000000004</v>
      </c>
      <c r="J91" s="219"/>
      <c r="K91" s="87" t="s">
        <v>29</v>
      </c>
      <c r="L91" s="88">
        <v>2821150.8</v>
      </c>
    </row>
    <row r="92" spans="1:12" ht="51" x14ac:dyDescent="0.3">
      <c r="A92" s="84" t="s">
        <v>1440</v>
      </c>
      <c r="B92" s="85" t="s">
        <v>1441</v>
      </c>
      <c r="C92" s="85" t="s">
        <v>1424</v>
      </c>
      <c r="D92" s="85" t="s">
        <v>1401</v>
      </c>
      <c r="E92" s="86" t="s">
        <v>523</v>
      </c>
      <c r="F92" s="218" t="s">
        <v>28</v>
      </c>
      <c r="G92" s="218"/>
      <c r="H92" s="86" t="s">
        <v>26</v>
      </c>
      <c r="I92" s="219">
        <v>5509.04</v>
      </c>
      <c r="J92" s="219"/>
      <c r="K92" s="87" t="s">
        <v>29</v>
      </c>
      <c r="L92" s="88">
        <v>2815641.76</v>
      </c>
    </row>
    <row r="93" spans="1:12" ht="61.2" x14ac:dyDescent="0.3">
      <c r="A93" s="84" t="s">
        <v>1440</v>
      </c>
      <c r="B93" s="85" t="s">
        <v>1441</v>
      </c>
      <c r="C93" s="85" t="s">
        <v>1424</v>
      </c>
      <c r="D93" s="85" t="s">
        <v>1376</v>
      </c>
      <c r="E93" s="86" t="s">
        <v>523</v>
      </c>
      <c r="F93" s="218" t="s">
        <v>28</v>
      </c>
      <c r="G93" s="218"/>
      <c r="H93" s="86" t="s">
        <v>26</v>
      </c>
      <c r="I93" s="219">
        <v>218340.31</v>
      </c>
      <c r="J93" s="219"/>
      <c r="K93" s="87" t="s">
        <v>29</v>
      </c>
      <c r="L93" s="88">
        <v>2597301.4500000002</v>
      </c>
    </row>
    <row r="94" spans="1:12" ht="61.2" x14ac:dyDescent="0.3">
      <c r="A94" s="84" t="s">
        <v>1440</v>
      </c>
      <c r="B94" s="85" t="s">
        <v>1441</v>
      </c>
      <c r="C94" s="85" t="s">
        <v>1424</v>
      </c>
      <c r="D94" s="85" t="s">
        <v>1390</v>
      </c>
      <c r="E94" s="86" t="s">
        <v>523</v>
      </c>
      <c r="F94" s="218" t="s">
        <v>28</v>
      </c>
      <c r="G94" s="218"/>
      <c r="H94" s="86" t="s">
        <v>26</v>
      </c>
      <c r="I94" s="219">
        <v>54547.88</v>
      </c>
      <c r="J94" s="219"/>
      <c r="K94" s="87" t="s">
        <v>29</v>
      </c>
      <c r="L94" s="88">
        <v>2542753.5699999998</v>
      </c>
    </row>
    <row r="95" spans="1:12" ht="51" x14ac:dyDescent="0.3">
      <c r="A95" s="84" t="s">
        <v>1440</v>
      </c>
      <c r="B95" s="85" t="s">
        <v>1441</v>
      </c>
      <c r="C95" s="85" t="s">
        <v>1424</v>
      </c>
      <c r="D95" s="85" t="s">
        <v>1371</v>
      </c>
      <c r="E95" s="86" t="s">
        <v>523</v>
      </c>
      <c r="F95" s="218" t="s">
        <v>28</v>
      </c>
      <c r="G95" s="218"/>
      <c r="H95" s="86" t="s">
        <v>26</v>
      </c>
      <c r="I95" s="219">
        <v>28069.21</v>
      </c>
      <c r="J95" s="219"/>
      <c r="K95" s="87" t="s">
        <v>29</v>
      </c>
      <c r="L95" s="88">
        <v>2514684.36</v>
      </c>
    </row>
    <row r="96" spans="1:12" ht="51" x14ac:dyDescent="0.3">
      <c r="A96" s="84" t="s">
        <v>1440</v>
      </c>
      <c r="B96" s="85" t="s">
        <v>1441</v>
      </c>
      <c r="C96" s="85" t="s">
        <v>1424</v>
      </c>
      <c r="D96" s="85" t="s">
        <v>1379</v>
      </c>
      <c r="E96" s="86" t="s">
        <v>523</v>
      </c>
      <c r="F96" s="218" t="s">
        <v>28</v>
      </c>
      <c r="G96" s="218"/>
      <c r="H96" s="86" t="s">
        <v>26</v>
      </c>
      <c r="I96" s="219">
        <v>120546.8</v>
      </c>
      <c r="J96" s="219"/>
      <c r="K96" s="87" t="s">
        <v>29</v>
      </c>
      <c r="L96" s="88">
        <v>2394137.56</v>
      </c>
    </row>
    <row r="97" spans="1:12" ht="51" x14ac:dyDescent="0.3">
      <c r="A97" s="84" t="s">
        <v>1440</v>
      </c>
      <c r="B97" s="85" t="s">
        <v>1441</v>
      </c>
      <c r="C97" s="85" t="s">
        <v>1424</v>
      </c>
      <c r="D97" s="85" t="s">
        <v>1367</v>
      </c>
      <c r="E97" s="86" t="s">
        <v>523</v>
      </c>
      <c r="F97" s="218" t="s">
        <v>28</v>
      </c>
      <c r="G97" s="218"/>
      <c r="H97" s="86" t="s">
        <v>26</v>
      </c>
      <c r="I97" s="219">
        <v>4265.28</v>
      </c>
      <c r="J97" s="219"/>
      <c r="K97" s="87" t="s">
        <v>29</v>
      </c>
      <c r="L97" s="88">
        <v>2389872.2799999998</v>
      </c>
    </row>
    <row r="98" spans="1:12" ht="51" x14ac:dyDescent="0.3">
      <c r="A98" s="84" t="s">
        <v>1440</v>
      </c>
      <c r="B98" s="85" t="s">
        <v>1441</v>
      </c>
      <c r="C98" s="85" t="s">
        <v>1424</v>
      </c>
      <c r="D98" s="85" t="s">
        <v>1370</v>
      </c>
      <c r="E98" s="86" t="s">
        <v>523</v>
      </c>
      <c r="F98" s="218" t="s">
        <v>28</v>
      </c>
      <c r="G98" s="218"/>
      <c r="H98" s="86" t="s">
        <v>26</v>
      </c>
      <c r="I98" s="219">
        <v>4294.8999999999996</v>
      </c>
      <c r="J98" s="219"/>
      <c r="K98" s="87" t="s">
        <v>29</v>
      </c>
      <c r="L98" s="88">
        <v>2385577.38</v>
      </c>
    </row>
    <row r="99" spans="1:12" ht="51" x14ac:dyDescent="0.3">
      <c r="A99" s="84" t="s">
        <v>1440</v>
      </c>
      <c r="B99" s="85" t="s">
        <v>1441</v>
      </c>
      <c r="C99" s="85" t="s">
        <v>1424</v>
      </c>
      <c r="D99" s="85" t="s">
        <v>1373</v>
      </c>
      <c r="E99" s="86" t="s">
        <v>523</v>
      </c>
      <c r="F99" s="218" t="s">
        <v>28</v>
      </c>
      <c r="G99" s="218"/>
      <c r="H99" s="86" t="s">
        <v>26</v>
      </c>
      <c r="I99" s="219">
        <v>52622.25</v>
      </c>
      <c r="J99" s="219"/>
      <c r="K99" s="87" t="s">
        <v>29</v>
      </c>
      <c r="L99" s="88">
        <v>2332955.13</v>
      </c>
    </row>
    <row r="100" spans="1:12" ht="51" x14ac:dyDescent="0.3">
      <c r="A100" s="84" t="s">
        <v>1440</v>
      </c>
      <c r="B100" s="85" t="s">
        <v>1442</v>
      </c>
      <c r="C100" s="85" t="s">
        <v>1424</v>
      </c>
      <c r="D100" s="85" t="s">
        <v>1399</v>
      </c>
      <c r="E100" s="86" t="s">
        <v>523</v>
      </c>
      <c r="F100" s="218" t="s">
        <v>28</v>
      </c>
      <c r="G100" s="218"/>
      <c r="H100" s="86" t="s">
        <v>26</v>
      </c>
      <c r="I100" s="219">
        <v>81846.66</v>
      </c>
      <c r="J100" s="219"/>
      <c r="K100" s="87" t="s">
        <v>29</v>
      </c>
      <c r="L100" s="88">
        <v>2251108.4700000002</v>
      </c>
    </row>
    <row r="101" spans="1:12" ht="51" x14ac:dyDescent="0.3">
      <c r="A101" s="84" t="s">
        <v>1440</v>
      </c>
      <c r="B101" s="85" t="s">
        <v>1442</v>
      </c>
      <c r="C101" s="85" t="s">
        <v>1424</v>
      </c>
      <c r="D101" s="85" t="s">
        <v>1400</v>
      </c>
      <c r="E101" s="86" t="s">
        <v>523</v>
      </c>
      <c r="F101" s="218" t="s">
        <v>28</v>
      </c>
      <c r="G101" s="218"/>
      <c r="H101" s="86" t="s">
        <v>26</v>
      </c>
      <c r="I101" s="219">
        <v>120175.91</v>
      </c>
      <c r="J101" s="219"/>
      <c r="K101" s="87" t="s">
        <v>29</v>
      </c>
      <c r="L101" s="88">
        <v>2130932.56</v>
      </c>
    </row>
    <row r="102" spans="1:12" ht="51" x14ac:dyDescent="0.3">
      <c r="A102" s="84" t="s">
        <v>1440</v>
      </c>
      <c r="B102" s="85" t="s">
        <v>1442</v>
      </c>
      <c r="C102" s="85" t="s">
        <v>1424</v>
      </c>
      <c r="D102" s="85" t="s">
        <v>1373</v>
      </c>
      <c r="E102" s="86" t="s">
        <v>523</v>
      </c>
      <c r="F102" s="218" t="s">
        <v>28</v>
      </c>
      <c r="G102" s="218"/>
      <c r="H102" s="86" t="s">
        <v>26</v>
      </c>
      <c r="I102" s="219">
        <v>124211.51</v>
      </c>
      <c r="J102" s="219"/>
      <c r="K102" s="87" t="s">
        <v>29</v>
      </c>
      <c r="L102" s="88">
        <v>2006721.05</v>
      </c>
    </row>
    <row r="103" spans="1:12" ht="61.2" x14ac:dyDescent="0.3">
      <c r="A103" s="84" t="s">
        <v>1440</v>
      </c>
      <c r="B103" s="85" t="s">
        <v>1442</v>
      </c>
      <c r="C103" s="85" t="s">
        <v>1424</v>
      </c>
      <c r="D103" s="85" t="s">
        <v>1407</v>
      </c>
      <c r="E103" s="86" t="s">
        <v>523</v>
      </c>
      <c r="F103" s="218" t="s">
        <v>28</v>
      </c>
      <c r="G103" s="218"/>
      <c r="H103" s="86" t="s">
        <v>26</v>
      </c>
      <c r="I103" s="219">
        <v>6380.77</v>
      </c>
      <c r="J103" s="219"/>
      <c r="K103" s="87" t="s">
        <v>29</v>
      </c>
      <c r="L103" s="88">
        <v>2000340.28</v>
      </c>
    </row>
    <row r="104" spans="1:12" ht="51" x14ac:dyDescent="0.3">
      <c r="A104" s="84" t="s">
        <v>1440</v>
      </c>
      <c r="B104" s="85" t="s">
        <v>1442</v>
      </c>
      <c r="C104" s="85" t="s">
        <v>1424</v>
      </c>
      <c r="D104" s="85" t="s">
        <v>1369</v>
      </c>
      <c r="E104" s="86" t="s">
        <v>523</v>
      </c>
      <c r="F104" s="218" t="s">
        <v>28</v>
      </c>
      <c r="G104" s="218"/>
      <c r="H104" s="86" t="s">
        <v>26</v>
      </c>
      <c r="I104" s="219">
        <v>27982.14</v>
      </c>
      <c r="J104" s="219"/>
      <c r="K104" s="87" t="s">
        <v>29</v>
      </c>
      <c r="L104" s="88">
        <v>1972358.14</v>
      </c>
    </row>
    <row r="105" spans="1:12" ht="51" x14ac:dyDescent="0.3">
      <c r="A105" s="84" t="s">
        <v>1440</v>
      </c>
      <c r="B105" s="85" t="s">
        <v>1442</v>
      </c>
      <c r="C105" s="85" t="s">
        <v>1424</v>
      </c>
      <c r="D105" s="85" t="s">
        <v>1394</v>
      </c>
      <c r="E105" s="86" t="s">
        <v>523</v>
      </c>
      <c r="F105" s="218" t="s">
        <v>28</v>
      </c>
      <c r="G105" s="218"/>
      <c r="H105" s="86" t="s">
        <v>26</v>
      </c>
      <c r="I105" s="219">
        <v>54790.21</v>
      </c>
      <c r="J105" s="219"/>
      <c r="K105" s="87" t="s">
        <v>29</v>
      </c>
      <c r="L105" s="88">
        <v>1917567.93</v>
      </c>
    </row>
    <row r="106" spans="1:12" ht="51" x14ac:dyDescent="0.3">
      <c r="A106" s="84" t="s">
        <v>1440</v>
      </c>
      <c r="B106" s="85" t="s">
        <v>1442</v>
      </c>
      <c r="C106" s="85" t="s">
        <v>1424</v>
      </c>
      <c r="D106" s="85" t="s">
        <v>1416</v>
      </c>
      <c r="E106" s="86" t="s">
        <v>523</v>
      </c>
      <c r="F106" s="218" t="s">
        <v>28</v>
      </c>
      <c r="G106" s="218"/>
      <c r="H106" s="86" t="s">
        <v>26</v>
      </c>
      <c r="I106" s="219">
        <v>6565.61</v>
      </c>
      <c r="J106" s="219"/>
      <c r="K106" s="87" t="s">
        <v>29</v>
      </c>
      <c r="L106" s="88">
        <v>1911002.32</v>
      </c>
    </row>
    <row r="107" spans="1:12" ht="51" x14ac:dyDescent="0.3">
      <c r="A107" s="84" t="s">
        <v>1440</v>
      </c>
      <c r="B107" s="85" t="s">
        <v>1442</v>
      </c>
      <c r="C107" s="85" t="s">
        <v>1424</v>
      </c>
      <c r="D107" s="85" t="s">
        <v>1366</v>
      </c>
      <c r="E107" s="86" t="s">
        <v>523</v>
      </c>
      <c r="F107" s="218" t="s">
        <v>28</v>
      </c>
      <c r="G107" s="218"/>
      <c r="H107" s="86" t="s">
        <v>26</v>
      </c>
      <c r="I107" s="219">
        <v>7427.28</v>
      </c>
      <c r="J107" s="219"/>
      <c r="K107" s="87" t="s">
        <v>29</v>
      </c>
      <c r="L107" s="88">
        <v>1903575.04</v>
      </c>
    </row>
    <row r="108" spans="1:12" ht="61.2" x14ac:dyDescent="0.3">
      <c r="A108" s="84" t="s">
        <v>1440</v>
      </c>
      <c r="B108" s="85" t="s">
        <v>1442</v>
      </c>
      <c r="C108" s="85" t="s">
        <v>1424</v>
      </c>
      <c r="D108" s="85" t="s">
        <v>1390</v>
      </c>
      <c r="E108" s="86" t="s">
        <v>523</v>
      </c>
      <c r="F108" s="218" t="s">
        <v>28</v>
      </c>
      <c r="G108" s="218"/>
      <c r="H108" s="86" t="s">
        <v>26</v>
      </c>
      <c r="I108" s="219">
        <v>115077.28</v>
      </c>
      <c r="J108" s="219"/>
      <c r="K108" s="87" t="s">
        <v>29</v>
      </c>
      <c r="L108" s="88">
        <v>1788497.76</v>
      </c>
    </row>
    <row r="109" spans="1:12" ht="61.2" x14ac:dyDescent="0.3">
      <c r="A109" s="84" t="s">
        <v>1440</v>
      </c>
      <c r="B109" s="85" t="s">
        <v>1442</v>
      </c>
      <c r="C109" s="85" t="s">
        <v>1424</v>
      </c>
      <c r="D109" s="85" t="s">
        <v>1402</v>
      </c>
      <c r="E109" s="86" t="s">
        <v>523</v>
      </c>
      <c r="F109" s="218" t="s">
        <v>28</v>
      </c>
      <c r="G109" s="218"/>
      <c r="H109" s="86" t="s">
        <v>26</v>
      </c>
      <c r="I109" s="219">
        <v>101775.1</v>
      </c>
      <c r="J109" s="219"/>
      <c r="K109" s="87" t="s">
        <v>29</v>
      </c>
      <c r="L109" s="88">
        <v>1686722.66</v>
      </c>
    </row>
    <row r="110" spans="1:12" ht="51" x14ac:dyDescent="0.3">
      <c r="A110" s="84" t="s">
        <v>1440</v>
      </c>
      <c r="B110" s="85" t="s">
        <v>1442</v>
      </c>
      <c r="C110" s="85" t="s">
        <v>1424</v>
      </c>
      <c r="D110" s="85" t="s">
        <v>1371</v>
      </c>
      <c r="E110" s="86" t="s">
        <v>523</v>
      </c>
      <c r="F110" s="218" t="s">
        <v>28</v>
      </c>
      <c r="G110" s="218"/>
      <c r="H110" s="86" t="s">
        <v>26</v>
      </c>
      <c r="I110" s="219">
        <v>22646.75</v>
      </c>
      <c r="J110" s="219"/>
      <c r="K110" s="87" t="s">
        <v>29</v>
      </c>
      <c r="L110" s="88">
        <v>1664075.91</v>
      </c>
    </row>
    <row r="111" spans="1:12" ht="51" x14ac:dyDescent="0.3">
      <c r="A111" s="84" t="s">
        <v>1440</v>
      </c>
      <c r="B111" s="85" t="s">
        <v>1442</v>
      </c>
      <c r="C111" s="85" t="s">
        <v>1424</v>
      </c>
      <c r="D111" s="85" t="s">
        <v>1432</v>
      </c>
      <c r="E111" s="86" t="s">
        <v>523</v>
      </c>
      <c r="F111" s="218" t="s">
        <v>28</v>
      </c>
      <c r="G111" s="218"/>
      <c r="H111" s="86" t="s">
        <v>26</v>
      </c>
      <c r="I111" s="219">
        <v>3457.04</v>
      </c>
      <c r="J111" s="219"/>
      <c r="K111" s="87" t="s">
        <v>29</v>
      </c>
      <c r="L111" s="88">
        <v>1660618.87</v>
      </c>
    </row>
    <row r="112" spans="1:12" ht="51" x14ac:dyDescent="0.3">
      <c r="A112" s="84" t="s">
        <v>1440</v>
      </c>
      <c r="B112" s="85" t="s">
        <v>1442</v>
      </c>
      <c r="C112" s="85" t="s">
        <v>1424</v>
      </c>
      <c r="D112" s="85" t="s">
        <v>1401</v>
      </c>
      <c r="E112" s="86" t="s">
        <v>523</v>
      </c>
      <c r="F112" s="218" t="s">
        <v>28</v>
      </c>
      <c r="G112" s="218"/>
      <c r="H112" s="86" t="s">
        <v>26</v>
      </c>
      <c r="I112" s="219">
        <v>4349.24</v>
      </c>
      <c r="J112" s="219"/>
      <c r="K112" s="87" t="s">
        <v>29</v>
      </c>
      <c r="L112" s="88">
        <v>1656269.63</v>
      </c>
    </row>
    <row r="113" spans="1:12" ht="51" x14ac:dyDescent="0.3">
      <c r="A113" s="84" t="s">
        <v>1440</v>
      </c>
      <c r="B113" s="85" t="s">
        <v>1442</v>
      </c>
      <c r="C113" s="85" t="s">
        <v>1424</v>
      </c>
      <c r="D113" s="85" t="s">
        <v>1379</v>
      </c>
      <c r="E113" s="86" t="s">
        <v>523</v>
      </c>
      <c r="F113" s="218" t="s">
        <v>28</v>
      </c>
      <c r="G113" s="218"/>
      <c r="H113" s="86" t="s">
        <v>26</v>
      </c>
      <c r="I113" s="219">
        <v>14263.17</v>
      </c>
      <c r="J113" s="219"/>
      <c r="K113" s="87" t="s">
        <v>29</v>
      </c>
      <c r="L113" s="88">
        <v>1642006.46</v>
      </c>
    </row>
    <row r="114" spans="1:12" ht="51" x14ac:dyDescent="0.3">
      <c r="A114" s="84" t="s">
        <v>843</v>
      </c>
      <c r="B114" s="85" t="s">
        <v>1443</v>
      </c>
      <c r="C114" s="85" t="s">
        <v>1424</v>
      </c>
      <c r="D114" s="85" t="s">
        <v>1399</v>
      </c>
      <c r="E114" s="86" t="s">
        <v>523</v>
      </c>
      <c r="F114" s="218" t="s">
        <v>28</v>
      </c>
      <c r="G114" s="218"/>
      <c r="H114" s="86" t="s">
        <v>26</v>
      </c>
      <c r="I114" s="219">
        <v>13973.82</v>
      </c>
      <c r="J114" s="219"/>
      <c r="K114" s="87" t="s">
        <v>29</v>
      </c>
      <c r="L114" s="88">
        <v>1628032.64</v>
      </c>
    </row>
    <row r="115" spans="1:12" ht="51" x14ac:dyDescent="0.3">
      <c r="A115" s="84" t="s">
        <v>843</v>
      </c>
      <c r="B115" s="85" t="s">
        <v>1443</v>
      </c>
      <c r="C115" s="85" t="s">
        <v>1424</v>
      </c>
      <c r="D115" s="85" t="s">
        <v>1373</v>
      </c>
      <c r="E115" s="86" t="s">
        <v>523</v>
      </c>
      <c r="F115" s="218" t="s">
        <v>28</v>
      </c>
      <c r="G115" s="218"/>
      <c r="H115" s="86" t="s">
        <v>26</v>
      </c>
      <c r="I115" s="219">
        <v>56230.46</v>
      </c>
      <c r="J115" s="219"/>
      <c r="K115" s="87" t="s">
        <v>29</v>
      </c>
      <c r="L115" s="88">
        <v>1571802.18</v>
      </c>
    </row>
    <row r="116" spans="1:12" ht="51" x14ac:dyDescent="0.3">
      <c r="A116" s="84" t="s">
        <v>843</v>
      </c>
      <c r="B116" s="85" t="s">
        <v>1443</v>
      </c>
      <c r="C116" s="85" t="s">
        <v>1424</v>
      </c>
      <c r="D116" s="85" t="s">
        <v>1434</v>
      </c>
      <c r="E116" s="86" t="s">
        <v>523</v>
      </c>
      <c r="F116" s="218" t="s">
        <v>28</v>
      </c>
      <c r="G116" s="218"/>
      <c r="H116" s="86" t="s">
        <v>26</v>
      </c>
      <c r="I116" s="219">
        <v>6945.21</v>
      </c>
      <c r="J116" s="219"/>
      <c r="K116" s="87" t="s">
        <v>29</v>
      </c>
      <c r="L116" s="88">
        <v>1564856.97</v>
      </c>
    </row>
    <row r="117" spans="1:12" ht="51" x14ac:dyDescent="0.3">
      <c r="A117" s="84" t="s">
        <v>843</v>
      </c>
      <c r="B117" s="85" t="s">
        <v>1443</v>
      </c>
      <c r="C117" s="85" t="s">
        <v>1424</v>
      </c>
      <c r="D117" s="85" t="s">
        <v>1400</v>
      </c>
      <c r="E117" s="86" t="s">
        <v>523</v>
      </c>
      <c r="F117" s="218" t="s">
        <v>28</v>
      </c>
      <c r="G117" s="218"/>
      <c r="H117" s="86" t="s">
        <v>26</v>
      </c>
      <c r="I117" s="219">
        <v>85388.15</v>
      </c>
      <c r="J117" s="219"/>
      <c r="K117" s="87" t="s">
        <v>29</v>
      </c>
      <c r="L117" s="88">
        <v>1479468.82</v>
      </c>
    </row>
    <row r="118" spans="1:12" ht="51" x14ac:dyDescent="0.3">
      <c r="A118" s="84" t="s">
        <v>843</v>
      </c>
      <c r="B118" s="85" t="s">
        <v>1443</v>
      </c>
      <c r="C118" s="85" t="s">
        <v>1424</v>
      </c>
      <c r="D118" s="85" t="s">
        <v>1369</v>
      </c>
      <c r="E118" s="86" t="s">
        <v>523</v>
      </c>
      <c r="F118" s="218" t="s">
        <v>28</v>
      </c>
      <c r="G118" s="218"/>
      <c r="H118" s="86" t="s">
        <v>26</v>
      </c>
      <c r="I118" s="219">
        <v>14101.52</v>
      </c>
      <c r="J118" s="219"/>
      <c r="K118" s="87" t="s">
        <v>29</v>
      </c>
      <c r="L118" s="88">
        <v>1465367.3</v>
      </c>
    </row>
    <row r="119" spans="1:12" ht="51" x14ac:dyDescent="0.3">
      <c r="A119" s="84" t="s">
        <v>843</v>
      </c>
      <c r="B119" s="85" t="s">
        <v>1443</v>
      </c>
      <c r="C119" s="85" t="s">
        <v>1424</v>
      </c>
      <c r="D119" s="85" t="s">
        <v>1433</v>
      </c>
      <c r="E119" s="86" t="s">
        <v>523</v>
      </c>
      <c r="F119" s="218" t="s">
        <v>28</v>
      </c>
      <c r="G119" s="218"/>
      <c r="H119" s="86" t="s">
        <v>26</v>
      </c>
      <c r="I119" s="219">
        <v>1950.19</v>
      </c>
      <c r="J119" s="219"/>
      <c r="K119" s="87" t="s">
        <v>29</v>
      </c>
      <c r="L119" s="88">
        <v>1463417.11</v>
      </c>
    </row>
    <row r="120" spans="1:12" ht="51" x14ac:dyDescent="0.3">
      <c r="A120" s="84" t="s">
        <v>843</v>
      </c>
      <c r="B120" s="85" t="s">
        <v>1443</v>
      </c>
      <c r="C120" s="85" t="s">
        <v>1424</v>
      </c>
      <c r="D120" s="85" t="s">
        <v>1394</v>
      </c>
      <c r="E120" s="86" t="s">
        <v>523</v>
      </c>
      <c r="F120" s="218" t="s">
        <v>28</v>
      </c>
      <c r="G120" s="218"/>
      <c r="H120" s="86" t="s">
        <v>26</v>
      </c>
      <c r="I120" s="219">
        <v>5858.07</v>
      </c>
      <c r="J120" s="219"/>
      <c r="K120" s="87" t="s">
        <v>29</v>
      </c>
      <c r="L120" s="88">
        <v>1457559.04</v>
      </c>
    </row>
    <row r="121" spans="1:12" ht="51" x14ac:dyDescent="0.3">
      <c r="A121" s="84" t="s">
        <v>843</v>
      </c>
      <c r="B121" s="85" t="s">
        <v>1443</v>
      </c>
      <c r="C121" s="85" t="s">
        <v>1424</v>
      </c>
      <c r="D121" s="85" t="s">
        <v>1414</v>
      </c>
      <c r="E121" s="86" t="s">
        <v>523</v>
      </c>
      <c r="F121" s="218" t="s">
        <v>28</v>
      </c>
      <c r="G121" s="218"/>
      <c r="H121" s="86" t="s">
        <v>26</v>
      </c>
      <c r="I121" s="219">
        <v>241559.34</v>
      </c>
      <c r="J121" s="219"/>
      <c r="K121" s="87" t="s">
        <v>29</v>
      </c>
      <c r="L121" s="88">
        <v>1215999.7</v>
      </c>
    </row>
    <row r="122" spans="1:12" ht="51" x14ac:dyDescent="0.3">
      <c r="A122" s="84" t="s">
        <v>843</v>
      </c>
      <c r="B122" s="85" t="s">
        <v>1443</v>
      </c>
      <c r="C122" s="85" t="s">
        <v>1424</v>
      </c>
      <c r="D122" s="85" t="s">
        <v>1437</v>
      </c>
      <c r="E122" s="86" t="s">
        <v>523</v>
      </c>
      <c r="F122" s="218" t="s">
        <v>28</v>
      </c>
      <c r="G122" s="218"/>
      <c r="H122" s="86" t="s">
        <v>26</v>
      </c>
      <c r="I122" s="219">
        <v>18699.25</v>
      </c>
      <c r="J122" s="219"/>
      <c r="K122" s="87" t="s">
        <v>29</v>
      </c>
      <c r="L122" s="88">
        <v>1197300.45</v>
      </c>
    </row>
    <row r="123" spans="1:12" ht="51" x14ac:dyDescent="0.3">
      <c r="A123" s="84" t="s">
        <v>843</v>
      </c>
      <c r="B123" s="85" t="s">
        <v>1443</v>
      </c>
      <c r="C123" s="85" t="s">
        <v>1424</v>
      </c>
      <c r="D123" s="85" t="s">
        <v>1416</v>
      </c>
      <c r="E123" s="86" t="s">
        <v>523</v>
      </c>
      <c r="F123" s="218" t="s">
        <v>28</v>
      </c>
      <c r="G123" s="218"/>
      <c r="H123" s="86" t="s">
        <v>26</v>
      </c>
      <c r="I123" s="219">
        <v>18055.419999999998</v>
      </c>
      <c r="J123" s="219"/>
      <c r="K123" s="87" t="s">
        <v>29</v>
      </c>
      <c r="L123" s="88">
        <v>1179245.03</v>
      </c>
    </row>
    <row r="124" spans="1:12" ht="51" x14ac:dyDescent="0.3">
      <c r="A124" s="84" t="s">
        <v>843</v>
      </c>
      <c r="B124" s="85" t="s">
        <v>1443</v>
      </c>
      <c r="C124" s="85" t="s">
        <v>1424</v>
      </c>
      <c r="D124" s="85" t="s">
        <v>1382</v>
      </c>
      <c r="E124" s="86" t="s">
        <v>523</v>
      </c>
      <c r="F124" s="218" t="s">
        <v>28</v>
      </c>
      <c r="G124" s="218"/>
      <c r="H124" s="86" t="s">
        <v>26</v>
      </c>
      <c r="I124" s="219">
        <v>3004.16</v>
      </c>
      <c r="J124" s="219"/>
      <c r="K124" s="87" t="s">
        <v>29</v>
      </c>
      <c r="L124" s="88">
        <v>1176240.8700000001</v>
      </c>
    </row>
    <row r="125" spans="1:12" ht="51" x14ac:dyDescent="0.3">
      <c r="A125" s="84" t="s">
        <v>843</v>
      </c>
      <c r="B125" s="85" t="s">
        <v>1443</v>
      </c>
      <c r="C125" s="85" t="s">
        <v>1424</v>
      </c>
      <c r="D125" s="85" t="s">
        <v>1397</v>
      </c>
      <c r="E125" s="86" t="s">
        <v>523</v>
      </c>
      <c r="F125" s="218" t="s">
        <v>28</v>
      </c>
      <c r="G125" s="218"/>
      <c r="H125" s="86" t="s">
        <v>26</v>
      </c>
      <c r="I125" s="219">
        <v>23514.880000000001</v>
      </c>
      <c r="J125" s="219"/>
      <c r="K125" s="87" t="s">
        <v>29</v>
      </c>
      <c r="L125" s="88">
        <v>1152725.99</v>
      </c>
    </row>
    <row r="126" spans="1:12" ht="51" x14ac:dyDescent="0.3">
      <c r="A126" s="84" t="s">
        <v>843</v>
      </c>
      <c r="B126" s="85" t="s">
        <v>1443</v>
      </c>
      <c r="C126" s="85" t="s">
        <v>1424</v>
      </c>
      <c r="D126" s="85" t="s">
        <v>1426</v>
      </c>
      <c r="E126" s="86" t="s">
        <v>523</v>
      </c>
      <c r="F126" s="218" t="s">
        <v>28</v>
      </c>
      <c r="G126" s="218"/>
      <c r="H126" s="86" t="s">
        <v>26</v>
      </c>
      <c r="I126" s="219">
        <v>9948.7000000000007</v>
      </c>
      <c r="J126" s="219"/>
      <c r="K126" s="87" t="s">
        <v>29</v>
      </c>
      <c r="L126" s="88">
        <v>1142777.29</v>
      </c>
    </row>
    <row r="127" spans="1:12" ht="51" x14ac:dyDescent="0.3">
      <c r="A127" s="84" t="s">
        <v>843</v>
      </c>
      <c r="B127" s="85" t="s">
        <v>1443</v>
      </c>
      <c r="C127" s="85" t="s">
        <v>1424</v>
      </c>
      <c r="D127" s="85" t="s">
        <v>1381</v>
      </c>
      <c r="E127" s="86" t="s">
        <v>523</v>
      </c>
      <c r="F127" s="218" t="s">
        <v>28</v>
      </c>
      <c r="G127" s="218"/>
      <c r="H127" s="86" t="s">
        <v>26</v>
      </c>
      <c r="I127" s="219">
        <v>48863.44</v>
      </c>
      <c r="J127" s="219"/>
      <c r="K127" s="87" t="s">
        <v>29</v>
      </c>
      <c r="L127" s="88">
        <v>1093913.8500000001</v>
      </c>
    </row>
    <row r="128" spans="1:12" ht="61.2" x14ac:dyDescent="0.3">
      <c r="A128" s="84" t="s">
        <v>843</v>
      </c>
      <c r="B128" s="85" t="s">
        <v>1443</v>
      </c>
      <c r="C128" s="85" t="s">
        <v>1424</v>
      </c>
      <c r="D128" s="85" t="s">
        <v>1361</v>
      </c>
      <c r="E128" s="86" t="s">
        <v>523</v>
      </c>
      <c r="F128" s="218" t="s">
        <v>28</v>
      </c>
      <c r="G128" s="218"/>
      <c r="H128" s="86" t="s">
        <v>26</v>
      </c>
      <c r="I128" s="219">
        <v>1153.4100000000001</v>
      </c>
      <c r="J128" s="219"/>
      <c r="K128" s="87" t="s">
        <v>29</v>
      </c>
      <c r="L128" s="88">
        <v>1092760.44</v>
      </c>
    </row>
    <row r="129" spans="1:12" ht="51" x14ac:dyDescent="0.3">
      <c r="A129" s="84" t="s">
        <v>843</v>
      </c>
      <c r="B129" s="85" t="s">
        <v>1443</v>
      </c>
      <c r="C129" s="85" t="s">
        <v>1424</v>
      </c>
      <c r="D129" s="85" t="s">
        <v>1404</v>
      </c>
      <c r="E129" s="86" t="s">
        <v>523</v>
      </c>
      <c r="F129" s="218" t="s">
        <v>28</v>
      </c>
      <c r="G129" s="218"/>
      <c r="H129" s="86" t="s">
        <v>26</v>
      </c>
      <c r="I129" s="219">
        <v>6930</v>
      </c>
      <c r="J129" s="219"/>
      <c r="K129" s="87" t="s">
        <v>29</v>
      </c>
      <c r="L129" s="88">
        <v>1085830.44</v>
      </c>
    </row>
    <row r="130" spans="1:12" ht="51" x14ac:dyDescent="0.3">
      <c r="A130" s="84" t="s">
        <v>843</v>
      </c>
      <c r="B130" s="85" t="s">
        <v>1443</v>
      </c>
      <c r="C130" s="85" t="s">
        <v>1424</v>
      </c>
      <c r="D130" s="85" t="s">
        <v>1403</v>
      </c>
      <c r="E130" s="86" t="s">
        <v>523</v>
      </c>
      <c r="F130" s="218" t="s">
        <v>28</v>
      </c>
      <c r="G130" s="218"/>
      <c r="H130" s="86" t="s">
        <v>26</v>
      </c>
      <c r="I130" s="219">
        <v>1320</v>
      </c>
      <c r="J130" s="219"/>
      <c r="K130" s="87" t="s">
        <v>29</v>
      </c>
      <c r="L130" s="88">
        <v>1084510.44</v>
      </c>
    </row>
    <row r="131" spans="1:12" ht="51" x14ac:dyDescent="0.3">
      <c r="A131" s="84" t="s">
        <v>843</v>
      </c>
      <c r="B131" s="85" t="s">
        <v>1443</v>
      </c>
      <c r="C131" s="85" t="s">
        <v>1424</v>
      </c>
      <c r="D131" s="85" t="s">
        <v>1379</v>
      </c>
      <c r="E131" s="86" t="s">
        <v>523</v>
      </c>
      <c r="F131" s="218" t="s">
        <v>28</v>
      </c>
      <c r="G131" s="218"/>
      <c r="H131" s="86" t="s">
        <v>26</v>
      </c>
      <c r="I131" s="219">
        <v>395227.89</v>
      </c>
      <c r="J131" s="219"/>
      <c r="K131" s="87" t="s">
        <v>29</v>
      </c>
      <c r="L131" s="88">
        <v>689282.55</v>
      </c>
    </row>
    <row r="132" spans="1:12" ht="51" x14ac:dyDescent="0.3">
      <c r="A132" s="84" t="s">
        <v>843</v>
      </c>
      <c r="B132" s="85" t="s">
        <v>1443</v>
      </c>
      <c r="C132" s="85" t="s">
        <v>1424</v>
      </c>
      <c r="D132" s="85" t="s">
        <v>1418</v>
      </c>
      <c r="E132" s="86" t="s">
        <v>523</v>
      </c>
      <c r="F132" s="218" t="s">
        <v>28</v>
      </c>
      <c r="G132" s="218"/>
      <c r="H132" s="86" t="s">
        <v>26</v>
      </c>
      <c r="I132" s="219">
        <v>8971.23</v>
      </c>
      <c r="J132" s="219"/>
      <c r="K132" s="87" t="s">
        <v>29</v>
      </c>
      <c r="L132" s="88">
        <v>680311.32</v>
      </c>
    </row>
    <row r="133" spans="1:12" ht="51" x14ac:dyDescent="0.3">
      <c r="A133" s="84" t="s">
        <v>843</v>
      </c>
      <c r="B133" s="85" t="s">
        <v>1443</v>
      </c>
      <c r="C133" s="85" t="s">
        <v>1424</v>
      </c>
      <c r="D133" s="85" t="s">
        <v>1428</v>
      </c>
      <c r="E133" s="86" t="s">
        <v>523</v>
      </c>
      <c r="F133" s="218" t="s">
        <v>28</v>
      </c>
      <c r="G133" s="218"/>
      <c r="H133" s="86" t="s">
        <v>26</v>
      </c>
      <c r="I133" s="219">
        <v>9545.5300000000007</v>
      </c>
      <c r="J133" s="219"/>
      <c r="K133" s="87" t="s">
        <v>29</v>
      </c>
      <c r="L133" s="88">
        <v>670765.79</v>
      </c>
    </row>
    <row r="134" spans="1:12" ht="51" x14ac:dyDescent="0.3">
      <c r="A134" s="84" t="s">
        <v>843</v>
      </c>
      <c r="B134" s="85" t="s">
        <v>1443</v>
      </c>
      <c r="C134" s="85" t="s">
        <v>1424</v>
      </c>
      <c r="D134" s="85" t="s">
        <v>1389</v>
      </c>
      <c r="E134" s="86" t="s">
        <v>523</v>
      </c>
      <c r="F134" s="218" t="s">
        <v>28</v>
      </c>
      <c r="G134" s="218"/>
      <c r="H134" s="86" t="s">
        <v>26</v>
      </c>
      <c r="I134" s="219">
        <v>213885.25</v>
      </c>
      <c r="J134" s="219"/>
      <c r="K134" s="87" t="s">
        <v>29</v>
      </c>
      <c r="L134" s="88">
        <v>456880.54</v>
      </c>
    </row>
    <row r="135" spans="1:12" ht="61.2" x14ac:dyDescent="0.3">
      <c r="A135" s="84" t="s">
        <v>843</v>
      </c>
      <c r="B135" s="85" t="s">
        <v>1443</v>
      </c>
      <c r="C135" s="85" t="s">
        <v>1424</v>
      </c>
      <c r="D135" s="85" t="s">
        <v>1387</v>
      </c>
      <c r="E135" s="86" t="s">
        <v>523</v>
      </c>
      <c r="F135" s="218" t="s">
        <v>28</v>
      </c>
      <c r="G135" s="218"/>
      <c r="H135" s="86" t="s">
        <v>26</v>
      </c>
      <c r="I135" s="219">
        <v>254764.65</v>
      </c>
      <c r="J135" s="219"/>
      <c r="K135" s="87" t="s">
        <v>29</v>
      </c>
      <c r="L135" s="88">
        <v>202115.89</v>
      </c>
    </row>
    <row r="136" spans="1:12" ht="61.2" x14ac:dyDescent="0.3">
      <c r="A136" s="84" t="s">
        <v>843</v>
      </c>
      <c r="B136" s="85" t="s">
        <v>1443</v>
      </c>
      <c r="C136" s="85" t="s">
        <v>1424</v>
      </c>
      <c r="D136" s="85" t="s">
        <v>1430</v>
      </c>
      <c r="E136" s="86" t="s">
        <v>523</v>
      </c>
      <c r="F136" s="218" t="s">
        <v>28</v>
      </c>
      <c r="G136" s="218"/>
      <c r="H136" s="86" t="s">
        <v>26</v>
      </c>
      <c r="I136" s="219">
        <v>10937.47</v>
      </c>
      <c r="J136" s="219"/>
      <c r="K136" s="87" t="s">
        <v>29</v>
      </c>
      <c r="L136" s="88">
        <v>191178.42</v>
      </c>
    </row>
    <row r="137" spans="1:12" ht="51" x14ac:dyDescent="0.3">
      <c r="A137" s="84" t="s">
        <v>843</v>
      </c>
      <c r="B137" s="85" t="s">
        <v>1443</v>
      </c>
      <c r="C137" s="85" t="s">
        <v>1424</v>
      </c>
      <c r="D137" s="85" t="s">
        <v>1432</v>
      </c>
      <c r="E137" s="86" t="s">
        <v>523</v>
      </c>
      <c r="F137" s="218" t="s">
        <v>28</v>
      </c>
      <c r="G137" s="218"/>
      <c r="H137" s="86" t="s">
        <v>26</v>
      </c>
      <c r="I137" s="219">
        <v>8988.2999999999993</v>
      </c>
      <c r="J137" s="219"/>
      <c r="K137" s="87" t="s">
        <v>29</v>
      </c>
      <c r="L137" s="88">
        <v>182190.12</v>
      </c>
    </row>
    <row r="138" spans="1:12" ht="61.2" x14ac:dyDescent="0.3">
      <c r="A138" s="84" t="s">
        <v>843</v>
      </c>
      <c r="B138" s="85" t="s">
        <v>1443</v>
      </c>
      <c r="C138" s="85" t="s">
        <v>1424</v>
      </c>
      <c r="D138" s="85" t="s">
        <v>1363</v>
      </c>
      <c r="E138" s="86" t="s">
        <v>523</v>
      </c>
      <c r="F138" s="218" t="s">
        <v>28</v>
      </c>
      <c r="G138" s="218"/>
      <c r="H138" s="86" t="s">
        <v>26</v>
      </c>
      <c r="I138" s="219">
        <v>1119.33</v>
      </c>
      <c r="J138" s="219"/>
      <c r="K138" s="87" t="s">
        <v>29</v>
      </c>
      <c r="L138" s="88">
        <v>181070.79</v>
      </c>
    </row>
    <row r="139" spans="1:12" ht="51" x14ac:dyDescent="0.3">
      <c r="A139" s="84" t="s">
        <v>843</v>
      </c>
      <c r="B139" s="85" t="s">
        <v>1443</v>
      </c>
      <c r="C139" s="85" t="s">
        <v>1424</v>
      </c>
      <c r="D139" s="85" t="s">
        <v>1405</v>
      </c>
      <c r="E139" s="86" t="s">
        <v>523</v>
      </c>
      <c r="F139" s="218" t="s">
        <v>28</v>
      </c>
      <c r="G139" s="218"/>
      <c r="H139" s="86" t="s">
        <v>26</v>
      </c>
      <c r="I139" s="222">
        <v>518.01</v>
      </c>
      <c r="J139" s="222"/>
      <c r="K139" s="87" t="s">
        <v>29</v>
      </c>
      <c r="L139" s="88">
        <v>180552.78</v>
      </c>
    </row>
    <row r="140" spans="1:12" ht="51" x14ac:dyDescent="0.3">
      <c r="A140" s="84" t="s">
        <v>843</v>
      </c>
      <c r="B140" s="85" t="s">
        <v>1443</v>
      </c>
      <c r="C140" s="85" t="s">
        <v>1424</v>
      </c>
      <c r="D140" s="85" t="s">
        <v>1401</v>
      </c>
      <c r="E140" s="86" t="s">
        <v>523</v>
      </c>
      <c r="F140" s="218" t="s">
        <v>28</v>
      </c>
      <c r="G140" s="218"/>
      <c r="H140" s="86" t="s">
        <v>26</v>
      </c>
      <c r="I140" s="219">
        <v>14207.51</v>
      </c>
      <c r="J140" s="219"/>
      <c r="K140" s="87" t="s">
        <v>29</v>
      </c>
      <c r="L140" s="88">
        <v>166345.26999999999</v>
      </c>
    </row>
    <row r="141" spans="1:12" ht="51" x14ac:dyDescent="0.3">
      <c r="A141" s="84" t="s">
        <v>843</v>
      </c>
      <c r="B141" s="85" t="s">
        <v>1443</v>
      </c>
      <c r="C141" s="85" t="s">
        <v>1424</v>
      </c>
      <c r="D141" s="85" t="s">
        <v>1412</v>
      </c>
      <c r="E141" s="86" t="s">
        <v>523</v>
      </c>
      <c r="F141" s="218" t="s">
        <v>28</v>
      </c>
      <c r="G141" s="218"/>
      <c r="H141" s="86" t="s">
        <v>26</v>
      </c>
      <c r="I141" s="219">
        <v>3073.39</v>
      </c>
      <c r="J141" s="219"/>
      <c r="K141" s="87" t="s">
        <v>29</v>
      </c>
      <c r="L141" s="88">
        <v>163271.88</v>
      </c>
    </row>
    <row r="142" spans="1:12" ht="51" x14ac:dyDescent="0.3">
      <c r="A142" s="84" t="s">
        <v>843</v>
      </c>
      <c r="B142" s="85" t="s">
        <v>1443</v>
      </c>
      <c r="C142" s="85" t="s">
        <v>1424</v>
      </c>
      <c r="D142" s="85" t="s">
        <v>1431</v>
      </c>
      <c r="E142" s="86" t="s">
        <v>523</v>
      </c>
      <c r="F142" s="218" t="s">
        <v>28</v>
      </c>
      <c r="G142" s="218"/>
      <c r="H142" s="86" t="s">
        <v>26</v>
      </c>
      <c r="I142" s="219">
        <v>3828.54</v>
      </c>
      <c r="J142" s="219"/>
      <c r="K142" s="87" t="s">
        <v>29</v>
      </c>
      <c r="L142" s="88">
        <v>159443.34</v>
      </c>
    </row>
    <row r="143" spans="1:12" ht="51" x14ac:dyDescent="0.3">
      <c r="A143" s="84" t="s">
        <v>843</v>
      </c>
      <c r="B143" s="85" t="s">
        <v>1443</v>
      </c>
      <c r="C143" s="85" t="s">
        <v>1424</v>
      </c>
      <c r="D143" s="85" t="s">
        <v>1417</v>
      </c>
      <c r="E143" s="86" t="s">
        <v>523</v>
      </c>
      <c r="F143" s="218" t="s">
        <v>28</v>
      </c>
      <c r="G143" s="218"/>
      <c r="H143" s="86" t="s">
        <v>26</v>
      </c>
      <c r="I143" s="219">
        <v>5383.5</v>
      </c>
      <c r="J143" s="219"/>
      <c r="K143" s="87" t="s">
        <v>29</v>
      </c>
      <c r="L143" s="88">
        <v>154059.84</v>
      </c>
    </row>
    <row r="144" spans="1:12" ht="51" x14ac:dyDescent="0.3">
      <c r="A144" s="84" t="s">
        <v>843</v>
      </c>
      <c r="B144" s="85" t="s">
        <v>1443</v>
      </c>
      <c r="C144" s="85" t="s">
        <v>1424</v>
      </c>
      <c r="D144" s="85" t="s">
        <v>1429</v>
      </c>
      <c r="E144" s="86" t="s">
        <v>523</v>
      </c>
      <c r="F144" s="218" t="s">
        <v>28</v>
      </c>
      <c r="G144" s="218"/>
      <c r="H144" s="86" t="s">
        <v>26</v>
      </c>
      <c r="I144" s="219">
        <v>2266.79</v>
      </c>
      <c r="J144" s="219"/>
      <c r="K144" s="87" t="s">
        <v>29</v>
      </c>
      <c r="L144" s="88">
        <v>151793.04999999999</v>
      </c>
    </row>
    <row r="145" spans="1:12" ht="51" hidden="1" x14ac:dyDescent="0.3">
      <c r="A145" s="84" t="s">
        <v>666</v>
      </c>
      <c r="B145" s="85" t="s">
        <v>1444</v>
      </c>
      <c r="C145" s="85" t="s">
        <v>1445</v>
      </c>
      <c r="D145" s="85" t="s">
        <v>1446</v>
      </c>
      <c r="E145" s="86" t="s">
        <v>26</v>
      </c>
      <c r="F145" s="223">
        <v>4987.93</v>
      </c>
      <c r="G145" s="223"/>
      <c r="H145" s="86" t="s">
        <v>27</v>
      </c>
      <c r="I145" s="224" t="s">
        <v>28</v>
      </c>
      <c r="J145" s="224"/>
      <c r="K145" s="87" t="s">
        <v>29</v>
      </c>
      <c r="L145" s="88">
        <v>156780.98000000001</v>
      </c>
    </row>
    <row r="146" spans="1:12" ht="51" hidden="1" x14ac:dyDescent="0.3">
      <c r="A146" s="84" t="s">
        <v>666</v>
      </c>
      <c r="B146" s="85" t="s">
        <v>1447</v>
      </c>
      <c r="C146" s="85" t="s">
        <v>1445</v>
      </c>
      <c r="D146" s="85" t="s">
        <v>1448</v>
      </c>
      <c r="E146" s="86" t="s">
        <v>26</v>
      </c>
      <c r="F146" s="225">
        <v>0.01</v>
      </c>
      <c r="G146" s="225"/>
      <c r="H146" s="86" t="s">
        <v>27</v>
      </c>
      <c r="I146" s="224" t="s">
        <v>28</v>
      </c>
      <c r="J146" s="224"/>
      <c r="K146" s="87" t="s">
        <v>29</v>
      </c>
      <c r="L146" s="88">
        <v>156780.99</v>
      </c>
    </row>
    <row r="147" spans="1:12" ht="51" hidden="1" x14ac:dyDescent="0.3">
      <c r="A147" s="84" t="s">
        <v>666</v>
      </c>
      <c r="B147" s="85" t="s">
        <v>1444</v>
      </c>
      <c r="C147" s="85" t="s">
        <v>1449</v>
      </c>
      <c r="D147" s="85" t="s">
        <v>1446</v>
      </c>
      <c r="E147" s="86" t="s">
        <v>26</v>
      </c>
      <c r="F147" s="223">
        <v>29314.75</v>
      </c>
      <c r="G147" s="223"/>
      <c r="H147" s="86" t="s">
        <v>27</v>
      </c>
      <c r="I147" s="224" t="s">
        <v>28</v>
      </c>
      <c r="J147" s="224"/>
      <c r="K147" s="87" t="s">
        <v>29</v>
      </c>
      <c r="L147" s="88">
        <v>186095.74</v>
      </c>
    </row>
    <row r="148" spans="1:12" ht="51" hidden="1" x14ac:dyDescent="0.3">
      <c r="A148" s="84" t="s">
        <v>666</v>
      </c>
      <c r="B148" s="85" t="s">
        <v>1444</v>
      </c>
      <c r="C148" s="85" t="s">
        <v>1450</v>
      </c>
      <c r="D148" s="85" t="s">
        <v>1446</v>
      </c>
      <c r="E148" s="86" t="s">
        <v>26</v>
      </c>
      <c r="F148" s="223">
        <v>93760.31</v>
      </c>
      <c r="G148" s="223"/>
      <c r="H148" s="86" t="s">
        <v>27</v>
      </c>
      <c r="I148" s="224" t="s">
        <v>28</v>
      </c>
      <c r="J148" s="224"/>
      <c r="K148" s="87" t="s">
        <v>29</v>
      </c>
      <c r="L148" s="88">
        <v>279856.05</v>
      </c>
    </row>
    <row r="149" spans="1:12" ht="51" hidden="1" x14ac:dyDescent="0.3">
      <c r="A149" s="84" t="s">
        <v>666</v>
      </c>
      <c r="B149" s="85" t="s">
        <v>1444</v>
      </c>
      <c r="C149" s="85" t="s">
        <v>1451</v>
      </c>
      <c r="D149" s="85" t="s">
        <v>1446</v>
      </c>
      <c r="E149" s="86" t="s">
        <v>26</v>
      </c>
      <c r="F149" s="223">
        <v>17231.28</v>
      </c>
      <c r="G149" s="223"/>
      <c r="H149" s="86" t="s">
        <v>27</v>
      </c>
      <c r="I149" s="224" t="s">
        <v>28</v>
      </c>
      <c r="J149" s="224"/>
      <c r="K149" s="87" t="s">
        <v>29</v>
      </c>
      <c r="L149" s="88">
        <v>297087.33</v>
      </c>
    </row>
    <row r="150" spans="1:12" ht="51" hidden="1" x14ac:dyDescent="0.3">
      <c r="A150" s="84" t="s">
        <v>666</v>
      </c>
      <c r="B150" s="85" t="s">
        <v>1444</v>
      </c>
      <c r="C150" s="85" t="s">
        <v>1452</v>
      </c>
      <c r="D150" s="85" t="s">
        <v>1446</v>
      </c>
      <c r="E150" s="86" t="s">
        <v>26</v>
      </c>
      <c r="F150" s="223">
        <v>29160.29</v>
      </c>
      <c r="G150" s="223"/>
      <c r="H150" s="86" t="s">
        <v>27</v>
      </c>
      <c r="I150" s="224" t="s">
        <v>28</v>
      </c>
      <c r="J150" s="224"/>
      <c r="K150" s="87" t="s">
        <v>29</v>
      </c>
      <c r="L150" s="88">
        <v>326247.62</v>
      </c>
    </row>
    <row r="151" spans="1:12" ht="61.2" hidden="1" x14ac:dyDescent="0.3">
      <c r="A151" s="84" t="s">
        <v>666</v>
      </c>
      <c r="B151" s="85" t="s">
        <v>1444</v>
      </c>
      <c r="C151" s="85" t="s">
        <v>1453</v>
      </c>
      <c r="D151" s="85" t="s">
        <v>1446</v>
      </c>
      <c r="E151" s="86" t="s">
        <v>26</v>
      </c>
      <c r="F151" s="223">
        <v>1674.66</v>
      </c>
      <c r="G151" s="223"/>
      <c r="H151" s="86" t="s">
        <v>27</v>
      </c>
      <c r="I151" s="224" t="s">
        <v>28</v>
      </c>
      <c r="J151" s="224"/>
      <c r="K151" s="87" t="s">
        <v>29</v>
      </c>
      <c r="L151" s="88">
        <v>327922.28000000003</v>
      </c>
    </row>
    <row r="152" spans="1:12" ht="51" hidden="1" x14ac:dyDescent="0.3">
      <c r="A152" s="84" t="s">
        <v>666</v>
      </c>
      <c r="B152" s="85" t="s">
        <v>1444</v>
      </c>
      <c r="C152" s="85" t="s">
        <v>1454</v>
      </c>
      <c r="D152" s="85" t="s">
        <v>1446</v>
      </c>
      <c r="E152" s="86" t="s">
        <v>26</v>
      </c>
      <c r="F152" s="223">
        <v>31418.62</v>
      </c>
      <c r="G152" s="223"/>
      <c r="H152" s="86" t="s">
        <v>27</v>
      </c>
      <c r="I152" s="224" t="s">
        <v>28</v>
      </c>
      <c r="J152" s="224"/>
      <c r="K152" s="87" t="s">
        <v>29</v>
      </c>
      <c r="L152" s="88">
        <v>359340.9</v>
      </c>
    </row>
    <row r="153" spans="1:12" ht="51" hidden="1" x14ac:dyDescent="0.3">
      <c r="A153" s="84" t="s">
        <v>666</v>
      </c>
      <c r="B153" s="85" t="s">
        <v>1444</v>
      </c>
      <c r="C153" s="85" t="s">
        <v>1455</v>
      </c>
      <c r="D153" s="85" t="s">
        <v>1446</v>
      </c>
      <c r="E153" s="86" t="s">
        <v>26</v>
      </c>
      <c r="F153" s="223">
        <v>45242.83</v>
      </c>
      <c r="G153" s="223"/>
      <c r="H153" s="86" t="s">
        <v>27</v>
      </c>
      <c r="I153" s="224" t="s">
        <v>28</v>
      </c>
      <c r="J153" s="224"/>
      <c r="K153" s="87" t="s">
        <v>29</v>
      </c>
      <c r="L153" s="88">
        <v>404583.73</v>
      </c>
    </row>
    <row r="154" spans="1:12" ht="51" hidden="1" x14ac:dyDescent="0.3">
      <c r="A154" s="84" t="s">
        <v>666</v>
      </c>
      <c r="B154" s="85" t="s">
        <v>1444</v>
      </c>
      <c r="C154" s="85" t="s">
        <v>1456</v>
      </c>
      <c r="D154" s="85" t="s">
        <v>1446</v>
      </c>
      <c r="E154" s="86" t="s">
        <v>26</v>
      </c>
      <c r="F154" s="223">
        <v>2419.27</v>
      </c>
      <c r="G154" s="223"/>
      <c r="H154" s="86" t="s">
        <v>27</v>
      </c>
      <c r="I154" s="224" t="s">
        <v>28</v>
      </c>
      <c r="J154" s="224"/>
      <c r="K154" s="87" t="s">
        <v>29</v>
      </c>
      <c r="L154" s="88">
        <v>407003</v>
      </c>
    </row>
    <row r="155" spans="1:12" ht="51" hidden="1" x14ac:dyDescent="0.3">
      <c r="A155" s="84" t="s">
        <v>666</v>
      </c>
      <c r="B155" s="85" t="s">
        <v>1444</v>
      </c>
      <c r="C155" s="85" t="s">
        <v>1457</v>
      </c>
      <c r="D155" s="85" t="s">
        <v>1446</v>
      </c>
      <c r="E155" s="86" t="s">
        <v>26</v>
      </c>
      <c r="F155" s="223">
        <v>13769.46</v>
      </c>
      <c r="G155" s="223"/>
      <c r="H155" s="86" t="s">
        <v>27</v>
      </c>
      <c r="I155" s="224" t="s">
        <v>28</v>
      </c>
      <c r="J155" s="224"/>
      <c r="K155" s="87" t="s">
        <v>29</v>
      </c>
      <c r="L155" s="88">
        <v>420772.46</v>
      </c>
    </row>
    <row r="156" spans="1:12" ht="51" hidden="1" x14ac:dyDescent="0.3">
      <c r="A156" s="84" t="s">
        <v>666</v>
      </c>
      <c r="B156" s="85" t="s">
        <v>1444</v>
      </c>
      <c r="C156" s="85" t="s">
        <v>1458</v>
      </c>
      <c r="D156" s="85" t="s">
        <v>1446</v>
      </c>
      <c r="E156" s="86" t="s">
        <v>26</v>
      </c>
      <c r="F156" s="223">
        <v>21708.61</v>
      </c>
      <c r="G156" s="223"/>
      <c r="H156" s="86" t="s">
        <v>27</v>
      </c>
      <c r="I156" s="224" t="s">
        <v>28</v>
      </c>
      <c r="J156" s="224"/>
      <c r="K156" s="87" t="s">
        <v>29</v>
      </c>
      <c r="L156" s="88">
        <v>442481.07</v>
      </c>
    </row>
    <row r="157" spans="1:12" ht="51" hidden="1" x14ac:dyDescent="0.3">
      <c r="A157" s="84" t="s">
        <v>666</v>
      </c>
      <c r="B157" s="85" t="s">
        <v>1444</v>
      </c>
      <c r="C157" s="85" t="s">
        <v>1459</v>
      </c>
      <c r="D157" s="85" t="s">
        <v>1446</v>
      </c>
      <c r="E157" s="86" t="s">
        <v>26</v>
      </c>
      <c r="F157" s="223">
        <v>1478.96</v>
      </c>
      <c r="G157" s="223"/>
      <c r="H157" s="86" t="s">
        <v>27</v>
      </c>
      <c r="I157" s="224" t="s">
        <v>28</v>
      </c>
      <c r="J157" s="224"/>
      <c r="K157" s="87" t="s">
        <v>29</v>
      </c>
      <c r="L157" s="88">
        <v>443960.03</v>
      </c>
    </row>
    <row r="158" spans="1:12" ht="61.2" hidden="1" x14ac:dyDescent="0.3">
      <c r="A158" s="84" t="s">
        <v>666</v>
      </c>
      <c r="B158" s="85" t="s">
        <v>1444</v>
      </c>
      <c r="C158" s="85" t="s">
        <v>1460</v>
      </c>
      <c r="D158" s="85" t="s">
        <v>1446</v>
      </c>
      <c r="E158" s="86" t="s">
        <v>26</v>
      </c>
      <c r="F158" s="223">
        <v>3551.56</v>
      </c>
      <c r="G158" s="223"/>
      <c r="H158" s="86" t="s">
        <v>27</v>
      </c>
      <c r="I158" s="224" t="s">
        <v>28</v>
      </c>
      <c r="J158" s="224"/>
      <c r="K158" s="87" t="s">
        <v>29</v>
      </c>
      <c r="L158" s="88">
        <v>447511.59</v>
      </c>
    </row>
    <row r="159" spans="1:12" ht="61.2" hidden="1" x14ac:dyDescent="0.3">
      <c r="A159" s="84" t="s">
        <v>666</v>
      </c>
      <c r="B159" s="85" t="s">
        <v>1444</v>
      </c>
      <c r="C159" s="85" t="s">
        <v>1461</v>
      </c>
      <c r="D159" s="85" t="s">
        <v>1446</v>
      </c>
      <c r="E159" s="86" t="s">
        <v>26</v>
      </c>
      <c r="F159" s="223">
        <v>4202.68</v>
      </c>
      <c r="G159" s="223"/>
      <c r="H159" s="86" t="s">
        <v>27</v>
      </c>
      <c r="I159" s="224" t="s">
        <v>28</v>
      </c>
      <c r="J159" s="224"/>
      <c r="K159" s="87" t="s">
        <v>29</v>
      </c>
      <c r="L159" s="88">
        <v>451714.27</v>
      </c>
    </row>
    <row r="160" spans="1:12" ht="51" hidden="1" x14ac:dyDescent="0.3">
      <c r="A160" s="84" t="s">
        <v>666</v>
      </c>
      <c r="B160" s="85" t="s">
        <v>1444</v>
      </c>
      <c r="C160" s="85" t="s">
        <v>1462</v>
      </c>
      <c r="D160" s="85" t="s">
        <v>1446</v>
      </c>
      <c r="E160" s="86" t="s">
        <v>26</v>
      </c>
      <c r="F160" s="223">
        <v>10186.09</v>
      </c>
      <c r="G160" s="223"/>
      <c r="H160" s="86" t="s">
        <v>27</v>
      </c>
      <c r="I160" s="224" t="s">
        <v>28</v>
      </c>
      <c r="J160" s="224"/>
      <c r="K160" s="87" t="s">
        <v>29</v>
      </c>
      <c r="L160" s="88">
        <v>461900.36</v>
      </c>
    </row>
    <row r="161" spans="1:14" ht="51" hidden="1" x14ac:dyDescent="0.3">
      <c r="A161" s="84" t="s">
        <v>666</v>
      </c>
      <c r="B161" s="85" t="s">
        <v>1444</v>
      </c>
      <c r="C161" s="85" t="s">
        <v>1463</v>
      </c>
      <c r="D161" s="85" t="s">
        <v>1446</v>
      </c>
      <c r="E161" s="86" t="s">
        <v>26</v>
      </c>
      <c r="F161" s="223">
        <v>7762.1</v>
      </c>
      <c r="G161" s="223"/>
      <c r="H161" s="86" t="s">
        <v>27</v>
      </c>
      <c r="I161" s="224" t="s">
        <v>28</v>
      </c>
      <c r="J161" s="224"/>
      <c r="K161" s="87" t="s">
        <v>29</v>
      </c>
      <c r="L161" s="88">
        <v>469662.46</v>
      </c>
    </row>
    <row r="162" spans="1:14" ht="61.2" hidden="1" x14ac:dyDescent="0.3">
      <c r="A162" s="84" t="s">
        <v>666</v>
      </c>
      <c r="B162" s="85" t="s">
        <v>1464</v>
      </c>
      <c r="C162" s="85" t="s">
        <v>1460</v>
      </c>
      <c r="D162" s="85" t="s">
        <v>1465</v>
      </c>
      <c r="E162" s="86" t="s">
        <v>26</v>
      </c>
      <c r="F162" s="225">
        <v>203.71</v>
      </c>
      <c r="G162" s="225"/>
      <c r="H162" s="86" t="s">
        <v>27</v>
      </c>
      <c r="I162" s="224" t="s">
        <v>28</v>
      </c>
      <c r="J162" s="224"/>
      <c r="K162" s="87" t="s">
        <v>29</v>
      </c>
      <c r="L162" s="88">
        <v>469866.17</v>
      </c>
    </row>
    <row r="163" spans="1:14" ht="61.2" hidden="1" x14ac:dyDescent="0.3">
      <c r="A163" s="84" t="s">
        <v>666</v>
      </c>
      <c r="B163" s="85" t="s">
        <v>1464</v>
      </c>
      <c r="C163" s="85" t="s">
        <v>1461</v>
      </c>
      <c r="D163" s="85" t="s">
        <v>1465</v>
      </c>
      <c r="E163" s="86" t="s">
        <v>26</v>
      </c>
      <c r="F163" s="225">
        <v>241.06</v>
      </c>
      <c r="G163" s="225"/>
      <c r="H163" s="86" t="s">
        <v>27</v>
      </c>
      <c r="I163" s="224" t="s">
        <v>28</v>
      </c>
      <c r="J163" s="224"/>
      <c r="K163" s="87" t="s">
        <v>29</v>
      </c>
      <c r="L163" s="88">
        <v>470107.23</v>
      </c>
    </row>
    <row r="164" spans="1:14" ht="51" hidden="1" x14ac:dyDescent="0.3">
      <c r="A164" s="84" t="s">
        <v>666</v>
      </c>
      <c r="B164" s="85" t="s">
        <v>1464</v>
      </c>
      <c r="C164" s="85" t="s">
        <v>1463</v>
      </c>
      <c r="D164" s="85" t="s">
        <v>1465</v>
      </c>
      <c r="E164" s="86" t="s">
        <v>26</v>
      </c>
      <c r="F164" s="225">
        <v>445.23</v>
      </c>
      <c r="G164" s="225"/>
      <c r="H164" s="86" t="s">
        <v>27</v>
      </c>
      <c r="I164" s="224" t="s">
        <v>28</v>
      </c>
      <c r="J164" s="224"/>
      <c r="K164" s="87" t="s">
        <v>29</v>
      </c>
      <c r="L164" s="88">
        <v>470552.46</v>
      </c>
    </row>
    <row r="165" spans="1:14" ht="51" x14ac:dyDescent="0.3">
      <c r="A165" s="84" t="s">
        <v>666</v>
      </c>
      <c r="B165" s="85" t="s">
        <v>1466</v>
      </c>
      <c r="C165" s="85" t="s">
        <v>1424</v>
      </c>
      <c r="D165" s="85" t="s">
        <v>1383</v>
      </c>
      <c r="E165" s="86" t="s">
        <v>523</v>
      </c>
      <c r="F165" s="218" t="s">
        <v>28</v>
      </c>
      <c r="G165" s="218"/>
      <c r="H165" s="86" t="s">
        <v>26</v>
      </c>
      <c r="I165" s="219">
        <v>36622.239999999998</v>
      </c>
      <c r="J165" s="219"/>
      <c r="K165" s="87" t="s">
        <v>29</v>
      </c>
      <c r="L165" s="88">
        <v>433930.22</v>
      </c>
    </row>
    <row r="166" spans="1:14" ht="51" x14ac:dyDescent="0.3">
      <c r="A166" s="84" t="s">
        <v>666</v>
      </c>
      <c r="B166" s="85" t="s">
        <v>1466</v>
      </c>
      <c r="C166" s="85" t="s">
        <v>1424</v>
      </c>
      <c r="D166" s="85" t="s">
        <v>1410</v>
      </c>
      <c r="E166" s="86" t="s">
        <v>523</v>
      </c>
      <c r="F166" s="218" t="s">
        <v>28</v>
      </c>
      <c r="G166" s="218"/>
      <c r="H166" s="86" t="s">
        <v>26</v>
      </c>
      <c r="I166" s="219">
        <v>4983.8500000000004</v>
      </c>
      <c r="J166" s="219"/>
      <c r="K166" s="87" t="s">
        <v>29</v>
      </c>
      <c r="L166" s="88">
        <v>428946.37</v>
      </c>
    </row>
    <row r="167" spans="1:14" ht="51" x14ac:dyDescent="0.3">
      <c r="A167" s="84" t="s">
        <v>666</v>
      </c>
      <c r="B167" s="85" t="s">
        <v>1466</v>
      </c>
      <c r="C167" s="85" t="s">
        <v>1424</v>
      </c>
      <c r="D167" s="85" t="s">
        <v>1439</v>
      </c>
      <c r="E167" s="86" t="s">
        <v>523</v>
      </c>
      <c r="F167" s="218" t="s">
        <v>28</v>
      </c>
      <c r="G167" s="218"/>
      <c r="H167" s="86" t="s">
        <v>26</v>
      </c>
      <c r="I167" s="219">
        <v>4008.91</v>
      </c>
      <c r="J167" s="219"/>
      <c r="K167" s="87" t="s">
        <v>29</v>
      </c>
      <c r="L167" s="88">
        <v>424937.46</v>
      </c>
    </row>
    <row r="168" spans="1:14" ht="51" x14ac:dyDescent="0.3">
      <c r="A168" s="84" t="s">
        <v>666</v>
      </c>
      <c r="B168" s="85" t="s">
        <v>1466</v>
      </c>
      <c r="C168" s="85" t="s">
        <v>1424</v>
      </c>
      <c r="D168" s="85" t="s">
        <v>1365</v>
      </c>
      <c r="E168" s="86" t="s">
        <v>523</v>
      </c>
      <c r="F168" s="218" t="s">
        <v>28</v>
      </c>
      <c r="G168" s="218"/>
      <c r="H168" s="86" t="s">
        <v>26</v>
      </c>
      <c r="I168" s="219">
        <v>1667.59</v>
      </c>
      <c r="J168" s="219"/>
      <c r="K168" s="87" t="s">
        <v>29</v>
      </c>
      <c r="L168" s="88">
        <v>423269.87</v>
      </c>
    </row>
    <row r="169" spans="1:14" ht="61.2" x14ac:dyDescent="0.3">
      <c r="A169" s="84" t="s">
        <v>666</v>
      </c>
      <c r="B169" s="85" t="s">
        <v>1466</v>
      </c>
      <c r="C169" s="85" t="s">
        <v>1424</v>
      </c>
      <c r="D169" s="85" t="s">
        <v>1361</v>
      </c>
      <c r="E169" s="86" t="s">
        <v>523</v>
      </c>
      <c r="F169" s="218" t="s">
        <v>28</v>
      </c>
      <c r="G169" s="218"/>
      <c r="H169" s="86" t="s">
        <v>26</v>
      </c>
      <c r="I169" s="219">
        <v>1031.99</v>
      </c>
      <c r="J169" s="219"/>
      <c r="K169" s="87" t="s">
        <v>29</v>
      </c>
      <c r="L169" s="88">
        <v>422237.88</v>
      </c>
    </row>
    <row r="170" spans="1:14" ht="61.2" x14ac:dyDescent="0.3">
      <c r="A170" s="84" t="s">
        <v>666</v>
      </c>
      <c r="B170" s="85" t="s">
        <v>1466</v>
      </c>
      <c r="C170" s="85" t="s">
        <v>1424</v>
      </c>
      <c r="D170" s="85" t="s">
        <v>1363</v>
      </c>
      <c r="E170" s="86" t="s">
        <v>523</v>
      </c>
      <c r="F170" s="218" t="s">
        <v>28</v>
      </c>
      <c r="G170" s="218"/>
      <c r="H170" s="86" t="s">
        <v>26</v>
      </c>
      <c r="I170" s="222">
        <v>671.6</v>
      </c>
      <c r="J170" s="222"/>
      <c r="K170" s="87" t="s">
        <v>29</v>
      </c>
      <c r="L170" s="88">
        <v>421566.28</v>
      </c>
    </row>
    <row r="171" spans="1:14" ht="51" x14ac:dyDescent="0.3">
      <c r="A171" s="84" t="s">
        <v>666</v>
      </c>
      <c r="B171" s="85" t="s">
        <v>1466</v>
      </c>
      <c r="C171" s="85" t="s">
        <v>1424</v>
      </c>
      <c r="D171" s="85" t="s">
        <v>1434</v>
      </c>
      <c r="E171" s="86" t="s">
        <v>523</v>
      </c>
      <c r="F171" s="218" t="s">
        <v>28</v>
      </c>
      <c r="G171" s="218"/>
      <c r="H171" s="86" t="s">
        <v>26</v>
      </c>
      <c r="I171" s="219">
        <v>9807.0499999999993</v>
      </c>
      <c r="J171" s="219"/>
      <c r="K171" s="87" t="s">
        <v>29</v>
      </c>
      <c r="L171" s="88">
        <v>411759.23</v>
      </c>
    </row>
    <row r="172" spans="1:14" ht="51" x14ac:dyDescent="0.3">
      <c r="A172" s="84" t="s">
        <v>666</v>
      </c>
      <c r="B172" s="85" t="s">
        <v>1466</v>
      </c>
      <c r="C172" s="85" t="s">
        <v>1424</v>
      </c>
      <c r="D172" s="85" t="s">
        <v>1368</v>
      </c>
      <c r="E172" s="86" t="s">
        <v>523</v>
      </c>
      <c r="F172" s="218" t="s">
        <v>28</v>
      </c>
      <c r="G172" s="218"/>
      <c r="H172" s="86" t="s">
        <v>26</v>
      </c>
      <c r="I172" s="219">
        <v>7943.92</v>
      </c>
      <c r="J172" s="219"/>
      <c r="K172" s="87" t="s">
        <v>29</v>
      </c>
      <c r="L172" s="88">
        <v>403815.31</v>
      </c>
    </row>
    <row r="173" spans="1:14" ht="51" x14ac:dyDescent="0.3">
      <c r="A173" s="84" t="s">
        <v>666</v>
      </c>
      <c r="B173" s="85" t="s">
        <v>1466</v>
      </c>
      <c r="C173" s="85" t="s">
        <v>1424</v>
      </c>
      <c r="D173" s="85" t="s">
        <v>1433</v>
      </c>
      <c r="E173" s="86" t="s">
        <v>523</v>
      </c>
      <c r="F173" s="218" t="s">
        <v>28</v>
      </c>
      <c r="G173" s="218"/>
      <c r="H173" s="86" t="s">
        <v>26</v>
      </c>
      <c r="I173" s="219">
        <v>5518.61</v>
      </c>
      <c r="J173" s="219"/>
      <c r="K173" s="87" t="s">
        <v>29</v>
      </c>
      <c r="L173" s="88">
        <v>398296.7</v>
      </c>
    </row>
    <row r="174" spans="1:14" ht="51" x14ac:dyDescent="0.3">
      <c r="A174" s="84" t="s">
        <v>666</v>
      </c>
      <c r="B174" s="85" t="s">
        <v>1466</v>
      </c>
      <c r="C174" s="85" t="s">
        <v>1424</v>
      </c>
      <c r="D174" s="85" t="s">
        <v>1366</v>
      </c>
      <c r="E174" s="86" t="s">
        <v>523</v>
      </c>
      <c r="F174" s="218" t="s">
        <v>28</v>
      </c>
      <c r="G174" s="218"/>
      <c r="H174" s="86" t="s">
        <v>26</v>
      </c>
      <c r="I174" s="222">
        <v>707.36</v>
      </c>
      <c r="J174" s="222"/>
      <c r="K174" s="87" t="s">
        <v>29</v>
      </c>
      <c r="L174" s="88">
        <v>397589.34</v>
      </c>
    </row>
    <row r="175" spans="1:14" ht="51" x14ac:dyDescent="0.3">
      <c r="A175" s="84" t="s">
        <v>666</v>
      </c>
      <c r="B175" s="85" t="s">
        <v>1466</v>
      </c>
      <c r="C175" s="85" t="s">
        <v>1424</v>
      </c>
      <c r="D175" s="85" t="s">
        <v>1384</v>
      </c>
      <c r="E175" s="86" t="s">
        <v>523</v>
      </c>
      <c r="F175" s="218" t="s">
        <v>28</v>
      </c>
      <c r="G175" s="218"/>
      <c r="H175" s="86" t="s">
        <v>26</v>
      </c>
      <c r="I175" s="219">
        <v>73396.429999999993</v>
      </c>
      <c r="J175" s="219"/>
      <c r="K175" s="87" t="s">
        <v>29</v>
      </c>
      <c r="L175" s="88">
        <v>324192.90999999997</v>
      </c>
    </row>
    <row r="176" spans="1:14" ht="61.2" x14ac:dyDescent="0.3">
      <c r="A176" s="84" t="s">
        <v>666</v>
      </c>
      <c r="B176" s="85" t="s">
        <v>1466</v>
      </c>
      <c r="C176" s="85" t="s">
        <v>1424</v>
      </c>
      <c r="D176" s="85" t="s">
        <v>1358</v>
      </c>
      <c r="E176" s="86" t="s">
        <v>523</v>
      </c>
      <c r="F176" s="218" t="s">
        <v>28</v>
      </c>
      <c r="G176" s="218"/>
      <c r="H176" s="86" t="s">
        <v>26</v>
      </c>
      <c r="I176" s="219">
        <v>5433.5</v>
      </c>
      <c r="J176" s="219"/>
      <c r="K176" s="87" t="s">
        <v>29</v>
      </c>
      <c r="L176" s="88">
        <v>318759.40999999997</v>
      </c>
      <c r="M176">
        <f>SUBTOTAL(9,I57:J176)</f>
        <v>4480857.2299999977</v>
      </c>
      <c r="N176" t="s">
        <v>1472</v>
      </c>
    </row>
    <row r="177" spans="1:12" hidden="1" x14ac:dyDescent="0.3">
      <c r="A177" s="220" t="s">
        <v>681</v>
      </c>
      <c r="B177" s="220"/>
      <c r="C177" s="220"/>
      <c r="D177" s="220"/>
      <c r="E177" s="221">
        <v>4799616.6399999997</v>
      </c>
      <c r="F177" s="221"/>
      <c r="G177" s="221"/>
      <c r="H177" s="221">
        <v>4480857.2300000004</v>
      </c>
      <c r="I177" s="221"/>
      <c r="J177" s="221"/>
      <c r="K177" s="89" t="s">
        <v>29</v>
      </c>
      <c r="L177" s="90">
        <v>318759.40999999997</v>
      </c>
    </row>
    <row r="179" spans="1:12" x14ac:dyDescent="0.3">
      <c r="J179" s="95">
        <f>SUBTOTAL(9,I57:J176)</f>
        <v>4480857.2299999977</v>
      </c>
    </row>
  </sheetData>
  <autoFilter ref="A8:L177">
    <filterColumn colId="1">
      <filters>
        <filter val="Вимога-накладна ІБ00-000667 від 02.12.2024 23:00:00_x000a_Списаны ТМЦ"/>
        <filter val="Вимога-накладна ІБ00-000669 від 06.12.2024 20:41:52_x000a_Списаны ТМЦ"/>
        <filter val="Вимога-накладна ІБ00-000672 від 15.12.2024 23:00:02_x000a_Списаны ТМЦ"/>
        <filter val="Вимога-накладна ІБ00-000678 від 15.12.2024 23:00:09_x000a_Списаны ТМЦ"/>
        <filter val="Вимога-накладна ІБ00-000679 від 23.12.2024 17:16:03_x000a_Списаны ТМЦ"/>
        <filter val="Вимога-накладна ІБ00-000704 від 30.12.2024 21:00:27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46">
    <mergeCell ref="F18:G18"/>
    <mergeCell ref="I18:J18"/>
    <mergeCell ref="F13:G13"/>
    <mergeCell ref="I13:J13"/>
    <mergeCell ref="F14:G14"/>
    <mergeCell ref="I14:J14"/>
    <mergeCell ref="F11:G11"/>
    <mergeCell ref="I11:J11"/>
    <mergeCell ref="F12:G12"/>
    <mergeCell ref="I12:J12"/>
    <mergeCell ref="F30:G30"/>
    <mergeCell ref="I30:J30"/>
    <mergeCell ref="F25:G25"/>
    <mergeCell ref="I25:J25"/>
    <mergeCell ref="F26:G26"/>
    <mergeCell ref="I26:J26"/>
    <mergeCell ref="F24:G24"/>
    <mergeCell ref="I24:J24"/>
    <mergeCell ref="F19:G19"/>
    <mergeCell ref="I19:J19"/>
    <mergeCell ref="F20:G20"/>
    <mergeCell ref="I20:J20"/>
    <mergeCell ref="F42:G42"/>
    <mergeCell ref="I42:J42"/>
    <mergeCell ref="F37:G37"/>
    <mergeCell ref="I37:J37"/>
    <mergeCell ref="F38:G38"/>
    <mergeCell ref="I38:J38"/>
    <mergeCell ref="F36:G36"/>
    <mergeCell ref="I36:J36"/>
    <mergeCell ref="F31:G31"/>
    <mergeCell ref="I31:J31"/>
    <mergeCell ref="F32:G32"/>
    <mergeCell ref="I32:J32"/>
    <mergeCell ref="F54:G54"/>
    <mergeCell ref="I54:J54"/>
    <mergeCell ref="F49:G49"/>
    <mergeCell ref="I49:J49"/>
    <mergeCell ref="F50:G50"/>
    <mergeCell ref="I50:J50"/>
    <mergeCell ref="F48:G48"/>
    <mergeCell ref="I48:J48"/>
    <mergeCell ref="F43:G43"/>
    <mergeCell ref="I43:J43"/>
    <mergeCell ref="F44:G44"/>
    <mergeCell ref="I44:J44"/>
    <mergeCell ref="F66:G66"/>
    <mergeCell ref="I66:J66"/>
    <mergeCell ref="F61:G61"/>
    <mergeCell ref="I61:J61"/>
    <mergeCell ref="F62:G62"/>
    <mergeCell ref="I62:J62"/>
    <mergeCell ref="F60:G60"/>
    <mergeCell ref="I60:J60"/>
    <mergeCell ref="F55:G55"/>
    <mergeCell ref="I55:J55"/>
    <mergeCell ref="F56:G56"/>
    <mergeCell ref="I56:J56"/>
    <mergeCell ref="F78:G78"/>
    <mergeCell ref="I78:J78"/>
    <mergeCell ref="F73:G73"/>
    <mergeCell ref="I73:J73"/>
    <mergeCell ref="F74:G74"/>
    <mergeCell ref="I74:J74"/>
    <mergeCell ref="F72:G72"/>
    <mergeCell ref="I72:J72"/>
    <mergeCell ref="F67:G67"/>
    <mergeCell ref="I67:J67"/>
    <mergeCell ref="F68:G68"/>
    <mergeCell ref="I68:J68"/>
    <mergeCell ref="F90:G90"/>
    <mergeCell ref="I90:J90"/>
    <mergeCell ref="F85:G85"/>
    <mergeCell ref="I85:J85"/>
    <mergeCell ref="F86:G86"/>
    <mergeCell ref="I86:J86"/>
    <mergeCell ref="F84:G84"/>
    <mergeCell ref="I84:J84"/>
    <mergeCell ref="F79:G79"/>
    <mergeCell ref="I79:J79"/>
    <mergeCell ref="F80:G80"/>
    <mergeCell ref="I80:J80"/>
    <mergeCell ref="F102:G102"/>
    <mergeCell ref="I102:J102"/>
    <mergeCell ref="F97:G97"/>
    <mergeCell ref="I97:J97"/>
    <mergeCell ref="F98:G98"/>
    <mergeCell ref="I98:J98"/>
    <mergeCell ref="F96:G96"/>
    <mergeCell ref="I96:J96"/>
    <mergeCell ref="F91:G91"/>
    <mergeCell ref="I91:J91"/>
    <mergeCell ref="F92:G92"/>
    <mergeCell ref="I92:J92"/>
    <mergeCell ref="F114:G114"/>
    <mergeCell ref="I114:J114"/>
    <mergeCell ref="F109:G109"/>
    <mergeCell ref="I109:J109"/>
    <mergeCell ref="F110:G110"/>
    <mergeCell ref="I110:J110"/>
    <mergeCell ref="F108:G108"/>
    <mergeCell ref="I108:J108"/>
    <mergeCell ref="F103:G103"/>
    <mergeCell ref="I103:J103"/>
    <mergeCell ref="F104:G104"/>
    <mergeCell ref="I104:J104"/>
    <mergeCell ref="F126:G126"/>
    <mergeCell ref="I126:J126"/>
    <mergeCell ref="F121:G121"/>
    <mergeCell ref="I121:J121"/>
    <mergeCell ref="F122:G122"/>
    <mergeCell ref="I122:J122"/>
    <mergeCell ref="F120:G120"/>
    <mergeCell ref="I120:J120"/>
    <mergeCell ref="F115:G115"/>
    <mergeCell ref="I115:J115"/>
    <mergeCell ref="F116:G116"/>
    <mergeCell ref="I116:J116"/>
    <mergeCell ref="F138:G138"/>
    <mergeCell ref="I138:J138"/>
    <mergeCell ref="F133:G133"/>
    <mergeCell ref="I133:J133"/>
    <mergeCell ref="F134:G134"/>
    <mergeCell ref="I134:J134"/>
    <mergeCell ref="F132:G132"/>
    <mergeCell ref="I132:J132"/>
    <mergeCell ref="F127:G127"/>
    <mergeCell ref="I127:J127"/>
    <mergeCell ref="F128:G128"/>
    <mergeCell ref="I128:J128"/>
    <mergeCell ref="I150:J150"/>
    <mergeCell ref="F145:G145"/>
    <mergeCell ref="I145:J145"/>
    <mergeCell ref="F146:G146"/>
    <mergeCell ref="I146:J146"/>
    <mergeCell ref="F144:G144"/>
    <mergeCell ref="I144:J144"/>
    <mergeCell ref="F139:G139"/>
    <mergeCell ref="I139:J139"/>
    <mergeCell ref="F140:G140"/>
    <mergeCell ref="I140:J140"/>
    <mergeCell ref="A8:A9"/>
    <mergeCell ref="B8:B9"/>
    <mergeCell ref="C8:C9"/>
    <mergeCell ref="D8:D9"/>
    <mergeCell ref="E8:G8"/>
    <mergeCell ref="F168:G168"/>
    <mergeCell ref="I168:J168"/>
    <mergeCell ref="F163:G163"/>
    <mergeCell ref="I163:J163"/>
    <mergeCell ref="F164:G164"/>
    <mergeCell ref="I164:J164"/>
    <mergeCell ref="F162:G162"/>
    <mergeCell ref="I162:J162"/>
    <mergeCell ref="F157:G157"/>
    <mergeCell ref="I157:J157"/>
    <mergeCell ref="F158:G158"/>
    <mergeCell ref="I158:J158"/>
    <mergeCell ref="F156:G156"/>
    <mergeCell ref="I156:J156"/>
    <mergeCell ref="F151:G151"/>
    <mergeCell ref="I151:J151"/>
    <mergeCell ref="F152:G152"/>
    <mergeCell ref="I152:J152"/>
    <mergeCell ref="F150:G150"/>
    <mergeCell ref="F15:G15"/>
    <mergeCell ref="I15:J15"/>
    <mergeCell ref="F16:G16"/>
    <mergeCell ref="I16:J16"/>
    <mergeCell ref="F17:G17"/>
    <mergeCell ref="I17:J17"/>
    <mergeCell ref="K8:L9"/>
    <mergeCell ref="F9:G9"/>
    <mergeCell ref="I9:J9"/>
    <mergeCell ref="F10:G10"/>
    <mergeCell ref="I10:J10"/>
    <mergeCell ref="H8:J8"/>
    <mergeCell ref="F27:G27"/>
    <mergeCell ref="I27:J27"/>
    <mergeCell ref="F28:G28"/>
    <mergeCell ref="I28:J28"/>
    <mergeCell ref="F29:G29"/>
    <mergeCell ref="I29:J29"/>
    <mergeCell ref="F21:G21"/>
    <mergeCell ref="I21:J21"/>
    <mergeCell ref="F22:G22"/>
    <mergeCell ref="I22:J22"/>
    <mergeCell ref="F23:G23"/>
    <mergeCell ref="I23:J23"/>
    <mergeCell ref="F39:G39"/>
    <mergeCell ref="I39:J39"/>
    <mergeCell ref="F40:G40"/>
    <mergeCell ref="I40:J40"/>
    <mergeCell ref="F41:G41"/>
    <mergeCell ref="I41:J41"/>
    <mergeCell ref="F33:G33"/>
    <mergeCell ref="I33:J33"/>
    <mergeCell ref="F34:G34"/>
    <mergeCell ref="I34:J34"/>
    <mergeCell ref="F35:G35"/>
    <mergeCell ref="I35:J35"/>
    <mergeCell ref="F51:G51"/>
    <mergeCell ref="I51:J51"/>
    <mergeCell ref="F52:G52"/>
    <mergeCell ref="I52:J52"/>
    <mergeCell ref="F53:G53"/>
    <mergeCell ref="I53:J53"/>
    <mergeCell ref="F45:G45"/>
    <mergeCell ref="I45:J45"/>
    <mergeCell ref="F46:G46"/>
    <mergeCell ref="I46:J46"/>
    <mergeCell ref="F47:G47"/>
    <mergeCell ref="I47:J47"/>
    <mergeCell ref="F63:G63"/>
    <mergeCell ref="I63:J63"/>
    <mergeCell ref="F64:G64"/>
    <mergeCell ref="I64:J64"/>
    <mergeCell ref="F65:G65"/>
    <mergeCell ref="I65:J65"/>
    <mergeCell ref="F57:G57"/>
    <mergeCell ref="I57:J57"/>
    <mergeCell ref="F58:G58"/>
    <mergeCell ref="I58:J58"/>
    <mergeCell ref="F59:G59"/>
    <mergeCell ref="I59:J59"/>
    <mergeCell ref="F75:G75"/>
    <mergeCell ref="I75:J75"/>
    <mergeCell ref="F76:G76"/>
    <mergeCell ref="I76:J76"/>
    <mergeCell ref="F77:G77"/>
    <mergeCell ref="I77:J77"/>
    <mergeCell ref="F69:G69"/>
    <mergeCell ref="I69:J69"/>
    <mergeCell ref="F70:G70"/>
    <mergeCell ref="I70:J70"/>
    <mergeCell ref="F71:G71"/>
    <mergeCell ref="I71:J71"/>
    <mergeCell ref="F87:G87"/>
    <mergeCell ref="I87:J87"/>
    <mergeCell ref="F88:G88"/>
    <mergeCell ref="I88:J88"/>
    <mergeCell ref="F89:G89"/>
    <mergeCell ref="I89:J89"/>
    <mergeCell ref="F81:G81"/>
    <mergeCell ref="I81:J81"/>
    <mergeCell ref="F82:G82"/>
    <mergeCell ref="I82:J82"/>
    <mergeCell ref="F83:G83"/>
    <mergeCell ref="I83:J83"/>
    <mergeCell ref="F99:G99"/>
    <mergeCell ref="I99:J99"/>
    <mergeCell ref="F100:G100"/>
    <mergeCell ref="I100:J100"/>
    <mergeCell ref="F101:G101"/>
    <mergeCell ref="I101:J101"/>
    <mergeCell ref="F93:G93"/>
    <mergeCell ref="I93:J93"/>
    <mergeCell ref="F94:G94"/>
    <mergeCell ref="I94:J94"/>
    <mergeCell ref="F95:G95"/>
    <mergeCell ref="I95:J95"/>
    <mergeCell ref="F111:G111"/>
    <mergeCell ref="I111:J111"/>
    <mergeCell ref="F112:G112"/>
    <mergeCell ref="I112:J112"/>
    <mergeCell ref="F113:G113"/>
    <mergeCell ref="I113:J113"/>
    <mergeCell ref="F105:G105"/>
    <mergeCell ref="I105:J105"/>
    <mergeCell ref="F106:G106"/>
    <mergeCell ref="I106:J106"/>
    <mergeCell ref="F107:G107"/>
    <mergeCell ref="I107:J107"/>
    <mergeCell ref="F123:G123"/>
    <mergeCell ref="I123:J123"/>
    <mergeCell ref="F124:G124"/>
    <mergeCell ref="I124:J124"/>
    <mergeCell ref="F125:G125"/>
    <mergeCell ref="I125:J125"/>
    <mergeCell ref="F117:G117"/>
    <mergeCell ref="I117:J117"/>
    <mergeCell ref="F118:G118"/>
    <mergeCell ref="I118:J118"/>
    <mergeCell ref="F119:G119"/>
    <mergeCell ref="I119:J119"/>
    <mergeCell ref="F135:G135"/>
    <mergeCell ref="I135:J135"/>
    <mergeCell ref="F136:G136"/>
    <mergeCell ref="I136:J136"/>
    <mergeCell ref="F137:G137"/>
    <mergeCell ref="I137:J137"/>
    <mergeCell ref="F129:G129"/>
    <mergeCell ref="I129:J129"/>
    <mergeCell ref="F130:G130"/>
    <mergeCell ref="I130:J130"/>
    <mergeCell ref="F131:G131"/>
    <mergeCell ref="I131:J131"/>
    <mergeCell ref="F147:G147"/>
    <mergeCell ref="I147:J147"/>
    <mergeCell ref="F148:G148"/>
    <mergeCell ref="I148:J148"/>
    <mergeCell ref="F149:G149"/>
    <mergeCell ref="I149:J149"/>
    <mergeCell ref="F141:G141"/>
    <mergeCell ref="I141:J141"/>
    <mergeCell ref="F142:G142"/>
    <mergeCell ref="I142:J142"/>
    <mergeCell ref="F143:G143"/>
    <mergeCell ref="I143:J143"/>
    <mergeCell ref="F159:G159"/>
    <mergeCell ref="I159:J159"/>
    <mergeCell ref="F160:G160"/>
    <mergeCell ref="I160:J160"/>
    <mergeCell ref="F161:G161"/>
    <mergeCell ref="I161:J161"/>
    <mergeCell ref="F153:G153"/>
    <mergeCell ref="I153:J153"/>
    <mergeCell ref="F154:G154"/>
    <mergeCell ref="I154:J154"/>
    <mergeCell ref="F155:G155"/>
    <mergeCell ref="I155:J155"/>
    <mergeCell ref="F169:G169"/>
    <mergeCell ref="I169:J169"/>
    <mergeCell ref="F170:G170"/>
    <mergeCell ref="I170:J170"/>
    <mergeCell ref="F171:G171"/>
    <mergeCell ref="I171:J171"/>
    <mergeCell ref="F165:G165"/>
    <mergeCell ref="I165:J165"/>
    <mergeCell ref="F166:G166"/>
    <mergeCell ref="I166:J166"/>
    <mergeCell ref="F167:G167"/>
    <mergeCell ref="I167:J167"/>
    <mergeCell ref="F175:G175"/>
    <mergeCell ref="I175:J175"/>
    <mergeCell ref="F176:G176"/>
    <mergeCell ref="I176:J176"/>
    <mergeCell ref="A177:D177"/>
    <mergeCell ref="E177:G177"/>
    <mergeCell ref="H177:J177"/>
    <mergeCell ref="F172:G172"/>
    <mergeCell ref="I172:J172"/>
    <mergeCell ref="F173:G173"/>
    <mergeCell ref="I173:J173"/>
    <mergeCell ref="F174:G174"/>
    <mergeCell ref="I174:J1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СВОД</vt:lpstr>
      <vt:lpstr>Глобине-2</vt:lpstr>
      <vt:lpstr>Котельна (Глобине)</vt:lpstr>
      <vt:lpstr>Насосна Градирня (Глобине)</vt:lpstr>
      <vt:lpstr>Р-р для зб. розч.(Глобине)</vt:lpstr>
      <vt:lpstr>СПК (Глобине)</vt:lpstr>
      <vt:lpstr>Цех екстракції (Глобине)</vt:lpstr>
      <vt:lpstr>Цех_Глобино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2025-01-29T12:07:51Z</dcterms:modified>
</cp:coreProperties>
</file>
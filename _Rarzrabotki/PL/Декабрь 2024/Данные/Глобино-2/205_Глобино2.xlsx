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Лист1!$A$3:$G$345</definedName>
  </definedNames>
  <calcPr calcId="145621"/>
</workbook>
</file>

<file path=xl/calcChain.xml><?xml version="1.0" encoding="utf-8"?>
<calcChain xmlns="http://schemas.openxmlformats.org/spreadsheetml/2006/main">
  <c r="J125" i="1" l="1"/>
  <c r="I125" i="1"/>
  <c r="J194" i="1"/>
  <c r="I194" i="1"/>
  <c r="I7" i="1"/>
  <c r="J7" i="1" s="1"/>
  <c r="J69" i="1"/>
  <c r="K69" i="1" s="1"/>
  <c r="J67" i="1"/>
  <c r="K67" i="1" s="1"/>
  <c r="J68" i="1"/>
  <c r="K68" i="1" s="1"/>
  <c r="I67" i="1"/>
  <c r="I139" i="1"/>
  <c r="J139" i="1" s="1"/>
  <c r="I162" i="1"/>
  <c r="J162" i="1" s="1"/>
  <c r="J173" i="1"/>
  <c r="L173" i="1" s="1"/>
  <c r="J172" i="1"/>
  <c r="K70" i="1" l="1"/>
  <c r="J175" i="1"/>
  <c r="J176" i="1" s="1"/>
  <c r="K176" i="1" s="1"/>
</calcChain>
</file>

<file path=xl/sharedStrings.xml><?xml version="1.0" encoding="utf-8"?>
<sst xmlns="http://schemas.openxmlformats.org/spreadsheetml/2006/main" count="372" uniqueCount="274">
  <si>
    <t>Глобине-2</t>
  </si>
  <si>
    <t>Анкер М 20х160/45 цб одноконус</t>
  </si>
  <si>
    <t xml:space="preserve">Анкер хімічний 410 мл </t>
  </si>
  <si>
    <t>Анкер хімічний 585 мл EРОХ</t>
  </si>
  <si>
    <t>Арматура №10  А240С L=6000 мм</t>
  </si>
  <si>
    <t>Арматура №12  А240С L=6000 мм</t>
  </si>
  <si>
    <t>Арматура №12  А500С L=12000 мм</t>
  </si>
  <si>
    <t>Арматура №14  А500С L=12000 мм</t>
  </si>
  <si>
    <t>Арматура №16  А500С L=12000 мм</t>
  </si>
  <si>
    <t>Бетон М-150 (Р-3)</t>
  </si>
  <si>
    <t>Бетон М-150 (Р-4)</t>
  </si>
  <si>
    <t>Бетон М-350 (Р-4)</t>
  </si>
  <si>
    <t>Бетон С  8/10 доб-10</t>
  </si>
  <si>
    <t>Бетон С  8/10 Р4</t>
  </si>
  <si>
    <t>Бетон С  8/10 Р4  (-5*)</t>
  </si>
  <si>
    <t>Бетон С 20/25  F75 W6 Р4</t>
  </si>
  <si>
    <t>Бетон С20/25 W6 F75 P4</t>
  </si>
  <si>
    <t>Бетон С20/25 W6 F75 P4 доб-10</t>
  </si>
  <si>
    <t>Бетон С20/25 W6 F75 P4 доб-5</t>
  </si>
  <si>
    <t>Брус 100*100 мм 4,5 м</t>
  </si>
  <si>
    <t>Брус 50х40 4м</t>
  </si>
  <si>
    <t>Брус 75*50 мм 6,0 м</t>
  </si>
  <si>
    <t>Відсів гранітний фр.0-5 мм</t>
  </si>
  <si>
    <t>дошка 25*120 4,5 м  шт</t>
  </si>
  <si>
    <t>дошка 25*150 4,5 шт</t>
  </si>
  <si>
    <t>Дріт 1,2 мм Н-О-Ч</t>
  </si>
  <si>
    <t>Змішувач д/ EPOFIX (хім.анкера)</t>
  </si>
  <si>
    <t>Очисник для піни С45 450 мл укр</t>
  </si>
  <si>
    <t>Пароніт ПОН-Б 3 мм</t>
  </si>
  <si>
    <t>Піна монтаж SOMAFIX 750 мл</t>
  </si>
  <si>
    <t xml:space="preserve">Піна монтажна  750 мл </t>
  </si>
  <si>
    <t xml:space="preserve">Піна монтажна  860 мл </t>
  </si>
  <si>
    <t>Пісок з відсівів дробл.фр.0-5мм.</t>
  </si>
  <si>
    <t>Пісок з відсіву дроблення граніту фр. 0-5мм.</t>
  </si>
  <si>
    <t>Пісок з відсіву дроблення щебеню фр. 0-5мм.</t>
  </si>
  <si>
    <t>Пістолет для хім.анкера 380/410мл</t>
  </si>
  <si>
    <t>Плита OSB 10 мм</t>
  </si>
  <si>
    <t xml:space="preserve">Провід ПВ-1нгLs 6 білий </t>
  </si>
  <si>
    <t>Рідке скло 7кг/5л</t>
  </si>
  <si>
    <t xml:space="preserve">Розчинник Уайт-спіріт 4 л (шт) </t>
  </si>
  <si>
    <t>Розчинник УС Нефрас 0,94 л/ 0,70 кг</t>
  </si>
  <si>
    <t>Стрічка ущільнювальна 150мм рулон 10м сірий</t>
  </si>
  <si>
    <t>Труба 168*6</t>
  </si>
  <si>
    <t xml:space="preserve">Труба 325х8,0 </t>
  </si>
  <si>
    <t>Труба п/е 25- (2 м)</t>
  </si>
  <si>
    <t>Фанера ламінована 1250*2500*21 мм гл/гл</t>
  </si>
  <si>
    <t>Фіксатор зірочка 50</t>
  </si>
  <si>
    <t>Фіксатор конус</t>
  </si>
  <si>
    <t xml:space="preserve">Цвяхи будівельні 3,0*70 </t>
  </si>
  <si>
    <t>Шафа тимчас ел/забезпеч ЯРП ІР54</t>
  </si>
  <si>
    <t>Шпилька М10х1000</t>
  </si>
  <si>
    <t>Шпонка гідроізоляційна ВР 200  20м п</t>
  </si>
  <si>
    <t>Шуруп 4,2х90 самонар.для г/к в дерево</t>
  </si>
  <si>
    <t>Шуруп г/к по дереву 3,5*45 мм</t>
  </si>
  <si>
    <t>Шуруп г/к по дереву 4,2*76 мм</t>
  </si>
  <si>
    <t>Шуруп для г/к по дереву 3,9*75 мм</t>
  </si>
  <si>
    <t>Щебінь 20-40</t>
  </si>
  <si>
    <t>Щебінь 40-70</t>
  </si>
  <si>
    <t>Щебінь гранітний 5-20</t>
  </si>
  <si>
    <t>Резервуар для зберігання розчинника(Глобине)</t>
  </si>
  <si>
    <t>Анкерний блок БФБ-1</t>
  </si>
  <si>
    <t>СПК (Глобине)</t>
  </si>
  <si>
    <t>Анкерний блок БФБ-2</t>
  </si>
  <si>
    <t xml:space="preserve">Бетон М-350 (Р-4) доб- 5 </t>
  </si>
  <si>
    <t xml:space="preserve">Лист г/к  3 х1,0х2,0 мм,ст.3ПС/СП </t>
  </si>
  <si>
    <t>Мастика бітумно-каучукова 18 кг</t>
  </si>
  <si>
    <t>Пінополістирол екструдований  20х600х1200мм</t>
  </si>
  <si>
    <t>Прокат арматурний №12 мм  А500С  12м</t>
  </si>
  <si>
    <t>Прокат арматурний №14 мм  А500С, 12 м</t>
  </si>
  <si>
    <t>Прокат стальний гарячекатаний круглий ф 10 мм А240 ст3пс</t>
  </si>
  <si>
    <t>Прокат стальний гарячекатаний круглий ф 12 мм А240 ст3пс 6м</t>
  </si>
  <si>
    <t>Розріджувач лакофарб універс 4л (2,8кг)</t>
  </si>
  <si>
    <t>Рахунок</t>
  </si>
  <si>
    <t>Склади</t>
  </si>
  <si>
    <t>Генплан підпірна стінка (Глобине)</t>
  </si>
  <si>
    <t>Дріт 3,0 мм оцинков. 2кг</t>
  </si>
  <si>
    <t>Труби ДСТУ  8936 ду 32 2,8мм , 6м (7306)</t>
  </si>
  <si>
    <t>Труба профільна 80*80*4 L=12 м</t>
  </si>
  <si>
    <t>Котельна (Глобине)</t>
  </si>
  <si>
    <t xml:space="preserve">DIN 125 Шайба 36 цб </t>
  </si>
  <si>
    <t>Бетон  М-150</t>
  </si>
  <si>
    <t xml:space="preserve">Болт М12*35 DIN 933 </t>
  </si>
  <si>
    <t>Болт М16*40  DIN 933</t>
  </si>
  <si>
    <t>Болт М16*45  DIN 933</t>
  </si>
  <si>
    <t>Болт М16*50  DIN 933</t>
  </si>
  <si>
    <t>Болт М16*55  DIN 933 8,8 цб пр</t>
  </si>
  <si>
    <t>Болт М16*60  DIN 933 оц.</t>
  </si>
  <si>
    <t>Болт М20*100  DIN 933 з шест.голівкою цб</t>
  </si>
  <si>
    <t>Болт М20*130 10.9 БП ЧР</t>
  </si>
  <si>
    <t>Болт М20*65  DIN 931</t>
  </si>
  <si>
    <t>Болт М20*70  DIN 931</t>
  </si>
  <si>
    <t>Болти DIN 931 12х120 - 8,8  ОЦ.</t>
  </si>
  <si>
    <t>Болти DIN 933 12х110 - 5,8  ОЦ.</t>
  </si>
  <si>
    <t>Гайка М12  DIN 934</t>
  </si>
  <si>
    <t>Гайка М16 DIN 934 ЦБ</t>
  </si>
  <si>
    <t>Гайка М20  DIN 934</t>
  </si>
  <si>
    <t xml:space="preserve">Гайка М36 DIN 934  </t>
  </si>
  <si>
    <t>Клей-піна, 750 мл</t>
  </si>
  <si>
    <t>Кутник 40*40*4,0 мм  6 м</t>
  </si>
  <si>
    <t>Кутник 75*75 мм  12 м</t>
  </si>
  <si>
    <t>Плити XPS PNP 150 W 50*585*1185 T-15</t>
  </si>
  <si>
    <t>Плівка п/е рукав 1500*100</t>
  </si>
  <si>
    <t>Сітка тканна 5*5 НВ</t>
  </si>
  <si>
    <t>Труба ДСТУ 8943 108 мм 3,5 мм, 12 м</t>
  </si>
  <si>
    <t>Шайба 12  DIN125 цб</t>
  </si>
  <si>
    <t>Шайба 16  DIN125</t>
  </si>
  <si>
    <t>Шайба 20  DIN125 цб</t>
  </si>
  <si>
    <t>Швелер 10 (UREAA 100) S275 JR, 12 м</t>
  </si>
  <si>
    <t>Швелер 14 (UREAA 140) S275 JR, 12 м</t>
  </si>
  <si>
    <t>Насосна Градирня (Глобине)</t>
  </si>
  <si>
    <t>Кутник 50х50 мм 5,0 мм, 6 м</t>
  </si>
  <si>
    <t>Цех екстракції (Глобине)</t>
  </si>
  <si>
    <t>DIN125-1 Шайба 24 цб 140HV до кл.м. 4.6-8.8</t>
  </si>
  <si>
    <t>DIN125-1 Шайба 30 цб 140HV до кл.м. 4.6-8.8</t>
  </si>
  <si>
    <t>DIN125-1 Шайба 42 цб 140HV до кл.м. 4.6-8.8</t>
  </si>
  <si>
    <t>Анкерний блок А2</t>
  </si>
  <si>
    <t>Анкерний блок А3</t>
  </si>
  <si>
    <t>Анкерний блок БФБ-3</t>
  </si>
  <si>
    <t>Анкерний блок БФБ-4</t>
  </si>
  <si>
    <t>Анкерний болт А1</t>
  </si>
  <si>
    <t>Анкерний болт А3</t>
  </si>
  <si>
    <t>Анкерний болт А4</t>
  </si>
  <si>
    <t xml:space="preserve">Балка 16  (IPE160) S275 JR, 12м </t>
  </si>
  <si>
    <t>Балка 16 IPE160 12м S275JR</t>
  </si>
  <si>
    <t>Балка 20 ІРЕ200 12м S275JR</t>
  </si>
  <si>
    <t>Балка 30 (ІРЕ 300) S275 JR, 12 м</t>
  </si>
  <si>
    <t>Балка 36 ІРЕ360 12м S275JR</t>
  </si>
  <si>
    <t>Балка № 16 (ІПЕ 160); S235JR 12 м</t>
  </si>
  <si>
    <t>балка №30 (ІРЕ 300); S235/S275JR; L=12 м</t>
  </si>
  <si>
    <t>Болт 1.1 М42*1320</t>
  </si>
  <si>
    <t xml:space="preserve">Болт М12*50 8,8 цб ЧР </t>
  </si>
  <si>
    <t xml:space="preserve">Болт М16*55 8,8 цб пр </t>
  </si>
  <si>
    <t xml:space="preserve">Болт М16*55 8,8 цб ЧР </t>
  </si>
  <si>
    <t xml:space="preserve">Болт М16*60 8,8 цб ЧР </t>
  </si>
  <si>
    <t xml:space="preserve">Болт М16*65 8,8 цб ЧР </t>
  </si>
  <si>
    <t xml:space="preserve">Болт М20-85 8,8 цб ЧР </t>
  </si>
  <si>
    <t xml:space="preserve">Болт М20*60 8,8 цб пр </t>
  </si>
  <si>
    <t xml:space="preserve">Болт М20*65 8,8 цб ЧР </t>
  </si>
  <si>
    <t xml:space="preserve">Болт М20*70 8,8 цб ЧР </t>
  </si>
  <si>
    <t>Болт М24*100 HV БП VARVIT</t>
  </si>
  <si>
    <t>Болт М24*120 HV БП Fram</t>
  </si>
  <si>
    <t>Гайка М12 8 цб  S18 до кл.м.8.8</t>
  </si>
  <si>
    <t>Гайка М16 8 цб до кл.м.8.8</t>
  </si>
  <si>
    <t>Гайка М20 8 цб до кл.м.8.8</t>
  </si>
  <si>
    <t>Гайка М24 6 цб DIN934</t>
  </si>
  <si>
    <t>Гайка М24 HV БП Fram</t>
  </si>
  <si>
    <t>Гайка М24 HV БП VARVIT</t>
  </si>
  <si>
    <t>Гайка М30 6 цб DIN934</t>
  </si>
  <si>
    <t>Гайка М42 6 цб DIN934</t>
  </si>
  <si>
    <t>Гранвідсів 0-5 мм</t>
  </si>
  <si>
    <t>Кондуктор Р-10</t>
  </si>
  <si>
    <t>Кондуктор Р-7</t>
  </si>
  <si>
    <t>Кондуктор Р-9</t>
  </si>
  <si>
    <t>Кутик 75*75*6мм ст.3ПС МІРА 12 м</t>
  </si>
  <si>
    <t>Кутник 75*75 мм  6,0 мм, S235 JR 12 м</t>
  </si>
  <si>
    <t>Лист 12*1590*12000 необр кромка</t>
  </si>
  <si>
    <t>Лист 16*1500*6000 3 сп/пс5</t>
  </si>
  <si>
    <t>Лист г/к  10*1280*12000 необр кромка</t>
  </si>
  <si>
    <t>Лист г/к  4,0 мм 1500х6000, S235JR</t>
  </si>
  <si>
    <t>Лист г/к  4*1500*6000 мм</t>
  </si>
  <si>
    <t>Лист г/к  6*1500*6000 1-3 сп/пс</t>
  </si>
  <si>
    <t>Лист г/к  8*1500*6000 1-3 сп/пс</t>
  </si>
  <si>
    <t>Лист г/к  8*1500*6000 мм; ст.3 сп/пс 5 кат.необр.кромка</t>
  </si>
  <si>
    <t>Лист г/к 10,0 мм 1500*6000, S235 JR</t>
  </si>
  <si>
    <t>Лист г/к 10*1500*6000 мм</t>
  </si>
  <si>
    <t>Лист г/к 12,0 мм 1500*6000, S235 JR</t>
  </si>
  <si>
    <t>Лист г/к 12,0 мм 1500х6000, S235JR</t>
  </si>
  <si>
    <t>Лист г/к 14,0 мм 1500*6000, S235 JR</t>
  </si>
  <si>
    <t>Лист г/к 14,0 мм 1500х6000, S235JR (7208519800)</t>
  </si>
  <si>
    <t>Лист г/к 14*2000*6000, 1-3 пс/сп 5 кат.</t>
  </si>
  <si>
    <t>Лист г/к 16,0 мм 1500*6000, S235 JR</t>
  </si>
  <si>
    <t>Лист г/к 16,0 мм 1500х6000, S235JR</t>
  </si>
  <si>
    <t xml:space="preserve">Лист г/к 16,0 мм 1500х6000, S355J2С+N </t>
  </si>
  <si>
    <t>Лист г/к 16*1500*6000, S235 JR</t>
  </si>
  <si>
    <t>Лист г/к 18*1500*6000, S235 JR</t>
  </si>
  <si>
    <t>Лист г/к 18*2000*6000, S235 JR</t>
  </si>
  <si>
    <t>Лист г/к 20,0 мм 2000*6000, S235 JR</t>
  </si>
  <si>
    <t>Лист г/к 20,0мм 2000*6000, S235JR</t>
  </si>
  <si>
    <t>Лист г/к 20*2000*6000 09Г2С, 14 кат,обр.кромка</t>
  </si>
  <si>
    <t>Лист г/к 20*2000*6000 мм</t>
  </si>
  <si>
    <t>Лист г/к 30,0 мм 1500*6000, S235 JR</t>
  </si>
  <si>
    <t>Лист г/к 30,0 мм 2000х6000, S235JR</t>
  </si>
  <si>
    <t>Лист г/к 30*1500*6000 мм необр кромка</t>
  </si>
  <si>
    <t>Лист г/к 30*1500*6000 мм обр кромка</t>
  </si>
  <si>
    <t>Лист г/к 30*2000*6000, 1-3пс/сп 5 кат.</t>
  </si>
  <si>
    <t>Лист г/к 4,0 мм 1500*6000, S235 JR</t>
  </si>
  <si>
    <t>Лист г/к 40*2000*6000, 3 сп 5 кат.</t>
  </si>
  <si>
    <t xml:space="preserve">Лист г/к 8,0 мм 1500х6000, S235 JR </t>
  </si>
  <si>
    <t>Пісок з відсівів дроблення щебню 0-5мм./Глобине</t>
  </si>
  <si>
    <t xml:space="preserve">Стрижень М 12 8.8 1м цб </t>
  </si>
  <si>
    <t>Труба ДСТУ 8943 159 мм 6,0 S235 JRH, 12 м</t>
  </si>
  <si>
    <t>Труба профільна 100*100*5</t>
  </si>
  <si>
    <t>Труба профільна 160*160  мм 5 мм, S235JR, 12 м</t>
  </si>
  <si>
    <t>Труба профільна 160*160*5</t>
  </si>
  <si>
    <t>Труба профільна 80*80 мм 4,0 мм,12 м</t>
  </si>
  <si>
    <t>Труба профільна 80х80 мм 4,0 мм, 12 м</t>
  </si>
  <si>
    <t>Труба профільна100х100 мм 5,0 мм, 12 м</t>
  </si>
  <si>
    <t>Шайба 12 цб 140 HVдо кл.м.4.6-8.8</t>
  </si>
  <si>
    <t>Шайба 16 цб 140HV до кл.м.4.6-8.8</t>
  </si>
  <si>
    <t>Шайба 20 цб 140HV до кл.м.4.6-8.8</t>
  </si>
  <si>
    <t>Шайба М24  БП VARVIT 300HV</t>
  </si>
  <si>
    <t>Шайба М24 БП Fram 300HV</t>
  </si>
  <si>
    <t>Швелер 16П  7216</t>
  </si>
  <si>
    <t>Швелер 16П  S275JR,12 м</t>
  </si>
  <si>
    <t>Швелер 16П міра  12,00 м</t>
  </si>
  <si>
    <t>Швелер 20П  S275JR,12 м</t>
  </si>
  <si>
    <t xml:space="preserve">Швелер 20П міра 12,00 м </t>
  </si>
  <si>
    <t>Швелер 20П міра L=12000.00мм 1-3 сп/пс 5 категорія</t>
  </si>
  <si>
    <t>Швелер 22П ст.1-3сп/пс 5, L= 12м</t>
  </si>
  <si>
    <t xml:space="preserve">Швелер 24П міра 12,00 м </t>
  </si>
  <si>
    <t>Швелер 24П/У ст.1-3сп/пс 5, 12м</t>
  </si>
  <si>
    <t xml:space="preserve">Швелер 30П міра 12,00 м </t>
  </si>
  <si>
    <t>Швелер № 22 П міра 12,00 м</t>
  </si>
  <si>
    <t>Швелер № 24 П міра 12,00 м</t>
  </si>
  <si>
    <t>Швелер № 30П/У; ст. 3пс5; 12 м</t>
  </si>
  <si>
    <t>Цех_Глобино</t>
  </si>
  <si>
    <t>Балка 20</t>
  </si>
  <si>
    <t>Балка 30</t>
  </si>
  <si>
    <t>Балка №36</t>
  </si>
  <si>
    <t>Грунт ГФ-021 червоно-коричневий</t>
  </si>
  <si>
    <t>Грунт-емаль ПФ-012 Р сірий (кг)</t>
  </si>
  <si>
    <t>Круг 18 (6,05 3760 3пс/А240с)</t>
  </si>
  <si>
    <t>Кутник 50х50х5</t>
  </si>
  <si>
    <t>Кутник 75х75х6 (12,05 8509 3пс)</t>
  </si>
  <si>
    <t>Лист 14 (г.к.) (1,5х6) imp ((1,5*6,0) S235JR)</t>
  </si>
  <si>
    <t>Лист 16 (г.к)  (1,5х6) imp ((1,5*6,0) S235JR)</t>
  </si>
  <si>
    <t>Лист 3 (рифл) ((1,0*6,0) 8568-77 3пс)</t>
  </si>
  <si>
    <t xml:space="preserve">Лист 30 С255 </t>
  </si>
  <si>
    <t>Лист 4 (г.к)  (1,5х6) ((1,5*6,0) 14637 3сп5)</t>
  </si>
  <si>
    <t>Лист 8 (г.к)  (1,5х6) ((1,5*6,0) 14637 3сп5)</t>
  </si>
  <si>
    <t>Лист г/к 10 мм, 1500*6000, S235 JR</t>
  </si>
  <si>
    <t>Лист г/к 10 мм, 1500*6000, S355 J2</t>
  </si>
  <si>
    <t>Лист г/к 10 мм, ст.3ПС/СП 2,0х6,0 м</t>
  </si>
  <si>
    <t>Лист г/к 10*2000*6000, 1-3пс/сп 5 кат.</t>
  </si>
  <si>
    <t>Лист г/к 20*1500*6000, S355J2</t>
  </si>
  <si>
    <t>Лист г/к 30, S355J2</t>
  </si>
  <si>
    <t>Лист г/к 40*1500*6000, S355JR</t>
  </si>
  <si>
    <t xml:space="preserve">Лист рифлений г/к 5*1250*6000 </t>
  </si>
  <si>
    <t>труба 100*100*4,0мм 12м</t>
  </si>
  <si>
    <t>труба 100х100х3 мм; ст. 1-3 пс; 12 м</t>
  </si>
  <si>
    <t>Труба 100х100х7 мм; ст. 3пс5; 12 м</t>
  </si>
  <si>
    <t>труба 140х140х4 мм; ст. 3пс5; 12 м</t>
  </si>
  <si>
    <t>Труба 40*40*3 мм ст.1-3пс, 6 м</t>
  </si>
  <si>
    <t>Труба 40х20х2</t>
  </si>
  <si>
    <t>Труба 50х30х3 (6,05- S235/S275)</t>
  </si>
  <si>
    <t>Труба 60х60х3 мм; ст. 1-3пс; 6 м</t>
  </si>
  <si>
    <t>Труба 80х80х4 (12,05- 8940:2019 08кп/1-3пс)</t>
  </si>
  <si>
    <t>Труби ДСТУ  8936 ду 40 3,0 мм , 6м (7306)</t>
  </si>
  <si>
    <t>Швелер 16У (160 12,05- 8240 3пс)</t>
  </si>
  <si>
    <t>Швелер 18П  (180 12,05 8240 3пс5)</t>
  </si>
  <si>
    <t>Швелер 24П ст.3сп/пс 5, 12 м</t>
  </si>
  <si>
    <t>Швелер № 14П; ст. 3пс5; 12 м</t>
  </si>
  <si>
    <t>Приход</t>
  </si>
  <si>
    <t>Расход (в т.ч. Перемещения)</t>
  </si>
  <si>
    <t>Остаток</t>
  </si>
  <si>
    <t>Кол-во</t>
  </si>
  <si>
    <t>Сумма</t>
  </si>
  <si>
    <t>* была ли оплата по болтам</t>
  </si>
  <si>
    <t>* металл</t>
  </si>
  <si>
    <t>Металл в ЦКС на 01.01.25</t>
  </si>
  <si>
    <t>* болты, гайки, шайбы</t>
  </si>
  <si>
    <t>с НДС</t>
  </si>
  <si>
    <t>металл</t>
  </si>
  <si>
    <t>метизы</t>
  </si>
  <si>
    <t>Щебень</t>
  </si>
  <si>
    <t>проче</t>
  </si>
  <si>
    <t>* металлопрокат</t>
  </si>
  <si>
    <t>* метизы</t>
  </si>
  <si>
    <t>* щебень</t>
  </si>
  <si>
    <t>???</t>
  </si>
  <si>
    <t>* не списанное МШП</t>
  </si>
  <si>
    <t>* есть долг по оплате = 111 300 + 193 000</t>
  </si>
  <si>
    <t>* не оплачено</t>
  </si>
  <si>
    <t>* Маргарита уберет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</si>
</sst>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  <family val="2"/>
      <charset val="204"/>
    </font>
    <font>
      <sz val="10"/>
      <color indexed="21"/>
      <name val="Arial"/>
      <family val="2"/>
      <charset val="204"/>
    </font>
    <font>
      <sz val="11"/>
      <name val="Calibri"/>
      <family val="2"/>
      <scheme val="minor"/>
    </font>
    <font>
      <sz val="9"/>
      <name val="Arial"/>
      <family val="2"/>
      <charset val="204"/>
    </font>
    <font>
      <b/>
      <sz val="9"/>
      <color indexed="21"/>
      <name val="Arial"/>
      <family val="2"/>
      <charset val="204"/>
    </font>
    <font>
      <b/>
      <sz val="9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4" fillId="2" borderId="1" xfId="1" applyNumberFormat="1" applyFont="1" applyFill="1" applyBorder="1" applyAlignment="1">
      <alignment vertical="top" wrapText="1"/>
    </xf>
    <xf numFmtId="0" fontId="3" fillId="0" borderId="1" xfId="1" applyNumberFormat="1" applyFont="1" applyBorder="1" applyAlignment="1">
      <alignment vertical="top" wrapText="1"/>
    </xf>
    <xf numFmtId="4" fontId="2" fillId="0" borderId="1" xfId="1" applyNumberFormat="1" applyFont="1" applyBorder="1" applyAlignment="1">
      <alignment horizontal="right" vertical="top" wrapText="1"/>
    </xf>
    <xf numFmtId="0" fontId="2" fillId="0" borderId="1" xfId="1" applyNumberFormat="1" applyFont="1" applyBorder="1" applyAlignment="1">
      <alignment horizontal="right" vertical="top" wrapText="1"/>
    </xf>
    <xf numFmtId="2" fontId="2" fillId="0" borderId="1" xfId="1" applyNumberFormat="1" applyFont="1" applyBorder="1" applyAlignment="1">
      <alignment horizontal="right" vertical="top" wrapText="1"/>
    </xf>
    <xf numFmtId="0" fontId="5" fillId="0" borderId="0" xfId="0" applyFont="1"/>
    <xf numFmtId="0" fontId="6" fillId="2" borderId="1" xfId="1" applyNumberFormat="1" applyFont="1" applyFill="1" applyBorder="1" applyAlignment="1">
      <alignment horizontal="center" vertical="top"/>
    </xf>
    <xf numFmtId="0" fontId="6" fillId="2" borderId="1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right" vertical="top" wrapText="1"/>
    </xf>
    <xf numFmtId="0" fontId="7" fillId="2" borderId="1" xfId="1" applyNumberFormat="1" applyFont="1" applyFill="1" applyBorder="1" applyAlignment="1">
      <alignment vertical="top" wrapText="1"/>
    </xf>
    <xf numFmtId="165" fontId="8" fillId="2" borderId="1" xfId="1" applyNumberFormat="1" applyFont="1" applyFill="1" applyBorder="1" applyAlignment="1">
      <alignment horizontal="right" vertical="top" wrapText="1"/>
    </xf>
    <xf numFmtId="4" fontId="8" fillId="2" borderId="1" xfId="1" applyNumberFormat="1" applyFont="1" applyFill="1" applyBorder="1" applyAlignment="1">
      <alignment horizontal="right" vertical="top" wrapText="1"/>
    </xf>
    <xf numFmtId="0" fontId="8" fillId="2" borderId="1" xfId="1" applyNumberFormat="1" applyFont="1" applyFill="1" applyBorder="1" applyAlignment="1">
      <alignment horizontal="right" vertical="top" wrapText="1"/>
    </xf>
    <xf numFmtId="4" fontId="2" fillId="3" borderId="1" xfId="1" applyNumberFormat="1" applyFont="1" applyFill="1" applyBorder="1" applyAlignment="1">
      <alignment horizontal="right" vertical="top" wrapText="1"/>
    </xf>
    <xf numFmtId="4" fontId="2" fillId="4" borderId="1" xfId="1" applyNumberFormat="1" applyFont="1" applyFill="1" applyBorder="1" applyAlignment="1">
      <alignment horizontal="right" vertical="top" wrapText="1"/>
    </xf>
    <xf numFmtId="2" fontId="2" fillId="4" borderId="1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4" fontId="0" fillId="3" borderId="0" xfId="0" applyNumberFormat="1" applyFill="1"/>
    <xf numFmtId="4" fontId="9" fillId="0" borderId="1" xfId="1" applyNumberFormat="1" applyFont="1" applyBorder="1" applyAlignment="1">
      <alignment horizontal="right" vertical="top" wrapText="1"/>
    </xf>
    <xf numFmtId="165" fontId="9" fillId="2" borderId="1" xfId="1" applyNumberFormat="1" applyFont="1" applyFill="1" applyBorder="1" applyAlignment="1">
      <alignment horizontal="right" vertical="top" wrapText="1"/>
    </xf>
    <xf numFmtId="4" fontId="9" fillId="3" borderId="1" xfId="1" applyNumberFormat="1" applyFont="1" applyFill="1" applyBorder="1" applyAlignment="1">
      <alignment horizontal="right" vertical="top" wrapText="1"/>
    </xf>
    <xf numFmtId="2" fontId="9" fillId="0" borderId="1" xfId="1" applyNumberFormat="1" applyFont="1" applyBorder="1" applyAlignment="1">
      <alignment horizontal="right" vertical="top" wrapText="1"/>
    </xf>
    <xf numFmtId="0" fontId="2" fillId="0" borderId="1" xfId="1" applyNumberFormat="1" applyFont="1" applyFill="1" applyBorder="1" applyAlignment="1">
      <alignment horizontal="right" vertical="top" wrapText="1"/>
    </xf>
    <xf numFmtId="4" fontId="2" fillId="5" borderId="1" xfId="1" applyNumberFormat="1" applyFont="1" applyFill="1" applyBorder="1" applyAlignment="1">
      <alignment horizontal="right" vertical="top" wrapText="1"/>
    </xf>
    <xf numFmtId="165" fontId="0" fillId="0" borderId="0" xfId="0" applyNumberFormat="1"/>
    <xf numFmtId="4" fontId="1" fillId="3" borderId="0" xfId="0" applyNumberFormat="1" applyFont="1" applyFill="1"/>
    <xf numFmtId="4" fontId="2" fillId="6" borderId="1" xfId="1" applyNumberFormat="1" applyFont="1" applyFill="1" applyBorder="1" applyAlignment="1">
      <alignment horizontal="right" vertical="top" wrapText="1"/>
    </xf>
    <xf numFmtId="4" fontId="1" fillId="0" borderId="0" xfId="0" applyNumberFormat="1" applyFont="1"/>
    <xf numFmtId="0" fontId="1" fillId="0" borderId="0" xfId="0" applyFont="1"/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45"/>
  <sheetViews>
    <sheetView tabSelected="1" zoomScale="115" zoomScaleNormal="115" workbookViewId="0">
      <selection activeCell="H41" sqref="H41"/>
    </sheetView>
  </sheetViews>
  <sheetFormatPr defaultRowHeight="14.4" outlineLevelRow="1" x14ac:dyDescent="0.3"/>
  <cols>
    <col min="1" max="1" width="47" bestFit="1" customWidth="1"/>
    <col min="2" max="2" width="8.33203125" style="6" bestFit="1" customWidth="1"/>
    <col min="3" max="3" width="12.77734375" style="6" bestFit="1" customWidth="1"/>
    <col min="4" max="4" width="12.6640625" style="6" customWidth="1"/>
    <col min="5" max="5" width="12.77734375" style="6" bestFit="1" customWidth="1"/>
    <col min="6" max="6" width="12.6640625" style="6" customWidth="1"/>
    <col min="7" max="7" width="11.77734375" style="6" bestFit="1" customWidth="1"/>
    <col min="9" max="9" width="10.33203125" bestFit="1" customWidth="1"/>
    <col min="10" max="10" width="11.88671875" bestFit="1" customWidth="1"/>
    <col min="11" max="12" width="10.33203125" bestFit="1" customWidth="1"/>
  </cols>
  <sheetData>
    <row r="2" spans="1:11" ht="14.4" customHeight="1" x14ac:dyDescent="0.3">
      <c r="A2" s="1" t="s">
        <v>72</v>
      </c>
      <c r="B2" s="7" t="s">
        <v>252</v>
      </c>
      <c r="C2" s="7"/>
      <c r="D2" s="7" t="s">
        <v>253</v>
      </c>
      <c r="E2" s="7"/>
      <c r="F2" s="7" t="s">
        <v>254</v>
      </c>
      <c r="G2" s="7"/>
    </row>
    <row r="3" spans="1:11" x14ac:dyDescent="0.3">
      <c r="A3" s="1" t="s">
        <v>73</v>
      </c>
      <c r="B3" s="8" t="s">
        <v>255</v>
      </c>
      <c r="C3" s="8" t="s">
        <v>256</v>
      </c>
      <c r="D3" s="8" t="s">
        <v>255</v>
      </c>
      <c r="E3" s="8" t="s">
        <v>256</v>
      </c>
      <c r="F3" s="8" t="s">
        <v>255</v>
      </c>
      <c r="G3" s="8" t="s">
        <v>256</v>
      </c>
    </row>
    <row r="4" spans="1:11" ht="14.4" customHeight="1" x14ac:dyDescent="0.3">
      <c r="A4" s="10" t="s">
        <v>74</v>
      </c>
      <c r="B4" s="11">
        <v>9.7100000000000009</v>
      </c>
      <c r="C4" s="12">
        <v>22436.959999999999</v>
      </c>
      <c r="D4" s="11">
        <v>0</v>
      </c>
      <c r="E4" s="13"/>
      <c r="F4" s="11">
        <v>9.7100000000000009</v>
      </c>
      <c r="G4" s="12">
        <v>22436.959999999999</v>
      </c>
    </row>
    <row r="5" spans="1:11" ht="14.4" customHeight="1" outlineLevel="1" x14ac:dyDescent="0.3">
      <c r="A5" s="2" t="s">
        <v>75</v>
      </c>
      <c r="B5" s="9">
        <v>9</v>
      </c>
      <c r="C5" s="3">
        <v>1166.55</v>
      </c>
      <c r="D5" s="9">
        <v>0</v>
      </c>
      <c r="E5" s="4"/>
      <c r="F5" s="9">
        <v>9</v>
      </c>
      <c r="G5" s="3">
        <v>1166.55</v>
      </c>
    </row>
    <row r="6" spans="1:11" ht="14.4" customHeight="1" outlineLevel="1" x14ac:dyDescent="0.3">
      <c r="A6" s="2" t="s">
        <v>76</v>
      </c>
      <c r="B6" s="9">
        <v>0.71</v>
      </c>
      <c r="C6" s="3">
        <v>21270.41</v>
      </c>
      <c r="D6" s="9">
        <v>0</v>
      </c>
      <c r="E6" s="4"/>
      <c r="F6" s="9">
        <v>0.71</v>
      </c>
      <c r="G6" s="3">
        <v>21270.41</v>
      </c>
    </row>
    <row r="7" spans="1:11" ht="14.4" customHeight="1" x14ac:dyDescent="0.3">
      <c r="A7" s="10" t="s">
        <v>0</v>
      </c>
      <c r="B7" s="11">
        <v>16011.004999999999</v>
      </c>
      <c r="C7" s="12">
        <v>6968431.4299999997</v>
      </c>
      <c r="D7" s="11">
        <v>15292.677</v>
      </c>
      <c r="E7" s="12">
        <v>6778983.4100000001</v>
      </c>
      <c r="F7" s="11">
        <v>718.32799999999997</v>
      </c>
      <c r="G7" s="12">
        <v>189448.02</v>
      </c>
      <c r="I7" s="17">
        <f>SUM(G8:G65)-G39-G40-G41</f>
        <v>161926.29</v>
      </c>
      <c r="J7" s="26">
        <f>I7*1.2</f>
        <v>194311.54800000001</v>
      </c>
      <c r="K7" t="s">
        <v>270</v>
      </c>
    </row>
    <row r="8" spans="1:11" ht="14.4" customHeight="1" outlineLevel="1" x14ac:dyDescent="0.3">
      <c r="A8" s="2" t="s">
        <v>1</v>
      </c>
      <c r="B8" s="9">
        <v>26</v>
      </c>
      <c r="C8" s="3">
        <v>1417</v>
      </c>
      <c r="D8" s="9">
        <v>0</v>
      </c>
      <c r="E8" s="4"/>
      <c r="F8" s="9">
        <v>26</v>
      </c>
      <c r="G8" s="3">
        <v>1417</v>
      </c>
    </row>
    <row r="9" spans="1:11" ht="14.4" customHeight="1" outlineLevel="1" x14ac:dyDescent="0.3">
      <c r="A9" s="2" t="s">
        <v>2</v>
      </c>
      <c r="B9" s="9">
        <v>44</v>
      </c>
      <c r="C9" s="3">
        <v>16995</v>
      </c>
      <c r="D9" s="9">
        <v>44</v>
      </c>
      <c r="E9" s="3">
        <v>16994.990000000002</v>
      </c>
      <c r="F9" s="9">
        <v>0</v>
      </c>
      <c r="G9" s="5">
        <v>0.01</v>
      </c>
    </row>
    <row r="10" spans="1:11" ht="14.4" customHeight="1" outlineLevel="1" x14ac:dyDescent="0.3">
      <c r="A10" s="2" t="s">
        <v>3</v>
      </c>
      <c r="B10" s="9">
        <v>5</v>
      </c>
      <c r="C10" s="3">
        <v>5857</v>
      </c>
      <c r="D10" s="9">
        <v>0</v>
      </c>
      <c r="E10" s="4"/>
      <c r="F10" s="9">
        <v>5</v>
      </c>
      <c r="G10" s="3">
        <v>5857</v>
      </c>
    </row>
    <row r="11" spans="1:11" ht="14.4" customHeight="1" outlineLevel="1" x14ac:dyDescent="0.3">
      <c r="A11" s="2" t="s">
        <v>4</v>
      </c>
      <c r="B11" s="9">
        <v>1.86</v>
      </c>
      <c r="C11" s="3">
        <v>48979.99</v>
      </c>
      <c r="D11" s="9">
        <v>1.86</v>
      </c>
      <c r="E11" s="3">
        <v>48979.99</v>
      </c>
      <c r="F11" s="9">
        <v>0</v>
      </c>
      <c r="G11" s="4"/>
    </row>
    <row r="12" spans="1:11" ht="14.4" customHeight="1" outlineLevel="1" x14ac:dyDescent="0.3">
      <c r="A12" s="2" t="s">
        <v>5</v>
      </c>
      <c r="B12" s="9">
        <v>7.59</v>
      </c>
      <c r="C12" s="3">
        <v>199869.97</v>
      </c>
      <c r="D12" s="9">
        <v>7.59</v>
      </c>
      <c r="E12" s="3">
        <v>199869.97</v>
      </c>
      <c r="F12" s="9">
        <v>0</v>
      </c>
      <c r="G12" s="4"/>
    </row>
    <row r="13" spans="1:11" ht="14.4" customHeight="1" outlineLevel="1" x14ac:dyDescent="0.3">
      <c r="A13" s="2" t="s">
        <v>6</v>
      </c>
      <c r="B13" s="9">
        <v>60.884999999999998</v>
      </c>
      <c r="C13" s="3">
        <v>1542419.79</v>
      </c>
      <c r="D13" s="9">
        <v>60.884999999999998</v>
      </c>
      <c r="E13" s="3">
        <v>1542419.79</v>
      </c>
      <c r="F13" s="9">
        <v>0</v>
      </c>
      <c r="G13" s="4"/>
    </row>
    <row r="14" spans="1:11" ht="14.4" customHeight="1" outlineLevel="1" x14ac:dyDescent="0.3">
      <c r="A14" s="2" t="s">
        <v>7</v>
      </c>
      <c r="B14" s="9">
        <v>50.96</v>
      </c>
      <c r="C14" s="3">
        <v>1290986.5</v>
      </c>
      <c r="D14" s="9">
        <v>50.96</v>
      </c>
      <c r="E14" s="3">
        <v>1290986.5</v>
      </c>
      <c r="F14" s="9">
        <v>0</v>
      </c>
      <c r="G14" s="4"/>
    </row>
    <row r="15" spans="1:11" ht="14.4" customHeight="1" outlineLevel="1" x14ac:dyDescent="0.3">
      <c r="A15" s="2" t="s">
        <v>8</v>
      </c>
      <c r="B15" s="9">
        <v>5.56</v>
      </c>
      <c r="C15" s="3">
        <v>140853.31</v>
      </c>
      <c r="D15" s="9">
        <v>5.56</v>
      </c>
      <c r="E15" s="3">
        <v>140853.31</v>
      </c>
      <c r="F15" s="9">
        <v>0</v>
      </c>
      <c r="G15" s="4"/>
    </row>
    <row r="16" spans="1:11" ht="14.4" customHeight="1" outlineLevel="1" x14ac:dyDescent="0.3">
      <c r="A16" s="2" t="s">
        <v>9</v>
      </c>
      <c r="B16" s="9">
        <v>7.8</v>
      </c>
      <c r="C16" s="3">
        <v>14859</v>
      </c>
      <c r="D16" s="9">
        <v>7.8</v>
      </c>
      <c r="E16" s="3">
        <v>14859</v>
      </c>
      <c r="F16" s="9">
        <v>0</v>
      </c>
      <c r="G16" s="4"/>
    </row>
    <row r="17" spans="1:7" ht="14.4" customHeight="1" outlineLevel="1" x14ac:dyDescent="0.3">
      <c r="A17" s="2" t="s">
        <v>10</v>
      </c>
      <c r="B17" s="9">
        <v>5</v>
      </c>
      <c r="C17" s="3">
        <v>9625</v>
      </c>
      <c r="D17" s="9">
        <v>5</v>
      </c>
      <c r="E17" s="3">
        <v>9625</v>
      </c>
      <c r="F17" s="9">
        <v>0</v>
      </c>
      <c r="G17" s="4"/>
    </row>
    <row r="18" spans="1:7" ht="14.4" customHeight="1" outlineLevel="1" x14ac:dyDescent="0.3">
      <c r="A18" s="2" t="s">
        <v>11</v>
      </c>
      <c r="B18" s="9">
        <v>17.5</v>
      </c>
      <c r="C18" s="3">
        <v>47075</v>
      </c>
      <c r="D18" s="9">
        <v>17.5</v>
      </c>
      <c r="E18" s="3">
        <v>47075</v>
      </c>
      <c r="F18" s="9">
        <v>0</v>
      </c>
      <c r="G18" s="4"/>
    </row>
    <row r="19" spans="1:7" ht="14.4" customHeight="1" outlineLevel="1" x14ac:dyDescent="0.3">
      <c r="A19" s="2" t="s">
        <v>12</v>
      </c>
      <c r="B19" s="9">
        <v>10</v>
      </c>
      <c r="C19" s="3">
        <v>26872.02</v>
      </c>
      <c r="D19" s="9">
        <v>10</v>
      </c>
      <c r="E19" s="3">
        <v>26872.02</v>
      </c>
      <c r="F19" s="9">
        <v>0</v>
      </c>
      <c r="G19" s="4"/>
    </row>
    <row r="20" spans="1:7" ht="14.4" customHeight="1" outlineLevel="1" x14ac:dyDescent="0.3">
      <c r="A20" s="2" t="s">
        <v>13</v>
      </c>
      <c r="B20" s="9">
        <v>65.5</v>
      </c>
      <c r="C20" s="3">
        <v>198863.07</v>
      </c>
      <c r="D20" s="9">
        <v>65.5</v>
      </c>
      <c r="E20" s="3">
        <v>198863.07</v>
      </c>
      <c r="F20" s="9">
        <v>0</v>
      </c>
      <c r="G20" s="4"/>
    </row>
    <row r="21" spans="1:7" ht="14.4" customHeight="1" outlineLevel="1" x14ac:dyDescent="0.3">
      <c r="A21" s="2" t="s">
        <v>14</v>
      </c>
      <c r="B21" s="9">
        <v>63.5</v>
      </c>
      <c r="C21" s="3">
        <v>173705.55</v>
      </c>
      <c r="D21" s="9">
        <v>63.5</v>
      </c>
      <c r="E21" s="3">
        <v>173705.55</v>
      </c>
      <c r="F21" s="9">
        <v>0</v>
      </c>
      <c r="G21" s="4"/>
    </row>
    <row r="22" spans="1:7" ht="14.4" customHeight="1" outlineLevel="1" x14ac:dyDescent="0.3">
      <c r="A22" s="2" t="s">
        <v>15</v>
      </c>
      <c r="B22" s="9">
        <v>255</v>
      </c>
      <c r="C22" s="3">
        <v>951985.48</v>
      </c>
      <c r="D22" s="9">
        <v>255</v>
      </c>
      <c r="E22" s="3">
        <v>951985.48</v>
      </c>
      <c r="F22" s="9">
        <v>0</v>
      </c>
      <c r="G22" s="4"/>
    </row>
    <row r="23" spans="1:7" ht="14.4" customHeight="1" outlineLevel="1" x14ac:dyDescent="0.3">
      <c r="A23" s="2" t="s">
        <v>16</v>
      </c>
      <c r="B23" s="9">
        <v>9</v>
      </c>
      <c r="C23" s="3">
        <v>34426.080000000002</v>
      </c>
      <c r="D23" s="9">
        <v>9</v>
      </c>
      <c r="E23" s="3">
        <v>34426.080000000002</v>
      </c>
      <c r="F23" s="9">
        <v>0</v>
      </c>
      <c r="G23" s="4"/>
    </row>
    <row r="24" spans="1:7" ht="14.4" customHeight="1" outlineLevel="1" x14ac:dyDescent="0.3">
      <c r="A24" s="2" t="s">
        <v>17</v>
      </c>
      <c r="B24" s="9">
        <v>9.5</v>
      </c>
      <c r="C24" s="3">
        <v>34964.230000000003</v>
      </c>
      <c r="D24" s="9">
        <v>9.5</v>
      </c>
      <c r="E24" s="3">
        <v>34964.230000000003</v>
      </c>
      <c r="F24" s="9">
        <v>0</v>
      </c>
      <c r="G24" s="4"/>
    </row>
    <row r="25" spans="1:7" ht="14.4" customHeight="1" outlineLevel="1" x14ac:dyDescent="0.3">
      <c r="A25" s="2" t="s">
        <v>18</v>
      </c>
      <c r="B25" s="9">
        <v>187</v>
      </c>
      <c r="C25" s="3">
        <v>677744.2</v>
      </c>
      <c r="D25" s="9">
        <v>187</v>
      </c>
      <c r="E25" s="3">
        <v>677744.2</v>
      </c>
      <c r="F25" s="9">
        <v>0</v>
      </c>
      <c r="G25" s="4"/>
    </row>
    <row r="26" spans="1:7" ht="14.4" customHeight="1" outlineLevel="1" x14ac:dyDescent="0.3">
      <c r="A26" s="2" t="s">
        <v>19</v>
      </c>
      <c r="B26" s="9">
        <v>10</v>
      </c>
      <c r="C26" s="3">
        <v>3830</v>
      </c>
      <c r="D26" s="9">
        <v>10</v>
      </c>
      <c r="E26" s="3">
        <v>3830</v>
      </c>
      <c r="F26" s="9">
        <v>0</v>
      </c>
      <c r="G26" s="4"/>
    </row>
    <row r="27" spans="1:7" ht="14.4" customHeight="1" outlineLevel="1" x14ac:dyDescent="0.3">
      <c r="A27" s="2" t="s">
        <v>20</v>
      </c>
      <c r="B27" s="9">
        <v>187</v>
      </c>
      <c r="C27" s="3">
        <v>14212</v>
      </c>
      <c r="D27" s="9">
        <v>0</v>
      </c>
      <c r="E27" s="4"/>
      <c r="F27" s="9">
        <v>187</v>
      </c>
      <c r="G27" s="3">
        <v>14212</v>
      </c>
    </row>
    <row r="28" spans="1:7" ht="14.4" customHeight="1" outlineLevel="1" x14ac:dyDescent="0.3">
      <c r="A28" s="2" t="s">
        <v>21</v>
      </c>
      <c r="B28" s="9">
        <v>16</v>
      </c>
      <c r="C28" s="3">
        <v>3424</v>
      </c>
      <c r="D28" s="9">
        <v>16</v>
      </c>
      <c r="E28" s="3">
        <v>3424</v>
      </c>
      <c r="F28" s="9">
        <v>0</v>
      </c>
      <c r="G28" s="4"/>
    </row>
    <row r="29" spans="1:7" ht="14.4" customHeight="1" outlineLevel="1" x14ac:dyDescent="0.3">
      <c r="A29" s="2" t="s">
        <v>22</v>
      </c>
      <c r="B29" s="9">
        <v>885.18</v>
      </c>
      <c r="C29" s="3">
        <v>221295</v>
      </c>
      <c r="D29" s="9">
        <v>885.18</v>
      </c>
      <c r="E29" s="3">
        <v>221295</v>
      </c>
      <c r="F29" s="9">
        <v>0</v>
      </c>
      <c r="G29" s="4"/>
    </row>
    <row r="30" spans="1:7" ht="14.4" customHeight="1" outlineLevel="1" x14ac:dyDescent="0.3">
      <c r="A30" s="2" t="s">
        <v>23</v>
      </c>
      <c r="B30" s="9">
        <v>70</v>
      </c>
      <c r="C30" s="3">
        <v>8260</v>
      </c>
      <c r="D30" s="9">
        <v>70</v>
      </c>
      <c r="E30" s="3">
        <v>8260</v>
      </c>
      <c r="F30" s="9">
        <v>0</v>
      </c>
      <c r="G30" s="4"/>
    </row>
    <row r="31" spans="1:7" ht="14.4" customHeight="1" outlineLevel="1" x14ac:dyDescent="0.3">
      <c r="A31" s="2" t="s">
        <v>24</v>
      </c>
      <c r="B31" s="9">
        <v>132</v>
      </c>
      <c r="C31" s="3">
        <v>19668</v>
      </c>
      <c r="D31" s="9">
        <v>132</v>
      </c>
      <c r="E31" s="3">
        <v>19668</v>
      </c>
      <c r="F31" s="9">
        <v>0</v>
      </c>
      <c r="G31" s="4"/>
    </row>
    <row r="32" spans="1:7" ht="14.4" customHeight="1" outlineLevel="1" x14ac:dyDescent="0.3">
      <c r="A32" s="2" t="s">
        <v>25</v>
      </c>
      <c r="B32" s="9">
        <v>0.42</v>
      </c>
      <c r="C32" s="3">
        <v>13720</v>
      </c>
      <c r="D32" s="9">
        <v>0.222</v>
      </c>
      <c r="E32" s="3">
        <v>7252</v>
      </c>
      <c r="F32" s="9">
        <v>0.19800000000000001</v>
      </c>
      <c r="G32" s="3">
        <v>6468</v>
      </c>
    </row>
    <row r="33" spans="1:8" ht="14.4" customHeight="1" outlineLevel="1" x14ac:dyDescent="0.3">
      <c r="A33" s="2" t="s">
        <v>26</v>
      </c>
      <c r="B33" s="9">
        <v>20</v>
      </c>
      <c r="C33" s="5">
        <v>450</v>
      </c>
      <c r="D33" s="9">
        <v>0</v>
      </c>
      <c r="E33" s="4"/>
      <c r="F33" s="9">
        <v>20</v>
      </c>
      <c r="G33" s="5">
        <v>450</v>
      </c>
    </row>
    <row r="34" spans="1:8" ht="14.4" customHeight="1" outlineLevel="1" x14ac:dyDescent="0.3">
      <c r="A34" s="2" t="s">
        <v>27</v>
      </c>
      <c r="B34" s="9">
        <v>3</v>
      </c>
      <c r="C34" s="5">
        <v>224.4</v>
      </c>
      <c r="D34" s="9">
        <v>3</v>
      </c>
      <c r="E34" s="5">
        <v>224.4</v>
      </c>
      <c r="F34" s="9">
        <v>0</v>
      </c>
      <c r="G34" s="4"/>
    </row>
    <row r="35" spans="1:8" ht="14.4" customHeight="1" outlineLevel="1" x14ac:dyDescent="0.3">
      <c r="A35" s="2" t="s">
        <v>28</v>
      </c>
      <c r="B35" s="9">
        <v>1</v>
      </c>
      <c r="C35" s="5">
        <v>875</v>
      </c>
      <c r="D35" s="9">
        <v>0</v>
      </c>
      <c r="E35" s="4"/>
      <c r="F35" s="9">
        <v>1</v>
      </c>
      <c r="G35" s="5">
        <v>875</v>
      </c>
    </row>
    <row r="36" spans="1:8" ht="14.4" customHeight="1" outlineLevel="1" x14ac:dyDescent="0.3">
      <c r="A36" s="2" t="s">
        <v>29</v>
      </c>
      <c r="B36" s="9">
        <v>3</v>
      </c>
      <c r="C36" s="5">
        <v>390.15</v>
      </c>
      <c r="D36" s="9">
        <v>3</v>
      </c>
      <c r="E36" s="5">
        <v>390.15</v>
      </c>
      <c r="F36" s="9">
        <v>0</v>
      </c>
      <c r="G36" s="4"/>
    </row>
    <row r="37" spans="1:8" ht="14.4" customHeight="1" outlineLevel="1" x14ac:dyDescent="0.3">
      <c r="A37" s="2" t="s">
        <v>30</v>
      </c>
      <c r="B37" s="9">
        <v>12</v>
      </c>
      <c r="C37" s="3">
        <v>1620</v>
      </c>
      <c r="D37" s="9">
        <v>12</v>
      </c>
      <c r="E37" s="3">
        <v>1620</v>
      </c>
      <c r="F37" s="9">
        <v>0</v>
      </c>
      <c r="G37" s="4"/>
    </row>
    <row r="38" spans="1:8" ht="14.4" customHeight="1" outlineLevel="1" x14ac:dyDescent="0.3">
      <c r="A38" s="2" t="s">
        <v>31</v>
      </c>
      <c r="B38" s="9">
        <v>24</v>
      </c>
      <c r="C38" s="3">
        <v>4560</v>
      </c>
      <c r="D38" s="9">
        <v>24</v>
      </c>
      <c r="E38" s="3">
        <v>4560</v>
      </c>
      <c r="F38" s="9">
        <v>0</v>
      </c>
      <c r="G38" s="4"/>
    </row>
    <row r="39" spans="1:8" ht="14.4" customHeight="1" outlineLevel="1" x14ac:dyDescent="0.3">
      <c r="A39" s="2" t="s">
        <v>32</v>
      </c>
      <c r="B39" s="9">
        <v>273.36</v>
      </c>
      <c r="C39" s="3">
        <v>72896</v>
      </c>
      <c r="D39" s="9">
        <v>273.36</v>
      </c>
      <c r="E39" s="3">
        <v>67592.02</v>
      </c>
      <c r="F39" s="9">
        <v>0</v>
      </c>
      <c r="G39" s="27">
        <v>5303.98</v>
      </c>
      <c r="H39" t="s">
        <v>273</v>
      </c>
    </row>
    <row r="40" spans="1:8" ht="14.4" customHeight="1" outlineLevel="1" x14ac:dyDescent="0.3">
      <c r="A40" s="2" t="s">
        <v>33</v>
      </c>
      <c r="B40" s="9">
        <v>325.72000000000003</v>
      </c>
      <c r="C40" s="3">
        <v>81430</v>
      </c>
      <c r="D40" s="9">
        <v>325.72000000000003</v>
      </c>
      <c r="E40" s="3">
        <v>70827.87</v>
      </c>
      <c r="F40" s="9">
        <v>0</v>
      </c>
      <c r="G40" s="27">
        <v>10602.13</v>
      </c>
      <c r="H40" t="s">
        <v>273</v>
      </c>
    </row>
    <row r="41" spans="1:8" ht="14.4" customHeight="1" outlineLevel="1" x14ac:dyDescent="0.3">
      <c r="A41" s="2" t="s">
        <v>34</v>
      </c>
      <c r="B41" s="9">
        <v>2028.38</v>
      </c>
      <c r="C41" s="3">
        <v>515912.52</v>
      </c>
      <c r="D41" s="9">
        <v>2028.38</v>
      </c>
      <c r="E41" s="3">
        <v>504296.9</v>
      </c>
      <c r="F41" s="9">
        <v>0</v>
      </c>
      <c r="G41" s="27">
        <v>11615.62</v>
      </c>
      <c r="H41" t="s">
        <v>273</v>
      </c>
    </row>
    <row r="42" spans="1:8" ht="14.4" customHeight="1" outlineLevel="1" x14ac:dyDescent="0.3">
      <c r="A42" s="2" t="s">
        <v>35</v>
      </c>
      <c r="B42" s="9">
        <v>2</v>
      </c>
      <c r="C42" s="3">
        <v>1811.25</v>
      </c>
      <c r="D42" s="9">
        <v>2</v>
      </c>
      <c r="E42" s="3">
        <v>1811.25</v>
      </c>
      <c r="F42" s="9">
        <v>0</v>
      </c>
      <c r="G42" s="4"/>
    </row>
    <row r="43" spans="1:8" ht="14.4" customHeight="1" outlineLevel="1" x14ac:dyDescent="0.3">
      <c r="A43" s="2" t="s">
        <v>36</v>
      </c>
      <c r="B43" s="9">
        <v>5</v>
      </c>
      <c r="C43" s="3">
        <v>2278</v>
      </c>
      <c r="D43" s="9">
        <v>5</v>
      </c>
      <c r="E43" s="3">
        <v>2278</v>
      </c>
      <c r="F43" s="9">
        <v>0</v>
      </c>
      <c r="G43" s="4"/>
    </row>
    <row r="44" spans="1:8" ht="14.4" customHeight="1" outlineLevel="1" x14ac:dyDescent="0.3">
      <c r="A44" s="2" t="s">
        <v>37</v>
      </c>
      <c r="B44" s="9">
        <v>0.03</v>
      </c>
      <c r="C44" s="5">
        <v>699.79</v>
      </c>
      <c r="D44" s="9">
        <v>0</v>
      </c>
      <c r="E44" s="4"/>
      <c r="F44" s="9">
        <v>0.03</v>
      </c>
      <c r="G44" s="5">
        <v>699.79</v>
      </c>
    </row>
    <row r="45" spans="1:8" ht="14.4" customHeight="1" outlineLevel="1" x14ac:dyDescent="0.3">
      <c r="A45" s="2" t="s">
        <v>38</v>
      </c>
      <c r="B45" s="9">
        <v>8</v>
      </c>
      <c r="C45" s="3">
        <v>1518</v>
      </c>
      <c r="D45" s="9">
        <v>0</v>
      </c>
      <c r="E45" s="4"/>
      <c r="F45" s="9">
        <v>8</v>
      </c>
      <c r="G45" s="3">
        <v>1518</v>
      </c>
    </row>
    <row r="46" spans="1:8" ht="14.4" customHeight="1" outlineLevel="1" x14ac:dyDescent="0.3">
      <c r="A46" s="2" t="s">
        <v>39</v>
      </c>
      <c r="B46" s="9">
        <v>5</v>
      </c>
      <c r="C46" s="3">
        <v>1162.75</v>
      </c>
      <c r="D46" s="9">
        <v>0</v>
      </c>
      <c r="E46" s="4"/>
      <c r="F46" s="9">
        <v>5</v>
      </c>
      <c r="G46" s="3">
        <v>1162.75</v>
      </c>
    </row>
    <row r="47" spans="1:8" ht="14.4" customHeight="1" outlineLevel="1" x14ac:dyDescent="0.3">
      <c r="A47" s="2" t="s">
        <v>40</v>
      </c>
      <c r="B47" s="9">
        <v>10</v>
      </c>
      <c r="C47" s="5">
        <v>600.5</v>
      </c>
      <c r="D47" s="9">
        <v>0</v>
      </c>
      <c r="E47" s="4"/>
      <c r="F47" s="9">
        <v>10</v>
      </c>
      <c r="G47" s="5">
        <v>600.5</v>
      </c>
    </row>
    <row r="48" spans="1:8" ht="14.4" customHeight="1" outlineLevel="1" x14ac:dyDescent="0.3">
      <c r="A48" s="2" t="s">
        <v>41</v>
      </c>
      <c r="B48" s="9">
        <v>6</v>
      </c>
      <c r="C48" s="3">
        <v>3949.8</v>
      </c>
      <c r="D48" s="9">
        <v>0</v>
      </c>
      <c r="E48" s="4"/>
      <c r="F48" s="9">
        <v>6</v>
      </c>
      <c r="G48" s="3">
        <v>3949.8</v>
      </c>
    </row>
    <row r="49" spans="1:8" ht="14.4" customHeight="1" outlineLevel="1" x14ac:dyDescent="0.3">
      <c r="A49" s="2" t="s">
        <v>42</v>
      </c>
      <c r="B49" s="9">
        <v>0.8</v>
      </c>
      <c r="C49" s="3">
        <v>2730.88</v>
      </c>
      <c r="D49" s="9">
        <v>0</v>
      </c>
      <c r="E49" s="4"/>
      <c r="F49" s="9">
        <v>0.8</v>
      </c>
      <c r="G49" s="3">
        <v>2730.88</v>
      </c>
    </row>
    <row r="50" spans="1:8" ht="14.4" customHeight="1" outlineLevel="1" x14ac:dyDescent="0.3">
      <c r="A50" s="2" t="s">
        <v>43</v>
      </c>
      <c r="B50" s="9">
        <v>0.3</v>
      </c>
      <c r="C50" s="3">
        <v>2428.77</v>
      </c>
      <c r="D50" s="9">
        <v>0</v>
      </c>
      <c r="E50" s="4"/>
      <c r="F50" s="9">
        <v>0.3</v>
      </c>
      <c r="G50" s="3">
        <v>2428.77</v>
      </c>
    </row>
    <row r="51" spans="1:8" ht="14.4" customHeight="1" outlineLevel="1" x14ac:dyDescent="0.3">
      <c r="A51" s="2" t="s">
        <v>44</v>
      </c>
      <c r="B51" s="9">
        <v>300</v>
      </c>
      <c r="C51" s="3">
        <v>3015</v>
      </c>
      <c r="D51" s="9">
        <v>0</v>
      </c>
      <c r="E51" s="4"/>
      <c r="F51" s="9">
        <v>300</v>
      </c>
      <c r="G51" s="3">
        <v>3015</v>
      </c>
    </row>
    <row r="52" spans="1:8" ht="14.4" customHeight="1" outlineLevel="1" x14ac:dyDescent="0.3">
      <c r="A52" s="2" t="s">
        <v>45</v>
      </c>
      <c r="B52" s="9">
        <v>41</v>
      </c>
      <c r="C52" s="3">
        <v>105748.43</v>
      </c>
      <c r="D52" s="9">
        <v>3</v>
      </c>
      <c r="E52" s="3">
        <v>7737.69</v>
      </c>
      <c r="F52" s="9">
        <v>38</v>
      </c>
      <c r="G52" s="3">
        <v>98010.74</v>
      </c>
    </row>
    <row r="53" spans="1:8" ht="14.4" customHeight="1" outlineLevel="1" x14ac:dyDescent="0.3">
      <c r="A53" s="2" t="s">
        <v>46</v>
      </c>
      <c r="B53" s="9">
        <v>2000</v>
      </c>
      <c r="C53" s="3">
        <v>2620</v>
      </c>
      <c r="D53" s="9">
        <v>2000</v>
      </c>
      <c r="E53" s="3">
        <v>2620</v>
      </c>
      <c r="F53" s="9">
        <v>0</v>
      </c>
      <c r="G53" s="4"/>
    </row>
    <row r="54" spans="1:8" ht="14.4" customHeight="1" outlineLevel="1" x14ac:dyDescent="0.3">
      <c r="A54" s="2" t="s">
        <v>47</v>
      </c>
      <c r="B54" s="9">
        <v>2000</v>
      </c>
      <c r="C54" s="3">
        <v>1000</v>
      </c>
      <c r="D54" s="9">
        <v>2000</v>
      </c>
      <c r="E54" s="3">
        <v>1000</v>
      </c>
      <c r="F54" s="9">
        <v>0</v>
      </c>
      <c r="G54" s="4"/>
    </row>
    <row r="55" spans="1:8" ht="14.4" customHeight="1" outlineLevel="1" x14ac:dyDescent="0.3">
      <c r="A55" s="2" t="s">
        <v>48</v>
      </c>
      <c r="B55" s="9">
        <v>3</v>
      </c>
      <c r="C55" s="5">
        <v>143.25</v>
      </c>
      <c r="D55" s="9">
        <v>3</v>
      </c>
      <c r="E55" s="5">
        <v>143.25</v>
      </c>
      <c r="F55" s="9">
        <v>0</v>
      </c>
      <c r="G55" s="4"/>
    </row>
    <row r="56" spans="1:8" ht="14.4" customHeight="1" outlineLevel="1" x14ac:dyDescent="0.3">
      <c r="A56" s="2" t="s">
        <v>49</v>
      </c>
      <c r="B56" s="9">
        <v>2</v>
      </c>
      <c r="C56" s="3">
        <v>10519.1</v>
      </c>
      <c r="D56" s="9">
        <v>2</v>
      </c>
      <c r="E56" s="3">
        <v>10519.1</v>
      </c>
      <c r="F56" s="9">
        <v>0</v>
      </c>
      <c r="G56" s="4"/>
    </row>
    <row r="57" spans="1:8" ht="14.4" customHeight="1" outlineLevel="1" x14ac:dyDescent="0.3">
      <c r="A57" s="2" t="s">
        <v>50</v>
      </c>
      <c r="B57" s="9">
        <v>11</v>
      </c>
      <c r="C57" s="5">
        <v>281.05</v>
      </c>
      <c r="D57" s="9">
        <v>0</v>
      </c>
      <c r="E57" s="4"/>
      <c r="F57" s="9">
        <v>11</v>
      </c>
      <c r="G57" s="5">
        <v>281.05</v>
      </c>
    </row>
    <row r="58" spans="1:8" ht="14.4" customHeight="1" outlineLevel="1" x14ac:dyDescent="0.3">
      <c r="A58" s="2" t="s">
        <v>51</v>
      </c>
      <c r="B58" s="9">
        <v>100</v>
      </c>
      <c r="C58" s="3">
        <v>18250</v>
      </c>
      <c r="D58" s="9">
        <v>0</v>
      </c>
      <c r="E58" s="4"/>
      <c r="F58" s="20">
        <v>100</v>
      </c>
      <c r="G58" s="19">
        <v>18250</v>
      </c>
      <c r="H58" t="s">
        <v>269</v>
      </c>
    </row>
    <row r="59" spans="1:8" ht="14.4" customHeight="1" outlineLevel="1" x14ac:dyDescent="0.3">
      <c r="A59" s="2" t="s">
        <v>52</v>
      </c>
      <c r="B59" s="9">
        <v>2000</v>
      </c>
      <c r="C59" s="3">
        <v>1000</v>
      </c>
      <c r="D59" s="9">
        <v>2000</v>
      </c>
      <c r="E59" s="3">
        <v>1000</v>
      </c>
      <c r="F59" s="9">
        <v>0</v>
      </c>
      <c r="G59" s="4"/>
    </row>
    <row r="60" spans="1:8" ht="14.4" customHeight="1" outlineLevel="1" x14ac:dyDescent="0.3">
      <c r="A60" s="2" t="s">
        <v>53</v>
      </c>
      <c r="B60" s="9">
        <v>1500</v>
      </c>
      <c r="C60" s="5">
        <v>437.15</v>
      </c>
      <c r="D60" s="9">
        <v>1500</v>
      </c>
      <c r="E60" s="5">
        <v>437.15</v>
      </c>
      <c r="F60" s="9">
        <v>0</v>
      </c>
      <c r="G60" s="4"/>
    </row>
    <row r="61" spans="1:8" ht="14.4" customHeight="1" outlineLevel="1" x14ac:dyDescent="0.3">
      <c r="A61" s="2" t="s">
        <v>54</v>
      </c>
      <c r="B61" s="9">
        <v>1000</v>
      </c>
      <c r="C61" s="5">
        <v>365</v>
      </c>
      <c r="D61" s="9">
        <v>1000</v>
      </c>
      <c r="E61" s="5">
        <v>365</v>
      </c>
      <c r="F61" s="9">
        <v>0</v>
      </c>
      <c r="G61" s="4"/>
    </row>
    <row r="62" spans="1:8" ht="14.4" customHeight="1" outlineLevel="1" x14ac:dyDescent="0.3">
      <c r="A62" s="2" t="s">
        <v>55</v>
      </c>
      <c r="B62" s="9">
        <v>1000</v>
      </c>
      <c r="C62" s="5">
        <v>465.6</v>
      </c>
      <c r="D62" s="9">
        <v>1000</v>
      </c>
      <c r="E62" s="5">
        <v>465.6</v>
      </c>
      <c r="F62" s="9">
        <v>0</v>
      </c>
      <c r="G62" s="4"/>
    </row>
    <row r="63" spans="1:8" ht="14.4" customHeight="1" outlineLevel="1" x14ac:dyDescent="0.3">
      <c r="A63" s="2" t="s">
        <v>56</v>
      </c>
      <c r="B63" s="9">
        <v>457.94</v>
      </c>
      <c r="C63" s="3">
        <v>172320.22</v>
      </c>
      <c r="D63" s="9">
        <v>457.94</v>
      </c>
      <c r="E63" s="3">
        <v>172320.22</v>
      </c>
      <c r="F63" s="9">
        <v>0</v>
      </c>
      <c r="G63" s="4"/>
    </row>
    <row r="64" spans="1:8" ht="14.4" customHeight="1" outlineLevel="1" x14ac:dyDescent="0.3">
      <c r="A64" s="2" t="s">
        <v>57</v>
      </c>
      <c r="B64" s="9">
        <v>700.86</v>
      </c>
      <c r="C64" s="3">
        <v>239793.63</v>
      </c>
      <c r="D64" s="9">
        <v>700.86</v>
      </c>
      <c r="E64" s="3">
        <v>239793.63</v>
      </c>
      <c r="F64" s="9">
        <v>0</v>
      </c>
      <c r="G64" s="4"/>
    </row>
    <row r="65" spans="1:12" ht="14.4" customHeight="1" outlineLevel="1" x14ac:dyDescent="0.3">
      <c r="A65" s="2" t="s">
        <v>58</v>
      </c>
      <c r="B65" s="9">
        <v>35.36</v>
      </c>
      <c r="C65" s="3">
        <v>15028</v>
      </c>
      <c r="D65" s="9">
        <v>35.36</v>
      </c>
      <c r="E65" s="3">
        <v>15028</v>
      </c>
      <c r="F65" s="9">
        <v>0</v>
      </c>
      <c r="G65" s="4"/>
    </row>
    <row r="66" spans="1:12" ht="14.4" customHeight="1" x14ac:dyDescent="0.3">
      <c r="A66" s="10" t="s">
        <v>78</v>
      </c>
      <c r="B66" s="11">
        <v>21103.851999999999</v>
      </c>
      <c r="C66" s="12">
        <v>2914752.26</v>
      </c>
      <c r="D66" s="11">
        <v>6162.21</v>
      </c>
      <c r="E66" s="12">
        <v>2616786.5</v>
      </c>
      <c r="F66" s="11">
        <v>14941.642</v>
      </c>
      <c r="G66" s="12">
        <v>297965.76</v>
      </c>
    </row>
    <row r="67" spans="1:12" ht="14.4" customHeight="1" outlineLevel="1" x14ac:dyDescent="0.3">
      <c r="A67" s="2" t="s">
        <v>79</v>
      </c>
      <c r="B67" s="9">
        <v>352</v>
      </c>
      <c r="C67" s="3">
        <v>2576.08</v>
      </c>
      <c r="D67" s="9">
        <v>0</v>
      </c>
      <c r="E67" s="4"/>
      <c r="F67" s="9">
        <v>352</v>
      </c>
      <c r="G67" s="3">
        <v>2576.08</v>
      </c>
      <c r="I67" s="25">
        <f>F103+F104+F117+F118</f>
        <v>1.492</v>
      </c>
      <c r="J67" s="17">
        <f>G103+G104+G117+G118</f>
        <v>45497.24</v>
      </c>
      <c r="K67" s="18">
        <f>J67*1.2</f>
        <v>54596.687999999995</v>
      </c>
      <c r="L67" t="s">
        <v>266</v>
      </c>
    </row>
    <row r="68" spans="1:12" ht="14.4" customHeight="1" outlineLevel="1" x14ac:dyDescent="0.3">
      <c r="A68" s="2" t="s">
        <v>2</v>
      </c>
      <c r="B68" s="9">
        <v>24</v>
      </c>
      <c r="C68" s="3">
        <v>9269.99</v>
      </c>
      <c r="D68" s="9">
        <v>24</v>
      </c>
      <c r="E68" s="3">
        <v>9269.99</v>
      </c>
      <c r="F68" s="9">
        <v>0</v>
      </c>
      <c r="G68" s="4"/>
      <c r="J68" s="17">
        <f>SUM(G84:G100)+G114+G115+G116</f>
        <v>82065.509999999995</v>
      </c>
      <c r="K68" s="18">
        <f>J68*1.2</f>
        <v>98478.611999999994</v>
      </c>
      <c r="L68" t="s">
        <v>267</v>
      </c>
    </row>
    <row r="69" spans="1:12" ht="14.4" customHeight="1" outlineLevel="1" x14ac:dyDescent="0.3">
      <c r="A69" s="2" t="s">
        <v>60</v>
      </c>
      <c r="B69" s="9">
        <v>36</v>
      </c>
      <c r="C69" s="3">
        <v>140400</v>
      </c>
      <c r="D69" s="9">
        <v>36</v>
      </c>
      <c r="E69" s="3">
        <v>140400</v>
      </c>
      <c r="F69" s="9">
        <v>0</v>
      </c>
      <c r="G69" s="4"/>
      <c r="J69" s="17">
        <f>SUM(G122:G124)</f>
        <v>62561.41</v>
      </c>
      <c r="K69" s="18">
        <f>J69*1.2</f>
        <v>75073.691999999995</v>
      </c>
      <c r="L69" t="s">
        <v>268</v>
      </c>
    </row>
    <row r="70" spans="1:12" ht="14.4" customHeight="1" outlineLevel="1" x14ac:dyDescent="0.3">
      <c r="A70" s="2" t="s">
        <v>62</v>
      </c>
      <c r="B70" s="9">
        <v>3</v>
      </c>
      <c r="C70" s="3">
        <v>11424.99</v>
      </c>
      <c r="D70" s="9">
        <v>3</v>
      </c>
      <c r="E70" s="3">
        <v>11424.99</v>
      </c>
      <c r="F70" s="9">
        <v>0</v>
      </c>
      <c r="G70" s="4"/>
      <c r="K70" s="26">
        <f>SUM(K67:K69)</f>
        <v>228148.99199999997</v>
      </c>
    </row>
    <row r="71" spans="1:12" ht="14.4" customHeight="1" outlineLevel="1" x14ac:dyDescent="0.3">
      <c r="A71" s="2" t="s">
        <v>4</v>
      </c>
      <c r="B71" s="9">
        <v>0.93899999999999995</v>
      </c>
      <c r="C71" s="3">
        <v>24726.99</v>
      </c>
      <c r="D71" s="9">
        <v>0.93899999999999995</v>
      </c>
      <c r="E71" s="3">
        <v>24726.99</v>
      </c>
      <c r="F71" s="9">
        <v>0</v>
      </c>
      <c r="G71" s="4"/>
    </row>
    <row r="72" spans="1:12" ht="14.4" customHeight="1" outlineLevel="1" x14ac:dyDescent="0.3">
      <c r="A72" s="2" t="s">
        <v>5</v>
      </c>
      <c r="B72" s="9">
        <v>0.70499999999999996</v>
      </c>
      <c r="C72" s="3">
        <v>18565</v>
      </c>
      <c r="D72" s="9">
        <v>0.62</v>
      </c>
      <c r="E72" s="3">
        <v>16326.67</v>
      </c>
      <c r="F72" s="20">
        <v>8.5000000000000006E-2</v>
      </c>
      <c r="G72" s="19">
        <v>2238.33</v>
      </c>
    </row>
    <row r="73" spans="1:12" ht="14.4" customHeight="1" outlineLevel="1" x14ac:dyDescent="0.3">
      <c r="A73" s="2" t="s">
        <v>6</v>
      </c>
      <c r="B73" s="9">
        <v>13.976000000000001</v>
      </c>
      <c r="C73" s="3">
        <v>354058.62</v>
      </c>
      <c r="D73" s="9">
        <v>13.65</v>
      </c>
      <c r="E73" s="3">
        <v>345799.95</v>
      </c>
      <c r="F73" s="20">
        <v>0.32600000000000001</v>
      </c>
      <c r="G73" s="19">
        <v>8258.67</v>
      </c>
    </row>
    <row r="74" spans="1:12" ht="14.4" customHeight="1" outlineLevel="1" x14ac:dyDescent="0.3">
      <c r="A74" s="2" t="s">
        <v>7</v>
      </c>
      <c r="B74" s="9">
        <v>7.35</v>
      </c>
      <c r="C74" s="3">
        <v>186199.98</v>
      </c>
      <c r="D74" s="9">
        <v>6.83</v>
      </c>
      <c r="E74" s="3">
        <v>173026.65</v>
      </c>
      <c r="F74" s="20">
        <v>0.52</v>
      </c>
      <c r="G74" s="19">
        <v>13173.33</v>
      </c>
    </row>
    <row r="75" spans="1:12" ht="14.4" customHeight="1" outlineLevel="1" x14ac:dyDescent="0.3">
      <c r="A75" s="2" t="s">
        <v>80</v>
      </c>
      <c r="B75" s="9">
        <v>1.7</v>
      </c>
      <c r="C75" s="3">
        <v>4511.8</v>
      </c>
      <c r="D75" s="9">
        <v>1.7</v>
      </c>
      <c r="E75" s="3">
        <v>4511.8</v>
      </c>
      <c r="F75" s="9">
        <v>0</v>
      </c>
      <c r="G75" s="4"/>
    </row>
    <row r="76" spans="1:12" ht="14.4" customHeight="1" outlineLevel="1" x14ac:dyDescent="0.3">
      <c r="A76" s="2" t="s">
        <v>9</v>
      </c>
      <c r="B76" s="9">
        <v>7.8</v>
      </c>
      <c r="C76" s="3">
        <v>14859</v>
      </c>
      <c r="D76" s="9">
        <v>5.45</v>
      </c>
      <c r="E76" s="3">
        <v>10382.25</v>
      </c>
      <c r="F76" s="20">
        <v>2.35</v>
      </c>
      <c r="G76" s="19">
        <v>4476.75</v>
      </c>
    </row>
    <row r="77" spans="1:12" ht="14.4" customHeight="1" outlineLevel="1" x14ac:dyDescent="0.3">
      <c r="A77" s="2" t="s">
        <v>10</v>
      </c>
      <c r="B77" s="9">
        <v>4.0999999999999996</v>
      </c>
      <c r="C77" s="3">
        <v>7892.5</v>
      </c>
      <c r="D77" s="9">
        <v>4.0999999999999996</v>
      </c>
      <c r="E77" s="3">
        <v>7892.5</v>
      </c>
      <c r="F77" s="9">
        <v>0</v>
      </c>
      <c r="G77" s="4"/>
    </row>
    <row r="78" spans="1:12" ht="14.4" customHeight="1" outlineLevel="1" x14ac:dyDescent="0.3">
      <c r="A78" s="2" t="s">
        <v>11</v>
      </c>
      <c r="B78" s="9">
        <v>0.1</v>
      </c>
      <c r="C78" s="5">
        <v>269</v>
      </c>
      <c r="D78" s="9">
        <v>0</v>
      </c>
      <c r="E78" s="4"/>
      <c r="F78" s="20">
        <v>0.1</v>
      </c>
      <c r="G78" s="22">
        <v>269</v>
      </c>
    </row>
    <row r="79" spans="1:12" ht="14.4" customHeight="1" outlineLevel="1" x14ac:dyDescent="0.3">
      <c r="A79" s="2" t="s">
        <v>12</v>
      </c>
      <c r="B79" s="9">
        <v>4.8959999999999999</v>
      </c>
      <c r="C79" s="3">
        <v>13156.54</v>
      </c>
      <c r="D79" s="9">
        <v>4.8959999999999999</v>
      </c>
      <c r="E79" s="3">
        <v>13156.54</v>
      </c>
      <c r="F79" s="9">
        <v>0</v>
      </c>
      <c r="G79" s="4"/>
    </row>
    <row r="80" spans="1:12" ht="14.4" customHeight="1" outlineLevel="1" x14ac:dyDescent="0.3">
      <c r="A80" s="2" t="s">
        <v>13</v>
      </c>
      <c r="B80" s="9">
        <v>22.5</v>
      </c>
      <c r="C80" s="3">
        <v>68652.72</v>
      </c>
      <c r="D80" s="9">
        <v>12.086</v>
      </c>
      <c r="E80" s="3">
        <v>36732.449999999997</v>
      </c>
      <c r="F80" s="20">
        <v>10.414</v>
      </c>
      <c r="G80" s="19">
        <v>31920.27</v>
      </c>
    </row>
    <row r="81" spans="1:7" ht="14.4" customHeight="1" outlineLevel="1" x14ac:dyDescent="0.3">
      <c r="A81" s="2" t="s">
        <v>14</v>
      </c>
      <c r="B81" s="9">
        <v>7.5</v>
      </c>
      <c r="C81" s="3">
        <v>20827.439999999999</v>
      </c>
      <c r="D81" s="9">
        <v>7.5</v>
      </c>
      <c r="E81" s="3">
        <v>20827.439999999999</v>
      </c>
      <c r="F81" s="9">
        <v>0</v>
      </c>
      <c r="G81" s="4"/>
    </row>
    <row r="82" spans="1:7" ht="14.4" customHeight="1" outlineLevel="1" x14ac:dyDescent="0.3">
      <c r="A82" s="2" t="s">
        <v>15</v>
      </c>
      <c r="B82" s="9">
        <v>186.3</v>
      </c>
      <c r="C82" s="3">
        <v>676450.39</v>
      </c>
      <c r="D82" s="9">
        <v>182.16900000000001</v>
      </c>
      <c r="E82" s="3">
        <v>660198.52</v>
      </c>
      <c r="F82" s="20">
        <v>4.1310000000000002</v>
      </c>
      <c r="G82" s="19">
        <v>16251.87</v>
      </c>
    </row>
    <row r="83" spans="1:7" ht="14.4" customHeight="1" outlineLevel="1" x14ac:dyDescent="0.3">
      <c r="A83" s="2" t="s">
        <v>18</v>
      </c>
      <c r="B83" s="9">
        <v>55.3</v>
      </c>
      <c r="C83" s="3">
        <v>205245.72</v>
      </c>
      <c r="D83" s="9">
        <v>55.3</v>
      </c>
      <c r="E83" s="3">
        <v>205245.72</v>
      </c>
      <c r="F83" s="9">
        <v>0</v>
      </c>
      <c r="G83" s="4"/>
    </row>
    <row r="84" spans="1:7" ht="14.4" customHeight="1" outlineLevel="1" x14ac:dyDescent="0.3">
      <c r="A84" s="2" t="s">
        <v>81</v>
      </c>
      <c r="B84" s="9">
        <v>252</v>
      </c>
      <c r="C84" s="5">
        <v>925.95</v>
      </c>
      <c r="D84" s="9">
        <v>0</v>
      </c>
      <c r="E84" s="4"/>
      <c r="F84" s="9">
        <v>252</v>
      </c>
      <c r="G84" s="16">
        <v>925.95</v>
      </c>
    </row>
    <row r="85" spans="1:7" ht="14.4" customHeight="1" outlineLevel="1" x14ac:dyDescent="0.3">
      <c r="A85" s="2" t="s">
        <v>82</v>
      </c>
      <c r="B85" s="9">
        <v>60</v>
      </c>
      <c r="C85" s="5">
        <v>441.96</v>
      </c>
      <c r="D85" s="9">
        <v>0</v>
      </c>
      <c r="E85" s="4"/>
      <c r="F85" s="9">
        <v>60</v>
      </c>
      <c r="G85" s="16">
        <v>441.96</v>
      </c>
    </row>
    <row r="86" spans="1:7" ht="14.4" customHeight="1" outlineLevel="1" x14ac:dyDescent="0.3">
      <c r="A86" s="2" t="s">
        <v>83</v>
      </c>
      <c r="B86" s="9">
        <v>32</v>
      </c>
      <c r="C86" s="5">
        <v>346.25</v>
      </c>
      <c r="D86" s="9">
        <v>0</v>
      </c>
      <c r="E86" s="4"/>
      <c r="F86" s="9">
        <v>32</v>
      </c>
      <c r="G86" s="16">
        <v>346.25</v>
      </c>
    </row>
    <row r="87" spans="1:7" ht="14.4" customHeight="1" outlineLevel="1" x14ac:dyDescent="0.3">
      <c r="A87" s="2" t="s">
        <v>84</v>
      </c>
      <c r="B87" s="9">
        <v>4</v>
      </c>
      <c r="C87" s="5">
        <v>35.590000000000003</v>
      </c>
      <c r="D87" s="9">
        <v>0</v>
      </c>
      <c r="E87" s="4"/>
      <c r="F87" s="9">
        <v>4</v>
      </c>
      <c r="G87" s="16">
        <v>35.590000000000003</v>
      </c>
    </row>
    <row r="88" spans="1:7" ht="14.4" customHeight="1" outlineLevel="1" x14ac:dyDescent="0.3">
      <c r="A88" s="2" t="s">
        <v>85</v>
      </c>
      <c r="B88" s="9">
        <v>1679</v>
      </c>
      <c r="C88" s="3">
        <v>19470.400000000001</v>
      </c>
      <c r="D88" s="9">
        <v>0</v>
      </c>
      <c r="E88" s="4"/>
      <c r="F88" s="9">
        <v>1679</v>
      </c>
      <c r="G88" s="15">
        <v>19470.400000000001</v>
      </c>
    </row>
    <row r="89" spans="1:7" ht="14.4" customHeight="1" outlineLevel="1" x14ac:dyDescent="0.3">
      <c r="A89" s="2" t="s">
        <v>86</v>
      </c>
      <c r="B89" s="9">
        <v>224</v>
      </c>
      <c r="C89" s="3">
        <v>2795.81</v>
      </c>
      <c r="D89" s="9">
        <v>0</v>
      </c>
      <c r="E89" s="4"/>
      <c r="F89" s="9">
        <v>224</v>
      </c>
      <c r="G89" s="15">
        <v>2795.81</v>
      </c>
    </row>
    <row r="90" spans="1:7" ht="14.4" customHeight="1" outlineLevel="1" x14ac:dyDescent="0.3">
      <c r="A90" s="2" t="s">
        <v>87</v>
      </c>
      <c r="B90" s="9">
        <v>120</v>
      </c>
      <c r="C90" s="3">
        <v>3834.59</v>
      </c>
      <c r="D90" s="9">
        <v>0</v>
      </c>
      <c r="E90" s="4"/>
      <c r="F90" s="9">
        <v>120</v>
      </c>
      <c r="G90" s="15">
        <v>3834.59</v>
      </c>
    </row>
    <row r="91" spans="1:7" ht="14.4" customHeight="1" outlineLevel="1" x14ac:dyDescent="0.3">
      <c r="A91" s="2" t="s">
        <v>88</v>
      </c>
      <c r="B91" s="9">
        <v>168</v>
      </c>
      <c r="C91" s="3">
        <v>6901.22</v>
      </c>
      <c r="D91" s="9">
        <v>0</v>
      </c>
      <c r="E91" s="4"/>
      <c r="F91" s="9">
        <v>168</v>
      </c>
      <c r="G91" s="15">
        <v>6901.22</v>
      </c>
    </row>
    <row r="92" spans="1:7" ht="14.4" customHeight="1" outlineLevel="1" x14ac:dyDescent="0.3">
      <c r="A92" s="2" t="s">
        <v>89</v>
      </c>
      <c r="B92" s="9">
        <v>12</v>
      </c>
      <c r="C92" s="5">
        <v>203.2</v>
      </c>
      <c r="D92" s="9">
        <v>0</v>
      </c>
      <c r="E92" s="4"/>
      <c r="F92" s="9">
        <v>12</v>
      </c>
      <c r="G92" s="16">
        <v>203.2</v>
      </c>
    </row>
    <row r="93" spans="1:7" ht="14.4" customHeight="1" outlineLevel="1" x14ac:dyDescent="0.3">
      <c r="A93" s="2" t="s">
        <v>90</v>
      </c>
      <c r="B93" s="9">
        <v>48</v>
      </c>
      <c r="C93" s="3">
        <v>1178.99</v>
      </c>
      <c r="D93" s="9">
        <v>0</v>
      </c>
      <c r="E93" s="4"/>
      <c r="F93" s="9">
        <v>48</v>
      </c>
      <c r="G93" s="15">
        <v>1178.99</v>
      </c>
    </row>
    <row r="94" spans="1:7" ht="14.4" customHeight="1" outlineLevel="1" x14ac:dyDescent="0.3">
      <c r="A94" s="2" t="s">
        <v>91</v>
      </c>
      <c r="B94" s="9">
        <v>6</v>
      </c>
      <c r="C94" s="5">
        <v>95.35</v>
      </c>
      <c r="D94" s="9">
        <v>0</v>
      </c>
      <c r="E94" s="4"/>
      <c r="F94" s="9">
        <v>6</v>
      </c>
      <c r="G94" s="16">
        <v>95.35</v>
      </c>
    </row>
    <row r="95" spans="1:7" ht="14.4" customHeight="1" outlineLevel="1" x14ac:dyDescent="0.3">
      <c r="A95" s="2" t="s">
        <v>92</v>
      </c>
      <c r="B95" s="9">
        <v>28</v>
      </c>
      <c r="C95" s="5">
        <v>241.63</v>
      </c>
      <c r="D95" s="9">
        <v>0</v>
      </c>
      <c r="E95" s="4"/>
      <c r="F95" s="9">
        <v>28</v>
      </c>
      <c r="G95" s="16">
        <v>241.63</v>
      </c>
    </row>
    <row r="96" spans="1:7" ht="14.4" customHeight="1" outlineLevel="1" x14ac:dyDescent="0.3">
      <c r="A96" s="2" t="s">
        <v>22</v>
      </c>
      <c r="B96" s="9">
        <v>221</v>
      </c>
      <c r="C96" s="3">
        <v>55250</v>
      </c>
      <c r="D96" s="9">
        <v>221</v>
      </c>
      <c r="E96" s="3">
        <v>55250</v>
      </c>
      <c r="F96" s="9">
        <v>0</v>
      </c>
      <c r="G96" s="23"/>
    </row>
    <row r="97" spans="1:7" ht="14.4" customHeight="1" outlineLevel="1" x14ac:dyDescent="0.3">
      <c r="A97" s="2" t="s">
        <v>93</v>
      </c>
      <c r="B97" s="9">
        <v>286</v>
      </c>
      <c r="C97" s="5">
        <v>348.1</v>
      </c>
      <c r="D97" s="9">
        <v>0</v>
      </c>
      <c r="E97" s="4"/>
      <c r="F97" s="9">
        <v>286</v>
      </c>
      <c r="G97" s="16">
        <v>348.1</v>
      </c>
    </row>
    <row r="98" spans="1:7" ht="14.4" customHeight="1" outlineLevel="1" x14ac:dyDescent="0.3">
      <c r="A98" s="2" t="s">
        <v>94</v>
      </c>
      <c r="B98" s="9">
        <v>3906</v>
      </c>
      <c r="C98" s="3">
        <v>12601.01</v>
      </c>
      <c r="D98" s="9">
        <v>0</v>
      </c>
      <c r="E98" s="4"/>
      <c r="F98" s="9">
        <v>3906</v>
      </c>
      <c r="G98" s="15">
        <v>12601.01</v>
      </c>
    </row>
    <row r="99" spans="1:7" ht="14.4" customHeight="1" outlineLevel="1" x14ac:dyDescent="0.3">
      <c r="A99" s="2" t="s">
        <v>95</v>
      </c>
      <c r="B99" s="9">
        <v>696</v>
      </c>
      <c r="C99" s="3">
        <v>5823.2</v>
      </c>
      <c r="D99" s="9">
        <v>0</v>
      </c>
      <c r="E99" s="4"/>
      <c r="F99" s="9">
        <v>696</v>
      </c>
      <c r="G99" s="15">
        <v>5823.2</v>
      </c>
    </row>
    <row r="100" spans="1:7" ht="14.4" customHeight="1" outlineLevel="1" x14ac:dyDescent="0.3">
      <c r="A100" s="2" t="s">
        <v>96</v>
      </c>
      <c r="B100" s="9">
        <v>528</v>
      </c>
      <c r="C100" s="3">
        <v>21880.06</v>
      </c>
      <c r="D100" s="9">
        <v>0</v>
      </c>
      <c r="E100" s="4"/>
      <c r="F100" s="9">
        <v>528</v>
      </c>
      <c r="G100" s="15">
        <v>21880.06</v>
      </c>
    </row>
    <row r="101" spans="1:7" ht="14.4" customHeight="1" outlineLevel="1" x14ac:dyDescent="0.3">
      <c r="A101" s="2" t="s">
        <v>23</v>
      </c>
      <c r="B101" s="9">
        <v>70</v>
      </c>
      <c r="C101" s="3">
        <v>8260</v>
      </c>
      <c r="D101" s="9">
        <v>70</v>
      </c>
      <c r="E101" s="3">
        <v>8260</v>
      </c>
      <c r="F101" s="9">
        <v>0</v>
      </c>
      <c r="G101" s="4"/>
    </row>
    <row r="102" spans="1:7" ht="14.4" customHeight="1" outlineLevel="1" x14ac:dyDescent="0.3">
      <c r="A102" s="2" t="s">
        <v>97</v>
      </c>
      <c r="B102" s="9">
        <v>16</v>
      </c>
      <c r="C102" s="3">
        <v>3508.01</v>
      </c>
      <c r="D102" s="9">
        <v>16</v>
      </c>
      <c r="E102" s="3">
        <v>3508.01</v>
      </c>
      <c r="F102" s="9">
        <v>0</v>
      </c>
      <c r="G102" s="4"/>
    </row>
    <row r="103" spans="1:7" ht="14.4" customHeight="1" outlineLevel="1" x14ac:dyDescent="0.3">
      <c r="A103" s="2" t="s">
        <v>98</v>
      </c>
      <c r="B103" s="9">
        <v>0.19800000000000001</v>
      </c>
      <c r="C103" s="3">
        <v>5382.3</v>
      </c>
      <c r="D103" s="9">
        <v>0</v>
      </c>
      <c r="E103" s="4"/>
      <c r="F103" s="9">
        <v>0.19800000000000001</v>
      </c>
      <c r="G103" s="14">
        <v>5382.3</v>
      </c>
    </row>
    <row r="104" spans="1:7" ht="14.4" customHeight="1" outlineLevel="1" x14ac:dyDescent="0.3">
      <c r="A104" s="2" t="s">
        <v>99</v>
      </c>
      <c r="B104" s="9">
        <v>0.53</v>
      </c>
      <c r="C104" s="3">
        <v>14552.91</v>
      </c>
      <c r="D104" s="9">
        <v>0</v>
      </c>
      <c r="E104" s="4"/>
      <c r="F104" s="9">
        <v>0.53</v>
      </c>
      <c r="G104" s="14">
        <v>14552.91</v>
      </c>
    </row>
    <row r="105" spans="1:7" ht="14.4" customHeight="1" outlineLevel="1" x14ac:dyDescent="0.3">
      <c r="A105" s="2" t="s">
        <v>34</v>
      </c>
      <c r="B105" s="9">
        <v>2620.84</v>
      </c>
      <c r="C105" s="3">
        <v>668789.31999999995</v>
      </c>
      <c r="D105" s="9">
        <v>2596.0300000000002</v>
      </c>
      <c r="E105" s="3">
        <v>666928.56000000006</v>
      </c>
      <c r="F105" s="9">
        <v>24.81</v>
      </c>
      <c r="G105" s="3">
        <v>1860.76</v>
      </c>
    </row>
    <row r="106" spans="1:7" ht="14.4" customHeight="1" outlineLevel="1" x14ac:dyDescent="0.3">
      <c r="A106" s="2" t="s">
        <v>35</v>
      </c>
      <c r="B106" s="9">
        <v>1</v>
      </c>
      <c r="C106" s="5">
        <v>905.63</v>
      </c>
      <c r="D106" s="9">
        <v>1</v>
      </c>
      <c r="E106" s="5">
        <v>905.63</v>
      </c>
      <c r="F106" s="9">
        <v>0</v>
      </c>
      <c r="G106" s="4"/>
    </row>
    <row r="107" spans="1:7" ht="14.4" customHeight="1" outlineLevel="1" x14ac:dyDescent="0.3">
      <c r="A107" s="2" t="s">
        <v>36</v>
      </c>
      <c r="B107" s="9">
        <v>2</v>
      </c>
      <c r="C107" s="5">
        <v>911.2</v>
      </c>
      <c r="D107" s="9">
        <v>2</v>
      </c>
      <c r="E107" s="5">
        <v>911.2</v>
      </c>
      <c r="F107" s="9">
        <v>0</v>
      </c>
      <c r="G107" s="4"/>
    </row>
    <row r="108" spans="1:7" ht="14.4" customHeight="1" outlineLevel="1" x14ac:dyDescent="0.3">
      <c r="A108" s="2" t="s">
        <v>100</v>
      </c>
      <c r="B108" s="9">
        <v>235</v>
      </c>
      <c r="C108" s="3">
        <v>30396.09</v>
      </c>
      <c r="D108" s="9">
        <v>111</v>
      </c>
      <c r="E108" s="3">
        <v>14357.3</v>
      </c>
      <c r="F108" s="9">
        <v>124</v>
      </c>
      <c r="G108" s="3">
        <v>16038.79</v>
      </c>
    </row>
    <row r="109" spans="1:7" ht="14.4" customHeight="1" outlineLevel="1" x14ac:dyDescent="0.3">
      <c r="A109" s="2" t="s">
        <v>101</v>
      </c>
      <c r="B109" s="9">
        <v>1200</v>
      </c>
      <c r="C109" s="3">
        <v>6960</v>
      </c>
      <c r="D109" s="9">
        <v>0</v>
      </c>
      <c r="E109" s="4"/>
      <c r="F109" s="9">
        <v>1200</v>
      </c>
      <c r="G109" s="3">
        <v>6960</v>
      </c>
    </row>
    <row r="110" spans="1:7" ht="14.4" customHeight="1" outlineLevel="1" x14ac:dyDescent="0.3">
      <c r="A110" s="2" t="s">
        <v>102</v>
      </c>
      <c r="B110" s="9">
        <v>10</v>
      </c>
      <c r="C110" s="3">
        <v>2200</v>
      </c>
      <c r="D110" s="9">
        <v>0</v>
      </c>
      <c r="E110" s="4"/>
      <c r="F110" s="9">
        <v>10</v>
      </c>
      <c r="G110" s="3">
        <v>2200</v>
      </c>
    </row>
    <row r="111" spans="1:7" ht="14.4" customHeight="1" outlineLevel="1" x14ac:dyDescent="0.3">
      <c r="A111" s="2" t="s">
        <v>103</v>
      </c>
      <c r="B111" s="9">
        <v>5.3999999999999999E-2</v>
      </c>
      <c r="C111" s="3">
        <v>1617.75</v>
      </c>
      <c r="D111" s="9">
        <v>0</v>
      </c>
      <c r="E111" s="4"/>
      <c r="F111" s="9">
        <v>5.3999999999999999E-2</v>
      </c>
      <c r="G111" s="3">
        <v>1617.75</v>
      </c>
    </row>
    <row r="112" spans="1:7" ht="14.4" customHeight="1" outlineLevel="1" x14ac:dyDescent="0.3">
      <c r="A112" s="2" t="s">
        <v>46</v>
      </c>
      <c r="B112" s="9">
        <v>750</v>
      </c>
      <c r="C112" s="5">
        <v>982.5</v>
      </c>
      <c r="D112" s="9">
        <v>750</v>
      </c>
      <c r="E112" s="5">
        <v>982.5</v>
      </c>
      <c r="F112" s="9">
        <v>0</v>
      </c>
      <c r="G112" s="4"/>
    </row>
    <row r="113" spans="1:10" ht="14.4" customHeight="1" outlineLevel="1" x14ac:dyDescent="0.3">
      <c r="A113" s="2" t="s">
        <v>48</v>
      </c>
      <c r="B113" s="9">
        <v>1</v>
      </c>
      <c r="C113" s="5">
        <v>47.75</v>
      </c>
      <c r="D113" s="9">
        <v>1</v>
      </c>
      <c r="E113" s="5">
        <v>47.75</v>
      </c>
      <c r="F113" s="9">
        <v>0</v>
      </c>
      <c r="G113" s="4"/>
    </row>
    <row r="114" spans="1:10" ht="14.4" customHeight="1" outlineLevel="1" x14ac:dyDescent="0.3">
      <c r="A114" s="2" t="s">
        <v>104</v>
      </c>
      <c r="B114" s="9">
        <v>320</v>
      </c>
      <c r="C114" s="5">
        <v>196.66</v>
      </c>
      <c r="D114" s="9">
        <v>0</v>
      </c>
      <c r="E114" s="4"/>
      <c r="F114" s="9">
        <v>320</v>
      </c>
      <c r="G114" s="16">
        <v>196.66</v>
      </c>
    </row>
    <row r="115" spans="1:10" ht="14.4" customHeight="1" outlineLevel="1" x14ac:dyDescent="0.3">
      <c r="A115" s="2" t="s">
        <v>105</v>
      </c>
      <c r="B115" s="9">
        <v>3938</v>
      </c>
      <c r="C115" s="3">
        <v>3701.93</v>
      </c>
      <c r="D115" s="9">
        <v>0</v>
      </c>
      <c r="E115" s="4"/>
      <c r="F115" s="9">
        <v>3938</v>
      </c>
      <c r="G115" s="15">
        <v>3701.93</v>
      </c>
    </row>
    <row r="116" spans="1:10" ht="14.4" customHeight="1" outlineLevel="1" x14ac:dyDescent="0.3">
      <c r="A116" s="2" t="s">
        <v>106</v>
      </c>
      <c r="B116" s="9">
        <v>696</v>
      </c>
      <c r="C116" s="3">
        <v>1043.6099999999999</v>
      </c>
      <c r="D116" s="9">
        <v>0</v>
      </c>
      <c r="E116" s="4"/>
      <c r="F116" s="9">
        <v>696</v>
      </c>
      <c r="G116" s="15">
        <v>1043.6099999999999</v>
      </c>
    </row>
    <row r="117" spans="1:10" ht="14.4" customHeight="1" outlineLevel="1" x14ac:dyDescent="0.3">
      <c r="A117" s="2" t="s">
        <v>107</v>
      </c>
      <c r="B117" s="9">
        <v>0.248</v>
      </c>
      <c r="C117" s="3">
        <v>7794.43</v>
      </c>
      <c r="D117" s="9">
        <v>0</v>
      </c>
      <c r="E117" s="4"/>
      <c r="F117" s="9">
        <v>0.248</v>
      </c>
      <c r="G117" s="14">
        <v>7794.43</v>
      </c>
    </row>
    <row r="118" spans="1:10" ht="14.4" customHeight="1" outlineLevel="1" x14ac:dyDescent="0.3">
      <c r="A118" s="2" t="s">
        <v>108</v>
      </c>
      <c r="B118" s="9">
        <v>0.51600000000000001</v>
      </c>
      <c r="C118" s="3">
        <v>17767.599999999999</v>
      </c>
      <c r="D118" s="9">
        <v>0</v>
      </c>
      <c r="E118" s="4"/>
      <c r="F118" s="9">
        <v>0.51600000000000001</v>
      </c>
      <c r="G118" s="14">
        <v>17767.599999999999</v>
      </c>
    </row>
    <row r="119" spans="1:10" ht="14.4" customHeight="1" outlineLevel="1" x14ac:dyDescent="0.3">
      <c r="A119" s="2" t="s">
        <v>53</v>
      </c>
      <c r="B119" s="9">
        <v>500</v>
      </c>
      <c r="C119" s="5">
        <v>146.80000000000001</v>
      </c>
      <c r="D119" s="9">
        <v>500</v>
      </c>
      <c r="E119" s="5">
        <v>146.80000000000001</v>
      </c>
      <c r="F119" s="9">
        <v>0</v>
      </c>
      <c r="G119" s="4"/>
    </row>
    <row r="120" spans="1:10" ht="14.4" customHeight="1" outlineLevel="1" x14ac:dyDescent="0.3">
      <c r="A120" s="2" t="s">
        <v>54</v>
      </c>
      <c r="B120" s="9">
        <v>500</v>
      </c>
      <c r="C120" s="5">
        <v>182.5</v>
      </c>
      <c r="D120" s="9">
        <v>500</v>
      </c>
      <c r="E120" s="5">
        <v>182.5</v>
      </c>
      <c r="F120" s="9">
        <v>0</v>
      </c>
      <c r="G120" s="4"/>
    </row>
    <row r="121" spans="1:10" ht="14.4" customHeight="1" outlineLevel="1" x14ac:dyDescent="0.3">
      <c r="A121" s="2" t="s">
        <v>55</v>
      </c>
      <c r="B121" s="9">
        <v>500</v>
      </c>
      <c r="C121" s="5">
        <v>232.8</v>
      </c>
      <c r="D121" s="9">
        <v>500</v>
      </c>
      <c r="E121" s="5">
        <v>232.8</v>
      </c>
      <c r="F121" s="9">
        <v>0</v>
      </c>
      <c r="G121" s="4"/>
    </row>
    <row r="122" spans="1:10" ht="14.4" customHeight="1" outlineLevel="1" x14ac:dyDescent="0.3">
      <c r="A122" s="2" t="s">
        <v>56</v>
      </c>
      <c r="B122" s="9">
        <v>180.28</v>
      </c>
      <c r="C122" s="3">
        <v>47653.39</v>
      </c>
      <c r="D122" s="9">
        <v>98.07</v>
      </c>
      <c r="E122" s="3">
        <v>31896.48</v>
      </c>
      <c r="F122" s="9">
        <v>82.21</v>
      </c>
      <c r="G122" s="24">
        <v>15756.91</v>
      </c>
    </row>
    <row r="123" spans="1:10" ht="14.4" customHeight="1" outlineLevel="1" x14ac:dyDescent="0.3">
      <c r="A123" s="2" t="s">
        <v>57</v>
      </c>
      <c r="B123" s="9">
        <v>528.66</v>
      </c>
      <c r="C123" s="3">
        <v>185031.01</v>
      </c>
      <c r="D123" s="9">
        <v>437.87</v>
      </c>
      <c r="E123" s="3">
        <v>153254.51</v>
      </c>
      <c r="F123" s="9">
        <v>90.79</v>
      </c>
      <c r="G123" s="24">
        <v>31776.5</v>
      </c>
    </row>
    <row r="124" spans="1:10" ht="14.4" customHeight="1" outlineLevel="1" x14ac:dyDescent="0.3">
      <c r="A124" s="2" t="s">
        <v>58</v>
      </c>
      <c r="B124" s="9">
        <v>35.36</v>
      </c>
      <c r="C124" s="3">
        <v>15028</v>
      </c>
      <c r="D124" s="9">
        <v>0</v>
      </c>
      <c r="E124" s="4"/>
      <c r="F124" s="9">
        <v>35.36</v>
      </c>
      <c r="G124" s="24">
        <v>15028</v>
      </c>
    </row>
    <row r="125" spans="1:10" ht="14.4" customHeight="1" x14ac:dyDescent="0.3">
      <c r="A125" s="10" t="s">
        <v>109</v>
      </c>
      <c r="B125" s="11">
        <v>3255.739</v>
      </c>
      <c r="C125" s="12">
        <v>1064192.0900000001</v>
      </c>
      <c r="D125" s="11">
        <v>3217.5169999999998</v>
      </c>
      <c r="E125" s="12">
        <v>1048294.73</v>
      </c>
      <c r="F125" s="11">
        <v>38.222000000000001</v>
      </c>
      <c r="G125" s="12">
        <v>15897.36</v>
      </c>
      <c r="I125" s="18">
        <f>G125</f>
        <v>15897.36</v>
      </c>
      <c r="J125" s="18">
        <f>I125*1.2</f>
        <v>19076.831999999999</v>
      </c>
    </row>
    <row r="126" spans="1:10" ht="14.4" customHeight="1" outlineLevel="1" x14ac:dyDescent="0.3">
      <c r="A126" s="2" t="s">
        <v>5</v>
      </c>
      <c r="B126" s="9">
        <v>0.78200000000000003</v>
      </c>
      <c r="C126" s="3">
        <v>20592.66</v>
      </c>
      <c r="D126" s="9">
        <v>0.70099999999999996</v>
      </c>
      <c r="E126" s="3">
        <v>18459.66</v>
      </c>
      <c r="F126" s="9">
        <v>8.1000000000000003E-2</v>
      </c>
      <c r="G126" s="3">
        <v>2133</v>
      </c>
    </row>
    <row r="127" spans="1:10" ht="14.4" customHeight="1" outlineLevel="1" x14ac:dyDescent="0.3">
      <c r="A127" s="2" t="s">
        <v>7</v>
      </c>
      <c r="B127" s="9">
        <v>4.1029999999999998</v>
      </c>
      <c r="C127" s="3">
        <v>103942.65</v>
      </c>
      <c r="D127" s="9">
        <v>4.1029999999999998</v>
      </c>
      <c r="E127" s="3">
        <v>103942.65</v>
      </c>
      <c r="F127" s="9">
        <v>0</v>
      </c>
      <c r="G127" s="4"/>
    </row>
    <row r="128" spans="1:10" ht="14.4" customHeight="1" outlineLevel="1" x14ac:dyDescent="0.3">
      <c r="A128" s="2" t="s">
        <v>8</v>
      </c>
      <c r="B128" s="9">
        <v>4.41</v>
      </c>
      <c r="C128" s="3">
        <v>111719.98</v>
      </c>
      <c r="D128" s="9">
        <v>4.3129999999999997</v>
      </c>
      <c r="E128" s="3">
        <v>109262.65</v>
      </c>
      <c r="F128" s="9">
        <v>9.7000000000000003E-2</v>
      </c>
      <c r="G128" s="3">
        <v>2457.33</v>
      </c>
    </row>
    <row r="129" spans="1:10" ht="14.4" customHeight="1" outlineLevel="1" x14ac:dyDescent="0.3">
      <c r="A129" s="2" t="s">
        <v>14</v>
      </c>
      <c r="B129" s="9">
        <v>29</v>
      </c>
      <c r="C129" s="3">
        <v>78539.13</v>
      </c>
      <c r="D129" s="9">
        <v>29</v>
      </c>
      <c r="E129" s="3">
        <v>78539.13</v>
      </c>
      <c r="F129" s="9">
        <v>0</v>
      </c>
      <c r="G129" s="4"/>
    </row>
    <row r="130" spans="1:10" ht="14.4" customHeight="1" outlineLevel="1" x14ac:dyDescent="0.3">
      <c r="A130" s="2" t="s">
        <v>18</v>
      </c>
      <c r="B130" s="9">
        <v>113.5</v>
      </c>
      <c r="C130" s="3">
        <v>393382.16</v>
      </c>
      <c r="D130" s="9">
        <v>113.5</v>
      </c>
      <c r="E130" s="3">
        <v>393382.16</v>
      </c>
      <c r="F130" s="9">
        <v>0</v>
      </c>
      <c r="G130" s="4"/>
    </row>
    <row r="131" spans="1:10" ht="14.4" customHeight="1" outlineLevel="1" x14ac:dyDescent="0.3">
      <c r="A131" s="2" t="s">
        <v>110</v>
      </c>
      <c r="B131" s="9">
        <v>4.3999999999999997E-2</v>
      </c>
      <c r="C131" s="3">
        <v>1173.7</v>
      </c>
      <c r="D131" s="9">
        <v>0</v>
      </c>
      <c r="E131" s="4"/>
      <c r="F131" s="9">
        <v>4.3999999999999997E-2</v>
      </c>
      <c r="G131" s="3">
        <v>1173.7</v>
      </c>
    </row>
    <row r="132" spans="1:10" ht="14.4" customHeight="1" outlineLevel="1" x14ac:dyDescent="0.3">
      <c r="A132" s="2" t="s">
        <v>27</v>
      </c>
      <c r="B132" s="9">
        <v>3</v>
      </c>
      <c r="C132" s="5">
        <v>224.4</v>
      </c>
      <c r="D132" s="9">
        <v>3</v>
      </c>
      <c r="E132" s="5">
        <v>224.4</v>
      </c>
      <c r="F132" s="9">
        <v>0</v>
      </c>
      <c r="G132" s="4"/>
    </row>
    <row r="133" spans="1:10" ht="14.4" customHeight="1" outlineLevel="1" x14ac:dyDescent="0.3">
      <c r="A133" s="2" t="s">
        <v>30</v>
      </c>
      <c r="B133" s="9">
        <v>12</v>
      </c>
      <c r="C133" s="3">
        <v>1620</v>
      </c>
      <c r="D133" s="9">
        <v>12</v>
      </c>
      <c r="E133" s="3">
        <v>1620</v>
      </c>
      <c r="F133" s="9">
        <v>0</v>
      </c>
      <c r="G133" s="4"/>
    </row>
    <row r="134" spans="1:10" ht="14.4" customHeight="1" outlineLevel="1" x14ac:dyDescent="0.3">
      <c r="A134" s="2" t="s">
        <v>34</v>
      </c>
      <c r="B134" s="9">
        <v>282.98</v>
      </c>
      <c r="C134" s="3">
        <v>75461.33</v>
      </c>
      <c r="D134" s="9">
        <v>244.98</v>
      </c>
      <c r="E134" s="3">
        <v>65328</v>
      </c>
      <c r="F134" s="20">
        <v>38</v>
      </c>
      <c r="G134" s="19">
        <v>10133.33</v>
      </c>
    </row>
    <row r="135" spans="1:10" ht="14.4" customHeight="1" outlineLevel="1" x14ac:dyDescent="0.3">
      <c r="A135" s="2" t="s">
        <v>45</v>
      </c>
      <c r="B135" s="9">
        <v>2</v>
      </c>
      <c r="C135" s="3">
        <v>5158.46</v>
      </c>
      <c r="D135" s="9">
        <v>2</v>
      </c>
      <c r="E135" s="3">
        <v>5158.46</v>
      </c>
      <c r="F135" s="9">
        <v>0</v>
      </c>
      <c r="G135" s="4"/>
    </row>
    <row r="136" spans="1:10" ht="14.4" customHeight="1" outlineLevel="1" x14ac:dyDescent="0.3">
      <c r="A136" s="2" t="s">
        <v>47</v>
      </c>
      <c r="B136" s="9">
        <v>2000</v>
      </c>
      <c r="C136" s="3">
        <v>1000</v>
      </c>
      <c r="D136" s="9">
        <v>2000</v>
      </c>
      <c r="E136" s="3">
        <v>1000</v>
      </c>
      <c r="F136" s="9">
        <v>0</v>
      </c>
      <c r="G136" s="4"/>
    </row>
    <row r="137" spans="1:10" ht="14.4" customHeight="1" outlineLevel="1" x14ac:dyDescent="0.3">
      <c r="A137" s="2" t="s">
        <v>57</v>
      </c>
      <c r="B137" s="9">
        <v>803.92</v>
      </c>
      <c r="C137" s="3">
        <v>271377.62</v>
      </c>
      <c r="D137" s="9">
        <v>803.92</v>
      </c>
      <c r="E137" s="3">
        <v>271377.62</v>
      </c>
      <c r="F137" s="9">
        <v>0</v>
      </c>
      <c r="G137" s="4"/>
    </row>
    <row r="138" spans="1:10" ht="14.4" customHeight="1" x14ac:dyDescent="0.3">
      <c r="A138" s="10" t="s">
        <v>59</v>
      </c>
      <c r="B138" s="11">
        <v>41.456000000000003</v>
      </c>
      <c r="C138" s="12">
        <v>954157.39</v>
      </c>
      <c r="D138" s="11">
        <v>34.783999999999999</v>
      </c>
      <c r="E138" s="12">
        <v>882504.57</v>
      </c>
      <c r="F138" s="11">
        <v>6.6719999999999997</v>
      </c>
      <c r="G138" s="12">
        <v>71652.820000000007</v>
      </c>
    </row>
    <row r="139" spans="1:10" ht="14.4" customHeight="1" outlineLevel="1" x14ac:dyDescent="0.3">
      <c r="A139" s="2" t="s">
        <v>60</v>
      </c>
      <c r="B139" s="9">
        <v>5</v>
      </c>
      <c r="C139" s="3">
        <v>28437.5</v>
      </c>
      <c r="D139" s="9">
        <v>0</v>
      </c>
      <c r="E139" s="4"/>
      <c r="F139" s="20">
        <v>5</v>
      </c>
      <c r="G139" s="21">
        <v>28437.5</v>
      </c>
      <c r="I139" s="18">
        <f>SUM(G139:G143)</f>
        <v>71652.820000000007</v>
      </c>
      <c r="J139" s="18">
        <f>I139*1.2</f>
        <v>85983.384000000005</v>
      </c>
    </row>
    <row r="140" spans="1:10" ht="14.4" customHeight="1" outlineLevel="1" x14ac:dyDescent="0.3">
      <c r="A140" s="2" t="s">
        <v>4</v>
      </c>
      <c r="B140" s="9">
        <v>0.23699999999999999</v>
      </c>
      <c r="C140" s="3">
        <v>6241.01</v>
      </c>
      <c r="D140" s="9">
        <v>0.19400000000000001</v>
      </c>
      <c r="E140" s="3">
        <v>5108.68</v>
      </c>
      <c r="F140" s="20">
        <v>4.2999999999999997E-2</v>
      </c>
      <c r="G140" s="21">
        <v>1132.33</v>
      </c>
    </row>
    <row r="141" spans="1:10" ht="14.4" customHeight="1" outlineLevel="1" x14ac:dyDescent="0.3">
      <c r="A141" s="2" t="s">
        <v>5</v>
      </c>
      <c r="B141" s="9">
        <v>1.931</v>
      </c>
      <c r="C141" s="3">
        <v>50849.66</v>
      </c>
      <c r="D141" s="9">
        <v>1.1160000000000001</v>
      </c>
      <c r="E141" s="3">
        <v>29388</v>
      </c>
      <c r="F141" s="20">
        <v>0.81499999999999995</v>
      </c>
      <c r="G141" s="21">
        <v>21461.66</v>
      </c>
    </row>
    <row r="142" spans="1:10" ht="14.4" customHeight="1" outlineLevel="1" x14ac:dyDescent="0.3">
      <c r="A142" s="2" t="s">
        <v>6</v>
      </c>
      <c r="B142" s="9">
        <v>2.9809999999999999</v>
      </c>
      <c r="C142" s="3">
        <v>75518.649999999994</v>
      </c>
      <c r="D142" s="9">
        <v>2.5179999999999998</v>
      </c>
      <c r="E142" s="3">
        <v>63789.32</v>
      </c>
      <c r="F142" s="20">
        <v>0.46300000000000002</v>
      </c>
      <c r="G142" s="21">
        <v>11729.33</v>
      </c>
    </row>
    <row r="143" spans="1:10" ht="14.4" customHeight="1" outlineLevel="1" x14ac:dyDescent="0.3">
      <c r="A143" s="2" t="s">
        <v>7</v>
      </c>
      <c r="B143" s="9">
        <v>30.157</v>
      </c>
      <c r="C143" s="3">
        <v>763977.24</v>
      </c>
      <c r="D143" s="9">
        <v>29.806000000000001</v>
      </c>
      <c r="E143" s="3">
        <v>755085.24</v>
      </c>
      <c r="F143" s="20">
        <v>0.35099999999999998</v>
      </c>
      <c r="G143" s="21">
        <v>8892</v>
      </c>
    </row>
    <row r="144" spans="1:10" ht="14.4" customHeight="1" outlineLevel="1" x14ac:dyDescent="0.3">
      <c r="A144" s="2" t="s">
        <v>8</v>
      </c>
      <c r="B144" s="9">
        <v>1.1499999999999999</v>
      </c>
      <c r="C144" s="3">
        <v>29133.33</v>
      </c>
      <c r="D144" s="9">
        <v>1.1499999999999999</v>
      </c>
      <c r="E144" s="3">
        <v>29133.33</v>
      </c>
      <c r="F144" s="9">
        <v>0</v>
      </c>
      <c r="G144" s="4"/>
    </row>
    <row r="145" spans="1:7" ht="14.4" customHeight="1" x14ac:dyDescent="0.3">
      <c r="A145" s="10" t="s">
        <v>61</v>
      </c>
      <c r="B145" s="11">
        <v>3314.8130000000001</v>
      </c>
      <c r="C145" s="12">
        <v>2152120.33</v>
      </c>
      <c r="D145" s="11">
        <v>751.02800000000002</v>
      </c>
      <c r="E145" s="12">
        <v>1576167.84</v>
      </c>
      <c r="F145" s="11">
        <v>2563.7849999999999</v>
      </c>
      <c r="G145" s="12">
        <v>575952.49</v>
      </c>
    </row>
    <row r="146" spans="1:7" ht="14.4" customHeight="1" outlineLevel="1" x14ac:dyDescent="0.3">
      <c r="A146" s="2" t="s">
        <v>60</v>
      </c>
      <c r="B146" s="9">
        <v>8</v>
      </c>
      <c r="C146" s="3">
        <v>22333.360000000001</v>
      </c>
      <c r="D146" s="9">
        <v>8</v>
      </c>
      <c r="E146" s="3">
        <v>22333.360000000001</v>
      </c>
      <c r="F146" s="9">
        <v>0</v>
      </c>
      <c r="G146" s="4"/>
    </row>
    <row r="147" spans="1:7" ht="14.4" customHeight="1" outlineLevel="1" x14ac:dyDescent="0.3">
      <c r="A147" s="2" t="s">
        <v>62</v>
      </c>
      <c r="B147" s="9">
        <v>2</v>
      </c>
      <c r="C147" s="3">
        <v>6750</v>
      </c>
      <c r="D147" s="9">
        <v>2</v>
      </c>
      <c r="E147" s="3">
        <v>6750</v>
      </c>
      <c r="F147" s="9">
        <v>0</v>
      </c>
      <c r="G147" s="4"/>
    </row>
    <row r="148" spans="1:7" ht="14.4" customHeight="1" outlineLevel="1" x14ac:dyDescent="0.3">
      <c r="A148" s="2" t="s">
        <v>4</v>
      </c>
      <c r="B148" s="9">
        <v>9.7000000000000003E-2</v>
      </c>
      <c r="C148" s="3">
        <v>2554.34</v>
      </c>
      <c r="D148" s="9">
        <v>9.7000000000000003E-2</v>
      </c>
      <c r="E148" s="3">
        <v>2554.34</v>
      </c>
      <c r="F148" s="9">
        <v>0</v>
      </c>
      <c r="G148" s="4"/>
    </row>
    <row r="149" spans="1:7" ht="14.4" customHeight="1" outlineLevel="1" x14ac:dyDescent="0.3">
      <c r="A149" s="2" t="s">
        <v>5</v>
      </c>
      <c r="B149" s="9">
        <v>0.55800000000000005</v>
      </c>
      <c r="C149" s="3">
        <v>14694</v>
      </c>
      <c r="D149" s="9">
        <v>0.55800000000000005</v>
      </c>
      <c r="E149" s="3">
        <v>14694</v>
      </c>
      <c r="F149" s="9">
        <v>0</v>
      </c>
      <c r="G149" s="4"/>
    </row>
    <row r="150" spans="1:7" ht="14.4" customHeight="1" outlineLevel="1" x14ac:dyDescent="0.3">
      <c r="A150" s="2" t="s">
        <v>6</v>
      </c>
      <c r="B150" s="9">
        <v>1.2589999999999999</v>
      </c>
      <c r="C150" s="3">
        <v>31894.66</v>
      </c>
      <c r="D150" s="9">
        <v>1.2589999999999999</v>
      </c>
      <c r="E150" s="3">
        <v>31894.66</v>
      </c>
      <c r="F150" s="9">
        <v>0</v>
      </c>
      <c r="G150" s="4"/>
    </row>
    <row r="151" spans="1:7" ht="14.4" customHeight="1" outlineLevel="1" x14ac:dyDescent="0.3">
      <c r="A151" s="2" t="s">
        <v>7</v>
      </c>
      <c r="B151" s="9">
        <v>6.41</v>
      </c>
      <c r="C151" s="3">
        <v>162386.65</v>
      </c>
      <c r="D151" s="9">
        <v>6.41</v>
      </c>
      <c r="E151" s="3">
        <v>162386.65</v>
      </c>
      <c r="F151" s="9">
        <v>0</v>
      </c>
      <c r="G151" s="4"/>
    </row>
    <row r="152" spans="1:7" ht="14.4" customHeight="1" outlineLevel="1" x14ac:dyDescent="0.3">
      <c r="A152" s="2" t="s">
        <v>63</v>
      </c>
      <c r="B152" s="9">
        <v>20</v>
      </c>
      <c r="C152" s="3">
        <v>72412.55</v>
      </c>
      <c r="D152" s="9">
        <v>12.46</v>
      </c>
      <c r="E152" s="3">
        <v>45113.02</v>
      </c>
      <c r="F152" s="9">
        <v>7.54</v>
      </c>
      <c r="G152" s="19">
        <v>27299.53</v>
      </c>
    </row>
    <row r="153" spans="1:7" ht="14.4" customHeight="1" outlineLevel="1" x14ac:dyDescent="0.3">
      <c r="A153" s="2" t="s">
        <v>12</v>
      </c>
      <c r="B153" s="9">
        <v>3</v>
      </c>
      <c r="C153" s="3">
        <v>8061.61</v>
      </c>
      <c r="D153" s="9">
        <v>2.1419999999999999</v>
      </c>
      <c r="E153" s="3">
        <v>5755.99</v>
      </c>
      <c r="F153" s="9">
        <v>0.85799999999999998</v>
      </c>
      <c r="G153" s="19">
        <v>2305.62</v>
      </c>
    </row>
    <row r="154" spans="1:7" ht="14.4" customHeight="1" outlineLevel="1" x14ac:dyDescent="0.3">
      <c r="A154" s="2" t="s">
        <v>13</v>
      </c>
      <c r="B154" s="9">
        <v>21</v>
      </c>
      <c r="C154" s="3">
        <v>66737.52</v>
      </c>
      <c r="D154" s="9">
        <v>17.282</v>
      </c>
      <c r="E154" s="3">
        <v>53612.81</v>
      </c>
      <c r="F154" s="9">
        <v>3.718</v>
      </c>
      <c r="G154" s="19">
        <v>13124.71</v>
      </c>
    </row>
    <row r="155" spans="1:7" ht="14.4" customHeight="1" outlineLevel="1" x14ac:dyDescent="0.3">
      <c r="A155" s="2" t="s">
        <v>14</v>
      </c>
      <c r="B155" s="9">
        <v>5.4</v>
      </c>
      <c r="C155" s="3">
        <v>14994.75</v>
      </c>
      <c r="D155" s="9">
        <v>5.4</v>
      </c>
      <c r="E155" s="3">
        <v>14994.75</v>
      </c>
      <c r="F155" s="9">
        <v>0</v>
      </c>
      <c r="G155" s="4"/>
    </row>
    <row r="156" spans="1:7" ht="14.4" customHeight="1" outlineLevel="1" x14ac:dyDescent="0.3">
      <c r="A156" s="2" t="s">
        <v>15</v>
      </c>
      <c r="B156" s="9">
        <v>43.6</v>
      </c>
      <c r="C156" s="3">
        <v>161512.79</v>
      </c>
      <c r="D156" s="9">
        <v>43.6</v>
      </c>
      <c r="E156" s="3">
        <v>161512.78</v>
      </c>
      <c r="F156" s="9">
        <v>0</v>
      </c>
      <c r="G156" s="5">
        <v>0.01</v>
      </c>
    </row>
    <row r="157" spans="1:7" ht="14.4" customHeight="1" outlineLevel="1" x14ac:dyDescent="0.3">
      <c r="A157" s="2" t="s">
        <v>16</v>
      </c>
      <c r="B157" s="9">
        <v>36.5</v>
      </c>
      <c r="C157" s="3">
        <v>134161.72</v>
      </c>
      <c r="D157" s="9">
        <v>36.5</v>
      </c>
      <c r="E157" s="3">
        <v>134161.72</v>
      </c>
      <c r="F157" s="9">
        <v>0</v>
      </c>
      <c r="G157" s="4"/>
    </row>
    <row r="158" spans="1:7" ht="14.4" customHeight="1" outlineLevel="1" x14ac:dyDescent="0.3">
      <c r="A158" s="2" t="s">
        <v>17</v>
      </c>
      <c r="B158" s="9">
        <v>9</v>
      </c>
      <c r="C158" s="3">
        <v>33124.01</v>
      </c>
      <c r="D158" s="9">
        <v>9</v>
      </c>
      <c r="E158" s="3">
        <v>33124.01</v>
      </c>
      <c r="F158" s="9">
        <v>0</v>
      </c>
      <c r="G158" s="4"/>
    </row>
    <row r="159" spans="1:7" ht="14.4" customHeight="1" outlineLevel="1" x14ac:dyDescent="0.3">
      <c r="A159" s="2" t="s">
        <v>18</v>
      </c>
      <c r="B159" s="9">
        <v>75</v>
      </c>
      <c r="C159" s="3">
        <v>282850.58</v>
      </c>
      <c r="D159" s="9">
        <v>75</v>
      </c>
      <c r="E159" s="3">
        <v>282850.58</v>
      </c>
      <c r="F159" s="9">
        <v>0</v>
      </c>
      <c r="G159" s="4"/>
    </row>
    <row r="160" spans="1:7" ht="14.4" customHeight="1" outlineLevel="1" x14ac:dyDescent="0.3">
      <c r="A160" s="2" t="s">
        <v>25</v>
      </c>
      <c r="B160" s="9">
        <v>0.222</v>
      </c>
      <c r="C160" s="3">
        <v>7252</v>
      </c>
      <c r="D160" s="9">
        <v>0.222</v>
      </c>
      <c r="E160" s="3">
        <v>7252</v>
      </c>
      <c r="F160" s="9">
        <v>0</v>
      </c>
      <c r="G160" s="4"/>
    </row>
    <row r="161" spans="1:12" ht="14.4" customHeight="1" outlineLevel="1" x14ac:dyDescent="0.3">
      <c r="A161" s="2" t="s">
        <v>64</v>
      </c>
      <c r="B161" s="9">
        <v>0.42699999999999999</v>
      </c>
      <c r="C161" s="3">
        <v>12703.25</v>
      </c>
      <c r="D161" s="9">
        <v>0.32800000000000001</v>
      </c>
      <c r="E161" s="3">
        <v>9758</v>
      </c>
      <c r="F161" s="9">
        <v>9.9000000000000005E-2</v>
      </c>
      <c r="G161" s="3">
        <v>2945.25</v>
      </c>
    </row>
    <row r="162" spans="1:12" ht="14.4" customHeight="1" outlineLevel="1" x14ac:dyDescent="0.3">
      <c r="A162" s="2" t="s">
        <v>65</v>
      </c>
      <c r="B162" s="9">
        <v>78</v>
      </c>
      <c r="C162" s="3">
        <v>63895</v>
      </c>
      <c r="D162" s="9">
        <v>0</v>
      </c>
      <c r="E162" s="4"/>
      <c r="F162" s="9">
        <v>78</v>
      </c>
      <c r="G162" s="14">
        <v>63895</v>
      </c>
      <c r="I162" s="18">
        <f>G162+G165+G170+G164</f>
        <v>512029.87000000005</v>
      </c>
      <c r="J162" s="18">
        <f>I162*1.2</f>
        <v>614435.84400000004</v>
      </c>
    </row>
    <row r="163" spans="1:12" ht="14.4" customHeight="1" outlineLevel="1" x14ac:dyDescent="0.3">
      <c r="A163" s="2" t="s">
        <v>31</v>
      </c>
      <c r="B163" s="9">
        <v>48</v>
      </c>
      <c r="C163" s="3">
        <v>9360</v>
      </c>
      <c r="D163" s="9">
        <v>10</v>
      </c>
      <c r="E163" s="3">
        <v>2000</v>
      </c>
      <c r="F163" s="9">
        <v>38</v>
      </c>
      <c r="G163" s="3">
        <v>7360</v>
      </c>
    </row>
    <row r="164" spans="1:12" ht="14.4" customHeight="1" outlineLevel="1" x14ac:dyDescent="0.3">
      <c r="A164" s="2" t="s">
        <v>66</v>
      </c>
      <c r="B164" s="9">
        <v>28</v>
      </c>
      <c r="C164" s="3">
        <v>1367.51</v>
      </c>
      <c r="D164" s="9">
        <v>0</v>
      </c>
      <c r="E164" s="4"/>
      <c r="F164" s="9">
        <v>28</v>
      </c>
      <c r="G164" s="14">
        <v>1367.51</v>
      </c>
    </row>
    <row r="165" spans="1:12" ht="14.4" customHeight="1" outlineLevel="1" x14ac:dyDescent="0.3">
      <c r="A165" s="2" t="s">
        <v>34</v>
      </c>
      <c r="B165" s="9">
        <v>2382.1799999999998</v>
      </c>
      <c r="C165" s="3">
        <v>441598.84</v>
      </c>
      <c r="D165" s="9">
        <v>0</v>
      </c>
      <c r="E165" s="4"/>
      <c r="F165" s="9">
        <v>2382.1799999999998</v>
      </c>
      <c r="G165" s="14">
        <v>441598.84</v>
      </c>
    </row>
    <row r="166" spans="1:12" ht="14.4" customHeight="1" outlineLevel="1" x14ac:dyDescent="0.3">
      <c r="A166" s="2" t="s">
        <v>67</v>
      </c>
      <c r="B166" s="9">
        <v>13.33</v>
      </c>
      <c r="C166" s="3">
        <v>375461.67</v>
      </c>
      <c r="D166" s="9">
        <v>13.33</v>
      </c>
      <c r="E166" s="3">
        <v>375461.67</v>
      </c>
      <c r="F166" s="9">
        <v>0</v>
      </c>
      <c r="G166" s="4"/>
    </row>
    <row r="167" spans="1:12" ht="14.4" customHeight="1" outlineLevel="1" x14ac:dyDescent="0.3">
      <c r="A167" s="2" t="s">
        <v>68</v>
      </c>
      <c r="B167" s="9">
        <v>6.41</v>
      </c>
      <c r="C167" s="3">
        <v>180548.33</v>
      </c>
      <c r="D167" s="9">
        <v>6.41</v>
      </c>
      <c r="E167" s="3">
        <v>180548.33</v>
      </c>
      <c r="F167" s="9">
        <v>0</v>
      </c>
      <c r="G167" s="4"/>
    </row>
    <row r="168" spans="1:12" ht="14.4" customHeight="1" outlineLevel="1" x14ac:dyDescent="0.3">
      <c r="A168" s="2" t="s">
        <v>69</v>
      </c>
      <c r="B168" s="9">
        <v>0.39</v>
      </c>
      <c r="C168" s="3">
        <v>10887.5</v>
      </c>
      <c r="D168" s="9">
        <v>0</v>
      </c>
      <c r="E168" s="4"/>
      <c r="F168" s="20">
        <v>0.39</v>
      </c>
      <c r="G168" s="19">
        <v>10887.5</v>
      </c>
    </row>
    <row r="169" spans="1:12" ht="14.4" customHeight="1" outlineLevel="1" x14ac:dyDescent="0.3">
      <c r="A169" s="2" t="s">
        <v>70</v>
      </c>
      <c r="B169" s="9">
        <v>1.03</v>
      </c>
      <c r="C169" s="3">
        <v>28754.17</v>
      </c>
      <c r="D169" s="9">
        <v>1.03</v>
      </c>
      <c r="E169" s="3">
        <v>28754.17</v>
      </c>
      <c r="F169" s="9">
        <v>0</v>
      </c>
      <c r="G169" s="4"/>
    </row>
    <row r="170" spans="1:12" ht="14.4" customHeight="1" outlineLevel="1" x14ac:dyDescent="0.3">
      <c r="A170" s="2" t="s">
        <v>71</v>
      </c>
      <c r="B170" s="9">
        <v>25</v>
      </c>
      <c r="C170" s="3">
        <v>5168.5200000000004</v>
      </c>
      <c r="D170" s="9">
        <v>0</v>
      </c>
      <c r="E170" s="4"/>
      <c r="F170" s="9">
        <v>25</v>
      </c>
      <c r="G170" s="14">
        <v>5168.5200000000004</v>
      </c>
    </row>
    <row r="171" spans="1:12" ht="14.4" customHeight="1" outlineLevel="1" x14ac:dyDescent="0.3">
      <c r="A171" s="2" t="s">
        <v>46</v>
      </c>
      <c r="B171" s="9">
        <v>500</v>
      </c>
      <c r="C171" s="5">
        <v>655</v>
      </c>
      <c r="D171" s="9">
        <v>500</v>
      </c>
      <c r="E171" s="5">
        <v>655</v>
      </c>
      <c r="F171" s="9">
        <v>0</v>
      </c>
      <c r="G171" s="4"/>
    </row>
    <row r="172" spans="1:12" ht="14.4" customHeight="1" x14ac:dyDescent="0.3">
      <c r="A172" s="10" t="s">
        <v>111</v>
      </c>
      <c r="B172" s="11">
        <v>43387.182999999997</v>
      </c>
      <c r="C172" s="12">
        <v>17638877.239999998</v>
      </c>
      <c r="D172" s="11">
        <v>10919.323</v>
      </c>
      <c r="E172" s="12">
        <v>12436399.58</v>
      </c>
      <c r="F172" s="11">
        <v>32467.86</v>
      </c>
      <c r="G172" s="12">
        <v>5202477.66</v>
      </c>
      <c r="J172" s="17">
        <f>J191</f>
        <v>4482609.1500000004</v>
      </c>
      <c r="K172" t="s">
        <v>262</v>
      </c>
    </row>
    <row r="173" spans="1:12" ht="14.4" customHeight="1" outlineLevel="1" x14ac:dyDescent="0.3">
      <c r="A173" s="2" t="s">
        <v>112</v>
      </c>
      <c r="B173" s="9">
        <v>88</v>
      </c>
      <c r="C173" s="5">
        <v>231.24</v>
      </c>
      <c r="D173" s="9">
        <v>0</v>
      </c>
      <c r="E173" s="4"/>
      <c r="F173" s="9">
        <v>88</v>
      </c>
      <c r="G173" s="5">
        <v>231.24</v>
      </c>
      <c r="J173" s="17">
        <f>J206</f>
        <v>411450.43999999994</v>
      </c>
      <c r="K173" t="s">
        <v>263</v>
      </c>
      <c r="L173" s="17">
        <f>J173*0.8</f>
        <v>329160.35199999996</v>
      </c>
    </row>
    <row r="174" spans="1:12" ht="14.4" customHeight="1" outlineLevel="1" x14ac:dyDescent="0.3">
      <c r="A174" s="2" t="s">
        <v>113</v>
      </c>
      <c r="B174" s="9">
        <v>80</v>
      </c>
      <c r="C174" s="5">
        <v>376.09</v>
      </c>
      <c r="D174" s="9">
        <v>0</v>
      </c>
      <c r="E174" s="4"/>
      <c r="F174" s="9">
        <v>80</v>
      </c>
      <c r="G174" s="5">
        <v>376.09</v>
      </c>
      <c r="J174" s="28">
        <v>304064.65000000002</v>
      </c>
      <c r="K174" s="29" t="s">
        <v>264</v>
      </c>
      <c r="L174" s="29" t="s">
        <v>271</v>
      </c>
    </row>
    <row r="175" spans="1:12" ht="14.4" customHeight="1" outlineLevel="1" x14ac:dyDescent="0.3">
      <c r="A175" s="2" t="s">
        <v>114</v>
      </c>
      <c r="B175" s="9">
        <v>472</v>
      </c>
      <c r="C175" s="3">
        <v>7603.84</v>
      </c>
      <c r="D175" s="9">
        <v>0</v>
      </c>
      <c r="E175" s="4"/>
      <c r="F175" s="9">
        <v>472</v>
      </c>
      <c r="G175" s="3">
        <v>7603.84</v>
      </c>
      <c r="J175" s="17">
        <f>G172-J172-J173-J174</f>
        <v>4353.4199999998091</v>
      </c>
      <c r="K175" t="s">
        <v>265</v>
      </c>
    </row>
    <row r="176" spans="1:12" ht="14.4" customHeight="1" outlineLevel="1" x14ac:dyDescent="0.3">
      <c r="A176" s="2" t="s">
        <v>2</v>
      </c>
      <c r="B176" s="9">
        <v>20</v>
      </c>
      <c r="C176" s="3">
        <v>7725</v>
      </c>
      <c r="D176" s="9">
        <v>20</v>
      </c>
      <c r="E176" s="3">
        <v>7725</v>
      </c>
      <c r="F176" s="9">
        <v>0</v>
      </c>
      <c r="G176" s="4"/>
      <c r="J176" s="17">
        <f>SUM(J172:J175)</f>
        <v>5202477.66</v>
      </c>
      <c r="K176" s="17">
        <f>J176-G172</f>
        <v>0</v>
      </c>
    </row>
    <row r="177" spans="1:12" ht="14.4" customHeight="1" outlineLevel="1" x14ac:dyDescent="0.3">
      <c r="A177" s="2" t="s">
        <v>115</v>
      </c>
      <c r="B177" s="9">
        <v>4</v>
      </c>
      <c r="C177" s="3">
        <v>25800</v>
      </c>
      <c r="D177" s="9">
        <v>4</v>
      </c>
      <c r="E177" s="3">
        <v>25800</v>
      </c>
      <c r="F177" s="9">
        <v>0</v>
      </c>
      <c r="G177" s="4"/>
    </row>
    <row r="178" spans="1:12" ht="14.4" customHeight="1" outlineLevel="1" x14ac:dyDescent="0.3">
      <c r="A178" s="2" t="s">
        <v>116</v>
      </c>
      <c r="B178" s="9">
        <v>4</v>
      </c>
      <c r="C178" s="3">
        <v>20000</v>
      </c>
      <c r="D178" s="9">
        <v>4</v>
      </c>
      <c r="E178" s="3">
        <v>20000</v>
      </c>
      <c r="F178" s="9">
        <v>0</v>
      </c>
      <c r="G178" s="4"/>
    </row>
    <row r="179" spans="1:12" ht="14.4" customHeight="1" outlineLevel="1" x14ac:dyDescent="0.3">
      <c r="A179" s="2" t="s">
        <v>60</v>
      </c>
      <c r="B179" s="9">
        <v>59</v>
      </c>
      <c r="C179" s="3">
        <v>317125</v>
      </c>
      <c r="D179" s="9">
        <v>59</v>
      </c>
      <c r="E179" s="3">
        <v>317125</v>
      </c>
      <c r="F179" s="9">
        <v>0</v>
      </c>
      <c r="G179" s="4"/>
    </row>
    <row r="180" spans="1:12" ht="14.4" customHeight="1" outlineLevel="1" x14ac:dyDescent="0.3">
      <c r="A180" s="2" t="s">
        <v>62</v>
      </c>
      <c r="B180" s="9">
        <v>6</v>
      </c>
      <c r="C180" s="3">
        <v>16849.98</v>
      </c>
      <c r="D180" s="9">
        <v>5</v>
      </c>
      <c r="E180" s="3">
        <v>14041.65</v>
      </c>
      <c r="F180" s="9">
        <v>1</v>
      </c>
      <c r="G180" s="3">
        <v>2808.33</v>
      </c>
    </row>
    <row r="181" spans="1:12" ht="14.4" customHeight="1" outlineLevel="1" x14ac:dyDescent="0.3">
      <c r="A181" s="2" t="s">
        <v>117</v>
      </c>
      <c r="B181" s="9">
        <v>12</v>
      </c>
      <c r="C181" s="3">
        <v>30000</v>
      </c>
      <c r="D181" s="9">
        <v>12</v>
      </c>
      <c r="E181" s="3">
        <v>30000</v>
      </c>
      <c r="F181" s="9">
        <v>0</v>
      </c>
      <c r="G181" s="4"/>
    </row>
    <row r="182" spans="1:12" ht="14.4" customHeight="1" outlineLevel="1" x14ac:dyDescent="0.3">
      <c r="A182" s="2" t="s">
        <v>118</v>
      </c>
      <c r="B182" s="9">
        <v>4</v>
      </c>
      <c r="C182" s="3">
        <v>11250</v>
      </c>
      <c r="D182" s="9">
        <v>4</v>
      </c>
      <c r="E182" s="3">
        <v>11250</v>
      </c>
      <c r="F182" s="9">
        <v>0</v>
      </c>
      <c r="G182" s="4"/>
    </row>
    <row r="183" spans="1:12" ht="14.4" customHeight="1" outlineLevel="1" x14ac:dyDescent="0.3">
      <c r="A183" s="2" t="s">
        <v>119</v>
      </c>
      <c r="B183" s="9">
        <v>192</v>
      </c>
      <c r="C183" s="3">
        <v>168000</v>
      </c>
      <c r="D183" s="9">
        <v>192</v>
      </c>
      <c r="E183" s="3">
        <v>168000</v>
      </c>
      <c r="F183" s="9">
        <v>0</v>
      </c>
      <c r="G183" s="4"/>
    </row>
    <row r="184" spans="1:12" ht="14.4" customHeight="1" outlineLevel="1" x14ac:dyDescent="0.3">
      <c r="A184" s="2" t="s">
        <v>120</v>
      </c>
      <c r="B184" s="9">
        <v>26</v>
      </c>
      <c r="C184" s="3">
        <v>32500</v>
      </c>
      <c r="D184" s="9">
        <v>26</v>
      </c>
      <c r="E184" s="3">
        <v>32500</v>
      </c>
      <c r="F184" s="9">
        <v>0</v>
      </c>
      <c r="G184" s="4"/>
    </row>
    <row r="185" spans="1:12" ht="14.4" customHeight="1" outlineLevel="1" x14ac:dyDescent="0.3">
      <c r="A185" s="2" t="s">
        <v>121</v>
      </c>
      <c r="B185" s="9">
        <v>26</v>
      </c>
      <c r="C185" s="3">
        <v>18533.580000000002</v>
      </c>
      <c r="D185" s="9">
        <v>26</v>
      </c>
      <c r="E185" s="3">
        <v>18533.580000000002</v>
      </c>
      <c r="F185" s="9">
        <v>0</v>
      </c>
      <c r="G185" s="4"/>
    </row>
    <row r="186" spans="1:12" ht="14.4" customHeight="1" outlineLevel="1" x14ac:dyDescent="0.3">
      <c r="A186" s="2" t="s">
        <v>4</v>
      </c>
      <c r="B186" s="9">
        <v>0.78100000000000003</v>
      </c>
      <c r="C186" s="3">
        <v>20566.330000000002</v>
      </c>
      <c r="D186" s="9">
        <v>0.78100000000000003</v>
      </c>
      <c r="E186" s="3">
        <v>20566.330000000002</v>
      </c>
      <c r="F186" s="9">
        <v>0</v>
      </c>
      <c r="G186" s="4"/>
    </row>
    <row r="187" spans="1:12" ht="14.4" customHeight="1" outlineLevel="1" x14ac:dyDescent="0.3">
      <c r="A187" s="2" t="s">
        <v>5</v>
      </c>
      <c r="B187" s="9">
        <v>4.7300000000000004</v>
      </c>
      <c r="C187" s="3">
        <v>124556.65</v>
      </c>
      <c r="D187" s="9">
        <v>4.7300000000000004</v>
      </c>
      <c r="E187" s="3">
        <v>124556.65</v>
      </c>
      <c r="F187" s="9">
        <v>0</v>
      </c>
      <c r="G187" s="4"/>
    </row>
    <row r="188" spans="1:12" ht="14.4" customHeight="1" outlineLevel="1" x14ac:dyDescent="0.3">
      <c r="A188" s="2" t="s">
        <v>6</v>
      </c>
      <c r="B188" s="9">
        <v>45.186999999999998</v>
      </c>
      <c r="C188" s="3">
        <v>1144737.18</v>
      </c>
      <c r="D188" s="9">
        <v>45.186999999999998</v>
      </c>
      <c r="E188" s="3">
        <v>1144737.18</v>
      </c>
      <c r="F188" s="9">
        <v>0</v>
      </c>
      <c r="G188" s="4"/>
    </row>
    <row r="189" spans="1:12" ht="14.4" customHeight="1" outlineLevel="1" x14ac:dyDescent="0.3">
      <c r="A189" s="2" t="s">
        <v>7</v>
      </c>
      <c r="B189" s="9">
        <v>15.76</v>
      </c>
      <c r="C189" s="3">
        <v>399253.28</v>
      </c>
      <c r="D189" s="9">
        <v>15.76</v>
      </c>
      <c r="E189" s="3">
        <v>399253.28</v>
      </c>
      <c r="F189" s="9">
        <v>0</v>
      </c>
      <c r="G189" s="4"/>
    </row>
    <row r="190" spans="1:12" ht="14.4" customHeight="1" outlineLevel="1" x14ac:dyDescent="0.3">
      <c r="A190" s="2" t="s">
        <v>122</v>
      </c>
      <c r="B190" s="9">
        <v>0.77</v>
      </c>
      <c r="C190" s="3">
        <v>24232.54</v>
      </c>
      <c r="D190" s="9">
        <v>0.77</v>
      </c>
      <c r="E190" s="3">
        <v>24232.54</v>
      </c>
      <c r="F190" s="9">
        <v>0</v>
      </c>
      <c r="G190" s="4"/>
    </row>
    <row r="191" spans="1:12" ht="14.4" customHeight="1" outlineLevel="1" x14ac:dyDescent="0.3">
      <c r="A191" s="2" t="s">
        <v>123</v>
      </c>
      <c r="B191" s="9">
        <v>8.9550000000000001</v>
      </c>
      <c r="C191" s="3">
        <v>277343.78000000003</v>
      </c>
      <c r="D191" s="9">
        <v>8.2590000000000003</v>
      </c>
      <c r="E191" s="3">
        <v>255788.08</v>
      </c>
      <c r="F191" s="9">
        <v>0.69599999999999995</v>
      </c>
      <c r="G191" s="14">
        <v>21555.7</v>
      </c>
      <c r="I191" s="17">
        <v>137.04599999999996</v>
      </c>
      <c r="J191" s="17">
        <v>4482609.1500000004</v>
      </c>
      <c r="K191" s="17">
        <v>32708.792303314229</v>
      </c>
      <c r="L191" t="s">
        <v>258</v>
      </c>
    </row>
    <row r="192" spans="1:12" ht="14.4" customHeight="1" outlineLevel="1" x14ac:dyDescent="0.3">
      <c r="A192" s="2" t="s">
        <v>124</v>
      </c>
      <c r="B192" s="9">
        <v>10.52</v>
      </c>
      <c r="C192" s="3">
        <v>344163.57</v>
      </c>
      <c r="D192" s="9">
        <v>5.9409999999999998</v>
      </c>
      <c r="E192" s="3">
        <v>193528.07</v>
      </c>
      <c r="F192" s="9">
        <v>4.5789999999999997</v>
      </c>
      <c r="G192" s="14">
        <v>150635.5</v>
      </c>
    </row>
    <row r="193" spans="1:12" ht="14.4" customHeight="1" outlineLevel="1" x14ac:dyDescent="0.3">
      <c r="A193" s="2" t="s">
        <v>125</v>
      </c>
      <c r="B193" s="9">
        <v>1.5349999999999999</v>
      </c>
      <c r="C193" s="3">
        <v>52778.41</v>
      </c>
      <c r="D193" s="9">
        <v>1.5349999999999999</v>
      </c>
      <c r="E193" s="3">
        <v>52778.41</v>
      </c>
      <c r="F193" s="9">
        <v>0</v>
      </c>
      <c r="G193" s="4"/>
    </row>
    <row r="194" spans="1:12" ht="14.4" customHeight="1" outlineLevel="1" x14ac:dyDescent="0.3">
      <c r="A194" s="2" t="s">
        <v>126</v>
      </c>
      <c r="B194" s="9">
        <v>17.2</v>
      </c>
      <c r="C194" s="3">
        <v>596503.94999999995</v>
      </c>
      <c r="D194" s="9">
        <v>14.664999999999999</v>
      </c>
      <c r="E194" s="3">
        <v>511032.19</v>
      </c>
      <c r="F194" s="9">
        <v>2.5350000000000001</v>
      </c>
      <c r="G194" s="14">
        <v>85471.76</v>
      </c>
      <c r="I194" s="17">
        <f>250-209*1.04</f>
        <v>32.639999999999986</v>
      </c>
      <c r="J194" s="18">
        <f>I194*K191</f>
        <v>1067614.9807801759</v>
      </c>
      <c r="L194" t="s">
        <v>259</v>
      </c>
    </row>
    <row r="195" spans="1:12" ht="14.4" customHeight="1" outlineLevel="1" x14ac:dyDescent="0.3">
      <c r="A195" s="2" t="s">
        <v>127</v>
      </c>
      <c r="B195" s="9">
        <v>0.76</v>
      </c>
      <c r="C195" s="3">
        <v>25125.06</v>
      </c>
      <c r="D195" s="9">
        <v>0</v>
      </c>
      <c r="E195" s="4"/>
      <c r="F195" s="9">
        <v>0.76</v>
      </c>
      <c r="G195" s="14">
        <v>25125.06</v>
      </c>
    </row>
    <row r="196" spans="1:12" ht="14.4" customHeight="1" outlineLevel="1" x14ac:dyDescent="0.3">
      <c r="A196" s="2" t="s">
        <v>128</v>
      </c>
      <c r="B196" s="9">
        <v>0.52</v>
      </c>
      <c r="C196" s="3">
        <v>18781.78</v>
      </c>
      <c r="D196" s="9">
        <v>0.41499999999999998</v>
      </c>
      <c r="E196" s="3">
        <v>14989.31</v>
      </c>
      <c r="F196" s="9">
        <v>0.105</v>
      </c>
      <c r="G196" s="14">
        <v>3792.47</v>
      </c>
    </row>
    <row r="197" spans="1:12" ht="14.4" customHeight="1" outlineLevel="1" x14ac:dyDescent="0.3">
      <c r="A197" s="2" t="s">
        <v>10</v>
      </c>
      <c r="B197" s="9">
        <v>5.9</v>
      </c>
      <c r="C197" s="3">
        <v>11357.5</v>
      </c>
      <c r="D197" s="9">
        <v>5.9</v>
      </c>
      <c r="E197" s="3">
        <v>11357.5</v>
      </c>
      <c r="F197" s="9">
        <v>0</v>
      </c>
      <c r="G197" s="4"/>
    </row>
    <row r="198" spans="1:12" ht="14.4" customHeight="1" outlineLevel="1" x14ac:dyDescent="0.3">
      <c r="A198" s="2" t="s">
        <v>11</v>
      </c>
      <c r="B198" s="9">
        <v>26.9</v>
      </c>
      <c r="C198" s="3">
        <v>72361</v>
      </c>
      <c r="D198" s="9">
        <v>26.9</v>
      </c>
      <c r="E198" s="3">
        <v>72361</v>
      </c>
      <c r="F198" s="9">
        <v>0</v>
      </c>
      <c r="G198" s="4"/>
    </row>
    <row r="199" spans="1:12" ht="14.4" customHeight="1" outlineLevel="1" x14ac:dyDescent="0.3">
      <c r="A199" s="2" t="s">
        <v>12</v>
      </c>
      <c r="B199" s="9">
        <v>7</v>
      </c>
      <c r="C199" s="3">
        <v>18810.41</v>
      </c>
      <c r="D199" s="9">
        <v>4.8959999999999999</v>
      </c>
      <c r="E199" s="3">
        <v>13156.54</v>
      </c>
      <c r="F199" s="9">
        <v>2.1040000000000001</v>
      </c>
      <c r="G199" s="3">
        <v>5653.87</v>
      </c>
    </row>
    <row r="200" spans="1:12" ht="14.4" customHeight="1" outlineLevel="1" x14ac:dyDescent="0.3">
      <c r="A200" s="2" t="s">
        <v>13</v>
      </c>
      <c r="B200" s="9">
        <v>41</v>
      </c>
      <c r="C200" s="3">
        <v>123461.17</v>
      </c>
      <c r="D200" s="9">
        <v>41</v>
      </c>
      <c r="E200" s="3">
        <v>123775.98</v>
      </c>
      <c r="F200" s="9">
        <v>0</v>
      </c>
      <c r="G200" s="5">
        <v>-314.81</v>
      </c>
    </row>
    <row r="201" spans="1:12" ht="14.4" customHeight="1" outlineLevel="1" x14ac:dyDescent="0.3">
      <c r="A201" s="2" t="s">
        <v>14</v>
      </c>
      <c r="B201" s="9">
        <v>21.6</v>
      </c>
      <c r="C201" s="3">
        <v>59344.23</v>
      </c>
      <c r="D201" s="9">
        <v>21.6</v>
      </c>
      <c r="E201" s="3">
        <v>59344.23</v>
      </c>
      <c r="F201" s="9">
        <v>0</v>
      </c>
      <c r="G201" s="4"/>
    </row>
    <row r="202" spans="1:12" ht="14.4" customHeight="1" outlineLevel="1" x14ac:dyDescent="0.3">
      <c r="A202" s="2" t="s">
        <v>15</v>
      </c>
      <c r="B202" s="9">
        <v>176.6</v>
      </c>
      <c r="C202" s="3">
        <v>660259.25</v>
      </c>
      <c r="D202" s="9">
        <v>176.6</v>
      </c>
      <c r="E202" s="3">
        <v>660259.24</v>
      </c>
      <c r="F202" s="9">
        <v>0</v>
      </c>
      <c r="G202" s="5">
        <v>0.01</v>
      </c>
    </row>
    <row r="203" spans="1:12" ht="14.4" customHeight="1" outlineLevel="1" x14ac:dyDescent="0.3">
      <c r="A203" s="2" t="s">
        <v>16</v>
      </c>
      <c r="B203" s="9">
        <v>3</v>
      </c>
      <c r="C203" s="3">
        <v>11475.36</v>
      </c>
      <c r="D203" s="9">
        <v>3</v>
      </c>
      <c r="E203" s="3">
        <v>11475.36</v>
      </c>
      <c r="F203" s="9">
        <v>0</v>
      </c>
      <c r="G203" s="4"/>
    </row>
    <row r="204" spans="1:12" ht="14.4" customHeight="1" outlineLevel="1" x14ac:dyDescent="0.3">
      <c r="A204" s="2" t="s">
        <v>17</v>
      </c>
      <c r="B204" s="9">
        <v>0.5</v>
      </c>
      <c r="C204" s="3">
        <v>1840.22</v>
      </c>
      <c r="D204" s="9">
        <v>0.5</v>
      </c>
      <c r="E204" s="3">
        <v>1840.22</v>
      </c>
      <c r="F204" s="9">
        <v>0</v>
      </c>
      <c r="G204" s="4"/>
    </row>
    <row r="205" spans="1:12" ht="14.4" customHeight="1" outlineLevel="1" x14ac:dyDescent="0.3">
      <c r="A205" s="2" t="s">
        <v>18</v>
      </c>
      <c r="B205" s="9">
        <v>48.7</v>
      </c>
      <c r="C205" s="3">
        <v>175979.74</v>
      </c>
      <c r="D205" s="9">
        <v>48.7</v>
      </c>
      <c r="E205" s="3">
        <v>175979.74</v>
      </c>
      <c r="F205" s="9">
        <v>0</v>
      </c>
      <c r="G205" s="4"/>
      <c r="K205" t="s">
        <v>261</v>
      </c>
    </row>
    <row r="206" spans="1:12" ht="14.4" customHeight="1" outlineLevel="1" x14ac:dyDescent="0.3">
      <c r="A206" s="2" t="s">
        <v>129</v>
      </c>
      <c r="B206" s="9">
        <v>8</v>
      </c>
      <c r="C206" s="3">
        <v>10213.36</v>
      </c>
      <c r="D206" s="9">
        <v>0</v>
      </c>
      <c r="E206" s="4"/>
      <c r="F206" s="9">
        <v>8</v>
      </c>
      <c r="G206" s="15">
        <v>10213.36</v>
      </c>
      <c r="J206" s="17">
        <v>411450.43999999994</v>
      </c>
      <c r="K206" s="17">
        <v>493740.52799999993</v>
      </c>
      <c r="L206" t="s">
        <v>260</v>
      </c>
    </row>
    <row r="207" spans="1:12" ht="14.4" customHeight="1" outlineLevel="1" x14ac:dyDescent="0.3">
      <c r="A207" s="2" t="s">
        <v>130</v>
      </c>
      <c r="B207" s="9">
        <v>48</v>
      </c>
      <c r="C207" s="5">
        <v>297.11</v>
      </c>
      <c r="D207" s="9">
        <v>0</v>
      </c>
      <c r="E207" s="4"/>
      <c r="F207" s="9">
        <v>48</v>
      </c>
      <c r="G207" s="16">
        <v>297.11</v>
      </c>
    </row>
    <row r="208" spans="1:12" ht="14.4" customHeight="1" outlineLevel="1" x14ac:dyDescent="0.3">
      <c r="A208" s="2" t="s">
        <v>131</v>
      </c>
      <c r="B208" s="9">
        <v>785</v>
      </c>
      <c r="C208" s="3">
        <v>9544.81</v>
      </c>
      <c r="D208" s="9">
        <v>0</v>
      </c>
      <c r="E208" s="4"/>
      <c r="F208" s="9">
        <v>785</v>
      </c>
      <c r="G208" s="15">
        <v>9544.81</v>
      </c>
    </row>
    <row r="209" spans="1:7" ht="14.4" customHeight="1" outlineLevel="1" x14ac:dyDescent="0.3">
      <c r="A209" s="2" t="s">
        <v>132</v>
      </c>
      <c r="B209" s="9">
        <v>44</v>
      </c>
      <c r="C209" s="5">
        <v>516.98</v>
      </c>
      <c r="D209" s="9">
        <v>0</v>
      </c>
      <c r="E209" s="4"/>
      <c r="F209" s="9">
        <v>44</v>
      </c>
      <c r="G209" s="16">
        <v>516.98</v>
      </c>
    </row>
    <row r="210" spans="1:7" ht="14.4" customHeight="1" outlineLevel="1" x14ac:dyDescent="0.3">
      <c r="A210" s="2" t="s">
        <v>133</v>
      </c>
      <c r="B210" s="9">
        <v>33</v>
      </c>
      <c r="C210" s="5">
        <v>427.23</v>
      </c>
      <c r="D210" s="9">
        <v>0</v>
      </c>
      <c r="E210" s="4"/>
      <c r="F210" s="9">
        <v>33</v>
      </c>
      <c r="G210" s="16">
        <v>427.23</v>
      </c>
    </row>
    <row r="211" spans="1:7" ht="14.4" customHeight="1" outlineLevel="1" x14ac:dyDescent="0.3">
      <c r="A211" s="2" t="s">
        <v>134</v>
      </c>
      <c r="B211" s="9">
        <v>13</v>
      </c>
      <c r="C211" s="5">
        <v>183.05</v>
      </c>
      <c r="D211" s="9">
        <v>0</v>
      </c>
      <c r="E211" s="4"/>
      <c r="F211" s="9">
        <v>13</v>
      </c>
      <c r="G211" s="16">
        <v>183.05</v>
      </c>
    </row>
    <row r="212" spans="1:7" ht="14.4" customHeight="1" outlineLevel="1" x14ac:dyDescent="0.3">
      <c r="A212" s="2" t="s">
        <v>135</v>
      </c>
      <c r="B212" s="9">
        <v>64</v>
      </c>
      <c r="C212" s="3">
        <v>1780.13</v>
      </c>
      <c r="D212" s="9">
        <v>0</v>
      </c>
      <c r="E212" s="4"/>
      <c r="F212" s="9">
        <v>64</v>
      </c>
      <c r="G212" s="15">
        <v>1780.13</v>
      </c>
    </row>
    <row r="213" spans="1:7" ht="14.4" customHeight="1" outlineLevel="1" x14ac:dyDescent="0.3">
      <c r="A213" s="2" t="s">
        <v>136</v>
      </c>
      <c r="B213" s="9">
        <v>2475</v>
      </c>
      <c r="C213" s="3">
        <v>53521.26</v>
      </c>
      <c r="D213" s="9">
        <v>0</v>
      </c>
      <c r="E213" s="4"/>
      <c r="F213" s="9">
        <v>2475</v>
      </c>
      <c r="G213" s="15">
        <v>53521.26</v>
      </c>
    </row>
    <row r="214" spans="1:7" ht="14.4" customHeight="1" outlineLevel="1" x14ac:dyDescent="0.3">
      <c r="A214" s="2" t="s">
        <v>137</v>
      </c>
      <c r="B214" s="9">
        <v>872</v>
      </c>
      <c r="C214" s="3">
        <v>18815.580000000002</v>
      </c>
      <c r="D214" s="9">
        <v>0</v>
      </c>
      <c r="E214" s="4"/>
      <c r="F214" s="9">
        <v>872</v>
      </c>
      <c r="G214" s="15">
        <v>18815.580000000002</v>
      </c>
    </row>
    <row r="215" spans="1:7" ht="14.4" customHeight="1" outlineLevel="1" x14ac:dyDescent="0.3">
      <c r="A215" s="2" t="s">
        <v>138</v>
      </c>
      <c r="B215" s="9">
        <v>388</v>
      </c>
      <c r="C215" s="3">
        <v>8799.85</v>
      </c>
      <c r="D215" s="9">
        <v>0</v>
      </c>
      <c r="E215" s="4"/>
      <c r="F215" s="9">
        <v>388</v>
      </c>
      <c r="G215" s="15">
        <v>8799.85</v>
      </c>
    </row>
    <row r="216" spans="1:7" ht="14.4" customHeight="1" outlineLevel="1" x14ac:dyDescent="0.3">
      <c r="A216" s="2" t="s">
        <v>139</v>
      </c>
      <c r="B216" s="9">
        <v>213</v>
      </c>
      <c r="C216" s="3">
        <v>23815.72</v>
      </c>
      <c r="D216" s="9">
        <v>0</v>
      </c>
      <c r="E216" s="4"/>
      <c r="F216" s="9">
        <v>213</v>
      </c>
      <c r="G216" s="15">
        <v>23815.72</v>
      </c>
    </row>
    <row r="217" spans="1:7" ht="14.4" customHeight="1" outlineLevel="1" x14ac:dyDescent="0.3">
      <c r="A217" s="2" t="s">
        <v>140</v>
      </c>
      <c r="B217" s="9">
        <v>794</v>
      </c>
      <c r="C217" s="3">
        <v>72417.960000000006</v>
      </c>
      <c r="D217" s="9">
        <v>0</v>
      </c>
      <c r="E217" s="4"/>
      <c r="F217" s="9">
        <v>794</v>
      </c>
      <c r="G217" s="15">
        <v>72417.960000000006</v>
      </c>
    </row>
    <row r="218" spans="1:7" ht="14.4" customHeight="1" outlineLevel="1" x14ac:dyDescent="0.3">
      <c r="A218" s="2" t="s">
        <v>22</v>
      </c>
      <c r="B218" s="9">
        <v>1171.3399999999999</v>
      </c>
      <c r="C218" s="3">
        <v>292835</v>
      </c>
      <c r="D218" s="9">
        <v>1171.3399999999999</v>
      </c>
      <c r="E218" s="3">
        <v>292835</v>
      </c>
      <c r="F218" s="9">
        <v>0</v>
      </c>
      <c r="G218" s="4"/>
    </row>
    <row r="219" spans="1:7" ht="14.4" customHeight="1" outlineLevel="1" x14ac:dyDescent="0.3">
      <c r="A219" s="2" t="s">
        <v>141</v>
      </c>
      <c r="B219" s="9">
        <v>95</v>
      </c>
      <c r="C219" s="5">
        <v>166.08</v>
      </c>
      <c r="D219" s="9">
        <v>0</v>
      </c>
      <c r="E219" s="4"/>
      <c r="F219" s="9">
        <v>95</v>
      </c>
      <c r="G219" s="16">
        <v>166.08</v>
      </c>
    </row>
    <row r="220" spans="1:7" ht="14.4" customHeight="1" outlineLevel="1" x14ac:dyDescent="0.3">
      <c r="A220" s="2" t="s">
        <v>142</v>
      </c>
      <c r="B220" s="9">
        <v>1747</v>
      </c>
      <c r="C220" s="3">
        <v>7043.9</v>
      </c>
      <c r="D220" s="9">
        <v>0</v>
      </c>
      <c r="E220" s="4"/>
      <c r="F220" s="9">
        <v>1747</v>
      </c>
      <c r="G220" s="15">
        <v>7043.9</v>
      </c>
    </row>
    <row r="221" spans="1:7" ht="14.4" customHeight="1" outlineLevel="1" x14ac:dyDescent="0.3">
      <c r="A221" s="2" t="s">
        <v>143</v>
      </c>
      <c r="B221" s="9">
        <v>8681</v>
      </c>
      <c r="C221" s="3">
        <v>71507.570000000007</v>
      </c>
      <c r="D221" s="9">
        <v>0</v>
      </c>
      <c r="E221" s="4"/>
      <c r="F221" s="9">
        <v>8681</v>
      </c>
      <c r="G221" s="15">
        <v>71507.570000000007</v>
      </c>
    </row>
    <row r="222" spans="1:7" ht="14.4" customHeight="1" outlineLevel="1" x14ac:dyDescent="0.3">
      <c r="A222" s="2" t="s">
        <v>144</v>
      </c>
      <c r="B222" s="9">
        <v>144</v>
      </c>
      <c r="C222" s="3">
        <v>1352.3</v>
      </c>
      <c r="D222" s="9">
        <v>0</v>
      </c>
      <c r="E222" s="4"/>
      <c r="F222" s="9">
        <v>144</v>
      </c>
      <c r="G222" s="15">
        <v>1352.3</v>
      </c>
    </row>
    <row r="223" spans="1:7" ht="14.4" customHeight="1" outlineLevel="1" x14ac:dyDescent="0.3">
      <c r="A223" s="2" t="s">
        <v>145</v>
      </c>
      <c r="B223" s="9">
        <v>794</v>
      </c>
      <c r="C223" s="3">
        <v>43221.78</v>
      </c>
      <c r="D223" s="9">
        <v>0</v>
      </c>
      <c r="E223" s="4"/>
      <c r="F223" s="9">
        <v>794</v>
      </c>
      <c r="G223" s="15">
        <v>43221.78</v>
      </c>
    </row>
    <row r="224" spans="1:7" ht="14.4" customHeight="1" outlineLevel="1" x14ac:dyDescent="0.3">
      <c r="A224" s="2" t="s">
        <v>146</v>
      </c>
      <c r="B224" s="9">
        <v>213</v>
      </c>
      <c r="C224" s="3">
        <v>9847.8799999999992</v>
      </c>
      <c r="D224" s="9">
        <v>0</v>
      </c>
      <c r="E224" s="4"/>
      <c r="F224" s="9">
        <v>213</v>
      </c>
      <c r="G224" s="15">
        <v>9847.8799999999992</v>
      </c>
    </row>
    <row r="225" spans="1:8" ht="14.4" customHeight="1" outlineLevel="1" x14ac:dyDescent="0.3">
      <c r="A225" s="2" t="s">
        <v>147</v>
      </c>
      <c r="B225" s="9">
        <v>120</v>
      </c>
      <c r="C225" s="3">
        <v>2374.9699999999998</v>
      </c>
      <c r="D225" s="9">
        <v>0</v>
      </c>
      <c r="E225" s="4"/>
      <c r="F225" s="9">
        <v>120</v>
      </c>
      <c r="G225" s="15">
        <v>2374.9699999999998</v>
      </c>
    </row>
    <row r="226" spans="1:8" ht="14.4" customHeight="1" outlineLevel="1" x14ac:dyDescent="0.3">
      <c r="A226" s="2" t="s">
        <v>148</v>
      </c>
      <c r="B226" s="9">
        <v>708</v>
      </c>
      <c r="C226" s="3">
        <v>36839.599999999999</v>
      </c>
      <c r="D226" s="9">
        <v>0</v>
      </c>
      <c r="E226" s="4"/>
      <c r="F226" s="9">
        <v>708</v>
      </c>
      <c r="G226" s="15">
        <v>36839.599999999999</v>
      </c>
      <c r="H226" t="s">
        <v>257</v>
      </c>
    </row>
    <row r="227" spans="1:8" ht="14.4" customHeight="1" outlineLevel="1" x14ac:dyDescent="0.3">
      <c r="A227" s="2" t="s">
        <v>149</v>
      </c>
      <c r="B227" s="9">
        <v>150</v>
      </c>
      <c r="C227" s="3">
        <v>37500</v>
      </c>
      <c r="D227" s="9">
        <v>150</v>
      </c>
      <c r="E227" s="3">
        <v>37500</v>
      </c>
      <c r="F227" s="9">
        <v>0</v>
      </c>
      <c r="G227" s="4"/>
    </row>
    <row r="228" spans="1:8" ht="14.4" customHeight="1" outlineLevel="1" x14ac:dyDescent="0.3">
      <c r="A228" s="2" t="s">
        <v>24</v>
      </c>
      <c r="B228" s="9">
        <v>132</v>
      </c>
      <c r="C228" s="3">
        <v>19668</v>
      </c>
      <c r="D228" s="9">
        <v>132</v>
      </c>
      <c r="E228" s="3">
        <v>19668</v>
      </c>
      <c r="F228" s="9">
        <v>0</v>
      </c>
      <c r="G228" s="4"/>
    </row>
    <row r="229" spans="1:8" ht="14.4" customHeight="1" outlineLevel="1" x14ac:dyDescent="0.3">
      <c r="A229" s="2" t="s">
        <v>150</v>
      </c>
      <c r="B229" s="9">
        <v>1</v>
      </c>
      <c r="C229" s="3">
        <v>11200</v>
      </c>
      <c r="D229" s="9">
        <v>1</v>
      </c>
      <c r="E229" s="3">
        <v>11200</v>
      </c>
      <c r="F229" s="9">
        <v>0</v>
      </c>
      <c r="G229" s="4"/>
    </row>
    <row r="230" spans="1:8" ht="14.4" customHeight="1" outlineLevel="1" x14ac:dyDescent="0.3">
      <c r="A230" s="2" t="s">
        <v>151</v>
      </c>
      <c r="B230" s="9">
        <v>2</v>
      </c>
      <c r="C230" s="3">
        <v>23870</v>
      </c>
      <c r="D230" s="9">
        <v>2</v>
      </c>
      <c r="E230" s="3">
        <v>23870</v>
      </c>
      <c r="F230" s="9">
        <v>0</v>
      </c>
      <c r="G230" s="4"/>
    </row>
    <row r="231" spans="1:8" ht="14.4" customHeight="1" outlineLevel="1" x14ac:dyDescent="0.3">
      <c r="A231" s="2" t="s">
        <v>152</v>
      </c>
      <c r="B231" s="9">
        <v>1</v>
      </c>
      <c r="C231" s="3">
        <v>12665</v>
      </c>
      <c r="D231" s="9">
        <v>1</v>
      </c>
      <c r="E231" s="3">
        <v>12665</v>
      </c>
      <c r="F231" s="9">
        <v>0</v>
      </c>
      <c r="G231" s="4"/>
    </row>
    <row r="232" spans="1:8" ht="14.4" customHeight="1" outlineLevel="1" x14ac:dyDescent="0.3">
      <c r="A232" s="2" t="s">
        <v>153</v>
      </c>
      <c r="B232" s="9">
        <v>2.56</v>
      </c>
      <c r="C232" s="3">
        <v>68266.679999999993</v>
      </c>
      <c r="D232" s="9">
        <v>2.56</v>
      </c>
      <c r="E232" s="3">
        <v>68266.679999999993</v>
      </c>
      <c r="F232" s="9">
        <v>0</v>
      </c>
      <c r="G232" s="4"/>
    </row>
    <row r="233" spans="1:8" ht="14.4" customHeight="1" outlineLevel="1" x14ac:dyDescent="0.3">
      <c r="A233" s="2" t="s">
        <v>110</v>
      </c>
      <c r="B233" s="9">
        <v>5.0999999999999997E-2</v>
      </c>
      <c r="C233" s="3">
        <v>1428.85</v>
      </c>
      <c r="D233" s="9">
        <v>0</v>
      </c>
      <c r="E233" s="4"/>
      <c r="F233" s="9">
        <v>5.0999999999999997E-2</v>
      </c>
      <c r="G233" s="14">
        <v>1428.85</v>
      </c>
    </row>
    <row r="234" spans="1:8" ht="14.4" customHeight="1" outlineLevel="1" x14ac:dyDescent="0.3">
      <c r="A234" s="2" t="s">
        <v>154</v>
      </c>
      <c r="B234" s="9">
        <v>1.0049999999999999</v>
      </c>
      <c r="C234" s="3">
        <v>26883.75</v>
      </c>
      <c r="D234" s="9">
        <v>0</v>
      </c>
      <c r="E234" s="4"/>
      <c r="F234" s="9">
        <v>1.0049999999999999</v>
      </c>
      <c r="G234" s="14">
        <v>26883.75</v>
      </c>
    </row>
    <row r="235" spans="1:8" ht="14.4" customHeight="1" outlineLevel="1" x14ac:dyDescent="0.3">
      <c r="A235" s="2" t="s">
        <v>155</v>
      </c>
      <c r="B235" s="9">
        <v>19.899999999999999</v>
      </c>
      <c r="C235" s="3">
        <v>575773.27</v>
      </c>
      <c r="D235" s="9">
        <v>17.173999999999999</v>
      </c>
      <c r="E235" s="3">
        <v>496901.02</v>
      </c>
      <c r="F235" s="9">
        <v>2.726</v>
      </c>
      <c r="G235" s="14">
        <v>78872.25</v>
      </c>
    </row>
    <row r="236" spans="1:8" ht="14.4" customHeight="1" outlineLevel="1" x14ac:dyDescent="0.3">
      <c r="A236" s="2" t="s">
        <v>156</v>
      </c>
      <c r="B236" s="9">
        <v>2.2749999999999999</v>
      </c>
      <c r="C236" s="3">
        <v>70051.05</v>
      </c>
      <c r="D236" s="9">
        <v>2.2749999999999999</v>
      </c>
      <c r="E236" s="3">
        <v>70051.05</v>
      </c>
      <c r="F236" s="9">
        <v>0</v>
      </c>
      <c r="G236" s="4"/>
    </row>
    <row r="237" spans="1:8" ht="14.4" customHeight="1" outlineLevel="1" x14ac:dyDescent="0.3">
      <c r="A237" s="2" t="s">
        <v>157</v>
      </c>
      <c r="B237" s="9">
        <v>6.1</v>
      </c>
      <c r="C237" s="3">
        <v>178272.5</v>
      </c>
      <c r="D237" s="9">
        <v>4.5350000000000001</v>
      </c>
      <c r="E237" s="3">
        <v>132535.38</v>
      </c>
      <c r="F237" s="9">
        <v>1.5649999999999999</v>
      </c>
      <c r="G237" s="14">
        <v>45737.120000000003</v>
      </c>
    </row>
    <row r="238" spans="1:8" ht="14.4" customHeight="1" outlineLevel="1" x14ac:dyDescent="0.3">
      <c r="A238" s="2" t="s">
        <v>158</v>
      </c>
      <c r="B238" s="9">
        <v>0.29499999999999998</v>
      </c>
      <c r="C238" s="3">
        <v>8515.51</v>
      </c>
      <c r="D238" s="9">
        <v>0</v>
      </c>
      <c r="E238" s="4"/>
      <c r="F238" s="9">
        <v>0.29499999999999998</v>
      </c>
      <c r="G238" s="14">
        <v>8515.51</v>
      </c>
    </row>
    <row r="239" spans="1:8" ht="14.4" customHeight="1" outlineLevel="1" x14ac:dyDescent="0.3">
      <c r="A239" s="2" t="s">
        <v>159</v>
      </c>
      <c r="B239" s="9">
        <v>0.56999999999999995</v>
      </c>
      <c r="C239" s="3">
        <v>15922</v>
      </c>
      <c r="D239" s="9">
        <v>0.41599999999999998</v>
      </c>
      <c r="E239" s="3">
        <v>11620.27</v>
      </c>
      <c r="F239" s="9">
        <v>0.154</v>
      </c>
      <c r="G239" s="14">
        <v>4301.7299999999996</v>
      </c>
    </row>
    <row r="240" spans="1:8" ht="14.4" customHeight="1" outlineLevel="1" x14ac:dyDescent="0.3">
      <c r="A240" s="2" t="s">
        <v>160</v>
      </c>
      <c r="B240" s="9">
        <v>2.5649999999999999</v>
      </c>
      <c r="C240" s="3">
        <v>71649</v>
      </c>
      <c r="D240" s="9">
        <v>1.0509999999999999</v>
      </c>
      <c r="E240" s="3">
        <v>29357.93</v>
      </c>
      <c r="F240" s="9">
        <v>1.514</v>
      </c>
      <c r="G240" s="14">
        <v>42291.07</v>
      </c>
    </row>
    <row r="241" spans="1:7" ht="14.4" customHeight="1" outlineLevel="1" x14ac:dyDescent="0.3">
      <c r="A241" s="2" t="s">
        <v>161</v>
      </c>
      <c r="B241" s="9">
        <v>4.55</v>
      </c>
      <c r="C241" s="3">
        <v>127096.65</v>
      </c>
      <c r="D241" s="9">
        <v>4.0129999999999999</v>
      </c>
      <c r="E241" s="3">
        <v>112096.45</v>
      </c>
      <c r="F241" s="9">
        <v>0.53700000000000003</v>
      </c>
      <c r="G241" s="14">
        <v>15000.2</v>
      </c>
    </row>
    <row r="242" spans="1:7" ht="14.4" customHeight="1" outlineLevel="1" x14ac:dyDescent="0.3">
      <c r="A242" s="2" t="s">
        <v>162</v>
      </c>
      <c r="B242" s="9">
        <v>0.56999999999999995</v>
      </c>
      <c r="C242" s="3">
        <v>15922</v>
      </c>
      <c r="D242" s="9">
        <v>0.56999999999999995</v>
      </c>
      <c r="E242" s="3">
        <v>15922</v>
      </c>
      <c r="F242" s="9">
        <v>0</v>
      </c>
      <c r="G242" s="4"/>
    </row>
    <row r="243" spans="1:7" ht="14.4" customHeight="1" outlineLevel="1" x14ac:dyDescent="0.3">
      <c r="A243" s="2" t="s">
        <v>163</v>
      </c>
      <c r="B243" s="9">
        <v>2.88</v>
      </c>
      <c r="C243" s="3">
        <v>81768.009999999995</v>
      </c>
      <c r="D243" s="9">
        <v>2.5999999999999999E-2</v>
      </c>
      <c r="E243" s="5">
        <v>738.19</v>
      </c>
      <c r="F243" s="9">
        <v>2.8540000000000001</v>
      </c>
      <c r="G243" s="14">
        <v>81029.820000000007</v>
      </c>
    </row>
    <row r="244" spans="1:7" ht="14.4" customHeight="1" outlineLevel="1" x14ac:dyDescent="0.3">
      <c r="A244" s="2" t="s">
        <v>164</v>
      </c>
      <c r="B244" s="9">
        <v>0.71</v>
      </c>
      <c r="C244" s="3">
        <v>21862.09</v>
      </c>
      <c r="D244" s="9">
        <v>0.71</v>
      </c>
      <c r="E244" s="3">
        <v>21862.09</v>
      </c>
      <c r="F244" s="9">
        <v>0</v>
      </c>
      <c r="G244" s="4"/>
    </row>
    <row r="245" spans="1:7" ht="14.4" customHeight="1" outlineLevel="1" x14ac:dyDescent="0.3">
      <c r="A245" s="2" t="s">
        <v>165</v>
      </c>
      <c r="B245" s="9">
        <v>3.44</v>
      </c>
      <c r="C245" s="3">
        <v>97667.34</v>
      </c>
      <c r="D245" s="9">
        <v>0</v>
      </c>
      <c r="E245" s="4"/>
      <c r="F245" s="9">
        <v>3.44</v>
      </c>
      <c r="G245" s="14">
        <v>97667.34</v>
      </c>
    </row>
    <row r="246" spans="1:7" ht="14.4" customHeight="1" outlineLevel="1" x14ac:dyDescent="0.3">
      <c r="A246" s="2" t="s">
        <v>166</v>
      </c>
      <c r="B246" s="9">
        <v>1.7250000000000001</v>
      </c>
      <c r="C246" s="3">
        <v>51900.66</v>
      </c>
      <c r="D246" s="9">
        <v>0</v>
      </c>
      <c r="E246" s="4"/>
      <c r="F246" s="9">
        <v>1.7250000000000001</v>
      </c>
      <c r="G246" s="14">
        <v>51900.66</v>
      </c>
    </row>
    <row r="247" spans="1:7" ht="14.4" customHeight="1" outlineLevel="1" x14ac:dyDescent="0.3">
      <c r="A247" s="2" t="s">
        <v>167</v>
      </c>
      <c r="B247" s="9">
        <v>9.0299999999999994</v>
      </c>
      <c r="C247" s="3">
        <v>256376.78</v>
      </c>
      <c r="D247" s="9">
        <v>0</v>
      </c>
      <c r="E247" s="4"/>
      <c r="F247" s="9">
        <v>9.0299999999999994</v>
      </c>
      <c r="G247" s="14">
        <v>256376.78</v>
      </c>
    </row>
    <row r="248" spans="1:7" ht="14.4" customHeight="1" outlineLevel="1" x14ac:dyDescent="0.3">
      <c r="A248" s="2" t="s">
        <v>168</v>
      </c>
      <c r="B248" s="9">
        <v>4.0250000000000004</v>
      </c>
      <c r="C248" s="3">
        <v>121101.54</v>
      </c>
      <c r="D248" s="9">
        <v>0</v>
      </c>
      <c r="E248" s="4"/>
      <c r="F248" s="9">
        <v>4.0250000000000004</v>
      </c>
      <c r="G248" s="14">
        <v>121101.54</v>
      </c>
    </row>
    <row r="249" spans="1:7" ht="14.4" customHeight="1" outlineLevel="1" x14ac:dyDescent="0.3">
      <c r="A249" s="2" t="s">
        <v>169</v>
      </c>
      <c r="B249" s="9">
        <v>18.466000000000001</v>
      </c>
      <c r="C249" s="3">
        <v>528589.25</v>
      </c>
      <c r="D249" s="9">
        <v>16.317</v>
      </c>
      <c r="E249" s="3">
        <v>467074.13</v>
      </c>
      <c r="F249" s="9">
        <v>2.149</v>
      </c>
      <c r="G249" s="14">
        <v>61515.12</v>
      </c>
    </row>
    <row r="250" spans="1:7" ht="14.4" customHeight="1" outlineLevel="1" x14ac:dyDescent="0.3">
      <c r="A250" s="2" t="s">
        <v>170</v>
      </c>
      <c r="B250" s="9">
        <v>4.55</v>
      </c>
      <c r="C250" s="3">
        <v>129561.25</v>
      </c>
      <c r="D250" s="9">
        <v>4.55</v>
      </c>
      <c r="E250" s="3">
        <v>129561.25</v>
      </c>
      <c r="F250" s="9">
        <v>0</v>
      </c>
      <c r="G250" s="4"/>
    </row>
    <row r="251" spans="1:7" ht="14.4" customHeight="1" outlineLevel="1" x14ac:dyDescent="0.3">
      <c r="A251" s="2" t="s">
        <v>171</v>
      </c>
      <c r="B251" s="9">
        <v>1.135</v>
      </c>
      <c r="C251" s="3">
        <v>34248.480000000003</v>
      </c>
      <c r="D251" s="9">
        <v>1.135</v>
      </c>
      <c r="E251" s="3">
        <v>34248.480000000003</v>
      </c>
      <c r="F251" s="9">
        <v>0</v>
      </c>
      <c r="G251" s="4"/>
    </row>
    <row r="252" spans="1:7" ht="14.4" customHeight="1" outlineLevel="1" x14ac:dyDescent="0.3">
      <c r="A252" s="2" t="s">
        <v>172</v>
      </c>
      <c r="B252" s="9">
        <v>1.1499999999999999</v>
      </c>
      <c r="C252" s="3">
        <v>35637.339999999997</v>
      </c>
      <c r="D252" s="9">
        <v>0.874</v>
      </c>
      <c r="E252" s="3">
        <v>27084.38</v>
      </c>
      <c r="F252" s="9">
        <v>0.27600000000000002</v>
      </c>
      <c r="G252" s="14">
        <v>8552.9599999999991</v>
      </c>
    </row>
    <row r="253" spans="1:7" ht="14.4" customHeight="1" outlineLevel="1" x14ac:dyDescent="0.3">
      <c r="A253" s="2" t="s">
        <v>173</v>
      </c>
      <c r="B253" s="9">
        <v>38.914999999999999</v>
      </c>
      <c r="C253" s="3">
        <v>1148619.04</v>
      </c>
      <c r="D253" s="9">
        <v>27.09</v>
      </c>
      <c r="E253" s="3">
        <v>799591.15</v>
      </c>
      <c r="F253" s="9">
        <v>11.824999999999999</v>
      </c>
      <c r="G253" s="14">
        <v>349027.89</v>
      </c>
    </row>
    <row r="254" spans="1:7" ht="14.4" customHeight="1" outlineLevel="1" x14ac:dyDescent="0.3">
      <c r="A254" s="2" t="s">
        <v>174</v>
      </c>
      <c r="B254" s="9">
        <v>1.2949999999999999</v>
      </c>
      <c r="C254" s="3">
        <v>37015.410000000003</v>
      </c>
      <c r="D254" s="9">
        <v>1.2949999999999999</v>
      </c>
      <c r="E254" s="3">
        <v>37015.410000000003</v>
      </c>
      <c r="F254" s="9">
        <v>0</v>
      </c>
      <c r="G254" s="4"/>
    </row>
    <row r="255" spans="1:7" ht="14.4" customHeight="1" outlineLevel="1" x14ac:dyDescent="0.3">
      <c r="A255" s="2" t="s">
        <v>175</v>
      </c>
      <c r="B255" s="9">
        <v>1.7250000000000001</v>
      </c>
      <c r="C255" s="3">
        <v>49450.01</v>
      </c>
      <c r="D255" s="9">
        <v>1.0309999999999999</v>
      </c>
      <c r="E255" s="3">
        <v>29555.34</v>
      </c>
      <c r="F255" s="9">
        <v>0.69399999999999995</v>
      </c>
      <c r="G255" s="14">
        <v>19894.669999999998</v>
      </c>
    </row>
    <row r="256" spans="1:7" ht="14.4" customHeight="1" outlineLevel="1" x14ac:dyDescent="0.3">
      <c r="A256" s="2" t="s">
        <v>176</v>
      </c>
      <c r="B256" s="9">
        <v>28.585000000000001</v>
      </c>
      <c r="C256" s="3">
        <v>811575.89</v>
      </c>
      <c r="D256" s="9">
        <v>0</v>
      </c>
      <c r="E256" s="4"/>
      <c r="F256" s="9">
        <v>28.585000000000001</v>
      </c>
      <c r="G256" s="14">
        <v>811575.89</v>
      </c>
    </row>
    <row r="257" spans="1:7" ht="14.4" customHeight="1" outlineLevel="1" x14ac:dyDescent="0.3">
      <c r="A257" s="2" t="s">
        <v>177</v>
      </c>
      <c r="B257" s="9">
        <v>3.83</v>
      </c>
      <c r="C257" s="3">
        <v>115234.51</v>
      </c>
      <c r="D257" s="9">
        <v>0</v>
      </c>
      <c r="E257" s="4"/>
      <c r="F257" s="9">
        <v>3.83</v>
      </c>
      <c r="G257" s="14">
        <v>115234.51</v>
      </c>
    </row>
    <row r="258" spans="1:7" ht="14.4" customHeight="1" outlineLevel="1" x14ac:dyDescent="0.3">
      <c r="A258" s="2" t="s">
        <v>178</v>
      </c>
      <c r="B258" s="9">
        <v>11.304</v>
      </c>
      <c r="C258" s="3">
        <v>324707.40000000002</v>
      </c>
      <c r="D258" s="9">
        <v>2.71</v>
      </c>
      <c r="E258" s="3">
        <v>77844.75</v>
      </c>
      <c r="F258" s="9">
        <v>8.5939999999999994</v>
      </c>
      <c r="G258" s="14">
        <v>246862.65</v>
      </c>
    </row>
    <row r="259" spans="1:7" ht="14.4" customHeight="1" outlineLevel="1" x14ac:dyDescent="0.3">
      <c r="A259" s="2" t="s">
        <v>179</v>
      </c>
      <c r="B259" s="9">
        <v>45.216000000000001</v>
      </c>
      <c r="C259" s="3">
        <v>1302723.21</v>
      </c>
      <c r="D259" s="9">
        <v>45.216000000000001</v>
      </c>
      <c r="E259" s="3">
        <v>1302723.21</v>
      </c>
      <c r="F259" s="9">
        <v>0</v>
      </c>
      <c r="G259" s="4"/>
    </row>
    <row r="260" spans="1:7" ht="14.4" customHeight="1" outlineLevel="1" x14ac:dyDescent="0.3">
      <c r="A260" s="2" t="s">
        <v>180</v>
      </c>
      <c r="B260" s="9">
        <v>2.25</v>
      </c>
      <c r="C260" s="3">
        <v>71100</v>
      </c>
      <c r="D260" s="9">
        <v>2.25</v>
      </c>
      <c r="E260" s="3">
        <v>71100</v>
      </c>
      <c r="F260" s="9">
        <v>0</v>
      </c>
      <c r="G260" s="4"/>
    </row>
    <row r="261" spans="1:7" ht="14.4" customHeight="1" outlineLevel="1" x14ac:dyDescent="0.3">
      <c r="A261" s="2" t="s">
        <v>181</v>
      </c>
      <c r="B261" s="9">
        <v>2.9449999999999998</v>
      </c>
      <c r="C261" s="3">
        <v>98532.66</v>
      </c>
      <c r="D261" s="9">
        <v>1.306</v>
      </c>
      <c r="E261" s="3">
        <v>43695.64</v>
      </c>
      <c r="F261" s="9">
        <v>1.639</v>
      </c>
      <c r="G261" s="14">
        <v>54837.02</v>
      </c>
    </row>
    <row r="262" spans="1:7" ht="14.4" customHeight="1" outlineLevel="1" x14ac:dyDescent="0.3">
      <c r="A262" s="2" t="s">
        <v>182</v>
      </c>
      <c r="B262" s="9">
        <v>5.77</v>
      </c>
      <c r="C262" s="3">
        <v>186923.94</v>
      </c>
      <c r="D262" s="9">
        <v>3.952</v>
      </c>
      <c r="E262" s="3">
        <v>128028.32</v>
      </c>
      <c r="F262" s="9">
        <v>1.8180000000000001</v>
      </c>
      <c r="G262" s="14">
        <v>58895.62</v>
      </c>
    </row>
    <row r="263" spans="1:7" ht="14.4" customHeight="1" outlineLevel="1" x14ac:dyDescent="0.3">
      <c r="A263" s="2" t="s">
        <v>183</v>
      </c>
      <c r="B263" s="9">
        <v>5.6520000000000001</v>
      </c>
      <c r="C263" s="3">
        <v>195276.6</v>
      </c>
      <c r="D263" s="9">
        <v>4.33</v>
      </c>
      <c r="E263" s="3">
        <v>149601.5</v>
      </c>
      <c r="F263" s="9">
        <v>1.3220000000000001</v>
      </c>
      <c r="G263" s="14">
        <v>45675.1</v>
      </c>
    </row>
    <row r="264" spans="1:7" ht="14.4" customHeight="1" outlineLevel="1" x14ac:dyDescent="0.3">
      <c r="A264" s="2" t="s">
        <v>184</v>
      </c>
      <c r="B264" s="9">
        <v>2.8260000000000001</v>
      </c>
      <c r="C264" s="3">
        <v>97638.3</v>
      </c>
      <c r="D264" s="9">
        <v>0</v>
      </c>
      <c r="E264" s="4"/>
      <c r="F264" s="9">
        <v>2.8260000000000001</v>
      </c>
      <c r="G264" s="14">
        <v>97638.3</v>
      </c>
    </row>
    <row r="265" spans="1:7" ht="14.4" customHeight="1" outlineLevel="1" x14ac:dyDescent="0.3">
      <c r="A265" s="2" t="s">
        <v>185</v>
      </c>
      <c r="B265" s="9">
        <v>0.28499999999999998</v>
      </c>
      <c r="C265" s="3">
        <v>7736.56</v>
      </c>
      <c r="D265" s="9">
        <v>0</v>
      </c>
      <c r="E265" s="4"/>
      <c r="F265" s="9">
        <v>0.28499999999999998</v>
      </c>
      <c r="G265" s="14">
        <v>7736.56</v>
      </c>
    </row>
    <row r="266" spans="1:7" ht="14.4" customHeight="1" outlineLevel="1" x14ac:dyDescent="0.3">
      <c r="A266" s="2" t="s">
        <v>186</v>
      </c>
      <c r="B266" s="9">
        <v>3.77</v>
      </c>
      <c r="C266" s="3">
        <v>122132.28</v>
      </c>
      <c r="D266" s="9">
        <v>2.1640000000000001</v>
      </c>
      <c r="E266" s="3">
        <v>70104.58</v>
      </c>
      <c r="F266" s="9">
        <v>1.6060000000000001</v>
      </c>
      <c r="G266" s="14">
        <v>52027.7</v>
      </c>
    </row>
    <row r="267" spans="1:7" ht="14.4" customHeight="1" outlineLevel="1" x14ac:dyDescent="0.3">
      <c r="A267" s="2" t="s">
        <v>187</v>
      </c>
      <c r="B267" s="9">
        <v>2.2749999999999999</v>
      </c>
      <c r="C267" s="3">
        <v>63717.94</v>
      </c>
      <c r="D267" s="9">
        <v>0</v>
      </c>
      <c r="E267" s="4"/>
      <c r="F267" s="9">
        <v>2.2749999999999999</v>
      </c>
      <c r="G267" s="14">
        <v>63717.94</v>
      </c>
    </row>
    <row r="268" spans="1:7" ht="14.4" customHeight="1" outlineLevel="1" x14ac:dyDescent="0.3">
      <c r="A268" s="2" t="s">
        <v>32</v>
      </c>
      <c r="B268" s="9">
        <v>783.92</v>
      </c>
      <c r="C268" s="3">
        <v>200851.02</v>
      </c>
      <c r="D268" s="9">
        <v>783.92</v>
      </c>
      <c r="E268" s="3">
        <v>204027.67</v>
      </c>
      <c r="F268" s="9">
        <v>0</v>
      </c>
      <c r="G268" s="3">
        <v>-3176.65</v>
      </c>
    </row>
    <row r="269" spans="1:7" ht="14.4" customHeight="1" outlineLevel="1" x14ac:dyDescent="0.3">
      <c r="A269" s="2" t="s">
        <v>188</v>
      </c>
      <c r="B269" s="9">
        <v>536.02</v>
      </c>
      <c r="C269" s="3">
        <v>134005</v>
      </c>
      <c r="D269" s="9">
        <v>536.02</v>
      </c>
      <c r="E269" s="3">
        <v>134005</v>
      </c>
      <c r="F269" s="9">
        <v>0</v>
      </c>
      <c r="G269" s="4"/>
    </row>
    <row r="270" spans="1:7" ht="14.4" customHeight="1" outlineLevel="1" x14ac:dyDescent="0.3">
      <c r="A270" s="2" t="s">
        <v>33</v>
      </c>
      <c r="B270" s="9">
        <v>642.5</v>
      </c>
      <c r="C270" s="3">
        <v>150022.87</v>
      </c>
      <c r="D270" s="9">
        <v>642.5</v>
      </c>
      <c r="E270" s="3">
        <v>160625</v>
      </c>
      <c r="F270" s="9">
        <v>0</v>
      </c>
      <c r="G270" s="3">
        <v>-10602.13</v>
      </c>
    </row>
    <row r="271" spans="1:7" ht="14.4" customHeight="1" outlineLevel="1" x14ac:dyDescent="0.3">
      <c r="A271" s="2" t="s">
        <v>34</v>
      </c>
      <c r="B271" s="9">
        <v>3080.26</v>
      </c>
      <c r="C271" s="3">
        <v>743685.47</v>
      </c>
      <c r="D271" s="9">
        <v>3080.26</v>
      </c>
      <c r="E271" s="3">
        <v>743685.47</v>
      </c>
      <c r="F271" s="9">
        <v>0</v>
      </c>
      <c r="G271" s="4"/>
    </row>
    <row r="272" spans="1:7" ht="14.4" customHeight="1" outlineLevel="1" x14ac:dyDescent="0.3">
      <c r="A272" s="2" t="s">
        <v>35</v>
      </c>
      <c r="B272" s="9">
        <v>1</v>
      </c>
      <c r="C272" s="5">
        <v>905.62</v>
      </c>
      <c r="D272" s="9">
        <v>1</v>
      </c>
      <c r="E272" s="5">
        <v>905.62</v>
      </c>
      <c r="F272" s="9">
        <v>0</v>
      </c>
      <c r="G272" s="4"/>
    </row>
    <row r="273" spans="1:7" ht="14.4" customHeight="1" outlineLevel="1" x14ac:dyDescent="0.3">
      <c r="A273" s="2" t="s">
        <v>36</v>
      </c>
      <c r="B273" s="9">
        <v>3</v>
      </c>
      <c r="C273" s="3">
        <v>1366.8</v>
      </c>
      <c r="D273" s="9">
        <v>3</v>
      </c>
      <c r="E273" s="3">
        <v>1366.8</v>
      </c>
      <c r="F273" s="9">
        <v>0</v>
      </c>
      <c r="G273" s="4"/>
    </row>
    <row r="274" spans="1:7" ht="14.4" customHeight="1" outlineLevel="1" x14ac:dyDescent="0.3">
      <c r="A274" s="2" t="s">
        <v>189</v>
      </c>
      <c r="B274" s="9">
        <v>32</v>
      </c>
      <c r="C274" s="3">
        <v>1773.63</v>
      </c>
      <c r="D274" s="9">
        <v>0</v>
      </c>
      <c r="E274" s="4"/>
      <c r="F274" s="9">
        <v>32</v>
      </c>
      <c r="G274" s="3">
        <v>1773.63</v>
      </c>
    </row>
    <row r="275" spans="1:7" ht="14.4" customHeight="1" outlineLevel="1" x14ac:dyDescent="0.3">
      <c r="A275" s="2" t="s">
        <v>190</v>
      </c>
      <c r="B275" s="9">
        <v>0.26</v>
      </c>
      <c r="C275" s="3">
        <v>8005.83</v>
      </c>
      <c r="D275" s="9">
        <v>0</v>
      </c>
      <c r="E275" s="4"/>
      <c r="F275" s="9">
        <v>0.26</v>
      </c>
      <c r="G275" s="14">
        <v>8005.83</v>
      </c>
    </row>
    <row r="276" spans="1:7" ht="14.4" customHeight="1" outlineLevel="1" x14ac:dyDescent="0.3">
      <c r="A276" s="2" t="s">
        <v>191</v>
      </c>
      <c r="B276" s="9">
        <v>0.17</v>
      </c>
      <c r="C276" s="3">
        <v>5553.33</v>
      </c>
      <c r="D276" s="9">
        <v>9.6000000000000002E-2</v>
      </c>
      <c r="E276" s="3">
        <v>3136</v>
      </c>
      <c r="F276" s="9">
        <v>7.3999999999999996E-2</v>
      </c>
      <c r="G276" s="14">
        <v>2417.33</v>
      </c>
    </row>
    <row r="277" spans="1:7" ht="14.4" customHeight="1" outlineLevel="1" x14ac:dyDescent="0.3">
      <c r="A277" s="2" t="s">
        <v>192</v>
      </c>
      <c r="B277" s="9">
        <v>0.28000000000000003</v>
      </c>
      <c r="C277" s="3">
        <v>8750</v>
      </c>
      <c r="D277" s="9">
        <v>0</v>
      </c>
      <c r="E277" s="4"/>
      <c r="F277" s="9">
        <v>0.28000000000000003</v>
      </c>
      <c r="G277" s="14">
        <v>8750</v>
      </c>
    </row>
    <row r="278" spans="1:7" ht="14.4" customHeight="1" outlineLevel="1" x14ac:dyDescent="0.3">
      <c r="A278" s="2" t="s">
        <v>193</v>
      </c>
      <c r="B278" s="9">
        <v>5.75</v>
      </c>
      <c r="C278" s="3">
        <v>189750</v>
      </c>
      <c r="D278" s="9">
        <v>3.8159999999999998</v>
      </c>
      <c r="E278" s="3">
        <v>125928</v>
      </c>
      <c r="F278" s="9">
        <v>1.9339999999999999</v>
      </c>
      <c r="G278" s="14">
        <v>63822</v>
      </c>
    </row>
    <row r="279" spans="1:7" ht="14.4" customHeight="1" outlineLevel="1" x14ac:dyDescent="0.3">
      <c r="A279" s="2" t="s">
        <v>194</v>
      </c>
      <c r="B279" s="9">
        <v>0.43</v>
      </c>
      <c r="C279" s="3">
        <v>12716.91</v>
      </c>
      <c r="D279" s="9">
        <v>0</v>
      </c>
      <c r="E279" s="4"/>
      <c r="F279" s="9">
        <v>0.43</v>
      </c>
      <c r="G279" s="14">
        <v>12716.91</v>
      </c>
    </row>
    <row r="280" spans="1:7" ht="14.4" customHeight="1" outlineLevel="1" x14ac:dyDescent="0.3">
      <c r="A280" s="2" t="s">
        <v>77</v>
      </c>
      <c r="B280" s="9">
        <v>0.21</v>
      </c>
      <c r="C280" s="3">
        <v>6279</v>
      </c>
      <c r="D280" s="9">
        <v>9.6000000000000002E-2</v>
      </c>
      <c r="E280" s="3">
        <v>2870.4</v>
      </c>
      <c r="F280" s="9">
        <v>0.114</v>
      </c>
      <c r="G280" s="14">
        <v>3408.6</v>
      </c>
    </row>
    <row r="281" spans="1:7" ht="14.4" customHeight="1" outlineLevel="1" x14ac:dyDescent="0.3">
      <c r="A281" s="2" t="s">
        <v>195</v>
      </c>
      <c r="B281" s="9">
        <v>0.32</v>
      </c>
      <c r="C281" s="3">
        <v>10028.530000000001</v>
      </c>
      <c r="D281" s="9">
        <v>0</v>
      </c>
      <c r="E281" s="4"/>
      <c r="F281" s="9">
        <v>0.32</v>
      </c>
      <c r="G281" s="14">
        <v>10028.530000000001</v>
      </c>
    </row>
    <row r="282" spans="1:7" ht="14.4" customHeight="1" outlineLevel="1" x14ac:dyDescent="0.3">
      <c r="A282" s="2" t="s">
        <v>196</v>
      </c>
      <c r="B282" s="9">
        <v>0.52</v>
      </c>
      <c r="C282" s="3">
        <v>16410.16</v>
      </c>
      <c r="D282" s="9">
        <v>0</v>
      </c>
      <c r="E282" s="4"/>
      <c r="F282" s="9">
        <v>0.52</v>
      </c>
      <c r="G282" s="14">
        <v>16410.16</v>
      </c>
    </row>
    <row r="283" spans="1:7" ht="14.4" customHeight="1" outlineLevel="1" x14ac:dyDescent="0.3">
      <c r="A283" s="2" t="s">
        <v>46</v>
      </c>
      <c r="B283" s="9">
        <v>750</v>
      </c>
      <c r="C283" s="5">
        <v>982.5</v>
      </c>
      <c r="D283" s="9">
        <v>750</v>
      </c>
      <c r="E283" s="5">
        <v>982.5</v>
      </c>
      <c r="F283" s="9">
        <v>0</v>
      </c>
      <c r="G283" s="4"/>
    </row>
    <row r="284" spans="1:7" ht="14.4" customHeight="1" outlineLevel="1" x14ac:dyDescent="0.3">
      <c r="A284" s="2" t="s">
        <v>48</v>
      </c>
      <c r="B284" s="9">
        <v>2</v>
      </c>
      <c r="C284" s="5">
        <v>95.5</v>
      </c>
      <c r="D284" s="9">
        <v>2</v>
      </c>
      <c r="E284" s="5">
        <v>95.5</v>
      </c>
      <c r="F284" s="9">
        <v>0</v>
      </c>
      <c r="G284" s="4"/>
    </row>
    <row r="285" spans="1:7" ht="14.4" customHeight="1" outlineLevel="1" x14ac:dyDescent="0.3">
      <c r="A285" s="2" t="s">
        <v>197</v>
      </c>
      <c r="B285" s="9">
        <v>95</v>
      </c>
      <c r="C285" s="5">
        <v>79.5</v>
      </c>
      <c r="D285" s="9">
        <v>0</v>
      </c>
      <c r="E285" s="4"/>
      <c r="F285" s="9">
        <v>95</v>
      </c>
      <c r="G285" s="16">
        <v>79.5</v>
      </c>
    </row>
    <row r="286" spans="1:7" ht="14.4" customHeight="1" outlineLevel="1" x14ac:dyDescent="0.3">
      <c r="A286" s="2" t="s">
        <v>198</v>
      </c>
      <c r="B286" s="9">
        <v>1747</v>
      </c>
      <c r="C286" s="3">
        <v>1637.52</v>
      </c>
      <c r="D286" s="9">
        <v>0</v>
      </c>
      <c r="E286" s="4"/>
      <c r="F286" s="9">
        <v>1747</v>
      </c>
      <c r="G286" s="15">
        <v>1637.52</v>
      </c>
    </row>
    <row r="287" spans="1:7" ht="14.4" customHeight="1" outlineLevel="1" x14ac:dyDescent="0.3">
      <c r="A287" s="2" t="s">
        <v>199</v>
      </c>
      <c r="B287" s="9">
        <v>8681</v>
      </c>
      <c r="C287" s="3">
        <v>12495.58</v>
      </c>
      <c r="D287" s="9">
        <v>0</v>
      </c>
      <c r="E287" s="4"/>
      <c r="F287" s="9">
        <v>8681</v>
      </c>
      <c r="G287" s="15">
        <v>12495.58</v>
      </c>
    </row>
    <row r="288" spans="1:7" ht="14.4" customHeight="1" outlineLevel="1" x14ac:dyDescent="0.3">
      <c r="A288" s="2" t="s">
        <v>200</v>
      </c>
      <c r="B288" s="9">
        <v>416</v>
      </c>
      <c r="C288" s="3">
        <v>5143.8999999999996</v>
      </c>
      <c r="D288" s="9">
        <v>0</v>
      </c>
      <c r="E288" s="4"/>
      <c r="F288" s="9">
        <v>416</v>
      </c>
      <c r="G288" s="15">
        <v>5143.8999999999996</v>
      </c>
    </row>
    <row r="289" spans="1:7" ht="14.4" customHeight="1" outlineLevel="1" x14ac:dyDescent="0.3">
      <c r="A289" s="2" t="s">
        <v>201</v>
      </c>
      <c r="B289" s="9">
        <v>1588</v>
      </c>
      <c r="C289" s="3">
        <v>19406.82</v>
      </c>
      <c r="D289" s="9">
        <v>0</v>
      </c>
      <c r="E289" s="4"/>
      <c r="F289" s="9">
        <v>1588</v>
      </c>
      <c r="G289" s="15">
        <v>19406.82</v>
      </c>
    </row>
    <row r="290" spans="1:7" ht="14.4" customHeight="1" outlineLevel="1" x14ac:dyDescent="0.3">
      <c r="A290" s="2" t="s">
        <v>202</v>
      </c>
      <c r="B290" s="9">
        <v>4.2350000000000003</v>
      </c>
      <c r="C290" s="3">
        <v>163171.03</v>
      </c>
      <c r="D290" s="9">
        <v>2.6070000000000002</v>
      </c>
      <c r="E290" s="3">
        <v>100445.54</v>
      </c>
      <c r="F290" s="9">
        <v>1.6279999999999999</v>
      </c>
      <c r="G290" s="14">
        <v>62725.49</v>
      </c>
    </row>
    <row r="291" spans="1:7" ht="14.4" customHeight="1" outlineLevel="1" x14ac:dyDescent="0.3">
      <c r="A291" s="2" t="s">
        <v>203</v>
      </c>
      <c r="B291" s="9">
        <v>1.4550000000000001</v>
      </c>
      <c r="C291" s="3">
        <v>56557.06</v>
      </c>
      <c r="D291" s="9">
        <v>1.4550000000000001</v>
      </c>
      <c r="E291" s="3">
        <v>56557.06</v>
      </c>
      <c r="F291" s="9">
        <v>0</v>
      </c>
      <c r="G291" s="4"/>
    </row>
    <row r="292" spans="1:7" ht="14.4" customHeight="1" outlineLevel="1" x14ac:dyDescent="0.3">
      <c r="A292" s="2" t="s">
        <v>204</v>
      </c>
      <c r="B292" s="9">
        <v>1.19</v>
      </c>
      <c r="C292" s="3">
        <v>49601.51</v>
      </c>
      <c r="D292" s="9">
        <v>0</v>
      </c>
      <c r="E292" s="4"/>
      <c r="F292" s="9">
        <v>1.19</v>
      </c>
      <c r="G292" s="14">
        <v>49601.51</v>
      </c>
    </row>
    <row r="293" spans="1:7" ht="14.4" customHeight="1" outlineLevel="1" x14ac:dyDescent="0.3">
      <c r="A293" s="2" t="s">
        <v>205</v>
      </c>
      <c r="B293" s="9">
        <v>7.2949999999999999</v>
      </c>
      <c r="C293" s="3">
        <v>283562.7</v>
      </c>
      <c r="D293" s="9">
        <v>5.1999999999999998E-2</v>
      </c>
      <c r="E293" s="3">
        <v>2021.28</v>
      </c>
      <c r="F293" s="9">
        <v>7.2430000000000003</v>
      </c>
      <c r="G293" s="14">
        <v>281541.42</v>
      </c>
    </row>
    <row r="294" spans="1:7" ht="14.4" customHeight="1" outlineLevel="1" x14ac:dyDescent="0.3">
      <c r="A294" s="2" t="s">
        <v>206</v>
      </c>
      <c r="B294" s="9">
        <v>0.45</v>
      </c>
      <c r="C294" s="3">
        <v>18756.88</v>
      </c>
      <c r="D294" s="9">
        <v>0</v>
      </c>
      <c r="E294" s="4"/>
      <c r="F294" s="9">
        <v>0.45</v>
      </c>
      <c r="G294" s="14">
        <v>18756.88</v>
      </c>
    </row>
    <row r="295" spans="1:7" ht="14.4" customHeight="1" outlineLevel="1" x14ac:dyDescent="0.3">
      <c r="A295" s="2" t="s">
        <v>207</v>
      </c>
      <c r="B295" s="9">
        <v>1.55</v>
      </c>
      <c r="C295" s="3">
        <v>59184.160000000003</v>
      </c>
      <c r="D295" s="9">
        <v>1.55</v>
      </c>
      <c r="E295" s="3">
        <v>59184.160000000003</v>
      </c>
      <c r="F295" s="9">
        <v>0</v>
      </c>
      <c r="G295" s="4"/>
    </row>
    <row r="296" spans="1:7" ht="14.4" customHeight="1" outlineLevel="1" x14ac:dyDescent="0.3">
      <c r="A296" s="2" t="s">
        <v>208</v>
      </c>
      <c r="B296" s="9">
        <v>1.48</v>
      </c>
      <c r="C296" s="3">
        <v>70250.67</v>
      </c>
      <c r="D296" s="9">
        <v>1.278</v>
      </c>
      <c r="E296" s="3">
        <v>60662.400000000001</v>
      </c>
      <c r="F296" s="9">
        <v>0.20200000000000001</v>
      </c>
      <c r="G296" s="14">
        <v>9588.27</v>
      </c>
    </row>
    <row r="297" spans="1:7" ht="14.4" customHeight="1" outlineLevel="1" x14ac:dyDescent="0.3">
      <c r="A297" s="2" t="s">
        <v>209</v>
      </c>
      <c r="B297" s="9">
        <v>0.29499999999999998</v>
      </c>
      <c r="C297" s="3">
        <v>14930.24</v>
      </c>
      <c r="D297" s="9">
        <v>0</v>
      </c>
      <c r="E297" s="4"/>
      <c r="F297" s="9">
        <v>0.29499999999999998</v>
      </c>
      <c r="G297" s="14">
        <v>14930.24</v>
      </c>
    </row>
    <row r="298" spans="1:7" ht="14.4" customHeight="1" outlineLevel="1" x14ac:dyDescent="0.3">
      <c r="A298" s="2" t="s">
        <v>210</v>
      </c>
      <c r="B298" s="9">
        <v>21.34</v>
      </c>
      <c r="C298" s="3">
        <v>1028588</v>
      </c>
      <c r="D298" s="9">
        <v>6.7309999999999999</v>
      </c>
      <c r="E298" s="3">
        <v>324434.2</v>
      </c>
      <c r="F298" s="9">
        <v>14.609</v>
      </c>
      <c r="G298" s="14">
        <v>704153.8</v>
      </c>
    </row>
    <row r="299" spans="1:7" ht="14.4" customHeight="1" outlineLevel="1" x14ac:dyDescent="0.3">
      <c r="A299" s="2" t="s">
        <v>211</v>
      </c>
      <c r="B299" s="9">
        <v>0.4</v>
      </c>
      <c r="C299" s="3">
        <v>20244.39</v>
      </c>
      <c r="D299" s="9">
        <v>0</v>
      </c>
      <c r="E299" s="4"/>
      <c r="F299" s="9">
        <v>0.4</v>
      </c>
      <c r="G299" s="14">
        <v>20244.39</v>
      </c>
    </row>
    <row r="300" spans="1:7" ht="14.4" customHeight="1" outlineLevel="1" x14ac:dyDescent="0.3">
      <c r="A300" s="2" t="s">
        <v>212</v>
      </c>
      <c r="B300" s="9">
        <v>1.26</v>
      </c>
      <c r="C300" s="3">
        <v>60006.879999999997</v>
      </c>
      <c r="D300" s="9">
        <v>0</v>
      </c>
      <c r="E300" s="4"/>
      <c r="F300" s="9">
        <v>1.26</v>
      </c>
      <c r="G300" s="14">
        <v>60006.879999999997</v>
      </c>
    </row>
    <row r="301" spans="1:7" ht="14.4" customHeight="1" outlineLevel="1" x14ac:dyDescent="0.3">
      <c r="A301" s="2" t="s">
        <v>213</v>
      </c>
      <c r="B301" s="9">
        <v>16.024999999999999</v>
      </c>
      <c r="C301" s="3">
        <v>763182.61</v>
      </c>
      <c r="D301" s="9">
        <v>15.507999999999999</v>
      </c>
      <c r="E301" s="3">
        <v>738560.74</v>
      </c>
      <c r="F301" s="9">
        <v>0.51700000000000002</v>
      </c>
      <c r="G301" s="14">
        <v>24621.87</v>
      </c>
    </row>
    <row r="302" spans="1:7" ht="14.4" customHeight="1" outlineLevel="1" x14ac:dyDescent="0.3">
      <c r="A302" s="2" t="s">
        <v>214</v>
      </c>
      <c r="B302" s="9">
        <v>5.1150000000000002</v>
      </c>
      <c r="C302" s="3">
        <v>243132.98</v>
      </c>
      <c r="D302" s="9">
        <v>5.1150000000000002</v>
      </c>
      <c r="E302" s="3">
        <v>243132.98</v>
      </c>
      <c r="F302" s="9">
        <v>0</v>
      </c>
      <c r="G302" s="4"/>
    </row>
    <row r="303" spans="1:7" ht="14.4" customHeight="1" outlineLevel="1" x14ac:dyDescent="0.3">
      <c r="A303" s="2" t="s">
        <v>53</v>
      </c>
      <c r="B303" s="9">
        <v>1000</v>
      </c>
      <c r="C303" s="5">
        <v>290.35000000000002</v>
      </c>
      <c r="D303" s="9">
        <v>1000</v>
      </c>
      <c r="E303" s="5">
        <v>290.35000000000002</v>
      </c>
      <c r="F303" s="9">
        <v>0</v>
      </c>
      <c r="G303" s="4"/>
    </row>
    <row r="304" spans="1:7" ht="14.4" customHeight="1" outlineLevel="1" x14ac:dyDescent="0.3">
      <c r="A304" s="2" t="s">
        <v>54</v>
      </c>
      <c r="B304" s="9">
        <v>500</v>
      </c>
      <c r="C304" s="5">
        <v>182.5</v>
      </c>
      <c r="D304" s="9">
        <v>500</v>
      </c>
      <c r="E304" s="5">
        <v>182.5</v>
      </c>
      <c r="F304" s="9">
        <v>0</v>
      </c>
      <c r="G304" s="4"/>
    </row>
    <row r="305" spans="1:8" ht="14.4" customHeight="1" outlineLevel="1" x14ac:dyDescent="0.3">
      <c r="A305" s="2" t="s">
        <v>55</v>
      </c>
      <c r="B305" s="9">
        <v>500</v>
      </c>
      <c r="C305" s="5">
        <v>232.8</v>
      </c>
      <c r="D305" s="9">
        <v>500</v>
      </c>
      <c r="E305" s="5">
        <v>232.8</v>
      </c>
      <c r="F305" s="9">
        <v>0</v>
      </c>
      <c r="G305" s="4"/>
    </row>
    <row r="306" spans="1:8" ht="14.4" customHeight="1" outlineLevel="1" x14ac:dyDescent="0.3">
      <c r="A306" s="2" t="s">
        <v>56</v>
      </c>
      <c r="B306" s="9">
        <v>1588</v>
      </c>
      <c r="C306" s="3">
        <v>536827.98</v>
      </c>
      <c r="D306" s="9">
        <v>698.29</v>
      </c>
      <c r="E306" s="3">
        <v>232763.33</v>
      </c>
      <c r="F306" s="9">
        <v>889.71</v>
      </c>
      <c r="G306" s="3">
        <v>304064.65000000002</v>
      </c>
    </row>
    <row r="307" spans="1:8" ht="14.4" customHeight="1" x14ac:dyDescent="0.3">
      <c r="A307" s="10" t="s">
        <v>215</v>
      </c>
      <c r="B307" s="11">
        <v>678.54300000000001</v>
      </c>
      <c r="C307" s="12">
        <v>4799616.6399999997</v>
      </c>
      <c r="D307" s="11">
        <v>669.30600000000004</v>
      </c>
      <c r="E307" s="12">
        <v>4480857.2300000004</v>
      </c>
      <c r="F307" s="11">
        <v>9.2370000000000001</v>
      </c>
      <c r="G307" s="12">
        <v>318759.40999999997</v>
      </c>
      <c r="H307" t="s">
        <v>272</v>
      </c>
    </row>
    <row r="308" spans="1:8" ht="14.4" customHeight="1" outlineLevel="1" x14ac:dyDescent="0.3">
      <c r="A308" s="2" t="s">
        <v>123</v>
      </c>
      <c r="B308" s="9">
        <v>9.6000000000000002E-2</v>
      </c>
      <c r="C308" s="3">
        <v>3004.16</v>
      </c>
      <c r="D308" s="9">
        <v>9.6000000000000002E-2</v>
      </c>
      <c r="E308" s="3">
        <v>3004.16</v>
      </c>
      <c r="F308" s="9">
        <v>0</v>
      </c>
      <c r="G308" s="4"/>
    </row>
    <row r="309" spans="1:8" ht="14.4" customHeight="1" outlineLevel="1" x14ac:dyDescent="0.3">
      <c r="A309" s="2" t="s">
        <v>216</v>
      </c>
      <c r="B309" s="9">
        <v>5.95</v>
      </c>
      <c r="C309" s="3">
        <v>198225.52</v>
      </c>
      <c r="D309" s="9">
        <v>5.44</v>
      </c>
      <c r="E309" s="3">
        <v>180994.24</v>
      </c>
      <c r="F309" s="9">
        <v>0.51</v>
      </c>
      <c r="G309" s="3">
        <v>17231.28</v>
      </c>
    </row>
    <row r="310" spans="1:8" ht="14.4" customHeight="1" outlineLevel="1" x14ac:dyDescent="0.3">
      <c r="A310" s="2" t="s">
        <v>217</v>
      </c>
      <c r="B310" s="9">
        <v>27.21</v>
      </c>
      <c r="C310" s="3">
        <v>938761.22</v>
      </c>
      <c r="D310" s="9">
        <v>27.21</v>
      </c>
      <c r="E310" s="3">
        <v>938761.22</v>
      </c>
      <c r="F310" s="9">
        <v>0</v>
      </c>
      <c r="G310" s="4"/>
    </row>
    <row r="311" spans="1:8" ht="14.4" customHeight="1" outlineLevel="1" x14ac:dyDescent="0.3">
      <c r="A311" s="2" t="s">
        <v>218</v>
      </c>
      <c r="B311" s="9">
        <v>7.22</v>
      </c>
      <c r="C311" s="3">
        <v>285417.78999999998</v>
      </c>
      <c r="D311" s="9">
        <v>7.22</v>
      </c>
      <c r="E311" s="3">
        <v>285417.78999999998</v>
      </c>
      <c r="F311" s="9">
        <v>0</v>
      </c>
      <c r="G311" s="4"/>
    </row>
    <row r="312" spans="1:8" ht="14.4" customHeight="1" outlineLevel="1" x14ac:dyDescent="0.3">
      <c r="A312" s="2" t="s">
        <v>219</v>
      </c>
      <c r="B312" s="9">
        <v>400</v>
      </c>
      <c r="C312" s="3">
        <v>28000</v>
      </c>
      <c r="D312" s="9">
        <v>400</v>
      </c>
      <c r="E312" s="3">
        <v>28000</v>
      </c>
      <c r="F312" s="9">
        <v>0</v>
      </c>
      <c r="G312" s="4"/>
    </row>
    <row r="313" spans="1:8" ht="14.4" customHeight="1" outlineLevel="1" x14ac:dyDescent="0.3">
      <c r="A313" s="2" t="s">
        <v>220</v>
      </c>
      <c r="B313" s="9">
        <v>90</v>
      </c>
      <c r="C313" s="3">
        <v>11250</v>
      </c>
      <c r="D313" s="9">
        <v>90</v>
      </c>
      <c r="E313" s="3">
        <v>11250</v>
      </c>
      <c r="F313" s="9">
        <v>0</v>
      </c>
      <c r="G313" s="4"/>
    </row>
    <row r="314" spans="1:8" ht="14.4" customHeight="1" outlineLevel="1" x14ac:dyDescent="0.3">
      <c r="A314" s="2" t="s">
        <v>221</v>
      </c>
      <c r="B314" s="9">
        <v>0.25700000000000001</v>
      </c>
      <c r="C314" s="3">
        <v>7650.29</v>
      </c>
      <c r="D314" s="9">
        <v>0.25700000000000001</v>
      </c>
      <c r="E314" s="3">
        <v>7650.29</v>
      </c>
      <c r="F314" s="9">
        <v>0</v>
      </c>
      <c r="G314" s="4"/>
    </row>
    <row r="315" spans="1:8" ht="14.4" customHeight="1" outlineLevel="1" x14ac:dyDescent="0.3">
      <c r="A315" s="2" t="s">
        <v>222</v>
      </c>
      <c r="B315" s="9">
        <v>1.2929999999999999</v>
      </c>
      <c r="C315" s="3">
        <v>38451.519999999997</v>
      </c>
      <c r="D315" s="9">
        <v>1.127</v>
      </c>
      <c r="E315" s="3">
        <v>33463.58</v>
      </c>
      <c r="F315" s="9">
        <v>0.16600000000000001</v>
      </c>
      <c r="G315" s="3">
        <v>4987.9399999999996</v>
      </c>
    </row>
    <row r="316" spans="1:8" ht="14.4" customHeight="1" outlineLevel="1" x14ac:dyDescent="0.3">
      <c r="A316" s="2" t="s">
        <v>223</v>
      </c>
      <c r="B316" s="9">
        <v>1.776</v>
      </c>
      <c r="C316" s="3">
        <v>51844.06</v>
      </c>
      <c r="D316" s="9">
        <v>1.776</v>
      </c>
      <c r="E316" s="3">
        <v>51844.06</v>
      </c>
      <c r="F316" s="9">
        <v>0</v>
      </c>
      <c r="G316" s="4"/>
    </row>
    <row r="317" spans="1:8" ht="14.4" customHeight="1" outlineLevel="1" x14ac:dyDescent="0.3">
      <c r="A317" s="2" t="s">
        <v>224</v>
      </c>
      <c r="B317" s="9">
        <v>0.56699999999999995</v>
      </c>
      <c r="C317" s="3">
        <v>18814.939999999999</v>
      </c>
      <c r="D317" s="9">
        <v>0.56699999999999995</v>
      </c>
      <c r="E317" s="3">
        <v>18814.939999999999</v>
      </c>
      <c r="F317" s="9">
        <v>0</v>
      </c>
      <c r="G317" s="4"/>
    </row>
    <row r="318" spans="1:8" ht="14.4" customHeight="1" outlineLevel="1" x14ac:dyDescent="0.3">
      <c r="A318" s="2" t="s">
        <v>225</v>
      </c>
      <c r="B318" s="9">
        <v>28.527000000000001</v>
      </c>
      <c r="C318" s="3">
        <v>848929.29</v>
      </c>
      <c r="D318" s="9">
        <v>28.527000000000001</v>
      </c>
      <c r="E318" s="3">
        <v>848929.29</v>
      </c>
      <c r="F318" s="9">
        <v>0</v>
      </c>
      <c r="G318" s="4"/>
    </row>
    <row r="319" spans="1:8" ht="14.4" customHeight="1" outlineLevel="1" x14ac:dyDescent="0.3">
      <c r="A319" s="2" t="s">
        <v>226</v>
      </c>
      <c r="B319" s="9">
        <v>1.492</v>
      </c>
      <c r="C319" s="3">
        <v>45615</v>
      </c>
      <c r="D319" s="9">
        <v>1.492</v>
      </c>
      <c r="E319" s="3">
        <v>45615</v>
      </c>
      <c r="F319" s="9">
        <v>0</v>
      </c>
      <c r="G319" s="4"/>
    </row>
    <row r="320" spans="1:8" ht="14.4" customHeight="1" outlineLevel="1" x14ac:dyDescent="0.3">
      <c r="A320" s="2" t="s">
        <v>227</v>
      </c>
      <c r="B320" s="9">
        <v>3.7999999999999999E-2</v>
      </c>
      <c r="C320" s="3">
        <v>1667.59</v>
      </c>
      <c r="D320" s="9">
        <v>3.7999999999999999E-2</v>
      </c>
      <c r="E320" s="3">
        <v>1667.59</v>
      </c>
      <c r="F320" s="9">
        <v>0</v>
      </c>
      <c r="G320" s="4"/>
    </row>
    <row r="321" spans="1:7" ht="14.4" customHeight="1" outlineLevel="1" x14ac:dyDescent="0.3">
      <c r="A321" s="2" t="s">
        <v>228</v>
      </c>
      <c r="B321" s="9">
        <v>0.192</v>
      </c>
      <c r="C321" s="3">
        <v>5940.67</v>
      </c>
      <c r="D321" s="9">
        <v>7.1999999999999995E-2</v>
      </c>
      <c r="E321" s="3">
        <v>2185.4</v>
      </c>
      <c r="F321" s="9">
        <v>0.12</v>
      </c>
      <c r="G321" s="3">
        <v>3755.27</v>
      </c>
    </row>
    <row r="322" spans="1:7" ht="14.4" customHeight="1" outlineLevel="1" x14ac:dyDescent="0.3">
      <c r="A322" s="2" t="s">
        <v>229</v>
      </c>
      <c r="B322" s="9">
        <v>0.19</v>
      </c>
      <c r="C322" s="3">
        <v>6234.67</v>
      </c>
      <c r="D322" s="9">
        <v>4.8000000000000001E-2</v>
      </c>
      <c r="E322" s="3">
        <v>1790.93</v>
      </c>
      <c r="F322" s="9">
        <v>0.14199999999999999</v>
      </c>
      <c r="G322" s="3">
        <v>4443.74</v>
      </c>
    </row>
    <row r="323" spans="1:7" ht="14.4" customHeight="1" outlineLevel="1" x14ac:dyDescent="0.3">
      <c r="A323" s="2" t="s">
        <v>230</v>
      </c>
      <c r="B323" s="9">
        <v>7.7249999999999996</v>
      </c>
      <c r="C323" s="3">
        <v>246408.9</v>
      </c>
      <c r="D323" s="9">
        <v>7.7249999999999996</v>
      </c>
      <c r="E323" s="3">
        <v>246408.9</v>
      </c>
      <c r="F323" s="9">
        <v>0</v>
      </c>
      <c r="G323" s="4"/>
    </row>
    <row r="324" spans="1:7" ht="14.4" customHeight="1" outlineLevel="1" x14ac:dyDescent="0.3">
      <c r="A324" s="2" t="s">
        <v>231</v>
      </c>
      <c r="B324" s="9">
        <v>0.12</v>
      </c>
      <c r="C324" s="3">
        <v>4265.28</v>
      </c>
      <c r="D324" s="9">
        <v>0.12</v>
      </c>
      <c r="E324" s="3">
        <v>4265.28</v>
      </c>
      <c r="F324" s="9">
        <v>0</v>
      </c>
      <c r="G324" s="4"/>
    </row>
    <row r="325" spans="1:7" ht="14.4" customHeight="1" outlineLevel="1" x14ac:dyDescent="0.3">
      <c r="A325" s="2" t="s">
        <v>232</v>
      </c>
      <c r="B325" s="9">
        <v>0.127</v>
      </c>
      <c r="C325" s="3">
        <v>4294.8999999999996</v>
      </c>
      <c r="D325" s="9">
        <v>0.127</v>
      </c>
      <c r="E325" s="3">
        <v>4294.8999999999996</v>
      </c>
      <c r="F325" s="9">
        <v>0</v>
      </c>
      <c r="G325" s="4"/>
    </row>
    <row r="326" spans="1:7" ht="14.4" customHeight="1" outlineLevel="1" x14ac:dyDescent="0.3">
      <c r="A326" s="2" t="s">
        <v>233</v>
      </c>
      <c r="B326" s="9">
        <v>8.0190000000000001</v>
      </c>
      <c r="C326" s="3">
        <v>258023.81</v>
      </c>
      <c r="D326" s="9">
        <v>7.7789999999999999</v>
      </c>
      <c r="E326" s="3">
        <v>249816.48</v>
      </c>
      <c r="F326" s="9">
        <v>0.24</v>
      </c>
      <c r="G326" s="3">
        <v>8207.33</v>
      </c>
    </row>
    <row r="327" spans="1:7" ht="14.4" customHeight="1" outlineLevel="1" x14ac:dyDescent="0.3">
      <c r="A327" s="2" t="s">
        <v>234</v>
      </c>
      <c r="B327" s="9">
        <v>0.55700000000000005</v>
      </c>
      <c r="C327" s="3">
        <v>18130.009999999998</v>
      </c>
      <c r="D327" s="9">
        <v>0.24</v>
      </c>
      <c r="E327" s="3">
        <v>7943.92</v>
      </c>
      <c r="F327" s="9">
        <v>0.317</v>
      </c>
      <c r="G327" s="3">
        <v>10186.09</v>
      </c>
    </row>
    <row r="328" spans="1:7" ht="14.4" customHeight="1" outlineLevel="1" x14ac:dyDescent="0.3">
      <c r="A328" s="2" t="s">
        <v>179</v>
      </c>
      <c r="B328" s="9">
        <v>3.22</v>
      </c>
      <c r="C328" s="3">
        <v>103670.27</v>
      </c>
      <c r="D328" s="9">
        <v>3.22</v>
      </c>
      <c r="E328" s="3">
        <v>103670.27</v>
      </c>
      <c r="F328" s="9">
        <v>0</v>
      </c>
      <c r="G328" s="4"/>
    </row>
    <row r="329" spans="1:7" ht="14.4" customHeight="1" outlineLevel="1" x14ac:dyDescent="0.3">
      <c r="A329" s="2" t="s">
        <v>235</v>
      </c>
      <c r="B329" s="9">
        <v>2.0430000000000001</v>
      </c>
      <c r="C329" s="3">
        <v>76061.850000000006</v>
      </c>
      <c r="D329" s="9">
        <v>2.0430000000000001</v>
      </c>
      <c r="E329" s="3">
        <v>76061.850000000006</v>
      </c>
      <c r="F329" s="9">
        <v>0</v>
      </c>
      <c r="G329" s="4"/>
    </row>
    <row r="330" spans="1:7" ht="14.4" customHeight="1" outlineLevel="1" x14ac:dyDescent="0.3">
      <c r="A330" s="2" t="s">
        <v>236</v>
      </c>
      <c r="B330" s="9">
        <v>0.75</v>
      </c>
      <c r="C330" s="3">
        <v>26526</v>
      </c>
      <c r="D330" s="9">
        <v>0.75</v>
      </c>
      <c r="E330" s="3">
        <v>26526</v>
      </c>
      <c r="F330" s="9">
        <v>0</v>
      </c>
      <c r="G330" s="4"/>
    </row>
    <row r="331" spans="1:7" ht="14.4" customHeight="1" outlineLevel="1" x14ac:dyDescent="0.3">
      <c r="A331" s="2" t="s">
        <v>237</v>
      </c>
      <c r="B331" s="9">
        <v>2.415</v>
      </c>
      <c r="C331" s="3">
        <v>73396.429999999993</v>
      </c>
      <c r="D331" s="9">
        <v>2.415</v>
      </c>
      <c r="E331" s="3">
        <v>73396.429999999993</v>
      </c>
      <c r="F331" s="9">
        <v>0</v>
      </c>
      <c r="G331" s="4"/>
    </row>
    <row r="332" spans="1:7" ht="14.4" customHeight="1" outlineLevel="1" x14ac:dyDescent="0.3">
      <c r="A332" s="2" t="s">
        <v>238</v>
      </c>
      <c r="B332" s="9">
        <v>7.86</v>
      </c>
      <c r="C332" s="3">
        <v>259128.08</v>
      </c>
      <c r="D332" s="9">
        <v>6.42</v>
      </c>
      <c r="E332" s="3">
        <v>213885.25</v>
      </c>
      <c r="F332" s="9">
        <v>1.44</v>
      </c>
      <c r="G332" s="3">
        <v>45242.83</v>
      </c>
    </row>
    <row r="333" spans="1:7" ht="14.4" customHeight="1" outlineLevel="1" x14ac:dyDescent="0.3">
      <c r="A333" s="2" t="s">
        <v>239</v>
      </c>
      <c r="B333" s="9">
        <v>1</v>
      </c>
      <c r="C333" s="3">
        <v>31418.62</v>
      </c>
      <c r="D333" s="9">
        <v>0</v>
      </c>
      <c r="E333" s="4"/>
      <c r="F333" s="9">
        <v>1</v>
      </c>
      <c r="G333" s="3">
        <v>31418.62</v>
      </c>
    </row>
    <row r="334" spans="1:7" ht="14.4" customHeight="1" outlineLevel="1" x14ac:dyDescent="0.3">
      <c r="A334" s="2" t="s">
        <v>240</v>
      </c>
      <c r="B334" s="9">
        <v>4.8000000000000001E-2</v>
      </c>
      <c r="C334" s="3">
        <v>1478.96</v>
      </c>
      <c r="D334" s="9">
        <v>0</v>
      </c>
      <c r="E334" s="4"/>
      <c r="F334" s="9">
        <v>4.8000000000000001E-2</v>
      </c>
      <c r="G334" s="3">
        <v>1478.96</v>
      </c>
    </row>
    <row r="335" spans="1:7" ht="14.4" customHeight="1" outlineLevel="1" x14ac:dyDescent="0.3">
      <c r="A335" s="2" t="s">
        <v>241</v>
      </c>
      <c r="B335" s="9">
        <v>0.92800000000000005</v>
      </c>
      <c r="C335" s="3">
        <v>29160.29</v>
      </c>
      <c r="D335" s="9">
        <v>0</v>
      </c>
      <c r="E335" s="4"/>
      <c r="F335" s="9">
        <v>0.92800000000000005</v>
      </c>
      <c r="G335" s="3">
        <v>29160.29</v>
      </c>
    </row>
    <row r="336" spans="1:7" ht="14.4" customHeight="1" outlineLevel="1" x14ac:dyDescent="0.3">
      <c r="A336" s="2" t="s">
        <v>242</v>
      </c>
      <c r="B336" s="9">
        <v>0.66400000000000003</v>
      </c>
      <c r="C336" s="3">
        <v>20699.46</v>
      </c>
      <c r="D336" s="9">
        <v>0.22</v>
      </c>
      <c r="E336" s="3">
        <v>6930</v>
      </c>
      <c r="F336" s="9">
        <v>0.44400000000000001</v>
      </c>
      <c r="G336" s="3">
        <v>13769.46</v>
      </c>
    </row>
    <row r="337" spans="1:7" ht="14.4" customHeight="1" outlineLevel="1" x14ac:dyDescent="0.3">
      <c r="A337" s="2" t="s">
        <v>243</v>
      </c>
      <c r="B337" s="9">
        <v>0.11899999999999999</v>
      </c>
      <c r="C337" s="3">
        <v>3739.27</v>
      </c>
      <c r="D337" s="9">
        <v>4.1000000000000002E-2</v>
      </c>
      <c r="E337" s="3">
        <v>1320</v>
      </c>
      <c r="F337" s="9">
        <v>7.8E-2</v>
      </c>
      <c r="G337" s="3">
        <v>2419.27</v>
      </c>
    </row>
    <row r="338" spans="1:7" ht="14.4" customHeight="1" outlineLevel="1" x14ac:dyDescent="0.3">
      <c r="A338" s="2" t="s">
        <v>244</v>
      </c>
      <c r="B338" s="9">
        <v>0.7</v>
      </c>
      <c r="C338" s="3">
        <v>21708.61</v>
      </c>
      <c r="D338" s="9">
        <v>0</v>
      </c>
      <c r="E338" s="4"/>
      <c r="F338" s="9">
        <v>0.7</v>
      </c>
      <c r="G338" s="3">
        <v>21708.61</v>
      </c>
    </row>
    <row r="339" spans="1:7" ht="14.4" customHeight="1" outlineLevel="1" x14ac:dyDescent="0.3">
      <c r="A339" s="2" t="s">
        <v>245</v>
      </c>
      <c r="B339" s="9">
        <v>1.6E-2</v>
      </c>
      <c r="C339" s="5">
        <v>518.01</v>
      </c>
      <c r="D339" s="9">
        <v>1.6E-2</v>
      </c>
      <c r="E339" s="5">
        <v>518.01</v>
      </c>
      <c r="F339" s="9">
        <v>0</v>
      </c>
      <c r="G339" s="4"/>
    </row>
    <row r="340" spans="1:7" ht="14.4" customHeight="1" outlineLevel="1" x14ac:dyDescent="0.3">
      <c r="A340" s="2" t="s">
        <v>246</v>
      </c>
      <c r="B340" s="9">
        <v>8.1140000000000008</v>
      </c>
      <c r="C340" s="3">
        <v>267376.78000000003</v>
      </c>
      <c r="D340" s="9">
        <v>8.06</v>
      </c>
      <c r="E340" s="3">
        <v>265702.12</v>
      </c>
      <c r="F340" s="9">
        <v>5.3999999999999999E-2</v>
      </c>
      <c r="G340" s="3">
        <v>1674.66</v>
      </c>
    </row>
    <row r="341" spans="1:7" ht="14.4" customHeight="1" outlineLevel="1" x14ac:dyDescent="0.3">
      <c r="A341" s="2" t="s">
        <v>247</v>
      </c>
      <c r="B341" s="9">
        <v>50</v>
      </c>
      <c r="C341" s="3">
        <v>5433.5</v>
      </c>
      <c r="D341" s="9">
        <v>50</v>
      </c>
      <c r="E341" s="3">
        <v>5433.5</v>
      </c>
      <c r="F341" s="9">
        <v>0</v>
      </c>
      <c r="G341" s="4"/>
    </row>
    <row r="342" spans="1:7" ht="14.4" customHeight="1" outlineLevel="1" x14ac:dyDescent="0.3">
      <c r="A342" s="2" t="s">
        <v>248</v>
      </c>
      <c r="B342" s="9">
        <v>5.61</v>
      </c>
      <c r="C342" s="3">
        <v>231638.08</v>
      </c>
      <c r="D342" s="9">
        <v>3.36</v>
      </c>
      <c r="E342" s="3">
        <v>137877.76999999999</v>
      </c>
      <c r="F342" s="9">
        <v>2.25</v>
      </c>
      <c r="G342" s="3">
        <v>93760.31</v>
      </c>
    </row>
    <row r="343" spans="1:7" ht="14.4" customHeight="1" outlineLevel="1" x14ac:dyDescent="0.3">
      <c r="A343" s="2" t="s">
        <v>249</v>
      </c>
      <c r="B343" s="9">
        <v>11.91</v>
      </c>
      <c r="C343" s="3">
        <v>548554.62</v>
      </c>
      <c r="D343" s="9">
        <v>11.91</v>
      </c>
      <c r="E343" s="3">
        <v>548554.62</v>
      </c>
      <c r="F343" s="9">
        <v>0</v>
      </c>
      <c r="G343" s="4"/>
    </row>
    <row r="344" spans="1:7" ht="14.4" customHeight="1" outlineLevel="1" x14ac:dyDescent="0.3">
      <c r="A344" s="2" t="s">
        <v>250</v>
      </c>
      <c r="B344" s="9">
        <v>0.99</v>
      </c>
      <c r="C344" s="3">
        <v>48863.44</v>
      </c>
      <c r="D344" s="9">
        <v>0.99</v>
      </c>
      <c r="E344" s="3">
        <v>48863.44</v>
      </c>
      <c r="F344" s="9">
        <v>0</v>
      </c>
      <c r="G344" s="4"/>
    </row>
    <row r="345" spans="1:7" ht="14.4" customHeight="1" outlineLevel="1" x14ac:dyDescent="0.3">
      <c r="A345" s="2" t="s">
        <v>251</v>
      </c>
      <c r="B345" s="9">
        <v>0.8</v>
      </c>
      <c r="C345" s="3">
        <v>29314.75</v>
      </c>
      <c r="D345" s="9">
        <v>0</v>
      </c>
      <c r="E345" s="4"/>
      <c r="F345" s="9">
        <v>0.8</v>
      </c>
      <c r="G345" s="3">
        <v>29314.75</v>
      </c>
    </row>
  </sheetData>
  <autoFilter ref="A3:G345"/>
  <mergeCells count="3">
    <mergeCell ref="B2:C2"/>
    <mergeCell ref="D2:E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2025-01-29T13:16:01Z</dcterms:modified>
</cp:coreProperties>
</file>
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FEA3E153-6C9F-45DD-A1BC-2DC5DFD0212C}" xr6:coauthVersionLast="45" xr6:coauthVersionMax="45" xr10:uidLastSave="{00000000-0000-0000-0000-000000000000}"/>
  <bookViews>
    <workbookView xWindow="-108" yWindow="-108" windowWidth="23256" windowHeight="12600" activeTab="2" xr2:uid="{00000000-000D-0000-FFFF-FFFF00000000}"/>
  </bookViews>
  <sheets>
    <sheet name="АКТЫ" sheetId="1" r:id="rId1"/>
    <sheet name="Продажи" sheetId="2" r:id="rId2"/>
    <sheet name="Лист1" sheetId="3" r:id="rId3"/>
  </sheets>
  <definedNames>
    <definedName name="_xlnm._FilterDatabase" localSheetId="0" hidden="1">АКТЫ!$A$1:$I$88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2" i="3"/>
  <c r="C43" i="3"/>
  <c r="B43" i="3"/>
  <c r="E14" i="2" l="1"/>
  <c r="E13" i="2"/>
  <c r="E12" i="2"/>
  <c r="E10" i="2"/>
  <c r="E9" i="2"/>
  <c r="E8" i="2"/>
  <c r="E7" i="2"/>
  <c r="E6" i="2"/>
  <c r="E4" i="2"/>
  <c r="E3" i="2"/>
  <c r="E2" i="2"/>
  <c r="E11" i="2"/>
  <c r="E18" i="2" s="1"/>
  <c r="E5" i="2"/>
  <c r="E17" i="2" l="1"/>
  <c r="D15" i="2"/>
  <c r="D18" i="2"/>
  <c r="H18" i="2" s="1"/>
  <c r="D17" i="2"/>
  <c r="D19" i="2" s="1"/>
  <c r="D87" i="1"/>
  <c r="D86" i="1"/>
  <c r="D85" i="1"/>
  <c r="D84" i="1"/>
  <c r="D83" i="1"/>
  <c r="D82" i="1"/>
  <c r="D88" i="1" s="1"/>
  <c r="D80" i="1"/>
  <c r="D81" i="1" l="1"/>
  <c r="D16" i="2"/>
  <c r="H17" i="2"/>
</calcChain>
</file>

<file path=xl/sharedStrings.xml><?xml version="1.0" encoding="utf-8"?>
<sst xmlns="http://schemas.openxmlformats.org/spreadsheetml/2006/main" count="746" uniqueCount="289">
  <si>
    <t>Дата</t>
  </si>
  <si>
    <t>Номер</t>
  </si>
  <si>
    <t>Контрагент</t>
  </si>
  <si>
    <t>Сума</t>
  </si>
  <si>
    <t>Валюта</t>
  </si>
  <si>
    <t>Підрозділ</t>
  </si>
  <si>
    <t>Організація</t>
  </si>
  <si>
    <t>Відповідальний</t>
  </si>
  <si>
    <t>Коментар</t>
  </si>
  <si>
    <t>02.12.2024 00:00:00</t>
  </si>
  <si>
    <t>ІБ00-000546</t>
  </si>
  <si>
    <t xml:space="preserve">КОМРАД ТРЕЙД  ТОВ </t>
  </si>
  <si>
    <t>грн</t>
  </si>
  <si>
    <t>Виробничий (Путрівка КМД)</t>
  </si>
  <si>
    <t>ТОВ "ІНДАСТРІАЛБУД"</t>
  </si>
  <si>
    <t>Хлань Елена</t>
  </si>
  <si>
    <t>Акт 1</t>
  </si>
  <si>
    <t>02.12.2024 15:09:07</t>
  </si>
  <si>
    <t>ІБ00-000547</t>
  </si>
  <si>
    <t xml:space="preserve">Старокостянтинівський олійноекстраційний завод ТОВ </t>
  </si>
  <si>
    <t>Виробничий (Старокостянтинів)</t>
  </si>
  <si>
    <t>Акт 1 ДОГОВІР ПІДРЯДУ № 11/11/2024-СтОЕЗ від 11.11.2024</t>
  </si>
  <si>
    <t>Аулова Маргарита</t>
  </si>
  <si>
    <t>04.12.2024 00:00:00</t>
  </si>
  <si>
    <t>ІБ00-000537</t>
  </si>
  <si>
    <t>АСТАРТА АГРО ПРОТЕЇН ТОВ</t>
  </si>
  <si>
    <t>Виробничий (Глобине-2)</t>
  </si>
  <si>
    <t xml:space="preserve"> Акт 1/1.14-КМ (Котельня)</t>
  </si>
  <si>
    <t>ІБ00-000541</t>
  </si>
  <si>
    <t xml:space="preserve"> Акт 4/1.9-КБ (СПК)</t>
  </si>
  <si>
    <t>ІБ00-000542</t>
  </si>
  <si>
    <t>Акт 12/1.3-КБ(Цех екстракції поз. 3 ГБ)</t>
  </si>
  <si>
    <t>ІБ00-000543</t>
  </si>
  <si>
    <t xml:space="preserve"> Акт 10/1.14-КБ (Котельня)</t>
  </si>
  <si>
    <t>04.12.2024 15:34:12</t>
  </si>
  <si>
    <t>ІБ00-000548</t>
  </si>
  <si>
    <t>НІЖИНСЬКИЙ ЖИРКОМБІНАТ ПрАТ</t>
  </si>
  <si>
    <t>Виробничий (Ніжин-3)</t>
  </si>
  <si>
    <t>Акт № 140</t>
  </si>
  <si>
    <t>09.12.2024 11:02:25</t>
  </si>
  <si>
    <t>ІБ00-000560</t>
  </si>
  <si>
    <t>Акт № 143</t>
  </si>
  <si>
    <t>09.12.2024 11:02:50</t>
  </si>
  <si>
    <t>ІБ00-000561</t>
  </si>
  <si>
    <t>Акт № 137</t>
  </si>
  <si>
    <t>09.12.2024 11:03:07</t>
  </si>
  <si>
    <t>ІБ00-000562</t>
  </si>
  <si>
    <t>Акт № 146</t>
  </si>
  <si>
    <t>09.12.2024 11:03:21</t>
  </si>
  <si>
    <t>ІБ00-000563</t>
  </si>
  <si>
    <t>Акт № 147</t>
  </si>
  <si>
    <t>09.12.2024 11:03:39</t>
  </si>
  <si>
    <t>ІБ00-000564</t>
  </si>
  <si>
    <t>Акт № 145</t>
  </si>
  <si>
    <t>09.12.2024 11:03:58</t>
  </si>
  <si>
    <t>ІБ00-000565</t>
  </si>
  <si>
    <t>Акт № 141</t>
  </si>
  <si>
    <t>09.12.2024 11:04:19</t>
  </si>
  <si>
    <t>ІБ00-000566</t>
  </si>
  <si>
    <t>Акт № 142</t>
  </si>
  <si>
    <t>12.12.2024 00:00:00</t>
  </si>
  <si>
    <t>ІБ00-000552</t>
  </si>
  <si>
    <t xml:space="preserve"> Акт 5/1.9-КБ (СПК)</t>
  </si>
  <si>
    <t>ІБ00-000553</t>
  </si>
  <si>
    <t>Акт 1/1.3-КМ(Цех екстракції поз. 3 ГБ)</t>
  </si>
  <si>
    <t>ІБ00-000554</t>
  </si>
  <si>
    <t>Акт 13/1.3-КБ(Цех екстракції поз. 3 ГБ)</t>
  </si>
  <si>
    <t>ІБ00-000555</t>
  </si>
  <si>
    <t xml:space="preserve"> Акт 11/1.14-КБ (Котельня)</t>
  </si>
  <si>
    <t>ІБ00-000556</t>
  </si>
  <si>
    <t xml:space="preserve"> Акт 2/1.14-КМ (Котельня)</t>
  </si>
  <si>
    <t>ІБ00-000557</t>
  </si>
  <si>
    <t>Акт 4/1.5-КБ (насосна,градирня)</t>
  </si>
  <si>
    <t>ІБ00-000576</t>
  </si>
  <si>
    <t>Акт 2/1.3-КМ(Цех екстракції поз. 3 ГБ)</t>
  </si>
  <si>
    <t>ІБ00-000577</t>
  </si>
  <si>
    <t>Акт 3/1.3-КМ(Цех екстракції поз. 3 ГБ)</t>
  </si>
  <si>
    <t>ІБ00-000578</t>
  </si>
  <si>
    <t xml:space="preserve"> Акт 3/1.14-КМ (Котельня)</t>
  </si>
  <si>
    <t>16.12.2024 00:00:00</t>
  </si>
  <si>
    <t>ІБ00-000581</t>
  </si>
  <si>
    <t>Акт 14/1.3-КБ(Цех екстракції поз. 3 ГБ)</t>
  </si>
  <si>
    <t>ІБ00-000584</t>
  </si>
  <si>
    <t>Акт 4/1.3-КМ(Цех екстракції поз. 3 ГБ)</t>
  </si>
  <si>
    <t>16.12.2024 10:00:00</t>
  </si>
  <si>
    <t>ІБ00-000567</t>
  </si>
  <si>
    <t>ЗАПОРІЗЬКИЙ ОЛІЙНОЕКСТРАКЦІЙНИЙ ЗАВОД  ПРАТ</t>
  </si>
  <si>
    <t>Виробничий (Запоріж_Турбіна 3)</t>
  </si>
  <si>
    <t>акт 11/1</t>
  </si>
  <si>
    <t>16.12.2024 10:01:00</t>
  </si>
  <si>
    <t>ІБ00-000568</t>
  </si>
  <si>
    <t>акт 11/2</t>
  </si>
  <si>
    <t>16.12.2024 10:02:00</t>
  </si>
  <si>
    <t>ІБ00-000569</t>
  </si>
  <si>
    <t>акт 11/3</t>
  </si>
  <si>
    <t>16.12.2024 10:03:00</t>
  </si>
  <si>
    <t>ІБ00-000570</t>
  </si>
  <si>
    <t>акт 11/4</t>
  </si>
  <si>
    <t>16.12.2024 10:04:00</t>
  </si>
  <si>
    <t>ІБ00-000571</t>
  </si>
  <si>
    <t>акт 11/5</t>
  </si>
  <si>
    <t>16.12.2024 10:05:00</t>
  </si>
  <si>
    <t>ІБ00-000572</t>
  </si>
  <si>
    <t>акт 11/6</t>
  </si>
  <si>
    <t>16.12.2024 10:06:00</t>
  </si>
  <si>
    <t>ІБ00-000573</t>
  </si>
  <si>
    <t>акт 11/7</t>
  </si>
  <si>
    <t>16.12.2024 10:07:00</t>
  </si>
  <si>
    <t>ІБ00-000574</t>
  </si>
  <si>
    <t>акт 11/8</t>
  </si>
  <si>
    <t>16.12.2024 10:08:00</t>
  </si>
  <si>
    <t>ІБ00-000575</t>
  </si>
  <si>
    <t>акт 11/9</t>
  </si>
  <si>
    <t>16.12.2024 13:09:48</t>
  </si>
  <si>
    <t>ІБ00-000585</t>
  </si>
  <si>
    <t>Акт 2</t>
  </si>
  <si>
    <t>18.12.2024 13:52:25</t>
  </si>
  <si>
    <t>ІБ00-000580</t>
  </si>
  <si>
    <t>Акт 5/1.5-КБ (насосна,градирня)</t>
  </si>
  <si>
    <t>18.12.2024 13:53:43</t>
  </si>
  <si>
    <t>ІБ00-000582</t>
  </si>
  <si>
    <t xml:space="preserve"> Акт 6/1.9-КБ (СПК)</t>
  </si>
  <si>
    <t>18.12.2024 13:54:29</t>
  </si>
  <si>
    <t>ІБ00-000583</t>
  </si>
  <si>
    <t xml:space="preserve"> Акт 12/1.14-КБ (Котельня)</t>
  </si>
  <si>
    <t>18.12.2024 16:54:42</t>
  </si>
  <si>
    <t>ІБ00-000586</t>
  </si>
  <si>
    <t xml:space="preserve"> Акт 4/1.14-КМ (Котельня)</t>
  </si>
  <si>
    <t>23.12.2024 09:14:03</t>
  </si>
  <si>
    <t>ІБ00-000604</t>
  </si>
  <si>
    <t>Акт 7/1.3-КМ(Цех екстракції поз. 3 ГБ)</t>
  </si>
  <si>
    <t>23.12.2024 09:15:11</t>
  </si>
  <si>
    <t>ІБ00-000605</t>
  </si>
  <si>
    <t>Акт 8/1.3-КМ(Цех екстракції поз. 3 ГБ)</t>
  </si>
  <si>
    <t>23.12.2024 10:13:39</t>
  </si>
  <si>
    <t>ІБ00-000606</t>
  </si>
  <si>
    <t>Акт 9/1.3-КМ(Цех екстракції поз. 3 ГБ)</t>
  </si>
  <si>
    <t>23.12.2024 10:28:11</t>
  </si>
  <si>
    <t>ІБ00-000607</t>
  </si>
  <si>
    <t>Акт 10/1.3-КМ(Цех екстракції поз. 3 ГБ)</t>
  </si>
  <si>
    <t>23.12.2024 11:28:21</t>
  </si>
  <si>
    <t>ІБ00-000608</t>
  </si>
  <si>
    <t>Акт 11/1.3-КМ(Цех екстракції поз. 3 ГБ)</t>
  </si>
  <si>
    <t>23.12.2024 11:31:07</t>
  </si>
  <si>
    <t>ІБ00-000609</t>
  </si>
  <si>
    <t>Акт 12/1.3-КМ(Цех екстракції поз. 3 ГБ)</t>
  </si>
  <si>
    <t>23.12.2024 12:51:13</t>
  </si>
  <si>
    <t>ІБ00-000587</t>
  </si>
  <si>
    <t xml:space="preserve"> Акт 7/1.9-КБ (СПК)</t>
  </si>
  <si>
    <t>23.12.2024 12:52:15</t>
  </si>
  <si>
    <t>ІБ00-000588</t>
  </si>
  <si>
    <t xml:space="preserve"> Акт 13/1.14-КБ (Котельня)</t>
  </si>
  <si>
    <t>23.12.2024 12:52:47</t>
  </si>
  <si>
    <t>ІБ00-000589</t>
  </si>
  <si>
    <t>Акт 15/1.3-КБ(Цех екстракції поз. 3 ГБ)</t>
  </si>
  <si>
    <t>23.12.2024 12:53:28</t>
  </si>
  <si>
    <t>ІБ00-000590</t>
  </si>
  <si>
    <t>Акт 5/1.3-КМ(Цех екстракції поз. 3 ГБ)</t>
  </si>
  <si>
    <t>23.12.2024 12:54:06</t>
  </si>
  <si>
    <t>ІБ00-000591</t>
  </si>
  <si>
    <t xml:space="preserve"> (сума зменшиться) Акт 5/1.14-КМ (Котельня)</t>
  </si>
  <si>
    <t>23.12.2024 13:30:18</t>
  </si>
  <si>
    <t>ІБ00-000592</t>
  </si>
  <si>
    <t xml:space="preserve"> Акт 1/1.16-КБ (Пожежний резервуар)</t>
  </si>
  <si>
    <t>23.12.2024 13:34:21</t>
  </si>
  <si>
    <t>ІБ00-000593</t>
  </si>
  <si>
    <t xml:space="preserve"> Акт 1/1.12-КБ (Резервуарний парк)</t>
  </si>
  <si>
    <t>23.12.2024 13:35:17</t>
  </si>
  <si>
    <t>ІБ00-000594</t>
  </si>
  <si>
    <t xml:space="preserve"> Акт 8/1.9-КБ (СПК)</t>
  </si>
  <si>
    <t>23.12.2024 13:37:57</t>
  </si>
  <si>
    <t>ІБ00-000595</t>
  </si>
  <si>
    <t>Акт 2/1.4-КБ (резервуар для зберігання розчинника)</t>
  </si>
  <si>
    <t>23.12.2024 13:38:48</t>
  </si>
  <si>
    <t>ІБ00-000596</t>
  </si>
  <si>
    <t>Акт 6/1.5-КБ (насосна,градирня)</t>
  </si>
  <si>
    <t>23.12.2024 13:39:38</t>
  </si>
  <si>
    <t>ІБ00-000597</t>
  </si>
  <si>
    <t>Акт 16/1.3-КБ(Цех екстракції поз. 3 ГБ)</t>
  </si>
  <si>
    <t>23.12.2024 13:40:27</t>
  </si>
  <si>
    <t>ІБ00-000598</t>
  </si>
  <si>
    <t xml:space="preserve"> Акт 14/1.14-КБ (Котельня)</t>
  </si>
  <si>
    <t>23.12.2024 14:27:06</t>
  </si>
  <si>
    <t>ІБ00-000599</t>
  </si>
  <si>
    <t>Акт 6/1.3-КМ(Цех екстракції поз. 3 ГБ)</t>
  </si>
  <si>
    <t>23.12.2024 14:28:12</t>
  </si>
  <si>
    <t>ІБ00-000600</t>
  </si>
  <si>
    <t xml:space="preserve"> Акт 7/1.14-КМ (Котельня)</t>
  </si>
  <si>
    <t>23.12.2024 14:28:36</t>
  </si>
  <si>
    <t>ІБ00-000601</t>
  </si>
  <si>
    <t xml:space="preserve"> Акт 6/1.14-КМ (Котельня)</t>
  </si>
  <si>
    <t>23.12.2024 14:36:14</t>
  </si>
  <si>
    <t>ІБ00-000602</t>
  </si>
  <si>
    <t xml:space="preserve"> Акт 1/1.25 (Демонтажні роботи)</t>
  </si>
  <si>
    <t>23.12.2024 15:32:09</t>
  </si>
  <si>
    <t>ІБ00-000603</t>
  </si>
  <si>
    <t>Виробничий (Глобино)</t>
  </si>
  <si>
    <t>Акт 8</t>
  </si>
  <si>
    <t>25.12.2024 11:42:16</t>
  </si>
  <si>
    <t>ІБ00-000616</t>
  </si>
  <si>
    <t>Акт № 139</t>
  </si>
  <si>
    <t>25.12.2024 11:42:53</t>
  </si>
  <si>
    <t>ІБ00-000617</t>
  </si>
  <si>
    <t>Акт № 144</t>
  </si>
  <si>
    <t>25.12.2024 11:43:27</t>
  </si>
  <si>
    <t>ІБ00-000618</t>
  </si>
  <si>
    <t>Акт № 148</t>
  </si>
  <si>
    <t>25.12.2024 11:43:52</t>
  </si>
  <si>
    <t>ІБ00-000619</t>
  </si>
  <si>
    <t>Акт № 149</t>
  </si>
  <si>
    <t>25.12.2024 12:00:00</t>
  </si>
  <si>
    <t>ІБ00-000625</t>
  </si>
  <si>
    <t>Акт № 150</t>
  </si>
  <si>
    <t>25.12.2024 12:01:00</t>
  </si>
  <si>
    <t>ІБ00-000626</t>
  </si>
  <si>
    <t>Акт № 138</t>
  </si>
  <si>
    <t>25.12.2024 18:26:55</t>
  </si>
  <si>
    <t>ІБ00-000627</t>
  </si>
  <si>
    <t>Акт № 158</t>
  </si>
  <si>
    <t>25.12.2024 18:26:56</t>
  </si>
  <si>
    <t>ІБ00-000628</t>
  </si>
  <si>
    <t>Акт № 157</t>
  </si>
  <si>
    <t>25.12.2024 18:26:57</t>
  </si>
  <si>
    <t>ІБ00-000629</t>
  </si>
  <si>
    <t>Акт № 110</t>
  </si>
  <si>
    <t>26.12.2024 16:24:42</t>
  </si>
  <si>
    <t>ІБ00-000622</t>
  </si>
  <si>
    <t>Акт 6 дата погоджена</t>
  </si>
  <si>
    <t>30.12.2024 14:49:59</t>
  </si>
  <si>
    <t>ІБ00-000610</t>
  </si>
  <si>
    <t>акт 12/1</t>
  </si>
  <si>
    <t>30.12.2024 14:50:40</t>
  </si>
  <si>
    <t>ІБ00-000611</t>
  </si>
  <si>
    <t>акт 12/2</t>
  </si>
  <si>
    <t>30.12.2024 14:51:01</t>
  </si>
  <si>
    <t>ІБ00-000612</t>
  </si>
  <si>
    <t>акт 12/3</t>
  </si>
  <si>
    <t>30.12.2024 14:51:39</t>
  </si>
  <si>
    <t>ІБ00-000613</t>
  </si>
  <si>
    <t>акт 12/4</t>
  </si>
  <si>
    <t>30.12.2024 14:52:02</t>
  </si>
  <si>
    <t>ІБ00-000614</t>
  </si>
  <si>
    <t>акт 12/5</t>
  </si>
  <si>
    <t>30.12.2024 14:52:26</t>
  </si>
  <si>
    <t>ІБ00-000615</t>
  </si>
  <si>
    <t>акт 12/6</t>
  </si>
  <si>
    <t>Глобино-2</t>
  </si>
  <si>
    <t>Глобино</t>
  </si>
  <si>
    <t>Турбина-3</t>
  </si>
  <si>
    <t>Нежин-3</t>
  </si>
  <si>
    <t>КМД Путровка</t>
  </si>
  <si>
    <t>Староконстантинов</t>
  </si>
  <si>
    <t>ВСЕГО</t>
  </si>
  <si>
    <t>Вид операції</t>
  </si>
  <si>
    <t>Склад</t>
  </si>
  <si>
    <t>02.12.2024 18:39:34</t>
  </si>
  <si>
    <t>ІБ00-000083</t>
  </si>
  <si>
    <t>Продаж, комісія</t>
  </si>
  <si>
    <t>МОЛОКО ВІТЧИЗНИ ТОВ</t>
  </si>
  <si>
    <t>Молоко Вітчизни</t>
  </si>
  <si>
    <t>03.12.2024 17:24:26</t>
  </si>
  <si>
    <t>ІБ00-000084</t>
  </si>
  <si>
    <t>04.12.2024 18:00:27</t>
  </si>
  <si>
    <t>ІБ00-000085</t>
  </si>
  <si>
    <t>05.12.2024 15:03:19</t>
  </si>
  <si>
    <t>ІБ00-000075</t>
  </si>
  <si>
    <t>Ніжин-3</t>
  </si>
  <si>
    <t>Спецпланка 220 цинк 0,45 (20 шт) Лента ПенеБанд S 300*1 (20 м/рул) (4 рул)</t>
  </si>
  <si>
    <t>05.12.2024 19:22:28</t>
  </si>
  <si>
    <t>ІБ00-000086</t>
  </si>
  <si>
    <t>06.12.2024 20:41:32</t>
  </si>
  <si>
    <t>ІБ00-000087</t>
  </si>
  <si>
    <t>09.12.2024 18:21:35</t>
  </si>
  <si>
    <t>ІБ00-000088</t>
  </si>
  <si>
    <t>12.12.2024 18:00:58</t>
  </si>
  <si>
    <t>ІБ00-000091</t>
  </si>
  <si>
    <t>19.12.2024 18:26:21</t>
  </si>
  <si>
    <t>ІБ00-000092</t>
  </si>
  <si>
    <t>20.12.2024 16:31:09</t>
  </si>
  <si>
    <t>ІБ00-000090</t>
  </si>
  <si>
    <t>біотекстиль</t>
  </si>
  <si>
    <t>21.12.2024 16:00:03</t>
  </si>
  <si>
    <t>ІБ00-000093</t>
  </si>
  <si>
    <t>23.12.2024 17:16:37</t>
  </si>
  <si>
    <t>ІБ00-000094</t>
  </si>
  <si>
    <t>24.12.2024 22:00:01</t>
  </si>
  <si>
    <t>ІБ00-000095</t>
  </si>
  <si>
    <t>ТЕХНИКА</t>
  </si>
  <si>
    <t>Себестоимость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</si>
</sst>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sz val="11"/>
      <color rgb="FF7030A0"/>
      <name val="Calibri"/>
      <family val="2"/>
      <scheme val="minor"/>
    </font>
    <font>
      <sz val="10"/>
      <color indexed="63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20">
    <xf numFmtId="0" fontId="0" fillId="0" borderId="0" xfId="0"/>
    <xf numFmtId="0" fontId="3" fillId="2" borderId="1" xfId="1" applyNumberFormat="1" applyFont="1" applyFill="1" applyBorder="1" applyAlignment="1">
      <alignment horizontal="left" vertical="top"/>
    </xf>
    <xf numFmtId="0" fontId="4" fillId="2" borderId="1" xfId="1" applyNumberFormat="1" applyFont="1" applyFill="1" applyBorder="1" applyAlignment="1">
      <alignment horizontal="left" vertical="top"/>
    </xf>
    <xf numFmtId="4" fontId="4" fillId="2" borderId="1" xfId="1" applyNumberFormat="1" applyFont="1" applyFill="1" applyBorder="1" applyAlignment="1">
      <alignment horizontal="right" vertical="top"/>
    </xf>
    <xf numFmtId="4" fontId="4" fillId="3" borderId="1" xfId="1" applyNumberFormat="1" applyFont="1" applyFill="1" applyBorder="1" applyAlignment="1">
      <alignment horizontal="right" vertical="top"/>
    </xf>
    <xf numFmtId="0" fontId="4" fillId="3" borderId="1" xfId="1" applyNumberFormat="1" applyFont="1" applyFill="1" applyBorder="1" applyAlignment="1">
      <alignment horizontal="left" vertical="top"/>
    </xf>
    <xf numFmtId="4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4" fontId="5" fillId="0" borderId="0" xfId="0" applyNumberFormat="1" applyFont="1"/>
    <xf numFmtId="0" fontId="6" fillId="2" borderId="1" xfId="2" applyNumberFormat="1" applyFont="1" applyFill="1" applyBorder="1" applyAlignment="1">
      <alignment horizontal="left" vertical="top"/>
    </xf>
    <xf numFmtId="0" fontId="4" fillId="2" borderId="1" xfId="2" applyNumberFormat="1" applyFont="1" applyFill="1" applyBorder="1" applyAlignment="1">
      <alignment horizontal="left" vertical="top"/>
    </xf>
    <xf numFmtId="4" fontId="4" fillId="2" borderId="1" xfId="2" applyNumberFormat="1" applyFont="1" applyFill="1" applyBorder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4" borderId="0" xfId="0" applyNumberFormat="1" applyFill="1"/>
    <xf numFmtId="4" fontId="4" fillId="2" borderId="1" xfId="3" applyNumberFormat="1" applyFont="1" applyFill="1" applyBorder="1" applyAlignment="1">
      <alignment horizontal="right" vertical="top"/>
    </xf>
  </cellXfs>
  <cellStyles count="4">
    <cellStyle name="Обычный" xfId="0" builtinId="0"/>
    <cellStyle name="Обычный_Sheet1" xfId="3" xr:uid="{5C9A35FA-A72E-408F-9314-81D7FFB9B210}"/>
    <cellStyle name="Обычный_Лист1" xfId="1" xr:uid="{00000000-0005-0000-0000-000001000000}"/>
    <cellStyle name="Обычный_Продажи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2"/>
  <sheetViews>
    <sheetView topLeftCell="A52" workbookViewId="0">
      <selection activeCell="D63" sqref="D63"/>
    </sheetView>
  </sheetViews>
  <sheetFormatPr defaultRowHeight="14.4" x14ac:dyDescent="0.3"/>
  <cols>
    <col min="1" max="1" width="14" bestFit="1" customWidth="1"/>
    <col min="2" max="2" width="8.77734375" bestFit="1" customWidth="1"/>
    <col min="3" max="3" width="50.5546875" bestFit="1" customWidth="1"/>
    <col min="4" max="4" width="12.33203125" bestFit="1" customWidth="1"/>
    <col min="5" max="5" width="7.6640625" bestFit="1" customWidth="1"/>
    <col min="6" max="6" width="22.77734375" bestFit="1" customWidth="1"/>
    <col min="7" max="7" width="16.6640625" bestFit="1" customWidth="1"/>
    <col min="8" max="8" width="14.5546875" bestFit="1" customWidth="1"/>
    <col min="9" max="9" width="43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3">
        <v>112440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3">
      <c r="A3" s="2" t="s">
        <v>17</v>
      </c>
      <c r="B3" s="2" t="s">
        <v>18</v>
      </c>
      <c r="C3" s="2" t="s">
        <v>19</v>
      </c>
      <c r="D3" s="3">
        <v>206494.68</v>
      </c>
      <c r="E3" s="2" t="s">
        <v>12</v>
      </c>
      <c r="F3" s="2" t="s">
        <v>20</v>
      </c>
      <c r="G3" s="2" t="s">
        <v>14</v>
      </c>
      <c r="H3" s="2" t="s">
        <v>15</v>
      </c>
      <c r="I3" s="2" t="s">
        <v>21</v>
      </c>
    </row>
    <row r="4" spans="1:9" x14ac:dyDescent="0.3">
      <c r="A4" s="2" t="s">
        <v>23</v>
      </c>
      <c r="B4" s="2" t="s">
        <v>24</v>
      </c>
      <c r="C4" s="2" t="s">
        <v>25</v>
      </c>
      <c r="D4" s="3">
        <v>1625770.49</v>
      </c>
      <c r="E4" s="2" t="s">
        <v>12</v>
      </c>
      <c r="F4" s="2" t="s">
        <v>26</v>
      </c>
      <c r="G4" s="2" t="s">
        <v>14</v>
      </c>
      <c r="H4" s="2" t="s">
        <v>15</v>
      </c>
      <c r="I4" s="2" t="s">
        <v>27</v>
      </c>
    </row>
    <row r="5" spans="1:9" x14ac:dyDescent="0.3">
      <c r="A5" s="2" t="s">
        <v>23</v>
      </c>
      <c r="B5" s="2" t="s">
        <v>28</v>
      </c>
      <c r="C5" s="2" t="s">
        <v>25</v>
      </c>
      <c r="D5" s="3">
        <v>891689.84</v>
      </c>
      <c r="E5" s="2" t="s">
        <v>12</v>
      </c>
      <c r="F5" s="2" t="s">
        <v>26</v>
      </c>
      <c r="G5" s="2" t="s">
        <v>14</v>
      </c>
      <c r="H5" s="2" t="s">
        <v>15</v>
      </c>
      <c r="I5" s="2" t="s">
        <v>29</v>
      </c>
    </row>
    <row r="6" spans="1:9" x14ac:dyDescent="0.3">
      <c r="A6" s="2" t="s">
        <v>23</v>
      </c>
      <c r="B6" s="2" t="s">
        <v>30</v>
      </c>
      <c r="C6" s="2" t="s">
        <v>25</v>
      </c>
      <c r="D6" s="3">
        <v>255009.67</v>
      </c>
      <c r="E6" s="2" t="s">
        <v>12</v>
      </c>
      <c r="F6" s="2" t="s">
        <v>26</v>
      </c>
      <c r="G6" s="2" t="s">
        <v>14</v>
      </c>
      <c r="H6" s="2" t="s">
        <v>15</v>
      </c>
      <c r="I6" s="2" t="s">
        <v>31</v>
      </c>
    </row>
    <row r="7" spans="1:9" x14ac:dyDescent="0.3">
      <c r="A7" s="2" t="s">
        <v>23</v>
      </c>
      <c r="B7" s="2" t="s">
        <v>32</v>
      </c>
      <c r="C7" s="2" t="s">
        <v>25</v>
      </c>
      <c r="D7" s="3">
        <v>74595.38</v>
      </c>
      <c r="E7" s="2" t="s">
        <v>12</v>
      </c>
      <c r="F7" s="2" t="s">
        <v>26</v>
      </c>
      <c r="G7" s="2" t="s">
        <v>14</v>
      </c>
      <c r="H7" s="2" t="s">
        <v>15</v>
      </c>
      <c r="I7" s="2" t="s">
        <v>33</v>
      </c>
    </row>
    <row r="8" spans="1:9" x14ac:dyDescent="0.3">
      <c r="A8" s="2" t="s">
        <v>34</v>
      </c>
      <c r="B8" s="2" t="s">
        <v>35</v>
      </c>
      <c r="C8" s="2" t="s">
        <v>36</v>
      </c>
      <c r="D8" s="3">
        <v>75140</v>
      </c>
      <c r="E8" s="2" t="s">
        <v>12</v>
      </c>
      <c r="F8" s="2" t="s">
        <v>37</v>
      </c>
      <c r="G8" s="2" t="s">
        <v>14</v>
      </c>
      <c r="H8" s="2" t="s">
        <v>15</v>
      </c>
      <c r="I8" s="2" t="s">
        <v>38</v>
      </c>
    </row>
    <row r="9" spans="1:9" x14ac:dyDescent="0.3">
      <c r="A9" s="2" t="s">
        <v>39</v>
      </c>
      <c r="B9" s="2" t="s">
        <v>40</v>
      </c>
      <c r="C9" s="2" t="s">
        <v>36</v>
      </c>
      <c r="D9" s="3">
        <v>55035</v>
      </c>
      <c r="E9" s="2" t="s">
        <v>12</v>
      </c>
      <c r="F9" s="2" t="s">
        <v>37</v>
      </c>
      <c r="G9" s="2" t="s">
        <v>14</v>
      </c>
      <c r="H9" s="2" t="s">
        <v>15</v>
      </c>
      <c r="I9" s="2" t="s">
        <v>41</v>
      </c>
    </row>
    <row r="10" spans="1:9" x14ac:dyDescent="0.3">
      <c r="A10" s="2" t="s">
        <v>42</v>
      </c>
      <c r="B10" s="2" t="s">
        <v>43</v>
      </c>
      <c r="C10" s="2" t="s">
        <v>36</v>
      </c>
      <c r="D10" s="3">
        <v>242418.56</v>
      </c>
      <c r="E10" s="2" t="s">
        <v>12</v>
      </c>
      <c r="F10" s="2" t="s">
        <v>37</v>
      </c>
      <c r="G10" s="2" t="s">
        <v>14</v>
      </c>
      <c r="H10" s="2" t="s">
        <v>15</v>
      </c>
      <c r="I10" s="2" t="s">
        <v>44</v>
      </c>
    </row>
    <row r="11" spans="1:9" x14ac:dyDescent="0.3">
      <c r="A11" s="2" t="s">
        <v>45</v>
      </c>
      <c r="B11" s="2" t="s">
        <v>46</v>
      </c>
      <c r="C11" s="2" t="s">
        <v>36</v>
      </c>
      <c r="D11" s="3">
        <v>5220</v>
      </c>
      <c r="E11" s="2" t="s">
        <v>12</v>
      </c>
      <c r="F11" s="2" t="s">
        <v>37</v>
      </c>
      <c r="G11" s="2" t="s">
        <v>14</v>
      </c>
      <c r="H11" s="2" t="s">
        <v>15</v>
      </c>
      <c r="I11" s="2" t="s">
        <v>47</v>
      </c>
    </row>
    <row r="12" spans="1:9" x14ac:dyDescent="0.3">
      <c r="A12" s="2" t="s">
        <v>48</v>
      </c>
      <c r="B12" s="2" t="s">
        <v>49</v>
      </c>
      <c r="C12" s="2" t="s">
        <v>36</v>
      </c>
      <c r="D12" s="3">
        <v>5220</v>
      </c>
      <c r="E12" s="2" t="s">
        <v>12</v>
      </c>
      <c r="F12" s="2" t="s">
        <v>37</v>
      </c>
      <c r="G12" s="2" t="s">
        <v>14</v>
      </c>
      <c r="H12" s="2" t="s">
        <v>15</v>
      </c>
      <c r="I12" s="2" t="s">
        <v>50</v>
      </c>
    </row>
    <row r="13" spans="1:9" x14ac:dyDescent="0.3">
      <c r="A13" s="2" t="s">
        <v>51</v>
      </c>
      <c r="B13" s="2" t="s">
        <v>52</v>
      </c>
      <c r="C13" s="2" t="s">
        <v>36</v>
      </c>
      <c r="D13" s="3">
        <v>4785</v>
      </c>
      <c r="E13" s="2" t="s">
        <v>12</v>
      </c>
      <c r="F13" s="2" t="s">
        <v>37</v>
      </c>
      <c r="G13" s="2" t="s">
        <v>14</v>
      </c>
      <c r="H13" s="2" t="s">
        <v>15</v>
      </c>
      <c r="I13" s="2" t="s">
        <v>53</v>
      </c>
    </row>
    <row r="14" spans="1:9" x14ac:dyDescent="0.3">
      <c r="A14" s="2" t="s">
        <v>54</v>
      </c>
      <c r="B14" s="2" t="s">
        <v>55</v>
      </c>
      <c r="C14" s="2" t="s">
        <v>36</v>
      </c>
      <c r="D14" s="3">
        <v>31989</v>
      </c>
      <c r="E14" s="2" t="s">
        <v>12</v>
      </c>
      <c r="F14" s="2" t="s">
        <v>37</v>
      </c>
      <c r="G14" s="2" t="s">
        <v>14</v>
      </c>
      <c r="H14" s="2" t="s">
        <v>15</v>
      </c>
      <c r="I14" s="2" t="s">
        <v>56</v>
      </c>
    </row>
    <row r="15" spans="1:9" x14ac:dyDescent="0.3">
      <c r="A15" s="2" t="s">
        <v>57</v>
      </c>
      <c r="B15" s="2" t="s">
        <v>58</v>
      </c>
      <c r="C15" s="2" t="s">
        <v>36</v>
      </c>
      <c r="D15" s="3">
        <v>198900</v>
      </c>
      <c r="E15" s="2" t="s">
        <v>12</v>
      </c>
      <c r="F15" s="2" t="s">
        <v>37</v>
      </c>
      <c r="G15" s="2" t="s">
        <v>14</v>
      </c>
      <c r="H15" s="2" t="s">
        <v>15</v>
      </c>
      <c r="I15" s="2" t="s">
        <v>59</v>
      </c>
    </row>
    <row r="16" spans="1:9" x14ac:dyDescent="0.3">
      <c r="A16" s="2" t="s">
        <v>60</v>
      </c>
      <c r="B16" s="2" t="s">
        <v>61</v>
      </c>
      <c r="C16" s="2" t="s">
        <v>25</v>
      </c>
      <c r="D16" s="3">
        <v>189732.76</v>
      </c>
      <c r="E16" s="2" t="s">
        <v>12</v>
      </c>
      <c r="F16" s="2" t="s">
        <v>26</v>
      </c>
      <c r="G16" s="2" t="s">
        <v>14</v>
      </c>
      <c r="H16" s="2" t="s">
        <v>15</v>
      </c>
      <c r="I16" s="2" t="s">
        <v>62</v>
      </c>
    </row>
    <row r="17" spans="1:9" x14ac:dyDescent="0.3">
      <c r="A17" s="2" t="s">
        <v>60</v>
      </c>
      <c r="B17" s="2" t="s">
        <v>63</v>
      </c>
      <c r="C17" s="2" t="s">
        <v>25</v>
      </c>
      <c r="D17" s="3">
        <v>1493088.67</v>
      </c>
      <c r="E17" s="2" t="s">
        <v>12</v>
      </c>
      <c r="F17" s="2" t="s">
        <v>26</v>
      </c>
      <c r="G17" s="2" t="s">
        <v>14</v>
      </c>
      <c r="H17" s="2" t="s">
        <v>15</v>
      </c>
      <c r="I17" s="2" t="s">
        <v>64</v>
      </c>
    </row>
    <row r="18" spans="1:9" x14ac:dyDescent="0.3">
      <c r="A18" s="2" t="s">
        <v>60</v>
      </c>
      <c r="B18" s="2" t="s">
        <v>65</v>
      </c>
      <c r="C18" s="2" t="s">
        <v>25</v>
      </c>
      <c r="D18" s="3">
        <v>916480.84</v>
      </c>
      <c r="E18" s="2" t="s">
        <v>12</v>
      </c>
      <c r="F18" s="2" t="s">
        <v>26</v>
      </c>
      <c r="G18" s="2" t="s">
        <v>14</v>
      </c>
      <c r="H18" s="2" t="s">
        <v>15</v>
      </c>
      <c r="I18" s="2" t="s">
        <v>66</v>
      </c>
    </row>
    <row r="19" spans="1:9" x14ac:dyDescent="0.3">
      <c r="A19" s="2" t="s">
        <v>60</v>
      </c>
      <c r="B19" s="2" t="s">
        <v>67</v>
      </c>
      <c r="C19" s="2" t="s">
        <v>25</v>
      </c>
      <c r="D19" s="3">
        <v>293643.82</v>
      </c>
      <c r="E19" s="2" t="s">
        <v>12</v>
      </c>
      <c r="F19" s="2" t="s">
        <v>26</v>
      </c>
      <c r="G19" s="2" t="s">
        <v>14</v>
      </c>
      <c r="H19" s="2" t="s">
        <v>15</v>
      </c>
      <c r="I19" s="2" t="s">
        <v>68</v>
      </c>
    </row>
    <row r="20" spans="1:9" x14ac:dyDescent="0.3">
      <c r="A20" s="2" t="s">
        <v>60</v>
      </c>
      <c r="B20" s="2" t="s">
        <v>69</v>
      </c>
      <c r="C20" s="2" t="s">
        <v>25</v>
      </c>
      <c r="D20" s="3">
        <v>1852335.28</v>
      </c>
      <c r="E20" s="2" t="s">
        <v>12</v>
      </c>
      <c r="F20" s="2" t="s">
        <v>26</v>
      </c>
      <c r="G20" s="2" t="s">
        <v>14</v>
      </c>
      <c r="H20" s="2" t="s">
        <v>15</v>
      </c>
      <c r="I20" s="2" t="s">
        <v>70</v>
      </c>
    </row>
    <row r="21" spans="1:9" x14ac:dyDescent="0.3">
      <c r="A21" s="2" t="s">
        <v>60</v>
      </c>
      <c r="B21" s="2" t="s">
        <v>71</v>
      </c>
      <c r="C21" s="2" t="s">
        <v>25</v>
      </c>
      <c r="D21" s="3">
        <v>551905.01</v>
      </c>
      <c r="E21" s="2" t="s">
        <v>12</v>
      </c>
      <c r="F21" s="2" t="s">
        <v>26</v>
      </c>
      <c r="G21" s="2" t="s">
        <v>14</v>
      </c>
      <c r="H21" s="2" t="s">
        <v>15</v>
      </c>
      <c r="I21" s="2" t="s">
        <v>72</v>
      </c>
    </row>
    <row r="22" spans="1:9" x14ac:dyDescent="0.3">
      <c r="A22" s="2" t="s">
        <v>60</v>
      </c>
      <c r="B22" s="2" t="s">
        <v>73</v>
      </c>
      <c r="C22" s="2" t="s">
        <v>25</v>
      </c>
      <c r="D22" s="3">
        <v>1396069.49</v>
      </c>
      <c r="E22" s="2" t="s">
        <v>12</v>
      </c>
      <c r="F22" s="2" t="s">
        <v>26</v>
      </c>
      <c r="G22" s="2" t="s">
        <v>14</v>
      </c>
      <c r="H22" s="2" t="s">
        <v>15</v>
      </c>
      <c r="I22" s="2" t="s">
        <v>74</v>
      </c>
    </row>
    <row r="23" spans="1:9" x14ac:dyDescent="0.3">
      <c r="A23" s="2" t="s">
        <v>60</v>
      </c>
      <c r="B23" s="2" t="s">
        <v>75</v>
      </c>
      <c r="C23" s="2" t="s">
        <v>25</v>
      </c>
      <c r="D23" s="3">
        <v>1427253.71</v>
      </c>
      <c r="E23" s="2" t="s">
        <v>12</v>
      </c>
      <c r="F23" s="2" t="s">
        <v>26</v>
      </c>
      <c r="G23" s="2" t="s">
        <v>14</v>
      </c>
      <c r="H23" s="2" t="s">
        <v>15</v>
      </c>
      <c r="I23" s="2" t="s">
        <v>76</v>
      </c>
    </row>
    <row r="24" spans="1:9" x14ac:dyDescent="0.3">
      <c r="A24" s="2" t="s">
        <v>60</v>
      </c>
      <c r="B24" s="2" t="s">
        <v>77</v>
      </c>
      <c r="C24" s="2" t="s">
        <v>25</v>
      </c>
      <c r="D24" s="3">
        <v>1432990.86</v>
      </c>
      <c r="E24" s="2" t="s">
        <v>12</v>
      </c>
      <c r="F24" s="2" t="s">
        <v>26</v>
      </c>
      <c r="G24" s="2" t="s">
        <v>14</v>
      </c>
      <c r="H24" s="2" t="s">
        <v>15</v>
      </c>
      <c r="I24" s="2" t="s">
        <v>78</v>
      </c>
    </row>
    <row r="25" spans="1:9" x14ac:dyDescent="0.3">
      <c r="A25" s="2" t="s">
        <v>79</v>
      </c>
      <c r="B25" s="2" t="s">
        <v>80</v>
      </c>
      <c r="C25" s="2" t="s">
        <v>25</v>
      </c>
      <c r="D25" s="3">
        <v>189299.33</v>
      </c>
      <c r="E25" s="2" t="s">
        <v>12</v>
      </c>
      <c r="F25" s="2" t="s">
        <v>26</v>
      </c>
      <c r="G25" s="2" t="s">
        <v>14</v>
      </c>
      <c r="H25" s="2" t="s">
        <v>15</v>
      </c>
      <c r="I25" s="2" t="s">
        <v>81</v>
      </c>
    </row>
    <row r="26" spans="1:9" x14ac:dyDescent="0.3">
      <c r="A26" s="2" t="s">
        <v>79</v>
      </c>
      <c r="B26" s="2" t="s">
        <v>82</v>
      </c>
      <c r="C26" s="2" t="s">
        <v>25</v>
      </c>
      <c r="D26" s="3">
        <v>1647758.93</v>
      </c>
      <c r="E26" s="2" t="s">
        <v>12</v>
      </c>
      <c r="F26" s="2" t="s">
        <v>26</v>
      </c>
      <c r="G26" s="2" t="s">
        <v>14</v>
      </c>
      <c r="H26" s="2" t="s">
        <v>15</v>
      </c>
      <c r="I26" s="2" t="s">
        <v>83</v>
      </c>
    </row>
    <row r="27" spans="1:9" x14ac:dyDescent="0.3">
      <c r="A27" s="2" t="s">
        <v>84</v>
      </c>
      <c r="B27" s="2" t="s">
        <v>85</v>
      </c>
      <c r="C27" s="2" t="s">
        <v>86</v>
      </c>
      <c r="D27" s="3">
        <v>106612.76</v>
      </c>
      <c r="E27" s="2" t="s">
        <v>12</v>
      </c>
      <c r="F27" s="2" t="s">
        <v>87</v>
      </c>
      <c r="G27" s="2" t="s">
        <v>14</v>
      </c>
      <c r="H27" s="2" t="s">
        <v>15</v>
      </c>
      <c r="I27" s="2" t="s">
        <v>88</v>
      </c>
    </row>
    <row r="28" spans="1:9" x14ac:dyDescent="0.3">
      <c r="A28" s="2" t="s">
        <v>89</v>
      </c>
      <c r="B28" s="2" t="s">
        <v>90</v>
      </c>
      <c r="C28" s="2" t="s">
        <v>86</v>
      </c>
      <c r="D28" s="3">
        <v>255358.87</v>
      </c>
      <c r="E28" s="2" t="s">
        <v>12</v>
      </c>
      <c r="F28" s="2" t="s">
        <v>87</v>
      </c>
      <c r="G28" s="2" t="s">
        <v>14</v>
      </c>
      <c r="H28" s="2" t="s">
        <v>15</v>
      </c>
      <c r="I28" s="2" t="s">
        <v>91</v>
      </c>
    </row>
    <row r="29" spans="1:9" x14ac:dyDescent="0.3">
      <c r="A29" s="2" t="s">
        <v>92</v>
      </c>
      <c r="B29" s="2" t="s">
        <v>93</v>
      </c>
      <c r="C29" s="2" t="s">
        <v>86</v>
      </c>
      <c r="D29" s="3">
        <v>444876.74</v>
      </c>
      <c r="E29" s="2" t="s">
        <v>12</v>
      </c>
      <c r="F29" s="2" t="s">
        <v>87</v>
      </c>
      <c r="G29" s="2" t="s">
        <v>14</v>
      </c>
      <c r="H29" s="2" t="s">
        <v>15</v>
      </c>
      <c r="I29" s="2" t="s">
        <v>94</v>
      </c>
    </row>
    <row r="30" spans="1:9" x14ac:dyDescent="0.3">
      <c r="A30" s="2" t="s">
        <v>95</v>
      </c>
      <c r="B30" s="2" t="s">
        <v>96</v>
      </c>
      <c r="C30" s="2" t="s">
        <v>86</v>
      </c>
      <c r="D30" s="3">
        <v>176356.6</v>
      </c>
      <c r="E30" s="2" t="s">
        <v>12</v>
      </c>
      <c r="F30" s="2" t="s">
        <v>87</v>
      </c>
      <c r="G30" s="2" t="s">
        <v>14</v>
      </c>
      <c r="H30" s="2" t="s">
        <v>15</v>
      </c>
      <c r="I30" s="2" t="s">
        <v>97</v>
      </c>
    </row>
    <row r="31" spans="1:9" x14ac:dyDescent="0.3">
      <c r="A31" s="2" t="s">
        <v>98</v>
      </c>
      <c r="B31" s="2" t="s">
        <v>99</v>
      </c>
      <c r="C31" s="2" t="s">
        <v>86</v>
      </c>
      <c r="D31" s="3">
        <v>137976.25</v>
      </c>
      <c r="E31" s="2" t="s">
        <v>12</v>
      </c>
      <c r="F31" s="2" t="s">
        <v>87</v>
      </c>
      <c r="G31" s="2" t="s">
        <v>14</v>
      </c>
      <c r="H31" s="2" t="s">
        <v>15</v>
      </c>
      <c r="I31" s="2" t="s">
        <v>100</v>
      </c>
    </row>
    <row r="32" spans="1:9" x14ac:dyDescent="0.3">
      <c r="A32" s="2" t="s">
        <v>101</v>
      </c>
      <c r="B32" s="2" t="s">
        <v>102</v>
      </c>
      <c r="C32" s="2" t="s">
        <v>86</v>
      </c>
      <c r="D32" s="3">
        <v>299680.96999999997</v>
      </c>
      <c r="E32" s="2" t="s">
        <v>12</v>
      </c>
      <c r="F32" s="2" t="s">
        <v>87</v>
      </c>
      <c r="G32" s="2" t="s">
        <v>14</v>
      </c>
      <c r="H32" s="2" t="s">
        <v>15</v>
      </c>
      <c r="I32" s="2" t="s">
        <v>103</v>
      </c>
    </row>
    <row r="33" spans="1:9" x14ac:dyDescent="0.3">
      <c r="A33" s="2" t="s">
        <v>104</v>
      </c>
      <c r="B33" s="2" t="s">
        <v>105</v>
      </c>
      <c r="C33" s="2" t="s">
        <v>86</v>
      </c>
      <c r="D33" s="3">
        <v>1383342.13</v>
      </c>
      <c r="E33" s="2" t="s">
        <v>12</v>
      </c>
      <c r="F33" s="2" t="s">
        <v>87</v>
      </c>
      <c r="G33" s="2" t="s">
        <v>14</v>
      </c>
      <c r="H33" s="2" t="s">
        <v>15</v>
      </c>
      <c r="I33" s="2" t="s">
        <v>106</v>
      </c>
    </row>
    <row r="34" spans="1:9" x14ac:dyDescent="0.3">
      <c r="A34" s="2" t="s">
        <v>107</v>
      </c>
      <c r="B34" s="2" t="s">
        <v>108</v>
      </c>
      <c r="C34" s="2" t="s">
        <v>86</v>
      </c>
      <c r="D34" s="3">
        <v>121976.3</v>
      </c>
      <c r="E34" s="2" t="s">
        <v>12</v>
      </c>
      <c r="F34" s="2" t="s">
        <v>87</v>
      </c>
      <c r="G34" s="2" t="s">
        <v>14</v>
      </c>
      <c r="H34" s="2" t="s">
        <v>15</v>
      </c>
      <c r="I34" s="2" t="s">
        <v>109</v>
      </c>
    </row>
    <row r="35" spans="1:9" x14ac:dyDescent="0.3">
      <c r="A35" s="2" t="s">
        <v>110</v>
      </c>
      <c r="B35" s="2" t="s">
        <v>111</v>
      </c>
      <c r="C35" s="2" t="s">
        <v>86</v>
      </c>
      <c r="D35" s="3">
        <v>517999.96</v>
      </c>
      <c r="E35" s="2" t="s">
        <v>12</v>
      </c>
      <c r="F35" s="2" t="s">
        <v>87</v>
      </c>
      <c r="G35" s="2" t="s">
        <v>14</v>
      </c>
      <c r="H35" s="2" t="s">
        <v>15</v>
      </c>
      <c r="I35" s="2" t="s">
        <v>112</v>
      </c>
    </row>
    <row r="36" spans="1:9" x14ac:dyDescent="0.3">
      <c r="A36" s="2" t="s">
        <v>113</v>
      </c>
      <c r="B36" s="2" t="s">
        <v>114</v>
      </c>
      <c r="C36" s="2" t="s">
        <v>11</v>
      </c>
      <c r="D36" s="3">
        <v>1811664.55</v>
      </c>
      <c r="E36" s="2" t="s">
        <v>12</v>
      </c>
      <c r="F36" s="2" t="s">
        <v>13</v>
      </c>
      <c r="G36" s="2" t="s">
        <v>14</v>
      </c>
      <c r="H36" s="2" t="s">
        <v>15</v>
      </c>
      <c r="I36" s="2" t="s">
        <v>115</v>
      </c>
    </row>
    <row r="37" spans="1:9" x14ac:dyDescent="0.3">
      <c r="A37" s="2" t="s">
        <v>116</v>
      </c>
      <c r="B37" s="2" t="s">
        <v>117</v>
      </c>
      <c r="C37" s="2" t="s">
        <v>25</v>
      </c>
      <c r="D37" s="3">
        <v>553342.96</v>
      </c>
      <c r="E37" s="2" t="s">
        <v>12</v>
      </c>
      <c r="F37" s="2" t="s">
        <v>26</v>
      </c>
      <c r="G37" s="2" t="s">
        <v>14</v>
      </c>
      <c r="H37" s="2" t="s">
        <v>15</v>
      </c>
      <c r="I37" s="2" t="s">
        <v>118</v>
      </c>
    </row>
    <row r="38" spans="1:9" x14ac:dyDescent="0.3">
      <c r="A38" s="2" t="s">
        <v>119</v>
      </c>
      <c r="B38" s="2" t="s">
        <v>120</v>
      </c>
      <c r="C38" s="2" t="s">
        <v>25</v>
      </c>
      <c r="D38" s="3">
        <v>573416.30000000005</v>
      </c>
      <c r="E38" s="2" t="s">
        <v>12</v>
      </c>
      <c r="F38" s="2" t="s">
        <v>26</v>
      </c>
      <c r="G38" s="2" t="s">
        <v>14</v>
      </c>
      <c r="H38" s="2" t="s">
        <v>15</v>
      </c>
      <c r="I38" s="2" t="s">
        <v>121</v>
      </c>
    </row>
    <row r="39" spans="1:9" x14ac:dyDescent="0.3">
      <c r="A39" s="2" t="s">
        <v>122</v>
      </c>
      <c r="B39" s="2" t="s">
        <v>123</v>
      </c>
      <c r="C39" s="2" t="s">
        <v>25</v>
      </c>
      <c r="D39" s="3">
        <v>149214.10999999999</v>
      </c>
      <c r="E39" s="2" t="s">
        <v>12</v>
      </c>
      <c r="F39" s="2" t="s">
        <v>26</v>
      </c>
      <c r="G39" s="2" t="s">
        <v>14</v>
      </c>
      <c r="H39" s="2" t="s">
        <v>15</v>
      </c>
      <c r="I39" s="2" t="s">
        <v>124</v>
      </c>
    </row>
    <row r="40" spans="1:9" x14ac:dyDescent="0.3">
      <c r="A40" s="2" t="s">
        <v>125</v>
      </c>
      <c r="B40" s="2" t="s">
        <v>126</v>
      </c>
      <c r="C40" s="2" t="s">
        <v>25</v>
      </c>
      <c r="D40" s="3">
        <v>1581832.13</v>
      </c>
      <c r="E40" s="2" t="s">
        <v>12</v>
      </c>
      <c r="F40" s="2" t="s">
        <v>26</v>
      </c>
      <c r="G40" s="2" t="s">
        <v>14</v>
      </c>
      <c r="H40" s="2" t="s">
        <v>15</v>
      </c>
      <c r="I40" s="2" t="s">
        <v>127</v>
      </c>
    </row>
    <row r="41" spans="1:9" x14ac:dyDescent="0.3">
      <c r="A41" s="2" t="s">
        <v>128</v>
      </c>
      <c r="B41" s="2" t="s">
        <v>129</v>
      </c>
      <c r="C41" s="2" t="s">
        <v>25</v>
      </c>
      <c r="D41" s="3">
        <v>1538203.55</v>
      </c>
      <c r="E41" s="2" t="s">
        <v>12</v>
      </c>
      <c r="F41" s="2" t="s">
        <v>26</v>
      </c>
      <c r="G41" s="2" t="s">
        <v>14</v>
      </c>
      <c r="H41" s="2" t="s">
        <v>15</v>
      </c>
      <c r="I41" s="2" t="s">
        <v>130</v>
      </c>
    </row>
    <row r="42" spans="1:9" x14ac:dyDescent="0.3">
      <c r="A42" s="2" t="s">
        <v>131</v>
      </c>
      <c r="B42" s="2" t="s">
        <v>132</v>
      </c>
      <c r="C42" s="2" t="s">
        <v>25</v>
      </c>
      <c r="D42" s="3">
        <v>1919957.71</v>
      </c>
      <c r="E42" s="2" t="s">
        <v>12</v>
      </c>
      <c r="F42" s="2" t="s">
        <v>26</v>
      </c>
      <c r="G42" s="2" t="s">
        <v>14</v>
      </c>
      <c r="H42" s="2" t="s">
        <v>15</v>
      </c>
      <c r="I42" s="2" t="s">
        <v>133</v>
      </c>
    </row>
    <row r="43" spans="1:9" x14ac:dyDescent="0.3">
      <c r="A43" s="2" t="s">
        <v>134</v>
      </c>
      <c r="B43" s="2" t="s">
        <v>135</v>
      </c>
      <c r="C43" s="2" t="s">
        <v>25</v>
      </c>
      <c r="D43" s="3">
        <v>1155962.82</v>
      </c>
      <c r="E43" s="2" t="s">
        <v>12</v>
      </c>
      <c r="F43" s="2" t="s">
        <v>26</v>
      </c>
      <c r="G43" s="2" t="s">
        <v>14</v>
      </c>
      <c r="H43" s="2" t="s">
        <v>15</v>
      </c>
      <c r="I43" s="2" t="s">
        <v>136</v>
      </c>
    </row>
    <row r="44" spans="1:9" x14ac:dyDescent="0.3">
      <c r="A44" s="2" t="s">
        <v>137</v>
      </c>
      <c r="B44" s="2" t="s">
        <v>138</v>
      </c>
      <c r="C44" s="2" t="s">
        <v>25</v>
      </c>
      <c r="D44" s="3">
        <v>1394721.36</v>
      </c>
      <c r="E44" s="2" t="s">
        <v>12</v>
      </c>
      <c r="F44" s="2" t="s">
        <v>26</v>
      </c>
      <c r="G44" s="2" t="s">
        <v>14</v>
      </c>
      <c r="H44" s="2" t="s">
        <v>15</v>
      </c>
      <c r="I44" s="2" t="s">
        <v>139</v>
      </c>
    </row>
    <row r="45" spans="1:9" x14ac:dyDescent="0.3">
      <c r="A45" s="2" t="s">
        <v>140</v>
      </c>
      <c r="B45" s="2" t="s">
        <v>141</v>
      </c>
      <c r="C45" s="2" t="s">
        <v>25</v>
      </c>
      <c r="D45" s="3">
        <v>1439689.54</v>
      </c>
      <c r="E45" s="2" t="s">
        <v>12</v>
      </c>
      <c r="F45" s="2" t="s">
        <v>26</v>
      </c>
      <c r="G45" s="2" t="s">
        <v>14</v>
      </c>
      <c r="H45" s="2" t="s">
        <v>15</v>
      </c>
      <c r="I45" s="2" t="s">
        <v>142</v>
      </c>
    </row>
    <row r="46" spans="1:9" x14ac:dyDescent="0.3">
      <c r="A46" s="2" t="s">
        <v>143</v>
      </c>
      <c r="B46" s="2" t="s">
        <v>144</v>
      </c>
      <c r="C46" s="2" t="s">
        <v>25</v>
      </c>
      <c r="D46" s="3">
        <v>1223132.93</v>
      </c>
      <c r="E46" s="2" t="s">
        <v>12</v>
      </c>
      <c r="F46" s="2" t="s">
        <v>26</v>
      </c>
      <c r="G46" s="2" t="s">
        <v>14</v>
      </c>
      <c r="H46" s="2" t="s">
        <v>15</v>
      </c>
      <c r="I46" s="2" t="s">
        <v>145</v>
      </c>
    </row>
    <row r="47" spans="1:9" x14ac:dyDescent="0.3">
      <c r="A47" s="2" t="s">
        <v>146</v>
      </c>
      <c r="B47" s="2" t="s">
        <v>147</v>
      </c>
      <c r="C47" s="2" t="s">
        <v>25</v>
      </c>
      <c r="D47" s="3">
        <v>385695.8</v>
      </c>
      <c r="E47" s="2" t="s">
        <v>12</v>
      </c>
      <c r="F47" s="2" t="s">
        <v>26</v>
      </c>
      <c r="G47" s="2" t="s">
        <v>14</v>
      </c>
      <c r="H47" s="2" t="s">
        <v>15</v>
      </c>
      <c r="I47" s="2" t="s">
        <v>148</v>
      </c>
    </row>
    <row r="48" spans="1:9" x14ac:dyDescent="0.3">
      <c r="A48" s="2" t="s">
        <v>149</v>
      </c>
      <c r="B48" s="2" t="s">
        <v>150</v>
      </c>
      <c r="C48" s="2" t="s">
        <v>25</v>
      </c>
      <c r="D48" s="3">
        <v>912212.21</v>
      </c>
      <c r="E48" s="2" t="s">
        <v>12</v>
      </c>
      <c r="F48" s="2" t="s">
        <v>26</v>
      </c>
      <c r="G48" s="2" t="s">
        <v>14</v>
      </c>
      <c r="H48" s="2" t="s">
        <v>15</v>
      </c>
      <c r="I48" s="2" t="s">
        <v>151</v>
      </c>
    </row>
    <row r="49" spans="1:9" x14ac:dyDescent="0.3">
      <c r="A49" s="2" t="s">
        <v>152</v>
      </c>
      <c r="B49" s="2" t="s">
        <v>153</v>
      </c>
      <c r="C49" s="2" t="s">
        <v>25</v>
      </c>
      <c r="D49" s="3">
        <v>1353790.73</v>
      </c>
      <c r="E49" s="2" t="s">
        <v>12</v>
      </c>
      <c r="F49" s="2" t="s">
        <v>26</v>
      </c>
      <c r="G49" s="2" t="s">
        <v>14</v>
      </c>
      <c r="H49" s="2" t="s">
        <v>15</v>
      </c>
      <c r="I49" s="2" t="s">
        <v>154</v>
      </c>
    </row>
    <row r="50" spans="1:9" x14ac:dyDescent="0.3">
      <c r="A50" s="2" t="s">
        <v>155</v>
      </c>
      <c r="B50" s="2" t="s">
        <v>156</v>
      </c>
      <c r="C50" s="2" t="s">
        <v>25</v>
      </c>
      <c r="D50" s="3">
        <v>1594901.54</v>
      </c>
      <c r="E50" s="2" t="s">
        <v>12</v>
      </c>
      <c r="F50" s="2" t="s">
        <v>26</v>
      </c>
      <c r="G50" s="2" t="s">
        <v>14</v>
      </c>
      <c r="H50" s="2" t="s">
        <v>15</v>
      </c>
      <c r="I50" s="2" t="s">
        <v>157</v>
      </c>
    </row>
    <row r="51" spans="1:9" x14ac:dyDescent="0.3">
      <c r="A51" s="2" t="s">
        <v>158</v>
      </c>
      <c r="B51" s="2" t="s">
        <v>159</v>
      </c>
      <c r="C51" s="2" t="s">
        <v>25</v>
      </c>
      <c r="D51" s="3">
        <v>3319852.72</v>
      </c>
      <c r="E51" s="2" t="s">
        <v>12</v>
      </c>
      <c r="F51" s="2" t="s">
        <v>26</v>
      </c>
      <c r="G51" s="2" t="s">
        <v>14</v>
      </c>
      <c r="H51" s="2" t="s">
        <v>15</v>
      </c>
      <c r="I51" s="2" t="s">
        <v>160</v>
      </c>
    </row>
    <row r="52" spans="1:9" x14ac:dyDescent="0.3">
      <c r="A52" s="2" t="s">
        <v>161</v>
      </c>
      <c r="B52" s="2" t="s">
        <v>162</v>
      </c>
      <c r="C52" s="2" t="s">
        <v>25</v>
      </c>
      <c r="D52" s="3">
        <v>200560.63</v>
      </c>
      <c r="E52" s="2" t="s">
        <v>12</v>
      </c>
      <c r="F52" s="2" t="s">
        <v>26</v>
      </c>
      <c r="G52" s="2" t="s">
        <v>14</v>
      </c>
      <c r="H52" s="2" t="s">
        <v>15</v>
      </c>
      <c r="I52" s="2" t="s">
        <v>163</v>
      </c>
    </row>
    <row r="53" spans="1:9" x14ac:dyDescent="0.3">
      <c r="A53" s="2" t="s">
        <v>164</v>
      </c>
      <c r="B53" s="2" t="s">
        <v>165</v>
      </c>
      <c r="C53" s="2" t="s">
        <v>25</v>
      </c>
      <c r="D53" s="3">
        <v>166627.20000000001</v>
      </c>
      <c r="E53" s="2" t="s">
        <v>12</v>
      </c>
      <c r="F53" s="2" t="s">
        <v>26</v>
      </c>
      <c r="G53" s="2" t="s">
        <v>14</v>
      </c>
      <c r="H53" s="2" t="s">
        <v>15</v>
      </c>
      <c r="I53" s="2" t="s">
        <v>166</v>
      </c>
    </row>
    <row r="54" spans="1:9" x14ac:dyDescent="0.3">
      <c r="A54" s="2" t="s">
        <v>167</v>
      </c>
      <c r="B54" s="2" t="s">
        <v>168</v>
      </c>
      <c r="C54" s="2" t="s">
        <v>25</v>
      </c>
      <c r="D54" s="3">
        <v>643318.31999999995</v>
      </c>
      <c r="E54" s="2" t="s">
        <v>12</v>
      </c>
      <c r="F54" s="2" t="s">
        <v>26</v>
      </c>
      <c r="G54" s="2" t="s">
        <v>14</v>
      </c>
      <c r="H54" s="2" t="s">
        <v>15</v>
      </c>
      <c r="I54" s="2" t="s">
        <v>169</v>
      </c>
    </row>
    <row r="55" spans="1:9" x14ac:dyDescent="0.3">
      <c r="A55" s="2" t="s">
        <v>170</v>
      </c>
      <c r="B55" s="2" t="s">
        <v>171</v>
      </c>
      <c r="C55" s="2" t="s">
        <v>25</v>
      </c>
      <c r="D55" s="3">
        <v>127818.11</v>
      </c>
      <c r="E55" s="2" t="s">
        <v>12</v>
      </c>
      <c r="F55" s="2" t="s">
        <v>26</v>
      </c>
      <c r="G55" s="2" t="s">
        <v>14</v>
      </c>
      <c r="H55" s="2" t="s">
        <v>15</v>
      </c>
      <c r="I55" s="2" t="s">
        <v>172</v>
      </c>
    </row>
    <row r="56" spans="1:9" x14ac:dyDescent="0.3">
      <c r="A56" s="2" t="s">
        <v>173</v>
      </c>
      <c r="B56" s="2" t="s">
        <v>174</v>
      </c>
      <c r="C56" s="2" t="s">
        <v>25</v>
      </c>
      <c r="D56" s="3">
        <v>716695.44</v>
      </c>
      <c r="E56" s="2" t="s">
        <v>12</v>
      </c>
      <c r="F56" s="2" t="s">
        <v>26</v>
      </c>
      <c r="G56" s="2" t="s">
        <v>14</v>
      </c>
      <c r="H56" s="2" t="s">
        <v>15</v>
      </c>
      <c r="I56" s="2" t="s">
        <v>175</v>
      </c>
    </row>
    <row r="57" spans="1:9" x14ac:dyDescent="0.3">
      <c r="A57" s="2" t="s">
        <v>176</v>
      </c>
      <c r="B57" s="2" t="s">
        <v>177</v>
      </c>
      <c r="C57" s="2" t="s">
        <v>25</v>
      </c>
      <c r="D57" s="3">
        <v>2362222.88</v>
      </c>
      <c r="E57" s="2" t="s">
        <v>12</v>
      </c>
      <c r="F57" s="2" t="s">
        <v>26</v>
      </c>
      <c r="G57" s="2" t="s">
        <v>14</v>
      </c>
      <c r="H57" s="2" t="s">
        <v>15</v>
      </c>
      <c r="I57" s="2" t="s">
        <v>178</v>
      </c>
    </row>
    <row r="58" spans="1:9" x14ac:dyDescent="0.3">
      <c r="A58" s="2" t="s">
        <v>179</v>
      </c>
      <c r="B58" s="2" t="s">
        <v>180</v>
      </c>
      <c r="C58" s="2" t="s">
        <v>25</v>
      </c>
      <c r="D58" s="3">
        <v>347659.13</v>
      </c>
      <c r="E58" s="2" t="s">
        <v>12</v>
      </c>
      <c r="F58" s="2" t="s">
        <v>26</v>
      </c>
      <c r="G58" s="2" t="s">
        <v>14</v>
      </c>
      <c r="H58" s="2" t="s">
        <v>15</v>
      </c>
      <c r="I58" s="2" t="s">
        <v>181</v>
      </c>
    </row>
    <row r="59" spans="1:9" x14ac:dyDescent="0.3">
      <c r="A59" s="2" t="s">
        <v>182</v>
      </c>
      <c r="B59" s="2" t="s">
        <v>183</v>
      </c>
      <c r="C59" s="2" t="s">
        <v>25</v>
      </c>
      <c r="D59" s="3">
        <v>402909.6</v>
      </c>
      <c r="E59" s="2" t="s">
        <v>12</v>
      </c>
      <c r="F59" s="2" t="s">
        <v>26</v>
      </c>
      <c r="G59" s="2" t="s">
        <v>14</v>
      </c>
      <c r="H59" s="2" t="s">
        <v>15</v>
      </c>
      <c r="I59" s="2" t="s">
        <v>184</v>
      </c>
    </row>
    <row r="60" spans="1:9" x14ac:dyDescent="0.3">
      <c r="A60" s="2" t="s">
        <v>185</v>
      </c>
      <c r="B60" s="2" t="s">
        <v>186</v>
      </c>
      <c r="C60" s="2" t="s">
        <v>25</v>
      </c>
      <c r="D60" s="3">
        <v>442334.76</v>
      </c>
      <c r="E60" s="2" t="s">
        <v>12</v>
      </c>
      <c r="F60" s="2" t="s">
        <v>26</v>
      </c>
      <c r="G60" s="2" t="s">
        <v>14</v>
      </c>
      <c r="H60" s="2" t="s">
        <v>15</v>
      </c>
      <c r="I60" s="2" t="s">
        <v>187</v>
      </c>
    </row>
    <row r="61" spans="1:9" x14ac:dyDescent="0.3">
      <c r="A61" s="2" t="s">
        <v>188</v>
      </c>
      <c r="B61" s="2" t="s">
        <v>189</v>
      </c>
      <c r="C61" s="2" t="s">
        <v>25</v>
      </c>
      <c r="D61" s="3">
        <v>402888</v>
      </c>
      <c r="E61" s="2" t="s">
        <v>12</v>
      </c>
      <c r="F61" s="2" t="s">
        <v>26</v>
      </c>
      <c r="G61" s="2" t="s">
        <v>14</v>
      </c>
      <c r="H61" s="2" t="s">
        <v>15</v>
      </c>
      <c r="I61" s="2" t="s">
        <v>190</v>
      </c>
    </row>
    <row r="62" spans="1:9" x14ac:dyDescent="0.3">
      <c r="A62" s="5" t="s">
        <v>191</v>
      </c>
      <c r="B62" s="5" t="s">
        <v>192</v>
      </c>
      <c r="C62" s="5" t="s">
        <v>25</v>
      </c>
      <c r="D62" s="4">
        <v>253226.72</v>
      </c>
      <c r="E62" s="5" t="s">
        <v>12</v>
      </c>
      <c r="F62" s="5" t="s">
        <v>26</v>
      </c>
      <c r="G62" s="5" t="s">
        <v>14</v>
      </c>
      <c r="H62" s="5" t="s">
        <v>15</v>
      </c>
      <c r="I62" s="5" t="s">
        <v>193</v>
      </c>
    </row>
    <row r="63" spans="1:9" x14ac:dyDescent="0.3">
      <c r="A63" s="2" t="s">
        <v>194</v>
      </c>
      <c r="B63" s="2" t="s">
        <v>195</v>
      </c>
      <c r="C63" s="2" t="s">
        <v>25</v>
      </c>
      <c r="D63" s="3">
        <v>447154.3</v>
      </c>
      <c r="E63" s="2" t="s">
        <v>12</v>
      </c>
      <c r="F63" s="2" t="s">
        <v>196</v>
      </c>
      <c r="G63" s="2" t="s">
        <v>14</v>
      </c>
      <c r="H63" s="2" t="s">
        <v>15</v>
      </c>
      <c r="I63" s="2" t="s">
        <v>197</v>
      </c>
    </row>
    <row r="64" spans="1:9" x14ac:dyDescent="0.3">
      <c r="A64" s="2" t="s">
        <v>198</v>
      </c>
      <c r="B64" s="2" t="s">
        <v>199</v>
      </c>
      <c r="C64" s="2" t="s">
        <v>36</v>
      </c>
      <c r="D64" s="3">
        <v>174232.5</v>
      </c>
      <c r="E64" s="2" t="s">
        <v>12</v>
      </c>
      <c r="F64" s="2" t="s">
        <v>37</v>
      </c>
      <c r="G64" s="2" t="s">
        <v>14</v>
      </c>
      <c r="H64" s="2" t="s">
        <v>15</v>
      </c>
      <c r="I64" s="2" t="s">
        <v>200</v>
      </c>
    </row>
    <row r="65" spans="1:9" x14ac:dyDescent="0.3">
      <c r="A65" s="2" t="s">
        <v>201</v>
      </c>
      <c r="B65" s="2" t="s">
        <v>202</v>
      </c>
      <c r="C65" s="2" t="s">
        <v>36</v>
      </c>
      <c r="D65" s="3">
        <v>212171.08</v>
      </c>
      <c r="E65" s="2" t="s">
        <v>12</v>
      </c>
      <c r="F65" s="2" t="s">
        <v>37</v>
      </c>
      <c r="G65" s="2" t="s">
        <v>14</v>
      </c>
      <c r="H65" s="2" t="s">
        <v>15</v>
      </c>
      <c r="I65" s="2" t="s">
        <v>203</v>
      </c>
    </row>
    <row r="66" spans="1:9" x14ac:dyDescent="0.3">
      <c r="A66" s="2" t="s">
        <v>204</v>
      </c>
      <c r="B66" s="2" t="s">
        <v>205</v>
      </c>
      <c r="C66" s="2" t="s">
        <v>36</v>
      </c>
      <c r="D66" s="3">
        <v>81049.08</v>
      </c>
      <c r="E66" s="2" t="s">
        <v>12</v>
      </c>
      <c r="F66" s="2" t="s">
        <v>37</v>
      </c>
      <c r="G66" s="2" t="s">
        <v>14</v>
      </c>
      <c r="H66" s="2" t="s">
        <v>15</v>
      </c>
      <c r="I66" s="2" t="s">
        <v>206</v>
      </c>
    </row>
    <row r="67" spans="1:9" x14ac:dyDescent="0.3">
      <c r="A67" s="2" t="s">
        <v>207</v>
      </c>
      <c r="B67" s="2" t="s">
        <v>208</v>
      </c>
      <c r="C67" s="2" t="s">
        <v>36</v>
      </c>
      <c r="D67" s="3">
        <v>138516</v>
      </c>
      <c r="E67" s="2" t="s">
        <v>12</v>
      </c>
      <c r="F67" s="2" t="s">
        <v>37</v>
      </c>
      <c r="G67" s="2" t="s">
        <v>14</v>
      </c>
      <c r="H67" s="2" t="s">
        <v>15</v>
      </c>
      <c r="I67" s="2" t="s">
        <v>209</v>
      </c>
    </row>
    <row r="68" spans="1:9" x14ac:dyDescent="0.3">
      <c r="A68" s="2" t="s">
        <v>210</v>
      </c>
      <c r="B68" s="2" t="s">
        <v>211</v>
      </c>
      <c r="C68" s="2" t="s">
        <v>36</v>
      </c>
      <c r="D68" s="3">
        <v>13926</v>
      </c>
      <c r="E68" s="2" t="s">
        <v>12</v>
      </c>
      <c r="F68" s="2" t="s">
        <v>37</v>
      </c>
      <c r="G68" s="2" t="s">
        <v>14</v>
      </c>
      <c r="H68" s="2" t="s">
        <v>15</v>
      </c>
      <c r="I68" s="2" t="s">
        <v>212</v>
      </c>
    </row>
    <row r="69" spans="1:9" x14ac:dyDescent="0.3">
      <c r="A69" s="2" t="s">
        <v>213</v>
      </c>
      <c r="B69" s="2" t="s">
        <v>214</v>
      </c>
      <c r="C69" s="2" t="s">
        <v>36</v>
      </c>
      <c r="D69" s="3">
        <v>150507.42000000001</v>
      </c>
      <c r="E69" s="2" t="s">
        <v>12</v>
      </c>
      <c r="F69" s="2" t="s">
        <v>37</v>
      </c>
      <c r="G69" s="2" t="s">
        <v>14</v>
      </c>
      <c r="H69" s="2" t="s">
        <v>15</v>
      </c>
      <c r="I69" s="2" t="s">
        <v>215</v>
      </c>
    </row>
    <row r="70" spans="1:9" x14ac:dyDescent="0.3">
      <c r="A70" s="2" t="s">
        <v>216</v>
      </c>
      <c r="B70" s="2" t="s">
        <v>217</v>
      </c>
      <c r="C70" s="2" t="s">
        <v>36</v>
      </c>
      <c r="D70" s="3">
        <v>7253.28</v>
      </c>
      <c r="E70" s="2" t="s">
        <v>12</v>
      </c>
      <c r="F70" s="2" t="s">
        <v>37</v>
      </c>
      <c r="G70" s="2" t="s">
        <v>14</v>
      </c>
      <c r="H70" s="2" t="s">
        <v>15</v>
      </c>
      <c r="I70" s="2" t="s">
        <v>218</v>
      </c>
    </row>
    <row r="71" spans="1:9" x14ac:dyDescent="0.3">
      <c r="A71" s="2" t="s">
        <v>219</v>
      </c>
      <c r="B71" s="2" t="s">
        <v>220</v>
      </c>
      <c r="C71" s="2" t="s">
        <v>36</v>
      </c>
      <c r="D71" s="3">
        <v>14506.56</v>
      </c>
      <c r="E71" s="2" t="s">
        <v>12</v>
      </c>
      <c r="F71" s="2" t="s">
        <v>37</v>
      </c>
      <c r="G71" s="2" t="s">
        <v>14</v>
      </c>
      <c r="H71" s="2" t="s">
        <v>15</v>
      </c>
      <c r="I71" s="2" t="s">
        <v>221</v>
      </c>
    </row>
    <row r="72" spans="1:9" x14ac:dyDescent="0.3">
      <c r="A72" s="2" t="s">
        <v>222</v>
      </c>
      <c r="B72" s="2" t="s">
        <v>223</v>
      </c>
      <c r="C72" s="2" t="s">
        <v>36</v>
      </c>
      <c r="D72" s="3">
        <v>59259.83</v>
      </c>
      <c r="E72" s="2" t="s">
        <v>12</v>
      </c>
      <c r="F72" s="2" t="s">
        <v>37</v>
      </c>
      <c r="G72" s="2" t="s">
        <v>14</v>
      </c>
      <c r="H72" s="2" t="s">
        <v>15</v>
      </c>
      <c r="I72" s="2" t="s">
        <v>224</v>
      </c>
    </row>
    <row r="73" spans="1:9" x14ac:dyDescent="0.3">
      <c r="A73" s="2" t="s">
        <v>225</v>
      </c>
      <c r="B73" s="2" t="s">
        <v>226</v>
      </c>
      <c r="C73" s="2" t="s">
        <v>11</v>
      </c>
      <c r="D73" s="3">
        <v>606831.87</v>
      </c>
      <c r="E73" s="2" t="s">
        <v>12</v>
      </c>
      <c r="F73" s="2" t="s">
        <v>13</v>
      </c>
      <c r="G73" s="2" t="s">
        <v>14</v>
      </c>
      <c r="H73" s="2" t="s">
        <v>15</v>
      </c>
      <c r="I73" s="2" t="s">
        <v>227</v>
      </c>
    </row>
    <row r="74" spans="1:9" x14ac:dyDescent="0.3">
      <c r="A74" s="2" t="s">
        <v>228</v>
      </c>
      <c r="B74" s="2" t="s">
        <v>229</v>
      </c>
      <c r="C74" s="2" t="s">
        <v>86</v>
      </c>
      <c r="D74" s="3">
        <v>451253.94</v>
      </c>
      <c r="E74" s="2" t="s">
        <v>12</v>
      </c>
      <c r="F74" s="2" t="s">
        <v>87</v>
      </c>
      <c r="G74" s="2" t="s">
        <v>14</v>
      </c>
      <c r="H74" s="2" t="s">
        <v>15</v>
      </c>
      <c r="I74" s="2" t="s">
        <v>230</v>
      </c>
    </row>
    <row r="75" spans="1:9" x14ac:dyDescent="0.3">
      <c r="A75" s="2" t="s">
        <v>231</v>
      </c>
      <c r="B75" s="2" t="s">
        <v>232</v>
      </c>
      <c r="C75" s="2" t="s">
        <v>86</v>
      </c>
      <c r="D75" s="3">
        <v>303289.33</v>
      </c>
      <c r="E75" s="2" t="s">
        <v>12</v>
      </c>
      <c r="F75" s="2" t="s">
        <v>87</v>
      </c>
      <c r="G75" s="2" t="s">
        <v>14</v>
      </c>
      <c r="H75" s="2" t="s">
        <v>15</v>
      </c>
      <c r="I75" s="2" t="s">
        <v>233</v>
      </c>
    </row>
    <row r="76" spans="1:9" x14ac:dyDescent="0.3">
      <c r="A76" s="2" t="s">
        <v>234</v>
      </c>
      <c r="B76" s="2" t="s">
        <v>235</v>
      </c>
      <c r="C76" s="2" t="s">
        <v>86</v>
      </c>
      <c r="D76" s="3">
        <v>4845.04</v>
      </c>
      <c r="E76" s="2" t="s">
        <v>12</v>
      </c>
      <c r="F76" s="2" t="s">
        <v>87</v>
      </c>
      <c r="G76" s="2" t="s">
        <v>14</v>
      </c>
      <c r="H76" s="2" t="s">
        <v>15</v>
      </c>
      <c r="I76" s="2" t="s">
        <v>236</v>
      </c>
    </row>
    <row r="77" spans="1:9" x14ac:dyDescent="0.3">
      <c r="A77" s="2" t="s">
        <v>237</v>
      </c>
      <c r="B77" s="2" t="s">
        <v>238</v>
      </c>
      <c r="C77" s="2" t="s">
        <v>86</v>
      </c>
      <c r="D77" s="3">
        <v>231879.02</v>
      </c>
      <c r="E77" s="2" t="s">
        <v>12</v>
      </c>
      <c r="F77" s="2" t="s">
        <v>87</v>
      </c>
      <c r="G77" s="2" t="s">
        <v>14</v>
      </c>
      <c r="H77" s="2" t="s">
        <v>15</v>
      </c>
      <c r="I77" s="2" t="s">
        <v>239</v>
      </c>
    </row>
    <row r="78" spans="1:9" x14ac:dyDescent="0.3">
      <c r="A78" s="2" t="s">
        <v>240</v>
      </c>
      <c r="B78" s="2" t="s">
        <v>241</v>
      </c>
      <c r="C78" s="2" t="s">
        <v>86</v>
      </c>
      <c r="D78" s="3">
        <v>39330.730000000003</v>
      </c>
      <c r="E78" s="2" t="s">
        <v>12</v>
      </c>
      <c r="F78" s="2" t="s">
        <v>87</v>
      </c>
      <c r="G78" s="2" t="s">
        <v>14</v>
      </c>
      <c r="H78" s="2" t="s">
        <v>15</v>
      </c>
      <c r="I78" s="2" t="s">
        <v>242</v>
      </c>
    </row>
    <row r="79" spans="1:9" x14ac:dyDescent="0.3">
      <c r="A79" s="2" t="s">
        <v>243</v>
      </c>
      <c r="B79" s="2" t="s">
        <v>244</v>
      </c>
      <c r="C79" s="2" t="s">
        <v>86</v>
      </c>
      <c r="D79" s="3">
        <v>164805.24</v>
      </c>
      <c r="E79" s="2" t="s">
        <v>12</v>
      </c>
      <c r="F79" s="2" t="s">
        <v>87</v>
      </c>
      <c r="G79" s="2" t="s">
        <v>14</v>
      </c>
      <c r="H79" s="2" t="s">
        <v>15</v>
      </c>
      <c r="I79" s="2" t="s">
        <v>245</v>
      </c>
    </row>
    <row r="80" spans="1:9" x14ac:dyDescent="0.3">
      <c r="D80" s="6">
        <f>SUM(D2:D79)</f>
        <v>48694109.869999997</v>
      </c>
    </row>
    <row r="81" spans="3:4" x14ac:dyDescent="0.3">
      <c r="D81" s="10">
        <f>D80-D88</f>
        <v>0</v>
      </c>
    </row>
    <row r="82" spans="3:4" x14ac:dyDescent="0.3">
      <c r="C82" s="7" t="s">
        <v>246</v>
      </c>
      <c r="D82" s="18">
        <f>D4+D5+D6+D7+D16+D18+D17+D19+D21+D20+D22+D23+D24+D25+D26+D37+D38+D39+D40+D41+D42+D43+D44+D45+D46+D47+D48+D49+D50+D52+D51+D53+D54+D55+D56+D57+D58+D59+D60+D61+D62</f>
        <v>39399811.280000001</v>
      </c>
    </row>
    <row r="83" spans="3:4" x14ac:dyDescent="0.3">
      <c r="C83" s="7" t="s">
        <v>247</v>
      </c>
      <c r="D83" s="18">
        <f>D63</f>
        <v>447154.3</v>
      </c>
    </row>
    <row r="84" spans="3:4" x14ac:dyDescent="0.3">
      <c r="C84" s="7" t="s">
        <v>248</v>
      </c>
      <c r="D84" s="18">
        <f>D27+D28+D29+D30+D31+D32+D33+D34+D35+D74+D75+D76+D77+D78+D79</f>
        <v>4639583.88</v>
      </c>
    </row>
    <row r="85" spans="3:4" x14ac:dyDescent="0.3">
      <c r="C85" s="7" t="s">
        <v>249</v>
      </c>
      <c r="D85" s="18">
        <f>D8+D9+D10+D11+D12+D13+D14+D15+D64+D65+D66+D67+D68+D69+D70+D71+D72</f>
        <v>1470129.31</v>
      </c>
    </row>
    <row r="86" spans="3:4" x14ac:dyDescent="0.3">
      <c r="C86" s="7" t="s">
        <v>250</v>
      </c>
      <c r="D86" s="18">
        <f>D2+D36+D73</f>
        <v>2530936.42</v>
      </c>
    </row>
    <row r="87" spans="3:4" x14ac:dyDescent="0.3">
      <c r="C87" s="7" t="s">
        <v>251</v>
      </c>
      <c r="D87" s="18">
        <f>D3</f>
        <v>206494.68</v>
      </c>
    </row>
    <row r="88" spans="3:4" x14ac:dyDescent="0.3">
      <c r="C88" s="8" t="s">
        <v>252</v>
      </c>
      <c r="D88" s="9">
        <f>SUM(D82:D87)</f>
        <v>48694109.870000005</v>
      </c>
    </row>
    <row r="89" spans="3:4" x14ac:dyDescent="0.3">
      <c r="C89" s="7"/>
    </row>
    <row r="90" spans="3:4" x14ac:dyDescent="0.3">
      <c r="C90" s="7"/>
    </row>
    <row r="91" spans="3:4" x14ac:dyDescent="0.3">
      <c r="C91" s="7"/>
    </row>
    <row r="92" spans="3:4" x14ac:dyDescent="0.3">
      <c r="C92" s="7"/>
    </row>
  </sheetData>
  <autoFilter ref="A1:I88" xr:uid="{00000000-0009-0000-0000-000000000000}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workbookViewId="0">
      <selection activeCell="F7" sqref="F7"/>
    </sheetView>
  </sheetViews>
  <sheetFormatPr defaultRowHeight="14.4" x14ac:dyDescent="0.3"/>
  <cols>
    <col min="1" max="1" width="14" bestFit="1" customWidth="1"/>
    <col min="2" max="2" width="8.77734375" customWidth="1"/>
    <col min="3" max="3" width="12" bestFit="1" customWidth="1"/>
    <col min="4" max="4" width="9.88671875" bestFit="1" customWidth="1"/>
    <col min="5" max="5" width="14.44140625" bestFit="1" customWidth="1"/>
    <col min="6" max="6" width="25.5546875" bestFit="1" customWidth="1"/>
    <col min="7" max="7" width="11.88671875" bestFit="1" customWidth="1"/>
    <col min="8" max="8" width="16.6640625" bestFit="1" customWidth="1"/>
    <col min="9" max="9" width="14.5546875" bestFit="1" customWidth="1"/>
    <col min="10" max="10" width="53.44140625" bestFit="1" customWidth="1"/>
  </cols>
  <sheetData>
    <row r="1" spans="1:10" x14ac:dyDescent="0.3">
      <c r="A1" s="11" t="s">
        <v>0</v>
      </c>
      <c r="B1" s="11" t="s">
        <v>1</v>
      </c>
      <c r="C1" s="11" t="s">
        <v>253</v>
      </c>
      <c r="D1" s="11" t="s">
        <v>3</v>
      </c>
      <c r="E1" s="11" t="s">
        <v>288</v>
      </c>
      <c r="F1" s="11" t="s">
        <v>2</v>
      </c>
      <c r="G1" s="11" t="s">
        <v>254</v>
      </c>
      <c r="H1" s="11" t="s">
        <v>6</v>
      </c>
      <c r="I1" s="11" t="s">
        <v>7</v>
      </c>
      <c r="J1" s="11" t="s">
        <v>8</v>
      </c>
    </row>
    <row r="2" spans="1:10" x14ac:dyDescent="0.3">
      <c r="A2" s="12" t="s">
        <v>255</v>
      </c>
      <c r="B2" s="12" t="s">
        <v>256</v>
      </c>
      <c r="C2" s="12" t="s">
        <v>257</v>
      </c>
      <c r="D2" s="13">
        <v>45849.5</v>
      </c>
      <c r="E2" s="13">
        <f>35568.92*1.2</f>
        <v>42682.703999999998</v>
      </c>
      <c r="F2" s="12" t="s">
        <v>258</v>
      </c>
      <c r="G2" s="12" t="s">
        <v>259</v>
      </c>
      <c r="H2" s="12" t="s">
        <v>14</v>
      </c>
      <c r="I2" s="12" t="s">
        <v>15</v>
      </c>
      <c r="J2" s="12"/>
    </row>
    <row r="3" spans="1:10" x14ac:dyDescent="0.3">
      <c r="A3" s="12" t="s">
        <v>260</v>
      </c>
      <c r="B3" s="12" t="s">
        <v>261</v>
      </c>
      <c r="C3" s="12" t="s">
        <v>257</v>
      </c>
      <c r="D3" s="13">
        <v>46266.8</v>
      </c>
      <c r="E3" s="13">
        <f>35317.76*1.2</f>
        <v>42381.311999999998</v>
      </c>
      <c r="F3" s="12" t="s">
        <v>258</v>
      </c>
      <c r="G3" s="12" t="s">
        <v>259</v>
      </c>
      <c r="H3" s="12" t="s">
        <v>14</v>
      </c>
      <c r="I3" s="12" t="s">
        <v>15</v>
      </c>
      <c r="J3" s="12"/>
    </row>
    <row r="4" spans="1:10" x14ac:dyDescent="0.3">
      <c r="A4" s="12" t="s">
        <v>262</v>
      </c>
      <c r="B4" s="12" t="s">
        <v>263</v>
      </c>
      <c r="C4" s="12" t="s">
        <v>257</v>
      </c>
      <c r="D4" s="13">
        <v>91859.07</v>
      </c>
      <c r="E4" s="13">
        <f>70442.28*1.2</f>
        <v>84530.73599999999</v>
      </c>
      <c r="F4" s="12" t="s">
        <v>258</v>
      </c>
      <c r="G4" s="12" t="s">
        <v>259</v>
      </c>
      <c r="H4" s="12" t="s">
        <v>14</v>
      </c>
      <c r="I4" s="12" t="s">
        <v>15</v>
      </c>
      <c r="J4" s="12"/>
    </row>
    <row r="5" spans="1:10" x14ac:dyDescent="0.3">
      <c r="A5" s="12" t="s">
        <v>264</v>
      </c>
      <c r="B5" s="12" t="s">
        <v>265</v>
      </c>
      <c r="C5" s="12" t="s">
        <v>257</v>
      </c>
      <c r="D5" s="13">
        <v>54222.76</v>
      </c>
      <c r="E5" s="13">
        <f>38967.09*1.2</f>
        <v>46760.507999999994</v>
      </c>
      <c r="F5" s="12" t="s">
        <v>36</v>
      </c>
      <c r="G5" s="12" t="s">
        <v>266</v>
      </c>
      <c r="H5" s="12" t="s">
        <v>14</v>
      </c>
      <c r="I5" s="12" t="s">
        <v>15</v>
      </c>
      <c r="J5" s="12" t="s">
        <v>267</v>
      </c>
    </row>
    <row r="6" spans="1:10" x14ac:dyDescent="0.3">
      <c r="A6" s="12" t="s">
        <v>268</v>
      </c>
      <c r="B6" s="12" t="s">
        <v>269</v>
      </c>
      <c r="C6" s="12" t="s">
        <v>257</v>
      </c>
      <c r="D6" s="13">
        <v>93090</v>
      </c>
      <c r="E6" s="13">
        <f>70460.35*1.2</f>
        <v>84552.42</v>
      </c>
      <c r="F6" s="12" t="s">
        <v>258</v>
      </c>
      <c r="G6" s="12" t="s">
        <v>259</v>
      </c>
      <c r="H6" s="12" t="s">
        <v>14</v>
      </c>
      <c r="I6" s="12" t="s">
        <v>15</v>
      </c>
      <c r="J6" s="12"/>
    </row>
    <row r="7" spans="1:10" x14ac:dyDescent="0.3">
      <c r="A7" s="12" t="s">
        <v>270</v>
      </c>
      <c r="B7" s="12" t="s">
        <v>271</v>
      </c>
      <c r="C7" s="12" t="s">
        <v>257</v>
      </c>
      <c r="D7" s="13">
        <v>65900.87</v>
      </c>
      <c r="E7" s="13">
        <f>50275.28*1.2</f>
        <v>60330.335999999996</v>
      </c>
      <c r="F7" s="12" t="s">
        <v>258</v>
      </c>
      <c r="G7" s="12" t="s">
        <v>259</v>
      </c>
      <c r="H7" s="12" t="s">
        <v>14</v>
      </c>
      <c r="I7" s="12" t="s">
        <v>15</v>
      </c>
      <c r="J7" s="12"/>
    </row>
    <row r="8" spans="1:10" x14ac:dyDescent="0.3">
      <c r="A8" s="12" t="s">
        <v>272</v>
      </c>
      <c r="B8" s="12" t="s">
        <v>273</v>
      </c>
      <c r="C8" s="12" t="s">
        <v>257</v>
      </c>
      <c r="D8" s="13">
        <v>77575</v>
      </c>
      <c r="E8" s="13">
        <f>58312.29*1.2</f>
        <v>69974.747999999992</v>
      </c>
      <c r="F8" s="12" t="s">
        <v>258</v>
      </c>
      <c r="G8" s="12" t="s">
        <v>259</v>
      </c>
      <c r="H8" s="12" t="s">
        <v>14</v>
      </c>
      <c r="I8" s="12" t="s">
        <v>15</v>
      </c>
      <c r="J8" s="12"/>
    </row>
    <row r="9" spans="1:10" x14ac:dyDescent="0.3">
      <c r="A9" s="12" t="s">
        <v>274</v>
      </c>
      <c r="B9" s="12" t="s">
        <v>275</v>
      </c>
      <c r="C9" s="12" t="s">
        <v>257</v>
      </c>
      <c r="D9" s="13">
        <v>43442</v>
      </c>
      <c r="E9" s="13">
        <f>32909.8*1.2</f>
        <v>39491.760000000002</v>
      </c>
      <c r="F9" s="12" t="s">
        <v>258</v>
      </c>
      <c r="G9" s="12" t="s">
        <v>259</v>
      </c>
      <c r="H9" s="12" t="s">
        <v>14</v>
      </c>
      <c r="I9" s="12" t="s">
        <v>15</v>
      </c>
      <c r="J9" s="12"/>
    </row>
    <row r="10" spans="1:10" x14ac:dyDescent="0.3">
      <c r="A10" s="12" t="s">
        <v>276</v>
      </c>
      <c r="B10" s="12" t="s">
        <v>277</v>
      </c>
      <c r="C10" s="12" t="s">
        <v>257</v>
      </c>
      <c r="D10" s="13">
        <v>93090</v>
      </c>
      <c r="E10" s="13">
        <f>70181.14*1.2</f>
        <v>84217.368000000002</v>
      </c>
      <c r="F10" s="12" t="s">
        <v>258</v>
      </c>
      <c r="G10" s="12" t="s">
        <v>259</v>
      </c>
      <c r="H10" s="12" t="s">
        <v>14</v>
      </c>
      <c r="I10" s="12" t="s">
        <v>15</v>
      </c>
      <c r="J10" s="12"/>
    </row>
    <row r="11" spans="1:10" x14ac:dyDescent="0.3">
      <c r="A11" s="12" t="s">
        <v>278</v>
      </c>
      <c r="B11" s="12" t="s">
        <v>279</v>
      </c>
      <c r="C11" s="12" t="s">
        <v>257</v>
      </c>
      <c r="D11" s="13">
        <v>8289</v>
      </c>
      <c r="E11" s="13">
        <f>6225*1.2</f>
        <v>7470</v>
      </c>
      <c r="F11" s="12" t="s">
        <v>36</v>
      </c>
      <c r="G11" s="12" t="s">
        <v>266</v>
      </c>
      <c r="H11" s="12" t="s">
        <v>14</v>
      </c>
      <c r="I11" s="12" t="s">
        <v>22</v>
      </c>
      <c r="J11" s="12" t="s">
        <v>280</v>
      </c>
    </row>
    <row r="12" spans="1:10" x14ac:dyDescent="0.3">
      <c r="A12" s="12" t="s">
        <v>281</v>
      </c>
      <c r="B12" s="12" t="s">
        <v>282</v>
      </c>
      <c r="C12" s="12" t="s">
        <v>257</v>
      </c>
      <c r="D12" s="13">
        <v>31030</v>
      </c>
      <c r="E12" s="13">
        <f>23359.37*1.2</f>
        <v>28031.243999999999</v>
      </c>
      <c r="F12" s="12" t="s">
        <v>258</v>
      </c>
      <c r="G12" s="12" t="s">
        <v>259</v>
      </c>
      <c r="H12" s="12" t="s">
        <v>14</v>
      </c>
      <c r="I12" s="12" t="s">
        <v>15</v>
      </c>
      <c r="J12" s="12"/>
    </row>
    <row r="13" spans="1:10" x14ac:dyDescent="0.3">
      <c r="A13" s="12" t="s">
        <v>283</v>
      </c>
      <c r="B13" s="12" t="s">
        <v>284</v>
      </c>
      <c r="C13" s="12" t="s">
        <v>257</v>
      </c>
      <c r="D13" s="13">
        <v>33011.64</v>
      </c>
      <c r="E13" s="13">
        <f>25083.06*1.2</f>
        <v>30099.671999999999</v>
      </c>
      <c r="F13" s="12" t="s">
        <v>258</v>
      </c>
      <c r="G13" s="12" t="s">
        <v>259</v>
      </c>
      <c r="H13" s="12" t="s">
        <v>14</v>
      </c>
      <c r="I13" s="12" t="s">
        <v>15</v>
      </c>
      <c r="J13" s="12"/>
    </row>
    <row r="14" spans="1:10" x14ac:dyDescent="0.3">
      <c r="A14" s="12" t="s">
        <v>285</v>
      </c>
      <c r="B14" s="12" t="s">
        <v>286</v>
      </c>
      <c r="C14" s="12" t="s">
        <v>257</v>
      </c>
      <c r="D14" s="13">
        <v>28740.2</v>
      </c>
      <c r="E14" s="13">
        <f>21508.6*1.2</f>
        <v>25810.319999999996</v>
      </c>
      <c r="F14" s="12" t="s">
        <v>258</v>
      </c>
      <c r="G14" s="12" t="s">
        <v>259</v>
      </c>
      <c r="H14" s="12" t="s">
        <v>14</v>
      </c>
      <c r="I14" s="12" t="s">
        <v>15</v>
      </c>
      <c r="J14" s="12"/>
    </row>
    <row r="15" spans="1:10" x14ac:dyDescent="0.3">
      <c r="D15" s="14">
        <f>SUM(D2:D14)</f>
        <v>712366.84</v>
      </c>
      <c r="E15" s="15"/>
    </row>
    <row r="16" spans="1:10" x14ac:dyDescent="0.3">
      <c r="D16" s="16">
        <f>D15-D19</f>
        <v>0</v>
      </c>
      <c r="E16" s="15"/>
    </row>
    <row r="17" spans="4:8" x14ac:dyDescent="0.3">
      <c r="D17" s="17">
        <f>D2+D3+D4+D6+D7+D8+D9+D10+D12+D13+D14</f>
        <v>649855.07999999996</v>
      </c>
      <c r="E17" s="17">
        <f>E2+E3+E4+E6+E7+E8+E9+E10+E12+E13+E14</f>
        <v>592102.61999999988</v>
      </c>
      <c r="F17" t="s">
        <v>258</v>
      </c>
      <c r="H17" s="6">
        <f>D17-E17</f>
        <v>57752.460000000079</v>
      </c>
    </row>
    <row r="18" spans="4:8" x14ac:dyDescent="0.3">
      <c r="D18" s="17">
        <f>D5+D11</f>
        <v>62511.76</v>
      </c>
      <c r="E18" s="17">
        <f>E5+E11</f>
        <v>54230.507999999994</v>
      </c>
      <c r="F18" t="s">
        <v>36</v>
      </c>
      <c r="G18" t="s">
        <v>287</v>
      </c>
      <c r="H18" s="6">
        <f>D18-E18</f>
        <v>8281.2520000000077</v>
      </c>
    </row>
    <row r="19" spans="4:8" x14ac:dyDescent="0.3">
      <c r="D19" s="14">
        <f>SUM(D17:D18)</f>
        <v>712366.84</v>
      </c>
      <c r="E19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3FA3-633D-4C7F-83C3-1C4EA44D0828}">
  <dimension ref="B2:D43"/>
  <sheetViews>
    <sheetView tabSelected="1" topLeftCell="A25" workbookViewId="0">
      <selection activeCell="H46" sqref="H46"/>
    </sheetView>
  </sheetViews>
  <sheetFormatPr defaultRowHeight="14.4" x14ac:dyDescent="0.3"/>
  <cols>
    <col min="2" max="3" width="12.33203125" bestFit="1" customWidth="1"/>
    <col min="4" max="4" width="10.5546875" bestFit="1" customWidth="1"/>
  </cols>
  <sheetData>
    <row r="2" spans="2:4" x14ac:dyDescent="0.3">
      <c r="B2" s="3">
        <v>1625770.49</v>
      </c>
      <c r="C2" s="19">
        <v>1625770.49</v>
      </c>
      <c r="D2" s="6">
        <f>B2-C2</f>
        <v>0</v>
      </c>
    </row>
    <row r="3" spans="2:4" x14ac:dyDescent="0.3">
      <c r="B3" s="3">
        <v>891689.84</v>
      </c>
      <c r="C3" s="19">
        <v>891689.84</v>
      </c>
      <c r="D3" s="6">
        <f t="shared" ref="D3:D42" si="0">B3-C3</f>
        <v>0</v>
      </c>
    </row>
    <row r="4" spans="2:4" x14ac:dyDescent="0.3">
      <c r="B4" s="3">
        <v>255009.67</v>
      </c>
      <c r="C4" s="19">
        <v>255009.67</v>
      </c>
      <c r="D4" s="6">
        <f t="shared" si="0"/>
        <v>0</v>
      </c>
    </row>
    <row r="5" spans="2:4" x14ac:dyDescent="0.3">
      <c r="B5" s="3">
        <v>74595.38</v>
      </c>
      <c r="C5" s="19">
        <v>74595.38</v>
      </c>
      <c r="D5" s="6">
        <f t="shared" si="0"/>
        <v>0</v>
      </c>
    </row>
    <row r="6" spans="2:4" x14ac:dyDescent="0.3">
      <c r="B6" s="3">
        <v>189732.76</v>
      </c>
      <c r="C6" s="19">
        <v>189732.76</v>
      </c>
      <c r="D6" s="6">
        <f t="shared" si="0"/>
        <v>0</v>
      </c>
    </row>
    <row r="7" spans="2:4" x14ac:dyDescent="0.3">
      <c r="B7" s="3">
        <v>1493088.67</v>
      </c>
      <c r="C7" s="19">
        <v>1493088.67</v>
      </c>
      <c r="D7" s="6">
        <f t="shared" si="0"/>
        <v>0</v>
      </c>
    </row>
    <row r="8" spans="2:4" x14ac:dyDescent="0.3">
      <c r="B8" s="3">
        <v>916480.84</v>
      </c>
      <c r="C8" s="19">
        <v>916480.84</v>
      </c>
      <c r="D8" s="6">
        <f t="shared" si="0"/>
        <v>0</v>
      </c>
    </row>
    <row r="9" spans="2:4" x14ac:dyDescent="0.3">
      <c r="B9" s="3">
        <v>293643.82</v>
      </c>
      <c r="C9" s="19">
        <v>293643.82</v>
      </c>
      <c r="D9" s="6">
        <f t="shared" si="0"/>
        <v>0</v>
      </c>
    </row>
    <row r="10" spans="2:4" x14ac:dyDescent="0.3">
      <c r="B10" s="3">
        <v>1852335.28</v>
      </c>
      <c r="C10" s="19">
        <v>1852335.28</v>
      </c>
      <c r="D10" s="6">
        <f t="shared" si="0"/>
        <v>0</v>
      </c>
    </row>
    <row r="11" spans="2:4" x14ac:dyDescent="0.3">
      <c r="B11" s="3">
        <v>551905.01</v>
      </c>
      <c r="C11" s="19">
        <v>551905.01</v>
      </c>
      <c r="D11" s="6">
        <f t="shared" si="0"/>
        <v>0</v>
      </c>
    </row>
    <row r="12" spans="2:4" x14ac:dyDescent="0.3">
      <c r="B12" s="3">
        <v>1396069.49</v>
      </c>
      <c r="C12" s="19">
        <v>1396069.49</v>
      </c>
      <c r="D12" s="6">
        <f t="shared" si="0"/>
        <v>0</v>
      </c>
    </row>
    <row r="13" spans="2:4" x14ac:dyDescent="0.3">
      <c r="B13" s="3">
        <v>1427253.71</v>
      </c>
      <c r="C13" s="19">
        <v>1427253.71</v>
      </c>
      <c r="D13" s="6">
        <f t="shared" si="0"/>
        <v>0</v>
      </c>
    </row>
    <row r="14" spans="2:4" x14ac:dyDescent="0.3">
      <c r="B14" s="3">
        <v>1432990.86</v>
      </c>
      <c r="C14" s="19">
        <v>1432990.86</v>
      </c>
      <c r="D14" s="6">
        <f t="shared" si="0"/>
        <v>0</v>
      </c>
    </row>
    <row r="15" spans="2:4" x14ac:dyDescent="0.3">
      <c r="B15" s="3">
        <v>189299.33</v>
      </c>
      <c r="C15" s="19">
        <v>189299.33</v>
      </c>
      <c r="D15" s="6">
        <f t="shared" si="0"/>
        <v>0</v>
      </c>
    </row>
    <row r="16" spans="2:4" x14ac:dyDescent="0.3">
      <c r="B16" s="3">
        <v>1647758.93</v>
      </c>
      <c r="C16" s="19">
        <v>1647758.93</v>
      </c>
      <c r="D16" s="6">
        <f t="shared" si="0"/>
        <v>0</v>
      </c>
    </row>
    <row r="17" spans="2:4" x14ac:dyDescent="0.3">
      <c r="B17" s="3">
        <v>553342.96</v>
      </c>
      <c r="C17" s="19">
        <v>553342.96</v>
      </c>
      <c r="D17" s="6">
        <f t="shared" si="0"/>
        <v>0</v>
      </c>
    </row>
    <row r="18" spans="2:4" x14ac:dyDescent="0.3">
      <c r="B18" s="3">
        <v>573416.30000000005</v>
      </c>
      <c r="C18" s="19">
        <v>573416.30000000005</v>
      </c>
      <c r="D18" s="6">
        <f t="shared" si="0"/>
        <v>0</v>
      </c>
    </row>
    <row r="19" spans="2:4" x14ac:dyDescent="0.3">
      <c r="B19" s="3">
        <v>149214.10999999999</v>
      </c>
      <c r="C19" s="19">
        <v>149214.10999999999</v>
      </c>
      <c r="D19" s="6">
        <f t="shared" si="0"/>
        <v>0</v>
      </c>
    </row>
    <row r="20" spans="2:4" x14ac:dyDescent="0.3">
      <c r="B20" s="3">
        <v>1581832.13</v>
      </c>
      <c r="C20" s="19">
        <v>1581832.13</v>
      </c>
      <c r="D20" s="6">
        <f t="shared" si="0"/>
        <v>0</v>
      </c>
    </row>
    <row r="21" spans="2:4" x14ac:dyDescent="0.3">
      <c r="B21" s="3">
        <v>1538203.55</v>
      </c>
      <c r="C21" s="19">
        <v>1538203.55</v>
      </c>
      <c r="D21" s="6">
        <f t="shared" si="0"/>
        <v>0</v>
      </c>
    </row>
    <row r="22" spans="2:4" x14ac:dyDescent="0.3">
      <c r="B22" s="3">
        <v>1919957.71</v>
      </c>
      <c r="C22" s="19">
        <v>1919957.71</v>
      </c>
      <c r="D22" s="6">
        <f t="shared" si="0"/>
        <v>0</v>
      </c>
    </row>
    <row r="23" spans="2:4" x14ac:dyDescent="0.3">
      <c r="B23" s="3">
        <v>1155962.82</v>
      </c>
      <c r="C23" s="19">
        <v>1155962.82</v>
      </c>
      <c r="D23" s="6">
        <f t="shared" si="0"/>
        <v>0</v>
      </c>
    </row>
    <row r="24" spans="2:4" x14ac:dyDescent="0.3">
      <c r="B24" s="3">
        <v>1394721.36</v>
      </c>
      <c r="C24" s="19">
        <v>1394721.36</v>
      </c>
      <c r="D24" s="6">
        <f t="shared" si="0"/>
        <v>0</v>
      </c>
    </row>
    <row r="25" spans="2:4" x14ac:dyDescent="0.3">
      <c r="B25" s="3">
        <v>1439689.54</v>
      </c>
      <c r="C25" s="19">
        <v>1439689.54</v>
      </c>
      <c r="D25" s="6">
        <f t="shared" si="0"/>
        <v>0</v>
      </c>
    </row>
    <row r="26" spans="2:4" x14ac:dyDescent="0.3">
      <c r="B26" s="3">
        <v>1223132.93</v>
      </c>
      <c r="C26" s="19">
        <v>1223132.93</v>
      </c>
      <c r="D26" s="6">
        <f t="shared" si="0"/>
        <v>0</v>
      </c>
    </row>
    <row r="27" spans="2:4" x14ac:dyDescent="0.3">
      <c r="B27" s="3">
        <v>385695.8</v>
      </c>
      <c r="C27" s="19">
        <v>385695.8</v>
      </c>
      <c r="D27" s="6">
        <f t="shared" si="0"/>
        <v>0</v>
      </c>
    </row>
    <row r="28" spans="2:4" x14ac:dyDescent="0.3">
      <c r="B28" s="3">
        <v>912212.21</v>
      </c>
      <c r="C28" s="19">
        <v>912212.21</v>
      </c>
      <c r="D28" s="6">
        <f t="shared" si="0"/>
        <v>0</v>
      </c>
    </row>
    <row r="29" spans="2:4" x14ac:dyDescent="0.3">
      <c r="B29" s="3">
        <v>1353790.73</v>
      </c>
      <c r="C29" s="19">
        <v>1353790.73</v>
      </c>
      <c r="D29" s="6">
        <f t="shared" si="0"/>
        <v>0</v>
      </c>
    </row>
    <row r="30" spans="2:4" x14ac:dyDescent="0.3">
      <c r="B30" s="3">
        <v>1594901.54</v>
      </c>
      <c r="C30" s="19">
        <v>1594901.54</v>
      </c>
      <c r="D30" s="6">
        <f t="shared" si="0"/>
        <v>0</v>
      </c>
    </row>
    <row r="31" spans="2:4" x14ac:dyDescent="0.3">
      <c r="B31" s="3">
        <v>3319852.72</v>
      </c>
      <c r="C31" s="19">
        <v>3319852.72</v>
      </c>
      <c r="D31" s="6">
        <f t="shared" si="0"/>
        <v>0</v>
      </c>
    </row>
    <row r="32" spans="2:4" x14ac:dyDescent="0.3">
      <c r="B32" s="3">
        <v>200560.63</v>
      </c>
      <c r="C32" s="19">
        <v>200560.63</v>
      </c>
      <c r="D32" s="6">
        <f t="shared" si="0"/>
        <v>0</v>
      </c>
    </row>
    <row r="33" spans="2:4" x14ac:dyDescent="0.3">
      <c r="B33" s="3">
        <v>166627.20000000001</v>
      </c>
      <c r="C33" s="19">
        <v>166627.20000000001</v>
      </c>
      <c r="D33" s="6">
        <f t="shared" si="0"/>
        <v>0</v>
      </c>
    </row>
    <row r="34" spans="2:4" x14ac:dyDescent="0.3">
      <c r="B34" s="3">
        <v>643318.31999999995</v>
      </c>
      <c r="C34" s="19">
        <v>643318.31999999995</v>
      </c>
      <c r="D34" s="6">
        <f t="shared" si="0"/>
        <v>0</v>
      </c>
    </row>
    <row r="35" spans="2:4" x14ac:dyDescent="0.3">
      <c r="B35" s="3">
        <v>127818.11</v>
      </c>
      <c r="C35" s="19">
        <v>127818.11</v>
      </c>
      <c r="D35" s="6">
        <f t="shared" si="0"/>
        <v>0</v>
      </c>
    </row>
    <row r="36" spans="2:4" x14ac:dyDescent="0.3">
      <c r="B36" s="3">
        <v>716695.44</v>
      </c>
      <c r="C36" s="19">
        <v>716695.44</v>
      </c>
      <c r="D36" s="6">
        <f t="shared" si="0"/>
        <v>0</v>
      </c>
    </row>
    <row r="37" spans="2:4" x14ac:dyDescent="0.3">
      <c r="B37" s="3">
        <v>2362222.88</v>
      </c>
      <c r="C37" s="19">
        <v>2362222.88</v>
      </c>
      <c r="D37" s="6">
        <f t="shared" si="0"/>
        <v>0</v>
      </c>
    </row>
    <row r="38" spans="2:4" x14ac:dyDescent="0.3">
      <c r="B38" s="3">
        <v>347659.13</v>
      </c>
      <c r="C38" s="19">
        <v>347659.13</v>
      </c>
      <c r="D38" s="6">
        <f t="shared" si="0"/>
        <v>0</v>
      </c>
    </row>
    <row r="39" spans="2:4" x14ac:dyDescent="0.3">
      <c r="B39" s="3">
        <v>402909.6</v>
      </c>
      <c r="C39" s="19">
        <v>402909.6</v>
      </c>
      <c r="D39" s="6">
        <f t="shared" si="0"/>
        <v>0</v>
      </c>
    </row>
    <row r="40" spans="2:4" x14ac:dyDescent="0.3">
      <c r="B40" s="3">
        <v>442334.76</v>
      </c>
      <c r="C40" s="19">
        <v>442334.76</v>
      </c>
      <c r="D40" s="6">
        <f t="shared" si="0"/>
        <v>0</v>
      </c>
    </row>
    <row r="41" spans="2:4" x14ac:dyDescent="0.3">
      <c r="B41" s="3">
        <v>402888</v>
      </c>
      <c r="C41" s="19">
        <v>402888</v>
      </c>
      <c r="D41" s="6">
        <f t="shared" si="0"/>
        <v>0</v>
      </c>
    </row>
    <row r="42" spans="2:4" x14ac:dyDescent="0.3">
      <c r="B42" s="4">
        <v>253226.72</v>
      </c>
      <c r="C42" s="19">
        <v>432820.72</v>
      </c>
      <c r="D42" s="6">
        <f t="shared" si="0"/>
        <v>-179593.99999999997</v>
      </c>
    </row>
    <row r="43" spans="2:4" x14ac:dyDescent="0.3">
      <c r="B43" s="6">
        <f>SUM(B2:B42)</f>
        <v>39399811.280000001</v>
      </c>
      <c r="C43" s="6">
        <f>SUM(C2:C42)</f>
        <v>39579405.280000001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АКТЫ</vt:lpstr>
      <vt:lpstr>Продажи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2025-06-24T12:10:11Z</dcterms:modified>
</cp:coreProperties>
</file>
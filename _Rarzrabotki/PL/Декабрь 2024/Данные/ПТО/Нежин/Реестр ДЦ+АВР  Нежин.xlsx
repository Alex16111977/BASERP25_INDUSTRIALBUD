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Робота (Валя)\НЕЖИН 2024\"/>
    </mc:Choice>
  </mc:AlternateContent>
  <bookViews>
    <workbookView xWindow="28680" yWindow="-120" windowWidth="29040" windowHeight="15840" tabRatio="564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РеєстрАВР (2)" sheetId="28" r:id="rId6"/>
    <sheet name="10 акт переносится" sheetId="25" state="hidden" r:id="rId7"/>
    <sheet name="материал Ладижин" sheetId="26" state="hidden" r:id="rId8"/>
    <sheet name="Пожарка подрядчик" sheetId="17" state="hidden" r:id="rId9"/>
    <sheet name="Лист1" sheetId="15" state="hidden" r:id="rId10"/>
  </sheets>
  <definedNames>
    <definedName name="_xlnm._FilterDatabase" localSheetId="6" hidden="1">'10 акт переносится'!$A$7:$AD$31</definedName>
    <definedName name="_xlnm._FilterDatabase" localSheetId="7" hidden="1">'материал Ладижин'!$A$5:$E$24</definedName>
    <definedName name="_xlnm._FilterDatabase" localSheetId="0" hidden="1">ноябрь!$A$15:$N$19</definedName>
    <definedName name="_xlnm._FilterDatabase" localSheetId="8" hidden="1">'Пожарка подрядчик'!$A$4:$H$17</definedName>
    <definedName name="_xlnm._FilterDatabase" localSheetId="3" hidden="1">'Реєстр ДЦ '!$A$7:$I$7</definedName>
    <definedName name="_xlnm._FilterDatabase" localSheetId="4" hidden="1">РеєстрАВР!$A$5:$AM$175</definedName>
    <definedName name="_xlnm._FilterDatabase" localSheetId="5" hidden="1">'РеєстрАВР (2)'!$A$5:$AM$175</definedName>
    <definedName name="_xlnm.Print_Area" localSheetId="6">'10 акт переносится'!$A$2:$Y$72</definedName>
    <definedName name="_xlnm.Print_Area" localSheetId="7">'материал Ладижин'!$A$2:$C$59</definedName>
    <definedName name="_xlnm.Print_Area" localSheetId="0">ноябрь!$A$1:$I$27</definedName>
    <definedName name="_xlnm.Print_Area" localSheetId="8">'Пожарка подрядчик'!$A$1:$F$23</definedName>
    <definedName name="_xlnm.Print_Area" localSheetId="2">'Реєстр АВР'!$A$1:$P$18</definedName>
    <definedName name="_xlnm.Print_Area" localSheetId="3">'Реєстр ДЦ '!$A$2:$I$81</definedName>
    <definedName name="_xlnm.Print_Area" localSheetId="4">РеєстрАВР!$A$1:$L$175</definedName>
    <definedName name="_xlnm.Print_Area" localSheetId="5">'РеєстрАВР (2)'!$A$1:$L$175</definedName>
  </definedNames>
  <calcPr calcId="152511"/>
</workbook>
</file>

<file path=xl/calcChain.xml><?xml version="1.0" encoding="utf-8"?>
<calcChain xmlns="http://schemas.openxmlformats.org/spreadsheetml/2006/main">
  <c r="B184" i="28" l="1"/>
  <c r="F182" i="28"/>
  <c r="H175" i="28"/>
  <c r="G175" i="28"/>
  <c r="F175" i="28"/>
  <c r="F178" i="28" s="1"/>
  <c r="E164" i="28"/>
  <c r="E150" i="28"/>
  <c r="E146" i="28"/>
  <c r="E155" i="28"/>
  <c r="E157" i="28"/>
  <c r="E133" i="28"/>
  <c r="E131" i="28"/>
  <c r="E174" i="28"/>
  <c r="E173" i="28"/>
  <c r="E99" i="28"/>
  <c r="E119" i="28"/>
  <c r="E172" i="28"/>
  <c r="E111" i="28"/>
  <c r="E96" i="28"/>
  <c r="E109" i="28"/>
  <c r="E95" i="28"/>
  <c r="E105" i="28"/>
  <c r="E108" i="28"/>
  <c r="E98" i="28"/>
  <c r="E137" i="28"/>
  <c r="E93" i="28"/>
  <c r="E161" i="28"/>
  <c r="E89" i="28"/>
  <c r="E97" i="28"/>
  <c r="E88" i="28"/>
  <c r="E171" i="28"/>
  <c r="E82" i="28"/>
  <c r="E72" i="28"/>
  <c r="E65" i="28"/>
  <c r="C65" i="28"/>
  <c r="C175" i="28" s="1"/>
  <c r="E170" i="28"/>
  <c r="E169" i="28"/>
  <c r="E53" i="28"/>
  <c r="E168" i="28"/>
  <c r="E167" i="28"/>
  <c r="E37" i="28"/>
  <c r="E166" i="28"/>
  <c r="E30" i="28"/>
  <c r="E156" i="28"/>
  <c r="E149" i="28"/>
  <c r="E148" i="28"/>
  <c r="E129" i="28"/>
  <c r="E159" i="28"/>
  <c r="E145" i="28"/>
  <c r="E138" i="28"/>
  <c r="E135" i="28"/>
  <c r="E120" i="28"/>
  <c r="E118" i="28"/>
  <c r="E112" i="28"/>
  <c r="E101" i="28"/>
  <c r="E100" i="28"/>
  <c r="E94" i="28"/>
  <c r="E92" i="28"/>
  <c r="E78" i="28"/>
  <c r="E117" i="28"/>
  <c r="E160" i="28"/>
  <c r="E154" i="28"/>
  <c r="E147" i="28"/>
  <c r="E144" i="28"/>
  <c r="E83" i="28"/>
  <c r="E54" i="28"/>
  <c r="E47" i="28"/>
  <c r="E40" i="28"/>
  <c r="E75" i="28"/>
  <c r="E27" i="28"/>
  <c r="E52" i="28"/>
  <c r="E84" i="28"/>
  <c r="E67" i="28"/>
  <c r="E26" i="28"/>
  <c r="E113" i="28"/>
  <c r="E91" i="28"/>
  <c r="E76" i="28"/>
  <c r="E46" i="28"/>
  <c r="E38" i="28"/>
  <c r="E31" i="28"/>
  <c r="E81" i="28"/>
  <c r="E71" i="28"/>
  <c r="E45" i="28"/>
  <c r="E41" i="28"/>
  <c r="E32" i="28"/>
  <c r="E14" i="28"/>
  <c r="E13" i="28"/>
  <c r="E12" i="28"/>
  <c r="E162" i="28"/>
  <c r="E124" i="28"/>
  <c r="E86" i="28"/>
  <c r="E74" i="28"/>
  <c r="E68" i="28"/>
  <c r="E58" i="28"/>
  <c r="E143" i="28"/>
  <c r="E142" i="28"/>
  <c r="E139" i="28"/>
  <c r="E136" i="28"/>
  <c r="E132" i="28"/>
  <c r="E114" i="28"/>
  <c r="E165" i="28"/>
  <c r="E25" i="28"/>
  <c r="E11" i="28"/>
  <c r="E10" i="28"/>
  <c r="E158" i="28"/>
  <c r="E141" i="28"/>
  <c r="E130" i="28"/>
  <c r="E128" i="28"/>
  <c r="E140" i="28"/>
  <c r="E134" i="28"/>
  <c r="E123" i="28"/>
  <c r="E122" i="28"/>
  <c r="E121" i="28"/>
  <c r="E80" i="28"/>
  <c r="E66" i="28"/>
  <c r="E64" i="28"/>
  <c r="E63" i="28"/>
  <c r="E62" i="28"/>
  <c r="E61" i="28"/>
  <c r="E51" i="28"/>
  <c r="E50" i="28"/>
  <c r="E49" i="28"/>
  <c r="E44" i="28"/>
  <c r="E28" i="28"/>
  <c r="E16" i="28"/>
  <c r="E57" i="28"/>
  <c r="E39" i="28"/>
  <c r="E36" i="28"/>
  <c r="E20" i="28"/>
  <c r="E29" i="28"/>
  <c r="E110" i="28"/>
  <c r="E116" i="28"/>
  <c r="E90" i="28"/>
  <c r="E19" i="28"/>
  <c r="E115" i="28"/>
  <c r="E87" i="28"/>
  <c r="E79" i="28"/>
  <c r="E70" i="28"/>
  <c r="E17" i="28"/>
  <c r="E9" i="28"/>
  <c r="E8" i="28"/>
  <c r="E7" i="28"/>
  <c r="E15" i="28"/>
  <c r="E163" i="28"/>
  <c r="E73" i="28"/>
  <c r="E23" i="28"/>
  <c r="E55" i="28"/>
  <c r="E22" i="28"/>
  <c r="E153" i="28"/>
  <c r="E127" i="28"/>
  <c r="E107" i="28"/>
  <c r="E104" i="28"/>
  <c r="E43" i="28"/>
  <c r="E42" i="28"/>
  <c r="E34" i="28"/>
  <c r="E21" i="28"/>
  <c r="E152" i="28"/>
  <c r="E126" i="28"/>
  <c r="E106" i="28"/>
  <c r="E103" i="28"/>
  <c r="E69" i="28"/>
  <c r="E60" i="28"/>
  <c r="E56" i="28"/>
  <c r="E48" i="28"/>
  <c r="E33" i="28"/>
  <c r="E151" i="28"/>
  <c r="E125" i="28"/>
  <c r="E102" i="28"/>
  <c r="E85" i="28"/>
  <c r="E77" i="28"/>
  <c r="E59" i="28"/>
  <c r="E35" i="28"/>
  <c r="E24" i="28"/>
  <c r="E6" i="28"/>
  <c r="F175" i="27" l="1"/>
  <c r="B184" i="27" l="1"/>
  <c r="F182" i="27" l="1"/>
  <c r="H175" i="27" l="1"/>
  <c r="G175" i="27"/>
  <c r="F178" i="27"/>
  <c r="E174" i="27"/>
  <c r="E36" i="27" l="1"/>
  <c r="E91" i="27" l="1"/>
  <c r="E153" i="27" l="1"/>
  <c r="E119" i="27" l="1"/>
  <c r="E170" i="27" l="1"/>
  <c r="E136" i="27" l="1"/>
  <c r="E135" i="27"/>
  <c r="E117" i="27" l="1"/>
  <c r="E81" i="22" l="1"/>
  <c r="E85" i="27" l="1"/>
  <c r="E118" i="27" l="1"/>
  <c r="E75" i="27" l="1"/>
  <c r="E171" i="27" l="1"/>
  <c r="E172" i="27"/>
  <c r="E173" i="27"/>
  <c r="E31" i="27" l="1"/>
  <c r="E23" i="27" l="1"/>
  <c r="C81" i="22" l="1"/>
  <c r="E84" i="27" l="1"/>
  <c r="E120" i="27" l="1"/>
  <c r="E133" i="27"/>
  <c r="E131" i="27" l="1"/>
  <c r="E30" i="27" l="1"/>
  <c r="E22" i="27" l="1"/>
  <c r="E13" i="27" l="1"/>
  <c r="E74" i="27" l="1"/>
  <c r="E71" i="27" l="1"/>
  <c r="E83" i="27" l="1"/>
  <c r="E130" i="27" l="1"/>
  <c r="E137" i="27" l="1"/>
  <c r="E86" i="27" l="1"/>
  <c r="E82" i="27"/>
  <c r="E72" i="27"/>
  <c r="E132" i="27" l="1"/>
  <c r="E129" i="27"/>
  <c r="E169" i="27" l="1"/>
  <c r="E168" i="27"/>
  <c r="E166" i="27" l="1"/>
  <c r="E167" i="27"/>
  <c r="F81" i="22" l="1"/>
  <c r="E76" i="27" l="1"/>
  <c r="D81" i="22" l="1"/>
  <c r="E29" i="27" l="1"/>
  <c r="E12" i="27"/>
  <c r="E90" i="27" l="1"/>
  <c r="E68" i="27" l="1"/>
  <c r="E69" i="27"/>
  <c r="E67" i="27"/>
  <c r="E128" i="27" l="1"/>
  <c r="E127" i="27" l="1"/>
  <c r="E48" i="27" l="1"/>
  <c r="E45" i="27" l="1"/>
  <c r="E105" i="27" l="1"/>
  <c r="E157" i="27" l="1"/>
  <c r="E126" i="27"/>
  <c r="E28" i="27" l="1"/>
  <c r="E11" i="27" l="1"/>
  <c r="E20" i="27" l="1"/>
  <c r="E49" i="27"/>
  <c r="E27" i="27" l="1"/>
  <c r="E19" i="27" l="1"/>
  <c r="E55" i="27" l="1"/>
  <c r="E125" i="27" l="1"/>
  <c r="E124" i="27"/>
  <c r="E162" i="27" l="1"/>
  <c r="E163" i="27"/>
  <c r="E164" i="27"/>
  <c r="E165" i="27"/>
  <c r="E161" i="27"/>
  <c r="E37" i="27" l="1"/>
  <c r="E160" i="27"/>
  <c r="E159" i="27"/>
  <c r="E158" i="27"/>
  <c r="E156" i="27"/>
  <c r="E155" i="27"/>
  <c r="E154" i="27"/>
  <c r="E152" i="27"/>
  <c r="E151" i="27"/>
  <c r="E150" i="27"/>
  <c r="E149" i="27"/>
  <c r="E148" i="27"/>
  <c r="E147" i="27"/>
  <c r="E146" i="27"/>
  <c r="E145" i="27"/>
  <c r="E144" i="27"/>
  <c r="E143" i="27"/>
  <c r="E142" i="27"/>
  <c r="E141" i="27"/>
  <c r="E140" i="27"/>
  <c r="E139" i="27"/>
  <c r="E138" i="27"/>
  <c r="E134" i="27"/>
  <c r="E123" i="27"/>
  <c r="E122" i="27"/>
  <c r="E121" i="27"/>
  <c r="E116" i="27"/>
  <c r="E115" i="27"/>
  <c r="E114" i="27"/>
  <c r="E113" i="27"/>
  <c r="E112" i="27"/>
  <c r="E111" i="27"/>
  <c r="E110" i="27"/>
  <c r="E109" i="27"/>
  <c r="E108" i="27"/>
  <c r="E107" i="27"/>
  <c r="E106" i="27"/>
  <c r="E104" i="27"/>
  <c r="E103" i="27"/>
  <c r="E102" i="27"/>
  <c r="E101" i="27"/>
  <c r="E100" i="27"/>
  <c r="E99" i="27"/>
  <c r="E98" i="27"/>
  <c r="E97" i="27"/>
  <c r="E96" i="27"/>
  <c r="E95" i="27"/>
  <c r="E94" i="27"/>
  <c r="E93" i="27"/>
  <c r="E92" i="27"/>
  <c r="E89" i="27"/>
  <c r="E88" i="27"/>
  <c r="E87" i="27"/>
  <c r="E81" i="27"/>
  <c r="E80" i="27"/>
  <c r="E79" i="27"/>
  <c r="E78" i="27"/>
  <c r="E77" i="27"/>
  <c r="E73" i="27"/>
  <c r="E70" i="27"/>
  <c r="E66" i="27"/>
  <c r="E65" i="27"/>
  <c r="E64" i="27"/>
  <c r="E63" i="27"/>
  <c r="E62" i="27"/>
  <c r="E61" i="27"/>
  <c r="E60" i="27"/>
  <c r="E59" i="27"/>
  <c r="E58" i="27"/>
  <c r="E57" i="27"/>
  <c r="E56" i="27"/>
  <c r="E54" i="27"/>
  <c r="E53" i="27"/>
  <c r="E52" i="27"/>
  <c r="E51" i="27"/>
  <c r="E50" i="27"/>
  <c r="E47" i="27"/>
  <c r="E46" i="27"/>
  <c r="E44" i="27"/>
  <c r="E43" i="27"/>
  <c r="E33" i="27"/>
  <c r="E32" i="27"/>
  <c r="E26" i="27"/>
  <c r="E25" i="27"/>
  <c r="E24" i="27"/>
  <c r="E21" i="27"/>
  <c r="E18" i="27"/>
  <c r="E17" i="27"/>
  <c r="E16" i="27"/>
  <c r="E15" i="27"/>
  <c r="E14" i="27"/>
  <c r="E10" i="27"/>
  <c r="E9" i="27"/>
  <c r="E8" i="27"/>
  <c r="E7" i="27"/>
  <c r="C146" i="27" l="1"/>
  <c r="C175" i="27" s="1"/>
  <c r="E41" i="27" l="1"/>
  <c r="E40" i="27"/>
  <c r="E39" i="27"/>
  <c r="E38" i="27"/>
  <c r="E35" i="27"/>
  <c r="E34" i="27"/>
  <c r="E6" i="27"/>
  <c r="C12" i="22" l="1"/>
  <c r="C20" i="22" l="1"/>
  <c r="C21" i="22"/>
  <c r="C22" i="22"/>
  <c r="C19" i="22" l="1"/>
  <c r="C16" i="22" l="1"/>
  <c r="C15" i="22"/>
  <c r="C18" i="22" l="1"/>
  <c r="C14" i="22" l="1"/>
  <c r="C13" i="22" l="1"/>
  <c r="C11" i="22" l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<sst xmlns="http://schemas.openxmlformats.org/spreadsheetml/2006/main" count="2531" uniqueCount="525">
  <si>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</si>
  <si>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</si>
  <si>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</si>
  <si>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</si>
  <si>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</si>
  <si>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</si>
  <si>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</si>
  <si>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</si>
  <si>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</si>
  <si>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</si>
  <si>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</si>
  <si>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</si>
  <si>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</si>
  <si>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</si>
  <si>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</si>
  <si>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</si>
  <si>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</si>
  <si>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</si>
  <si>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</si>
  <si>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</si>
  <si>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</si>
  <si>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</si>
  <si>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</si>
  <si>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</si>
  <si>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</si>
  <si>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</si>
  <si>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</si>
  <si>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</si>
  <si>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</si>
  <si>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</si>
  <si>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</si>
  <si>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</si>
  <si>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</si>
  <si>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</si>
  <si>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</si>
  <si>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</si>
  <si>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</si>
  <si>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</si>
  <si>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</si>
  <si>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</si>
  <si>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</si>
  <si>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</si>
  <si>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</si>
  <si>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</si>
  <si>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</si>
  <si>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</si>
  <si>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</si>
  <si>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</si>
  <si>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</si>
  <si>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</si>
  <si>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</si>
  <si>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</si>
  <si>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</si>
  <si>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</si>
  <si>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</si>
  <si>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</si>
  <si>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</si>
  <si>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</si>
  <si>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</si>
  <si>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</si>
  <si>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</si>
  <si>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</si>
  <si>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</si>
  <si>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</si>
  <si>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</si>
  <si>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</si>
  <si>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</si>
  <si>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</si>
  <si>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</si>
  <si>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</si>
  <si>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</si>
  <si>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</si>
  <si>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</si>
  <si>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</si>
  <si>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</si>
  <si>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</si>
  <si>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</si>
  <si>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</si>
  <si>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</si>
  <si>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</si>
  <si>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</si>
  <si>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</si>
  <si>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</si>
  <si>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</si>
  <si>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</si>
  <si>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</si>
  <si>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</si>
  <si>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</si>
  <si>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</si>
  <si>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</si>
  <si>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</si>
  <si>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</si>
  <si>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</si>
  <si>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</si>
  <si>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</si>
  <si>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</si>
  <si>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</si>
  <si>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</si>
  <si>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</si>
  <si>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</si>
  <si>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</si>
  <si>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</si>
  <si>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</si>
  <si>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</si>
  <si>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</si>
  <si>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</si>
  <si>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</si>
  <si>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</si>
  <si>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</si>
  <si>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</si>
  <si>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</si>
  <si>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</si>
  <si>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</si>
  <si>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</si>
  <si>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</si>
  <si>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</si>
  <si>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</si>
  <si>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</si>
  <si>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</si>
  <si>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</si>
  <si>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</si>
  <si>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</si>
  <si>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</si>
  <si>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</si>
  <si>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</si>
  <si>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</si>
  <si>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</si>
  <si>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</si>
  <si>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</si>
  <si>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</si>
  <si>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</si>
  <si>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</si>
  <si>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</si>
  <si>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</si>
  <si>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</si>
  <si>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</si>
  <si>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</si>
  <si>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</si>
  <si>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</si>
  <si>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</si>
  <si>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</si>
  <si>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</si>
  <si>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</si>
  <si>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</si>
  <si>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</si>
  <si>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</si>
  <si>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</si>
  <si>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</si>
  <si>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</si>
  <si>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</si>
  <si>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</si>
  <si>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</si>
  <si>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</si>
  <si>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</si>
  <si>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</si>
  <si>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</si>
  <si>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</si>
  <si>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</si>
  <si>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</si>
  <si>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</si>
  <si>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</si>
  <si>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</si>
  <si>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</si>
  <si>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</si>
  <si>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</si>
  <si>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</si>
  <si>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</si>
  <si>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</si>
  <si>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</si>
  <si>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</si>
  <si>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</si>
  <si>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</si>
  <si>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</si>
  <si>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</si>
  <si>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</si>
  <si>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</si>
  <si>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</si>
  <si>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</si>
  <si>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</si>
  <si>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</si>
  <si>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</si>
  <si>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</si>
  <si>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</si>
  <si>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</si>
  <si>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</si>
  <si>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</si>
  <si>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Демонтаж маслобаку</t>
  </si>
  <si>
    <t>Собівартість, грн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</si>
  <si>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</si>
  <si>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</si>
  <si>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</si>
  <si>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</si>
  <si>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</si>
  <si>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</si>
  <si>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310-2024-13-КБ Градирня</t>
  </si>
  <si>
    <t>310-66.3- КБ-Р-Транспортна галерея</t>
  </si>
  <si>
    <t xml:space="preserve">310-66-2-КМ-Норія </t>
  </si>
  <si>
    <t>310-66.3-КМ-Транспортна галерея</t>
  </si>
  <si>
    <t xml:space="preserve">310-66-2-КБ-Р Норійна вежа </t>
  </si>
  <si>
    <t>Деф.акт-Ескіз фундаментної основи під ємність д.12500 та д.8500 мм</t>
  </si>
  <si>
    <t>Деф. акт- Демонтажні робіти по пожводопровіду</t>
  </si>
  <si>
    <t>07 03 2024</t>
  </si>
  <si>
    <t>Орігінал в офісі</t>
  </si>
  <si>
    <t>Подано на Замовника</t>
  </si>
  <si>
    <t>Всього по ДЦ  з ПДВ, грн</t>
  </si>
  <si>
    <t xml:space="preserve"> Реєстр актів виконаних робіт по об'єкту "Реконструкція олійноекстракційного заводу на території ПрАТ «Ніжинський жиркомбінат» за адресою: Чернігівська область м. Ніжин вул. Прилуцька, 2"</t>
  </si>
  <si>
    <t>310-11.2-КБ-Р-Склад олії; V=2000м3</t>
  </si>
  <si>
    <t>310-11.3-КБ-Р-Склад олії; V=2000м3</t>
  </si>
  <si>
    <t>№6.1</t>
  </si>
  <si>
    <t>№6.2</t>
  </si>
  <si>
    <t>№6.3</t>
  </si>
  <si>
    <t xml:space="preserve">310-11.1-КБ-Р-Склад олії; V=4000м3
</t>
  </si>
  <si>
    <t>13 03 2024</t>
  </si>
  <si>
    <t>Влаштування додаткової основи з щебня</t>
  </si>
  <si>
    <t>Почасовка</t>
  </si>
  <si>
    <t>310-10-КБ-Р-Ділянка експандування</t>
  </si>
  <si>
    <t xml:space="preserve">310-10-ТХ-П-Ділянка експандування макухи </t>
  </si>
  <si>
    <t>310-ЗВК-Р</t>
  </si>
  <si>
    <t>АКТИ</t>
  </si>
  <si>
    <t>18 03 2024</t>
  </si>
  <si>
    <t>21 03 2024</t>
  </si>
  <si>
    <t>№20</t>
  </si>
  <si>
    <t>№21</t>
  </si>
  <si>
    <t>№22</t>
  </si>
  <si>
    <t>№25</t>
  </si>
  <si>
    <t>№26</t>
  </si>
  <si>
    <t>Дефектовка на демонтаж градирні</t>
  </si>
  <si>
    <t>Дефектовка на демонтаж дорожнього покриття</t>
  </si>
  <si>
    <t>Дефектовка на розроблення та перевезення піску, демонтаж фундаментів</t>
  </si>
  <si>
    <t xml:space="preserve">310-10-АР-П- Ділянка експандування макухи </t>
  </si>
  <si>
    <t>№29</t>
  </si>
  <si>
    <t>Дефектовка на влаштування основи під протипожежний резервуар</t>
  </si>
  <si>
    <t>310-11.4-КБ-Р-Підпірна стінка (склад олії)</t>
  </si>
  <si>
    <t>ГП310-3-ГП-П- Ніжин Model Благоустрій</t>
  </si>
  <si>
    <t>310-13-ТХ-Ніжин Градирня</t>
  </si>
  <si>
    <t>№27</t>
  </si>
  <si>
    <t>№30</t>
  </si>
  <si>
    <t>№31</t>
  </si>
  <si>
    <t>№32</t>
  </si>
  <si>
    <t>№33</t>
  </si>
  <si>
    <t>№34</t>
  </si>
  <si>
    <t>310-10-КМ-Р- Ділянка експандування</t>
  </si>
  <si>
    <t>05 04 2024</t>
  </si>
  <si>
    <t>№15.1</t>
  </si>
  <si>
    <t>№15.2</t>
  </si>
  <si>
    <t>№23</t>
  </si>
  <si>
    <t>Монтаж Градирні</t>
  </si>
  <si>
    <t>Дефектовка на тимчасові дороги (під наш кран РДК 250)</t>
  </si>
  <si>
    <t>Дефектовка на тимчасові дороги (кран замовника)</t>
  </si>
  <si>
    <t>Оригінал в офісі</t>
  </si>
  <si>
    <t xml:space="preserve">№9 </t>
  </si>
  <si>
    <t>10 04 2024</t>
  </si>
  <si>
    <t>№24.1</t>
  </si>
  <si>
    <t>№24.2.1</t>
  </si>
  <si>
    <t xml:space="preserve">Гідроізоляція Градирні </t>
  </si>
  <si>
    <t>Гідроізоляція Силосу 5.1.5</t>
  </si>
  <si>
    <t>Гідроізоляція Силосу 5.1.6</t>
  </si>
  <si>
    <t>Гідроізоляція Силосу 5.1.7</t>
  </si>
  <si>
    <t>№24.2.2</t>
  </si>
  <si>
    <t>№24.2.3</t>
  </si>
  <si>
    <t>№24.2.4</t>
  </si>
  <si>
    <t>Гідроізоляція Норії</t>
  </si>
  <si>
    <t>№28</t>
  </si>
  <si>
    <t>12 04 2024</t>
  </si>
  <si>
    <t>№4.1</t>
  </si>
  <si>
    <t>Нарощення опор Градирні</t>
  </si>
  <si>
    <t>310-66.2-АР-Р  Норія</t>
  </si>
  <si>
    <t>Всього, грн з ПДВ</t>
  </si>
  <si>
    <t xml:space="preserve"> Реєстр ДЦ  по об'єкту "Реконструкція олійноекстракційного заводу на території ПрАТ «Ніжинський жиркомбінат» за адресою: Чернігівська область м. Ніжин вул. Прилуцька, 2"</t>
  </si>
  <si>
    <t>26 04 2024</t>
  </si>
  <si>
    <t xml:space="preserve">ТХ Монтаж транспортоного обладнання </t>
  </si>
  <si>
    <t>Влаштування фундаметнів та насоси в насосній станції олії</t>
  </si>
  <si>
    <t>№24.3</t>
  </si>
  <si>
    <t>310-66.2-АР-Р  Норія (автоприйом)</t>
  </si>
  <si>
    <t>01 05 2024</t>
  </si>
  <si>
    <t>310-11.5-АБ-Р-Естакада</t>
  </si>
  <si>
    <t>Тимчасові опори під олієпровід</t>
  </si>
  <si>
    <t>№24</t>
  </si>
  <si>
    <t>03 05 2024</t>
  </si>
  <si>
    <t>Майданчик для монтажних робіт корпусу Градірні</t>
  </si>
  <si>
    <t xml:space="preserve"> Монтаж транспортоного обладнання </t>
  </si>
  <si>
    <t>10 05 2024</t>
  </si>
  <si>
    <t>Демонтаж фундаменту бака олії №10</t>
  </si>
  <si>
    <t xml:space="preserve">№12.1 </t>
  </si>
  <si>
    <t>20 05 2024</t>
  </si>
  <si>
    <t>№35</t>
  </si>
  <si>
    <t>№15.3</t>
  </si>
  <si>
    <t>Демонтаж тимчасові дороги 15.2</t>
  </si>
  <si>
    <t>24 05 2024</t>
  </si>
  <si>
    <t>№36</t>
  </si>
  <si>
    <t>310-2020-5.1.7-КБ-Р-Силос металевий для зберігання насіння</t>
  </si>
  <si>
    <t>310-2020-5.1.6-КБ-Р-Силос металевий для зберігання насіння</t>
  </si>
  <si>
    <t>310-2020-5.1.5-КБ-Р-Силос металевий для зберігання насіння</t>
  </si>
  <si>
    <t>№3.5.1.5</t>
  </si>
  <si>
    <t>№3.5.1.6</t>
  </si>
  <si>
    <t>№3.5.1.7</t>
  </si>
  <si>
    <t>04 06 2024</t>
  </si>
  <si>
    <t>Додаткові роботи по ТХ Градирні</t>
  </si>
  <si>
    <t>07 06 2024</t>
  </si>
  <si>
    <t>12 06 2024</t>
  </si>
  <si>
    <t>Вимощення Градирні</t>
  </si>
  <si>
    <t>№37</t>
  </si>
  <si>
    <t>№38</t>
  </si>
  <si>
    <t>№39</t>
  </si>
  <si>
    <t>№40</t>
  </si>
  <si>
    <t>№41</t>
  </si>
  <si>
    <t>Перевезення щебеня на 1 км</t>
  </si>
  <si>
    <t>№42</t>
  </si>
  <si>
    <t>21 06 2024</t>
  </si>
  <si>
    <t>№43</t>
  </si>
  <si>
    <t>24 06 2024</t>
  </si>
  <si>
    <t>ДЦ у відділі ВТВ</t>
  </si>
  <si>
    <t>АВР у відділі ВТВ</t>
  </si>
  <si>
    <t>заповнюємо колонку коментарі з датами коли отримали об'єми і коли відправите акт, або коли АВР планується і маєте отримати дані</t>
  </si>
  <si>
    <t>заповнюємо колонку коментарі з датою коли замовник обіцяє перевірити і в разі питань пишете які є, не важливо стосовно розцінок чи супутньої документації (основне)</t>
  </si>
  <si>
    <t>заповнюємо колонку коментарі з датою коли буде оригінал</t>
  </si>
  <si>
    <t>списання так/ні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</si>
  <si>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</si>
  <si>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зауваження до ССДЦ якщо є і на кому затримка в погодженні</t>
  </si>
  <si>
    <t>заповнюємо колонку коли замовник обіцяє погодити, зауваження якщо є</t>
  </si>
  <si>
    <t>не заповнюємо колонку коментарі</t>
  </si>
  <si>
    <t>так</t>
  </si>
  <si>
    <t xml:space="preserve">5 1 6  - </t>
  </si>
  <si>
    <t>5 1 7  -</t>
  </si>
  <si>
    <t>5 1 5  -</t>
  </si>
  <si>
    <t>не буде?,наші витрати, відпр в бум</t>
  </si>
  <si>
    <t>27 06 2024</t>
  </si>
  <si>
    <t>№44</t>
  </si>
  <si>
    <t>№45</t>
  </si>
  <si>
    <t>№46</t>
  </si>
  <si>
    <t>№47</t>
  </si>
  <si>
    <t>№48</t>
  </si>
  <si>
    <t>№49</t>
  </si>
  <si>
    <t>310-2023-10-КМ- Виносна площадка</t>
  </si>
  <si>
    <t>15 07 2024</t>
  </si>
  <si>
    <t>№50</t>
  </si>
  <si>
    <t>№51</t>
  </si>
  <si>
    <t>№52</t>
  </si>
  <si>
    <t>№53</t>
  </si>
  <si>
    <t>№54</t>
  </si>
  <si>
    <t>№55</t>
  </si>
  <si>
    <t>№56</t>
  </si>
  <si>
    <t>№57</t>
  </si>
  <si>
    <t>№58</t>
  </si>
  <si>
    <t>№59</t>
  </si>
  <si>
    <t>№60</t>
  </si>
  <si>
    <t>№61</t>
  </si>
  <si>
    <t>26 07 2024</t>
  </si>
  <si>
    <t>Не буде, Віканов попросив відразу вкл до АВР, закрит</t>
  </si>
  <si>
    <t>Демонтаж бетона для влаштування фундамента ФМ-1 опори транспортної галереї</t>
  </si>
  <si>
    <t>2 08 2024</t>
  </si>
  <si>
    <t>№62</t>
  </si>
  <si>
    <t>Вимощення на залізничних коліях</t>
  </si>
  <si>
    <t>№63</t>
  </si>
  <si>
    <t>Надання послуг спецтехніки</t>
  </si>
  <si>
    <t>№66</t>
  </si>
  <si>
    <t>03 08 2024</t>
  </si>
  <si>
    <t>09 08 2024</t>
  </si>
  <si>
    <t>Норія</t>
  </si>
  <si>
    <t>12 08 2024</t>
  </si>
  <si>
    <t>№67</t>
  </si>
  <si>
    <t>№69</t>
  </si>
  <si>
    <t>№68</t>
  </si>
  <si>
    <t>№70</t>
  </si>
  <si>
    <t>№71</t>
  </si>
  <si>
    <t>№72</t>
  </si>
  <si>
    <t>№64</t>
  </si>
  <si>
    <t>№65</t>
  </si>
  <si>
    <t>Демонтаж бордюрів (благоустрій)</t>
  </si>
  <si>
    <t>№73</t>
  </si>
  <si>
    <t>Виготовлення олієуловлювача</t>
  </si>
  <si>
    <t>20 08 2024</t>
  </si>
  <si>
    <t>Покриття норійного приямку, дод. роботи</t>
  </si>
  <si>
    <t>Щитова цеху експандування (операторська)</t>
  </si>
  <si>
    <t>26 08 2024</t>
  </si>
  <si>
    <t>КБ Трансформаторної підстанції</t>
  </si>
  <si>
    <t>Фундаменти під КТП, земляні роб.</t>
  </si>
  <si>
    <t>№74</t>
  </si>
  <si>
    <t>№75</t>
  </si>
  <si>
    <t>№76</t>
  </si>
  <si>
    <t>№77</t>
  </si>
  <si>
    <t>№78</t>
  </si>
  <si>
    <t xml:space="preserve">так </t>
  </si>
  <si>
    <t>№79</t>
  </si>
  <si>
    <t>№80</t>
  </si>
  <si>
    <t>№81</t>
  </si>
  <si>
    <t xml:space="preserve">Монтаж олієуловлювача </t>
  </si>
  <si>
    <t>03 09 2024</t>
  </si>
  <si>
    <t>Ремонт дорожнього покриття</t>
  </si>
  <si>
    <t>№82</t>
  </si>
  <si>
    <t>№83</t>
  </si>
  <si>
    <t>№84</t>
  </si>
  <si>
    <t>№85</t>
  </si>
  <si>
    <t>Додаткові роботи ділянка експандування</t>
  </si>
  <si>
    <t>13 09 2024</t>
  </si>
  <si>
    <t>13 08 2024</t>
  </si>
  <si>
    <t>№86</t>
  </si>
  <si>
    <t>Пандус автовигрузки</t>
  </si>
  <si>
    <t>№87</t>
  </si>
  <si>
    <t>17 09 2024</t>
  </si>
  <si>
    <t>Демонтаж олієпроводу</t>
  </si>
  <si>
    <t xml:space="preserve">Фарбування ділянки експандування </t>
  </si>
  <si>
    <t>Олієпровід</t>
  </si>
  <si>
    <t>№89</t>
  </si>
  <si>
    <t>№88</t>
  </si>
  <si>
    <t>Монтаж тельфера</t>
  </si>
  <si>
    <t>20 09 2024</t>
  </si>
  <si>
    <t>№90</t>
  </si>
  <si>
    <t>№91</t>
  </si>
  <si>
    <t>СОРТИРОВКА по актам</t>
  </si>
  <si>
    <t xml:space="preserve"> 63-24-АБ</t>
  </si>
  <si>
    <t>№92</t>
  </si>
  <si>
    <t>№93</t>
  </si>
  <si>
    <t>Влаштування покрівлі гаражу</t>
  </si>
  <si>
    <t>№94</t>
  </si>
  <si>
    <t>№95</t>
  </si>
  <si>
    <t>26 09 2024</t>
  </si>
  <si>
    <t>27 09 2024</t>
  </si>
  <si>
    <t>Влаштування дороги перед лабораторією</t>
  </si>
  <si>
    <t>№99</t>
  </si>
  <si>
    <t>№96</t>
  </si>
  <si>
    <t>№97</t>
  </si>
  <si>
    <t>№98</t>
  </si>
  <si>
    <t>№103</t>
  </si>
  <si>
    <t>№104</t>
  </si>
  <si>
    <t>№105</t>
  </si>
  <si>
    <t>№100</t>
  </si>
  <si>
    <t>щебень</t>
  </si>
  <si>
    <t>№101</t>
  </si>
  <si>
    <t>Не буде, відмовились</t>
  </si>
  <si>
    <t>№106</t>
  </si>
  <si>
    <t>№102</t>
  </si>
  <si>
    <t>07 10 2024</t>
  </si>
  <si>
    <t>Списання мат.</t>
  </si>
  <si>
    <t>МШП-</t>
  </si>
  <si>
    <t>№109</t>
  </si>
  <si>
    <t>№110</t>
  </si>
  <si>
    <t>№107</t>
  </si>
  <si>
    <t>№108</t>
  </si>
  <si>
    <t>№111</t>
  </si>
  <si>
    <t>не буде</t>
  </si>
  <si>
    <t>№112</t>
  </si>
  <si>
    <t>№113</t>
  </si>
  <si>
    <t>22 10 2024</t>
  </si>
  <si>
    <t>№114</t>
  </si>
  <si>
    <t>24 10 2024</t>
  </si>
  <si>
    <t>№115</t>
  </si>
  <si>
    <t>№116</t>
  </si>
  <si>
    <t>№117</t>
  </si>
  <si>
    <t>приямок</t>
  </si>
  <si>
    <t>№118</t>
  </si>
  <si>
    <t>№119</t>
  </si>
  <si>
    <t>№120</t>
  </si>
  <si>
    <t>№121</t>
  </si>
  <si>
    <t>№122</t>
  </si>
  <si>
    <t>Влаштування пожежних гідрантів</t>
  </si>
  <si>
    <t>№123</t>
  </si>
  <si>
    <t>Влаштування подовження конвеєра №31</t>
  </si>
  <si>
    <t>№124</t>
  </si>
  <si>
    <t>№125</t>
  </si>
  <si>
    <t>№126</t>
  </si>
  <si>
    <t>08 11 2024</t>
  </si>
  <si>
    <t xml:space="preserve">08 11 2024 </t>
  </si>
  <si>
    <t>№127</t>
  </si>
  <si>
    <t>14 11 2024</t>
  </si>
  <si>
    <t>№128</t>
  </si>
  <si>
    <t>№129</t>
  </si>
  <si>
    <t>№130</t>
  </si>
  <si>
    <t>щебінь 1 акт</t>
  </si>
  <si>
    <t>ТХ ділянка експандування</t>
  </si>
  <si>
    <t>№132</t>
  </si>
  <si>
    <t>№133</t>
  </si>
  <si>
    <t>на перевірці у Віканова</t>
  </si>
  <si>
    <t>№134</t>
  </si>
  <si>
    <t>21 11 2024</t>
  </si>
  <si>
    <t>№135</t>
  </si>
  <si>
    <t>Ділянка експандування дод. Роб</t>
  </si>
  <si>
    <t>ЗВК дод.роб</t>
  </si>
  <si>
    <t>№136</t>
  </si>
  <si>
    <t>25 11 2024</t>
  </si>
  <si>
    <t>Перенос шнекового конвеєра та бункера жмиха</t>
  </si>
  <si>
    <t>27 11 2024</t>
  </si>
  <si>
    <t>ЙОТ -0004-КБ-1 Когеренаційної установки</t>
  </si>
  <si>
    <t>№137</t>
  </si>
  <si>
    <t>№140</t>
  </si>
  <si>
    <t>№141</t>
  </si>
  <si>
    <t>№144</t>
  </si>
  <si>
    <t>№142</t>
  </si>
  <si>
    <t>№145</t>
  </si>
  <si>
    <t>№146</t>
  </si>
  <si>
    <t>№147</t>
  </si>
  <si>
    <t>№143</t>
  </si>
  <si>
    <t>№148</t>
  </si>
  <si>
    <t>№149</t>
  </si>
  <si>
    <t xml:space="preserve"> 04 12 2024</t>
  </si>
  <si>
    <t>04 12 2024</t>
  </si>
  <si>
    <t>09 12 2024</t>
  </si>
  <si>
    <t>№138</t>
  </si>
  <si>
    <t>у Діми</t>
  </si>
  <si>
    <t>Влаштування примикання до існуючих фундаментів (благоустрій)</t>
  </si>
  <si>
    <t>№139</t>
  </si>
  <si>
    <t>№150</t>
  </si>
  <si>
    <t>18 12 2024</t>
  </si>
  <si>
    <t>№151</t>
  </si>
  <si>
    <t>19 12 2024</t>
  </si>
  <si>
    <t>№152</t>
  </si>
  <si>
    <t>№153</t>
  </si>
  <si>
    <t>№154</t>
  </si>
  <si>
    <t>№155</t>
  </si>
  <si>
    <t>№157</t>
  </si>
  <si>
    <t>№158</t>
  </si>
  <si>
    <t>20 12 2024</t>
  </si>
  <si>
    <t>№159</t>
  </si>
  <si>
    <t>Всього сплачено по Договіру №14/02/24-1ГП</t>
  </si>
  <si>
    <t>різниця</t>
  </si>
  <si>
    <t>Аренда техніки  всього сплачено</t>
  </si>
  <si>
    <t>ЩПС+геотекстиль</t>
  </si>
  <si>
    <t>Аренда техніки Закрито всього Актів + передача матер</t>
  </si>
  <si>
    <t>АКТи аренда техніки із Аванс. табл</t>
  </si>
  <si>
    <t>Передача матер</t>
  </si>
  <si>
    <t>25 12 2024</t>
  </si>
  <si>
    <t xml:space="preserve">25 12 2024 </t>
  </si>
  <si>
    <t>26 12 2024</t>
  </si>
  <si>
    <t>13 01 2025</t>
  </si>
  <si>
    <t>14 01 2025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</si>
</sst>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-* #,##0.00\ _₽_-;\-* #,##0.00\ _₽_-;_-* &quot;-&quot;??\ _₽_-;_-@_-"/>
    <numFmt numFmtId="164" formatCode="_-* #,##0.00\ _₴_-;\-* #,##0.00\ _₴_-;_-* &quot;-&quot;??\ _₴_-;_-@_-"/>
    <numFmt numFmtId="165" formatCode="_-* #,##0.00_₴_-;\-* #,##0.00_₴_-;_-* &quot;-&quot;??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  <numFmt numFmtId="176" formatCode="\№0"/>
    <numFmt numFmtId="177" formatCode="\№0.0"/>
  </numFmts>
  <fonts count="58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color rgb="FFFF3399"/>
      <name val="Times New Roman"/>
      <family val="1"/>
      <charset val="204"/>
    </font>
    <font>
      <sz val="10"/>
      <color rgb="FFFF3399"/>
      <name val="Arial Cyr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5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</cellStyleXfs>
  <cellXfs count="930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165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5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165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5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5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5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5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5" fontId="9" fillId="0" borderId="0" xfId="10" applyFont="1" applyFill="1" applyBorder="1" applyAlignment="1">
      <alignment horizontal="center" vertical="center"/>
    </xf>
    <xf numFmtId="165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5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4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5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4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165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4" fontId="37" fillId="10" borderId="2" xfId="20" applyNumberFormat="1" applyFont="1" applyFill="1" applyBorder="1" applyAlignment="1">
      <alignment horizontal="left" vertical="center"/>
    </xf>
    <xf numFmtId="164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165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4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165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165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165" fontId="37" fillId="0" borderId="0" xfId="20" applyNumberFormat="1" applyFont="1" applyAlignment="1">
      <alignment horizontal="center" vertical="center"/>
    </xf>
    <xf numFmtId="165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4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4" fontId="37" fillId="0" borderId="2" xfId="20" applyNumberFormat="1" applyFont="1" applyBorder="1" applyAlignment="1">
      <alignment horizontal="left" vertical="center"/>
    </xf>
    <xf numFmtId="164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4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4" fontId="37" fillId="0" borderId="1" xfId="20" applyNumberFormat="1" applyFont="1" applyBorder="1" applyAlignment="1">
      <alignment horizontal="left" vertical="center"/>
    </xf>
    <xf numFmtId="165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165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4" fontId="38" fillId="0" borderId="0" xfId="21" applyNumberFormat="1" applyFont="1" applyFill="1" applyBorder="1" applyAlignment="1">
      <alignment vertical="center"/>
    </xf>
    <xf numFmtId="164" fontId="37" fillId="10" borderId="1" xfId="20" applyNumberFormat="1" applyFont="1" applyFill="1" applyBorder="1" applyAlignment="1">
      <alignment horizontal="left" vertical="center"/>
    </xf>
    <xf numFmtId="164" fontId="37" fillId="0" borderId="12" xfId="20" applyNumberFormat="1" applyFont="1" applyBorder="1" applyAlignment="1">
      <alignment horizontal="center" vertical="center"/>
    </xf>
    <xf numFmtId="164" fontId="37" fillId="0" borderId="56" xfId="20" applyNumberFormat="1" applyFont="1" applyBorder="1" applyAlignment="1">
      <alignment horizontal="center" vertical="center"/>
    </xf>
    <xf numFmtId="164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4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4" fontId="38" fillId="0" borderId="47" xfId="20" applyNumberFormat="1" applyFont="1" applyBorder="1" applyAlignment="1">
      <alignment horizontal="center" vertical="center"/>
    </xf>
    <xf numFmtId="164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4" fontId="43" fillId="0" borderId="1" xfId="20" applyNumberFormat="1" applyFont="1" applyBorder="1" applyAlignment="1">
      <alignment horizontal="center" vertical="center"/>
    </xf>
    <xf numFmtId="164" fontId="43" fillId="0" borderId="12" xfId="20" applyNumberFormat="1" applyFont="1" applyBorder="1" applyAlignment="1">
      <alignment horizontal="center" vertical="center"/>
    </xf>
    <xf numFmtId="164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4" fontId="37" fillId="0" borderId="0" xfId="20" applyNumberFormat="1" applyFont="1" applyAlignment="1">
      <alignment horizontal="center" vertical="center"/>
    </xf>
    <xf numFmtId="164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4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165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165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4" fontId="38" fillId="10" borderId="64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4" fontId="38" fillId="10" borderId="29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4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left" vertical="center"/>
    </xf>
    <xf numFmtId="164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4" fontId="37" fillId="10" borderId="39" xfId="20" applyNumberFormat="1" applyFont="1" applyFill="1" applyBorder="1" applyAlignment="1">
      <alignment horizontal="center" vertical="center"/>
    </xf>
    <xf numFmtId="164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4" fontId="38" fillId="0" borderId="4" xfId="20" applyNumberFormat="1" applyFont="1" applyBorder="1" applyAlignment="1">
      <alignment horizontal="center" vertical="center"/>
    </xf>
    <xf numFmtId="164" fontId="38" fillId="0" borderId="4" xfId="20" applyNumberFormat="1" applyFont="1" applyBorder="1" applyAlignment="1">
      <alignment horizontal="left" vertical="center"/>
    </xf>
    <xf numFmtId="164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4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4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4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4" fontId="44" fillId="0" borderId="41" xfId="20" applyNumberFormat="1" applyFont="1" applyBorder="1" applyAlignment="1">
      <alignment horizontal="center" vertical="center"/>
    </xf>
    <xf numFmtId="164" fontId="44" fillId="0" borderId="32" xfId="20" applyNumberFormat="1" applyFont="1" applyBorder="1" applyAlignment="1">
      <alignment horizontal="center" vertical="center"/>
    </xf>
    <xf numFmtId="43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4" fontId="37" fillId="0" borderId="58" xfId="20" applyNumberFormat="1" applyFont="1" applyBorder="1" applyAlignment="1">
      <alignment horizontal="center" vertical="center"/>
    </xf>
    <xf numFmtId="164" fontId="37" fillId="0" borderId="41" xfId="20" applyNumberFormat="1" applyFont="1" applyBorder="1" applyAlignment="1">
      <alignment horizontal="center" vertical="center"/>
    </xf>
    <xf numFmtId="164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4" fontId="37" fillId="0" borderId="34" xfId="20" applyNumberFormat="1" applyFont="1" applyBorder="1" applyAlignment="1">
      <alignment horizontal="left" vertical="center"/>
    </xf>
    <xf numFmtId="164" fontId="37" fillId="0" borderId="35" xfId="20" applyNumberFormat="1" applyFont="1" applyBorder="1" applyAlignment="1">
      <alignment horizontal="center" vertical="center"/>
    </xf>
    <xf numFmtId="164" fontId="37" fillId="0" borderId="37" xfId="20" applyNumberFormat="1" applyFont="1" applyBorder="1" applyAlignment="1">
      <alignment horizontal="center" vertical="center"/>
    </xf>
    <xf numFmtId="164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4" fontId="39" fillId="4" borderId="15" xfId="20" applyNumberFormat="1" applyFont="1" applyFill="1" applyBorder="1" applyAlignment="1">
      <alignment horizontal="center" vertical="center"/>
    </xf>
    <xf numFmtId="164" fontId="37" fillId="4" borderId="15" xfId="20" applyNumberFormat="1" applyFont="1" applyFill="1" applyBorder="1" applyAlignment="1">
      <alignment horizontal="left" vertical="center"/>
    </xf>
    <xf numFmtId="164" fontId="37" fillId="4" borderId="15" xfId="20" applyNumberFormat="1" applyFont="1" applyFill="1" applyBorder="1" applyAlignment="1">
      <alignment horizontal="center" vertical="center"/>
    </xf>
    <xf numFmtId="164" fontId="37" fillId="0" borderId="26" xfId="20" applyNumberFormat="1" applyFont="1" applyBorder="1" applyAlignment="1">
      <alignment horizontal="left" vertical="center"/>
    </xf>
    <xf numFmtId="164" fontId="42" fillId="0" borderId="26" xfId="20" applyNumberFormat="1" applyFont="1" applyBorder="1" applyAlignment="1">
      <alignment horizontal="center" vertical="center"/>
    </xf>
    <xf numFmtId="164" fontId="43" fillId="0" borderId="26" xfId="20" applyNumberFormat="1" applyFont="1" applyBorder="1" applyAlignment="1">
      <alignment horizontal="center" vertical="center"/>
    </xf>
    <xf numFmtId="164" fontId="43" fillId="0" borderId="34" xfId="20" applyNumberFormat="1" applyFont="1" applyBorder="1" applyAlignment="1">
      <alignment horizontal="center" vertical="center"/>
    </xf>
    <xf numFmtId="164" fontId="43" fillId="0" borderId="35" xfId="20" applyNumberFormat="1" applyFont="1" applyBorder="1" applyAlignment="1">
      <alignment horizontal="center" vertical="center"/>
    </xf>
    <xf numFmtId="164" fontId="44" fillId="0" borderId="37" xfId="20" applyNumberFormat="1" applyFont="1" applyBorder="1" applyAlignment="1">
      <alignment horizontal="center" vertical="center"/>
    </xf>
    <xf numFmtId="164" fontId="44" fillId="0" borderId="43" xfId="20" applyNumberFormat="1" applyFont="1" applyBorder="1" applyAlignment="1">
      <alignment horizontal="center" vertical="center"/>
    </xf>
    <xf numFmtId="164" fontId="43" fillId="0" borderId="37" xfId="20" applyNumberFormat="1" applyFont="1" applyBorder="1" applyAlignment="1">
      <alignment horizontal="center" vertical="center"/>
    </xf>
    <xf numFmtId="164" fontId="43" fillId="0" borderId="43" xfId="20" applyNumberFormat="1" applyFont="1" applyBorder="1" applyAlignment="1">
      <alignment horizontal="center" vertical="center"/>
    </xf>
    <xf numFmtId="164" fontId="37" fillId="10" borderId="38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left" vertical="center"/>
    </xf>
    <xf numFmtId="164" fontId="37" fillId="0" borderId="66" xfId="20" applyNumberFormat="1" applyFont="1" applyBorder="1" applyAlignment="1">
      <alignment horizontal="center" vertical="center"/>
    </xf>
    <xf numFmtId="164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4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4" fontId="38" fillId="0" borderId="29" xfId="20" applyNumberFormat="1" applyFont="1" applyBorder="1" applyAlignment="1">
      <alignment horizontal="center" vertical="center"/>
    </xf>
    <xf numFmtId="164" fontId="38" fillId="0" borderId="62" xfId="20" applyNumberFormat="1" applyFont="1" applyBorder="1" applyAlignment="1">
      <alignment horizontal="center" vertical="center"/>
    </xf>
    <xf numFmtId="164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4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4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center" vertical="center"/>
    </xf>
    <xf numFmtId="164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4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4" fontId="43" fillId="10" borderId="22" xfId="20" applyNumberFormat="1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4" fontId="38" fillId="0" borderId="19" xfId="20" applyNumberFormat="1" applyFont="1" applyBorder="1" applyAlignment="1">
      <alignment horizontal="left" vertical="center"/>
    </xf>
    <xf numFmtId="164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4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4" fontId="44" fillId="0" borderId="14" xfId="20" applyNumberFormat="1" applyFont="1" applyBorder="1" applyAlignment="1">
      <alignment horizontal="center" vertical="center"/>
    </xf>
    <xf numFmtId="164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4" fontId="38" fillId="10" borderId="25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left" vertical="center"/>
    </xf>
    <xf numFmtId="164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4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4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4" fontId="42" fillId="0" borderId="2" xfId="20" applyNumberFormat="1" applyFont="1" applyBorder="1" applyAlignment="1">
      <alignment horizontal="center" vertical="center"/>
    </xf>
    <xf numFmtId="164" fontId="42" fillId="0" borderId="37" xfId="20" applyNumberFormat="1" applyFont="1" applyBorder="1" applyAlignment="1">
      <alignment horizontal="center" vertical="center"/>
    </xf>
    <xf numFmtId="164" fontId="42" fillId="0" borderId="1" xfId="20" applyNumberFormat="1" applyFont="1" applyBorder="1" applyAlignment="1">
      <alignment horizontal="center" vertical="center"/>
    </xf>
    <xf numFmtId="164" fontId="43" fillId="0" borderId="14" xfId="20" applyNumberFormat="1" applyFont="1" applyBorder="1" applyAlignment="1">
      <alignment horizontal="center" vertical="center"/>
    </xf>
    <xf numFmtId="164" fontId="43" fillId="0" borderId="2" xfId="20" applyNumberFormat="1" applyFont="1" applyBorder="1" applyAlignment="1">
      <alignment horizontal="center" vertical="center"/>
    </xf>
    <xf numFmtId="43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4" fontId="37" fillId="10" borderId="6" xfId="20" applyNumberFormat="1" applyFont="1" applyFill="1" applyBorder="1" applyAlignment="1">
      <alignment horizontal="center" vertical="center"/>
    </xf>
    <xf numFmtId="164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165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4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4" fontId="38" fillId="6" borderId="47" xfId="20" applyNumberFormat="1" applyFont="1" applyFill="1" applyBorder="1" applyAlignment="1">
      <alignment horizontal="center" vertical="center"/>
    </xf>
    <xf numFmtId="1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 vertical="center"/>
    </xf>
    <xf numFmtId="0" fontId="42" fillId="0" borderId="0" xfId="20" applyFont="1" applyAlignment="1">
      <alignment horizontal="center" vertical="center"/>
    </xf>
    <xf numFmtId="0" fontId="42" fillId="0" borderId="0" xfId="20" applyFont="1" applyBorder="1" applyAlignment="1">
      <alignment horizontal="center" vertical="center"/>
    </xf>
    <xf numFmtId="0" fontId="37" fillId="0" borderId="0" xfId="20" applyFont="1" applyBorder="1" applyAlignment="1">
      <alignment horizontal="center" vertical="center"/>
    </xf>
    <xf numFmtId="0" fontId="42" fillId="2" borderId="0" xfId="20" applyFont="1" applyFill="1" applyBorder="1" applyAlignment="1">
      <alignment horizontal="center" vertical="center"/>
    </xf>
    <xf numFmtId="0" fontId="37" fillId="2" borderId="0" xfId="20" applyFont="1" applyFill="1" applyBorder="1" applyAlignment="1">
      <alignment horizontal="center" vertical="center"/>
    </xf>
    <xf numFmtId="43" fontId="37" fillId="2" borderId="0" xfId="20" applyNumberFormat="1" applyFont="1" applyFill="1" applyBorder="1" applyAlignment="1">
      <alignment horizontal="center" vertical="center"/>
    </xf>
    <xf numFmtId="164" fontId="40" fillId="2" borderId="0" xfId="20" applyNumberFormat="1" applyFont="1" applyFill="1" applyBorder="1" applyAlignment="1">
      <alignment horizontal="center" vertical="center"/>
    </xf>
    <xf numFmtId="164" fontId="39" fillId="2" borderId="0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164" fontId="48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vertical="center"/>
    </xf>
    <xf numFmtId="1" fontId="49" fillId="10" borderId="2" xfId="20" applyNumberFormat="1" applyFont="1" applyFill="1" applyBorder="1" applyAlignment="1">
      <alignment horizontal="center" vertical="center"/>
    </xf>
    <xf numFmtId="1" fontId="49" fillId="10" borderId="2" xfId="20" applyNumberFormat="1" applyFont="1" applyFill="1" applyBorder="1" applyAlignment="1">
      <alignment horizontal="center" vertical="center" wrapText="1"/>
    </xf>
    <xf numFmtId="0" fontId="49" fillId="10" borderId="2" xfId="20" applyNumberFormat="1" applyFont="1" applyFill="1" applyBorder="1" applyAlignment="1">
      <alignment horizontal="center" vertical="center" wrapText="1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164" fontId="49" fillId="10" borderId="6" xfId="20" applyNumberFormat="1" applyFont="1" applyFill="1" applyBorder="1" applyAlignment="1">
      <alignment vertical="center"/>
    </xf>
    <xf numFmtId="164" fontId="49" fillId="10" borderId="20" xfId="20" applyNumberFormat="1" applyFont="1" applyFill="1" applyBorder="1" applyAlignment="1">
      <alignment vertical="center"/>
    </xf>
    <xf numFmtId="164" fontId="49" fillId="10" borderId="2" xfId="20" applyNumberFormat="1" applyFont="1" applyFill="1" applyBorder="1" applyAlignment="1">
      <alignment horizontal="center" vertical="center" wrapText="1"/>
    </xf>
    <xf numFmtId="164" fontId="49" fillId="10" borderId="2" xfId="20" applyNumberFormat="1" applyFont="1" applyFill="1" applyBorder="1" applyAlignment="1">
      <alignment vertical="center" wrapText="1"/>
    </xf>
    <xf numFmtId="164" fontId="48" fillId="10" borderId="2" xfId="20" applyNumberFormat="1" applyFont="1" applyFill="1" applyBorder="1" applyAlignment="1">
      <alignment vertical="center"/>
    </xf>
    <xf numFmtId="0" fontId="49" fillId="10" borderId="2" xfId="20" applyFont="1" applyFill="1" applyBorder="1" applyAlignment="1">
      <alignment vertical="center" wrapText="1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8" fillId="10" borderId="2" xfId="20" applyNumberFormat="1" applyFont="1" applyFill="1" applyBorder="1" applyAlignment="1">
      <alignment horizontal="center" vertical="center" wrapText="1"/>
    </xf>
    <xf numFmtId="164" fontId="48" fillId="10" borderId="2" xfId="20" applyNumberFormat="1" applyFont="1" applyFill="1" applyBorder="1" applyAlignment="1">
      <alignment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2" borderId="2" xfId="20" applyFont="1" applyFill="1" applyBorder="1" applyAlignment="1">
      <alignment horizontal="center" vertical="center"/>
    </xf>
    <xf numFmtId="0" fontId="49" fillId="12" borderId="2" xfId="20" applyFont="1" applyFill="1" applyBorder="1" applyAlignment="1">
      <alignment horizontal="left" vertical="center" wrapText="1"/>
    </xf>
    <xf numFmtId="164" fontId="49" fillId="12" borderId="2" xfId="20" applyNumberFormat="1" applyFont="1" applyFill="1" applyBorder="1" applyAlignment="1">
      <alignment horizontal="center" vertical="center"/>
    </xf>
    <xf numFmtId="175" fontId="49" fillId="12" borderId="2" xfId="20" applyNumberFormat="1" applyFont="1" applyFill="1" applyBorder="1" applyAlignment="1">
      <alignment horizontal="center" vertical="center"/>
    </xf>
    <xf numFmtId="164" fontId="48" fillId="12" borderId="2" xfId="20" applyNumberFormat="1" applyFont="1" applyFill="1" applyBorder="1" applyAlignment="1">
      <alignment horizontal="center" vertical="center"/>
    </xf>
    <xf numFmtId="164" fontId="49" fillId="12" borderId="2" xfId="20" applyNumberFormat="1" applyFont="1" applyFill="1" applyBorder="1" applyAlignment="1">
      <alignment vertical="center"/>
    </xf>
    <xf numFmtId="164" fontId="48" fillId="12" borderId="2" xfId="20" applyNumberFormat="1" applyFont="1" applyFill="1" applyBorder="1" applyAlignment="1">
      <alignment vertical="center"/>
    </xf>
    <xf numFmtId="164" fontId="49" fillId="12" borderId="2" xfId="20" applyNumberFormat="1" applyFont="1" applyFill="1" applyBorder="1" applyAlignment="1">
      <alignment horizontal="center" vertical="center" wrapText="1"/>
    </xf>
    <xf numFmtId="164" fontId="48" fillId="12" borderId="6" xfId="20" applyNumberFormat="1" applyFont="1" applyFill="1" applyBorder="1" applyAlignment="1">
      <alignment horizontal="center" vertical="center"/>
    </xf>
    <xf numFmtId="164" fontId="49" fillId="12" borderId="6" xfId="20" applyNumberFormat="1" applyFont="1" applyFill="1" applyBorder="1" applyAlignment="1">
      <alignment horizontal="center" vertical="center"/>
    </xf>
    <xf numFmtId="0" fontId="49" fillId="12" borderId="6" xfId="20" applyNumberFormat="1" applyFont="1" applyFill="1" applyBorder="1" applyAlignment="1">
      <alignment horizontal="center" vertical="center" wrapText="1"/>
    </xf>
    <xf numFmtId="0" fontId="49" fillId="12" borderId="6" xfId="20" applyFont="1" applyFill="1" applyBorder="1" applyAlignment="1">
      <alignment horizontal="center" vertical="center"/>
    </xf>
    <xf numFmtId="0" fontId="49" fillId="12" borderId="6" xfId="20" applyFont="1" applyFill="1" applyBorder="1" applyAlignment="1">
      <alignment horizontal="left" vertical="center" wrapText="1"/>
    </xf>
    <xf numFmtId="0" fontId="49" fillId="12" borderId="2" xfId="20" applyNumberFormat="1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51" fillId="10" borderId="2" xfId="20" applyNumberFormat="1" applyFont="1" applyFill="1" applyBorder="1" applyAlignment="1">
      <alignment horizontal="center" vertical="center" wrapText="1"/>
    </xf>
    <xf numFmtId="0" fontId="49" fillId="10" borderId="2" xfId="20" applyNumberFormat="1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vertical="center"/>
    </xf>
    <xf numFmtId="0" fontId="49" fillId="10" borderId="2" xfId="20" applyFont="1" applyFill="1" applyBorder="1" applyAlignment="1">
      <alignment horizontal="center" vertical="center"/>
    </xf>
    <xf numFmtId="0" fontId="49" fillId="12" borderId="19" xfId="20" applyFont="1" applyFill="1" applyBorder="1" applyAlignment="1">
      <alignment horizontal="center" vertical="center"/>
    </xf>
    <xf numFmtId="0" fontId="49" fillId="12" borderId="19" xfId="20" applyFont="1" applyFill="1" applyBorder="1" applyAlignment="1">
      <alignment horizontal="left" vertical="center" wrapText="1"/>
    </xf>
    <xf numFmtId="164" fontId="49" fillId="12" borderId="19" xfId="20" applyNumberFormat="1" applyFont="1" applyFill="1" applyBorder="1" applyAlignment="1">
      <alignment horizontal="center" vertical="center"/>
    </xf>
    <xf numFmtId="176" fontId="49" fillId="10" borderId="2" xfId="20" applyNumberFormat="1" applyFont="1" applyFill="1" applyBorder="1" applyAlignment="1">
      <alignment horizontal="center" vertical="center" wrapText="1"/>
    </xf>
    <xf numFmtId="176" fontId="49" fillId="10" borderId="2" xfId="20" applyNumberFormat="1" applyFont="1" applyFill="1" applyBorder="1" applyAlignment="1">
      <alignment horizontal="center" vertical="center"/>
    </xf>
    <xf numFmtId="177" fontId="49" fillId="10" borderId="2" xfId="20" applyNumberFormat="1" applyFont="1" applyFill="1" applyBorder="1" applyAlignment="1">
      <alignment horizontal="center" vertical="center" wrapText="1"/>
    </xf>
    <xf numFmtId="175" fontId="49" fillId="12" borderId="19" xfId="20" applyNumberFormat="1" applyFont="1" applyFill="1" applyBorder="1" applyAlignment="1">
      <alignment horizontal="center" vertical="center"/>
    </xf>
    <xf numFmtId="164" fontId="48" fillId="12" borderId="19" xfId="20" applyNumberFormat="1" applyFont="1" applyFill="1" applyBorder="1" applyAlignment="1">
      <alignment horizontal="center" vertical="center"/>
    </xf>
    <xf numFmtId="164" fontId="49" fillId="12" borderId="19" xfId="20" applyNumberFormat="1" applyFont="1" applyFill="1" applyBorder="1" applyAlignment="1">
      <alignment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5" fontId="48" fillId="4" borderId="22" xfId="21" applyFont="1" applyFill="1" applyBorder="1" applyAlignment="1">
      <alignment horizontal="center" vertical="center" wrapText="1"/>
    </xf>
    <xf numFmtId="0" fontId="39" fillId="0" borderId="2" xfId="20" applyFont="1" applyBorder="1" applyAlignment="1">
      <alignment horizontal="center" vertical="center" wrapText="1"/>
    </xf>
    <xf numFmtId="0" fontId="49" fillId="10" borderId="2" xfId="20" applyNumberFormat="1" applyFont="1" applyFill="1" applyBorder="1" applyAlignment="1">
      <alignment vertical="center" wrapText="1"/>
    </xf>
    <xf numFmtId="0" fontId="52" fillId="10" borderId="2" xfId="20" applyNumberFormat="1" applyFont="1" applyFill="1" applyBorder="1" applyAlignment="1">
      <alignment horizontal="center" vertical="center" wrapText="1"/>
    </xf>
    <xf numFmtId="164" fontId="53" fillId="10" borderId="2" xfId="20" applyNumberFormat="1" applyFont="1" applyFill="1" applyBorder="1" applyAlignment="1">
      <alignment horizontal="center" vertical="center"/>
    </xf>
    <xf numFmtId="0" fontId="54" fillId="0" borderId="0" xfId="20" applyFont="1" applyBorder="1" applyAlignment="1">
      <alignment horizontal="center" vertical="center"/>
    </xf>
    <xf numFmtId="164" fontId="52" fillId="10" borderId="2" xfId="20" applyNumberFormat="1" applyFont="1" applyFill="1" applyBorder="1" applyAlignment="1">
      <alignment horizontal="center" vertical="center" wrapText="1"/>
    </xf>
    <xf numFmtId="175" fontId="49" fillId="10" borderId="2" xfId="20" applyNumberFormat="1" applyFont="1" applyFill="1" applyBorder="1" applyAlignment="1">
      <alignment vertical="center" wrapText="1"/>
    </xf>
    <xf numFmtId="164" fontId="49" fillId="10" borderId="2" xfId="20" applyNumberFormat="1" applyFont="1" applyFill="1" applyBorder="1" applyAlignment="1">
      <alignment horizontal="left" vertical="center"/>
    </xf>
    <xf numFmtId="0" fontId="49" fillId="10" borderId="6" xfId="20" applyFont="1" applyFill="1" applyBorder="1" applyAlignment="1">
      <alignment horizontal="left" vertical="center" wrapText="1"/>
    </xf>
    <xf numFmtId="164" fontId="49" fillId="10" borderId="6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vertical="center" wrapText="1"/>
    </xf>
    <xf numFmtId="0" fontId="49" fillId="10" borderId="20" xfId="20" applyFont="1" applyFill="1" applyBorder="1" applyAlignment="1">
      <alignment vertical="center" wrapText="1"/>
    </xf>
    <xf numFmtId="0" fontId="49" fillId="10" borderId="19" xfId="20" applyFont="1" applyFill="1" applyBorder="1" applyAlignment="1">
      <alignment vertical="center" wrapText="1"/>
    </xf>
    <xf numFmtId="164" fontId="49" fillId="10" borderId="19" xfId="20" applyNumberFormat="1" applyFont="1" applyFill="1" applyBorder="1" applyAlignment="1">
      <alignment vertical="center"/>
    </xf>
    <xf numFmtId="0" fontId="52" fillId="10" borderId="20" xfId="20" applyFont="1" applyFill="1" applyBorder="1" applyAlignment="1">
      <alignment vertical="center" wrapText="1"/>
    </xf>
    <xf numFmtId="164" fontId="52" fillId="10" borderId="20" xfId="20" applyNumberFormat="1" applyFont="1" applyFill="1" applyBorder="1" applyAlignment="1">
      <alignment vertical="center"/>
    </xf>
    <xf numFmtId="0" fontId="52" fillId="10" borderId="19" xfId="20" applyFont="1" applyFill="1" applyBorder="1" applyAlignment="1">
      <alignment vertical="center" wrapText="1"/>
    </xf>
    <xf numFmtId="164" fontId="52" fillId="10" borderId="19" xfId="20" applyNumberFormat="1" applyFont="1" applyFill="1" applyBorder="1" applyAlignment="1">
      <alignment vertical="center"/>
    </xf>
    <xf numFmtId="43" fontId="37" fillId="0" borderId="0" xfId="20" applyNumberFormat="1" applyFont="1" applyBorder="1" applyAlignment="1">
      <alignment horizontal="center" vertical="center"/>
    </xf>
    <xf numFmtId="0" fontId="49" fillId="10" borderId="6" xfId="20" applyFont="1" applyFill="1" applyBorder="1" applyAlignment="1">
      <alignment vertical="center"/>
    </xf>
    <xf numFmtId="0" fontId="49" fillId="10" borderId="20" xfId="20" applyFont="1" applyFill="1" applyBorder="1" applyAlignment="1">
      <alignment vertical="center"/>
    </xf>
    <xf numFmtId="0" fontId="49" fillId="10" borderId="19" xfId="20" applyFont="1" applyFill="1" applyBorder="1" applyAlignment="1">
      <alignment vertical="center"/>
    </xf>
    <xf numFmtId="0" fontId="52" fillId="10" borderId="20" xfId="20" applyFont="1" applyFill="1" applyBorder="1" applyAlignment="1">
      <alignment vertical="center"/>
    </xf>
    <xf numFmtId="0" fontId="52" fillId="10" borderId="19" xfId="20" applyFont="1" applyFill="1" applyBorder="1" applyAlignment="1">
      <alignment vertical="center"/>
    </xf>
    <xf numFmtId="167" fontId="48" fillId="0" borderId="2" xfId="21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left" vertical="center" wrapText="1"/>
    </xf>
    <xf numFmtId="0" fontId="49" fillId="10" borderId="12" xfId="20" applyFont="1" applyFill="1" applyBorder="1" applyAlignment="1">
      <alignment vertical="center"/>
    </xf>
    <xf numFmtId="1" fontId="49" fillId="10" borderId="3" xfId="20" applyNumberFormat="1" applyFont="1" applyFill="1" applyBorder="1" applyAlignment="1">
      <alignment horizontal="center" vertical="center"/>
    </xf>
    <xf numFmtId="0" fontId="49" fillId="10" borderId="12" xfId="20" applyFont="1" applyFill="1" applyBorder="1" applyAlignment="1">
      <alignment vertical="center" wrapText="1"/>
    </xf>
    <xf numFmtId="164" fontId="49" fillId="10" borderId="11" xfId="20" applyNumberFormat="1" applyFont="1" applyFill="1" applyBorder="1" applyAlignment="1">
      <alignment vertical="center"/>
    </xf>
    <xf numFmtId="0" fontId="49" fillId="10" borderId="15" xfId="20" applyFont="1" applyFill="1" applyBorder="1" applyAlignment="1">
      <alignment vertical="center" wrapText="1"/>
    </xf>
    <xf numFmtId="164" fontId="49" fillId="10" borderId="9" xfId="20" applyNumberFormat="1" applyFont="1" applyFill="1" applyBorder="1" applyAlignment="1">
      <alignment vertical="center"/>
    </xf>
    <xf numFmtId="0" fontId="49" fillId="10" borderId="14" xfId="20" applyFont="1" applyFill="1" applyBorder="1" applyAlignment="1">
      <alignment vertical="center" wrapText="1"/>
    </xf>
    <xf numFmtId="164" fontId="49" fillId="10" borderId="10" xfId="20" applyNumberFormat="1" applyFont="1" applyFill="1" applyBorder="1" applyAlignment="1">
      <alignment vertical="center"/>
    </xf>
    <xf numFmtId="0" fontId="49" fillId="10" borderId="1" xfId="20" applyFont="1" applyFill="1" applyBorder="1" applyAlignment="1">
      <alignment horizontal="center" vertical="center"/>
    </xf>
    <xf numFmtId="0" fontId="49" fillId="10" borderId="19" xfId="20" applyFont="1" applyFill="1" applyBorder="1" applyAlignment="1">
      <alignment horizontal="left" vertical="center" wrapText="1"/>
    </xf>
    <xf numFmtId="164" fontId="49" fillId="10" borderId="11" xfId="20" applyNumberFormat="1" applyFont="1" applyFill="1" applyBorder="1" applyAlignment="1">
      <alignment horizontal="center" vertical="center"/>
    </xf>
    <xf numFmtId="164" fontId="49" fillId="10" borderId="19" xfId="20" applyNumberFormat="1" applyFont="1" applyFill="1" applyBorder="1" applyAlignment="1">
      <alignment horizontal="center" vertical="center"/>
    </xf>
    <xf numFmtId="0" fontId="49" fillId="10" borderId="12" xfId="20" applyFont="1" applyFill="1" applyBorder="1" applyAlignment="1">
      <alignment horizontal="left" vertical="center" wrapText="1"/>
    </xf>
    <xf numFmtId="0" fontId="49" fillId="10" borderId="14" xfId="20" applyFont="1" applyFill="1" applyBorder="1" applyAlignment="1">
      <alignment horizontal="left" vertical="center" wrapText="1"/>
    </xf>
    <xf numFmtId="164" fontId="49" fillId="10" borderId="10" xfId="20" applyNumberFormat="1" applyFont="1" applyFill="1" applyBorder="1" applyAlignment="1">
      <alignment horizontal="center" vertical="center"/>
    </xf>
    <xf numFmtId="164" fontId="49" fillId="10" borderId="6" xfId="20" applyNumberFormat="1" applyFont="1" applyFill="1" applyBorder="1" applyAlignment="1">
      <alignment horizontal="center" vertical="center" wrapText="1"/>
    </xf>
    <xf numFmtId="0" fontId="49" fillId="10" borderId="19" xfId="20" applyFont="1" applyFill="1" applyBorder="1" applyAlignment="1">
      <alignment horizontal="center" vertical="center"/>
    </xf>
    <xf numFmtId="164" fontId="49" fillId="10" borderId="20" xfId="20" applyNumberFormat="1" applyFont="1" applyFill="1" applyBorder="1" applyAlignment="1">
      <alignment horizontal="center" vertical="center"/>
    </xf>
    <xf numFmtId="164" fontId="48" fillId="10" borderId="6" xfId="20" applyNumberFormat="1" applyFont="1" applyFill="1" applyBorder="1" applyAlignment="1">
      <alignment horizontal="center" vertical="center"/>
    </xf>
    <xf numFmtId="1" fontId="49" fillId="10" borderId="19" xfId="20" applyNumberFormat="1" applyFont="1" applyFill="1" applyBorder="1" applyAlignment="1">
      <alignment horizontal="center" vertical="center"/>
    </xf>
    <xf numFmtId="176" fontId="49" fillId="10" borderId="19" xfId="20" applyNumberFormat="1" applyFont="1" applyFill="1" applyBorder="1" applyAlignment="1">
      <alignment horizontal="center" vertical="center"/>
    </xf>
    <xf numFmtId="164" fontId="48" fillId="10" borderId="19" xfId="20" applyNumberFormat="1" applyFont="1" applyFill="1" applyBorder="1" applyAlignment="1">
      <alignment horizontal="center" vertical="center"/>
    </xf>
    <xf numFmtId="0" fontId="49" fillId="10" borderId="3" xfId="20" applyNumberFormat="1" applyFont="1" applyFill="1" applyBorder="1" applyAlignment="1">
      <alignment horizontal="center" vertical="center" wrapText="1"/>
    </xf>
    <xf numFmtId="0" fontId="49" fillId="10" borderId="15" xfId="20" applyFont="1" applyFill="1" applyBorder="1" applyAlignment="1">
      <alignment vertical="center"/>
    </xf>
    <xf numFmtId="0" fontId="49" fillId="10" borderId="14" xfId="20" applyFont="1" applyFill="1" applyBorder="1" applyAlignment="1">
      <alignment vertical="center"/>
    </xf>
    <xf numFmtId="164" fontId="49" fillId="10" borderId="3" xfId="20" applyNumberFormat="1" applyFont="1" applyFill="1" applyBorder="1" applyAlignment="1">
      <alignment horizontal="center" vertical="center"/>
    </xf>
    <xf numFmtId="0" fontId="55" fillId="10" borderId="2" xfId="20" applyNumberFormat="1" applyFont="1" applyFill="1" applyBorder="1" applyAlignment="1">
      <alignment vertical="center" wrapText="1"/>
    </xf>
    <xf numFmtId="164" fontId="55" fillId="10" borderId="2" xfId="20" applyNumberFormat="1" applyFont="1" applyFill="1" applyBorder="1" applyAlignment="1">
      <alignment horizontal="left" vertical="center"/>
    </xf>
    <xf numFmtId="0" fontId="39" fillId="0" borderId="0" xfId="20" applyFont="1" applyBorder="1" applyAlignment="1">
      <alignment horizontal="center" vertical="center" wrapText="1"/>
    </xf>
    <xf numFmtId="164" fontId="52" fillId="10" borderId="3" xfId="20" applyNumberFormat="1" applyFont="1" applyFill="1" applyBorder="1" applyAlignment="1">
      <alignment horizontal="center" vertical="center"/>
    </xf>
    <xf numFmtId="0" fontId="52" fillId="10" borderId="0" xfId="20" applyFont="1" applyFill="1" applyBorder="1" applyAlignment="1">
      <alignment vertical="center" wrapText="1"/>
    </xf>
    <xf numFmtId="164" fontId="52" fillId="10" borderId="9" xfId="20" applyNumberFormat="1" applyFont="1" applyFill="1" applyBorder="1" applyAlignment="1">
      <alignment vertical="center"/>
    </xf>
    <xf numFmtId="0" fontId="52" fillId="10" borderId="2" xfId="20" applyFont="1" applyFill="1" applyBorder="1" applyAlignment="1">
      <alignment vertical="center"/>
    </xf>
    <xf numFmtId="0" fontId="49" fillId="10" borderId="0" xfId="20" applyFont="1" applyFill="1" applyBorder="1" applyAlignment="1">
      <alignment vertical="center" wrapText="1"/>
    </xf>
    <xf numFmtId="164" fontId="49" fillId="10" borderId="0" xfId="20" applyNumberFormat="1" applyFont="1" applyFill="1" applyBorder="1" applyAlignment="1">
      <alignment vertical="center"/>
    </xf>
    <xf numFmtId="1" fontId="49" fillId="10" borderId="10" xfId="20" applyNumberFormat="1" applyFont="1" applyFill="1" applyBorder="1" applyAlignment="1">
      <alignment horizontal="center" vertical="center"/>
    </xf>
    <xf numFmtId="0" fontId="49" fillId="10" borderId="1" xfId="20" applyFont="1" applyFill="1" applyBorder="1" applyAlignment="1">
      <alignment vertical="center"/>
    </xf>
    <xf numFmtId="164" fontId="55" fillId="10" borderId="2" xfId="20" applyNumberFormat="1" applyFont="1" applyFill="1" applyBorder="1" applyAlignment="1">
      <alignment vertical="center"/>
    </xf>
    <xf numFmtId="164" fontId="55" fillId="10" borderId="6" xfId="20" applyNumberFormat="1" applyFont="1" applyFill="1" applyBorder="1" applyAlignment="1">
      <alignment horizontal="center" vertical="center"/>
    </xf>
    <xf numFmtId="1" fontId="52" fillId="10" borderId="3" xfId="20" applyNumberFormat="1" applyFont="1" applyFill="1" applyBorder="1" applyAlignment="1">
      <alignment horizontal="center" vertical="center"/>
    </xf>
    <xf numFmtId="14" fontId="49" fillId="10" borderId="6" xfId="20" applyNumberFormat="1" applyFont="1" applyFill="1" applyBorder="1" applyAlignment="1">
      <alignment horizontal="center" vertical="center"/>
    </xf>
    <xf numFmtId="164" fontId="52" fillId="10" borderId="10" xfId="20" applyNumberFormat="1" applyFont="1" applyFill="1" applyBorder="1" applyAlignment="1">
      <alignment horizontal="center" vertical="center"/>
    </xf>
    <xf numFmtId="176" fontId="52" fillId="10" borderId="19" xfId="20" applyNumberFormat="1" applyFont="1" applyFill="1" applyBorder="1" applyAlignment="1">
      <alignment horizontal="center" vertical="center"/>
    </xf>
    <xf numFmtId="164" fontId="48" fillId="10" borderId="19" xfId="20" applyNumberFormat="1" applyFont="1" applyFill="1" applyBorder="1" applyAlignment="1">
      <alignment vertical="center"/>
    </xf>
    <xf numFmtId="0" fontId="52" fillId="10" borderId="19" xfId="20" applyNumberFormat="1" applyFont="1" applyFill="1" applyBorder="1" applyAlignment="1">
      <alignment horizontal="center" vertical="center" wrapText="1"/>
    </xf>
    <xf numFmtId="164" fontId="52" fillId="10" borderId="19" xfId="20" applyNumberFormat="1" applyFont="1" applyFill="1" applyBorder="1" applyAlignment="1">
      <alignment horizontal="center" vertical="center" wrapText="1"/>
    </xf>
    <xf numFmtId="0" fontId="49" fillId="10" borderId="14" xfId="20" applyFont="1" applyFill="1" applyBorder="1" applyAlignment="1">
      <alignment horizontal="center" vertical="center"/>
    </xf>
    <xf numFmtId="164" fontId="49" fillId="10" borderId="9" xfId="20" applyNumberFormat="1" applyFont="1" applyFill="1" applyBorder="1" applyAlignment="1">
      <alignment horizontal="center" vertical="center"/>
    </xf>
    <xf numFmtId="0" fontId="0" fillId="10" borderId="15" xfId="0" applyFill="1" applyBorder="1" applyAlignment="1">
      <alignment vertical="center" wrapText="1"/>
    </xf>
    <xf numFmtId="14" fontId="38" fillId="0" borderId="0" xfId="20" applyNumberFormat="1" applyFont="1" applyAlignment="1">
      <alignment horizontal="center" vertical="center"/>
    </xf>
    <xf numFmtId="1" fontId="56" fillId="10" borderId="3" xfId="20" applyNumberFormat="1" applyFont="1" applyFill="1" applyBorder="1" applyAlignment="1">
      <alignment horizontal="center" vertical="center"/>
    </xf>
    <xf numFmtId="164" fontId="56" fillId="10" borderId="2" xfId="20" applyNumberFormat="1" applyFont="1" applyFill="1" applyBorder="1" applyAlignment="1">
      <alignment vertical="center"/>
    </xf>
    <xf numFmtId="164" fontId="56" fillId="10" borderId="6" xfId="20" applyNumberFormat="1" applyFont="1" applyFill="1" applyBorder="1" applyAlignment="1">
      <alignment horizontal="center" vertical="center"/>
    </xf>
    <xf numFmtId="0" fontId="56" fillId="10" borderId="2" xfId="20" applyNumberFormat="1" applyFont="1" applyFill="1" applyBorder="1" applyAlignment="1">
      <alignment vertical="center" wrapText="1"/>
    </xf>
    <xf numFmtId="0" fontId="49" fillId="10" borderId="20" xfId="20" applyFont="1" applyFill="1" applyBorder="1" applyAlignment="1">
      <alignment horizontal="left" vertical="center" wrapText="1"/>
    </xf>
    <xf numFmtId="164" fontId="56" fillId="10" borderId="3" xfId="20" applyNumberFormat="1" applyFont="1" applyFill="1" applyBorder="1" applyAlignment="1">
      <alignment horizontal="center" vertical="center"/>
    </xf>
    <xf numFmtId="0" fontId="57" fillId="10" borderId="14" xfId="0" applyFont="1" applyFill="1" applyBorder="1" applyAlignment="1">
      <alignment vertical="center" wrapText="1"/>
    </xf>
    <xf numFmtId="164" fontId="56" fillId="10" borderId="10" xfId="20" applyNumberFormat="1" applyFont="1" applyFill="1" applyBorder="1" applyAlignment="1">
      <alignment horizontal="center" vertical="center"/>
    </xf>
    <xf numFmtId="175" fontId="56" fillId="10" borderId="2" xfId="20" applyNumberFormat="1" applyFont="1" applyFill="1" applyBorder="1" applyAlignment="1">
      <alignment vertical="center" wrapText="1"/>
    </xf>
    <xf numFmtId="1" fontId="56" fillId="10" borderId="2" xfId="20" applyNumberFormat="1" applyFont="1" applyFill="1" applyBorder="1" applyAlignment="1">
      <alignment horizontal="center" vertical="center"/>
    </xf>
    <xf numFmtId="0" fontId="49" fillId="10" borderId="15" xfId="20" applyFont="1" applyFill="1" applyBorder="1" applyAlignment="1">
      <alignment horizontal="left" vertical="center" wrapText="1"/>
    </xf>
    <xf numFmtId="167" fontId="49" fillId="0" borderId="0" xfId="21" applyNumberFormat="1" applyFont="1" applyFill="1" applyAlignment="1">
      <alignment horizontal="center"/>
    </xf>
    <xf numFmtId="167" fontId="48" fillId="0" borderId="0" xfId="21" applyNumberFormat="1" applyFont="1" applyFill="1" applyAlignment="1">
      <alignment horizontal="right"/>
    </xf>
    <xf numFmtId="164" fontId="51" fillId="10" borderId="2" xfId="20" applyNumberFormat="1" applyFont="1" applyFill="1" applyBorder="1" applyAlignment="1">
      <alignment horizontal="center" vertical="center" wrapText="1"/>
    </xf>
    <xf numFmtId="0" fontId="51" fillId="10" borderId="19" xfId="20" applyNumberFormat="1" applyFont="1" applyFill="1" applyBorder="1" applyAlignment="1">
      <alignment horizontal="center" vertical="center" wrapText="1"/>
    </xf>
    <xf numFmtId="0" fontId="49" fillId="10" borderId="20" xfId="20" applyFont="1" applyFill="1" applyBorder="1" applyAlignment="1">
      <alignment horizontal="center" vertical="center"/>
    </xf>
    <xf numFmtId="0" fontId="52" fillId="10" borderId="15" xfId="20" applyFont="1" applyFill="1" applyBorder="1" applyAlignment="1">
      <alignment vertical="center"/>
    </xf>
    <xf numFmtId="0" fontId="49" fillId="10" borderId="15" xfId="20" applyFont="1" applyFill="1" applyBorder="1" applyAlignment="1">
      <alignment horizontal="center" vertical="center"/>
    </xf>
    <xf numFmtId="0" fontId="49" fillId="10" borderId="12" xfId="20" applyFont="1" applyFill="1" applyBorder="1" applyAlignment="1">
      <alignment horizontal="center" vertical="center"/>
    </xf>
    <xf numFmtId="0" fontId="52" fillId="10" borderId="1" xfId="20" applyFont="1" applyFill="1" applyBorder="1" applyAlignment="1">
      <alignment vertical="center"/>
    </xf>
    <xf numFmtId="0" fontId="52" fillId="10" borderId="14" xfId="20" applyFont="1" applyFill="1" applyBorder="1" applyAlignment="1">
      <alignment vertical="center"/>
    </xf>
    <xf numFmtId="0" fontId="57" fillId="10" borderId="2" xfId="0" applyFont="1" applyFill="1" applyBorder="1" applyAlignment="1">
      <alignment vertical="center" wrapText="1"/>
    </xf>
    <xf numFmtId="0" fontId="52" fillId="10" borderId="14" xfId="20" applyFont="1" applyFill="1" applyBorder="1" applyAlignment="1">
      <alignment vertical="center" wrapText="1"/>
    </xf>
    <xf numFmtId="0" fontId="52" fillId="10" borderId="15" xfId="20" applyFont="1" applyFill="1" applyBorder="1" applyAlignment="1">
      <alignment vertical="center" wrapText="1"/>
    </xf>
    <xf numFmtId="0" fontId="0" fillId="10" borderId="2" xfId="0" applyFill="1" applyBorder="1" applyAlignment="1">
      <alignment vertical="center" wrapText="1"/>
    </xf>
    <xf numFmtId="0" fontId="49" fillId="10" borderId="0" xfId="20" applyFont="1" applyFill="1" applyBorder="1" applyAlignment="1">
      <alignment horizontal="left" vertical="center" wrapText="1"/>
    </xf>
    <xf numFmtId="0" fontId="0" fillId="10" borderId="14" xfId="0" applyFill="1" applyBorder="1" applyAlignment="1">
      <alignment vertical="center" wrapText="1"/>
    </xf>
    <xf numFmtId="0" fontId="52" fillId="10" borderId="2" xfId="20" applyFont="1" applyFill="1" applyBorder="1" applyAlignment="1">
      <alignment vertical="center" wrapText="1"/>
    </xf>
    <xf numFmtId="164" fontId="56" fillId="10" borderId="2" xfId="20" applyNumberFormat="1" applyFont="1" applyFill="1" applyBorder="1" applyAlignment="1">
      <alignment horizontal="center" vertical="center"/>
    </xf>
    <xf numFmtId="164" fontId="52" fillId="10" borderId="10" xfId="20" applyNumberFormat="1" applyFont="1" applyFill="1" applyBorder="1" applyAlignment="1">
      <alignment vertical="center"/>
    </xf>
    <xf numFmtId="164" fontId="49" fillId="10" borderId="0" xfId="20" applyNumberFormat="1" applyFont="1" applyFill="1" applyBorder="1" applyAlignment="1">
      <alignment horizontal="center" vertical="center"/>
    </xf>
    <xf numFmtId="164" fontId="52" fillId="10" borderId="2" xfId="20" applyNumberFormat="1" applyFont="1" applyFill="1" applyBorder="1" applyAlignment="1">
      <alignment vertical="center"/>
    </xf>
    <xf numFmtId="1" fontId="49" fillId="10" borderId="3" xfId="20" applyNumberFormat="1" applyFont="1" applyFill="1" applyBorder="1" applyAlignment="1">
      <alignment horizontal="center" vertical="center" wrapText="1"/>
    </xf>
    <xf numFmtId="0" fontId="49" fillId="10" borderId="10" xfId="20" applyNumberFormat="1" applyFont="1" applyFill="1" applyBorder="1" applyAlignment="1">
      <alignment horizontal="center" vertical="center" wrapText="1"/>
    </xf>
    <xf numFmtId="1" fontId="49" fillId="10" borderId="10" xfId="20" applyNumberFormat="1" applyFont="1" applyFill="1" applyBorder="1" applyAlignment="1">
      <alignment horizontal="center" vertical="center" wrapText="1"/>
    </xf>
    <xf numFmtId="176" fontId="52" fillId="10" borderId="2" xfId="20" applyNumberFormat="1" applyFont="1" applyFill="1" applyBorder="1" applyAlignment="1">
      <alignment horizontal="center" vertical="center"/>
    </xf>
    <xf numFmtId="176" fontId="49" fillId="10" borderId="19" xfId="20" applyNumberFormat="1" applyFont="1" applyFill="1" applyBorder="1" applyAlignment="1">
      <alignment horizontal="center" vertical="center" wrapText="1"/>
    </xf>
    <xf numFmtId="164" fontId="48" fillId="10" borderId="19" xfId="20" applyNumberFormat="1" applyFont="1" applyFill="1" applyBorder="1" applyAlignment="1">
      <alignment vertical="center" wrapText="1"/>
    </xf>
    <xf numFmtId="164" fontId="49" fillId="10" borderId="19" xfId="20" applyNumberFormat="1" applyFont="1" applyFill="1" applyBorder="1" applyAlignment="1">
      <alignment vertical="center" wrapText="1"/>
    </xf>
    <xf numFmtId="14" fontId="49" fillId="10" borderId="2" xfId="20" applyNumberFormat="1" applyFont="1" applyFill="1" applyBorder="1" applyAlignment="1">
      <alignment horizontal="center" vertical="center"/>
    </xf>
    <xf numFmtId="0" fontId="49" fillId="10" borderId="6" xfId="20" applyNumberFormat="1" applyFont="1" applyFill="1" applyBorder="1" applyAlignment="1">
      <alignment horizontal="left" vertical="center" wrapText="1"/>
    </xf>
    <xf numFmtId="164" fontId="52" fillId="10" borderId="6" xfId="20" applyNumberFormat="1" applyFont="1" applyFill="1" applyBorder="1" applyAlignment="1">
      <alignment horizontal="center" vertical="center" wrapText="1"/>
    </xf>
    <xf numFmtId="0" fontId="49" fillId="10" borderId="6" xfId="20" applyNumberFormat="1" applyFont="1" applyFill="1" applyBorder="1" applyAlignment="1">
      <alignment horizontal="center" vertical="center" wrapText="1"/>
    </xf>
    <xf numFmtId="164" fontId="55" fillId="10" borderId="2" xfId="20" applyNumberFormat="1" applyFont="1" applyFill="1" applyBorder="1" applyAlignment="1">
      <alignment horizontal="center" vertical="center"/>
    </xf>
    <xf numFmtId="0" fontId="49" fillId="10" borderId="6" xfId="20" applyNumberFormat="1" applyFont="1" applyFill="1" applyBorder="1" applyAlignment="1">
      <alignment vertical="center" wrapText="1"/>
    </xf>
    <xf numFmtId="0" fontId="42" fillId="0" borderId="2" xfId="20" applyFont="1" applyBorder="1" applyAlignment="1">
      <alignment horizontal="center" vertical="center"/>
    </xf>
    <xf numFmtId="43" fontId="37" fillId="0" borderId="2" xfId="20" applyNumberFormat="1" applyFont="1" applyBorder="1" applyAlignment="1">
      <alignment horizontal="center" vertical="center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5" fontId="16" fillId="2" borderId="0" xfId="2" applyFont="1" applyFill="1" applyBorder="1" applyAlignment="1">
      <alignment horizontal="left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165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165" fontId="25" fillId="4" borderId="27" xfId="10" applyFont="1" applyFill="1" applyBorder="1" applyAlignment="1">
      <alignment horizontal="center" vertical="center" wrapText="1"/>
    </xf>
    <xf numFmtId="165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50" fillId="0" borderId="0" xfId="20" applyFont="1" applyAlignment="1">
      <alignment horizontal="center" vertical="center" wrapText="1"/>
    </xf>
    <xf numFmtId="165" fontId="48" fillId="4" borderId="24" xfId="21" applyFont="1" applyFill="1" applyBorder="1" applyAlignment="1">
      <alignment horizontal="center" vertical="center" wrapText="1"/>
    </xf>
    <xf numFmtId="165" fontId="48" fillId="4" borderId="36" xfId="21" applyFont="1" applyFill="1" applyBorder="1" applyAlignment="1">
      <alignment horizontal="center" vertical="center" wrapText="1"/>
    </xf>
    <xf numFmtId="165" fontId="48" fillId="4" borderId="31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167" fontId="48" fillId="4" borderId="4" xfId="21" applyNumberFormat="1" applyFont="1" applyFill="1" applyBorder="1" applyAlignment="1">
      <alignment horizontal="center" vertical="center" wrapText="1"/>
    </xf>
    <xf numFmtId="165" fontId="48" fillId="4" borderId="26" xfId="21" applyFont="1" applyFill="1" applyBorder="1" applyAlignment="1">
      <alignment horizontal="center" vertical="center" wrapText="1"/>
    </xf>
    <xf numFmtId="165" fontId="48" fillId="4" borderId="28" xfId="21" applyFont="1" applyFill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4" xfId="21" applyFont="1" applyFill="1" applyBorder="1" applyAlignment="1">
      <alignment horizontal="center" vertical="center" wrapText="1"/>
    </xf>
    <xf numFmtId="165" fontId="48" fillId="4" borderId="29" xfId="21" applyFont="1" applyFill="1" applyBorder="1" applyAlignment="1">
      <alignment horizontal="center" vertical="center" wrapText="1"/>
    </xf>
    <xf numFmtId="165" fontId="48" fillId="4" borderId="62" xfId="21" applyFont="1" applyFill="1" applyBorder="1" applyAlignment="1">
      <alignment horizontal="center" vertical="center" wrapText="1"/>
    </xf>
    <xf numFmtId="165" fontId="48" fillId="4" borderId="32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2" xfId="20" applyFont="1" applyFill="1" applyBorder="1" applyAlignment="1">
      <alignment horizontal="center" vertical="center"/>
    </xf>
    <xf numFmtId="0" fontId="48" fillId="4" borderId="22" xfId="20" applyFont="1" applyFill="1" applyBorder="1" applyAlignment="1">
      <alignment horizontal="center" vertical="center"/>
    </xf>
    <xf numFmtId="0" fontId="50" fillId="0" borderId="59" xfId="20" applyFont="1" applyBorder="1" applyAlignment="1">
      <alignment horizontal="center" vertical="center" wrapText="1"/>
    </xf>
    <xf numFmtId="165" fontId="48" fillId="4" borderId="40" xfId="21" applyFont="1" applyFill="1" applyBorder="1" applyAlignment="1">
      <alignment horizontal="center" vertical="center" wrapText="1"/>
    </xf>
    <xf numFmtId="165" fontId="48" fillId="4" borderId="66" xfId="21" applyFont="1" applyFill="1" applyBorder="1" applyAlignment="1">
      <alignment horizontal="center" vertical="center" wrapText="1"/>
    </xf>
    <xf numFmtId="165" fontId="48" fillId="4" borderId="67" xfId="21" applyFont="1" applyFill="1" applyBorder="1" applyAlignment="1">
      <alignment horizontal="center" vertical="center" wrapText="1"/>
    </xf>
    <xf numFmtId="165" fontId="48" fillId="4" borderId="14" xfId="21" applyFont="1" applyFill="1" applyBorder="1" applyAlignment="1">
      <alignment horizontal="center" vertical="center" wrapText="1"/>
    </xf>
    <xf numFmtId="165" fontId="48" fillId="4" borderId="16" xfId="21" applyFont="1" applyFill="1" applyBorder="1" applyAlignment="1">
      <alignment horizontal="center" vertical="center" wrapText="1"/>
    </xf>
    <xf numFmtId="165" fontId="48" fillId="4" borderId="10" xfId="21" applyFont="1" applyFill="1" applyBorder="1" applyAlignment="1">
      <alignment horizontal="center" vertical="center" wrapText="1"/>
    </xf>
    <xf numFmtId="165" fontId="48" fillId="4" borderId="25" xfId="21" applyFont="1" applyFill="1" applyBorder="1" applyAlignment="1">
      <alignment horizontal="center" vertical="center" wrapText="1"/>
    </xf>
    <xf numFmtId="165" fontId="48" fillId="4" borderId="20" xfId="21" applyFont="1" applyFill="1" applyBorder="1" applyAlignment="1">
      <alignment horizontal="center" vertical="center" wrapText="1"/>
    </xf>
    <xf numFmtId="167" fontId="48" fillId="0" borderId="0" xfId="21" applyNumberFormat="1" applyFont="1" applyFill="1" applyBorder="1" applyAlignment="1">
      <alignment horizontal="right" vertical="center"/>
    </xf>
    <xf numFmtId="167" fontId="48" fillId="0" borderId="9" xfId="21" applyNumberFormat="1" applyFont="1" applyFill="1" applyBorder="1" applyAlignment="1">
      <alignment horizontal="right" vertical="center"/>
    </xf>
    <xf numFmtId="167" fontId="48" fillId="0" borderId="0" xfId="21" applyNumberFormat="1" applyFont="1" applyFill="1" applyBorder="1" applyAlignment="1">
      <alignment horizontal="center" vertical="center" wrapText="1"/>
    </xf>
    <xf numFmtId="167" fontId="48" fillId="0" borderId="0" xfId="21" applyNumberFormat="1" applyFont="1" applyFill="1" applyBorder="1" applyAlignment="1">
      <alignment horizontal="left" vertical="center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7" fillId="0" borderId="24" xfId="20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5" xfId="20" applyFont="1" applyBorder="1" applyAlignment="1">
      <alignment horizontal="center" vertical="center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4" fontId="39" fillId="0" borderId="25" xfId="20" applyNumberFormat="1" applyFont="1" applyBorder="1" applyAlignment="1">
      <alignment horizontal="center" vertical="center"/>
    </xf>
    <xf numFmtId="164" fontId="39" fillId="0" borderId="20" xfId="20" applyNumberFormat="1" applyFont="1" applyBorder="1" applyAlignment="1">
      <alignment horizontal="center" vertical="center"/>
    </xf>
    <xf numFmtId="164" fontId="39" fillId="0" borderId="4" xfId="20" applyNumberFormat="1" applyFont="1" applyBorder="1" applyAlignment="1">
      <alignment horizontal="center" vertical="center"/>
    </xf>
    <xf numFmtId="164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4" fontId="39" fillId="10" borderId="25" xfId="20" applyNumberFormat="1" applyFont="1" applyFill="1" applyBorder="1" applyAlignment="1">
      <alignment horizontal="center" vertical="center"/>
    </xf>
    <xf numFmtId="164" fontId="39" fillId="10" borderId="20" xfId="20" applyNumberFormat="1" applyFont="1" applyFill="1" applyBorder="1" applyAlignment="1">
      <alignment horizontal="center" vertical="center"/>
    </xf>
    <xf numFmtId="164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4" fontId="39" fillId="10" borderId="25" xfId="20" applyNumberFormat="1" applyFont="1" applyFill="1" applyBorder="1" applyAlignment="1">
      <alignment horizontal="left" vertical="center"/>
    </xf>
    <xf numFmtId="164" fontId="39" fillId="10" borderId="20" xfId="20" applyNumberFormat="1" applyFont="1" applyFill="1" applyBorder="1" applyAlignment="1">
      <alignment horizontal="left" vertical="center"/>
    </xf>
    <xf numFmtId="164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8" fillId="0" borderId="20" xfId="20" applyFont="1" applyBorder="1" applyAlignment="1">
      <alignment horizontal="center" vertical="center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165" fontId="38" fillId="2" borderId="1" xfId="21" applyFont="1" applyFill="1" applyBorder="1" applyAlignment="1">
      <alignment horizontal="center" vertical="center" wrapText="1"/>
    </xf>
    <xf numFmtId="165" fontId="38" fillId="2" borderId="3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165" fontId="38" fillId="2" borderId="12" xfId="21" applyFont="1" applyFill="1" applyBorder="1" applyAlignment="1">
      <alignment horizontal="center" vertical="center" wrapText="1"/>
    </xf>
    <xf numFmtId="165" fontId="38" fillId="2" borderId="11" xfId="21" applyFont="1" applyFill="1" applyBorder="1" applyAlignment="1">
      <alignment horizontal="center" vertical="center" wrapText="1"/>
    </xf>
    <xf numFmtId="165" fontId="38" fillId="2" borderId="14" xfId="21" applyFont="1" applyFill="1" applyBorder="1" applyAlignment="1">
      <alignment horizontal="center" vertical="center" wrapText="1"/>
    </xf>
    <xf numFmtId="165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165" fontId="38" fillId="2" borderId="63" xfId="21" applyFont="1" applyFill="1" applyBorder="1" applyAlignment="1">
      <alignment horizontal="center" vertical="center" wrapText="1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5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3399"/>
      <color rgb="FFE5F2B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775" t="s">
        <v>37</v>
      </c>
      <c r="B5" s="775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775" t="s">
        <v>24</v>
      </c>
      <c r="B6" s="775"/>
      <c r="C6" s="82"/>
      <c r="D6" s="776"/>
      <c r="E6" s="776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775" t="s">
        <v>38</v>
      </c>
      <c r="B7" s="775"/>
      <c r="C7" s="775"/>
      <c r="D7" s="775"/>
      <c r="E7" s="775"/>
      <c r="F7" s="775"/>
      <c r="G7" s="775"/>
      <c r="H7" s="775"/>
      <c r="I7" s="775"/>
      <c r="J7" s="82"/>
      <c r="L7" s="61"/>
      <c r="V7" s="62"/>
      <c r="W7" s="63"/>
    </row>
    <row r="8" spans="1:23" s="60" customFormat="1" ht="12.75" customHeight="1" x14ac:dyDescent="0.25">
      <c r="A8" s="775" t="s">
        <v>39</v>
      </c>
      <c r="B8" s="775"/>
      <c r="C8" s="775"/>
      <c r="D8" s="775"/>
      <c r="E8" s="775"/>
      <c r="F8" s="775"/>
      <c r="G8" s="775"/>
      <c r="H8" s="775"/>
      <c r="I8" s="775"/>
      <c r="J8" s="82"/>
      <c r="L8" s="61"/>
      <c r="V8" s="62"/>
      <c r="W8" s="63"/>
    </row>
    <row r="9" spans="1:23" s="60" customFormat="1" ht="12.75" customHeight="1" x14ac:dyDescent="0.25">
      <c r="A9" s="774" t="s">
        <v>40</v>
      </c>
      <c r="B9" s="774"/>
      <c r="C9" s="774"/>
      <c r="D9" s="774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777" t="s">
        <v>0</v>
      </c>
      <c r="B11" s="777"/>
      <c r="C11" s="777"/>
      <c r="D11" s="777"/>
      <c r="E11" s="777"/>
      <c r="F11" s="777"/>
      <c r="G11" s="777"/>
      <c r="H11" s="777"/>
      <c r="I11" s="777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778" t="s">
        <v>1</v>
      </c>
      <c r="B13" s="761" t="s">
        <v>2</v>
      </c>
      <c r="C13" s="778" t="s">
        <v>13</v>
      </c>
      <c r="D13" s="779" t="s">
        <v>3</v>
      </c>
      <c r="E13" s="780" t="s">
        <v>14</v>
      </c>
      <c r="F13" s="781" t="s">
        <v>27</v>
      </c>
      <c r="G13" s="781"/>
      <c r="H13" s="779" t="s">
        <v>17</v>
      </c>
      <c r="I13" s="779"/>
      <c r="J13" s="762" t="s">
        <v>30</v>
      </c>
      <c r="K13" s="763"/>
      <c r="L13" s="764"/>
      <c r="M13" s="761" t="s">
        <v>26</v>
      </c>
      <c r="N13" s="761"/>
      <c r="O13" s="761"/>
      <c r="P13" s="761"/>
      <c r="Q13" s="761" t="s">
        <v>29</v>
      </c>
      <c r="R13" s="761"/>
      <c r="S13" s="761"/>
      <c r="T13" s="761"/>
      <c r="U13" s="761"/>
      <c r="V13" s="768" t="s">
        <v>34</v>
      </c>
      <c r="W13" s="769"/>
    </row>
    <row r="14" spans="1:23" s="3" customFormat="1" ht="20.25" customHeight="1" x14ac:dyDescent="0.25">
      <c r="A14" s="778"/>
      <c r="B14" s="761"/>
      <c r="C14" s="778"/>
      <c r="D14" s="779"/>
      <c r="E14" s="780"/>
      <c r="F14" s="779" t="s">
        <v>41</v>
      </c>
      <c r="G14" s="779"/>
      <c r="H14" s="779"/>
      <c r="I14" s="779"/>
      <c r="J14" s="765"/>
      <c r="K14" s="766"/>
      <c r="L14" s="767"/>
      <c r="M14" s="761"/>
      <c r="N14" s="761"/>
      <c r="O14" s="761"/>
      <c r="P14" s="761"/>
      <c r="Q14" s="761"/>
      <c r="R14" s="761"/>
      <c r="S14" s="761"/>
      <c r="T14" s="761"/>
      <c r="U14" s="761"/>
      <c r="V14" s="770"/>
      <c r="W14" s="771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770"/>
      <c r="W15" s="771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760" t="s">
        <v>32</v>
      </c>
      <c r="U16" s="760"/>
      <c r="V16" s="772"/>
      <c r="W16" s="773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  <mergeCell ref="A9:D9"/>
    <mergeCell ref="A5:B5"/>
    <mergeCell ref="A6:B6"/>
    <mergeCell ref="D6:E6"/>
    <mergeCell ref="A7:I7"/>
    <mergeCell ref="A8:I8"/>
    <mergeCell ref="T16:U16"/>
    <mergeCell ref="Q13:U14"/>
    <mergeCell ref="J13:L14"/>
    <mergeCell ref="V13:W16"/>
    <mergeCell ref="M13:P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791" t="s">
        <v>93</v>
      </c>
      <c r="B1" s="791"/>
      <c r="C1" s="791"/>
      <c r="D1" s="791"/>
      <c r="E1" s="791"/>
      <c r="F1" s="791"/>
      <c r="G1" s="791"/>
      <c r="H1" s="791"/>
      <c r="I1" s="791"/>
      <c r="J1" s="791"/>
      <c r="K1" s="791"/>
      <c r="L1" s="791"/>
      <c r="M1" s="791"/>
    </row>
    <row r="2" spans="1:13" ht="16.2" thickBot="1" x14ac:dyDescent="0.3">
      <c r="M2" s="216"/>
    </row>
    <row r="3" spans="1:13" ht="31.5" customHeight="1" x14ac:dyDescent="0.25">
      <c r="A3" s="801" t="s">
        <v>84</v>
      </c>
      <c r="B3" s="803" t="s">
        <v>82</v>
      </c>
      <c r="C3" s="803" t="s">
        <v>86</v>
      </c>
      <c r="D3" s="803" t="s">
        <v>85</v>
      </c>
      <c r="E3" s="792" t="s">
        <v>83</v>
      </c>
      <c r="F3" s="796" t="s">
        <v>90</v>
      </c>
      <c r="G3" s="797"/>
      <c r="H3" s="798"/>
      <c r="I3" s="794" t="s">
        <v>9</v>
      </c>
      <c r="J3" s="799" t="s">
        <v>91</v>
      </c>
      <c r="K3" s="799"/>
      <c r="L3" s="800"/>
      <c r="M3" s="794" t="s">
        <v>50</v>
      </c>
    </row>
    <row r="4" spans="1:13" x14ac:dyDescent="0.25">
      <c r="A4" s="802"/>
      <c r="B4" s="804"/>
      <c r="C4" s="804"/>
      <c r="D4" s="804"/>
      <c r="E4" s="793"/>
      <c r="F4" s="145" t="s">
        <v>87</v>
      </c>
      <c r="G4" s="135" t="s">
        <v>88</v>
      </c>
      <c r="H4" s="135" t="s">
        <v>89</v>
      </c>
      <c r="I4" s="795"/>
      <c r="J4" s="143" t="s">
        <v>87</v>
      </c>
      <c r="K4" s="135" t="s">
        <v>88</v>
      </c>
      <c r="L4" s="135" t="s">
        <v>89</v>
      </c>
      <c r="M4" s="795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785">
        <v>4</v>
      </c>
      <c r="B6" s="782" t="s">
        <v>97</v>
      </c>
      <c r="C6" s="788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786"/>
      <c r="B7" s="783"/>
      <c r="C7" s="789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786"/>
      <c r="B8" s="783"/>
      <c r="C8" s="789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787"/>
      <c r="B9" s="784"/>
      <c r="C9" s="790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811" t="s">
        <v>84</v>
      </c>
      <c r="B2" s="811" t="s">
        <v>99</v>
      </c>
      <c r="C2" s="811" t="s">
        <v>86</v>
      </c>
      <c r="D2" s="811" t="s">
        <v>51</v>
      </c>
      <c r="E2" s="805" t="s">
        <v>100</v>
      </c>
      <c r="F2" s="806"/>
      <c r="G2" s="807"/>
      <c r="H2" s="808" t="s">
        <v>101</v>
      </c>
      <c r="I2" s="809"/>
      <c r="J2" s="809"/>
      <c r="K2" s="809"/>
      <c r="L2" s="809"/>
      <c r="M2" s="810"/>
      <c r="N2" s="805" t="s">
        <v>102</v>
      </c>
      <c r="O2" s="806"/>
      <c r="P2" s="807"/>
    </row>
    <row r="3" spans="1:16" ht="16.2" thickBot="1" x14ac:dyDescent="0.3">
      <c r="A3" s="812"/>
      <c r="B3" s="812"/>
      <c r="C3" s="812"/>
      <c r="D3" s="812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813">
        <v>4</v>
      </c>
      <c r="B4" s="816" t="s">
        <v>109</v>
      </c>
      <c r="C4" s="816" t="s">
        <v>94</v>
      </c>
      <c r="D4" s="816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814"/>
      <c r="B5" s="817"/>
      <c r="C5" s="817"/>
      <c r="D5" s="817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814"/>
      <c r="B6" s="817"/>
      <c r="C6" s="817"/>
      <c r="D6" s="817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814"/>
      <c r="B7" s="817"/>
      <c r="C7" s="817"/>
      <c r="D7" s="817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814"/>
      <c r="B8" s="817"/>
      <c r="C8" s="817"/>
      <c r="D8" s="818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814"/>
      <c r="B9" s="817"/>
      <c r="C9" s="817"/>
      <c r="D9" s="819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814"/>
      <c r="B10" s="817"/>
      <c r="C10" s="817"/>
      <c r="D10" s="820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814"/>
      <c r="B11" s="817"/>
      <c r="C11" s="817"/>
      <c r="D11" s="821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814"/>
      <c r="B12" s="817"/>
      <c r="C12" s="817"/>
      <c r="D12" s="816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814"/>
      <c r="B13" s="817"/>
      <c r="C13" s="817"/>
      <c r="D13" s="817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814"/>
      <c r="B14" s="817"/>
      <c r="C14" s="817"/>
      <c r="D14" s="818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814"/>
      <c r="B15" s="817"/>
      <c r="C15" s="817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815"/>
      <c r="B16" s="818"/>
      <c r="C16" s="818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A4:A16"/>
    <mergeCell ref="B4:B16"/>
    <mergeCell ref="C4:C16"/>
    <mergeCell ref="D9:D11"/>
    <mergeCell ref="D4:D8"/>
    <mergeCell ref="D12:D14"/>
    <mergeCell ref="E2:G2"/>
    <mergeCell ref="H2:M2"/>
    <mergeCell ref="N2:P2"/>
    <mergeCell ref="A2:A3"/>
    <mergeCell ref="B2:B3"/>
    <mergeCell ref="C2:C3"/>
    <mergeCell ref="D2:D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87"/>
  <sheetViews>
    <sheetView showWhiteSpace="0" zoomScale="81" zoomScaleNormal="81" zoomScaleSheetLayoutView="76" workbookViewId="0">
      <pane ySplit="5" topLeftCell="A78" activePane="bottomLeft" state="frozen"/>
      <selection pane="bottomLeft" activeCell="G80" sqref="G80:H80"/>
    </sheetView>
  </sheetViews>
  <sheetFormatPr defaultColWidth="9.109375" defaultRowHeight="12" x14ac:dyDescent="0.25"/>
  <cols>
    <col min="1" max="1" width="10.44140625" style="308" customWidth="1"/>
    <col min="2" max="2" width="59.33203125" style="308" customWidth="1"/>
    <col min="3" max="4" width="20.6640625" style="342" customWidth="1"/>
    <col min="5" max="5" width="24.6640625" style="342" customWidth="1"/>
    <col min="6" max="6" width="20.6640625" style="342" customWidth="1"/>
    <col min="7" max="7" width="23.44140625" style="342" customWidth="1"/>
    <col min="8" max="8" width="21.33203125" style="342" customWidth="1"/>
    <col min="9" max="9" width="32.109375" style="342" customWidth="1"/>
    <col min="10" max="10" width="24.33203125" style="308" customWidth="1"/>
    <col min="11" max="11" width="51" style="308" customWidth="1"/>
    <col min="12" max="12" width="16.44140625" style="308" customWidth="1"/>
    <col min="13" max="16384" width="9.109375" style="308"/>
  </cols>
  <sheetData>
    <row r="1" spans="1:36" ht="16.95" customHeight="1" x14ac:dyDescent="0.25">
      <c r="A1" s="822" t="s">
        <v>268</v>
      </c>
      <c r="B1" s="822"/>
      <c r="C1" s="822"/>
      <c r="D1" s="822"/>
      <c r="E1" s="822"/>
      <c r="F1" s="822"/>
      <c r="G1" s="822"/>
      <c r="H1" s="822"/>
      <c r="I1" s="822"/>
    </row>
    <row r="2" spans="1:36" ht="59.4" customHeight="1" thickBot="1" x14ac:dyDescent="0.3">
      <c r="A2" s="822"/>
      <c r="B2" s="822"/>
      <c r="C2" s="822"/>
      <c r="D2" s="822"/>
      <c r="E2" s="822"/>
      <c r="F2" s="822"/>
      <c r="G2" s="822"/>
      <c r="H2" s="822"/>
      <c r="I2" s="822"/>
    </row>
    <row r="3" spans="1:36" ht="17.399999999999999" customHeight="1" x14ac:dyDescent="0.25">
      <c r="A3" s="823" t="s">
        <v>124</v>
      </c>
      <c r="B3" s="836" t="s">
        <v>185</v>
      </c>
      <c r="C3" s="826" t="s">
        <v>192</v>
      </c>
      <c r="D3" s="826" t="s">
        <v>193</v>
      </c>
      <c r="E3" s="826" t="s">
        <v>204</v>
      </c>
      <c r="F3" s="826" t="s">
        <v>187</v>
      </c>
      <c r="G3" s="829" t="s">
        <v>9</v>
      </c>
      <c r="H3" s="830"/>
      <c r="I3" s="833" t="s">
        <v>191</v>
      </c>
    </row>
    <row r="4" spans="1:36" ht="21" customHeight="1" x14ac:dyDescent="0.25">
      <c r="A4" s="824"/>
      <c r="B4" s="837"/>
      <c r="C4" s="827"/>
      <c r="D4" s="827"/>
      <c r="E4" s="827"/>
      <c r="F4" s="827"/>
      <c r="G4" s="831"/>
      <c r="H4" s="831" t="s">
        <v>190</v>
      </c>
      <c r="I4" s="834"/>
    </row>
    <row r="5" spans="1:36" ht="30" customHeight="1" thickBot="1" x14ac:dyDescent="0.3">
      <c r="A5" s="825"/>
      <c r="B5" s="838"/>
      <c r="C5" s="828"/>
      <c r="D5" s="828"/>
      <c r="E5" s="828"/>
      <c r="F5" s="828"/>
      <c r="G5" s="832"/>
      <c r="H5" s="832"/>
      <c r="I5" s="835"/>
    </row>
    <row r="6" spans="1:36" s="323" customFormat="1" ht="49.2" customHeight="1" x14ac:dyDescent="0.25">
      <c r="A6" s="625" t="s">
        <v>53</v>
      </c>
      <c r="B6" s="626" t="s">
        <v>199</v>
      </c>
      <c r="C6" s="627">
        <v>69779.8</v>
      </c>
      <c r="D6" s="631">
        <v>0</v>
      </c>
      <c r="E6" s="632">
        <v>69779.8</v>
      </c>
      <c r="F6" s="633">
        <v>53555.703999999998</v>
      </c>
      <c r="G6" s="627" t="s">
        <v>249</v>
      </c>
      <c r="H6" s="627" t="s">
        <v>201</v>
      </c>
      <c r="I6" s="627"/>
      <c r="J6" s="712" t="s">
        <v>311</v>
      </c>
      <c r="K6" s="637" t="s">
        <v>317</v>
      </c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</row>
    <row r="7" spans="1:36" s="323" customFormat="1" ht="52.95" customHeight="1" x14ac:dyDescent="0.25">
      <c r="A7" s="597" t="s">
        <v>69</v>
      </c>
      <c r="B7" s="598" t="s">
        <v>200</v>
      </c>
      <c r="C7" s="599">
        <v>2044</v>
      </c>
      <c r="D7" s="600">
        <v>0</v>
      </c>
      <c r="E7" s="605">
        <v>2044</v>
      </c>
      <c r="F7" s="606">
        <v>1470.91625</v>
      </c>
      <c r="G7" s="599" t="s">
        <v>249</v>
      </c>
      <c r="H7" s="606" t="s">
        <v>251</v>
      </c>
      <c r="I7" s="607"/>
      <c r="J7" s="307" t="s">
        <v>189</v>
      </c>
      <c r="K7" s="637" t="s">
        <v>318</v>
      </c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</row>
    <row r="8" spans="1:36" s="323" customFormat="1" ht="42.6" customHeight="1" x14ac:dyDescent="0.25">
      <c r="A8" s="623" t="s">
        <v>293</v>
      </c>
      <c r="B8" s="559" t="s">
        <v>292</v>
      </c>
      <c r="C8" s="547">
        <v>5179518.46</v>
      </c>
      <c r="D8" s="620">
        <v>2703844.6878399146</v>
      </c>
      <c r="E8" s="546">
        <v>7883363.147839915</v>
      </c>
      <c r="F8" s="547">
        <v>4754646.7705159308</v>
      </c>
      <c r="G8" s="550" t="s">
        <v>203</v>
      </c>
      <c r="H8" s="620" t="s">
        <v>296</v>
      </c>
      <c r="I8" s="554"/>
      <c r="J8" s="533" t="s">
        <v>203</v>
      </c>
      <c r="K8" s="637" t="s">
        <v>319</v>
      </c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</row>
    <row r="9" spans="1:36" s="323" customFormat="1" ht="33" customHeight="1" x14ac:dyDescent="0.25">
      <c r="A9" s="623" t="s">
        <v>294</v>
      </c>
      <c r="B9" s="559" t="s">
        <v>291</v>
      </c>
      <c r="C9" s="547">
        <v>5158551.46</v>
      </c>
      <c r="D9" s="620">
        <v>1893049.3518639102</v>
      </c>
      <c r="E9" s="546">
        <v>7051600.8118639104</v>
      </c>
      <c r="F9" s="547">
        <v>3860347.5408726884</v>
      </c>
      <c r="G9" s="550" t="s">
        <v>203</v>
      </c>
      <c r="H9" s="620" t="s">
        <v>296</v>
      </c>
      <c r="I9" s="555"/>
      <c r="J9" s="307" t="s">
        <v>188</v>
      </c>
      <c r="K9" s="637" t="s">
        <v>315</v>
      </c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</row>
    <row r="10" spans="1:36" s="323" customFormat="1" ht="39" customHeight="1" x14ac:dyDescent="0.25">
      <c r="A10" s="623" t="s">
        <v>295</v>
      </c>
      <c r="B10" s="559" t="s">
        <v>290</v>
      </c>
      <c r="C10" s="547">
        <v>5110301.6399999997</v>
      </c>
      <c r="D10" s="620">
        <v>2656005.817839914</v>
      </c>
      <c r="E10" s="546">
        <v>7766307.4578399099</v>
      </c>
      <c r="F10" s="547">
        <v>4730790.0551202716</v>
      </c>
      <c r="G10" s="550" t="s">
        <v>203</v>
      </c>
      <c r="H10" s="620" t="s">
        <v>296</v>
      </c>
      <c r="I10" s="555"/>
      <c r="J10" s="534" t="s">
        <v>249</v>
      </c>
      <c r="K10" s="637" t="s">
        <v>320</v>
      </c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</row>
    <row r="11" spans="1:36" s="323" customFormat="1" ht="56.4" customHeight="1" x14ac:dyDescent="0.25">
      <c r="A11" s="579" t="s">
        <v>71</v>
      </c>
      <c r="B11" s="580" t="s">
        <v>194</v>
      </c>
      <c r="C11" s="545">
        <f t="shared" ref="C11:C16" si="0">E11-D11</f>
        <v>350360.21997806279</v>
      </c>
      <c r="D11" s="545">
        <v>53568.850021937236</v>
      </c>
      <c r="E11" s="546">
        <v>403929.07</v>
      </c>
      <c r="F11" s="545">
        <v>302771.48427855258</v>
      </c>
      <c r="G11" s="545" t="s">
        <v>249</v>
      </c>
      <c r="H11" s="556" t="s">
        <v>212</v>
      </c>
      <c r="I11" s="556"/>
      <c r="J11" s="318"/>
      <c r="K11" s="535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</row>
    <row r="12" spans="1:36" s="323" customFormat="1" ht="56.4" customHeight="1" x14ac:dyDescent="0.25">
      <c r="A12" s="608" t="s">
        <v>264</v>
      </c>
      <c r="B12" s="609" t="s">
        <v>265</v>
      </c>
      <c r="C12" s="599">
        <f>E12-D12</f>
        <v>37400</v>
      </c>
      <c r="D12" s="599">
        <v>9854.52</v>
      </c>
      <c r="E12" s="601">
        <v>47254.520000000004</v>
      </c>
      <c r="F12" s="599">
        <v>29668.175600000002</v>
      </c>
      <c r="G12" s="599" t="s">
        <v>249</v>
      </c>
      <c r="H12" s="604" t="s">
        <v>269</v>
      </c>
      <c r="I12" s="604"/>
      <c r="J12" s="318"/>
      <c r="K12" s="535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</row>
    <row r="13" spans="1:36" s="323" customFormat="1" ht="41.4" customHeight="1" x14ac:dyDescent="0.25">
      <c r="A13" s="543" t="s">
        <v>72</v>
      </c>
      <c r="B13" s="544" t="s">
        <v>195</v>
      </c>
      <c r="C13" s="547">
        <f t="shared" si="0"/>
        <v>37087.250000000007</v>
      </c>
      <c r="D13" s="547">
        <v>863.35</v>
      </c>
      <c r="E13" s="558">
        <v>37950.600000000006</v>
      </c>
      <c r="F13" s="547">
        <v>19776.593000000001</v>
      </c>
      <c r="G13" s="578" t="s">
        <v>249</v>
      </c>
      <c r="H13" s="556" t="s">
        <v>212</v>
      </c>
      <c r="I13" s="545"/>
      <c r="J13" s="539"/>
      <c r="K13" s="540"/>
      <c r="L13" s="537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</row>
    <row r="14" spans="1:36" s="323" customFormat="1" ht="55.2" customHeight="1" x14ac:dyDescent="0.25">
      <c r="A14" s="543" t="s">
        <v>208</v>
      </c>
      <c r="B14" s="544" t="s">
        <v>211</v>
      </c>
      <c r="C14" s="545">
        <f t="shared" si="0"/>
        <v>973903.16</v>
      </c>
      <c r="D14" s="545">
        <v>21018.84</v>
      </c>
      <c r="E14" s="546">
        <v>994922</v>
      </c>
      <c r="F14" s="545">
        <v>401728.42000000004</v>
      </c>
      <c r="G14" s="578" t="s">
        <v>249</v>
      </c>
      <c r="H14" s="556" t="s">
        <v>212</v>
      </c>
      <c r="I14" s="545"/>
      <c r="J14" s="541"/>
      <c r="K14" s="542"/>
      <c r="L14" s="537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</row>
    <row r="15" spans="1:36" s="323" customFormat="1" ht="46.95" customHeight="1" x14ac:dyDescent="0.25">
      <c r="A15" s="543" t="s">
        <v>209</v>
      </c>
      <c r="B15" s="544" t="s">
        <v>206</v>
      </c>
      <c r="C15" s="545">
        <f t="shared" si="0"/>
        <v>392335.15</v>
      </c>
      <c r="D15" s="545">
        <v>9152.92</v>
      </c>
      <c r="E15" s="546">
        <v>401488.07</v>
      </c>
      <c r="F15" s="545">
        <v>172537.44209999999</v>
      </c>
      <c r="G15" s="578" t="s">
        <v>249</v>
      </c>
      <c r="H15" s="556" t="s">
        <v>212</v>
      </c>
      <c r="I15" s="545"/>
      <c r="J15" s="538"/>
      <c r="K15" s="538"/>
      <c r="L15" s="537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</row>
    <row r="16" spans="1:36" s="323" customFormat="1" ht="48.6" customHeight="1" x14ac:dyDescent="0.25">
      <c r="A16" s="543" t="s">
        <v>210</v>
      </c>
      <c r="B16" s="544" t="s">
        <v>207</v>
      </c>
      <c r="C16" s="545">
        <f t="shared" si="0"/>
        <v>392335.15</v>
      </c>
      <c r="D16" s="545">
        <v>9152.92</v>
      </c>
      <c r="E16" s="546">
        <v>401488.07</v>
      </c>
      <c r="F16" s="545">
        <v>172537.44209999999</v>
      </c>
      <c r="G16" s="578" t="s">
        <v>249</v>
      </c>
      <c r="H16" s="556" t="s">
        <v>212</v>
      </c>
      <c r="I16" s="545"/>
      <c r="J16" s="536"/>
      <c r="K16" s="535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</row>
    <row r="17" spans="1:36" s="323" customFormat="1" ht="41.4" customHeight="1" x14ac:dyDescent="0.25">
      <c r="A17" s="597" t="s">
        <v>74</v>
      </c>
      <c r="B17" s="598" t="s">
        <v>186</v>
      </c>
      <c r="C17" s="602">
        <v>70000</v>
      </c>
      <c r="D17" s="602">
        <v>0</v>
      </c>
      <c r="E17" s="603">
        <v>70000</v>
      </c>
      <c r="F17" s="599">
        <v>45779.08</v>
      </c>
      <c r="G17" s="599" t="s">
        <v>249</v>
      </c>
      <c r="H17" s="604" t="s">
        <v>212</v>
      </c>
      <c r="I17" s="604"/>
      <c r="J17" s="318"/>
      <c r="K17" s="534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</row>
    <row r="18" spans="1:36" s="323" customFormat="1" ht="33.6" customHeight="1" x14ac:dyDescent="0.25">
      <c r="A18" s="543" t="s">
        <v>77</v>
      </c>
      <c r="B18" s="544" t="s">
        <v>196</v>
      </c>
      <c r="C18" s="545">
        <f>E18-D18</f>
        <v>2107510</v>
      </c>
      <c r="D18" s="545">
        <v>76400.000000000015</v>
      </c>
      <c r="E18" s="546">
        <v>2183910</v>
      </c>
      <c r="F18" s="545">
        <v>1772377.9</v>
      </c>
      <c r="G18" s="578" t="s">
        <v>249</v>
      </c>
      <c r="H18" s="556" t="s">
        <v>212</v>
      </c>
      <c r="I18" s="550"/>
      <c r="J18" s="536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</row>
    <row r="19" spans="1:36" s="323" customFormat="1" ht="37.200000000000003" customHeight="1" x14ac:dyDescent="0.25">
      <c r="A19" s="543" t="s">
        <v>78</v>
      </c>
      <c r="B19" s="544" t="s">
        <v>197</v>
      </c>
      <c r="C19" s="545">
        <f>E19-D19</f>
        <v>621686.26</v>
      </c>
      <c r="D19" s="545">
        <v>22419.839999999997</v>
      </c>
      <c r="E19" s="546">
        <v>644106.1</v>
      </c>
      <c r="F19" s="545">
        <v>457768.99099999992</v>
      </c>
      <c r="G19" s="578" t="s">
        <v>249</v>
      </c>
      <c r="H19" s="556" t="s">
        <v>219</v>
      </c>
      <c r="I19" s="545"/>
      <c r="J19" s="536"/>
      <c r="K19" s="535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</row>
    <row r="20" spans="1:36" s="323" customFormat="1" ht="41.4" customHeight="1" x14ac:dyDescent="0.25">
      <c r="A20" s="543" t="s">
        <v>76</v>
      </c>
      <c r="B20" s="544" t="s">
        <v>215</v>
      </c>
      <c r="C20" s="545">
        <f t="shared" ref="C20:C22" si="1">E20-D20</f>
        <v>518718.58640000003</v>
      </c>
      <c r="D20" s="547">
        <v>7985.1935999999996</v>
      </c>
      <c r="E20" s="546">
        <v>526703.78</v>
      </c>
      <c r="F20" s="547">
        <v>170608.85100000002</v>
      </c>
      <c r="G20" s="578" t="s">
        <v>249</v>
      </c>
      <c r="H20" s="556" t="s">
        <v>220</v>
      </c>
      <c r="I20" s="547"/>
      <c r="J20" s="318"/>
      <c r="K20" s="534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</row>
    <row r="21" spans="1:36" s="323" customFormat="1" ht="36" customHeight="1" x14ac:dyDescent="0.25">
      <c r="A21" s="597" t="s">
        <v>79</v>
      </c>
      <c r="B21" s="598" t="s">
        <v>213</v>
      </c>
      <c r="C21" s="599">
        <f t="shared" si="1"/>
        <v>76937.850000000006</v>
      </c>
      <c r="D21" s="602">
        <v>0</v>
      </c>
      <c r="E21" s="601">
        <v>76937.850000000006</v>
      </c>
      <c r="F21" s="602">
        <v>17455.175500000001</v>
      </c>
      <c r="G21" s="599" t="s">
        <v>249</v>
      </c>
      <c r="H21" s="606" t="s">
        <v>251</v>
      </c>
      <c r="I21" s="602"/>
      <c r="J21" s="318"/>
      <c r="K21" s="534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</row>
    <row r="22" spans="1:36" s="323" customFormat="1" ht="35.4" customHeight="1" x14ac:dyDescent="0.25">
      <c r="A22" s="597" t="s">
        <v>75</v>
      </c>
      <c r="B22" s="598" t="s">
        <v>214</v>
      </c>
      <c r="C22" s="599">
        <f t="shared" si="1"/>
        <v>300000</v>
      </c>
      <c r="D22" s="602">
        <v>0</v>
      </c>
      <c r="E22" s="601">
        <v>300000</v>
      </c>
      <c r="F22" s="602">
        <v>164500</v>
      </c>
      <c r="G22" s="599" t="s">
        <v>249</v>
      </c>
      <c r="H22" s="606" t="s">
        <v>251</v>
      </c>
      <c r="I22" s="602"/>
      <c r="J22" s="318"/>
      <c r="K22" s="534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</row>
    <row r="23" spans="1:36" s="323" customFormat="1" ht="32.4" customHeight="1" x14ac:dyDescent="0.25">
      <c r="A23" s="543" t="s">
        <v>80</v>
      </c>
      <c r="B23" s="544" t="s">
        <v>217</v>
      </c>
      <c r="C23" s="545">
        <v>658888.21000000008</v>
      </c>
      <c r="D23" s="547">
        <v>0</v>
      </c>
      <c r="E23" s="546">
        <v>658888.21000000008</v>
      </c>
      <c r="F23" s="547">
        <v>300153.67330000002</v>
      </c>
      <c r="G23" s="620" t="s">
        <v>249</v>
      </c>
      <c r="H23" s="556" t="s">
        <v>347</v>
      </c>
      <c r="I23" s="638"/>
      <c r="J23" s="318"/>
      <c r="K23" s="534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</row>
    <row r="24" spans="1:36" s="323" customFormat="1" ht="32.4" customHeight="1" x14ac:dyDescent="0.25">
      <c r="A24" s="597" t="s">
        <v>81</v>
      </c>
      <c r="B24" s="598" t="s">
        <v>227</v>
      </c>
      <c r="C24" s="599">
        <v>92115.83</v>
      </c>
      <c r="D24" s="602">
        <v>0</v>
      </c>
      <c r="E24" s="601">
        <v>92115.83</v>
      </c>
      <c r="F24" s="602">
        <v>44816.32</v>
      </c>
      <c r="G24" s="599" t="s">
        <v>249</v>
      </c>
      <c r="H24" s="604" t="s">
        <v>242</v>
      </c>
      <c r="I24" s="602"/>
      <c r="J24" s="318"/>
      <c r="K24" s="534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</row>
    <row r="25" spans="1:36" s="323" customFormat="1" ht="40.200000000000003" customHeight="1" x14ac:dyDescent="0.25">
      <c r="A25" s="597" t="s">
        <v>243</v>
      </c>
      <c r="B25" s="598" t="s">
        <v>247</v>
      </c>
      <c r="C25" s="599">
        <v>69692.789999999994</v>
      </c>
      <c r="D25" s="602">
        <v>0</v>
      </c>
      <c r="E25" s="601">
        <v>69692.789999999994</v>
      </c>
      <c r="F25" s="602">
        <v>44109.519699999997</v>
      </c>
      <c r="G25" s="599" t="s">
        <v>249</v>
      </c>
      <c r="H25" s="604" t="s">
        <v>242</v>
      </c>
      <c r="I25" s="610"/>
      <c r="J25" s="318"/>
      <c r="K25" s="534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</row>
    <row r="26" spans="1:36" s="323" customFormat="1" ht="43.2" customHeight="1" x14ac:dyDescent="0.25">
      <c r="A26" s="597" t="s">
        <v>244</v>
      </c>
      <c r="B26" s="598" t="s">
        <v>248</v>
      </c>
      <c r="C26" s="599">
        <v>130832</v>
      </c>
      <c r="D26" s="602">
        <v>0</v>
      </c>
      <c r="E26" s="601">
        <v>130832</v>
      </c>
      <c r="F26" s="602">
        <v>48252.100000000006</v>
      </c>
      <c r="G26" s="599" t="s">
        <v>249</v>
      </c>
      <c r="H26" s="604" t="s">
        <v>242</v>
      </c>
      <c r="I26" s="610"/>
      <c r="J26" s="318"/>
      <c r="K26" s="534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</row>
    <row r="27" spans="1:36" s="323" customFormat="1" ht="43.2" customHeight="1" x14ac:dyDescent="0.25">
      <c r="A27" s="621" t="s">
        <v>286</v>
      </c>
      <c r="B27" s="622" t="s">
        <v>287</v>
      </c>
      <c r="C27" s="620">
        <v>61643.270000000004</v>
      </c>
      <c r="D27" s="547">
        <v>0</v>
      </c>
      <c r="E27" s="546">
        <v>61643.270000000004</v>
      </c>
      <c r="F27" s="547">
        <v>22365.6181</v>
      </c>
      <c r="G27" s="620" t="s">
        <v>249</v>
      </c>
      <c r="H27" s="556" t="s">
        <v>298</v>
      </c>
      <c r="I27" s="619"/>
      <c r="J27" s="318"/>
      <c r="K27" s="534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</row>
    <row r="28" spans="1:36" s="323" customFormat="1" ht="40.950000000000003" customHeight="1" x14ac:dyDescent="0.25">
      <c r="A28" s="551" t="s">
        <v>169</v>
      </c>
      <c r="B28" s="552" t="s">
        <v>233</v>
      </c>
      <c r="C28" s="553">
        <v>5868795.1899999995</v>
      </c>
      <c r="D28" s="547">
        <v>0</v>
      </c>
      <c r="E28" s="546">
        <v>5868795.1899999995</v>
      </c>
      <c r="F28" s="547">
        <v>2423899.2856999999</v>
      </c>
      <c r="G28" s="583" t="s">
        <v>249</v>
      </c>
      <c r="H28" s="583" t="s">
        <v>263</v>
      </c>
      <c r="I28" s="547"/>
      <c r="J28" s="318"/>
      <c r="K28" s="534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</row>
    <row r="29" spans="1:36" s="323" customFormat="1" ht="37.950000000000003" customHeight="1" x14ac:dyDescent="0.25">
      <c r="A29" s="566" t="s">
        <v>170</v>
      </c>
      <c r="B29" s="567" t="s">
        <v>198</v>
      </c>
      <c r="C29" s="564">
        <v>1109034.9700000002</v>
      </c>
      <c r="D29" s="547"/>
      <c r="E29" s="546">
        <v>1109034.9700000002</v>
      </c>
      <c r="F29" s="547">
        <v>656317.54006999708</v>
      </c>
      <c r="G29" s="592" t="s">
        <v>249</v>
      </c>
      <c r="H29" s="556" t="s">
        <v>269</v>
      </c>
      <c r="I29" s="547"/>
      <c r="J29" s="318"/>
      <c r="K29" s="534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</row>
    <row r="30" spans="1:36" s="323" customFormat="1" ht="32.4" customHeight="1" x14ac:dyDescent="0.25">
      <c r="A30" s="597" t="s">
        <v>171</v>
      </c>
      <c r="B30" s="598" t="s">
        <v>226</v>
      </c>
      <c r="C30" s="599">
        <v>220420.19</v>
      </c>
      <c r="D30" s="602">
        <v>0</v>
      </c>
      <c r="E30" s="601">
        <v>220420.19</v>
      </c>
      <c r="F30" s="602">
        <v>172065.92569999999</v>
      </c>
      <c r="G30" s="599" t="s">
        <v>249</v>
      </c>
      <c r="H30" s="604" t="s">
        <v>242</v>
      </c>
      <c r="I30" s="602"/>
      <c r="J30" s="318"/>
      <c r="K30" s="534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</row>
    <row r="31" spans="1:36" s="323" customFormat="1" ht="34.200000000000003" customHeight="1" x14ac:dyDescent="0.25">
      <c r="A31" s="597" t="s">
        <v>172</v>
      </c>
      <c r="B31" s="598" t="s">
        <v>228</v>
      </c>
      <c r="C31" s="599">
        <v>19075.719999999998</v>
      </c>
      <c r="D31" s="602">
        <v>0</v>
      </c>
      <c r="E31" s="601">
        <v>19075.719999999998</v>
      </c>
      <c r="F31" s="602">
        <v>10869.5216</v>
      </c>
      <c r="G31" s="599" t="s">
        <v>249</v>
      </c>
      <c r="H31" s="604" t="s">
        <v>269</v>
      </c>
      <c r="I31" s="602"/>
      <c r="J31" s="318"/>
      <c r="K31" s="534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</row>
    <row r="32" spans="1:36" s="323" customFormat="1" ht="37.200000000000003" customHeight="1" x14ac:dyDescent="0.25">
      <c r="A32" s="597" t="s">
        <v>221</v>
      </c>
      <c r="B32" s="598" t="s">
        <v>231</v>
      </c>
      <c r="C32" s="599">
        <v>8730</v>
      </c>
      <c r="D32" s="602">
        <v>0</v>
      </c>
      <c r="E32" s="601">
        <v>8730</v>
      </c>
      <c r="F32" s="602">
        <v>4643.8600000000006</v>
      </c>
      <c r="G32" s="599" t="s">
        <v>249</v>
      </c>
      <c r="H32" s="604" t="s">
        <v>242</v>
      </c>
      <c r="I32" s="602"/>
      <c r="J32" s="318"/>
      <c r="K32" s="534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</row>
    <row r="33" spans="1:36" s="323" customFormat="1" ht="39.6" customHeight="1" x14ac:dyDescent="0.25">
      <c r="A33" s="570" t="s">
        <v>222</v>
      </c>
      <c r="B33" s="571" t="s">
        <v>241</v>
      </c>
      <c r="C33" s="569">
        <v>1821725.04</v>
      </c>
      <c r="D33" s="547">
        <v>0</v>
      </c>
      <c r="E33" s="546">
        <v>1821725.04</v>
      </c>
      <c r="F33" s="547">
        <v>1331254.8872</v>
      </c>
      <c r="G33" s="583" t="s">
        <v>249</v>
      </c>
      <c r="H33" s="583" t="s">
        <v>263</v>
      </c>
      <c r="I33" s="547"/>
      <c r="J33" s="318"/>
      <c r="K33" s="534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</row>
    <row r="34" spans="1:36" s="323" customFormat="1" ht="39.6" customHeight="1" x14ac:dyDescent="0.25">
      <c r="A34" s="577" t="s">
        <v>223</v>
      </c>
      <c r="B34" s="576" t="s">
        <v>246</v>
      </c>
      <c r="C34" s="575">
        <v>505000</v>
      </c>
      <c r="D34" s="547">
        <v>0</v>
      </c>
      <c r="E34" s="546">
        <v>505000</v>
      </c>
      <c r="F34" s="547">
        <v>298585.15000000002</v>
      </c>
      <c r="G34" s="583" t="s">
        <v>249</v>
      </c>
      <c r="H34" s="583" t="s">
        <v>263</v>
      </c>
      <c r="I34" s="547"/>
      <c r="J34" s="318"/>
      <c r="K34" s="534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</row>
    <row r="35" spans="1:36" s="323" customFormat="1" ht="41.4" customHeight="1" x14ac:dyDescent="0.25">
      <c r="A35" s="574" t="s">
        <v>245</v>
      </c>
      <c r="B35" s="573" t="s">
        <v>232</v>
      </c>
      <c r="C35" s="572">
        <v>959112.20788461529</v>
      </c>
      <c r="D35" s="547">
        <v>0</v>
      </c>
      <c r="E35" s="546">
        <v>959112.20788461529</v>
      </c>
      <c r="F35" s="547">
        <v>664712.82491923077</v>
      </c>
      <c r="G35" s="583" t="s">
        <v>249</v>
      </c>
      <c r="H35" s="583" t="s">
        <v>263</v>
      </c>
      <c r="I35" s="547"/>
      <c r="J35" s="318"/>
      <c r="K35" s="534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  <c r="AJ35" s="318"/>
    </row>
    <row r="36" spans="1:36" s="323" customFormat="1" ht="43.2" customHeight="1" x14ac:dyDescent="0.25">
      <c r="A36" s="597" t="s">
        <v>252</v>
      </c>
      <c r="B36" s="609" t="s">
        <v>254</v>
      </c>
      <c r="C36" s="599">
        <v>16887.37</v>
      </c>
      <c r="D36" s="602">
        <v>0</v>
      </c>
      <c r="E36" s="601">
        <v>16887.37</v>
      </c>
      <c r="F36" s="602">
        <v>9606.6483500000013</v>
      </c>
      <c r="G36" s="599" t="s">
        <v>249</v>
      </c>
      <c r="H36" s="604" t="s">
        <v>274</v>
      </c>
      <c r="I36" s="602"/>
      <c r="J36" s="318"/>
      <c r="K36" s="534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</row>
    <row r="37" spans="1:36" s="323" customFormat="1" ht="32.4" customHeight="1" x14ac:dyDescent="0.25">
      <c r="A37" s="582" t="s">
        <v>253</v>
      </c>
      <c r="B37" s="580" t="s">
        <v>255</v>
      </c>
      <c r="C37" s="581">
        <v>35345</v>
      </c>
      <c r="D37" s="547">
        <v>0</v>
      </c>
      <c r="E37" s="546">
        <v>35345</v>
      </c>
      <c r="F37" s="547">
        <v>18769.95</v>
      </c>
      <c r="G37" s="593" t="s">
        <v>249</v>
      </c>
      <c r="H37" s="556" t="s">
        <v>274</v>
      </c>
      <c r="I37" s="547"/>
      <c r="J37" s="318"/>
      <c r="K37" s="534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</row>
    <row r="38" spans="1:36" s="323" customFormat="1" ht="32.4" customHeight="1" x14ac:dyDescent="0.25">
      <c r="A38" s="582" t="s">
        <v>258</v>
      </c>
      <c r="B38" s="580" t="s">
        <v>256</v>
      </c>
      <c r="C38" s="581">
        <v>35365.25</v>
      </c>
      <c r="D38" s="547">
        <v>0</v>
      </c>
      <c r="E38" s="546">
        <v>35365.25</v>
      </c>
      <c r="F38" s="547">
        <v>18744.2775</v>
      </c>
      <c r="G38" s="593" t="s">
        <v>249</v>
      </c>
      <c r="H38" s="556" t="s">
        <v>274</v>
      </c>
      <c r="I38" s="547"/>
      <c r="J38" s="318"/>
      <c r="K38" s="534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</row>
    <row r="39" spans="1:36" s="323" customFormat="1" ht="32.4" customHeight="1" x14ac:dyDescent="0.25">
      <c r="A39" s="597" t="s">
        <v>259</v>
      </c>
      <c r="B39" s="609" t="s">
        <v>257</v>
      </c>
      <c r="C39" s="599">
        <v>35433.65</v>
      </c>
      <c r="D39" s="602">
        <v>0</v>
      </c>
      <c r="E39" s="601">
        <v>35433.65</v>
      </c>
      <c r="F39" s="602">
        <v>18743.161499999998</v>
      </c>
      <c r="G39" s="599" t="s">
        <v>249</v>
      </c>
      <c r="H39" s="604" t="s">
        <v>274</v>
      </c>
      <c r="I39" s="602"/>
      <c r="J39" s="318"/>
      <c r="K39" s="534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</row>
    <row r="40" spans="1:36" s="323" customFormat="1" ht="32.4" customHeight="1" x14ac:dyDescent="0.25">
      <c r="A40" s="582" t="s">
        <v>272</v>
      </c>
      <c r="B40" s="580" t="s">
        <v>261</v>
      </c>
      <c r="C40" s="581">
        <v>30402.5</v>
      </c>
      <c r="D40" s="547">
        <v>0</v>
      </c>
      <c r="E40" s="546">
        <v>30402.5</v>
      </c>
      <c r="F40" s="547">
        <v>15491.275</v>
      </c>
      <c r="G40" s="593" t="s">
        <v>249</v>
      </c>
      <c r="H40" s="556" t="s">
        <v>274</v>
      </c>
      <c r="I40" s="547"/>
      <c r="J40" s="318"/>
      <c r="K40" s="534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</row>
    <row r="41" spans="1:36" s="323" customFormat="1" ht="39.6" customHeight="1" x14ac:dyDescent="0.25">
      <c r="A41" s="566" t="s">
        <v>224</v>
      </c>
      <c r="B41" s="565" t="s">
        <v>234</v>
      </c>
      <c r="C41" s="564">
        <v>246953.74</v>
      </c>
      <c r="D41" s="547">
        <v>0</v>
      </c>
      <c r="E41" s="546">
        <v>246953.74</v>
      </c>
      <c r="F41" s="547">
        <v>102324.3898102552</v>
      </c>
      <c r="G41" s="593" t="s">
        <v>249</v>
      </c>
      <c r="H41" s="556" t="s">
        <v>274</v>
      </c>
      <c r="I41" s="547"/>
      <c r="J41" s="318"/>
      <c r="K41" s="534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</row>
    <row r="42" spans="1:36" s="323" customFormat="1" ht="32.4" customHeight="1" x14ac:dyDescent="0.25">
      <c r="A42" s="568" t="s">
        <v>225</v>
      </c>
      <c r="B42" s="563" t="s">
        <v>229</v>
      </c>
      <c r="C42" s="562">
        <v>799305.07999999984</v>
      </c>
      <c r="D42" s="547">
        <v>0</v>
      </c>
      <c r="E42" s="546">
        <v>799305.07999999984</v>
      </c>
      <c r="F42" s="547">
        <v>460219.92040000006</v>
      </c>
      <c r="G42" s="620" t="s">
        <v>249</v>
      </c>
      <c r="H42" s="556" t="s">
        <v>326</v>
      </c>
      <c r="I42" s="638"/>
      <c r="J42" s="318"/>
      <c r="K42" s="534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</row>
    <row r="43" spans="1:36" s="323" customFormat="1" ht="40.950000000000003" customHeight="1" x14ac:dyDescent="0.25">
      <c r="A43" s="585" t="s">
        <v>235</v>
      </c>
      <c r="B43" s="586" t="s">
        <v>273</v>
      </c>
      <c r="C43" s="584">
        <v>48963.26</v>
      </c>
      <c r="D43" s="547">
        <v>0</v>
      </c>
      <c r="E43" s="546">
        <v>48963.26</v>
      </c>
      <c r="F43" s="547">
        <v>31782.817800000001</v>
      </c>
      <c r="G43" s="614" t="s">
        <v>249</v>
      </c>
      <c r="H43" s="556" t="s">
        <v>281</v>
      </c>
      <c r="I43" s="547"/>
      <c r="J43" s="318"/>
      <c r="K43" s="534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</row>
    <row r="44" spans="1:36" s="323" customFormat="1" ht="32.4" customHeight="1" x14ac:dyDescent="0.25">
      <c r="A44" s="588" t="s">
        <v>262</v>
      </c>
      <c r="B44" s="589" t="s">
        <v>280</v>
      </c>
      <c r="C44" s="587">
        <v>1900000</v>
      </c>
      <c r="D44" s="547">
        <v>0</v>
      </c>
      <c r="E44" s="546">
        <v>1900000</v>
      </c>
      <c r="F44" s="547">
        <v>798121.95360000001</v>
      </c>
      <c r="G44" s="550" t="s">
        <v>249</v>
      </c>
      <c r="H44" s="556" t="s">
        <v>284</v>
      </c>
      <c r="I44" s="547"/>
      <c r="J44" s="318"/>
      <c r="K44" s="534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</row>
    <row r="45" spans="1:36" s="323" customFormat="1" ht="32.4" customHeight="1" x14ac:dyDescent="0.25">
      <c r="A45" s="635" t="s">
        <v>230</v>
      </c>
      <c r="B45" s="634" t="s">
        <v>216</v>
      </c>
      <c r="C45" s="620">
        <v>510000</v>
      </c>
      <c r="D45" s="558"/>
      <c r="E45" s="546">
        <v>510000</v>
      </c>
      <c r="F45" s="558">
        <v>269907.19</v>
      </c>
      <c r="G45" s="550" t="s">
        <v>249</v>
      </c>
      <c r="H45" s="556" t="s">
        <v>350</v>
      </c>
      <c r="I45" s="547"/>
      <c r="J45" s="318"/>
      <c r="K45" s="534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</row>
    <row r="46" spans="1:36" s="323" customFormat="1" ht="44.4" customHeight="1" x14ac:dyDescent="0.25">
      <c r="A46" s="597" t="s">
        <v>236</v>
      </c>
      <c r="B46" s="598" t="s">
        <v>271</v>
      </c>
      <c r="C46" s="599">
        <v>44103.59</v>
      </c>
      <c r="D46" s="602">
        <v>0</v>
      </c>
      <c r="E46" s="601">
        <v>44103.59</v>
      </c>
      <c r="F46" s="602">
        <v>25357.502700000005</v>
      </c>
      <c r="G46" s="599" t="s">
        <v>202</v>
      </c>
      <c r="H46" s="599" t="s">
        <v>288</v>
      </c>
      <c r="I46" s="602"/>
      <c r="J46" s="318"/>
      <c r="K46" s="534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</row>
    <row r="47" spans="1:36" s="323" customFormat="1" ht="44.4" customHeight="1" x14ac:dyDescent="0.25">
      <c r="A47" s="595" t="s">
        <v>237</v>
      </c>
      <c r="B47" s="596" t="s">
        <v>276</v>
      </c>
      <c r="C47" s="594">
        <v>25935.460399999996</v>
      </c>
      <c r="D47" s="547">
        <v>0</v>
      </c>
      <c r="E47" s="546">
        <v>25935.460399999996</v>
      </c>
      <c r="F47" s="547">
        <v>10860.509212000001</v>
      </c>
      <c r="G47" s="614" t="s">
        <v>249</v>
      </c>
      <c r="H47" s="556" t="s">
        <v>281</v>
      </c>
      <c r="I47" s="547"/>
      <c r="J47" s="318"/>
      <c r="K47" s="534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</row>
    <row r="48" spans="1:36" s="323" customFormat="1" ht="44.4" customHeight="1" x14ac:dyDescent="0.25">
      <c r="A48" s="616" t="s">
        <v>238</v>
      </c>
      <c r="B48" s="617" t="s">
        <v>282</v>
      </c>
      <c r="C48" s="615">
        <v>337206.36</v>
      </c>
      <c r="D48" s="547">
        <v>0</v>
      </c>
      <c r="E48" s="546">
        <v>337206.36</v>
      </c>
      <c r="F48" s="547">
        <v>186007.31080000001</v>
      </c>
      <c r="G48" s="550" t="s">
        <v>249</v>
      </c>
      <c r="H48" s="556" t="s">
        <v>284</v>
      </c>
      <c r="I48" s="547"/>
      <c r="J48" s="318"/>
      <c r="K48" s="534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</row>
    <row r="49" spans="1:36" s="323" customFormat="1" ht="44.4" customHeight="1" x14ac:dyDescent="0.25">
      <c r="A49" s="612" t="s">
        <v>239</v>
      </c>
      <c r="B49" s="613" t="s">
        <v>279</v>
      </c>
      <c r="C49" s="611">
        <v>5040</v>
      </c>
      <c r="D49" s="547">
        <v>0</v>
      </c>
      <c r="E49" s="546">
        <v>5040</v>
      </c>
      <c r="F49" s="547">
        <v>1252.905</v>
      </c>
      <c r="G49" s="550"/>
      <c r="H49" s="556" t="s">
        <v>278</v>
      </c>
      <c r="I49" s="638" t="s">
        <v>325</v>
      </c>
      <c r="J49" s="318"/>
      <c r="K49" s="534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</row>
    <row r="50" spans="1:36" s="323" customFormat="1" ht="44.4" customHeight="1" x14ac:dyDescent="0.25">
      <c r="A50" s="595" t="s">
        <v>240</v>
      </c>
      <c r="B50" s="596" t="s">
        <v>275</v>
      </c>
      <c r="C50" s="594">
        <v>40920.067115384612</v>
      </c>
      <c r="D50" s="547">
        <v>0</v>
      </c>
      <c r="E50" s="546">
        <v>40920.067115384612</v>
      </c>
      <c r="F50" s="547">
        <v>25790.699383039995</v>
      </c>
      <c r="G50" s="550" t="s">
        <v>249</v>
      </c>
      <c r="H50" s="556" t="s">
        <v>284</v>
      </c>
      <c r="I50" s="547"/>
      <c r="J50" s="318"/>
      <c r="K50" s="534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</row>
    <row r="51" spans="1:36" s="323" customFormat="1" ht="44.4" customHeight="1" x14ac:dyDescent="0.25">
      <c r="A51" s="621" t="s">
        <v>285</v>
      </c>
      <c r="B51" s="622" t="s">
        <v>297</v>
      </c>
      <c r="C51" s="620">
        <v>108026.29200000002</v>
      </c>
      <c r="D51" s="547">
        <v>0</v>
      </c>
      <c r="E51" s="546">
        <v>108026.29200000002</v>
      </c>
      <c r="F51" s="547">
        <v>38936.968760000003</v>
      </c>
      <c r="G51" s="550" t="s">
        <v>249</v>
      </c>
      <c r="H51" s="556" t="s">
        <v>334</v>
      </c>
      <c r="I51" s="638"/>
      <c r="J51" s="318"/>
      <c r="K51" s="534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</row>
    <row r="52" spans="1:36" s="323" customFormat="1" ht="32.4" customHeight="1" x14ac:dyDescent="0.25">
      <c r="A52" s="624" t="s">
        <v>289</v>
      </c>
      <c r="B52" s="544" t="s">
        <v>300</v>
      </c>
      <c r="C52" s="562">
        <v>6116.26</v>
      </c>
      <c r="D52" s="547">
        <v>0</v>
      </c>
      <c r="E52" s="546">
        <v>6116.26</v>
      </c>
      <c r="F52" s="547">
        <v>4441.6160500000005</v>
      </c>
      <c r="G52" s="550" t="s">
        <v>249</v>
      </c>
      <c r="H52" s="556" t="s">
        <v>308</v>
      </c>
      <c r="I52" s="547"/>
      <c r="J52" s="318"/>
      <c r="K52" s="534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</row>
    <row r="53" spans="1:36" s="323" customFormat="1" ht="55.8" customHeight="1" x14ac:dyDescent="0.25">
      <c r="A53" s="635" t="s">
        <v>301</v>
      </c>
      <c r="B53" s="544" t="s">
        <v>306</v>
      </c>
      <c r="C53" s="562">
        <v>15568.8</v>
      </c>
      <c r="D53" s="547">
        <v>0</v>
      </c>
      <c r="E53" s="546">
        <v>15568.8</v>
      </c>
      <c r="F53" s="547">
        <v>12830.784</v>
      </c>
      <c r="G53" s="550" t="s">
        <v>203</v>
      </c>
      <c r="H53" s="556" t="s">
        <v>310</v>
      </c>
      <c r="I53" s="638" t="s">
        <v>348</v>
      </c>
      <c r="J53" s="318"/>
      <c r="K53" s="534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</row>
    <row r="54" spans="1:36" s="323" customFormat="1" ht="51.6" customHeight="1" x14ac:dyDescent="0.25">
      <c r="A54" s="635" t="s">
        <v>302</v>
      </c>
      <c r="B54" s="544" t="s">
        <v>333</v>
      </c>
      <c r="C54" s="547">
        <v>142452.13</v>
      </c>
      <c r="D54" s="547">
        <v>0</v>
      </c>
      <c r="E54" s="546">
        <v>142452.13</v>
      </c>
      <c r="F54" s="547">
        <v>76606.931400000001</v>
      </c>
      <c r="G54" s="550" t="s">
        <v>249</v>
      </c>
      <c r="H54" s="556" t="s">
        <v>347</v>
      </c>
      <c r="I54" s="638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</row>
    <row r="55" spans="1:36" s="323" customFormat="1" ht="42.6" customHeight="1" x14ac:dyDescent="0.25">
      <c r="A55" s="635" t="s">
        <v>303</v>
      </c>
      <c r="B55" s="634" t="s">
        <v>349</v>
      </c>
      <c r="C55" s="620">
        <v>8258.1</v>
      </c>
      <c r="D55" s="620"/>
      <c r="E55" s="546">
        <v>8258.1</v>
      </c>
      <c r="F55" s="620">
        <v>4982.9030000000002</v>
      </c>
      <c r="G55" s="550" t="s">
        <v>249</v>
      </c>
      <c r="H55" s="556" t="s">
        <v>356</v>
      </c>
      <c r="I55" s="640"/>
      <c r="J55" s="641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</row>
    <row r="56" spans="1:36" s="323" customFormat="1" ht="42.6" customHeight="1" x14ac:dyDescent="0.25">
      <c r="A56" s="635" t="s">
        <v>304</v>
      </c>
      <c r="B56" s="634" t="s">
        <v>354</v>
      </c>
      <c r="C56" s="620">
        <v>646774</v>
      </c>
      <c r="D56" s="620"/>
      <c r="E56" s="546">
        <v>646774</v>
      </c>
      <c r="F56" s="620">
        <v>280415.69999999995</v>
      </c>
      <c r="G56" s="550" t="s">
        <v>249</v>
      </c>
      <c r="H56" s="620" t="s">
        <v>371</v>
      </c>
      <c r="I56" s="547"/>
      <c r="J56" s="641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</row>
    <row r="57" spans="1:36" s="323" customFormat="1" ht="42.6" customHeight="1" x14ac:dyDescent="0.25">
      <c r="A57" s="635" t="s">
        <v>305</v>
      </c>
      <c r="B57" s="634" t="s">
        <v>352</v>
      </c>
      <c r="C57" s="620">
        <v>222614</v>
      </c>
      <c r="D57" s="620"/>
      <c r="E57" s="546">
        <v>222614</v>
      </c>
      <c r="F57" s="620">
        <v>187311.43</v>
      </c>
      <c r="G57" s="550" t="s">
        <v>249</v>
      </c>
      <c r="H57" s="556" t="s">
        <v>387</v>
      </c>
      <c r="I57" s="638"/>
      <c r="J57" s="641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</row>
    <row r="58" spans="1:36" s="323" customFormat="1" ht="42.6" customHeight="1" x14ac:dyDescent="0.25">
      <c r="A58" s="635" t="s">
        <v>307</v>
      </c>
      <c r="B58" s="634" t="s">
        <v>376</v>
      </c>
      <c r="C58" s="620">
        <v>24192.53</v>
      </c>
      <c r="D58" s="620"/>
      <c r="E58" s="546">
        <v>24192.53</v>
      </c>
      <c r="F58" s="620">
        <v>12279.7009</v>
      </c>
      <c r="G58" s="550" t="s">
        <v>249</v>
      </c>
      <c r="H58" s="556" t="s">
        <v>387</v>
      </c>
      <c r="I58" s="638"/>
      <c r="J58" s="641"/>
      <c r="K58" s="318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</row>
    <row r="59" spans="1:36" s="323" customFormat="1" ht="42.6" customHeight="1" x14ac:dyDescent="0.25">
      <c r="A59" s="635" t="s">
        <v>309</v>
      </c>
      <c r="B59" s="634" t="s">
        <v>368</v>
      </c>
      <c r="C59" s="620">
        <v>5670</v>
      </c>
      <c r="D59" s="620"/>
      <c r="E59" s="546">
        <v>5670</v>
      </c>
      <c r="F59" s="620">
        <v>6269.8600000000006</v>
      </c>
      <c r="G59" s="550" t="s">
        <v>249</v>
      </c>
      <c r="H59" s="556" t="s">
        <v>406</v>
      </c>
      <c r="I59" s="638"/>
      <c r="J59" s="641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  <c r="AJ59" s="318"/>
    </row>
    <row r="60" spans="1:36" s="323" customFormat="1" ht="42.6" customHeight="1" x14ac:dyDescent="0.25">
      <c r="A60" s="635" t="s">
        <v>327</v>
      </c>
      <c r="B60" s="634" t="s">
        <v>370</v>
      </c>
      <c r="C60" s="620">
        <v>120000</v>
      </c>
      <c r="D60" s="620"/>
      <c r="E60" s="546">
        <v>120000</v>
      </c>
      <c r="F60" s="620">
        <v>39610.900399999999</v>
      </c>
      <c r="G60" s="550" t="s">
        <v>249</v>
      </c>
      <c r="H60" s="556" t="s">
        <v>387</v>
      </c>
      <c r="I60" s="638"/>
      <c r="J60" s="641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  <c r="AJ60" s="318"/>
    </row>
    <row r="61" spans="1:36" s="323" customFormat="1" ht="42.6" customHeight="1" x14ac:dyDescent="0.25">
      <c r="A61" s="635" t="s">
        <v>328</v>
      </c>
      <c r="B61" s="634" t="s">
        <v>372</v>
      </c>
      <c r="C61" s="620">
        <v>20736.719333333334</v>
      </c>
      <c r="D61" s="620"/>
      <c r="E61" s="546">
        <v>20736.719333333334</v>
      </c>
      <c r="F61" s="620">
        <v>10369.014746666666</v>
      </c>
      <c r="G61" s="550" t="s">
        <v>249</v>
      </c>
      <c r="H61" s="556" t="s">
        <v>387</v>
      </c>
      <c r="I61" s="638"/>
      <c r="J61" s="641"/>
      <c r="K61" s="318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  <c r="AJ61" s="318"/>
    </row>
    <row r="62" spans="1:36" s="323" customFormat="1" ht="42.6" customHeight="1" x14ac:dyDescent="0.25">
      <c r="A62" s="635" t="s">
        <v>329</v>
      </c>
      <c r="B62" s="634" t="s">
        <v>373</v>
      </c>
      <c r="C62" s="620">
        <v>108679.85</v>
      </c>
      <c r="D62" s="620"/>
      <c r="E62" s="546">
        <v>108679.85</v>
      </c>
      <c r="F62" s="620">
        <v>65571.6005</v>
      </c>
      <c r="G62" s="550" t="s">
        <v>249</v>
      </c>
      <c r="H62" s="556" t="s">
        <v>374</v>
      </c>
      <c r="I62" s="638"/>
      <c r="J62" s="641"/>
      <c r="K62" s="318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</row>
    <row r="63" spans="1:36" s="323" customFormat="1" ht="42.6" customHeight="1" x14ac:dyDescent="0.25">
      <c r="A63" s="635" t="s">
        <v>330</v>
      </c>
      <c r="B63" s="634" t="s">
        <v>375</v>
      </c>
      <c r="C63" s="620">
        <v>315020.03088571428</v>
      </c>
      <c r="D63" s="620" t="s">
        <v>410</v>
      </c>
      <c r="E63" s="546">
        <v>315020.03088571428</v>
      </c>
      <c r="F63" s="620">
        <v>184108.58021085718</v>
      </c>
      <c r="G63" s="550" t="s">
        <v>249</v>
      </c>
      <c r="H63" s="556" t="s">
        <v>394</v>
      </c>
      <c r="I63" s="638"/>
      <c r="J63" s="641"/>
      <c r="K63" s="318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</row>
    <row r="64" spans="1:36" s="323" customFormat="1" ht="42.6" customHeight="1" x14ac:dyDescent="0.25">
      <c r="A64" s="635" t="s">
        <v>331</v>
      </c>
      <c r="B64" s="634" t="s">
        <v>386</v>
      </c>
      <c r="C64" s="620">
        <v>64000</v>
      </c>
      <c r="D64" s="620"/>
      <c r="E64" s="546">
        <v>64000</v>
      </c>
      <c r="F64" s="620">
        <v>21552.737000000001</v>
      </c>
      <c r="G64" s="550" t="s">
        <v>249</v>
      </c>
      <c r="H64" s="556" t="s">
        <v>394</v>
      </c>
      <c r="I64" s="638"/>
      <c r="J64" s="641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</row>
    <row r="65" spans="1:36" s="323" customFormat="1" ht="42.6" customHeight="1" x14ac:dyDescent="0.25">
      <c r="A65" s="635" t="s">
        <v>332</v>
      </c>
      <c r="B65" s="634" t="s">
        <v>388</v>
      </c>
      <c r="C65" s="620">
        <v>63217.29</v>
      </c>
      <c r="D65" s="620"/>
      <c r="E65" s="546">
        <v>63217.29</v>
      </c>
      <c r="F65" s="620">
        <v>39522.9274</v>
      </c>
      <c r="G65" s="550" t="s">
        <v>249</v>
      </c>
      <c r="H65" s="556" t="s">
        <v>406</v>
      </c>
      <c r="I65" s="638"/>
      <c r="J65" s="641"/>
      <c r="K65" s="318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  <c r="AJ65" s="318"/>
    </row>
    <row r="66" spans="1:36" s="323" customFormat="1" ht="42.6" customHeight="1" x14ac:dyDescent="0.25">
      <c r="A66" s="635" t="s">
        <v>335</v>
      </c>
      <c r="B66" s="634" t="s">
        <v>393</v>
      </c>
      <c r="C66" s="620">
        <v>17140.37</v>
      </c>
      <c r="D66" s="620"/>
      <c r="E66" s="546">
        <v>17140.37</v>
      </c>
      <c r="F66" s="620">
        <v>7224.1810999999998</v>
      </c>
      <c r="G66" s="550" t="s">
        <v>249</v>
      </c>
      <c r="H66" s="556" t="s">
        <v>406</v>
      </c>
      <c r="I66" s="638"/>
      <c r="J66" s="641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</row>
    <row r="67" spans="1:36" s="323" customFormat="1" ht="42.6" customHeight="1" x14ac:dyDescent="0.25">
      <c r="A67" s="635" t="s">
        <v>336</v>
      </c>
      <c r="B67" s="634" t="s">
        <v>397</v>
      </c>
      <c r="C67" s="620">
        <v>72225.63</v>
      </c>
      <c r="D67" s="620"/>
      <c r="E67" s="546">
        <v>72225.63</v>
      </c>
      <c r="F67" s="620">
        <v>34152.668900000004</v>
      </c>
      <c r="G67" s="550" t="s">
        <v>249</v>
      </c>
      <c r="H67" s="556" t="s">
        <v>406</v>
      </c>
      <c r="I67" s="638"/>
      <c r="J67" s="641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  <c r="AJ67" s="318"/>
    </row>
    <row r="68" spans="1:36" s="323" customFormat="1" ht="42.6" customHeight="1" x14ac:dyDescent="0.25">
      <c r="A68" s="635" t="s">
        <v>337</v>
      </c>
      <c r="B68" s="634" t="s">
        <v>400</v>
      </c>
      <c r="C68" s="620">
        <v>23023.89</v>
      </c>
      <c r="D68" s="620"/>
      <c r="E68" s="546">
        <v>23023.89</v>
      </c>
      <c r="F68" s="620">
        <v>7049.2217000000001</v>
      </c>
      <c r="G68" s="550" t="s">
        <v>249</v>
      </c>
      <c r="H68" s="556" t="s">
        <v>406</v>
      </c>
      <c r="I68" s="638"/>
      <c r="J68" s="641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  <c r="AJ68" s="318"/>
    </row>
    <row r="69" spans="1:36" s="323" customFormat="1" ht="42.6" customHeight="1" x14ac:dyDescent="0.25">
      <c r="A69" s="635" t="s">
        <v>338</v>
      </c>
      <c r="B69" s="634" t="s">
        <v>401</v>
      </c>
      <c r="C69" s="620">
        <v>227922.04</v>
      </c>
      <c r="D69" s="620">
        <v>41217.47</v>
      </c>
      <c r="E69" s="546">
        <v>269139.51</v>
      </c>
      <c r="F69" s="620">
        <v>159925.39529999997</v>
      </c>
      <c r="G69" s="618"/>
      <c r="H69" s="556" t="s">
        <v>399</v>
      </c>
      <c r="I69" s="638" t="s">
        <v>440</v>
      </c>
      <c r="J69" s="641"/>
      <c r="K69" s="318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  <c r="AJ69" s="318"/>
    </row>
    <row r="70" spans="1:36" s="323" customFormat="1" ht="42.6" customHeight="1" x14ac:dyDescent="0.25">
      <c r="A70" s="635" t="s">
        <v>339</v>
      </c>
      <c r="B70" s="634" t="s">
        <v>402</v>
      </c>
      <c r="C70" s="620">
        <v>107483.784</v>
      </c>
      <c r="D70" s="620"/>
      <c r="E70" s="546">
        <v>107483.784</v>
      </c>
      <c r="F70" s="620">
        <v>42715.839520000001</v>
      </c>
      <c r="G70" s="550" t="s">
        <v>249</v>
      </c>
      <c r="H70" s="556" t="s">
        <v>406</v>
      </c>
      <c r="I70" s="638"/>
      <c r="J70" s="641"/>
      <c r="K70" s="318"/>
      <c r="L70" s="318"/>
      <c r="M70" s="318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  <c r="AE70" s="318"/>
      <c r="AF70" s="318"/>
      <c r="AG70" s="318"/>
      <c r="AH70" s="318"/>
      <c r="AI70" s="318"/>
      <c r="AJ70" s="318"/>
    </row>
    <row r="71" spans="1:36" s="323" customFormat="1" ht="42.6" customHeight="1" x14ac:dyDescent="0.25">
      <c r="A71" s="635" t="s">
        <v>340</v>
      </c>
      <c r="B71" s="634" t="s">
        <v>405</v>
      </c>
      <c r="C71" s="620">
        <v>27150</v>
      </c>
      <c r="D71" s="620"/>
      <c r="E71" s="546">
        <v>27150</v>
      </c>
      <c r="F71" s="620">
        <v>17195.89</v>
      </c>
      <c r="G71" s="550" t="s">
        <v>249</v>
      </c>
      <c r="H71" s="556" t="s">
        <v>432</v>
      </c>
      <c r="I71" s="638"/>
      <c r="J71" s="641"/>
      <c r="K71" s="318"/>
      <c r="L71" s="318"/>
      <c r="M71" s="318"/>
      <c r="N71" s="318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  <c r="AE71" s="318"/>
      <c r="AF71" s="318"/>
      <c r="AG71" s="318"/>
      <c r="AH71" s="318"/>
      <c r="AI71" s="318"/>
      <c r="AJ71" s="318"/>
    </row>
    <row r="72" spans="1:36" s="323" customFormat="1" ht="42.6" customHeight="1" x14ac:dyDescent="0.25">
      <c r="A72" s="635" t="s">
        <v>341</v>
      </c>
      <c r="B72" s="634" t="s">
        <v>413</v>
      </c>
      <c r="C72" s="620">
        <v>82388</v>
      </c>
      <c r="D72" s="620"/>
      <c r="E72" s="546">
        <v>82388</v>
      </c>
      <c r="F72" s="620">
        <v>36327.154999999999</v>
      </c>
      <c r="G72" s="618"/>
      <c r="H72" s="556" t="s">
        <v>416</v>
      </c>
      <c r="I72" s="638" t="s">
        <v>429</v>
      </c>
      <c r="J72" s="641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  <c r="AJ72" s="318"/>
    </row>
    <row r="73" spans="1:36" s="323" customFormat="1" ht="42.6" customHeight="1" x14ac:dyDescent="0.25">
      <c r="A73" s="635" t="s">
        <v>342</v>
      </c>
      <c r="B73" s="634" t="s">
        <v>418</v>
      </c>
      <c r="C73" s="620">
        <v>799800</v>
      </c>
      <c r="D73" s="620"/>
      <c r="E73" s="546">
        <v>799800</v>
      </c>
      <c r="F73" s="620">
        <v>421958</v>
      </c>
      <c r="G73" s="550" t="s">
        <v>249</v>
      </c>
      <c r="H73" s="556" t="s">
        <v>445</v>
      </c>
      <c r="I73" s="689"/>
      <c r="J73" s="641"/>
      <c r="K73" s="318"/>
      <c r="L73" s="318"/>
      <c r="M73" s="318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  <c r="AE73" s="318"/>
      <c r="AF73" s="318"/>
      <c r="AG73" s="318"/>
      <c r="AH73" s="318"/>
      <c r="AI73" s="318"/>
      <c r="AJ73" s="318"/>
    </row>
    <row r="74" spans="1:36" s="323" customFormat="1" ht="42.6" customHeight="1" x14ac:dyDescent="0.25">
      <c r="A74" s="635" t="s">
        <v>343</v>
      </c>
      <c r="B74" s="634" t="s">
        <v>455</v>
      </c>
      <c r="C74" s="620">
        <v>15510</v>
      </c>
      <c r="D74" s="620"/>
      <c r="E74" s="546">
        <v>15510</v>
      </c>
      <c r="F74" s="620">
        <v>9915.2999999999993</v>
      </c>
      <c r="G74" s="550" t="s">
        <v>249</v>
      </c>
      <c r="H74" s="556" t="s">
        <v>461</v>
      </c>
      <c r="I74" s="689"/>
      <c r="J74" s="641"/>
      <c r="K74" s="318"/>
      <c r="L74" s="318"/>
      <c r="M74" s="318"/>
      <c r="N74" s="318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  <c r="AA74" s="318"/>
      <c r="AB74" s="318"/>
      <c r="AC74" s="318"/>
      <c r="AD74" s="318"/>
      <c r="AE74" s="318"/>
      <c r="AF74" s="318"/>
      <c r="AG74" s="318"/>
      <c r="AH74" s="318"/>
      <c r="AI74" s="318"/>
      <c r="AJ74" s="318"/>
    </row>
    <row r="75" spans="1:36" s="323" customFormat="1" ht="42.6" customHeight="1" x14ac:dyDescent="0.25">
      <c r="A75" s="635" t="s">
        <v>344</v>
      </c>
      <c r="B75" s="634" t="s">
        <v>457</v>
      </c>
      <c r="C75" s="620">
        <v>137366.51999999999</v>
      </c>
      <c r="D75" s="620"/>
      <c r="E75" s="546">
        <v>137366.51999999999</v>
      </c>
      <c r="F75" s="620">
        <v>62638.005600000004</v>
      </c>
      <c r="G75" s="550" t="s">
        <v>249</v>
      </c>
      <c r="H75" s="556" t="s">
        <v>461</v>
      </c>
      <c r="I75" s="689"/>
      <c r="J75" s="641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318"/>
      <c r="AB75" s="318"/>
      <c r="AC75" s="318"/>
      <c r="AD75" s="318"/>
      <c r="AE75" s="318"/>
      <c r="AF75" s="318"/>
      <c r="AG75" s="318"/>
      <c r="AH75" s="318"/>
      <c r="AI75" s="318"/>
      <c r="AJ75" s="318"/>
    </row>
    <row r="76" spans="1:36" s="323" customFormat="1" ht="42.6" customHeight="1" x14ac:dyDescent="0.25">
      <c r="A76" s="635" t="s">
        <v>345</v>
      </c>
      <c r="B76" s="634" t="s">
        <v>476</v>
      </c>
      <c r="C76" s="620">
        <v>152188</v>
      </c>
      <c r="D76" s="620">
        <v>12527.06</v>
      </c>
      <c r="E76" s="546">
        <v>164715.06</v>
      </c>
      <c r="F76" s="620">
        <v>58731.451799999995</v>
      </c>
      <c r="G76" s="550" t="s">
        <v>249</v>
      </c>
      <c r="H76" s="556" t="s">
        <v>495</v>
      </c>
      <c r="I76" s="689"/>
      <c r="J76" s="641"/>
      <c r="K76" s="318"/>
      <c r="L76" s="318"/>
      <c r="M76" s="318"/>
      <c r="N76" s="318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  <c r="AA76" s="318"/>
      <c r="AB76" s="318"/>
      <c r="AC76" s="318"/>
      <c r="AD76" s="318"/>
      <c r="AE76" s="318"/>
      <c r="AF76" s="318"/>
      <c r="AG76" s="318"/>
      <c r="AH76" s="318"/>
      <c r="AI76" s="318"/>
      <c r="AJ76" s="318"/>
    </row>
    <row r="77" spans="1:36" s="323" customFormat="1" ht="42.6" customHeight="1" x14ac:dyDescent="0.25">
      <c r="A77" s="635" t="s">
        <v>346</v>
      </c>
      <c r="B77" s="634" t="s">
        <v>477</v>
      </c>
      <c r="C77" s="620">
        <v>73346.8</v>
      </c>
      <c r="D77" s="620"/>
      <c r="E77" s="546">
        <v>73346.8</v>
      </c>
      <c r="F77" s="620">
        <v>42945.123999999996</v>
      </c>
      <c r="G77" s="618"/>
      <c r="H77" s="556" t="s">
        <v>479</v>
      </c>
      <c r="I77" s="638" t="s">
        <v>429</v>
      </c>
      <c r="J77" s="641"/>
      <c r="K77" s="318"/>
      <c r="L77" s="318"/>
      <c r="M77" s="318"/>
      <c r="N77" s="318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  <c r="AA77" s="318"/>
      <c r="AB77" s="318"/>
      <c r="AC77" s="318"/>
      <c r="AD77" s="318"/>
      <c r="AE77" s="318"/>
      <c r="AF77" s="318"/>
      <c r="AG77" s="318"/>
      <c r="AH77" s="318"/>
      <c r="AI77" s="318"/>
      <c r="AJ77" s="318"/>
    </row>
    <row r="78" spans="1:36" s="323" customFormat="1" ht="42.6" customHeight="1" x14ac:dyDescent="0.25">
      <c r="A78" s="635" t="s">
        <v>351</v>
      </c>
      <c r="B78" s="634" t="s">
        <v>480</v>
      </c>
      <c r="C78" s="620">
        <v>31989</v>
      </c>
      <c r="D78" s="620"/>
      <c r="E78" s="546">
        <v>31989</v>
      </c>
      <c r="F78" s="620">
        <v>13868.47</v>
      </c>
      <c r="G78" s="550" t="s">
        <v>249</v>
      </c>
      <c r="H78" s="556" t="s">
        <v>495</v>
      </c>
      <c r="I78" s="689"/>
      <c r="J78" s="641"/>
      <c r="K78" s="318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318"/>
      <c r="AB78" s="318"/>
      <c r="AC78" s="318"/>
      <c r="AD78" s="318"/>
      <c r="AE78" s="318"/>
      <c r="AF78" s="318"/>
      <c r="AG78" s="318"/>
      <c r="AH78" s="318"/>
      <c r="AI78" s="318"/>
      <c r="AJ78" s="318"/>
    </row>
    <row r="79" spans="1:36" s="323" customFormat="1" ht="42.6" customHeight="1" x14ac:dyDescent="0.25">
      <c r="A79" s="635" t="s">
        <v>353</v>
      </c>
      <c r="B79" s="634" t="s">
        <v>482</v>
      </c>
      <c r="C79" s="620">
        <v>207656.27999999997</v>
      </c>
      <c r="D79" s="620"/>
      <c r="E79" s="546">
        <v>207656.27999999997</v>
      </c>
      <c r="F79" s="620">
        <v>89976.308399999994</v>
      </c>
      <c r="G79" s="550" t="s">
        <v>249</v>
      </c>
      <c r="H79" s="556" t="s">
        <v>496</v>
      </c>
      <c r="I79" s="638"/>
      <c r="J79" s="641"/>
      <c r="K79" s="318"/>
      <c r="L79" s="318"/>
      <c r="M79" s="318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  <c r="AA79" s="318"/>
      <c r="AB79" s="318"/>
      <c r="AC79" s="318"/>
      <c r="AD79" s="318"/>
      <c r="AE79" s="318"/>
      <c r="AF79" s="318"/>
      <c r="AG79" s="318"/>
      <c r="AH79" s="318"/>
      <c r="AI79" s="318"/>
      <c r="AJ79" s="318"/>
    </row>
    <row r="80" spans="1:36" s="323" customFormat="1" ht="42.6" customHeight="1" x14ac:dyDescent="0.25">
      <c r="A80" s="635" t="s">
        <v>366</v>
      </c>
      <c r="B80" s="634" t="s">
        <v>499</v>
      </c>
      <c r="C80" s="620">
        <v>73800</v>
      </c>
      <c r="D80" s="620"/>
      <c r="E80" s="546">
        <v>73800</v>
      </c>
      <c r="F80" s="620">
        <v>51190</v>
      </c>
      <c r="G80" s="550" t="s">
        <v>249</v>
      </c>
      <c r="H80" s="646" t="s">
        <v>520</v>
      </c>
      <c r="I80" s="638"/>
      <c r="J80" s="641"/>
      <c r="K80" s="318"/>
      <c r="L80" s="318"/>
      <c r="M80" s="318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  <c r="AA80" s="318"/>
      <c r="AB80" s="318"/>
      <c r="AC80" s="318"/>
      <c r="AD80" s="318"/>
      <c r="AE80" s="318"/>
      <c r="AF80" s="318"/>
      <c r="AG80" s="318"/>
      <c r="AH80" s="318"/>
      <c r="AI80" s="318"/>
      <c r="AJ80" s="318"/>
    </row>
    <row r="81" spans="1:9" s="324" customFormat="1" ht="22.95" customHeight="1" x14ac:dyDescent="0.25">
      <c r="A81" s="560"/>
      <c r="B81" s="560" t="s">
        <v>47</v>
      </c>
      <c r="C81" s="561">
        <f>SUM(C6:C80)</f>
        <v>40955712.047997102</v>
      </c>
      <c r="D81" s="561">
        <f>SUM(D6:D80)</f>
        <v>7517060.8211656734</v>
      </c>
      <c r="E81" s="561">
        <f>SUM(E6:E80)</f>
        <v>48472772.869162783</v>
      </c>
      <c r="F81" s="561">
        <f>SUM(F6:F80)</f>
        <v>27183971.94436951</v>
      </c>
      <c r="G81" s="561"/>
      <c r="H81" s="561"/>
      <c r="I81" s="561"/>
    </row>
    <row r="82" spans="1:9" x14ac:dyDescent="0.25">
      <c r="C82" s="339"/>
      <c r="D82" s="339"/>
      <c r="E82" s="339"/>
      <c r="F82" s="339"/>
      <c r="G82" s="339"/>
      <c r="H82" s="339"/>
      <c r="I82" s="339"/>
    </row>
    <row r="83" spans="1:9" x14ac:dyDescent="0.25">
      <c r="C83" s="339"/>
      <c r="D83" s="339"/>
      <c r="E83" s="339"/>
      <c r="F83" s="339"/>
      <c r="G83" s="339"/>
      <c r="H83" s="339"/>
      <c r="I83" s="339"/>
    </row>
    <row r="84" spans="1:9" x14ac:dyDescent="0.25">
      <c r="C84" s="339"/>
      <c r="D84" s="339"/>
      <c r="E84" s="339"/>
      <c r="F84" s="339"/>
      <c r="G84" s="339"/>
      <c r="H84" s="339"/>
      <c r="I84" s="339"/>
    </row>
    <row r="85" spans="1:9" x14ac:dyDescent="0.25">
      <c r="C85" s="339"/>
      <c r="D85" s="339"/>
      <c r="E85" s="339"/>
      <c r="F85" s="339"/>
      <c r="G85" s="339"/>
      <c r="H85" s="339"/>
      <c r="I85" s="339"/>
    </row>
    <row r="86" spans="1:9" x14ac:dyDescent="0.25">
      <c r="C86" s="339"/>
      <c r="D86" s="339"/>
      <c r="E86" s="339"/>
      <c r="F86" s="339"/>
      <c r="G86" s="339"/>
      <c r="H86" s="339"/>
      <c r="I86" s="339"/>
    </row>
    <row r="87" spans="1:9" x14ac:dyDescent="0.25">
      <c r="C87" s="339"/>
      <c r="D87" s="339"/>
      <c r="E87" s="339"/>
      <c r="F87" s="339"/>
      <c r="G87" s="339"/>
      <c r="H87" s="339"/>
      <c r="I87" s="339"/>
    </row>
  </sheetData>
  <mergeCells count="11">
    <mergeCell ref="A1:I2"/>
    <mergeCell ref="A3:A5"/>
    <mergeCell ref="C3:C5"/>
    <mergeCell ref="F3:F5"/>
    <mergeCell ref="G3:H3"/>
    <mergeCell ref="G4:G5"/>
    <mergeCell ref="H4:H5"/>
    <mergeCell ref="I3:I5"/>
    <mergeCell ref="B3:B5"/>
    <mergeCell ref="E3:E5"/>
    <mergeCell ref="D3:D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62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88"/>
  <sheetViews>
    <sheetView tabSelected="1" showWhiteSpace="0" zoomScale="76" zoomScaleNormal="76" zoomScaleSheetLayoutView="36" workbookViewId="0">
      <pane xSplit="2" ySplit="5" topLeftCell="C117" activePane="bottomRight" state="frozen"/>
      <selection pane="topRight" activeCell="C1" sqref="C1"/>
      <selection pane="bottomLeft" activeCell="A6" sqref="A6"/>
      <selection pane="bottomRight" activeCell="K131" sqref="K131"/>
    </sheetView>
  </sheetViews>
  <sheetFormatPr defaultColWidth="9.109375" defaultRowHeight="12" outlineLevelCol="1" x14ac:dyDescent="0.25"/>
  <cols>
    <col min="1" max="1" width="10.44140625" style="308" customWidth="1"/>
    <col min="2" max="2" width="56.33203125" style="308" customWidth="1"/>
    <col min="3" max="3" width="22.33203125" style="342" customWidth="1"/>
    <col min="4" max="4" width="9.44140625" style="342" customWidth="1"/>
    <col min="5" max="5" width="19.88671875" style="342" customWidth="1" outlineLevel="1"/>
    <col min="6" max="6" width="21.6640625" style="342" customWidth="1"/>
    <col min="7" max="7" width="24.21875" style="342" customWidth="1"/>
    <col min="8" max="8" width="23.6640625" style="342" customWidth="1"/>
    <col min="9" max="9" width="24.109375" style="342" customWidth="1"/>
    <col min="10" max="11" width="18.5546875" style="342" customWidth="1"/>
    <col min="12" max="12" width="56.21875" style="342" customWidth="1"/>
    <col min="13" max="13" width="21.5546875" style="308" customWidth="1"/>
    <col min="14" max="14" width="36.77734375" style="308" customWidth="1"/>
    <col min="15" max="15" width="16.44140625" style="308" customWidth="1"/>
    <col min="16" max="16384" width="9.109375" style="308"/>
  </cols>
  <sheetData>
    <row r="1" spans="1:39" ht="16.95" customHeight="1" x14ac:dyDescent="0.25">
      <c r="A1" s="822" t="s">
        <v>205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</row>
    <row r="2" spans="1:39" ht="59.4" customHeight="1" thickBot="1" x14ac:dyDescent="0.3">
      <c r="A2" s="839"/>
      <c r="B2" s="839"/>
      <c r="C2" s="839"/>
      <c r="D2" s="839"/>
      <c r="E2" s="839"/>
      <c r="F2" s="839"/>
      <c r="G2" s="839"/>
      <c r="H2" s="839"/>
      <c r="I2" s="839"/>
      <c r="J2" s="839"/>
      <c r="K2" s="839"/>
      <c r="L2" s="839"/>
    </row>
    <row r="3" spans="1:39" ht="17.399999999999999" customHeight="1" x14ac:dyDescent="0.25">
      <c r="A3" s="823" t="s">
        <v>124</v>
      </c>
      <c r="B3" s="836" t="s">
        <v>185</v>
      </c>
      <c r="C3" s="826" t="s">
        <v>204</v>
      </c>
      <c r="D3" s="840" t="s">
        <v>218</v>
      </c>
      <c r="E3" s="841"/>
      <c r="F3" s="841"/>
      <c r="G3" s="841"/>
      <c r="H3" s="841"/>
      <c r="I3" s="841"/>
      <c r="J3" s="842"/>
      <c r="K3" s="846" t="s">
        <v>433</v>
      </c>
      <c r="L3" s="833" t="s">
        <v>191</v>
      </c>
    </row>
    <row r="4" spans="1:39" ht="12.6" customHeight="1" x14ac:dyDescent="0.25">
      <c r="A4" s="824"/>
      <c r="B4" s="837"/>
      <c r="C4" s="827"/>
      <c r="D4" s="843"/>
      <c r="E4" s="844"/>
      <c r="F4" s="844"/>
      <c r="G4" s="844"/>
      <c r="H4" s="844"/>
      <c r="I4" s="844"/>
      <c r="J4" s="845"/>
      <c r="K4" s="847"/>
      <c r="L4" s="834"/>
    </row>
    <row r="5" spans="1:39" ht="40.950000000000003" customHeight="1" thickBot="1" x14ac:dyDescent="0.3">
      <c r="A5" s="825"/>
      <c r="B5" s="838"/>
      <c r="C5" s="828"/>
      <c r="D5" s="636" t="s">
        <v>126</v>
      </c>
      <c r="E5" s="636" t="s">
        <v>409</v>
      </c>
      <c r="F5" s="636" t="s">
        <v>267</v>
      </c>
      <c r="G5" s="636" t="s">
        <v>193</v>
      </c>
      <c r="H5" s="636" t="s">
        <v>192</v>
      </c>
      <c r="I5" s="636" t="s">
        <v>9</v>
      </c>
      <c r="J5" s="636" t="s">
        <v>190</v>
      </c>
      <c r="K5" s="832"/>
      <c r="L5" s="835"/>
    </row>
    <row r="6" spans="1:39" s="323" customFormat="1" ht="49.2" customHeight="1" x14ac:dyDescent="0.25">
      <c r="A6" s="679" t="s">
        <v>53</v>
      </c>
      <c r="B6" s="672" t="s">
        <v>199</v>
      </c>
      <c r="C6" s="674">
        <v>69779.8</v>
      </c>
      <c r="D6" s="682" t="s">
        <v>53</v>
      </c>
      <c r="E6" s="683">
        <f t="shared" ref="E6:E41" si="0">IFERROR(VALUE(MID(D6,2,LEN(D6)-1)),"")</f>
        <v>1</v>
      </c>
      <c r="F6" s="684">
        <v>74844.200000000012</v>
      </c>
      <c r="G6" s="674">
        <v>0</v>
      </c>
      <c r="H6" s="674">
        <v>74844.200000000012</v>
      </c>
      <c r="I6" s="674" t="s">
        <v>249</v>
      </c>
      <c r="J6" s="680" t="s">
        <v>251</v>
      </c>
      <c r="K6" s="680" t="s">
        <v>321</v>
      </c>
      <c r="L6" s="680" t="s">
        <v>153</v>
      </c>
      <c r="M6" s="533" t="s">
        <v>312</v>
      </c>
      <c r="N6" s="637" t="s">
        <v>313</v>
      </c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</row>
    <row r="7" spans="1:39" s="323" customFormat="1" ht="52.95" customHeight="1" x14ac:dyDescent="0.25">
      <c r="A7" s="635" t="s">
        <v>69</v>
      </c>
      <c r="B7" s="634" t="s">
        <v>200</v>
      </c>
      <c r="C7" s="646">
        <v>2044</v>
      </c>
      <c r="D7" s="549" t="s">
        <v>171</v>
      </c>
      <c r="E7" s="629">
        <f t="shared" si="0"/>
        <v>18</v>
      </c>
      <c r="F7" s="681">
        <v>2044</v>
      </c>
      <c r="G7" s="620">
        <v>0</v>
      </c>
      <c r="H7" s="646">
        <v>2044</v>
      </c>
      <c r="I7" s="620" t="s">
        <v>202</v>
      </c>
      <c r="J7" s="646" t="s">
        <v>269</v>
      </c>
      <c r="K7" s="646"/>
      <c r="L7" s="550" t="s">
        <v>153</v>
      </c>
      <c r="M7" s="307"/>
      <c r="N7" s="537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  <c r="AM7" s="318"/>
    </row>
    <row r="8" spans="1:39" s="323" customFormat="1" ht="48.6" customHeight="1" x14ac:dyDescent="0.25">
      <c r="A8" s="656" t="s">
        <v>293</v>
      </c>
      <c r="B8" s="647" t="s">
        <v>292</v>
      </c>
      <c r="C8" s="554">
        <v>7883363.147839915</v>
      </c>
      <c r="D8" s="548" t="s">
        <v>230</v>
      </c>
      <c r="E8" s="629">
        <f t="shared" si="0"/>
        <v>29</v>
      </c>
      <c r="F8" s="546">
        <v>359694.36</v>
      </c>
      <c r="G8" s="620" t="s">
        <v>153</v>
      </c>
      <c r="H8" s="620">
        <v>359694.36</v>
      </c>
      <c r="I8" s="620" t="s">
        <v>202</v>
      </c>
      <c r="J8" s="646" t="s">
        <v>308</v>
      </c>
      <c r="K8" s="646" t="s">
        <v>321</v>
      </c>
      <c r="L8" s="556" t="s">
        <v>153</v>
      </c>
      <c r="M8" s="533" t="s">
        <v>203</v>
      </c>
      <c r="N8" s="637" t="s">
        <v>314</v>
      </c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</row>
    <row r="9" spans="1:39" s="323" customFormat="1" ht="39.75" customHeight="1" x14ac:dyDescent="0.25">
      <c r="A9" s="656" t="s">
        <v>293</v>
      </c>
      <c r="B9" s="648"/>
      <c r="C9" s="555"/>
      <c r="D9" s="548" t="s">
        <v>338</v>
      </c>
      <c r="E9" s="629">
        <f t="shared" si="0"/>
        <v>53</v>
      </c>
      <c r="F9" s="546">
        <v>1041800.0712068096</v>
      </c>
      <c r="G9" s="620">
        <v>358436.37120680953</v>
      </c>
      <c r="H9" s="620">
        <v>683363.70000000007</v>
      </c>
      <c r="I9" s="620" t="s">
        <v>202</v>
      </c>
      <c r="J9" s="646" t="s">
        <v>347</v>
      </c>
      <c r="K9" s="646" t="s">
        <v>321</v>
      </c>
      <c r="L9" s="550"/>
      <c r="M9" s="307" t="s">
        <v>188</v>
      </c>
      <c r="N9" s="637" t="s">
        <v>315</v>
      </c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  <c r="AM9" s="318"/>
    </row>
    <row r="10" spans="1:39" s="323" customFormat="1" ht="39.75" customHeight="1" x14ac:dyDescent="0.25">
      <c r="A10" s="656" t="s">
        <v>293</v>
      </c>
      <c r="B10" s="648"/>
      <c r="C10" s="555"/>
      <c r="D10" s="548" t="s">
        <v>364</v>
      </c>
      <c r="E10" s="629">
        <f t="shared" si="0"/>
        <v>71</v>
      </c>
      <c r="F10" s="546">
        <v>3843652.4262551991</v>
      </c>
      <c r="G10" s="620">
        <v>1651331.9262551989</v>
      </c>
      <c r="H10" s="620">
        <v>2192320.5</v>
      </c>
      <c r="I10" s="620" t="s">
        <v>202</v>
      </c>
      <c r="J10" s="646" t="s">
        <v>394</v>
      </c>
      <c r="K10" s="646" t="s">
        <v>321</v>
      </c>
      <c r="L10" s="547"/>
      <c r="M10" s="533"/>
      <c r="N10" s="691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</row>
    <row r="11" spans="1:39" s="323" customFormat="1" ht="39.75" customHeight="1" x14ac:dyDescent="0.25">
      <c r="A11" s="656" t="s">
        <v>293</v>
      </c>
      <c r="B11" s="649"/>
      <c r="C11" s="650"/>
      <c r="D11" s="548" t="s">
        <v>383</v>
      </c>
      <c r="E11" s="629">
        <f t="shared" ref="E11:E13" si="1">IFERROR(VALUE(MID(D11,2,LEN(D11)-1)),"")</f>
        <v>79</v>
      </c>
      <c r="F11" s="546">
        <v>1819844.095613553</v>
      </c>
      <c r="G11" s="620">
        <v>728716.19561355305</v>
      </c>
      <c r="H11" s="620">
        <v>1091127.8999999999</v>
      </c>
      <c r="I11" s="620" t="s">
        <v>202</v>
      </c>
      <c r="J11" s="646" t="s">
        <v>394</v>
      </c>
      <c r="K11" s="646" t="s">
        <v>321</v>
      </c>
      <c r="L11" s="547"/>
      <c r="M11" s="533"/>
      <c r="N11" s="691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</row>
    <row r="12" spans="1:39" s="323" customFormat="1" ht="39.75" customHeight="1" x14ac:dyDescent="0.25">
      <c r="A12" s="656" t="s">
        <v>293</v>
      </c>
      <c r="B12" s="648"/>
      <c r="C12" s="555"/>
      <c r="D12" s="548" t="s">
        <v>420</v>
      </c>
      <c r="E12" s="629">
        <f t="shared" si="1"/>
        <v>96</v>
      </c>
      <c r="F12" s="546">
        <v>15979.2</v>
      </c>
      <c r="G12" s="620"/>
      <c r="H12" s="620">
        <v>15979.2</v>
      </c>
      <c r="I12" s="550" t="s">
        <v>249</v>
      </c>
      <c r="J12" s="646" t="s">
        <v>462</v>
      </c>
      <c r="K12" s="646" t="s">
        <v>321</v>
      </c>
      <c r="L12" s="643" t="s">
        <v>427</v>
      </c>
      <c r="M12" s="533"/>
      <c r="N12" s="691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</row>
    <row r="13" spans="1:39" s="323" customFormat="1" ht="39.75" customHeight="1" x14ac:dyDescent="0.25">
      <c r="A13" s="656" t="s">
        <v>293</v>
      </c>
      <c r="B13" s="648"/>
      <c r="C13" s="555"/>
      <c r="D13" s="664" t="s">
        <v>451</v>
      </c>
      <c r="E13" s="629">
        <f t="shared" si="1"/>
        <v>119</v>
      </c>
      <c r="F13" s="546">
        <v>16533.150000000001</v>
      </c>
      <c r="G13" s="620">
        <v>3130.71</v>
      </c>
      <c r="H13" s="620">
        <v>13402.44</v>
      </c>
      <c r="I13" s="550" t="s">
        <v>249</v>
      </c>
      <c r="J13" s="646" t="s">
        <v>462</v>
      </c>
      <c r="K13" s="646" t="s">
        <v>321</v>
      </c>
      <c r="L13" s="643"/>
      <c r="M13" s="533"/>
      <c r="N13" s="691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</row>
    <row r="14" spans="1:39" s="323" customFormat="1" ht="39.75" customHeight="1" x14ac:dyDescent="0.25">
      <c r="A14" s="656" t="s">
        <v>293</v>
      </c>
      <c r="B14" s="648"/>
      <c r="C14" s="555"/>
      <c r="D14" s="664" t="s">
        <v>488</v>
      </c>
      <c r="E14" s="629">
        <f t="shared" si="0"/>
        <v>145</v>
      </c>
      <c r="F14" s="546">
        <v>4785</v>
      </c>
      <c r="G14" s="620"/>
      <c r="H14" s="620">
        <v>4785</v>
      </c>
      <c r="I14" s="550" t="s">
        <v>249</v>
      </c>
      <c r="J14" s="620" t="s">
        <v>496</v>
      </c>
      <c r="K14" s="646" t="s">
        <v>321</v>
      </c>
      <c r="L14" s="721"/>
      <c r="M14" s="533"/>
      <c r="N14" s="691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</row>
    <row r="15" spans="1:39" s="323" customFormat="1" ht="38.25" customHeight="1" x14ac:dyDescent="0.25">
      <c r="A15" s="663" t="s">
        <v>294</v>
      </c>
      <c r="B15" s="665" t="s">
        <v>291</v>
      </c>
      <c r="C15" s="666">
        <v>7051600.8118639104</v>
      </c>
      <c r="D15" s="664" t="s">
        <v>235</v>
      </c>
      <c r="E15" s="629">
        <f t="shared" si="0"/>
        <v>27</v>
      </c>
      <c r="F15" s="546">
        <v>330648.57999999996</v>
      </c>
      <c r="G15" s="620">
        <v>0</v>
      </c>
      <c r="H15" s="620">
        <v>330648.57999999996</v>
      </c>
      <c r="I15" s="620" t="s">
        <v>202</v>
      </c>
      <c r="J15" s="620" t="s">
        <v>288</v>
      </c>
      <c r="K15" s="646" t="s">
        <v>382</v>
      </c>
      <c r="L15" s="556" t="s">
        <v>153</v>
      </c>
      <c r="M15" s="307"/>
      <c r="N15" s="691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</row>
    <row r="16" spans="1:39" s="323" customFormat="1" ht="38.25" customHeight="1" x14ac:dyDescent="0.25">
      <c r="A16" s="663" t="s">
        <v>294</v>
      </c>
      <c r="B16" s="667"/>
      <c r="C16" s="668"/>
      <c r="D16" s="664" t="s">
        <v>307</v>
      </c>
      <c r="E16" s="629">
        <f t="shared" si="0"/>
        <v>42</v>
      </c>
      <c r="F16" s="546">
        <v>908895.93</v>
      </c>
      <c r="G16" s="620">
        <v>307721.33</v>
      </c>
      <c r="H16" s="620">
        <v>601174.6</v>
      </c>
      <c r="I16" s="620" t="s">
        <v>202</v>
      </c>
      <c r="J16" s="646" t="s">
        <v>308</v>
      </c>
      <c r="K16" s="646" t="s">
        <v>382</v>
      </c>
      <c r="L16" s="556"/>
      <c r="M16" s="307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</row>
    <row r="17" spans="1:39" s="323" customFormat="1" ht="38.25" customHeight="1" x14ac:dyDescent="0.25">
      <c r="A17" s="663" t="s">
        <v>294</v>
      </c>
      <c r="B17" s="667"/>
      <c r="C17" s="668"/>
      <c r="D17" s="664" t="s">
        <v>335</v>
      </c>
      <c r="E17" s="629">
        <f t="shared" si="0"/>
        <v>50</v>
      </c>
      <c r="F17" s="546">
        <v>15568.8</v>
      </c>
      <c r="G17" s="620"/>
      <c r="H17" s="620">
        <v>15568.8</v>
      </c>
      <c r="I17" s="620" t="s">
        <v>202</v>
      </c>
      <c r="J17" s="646" t="s">
        <v>347</v>
      </c>
      <c r="K17" s="646" t="s">
        <v>382</v>
      </c>
      <c r="L17" s="556" t="s">
        <v>153</v>
      </c>
      <c r="M17" s="307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</row>
    <row r="18" spans="1:39" s="323" customFormat="1" ht="38.25" customHeight="1" x14ac:dyDescent="0.25">
      <c r="A18" s="663" t="s">
        <v>294</v>
      </c>
      <c r="B18" s="667"/>
      <c r="C18" s="668"/>
      <c r="D18" s="664" t="s">
        <v>339</v>
      </c>
      <c r="E18" s="629">
        <f t="shared" si="0"/>
        <v>54</v>
      </c>
      <c r="F18" s="546">
        <v>2738195.2531138035</v>
      </c>
      <c r="G18" s="620">
        <v>1165791.7731138035</v>
      </c>
      <c r="H18" s="620">
        <v>1572403.4799999997</v>
      </c>
      <c r="I18" s="620" t="s">
        <v>202</v>
      </c>
      <c r="J18" s="646" t="s">
        <v>347</v>
      </c>
      <c r="K18" s="646" t="s">
        <v>321</v>
      </c>
      <c r="L18" s="550"/>
      <c r="M18" s="307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318"/>
    </row>
    <row r="19" spans="1:39" s="323" customFormat="1" ht="38.25" customHeight="1" x14ac:dyDescent="0.25">
      <c r="A19" s="663" t="s">
        <v>294</v>
      </c>
      <c r="B19" s="667"/>
      <c r="C19" s="668"/>
      <c r="D19" s="664" t="s">
        <v>353</v>
      </c>
      <c r="E19" s="629">
        <f t="shared" ref="E19:E20" si="2">IFERROR(VALUE(MID(D19,2,LEN(D19)-1)),"")</f>
        <v>63</v>
      </c>
      <c r="F19" s="546">
        <v>3145348.21</v>
      </c>
      <c r="G19" s="620">
        <v>1234705.2081420319</v>
      </c>
      <c r="H19" s="620">
        <v>1910643</v>
      </c>
      <c r="I19" s="620" t="s">
        <v>202</v>
      </c>
      <c r="J19" s="556" t="s">
        <v>374</v>
      </c>
      <c r="K19" s="556" t="s">
        <v>321</v>
      </c>
      <c r="L19" s="643"/>
      <c r="M19" s="307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  <c r="AK19" s="318"/>
      <c r="AL19" s="318"/>
      <c r="AM19" s="318"/>
    </row>
    <row r="20" spans="1:39" s="323" customFormat="1" ht="38.25" customHeight="1" x14ac:dyDescent="0.25">
      <c r="A20" s="663" t="s">
        <v>294</v>
      </c>
      <c r="B20" s="667"/>
      <c r="C20" s="668"/>
      <c r="D20" s="664" t="s">
        <v>421</v>
      </c>
      <c r="E20" s="629">
        <f t="shared" si="2"/>
        <v>97</v>
      </c>
      <c r="F20" s="546">
        <v>51616.44</v>
      </c>
      <c r="G20" s="620"/>
      <c r="H20" s="620">
        <v>51616.44</v>
      </c>
      <c r="I20" s="620" t="s">
        <v>202</v>
      </c>
      <c r="J20" s="646" t="s">
        <v>432</v>
      </c>
      <c r="K20" s="646" t="s">
        <v>321</v>
      </c>
      <c r="L20" s="643" t="s">
        <v>23</v>
      </c>
      <c r="M20" s="307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  <c r="AM20" s="318"/>
    </row>
    <row r="21" spans="1:39" s="323" customFormat="1" ht="38.25" customHeight="1" x14ac:dyDescent="0.25">
      <c r="A21" s="663" t="s">
        <v>294</v>
      </c>
      <c r="B21" s="667"/>
      <c r="C21" s="668"/>
      <c r="D21" s="664" t="s">
        <v>426</v>
      </c>
      <c r="E21" s="629">
        <f t="shared" si="0"/>
        <v>100</v>
      </c>
      <c r="F21" s="546">
        <v>15979.8</v>
      </c>
      <c r="G21" s="620"/>
      <c r="H21" s="620">
        <v>15979.8</v>
      </c>
      <c r="I21" s="550" t="s">
        <v>249</v>
      </c>
      <c r="J21" s="646" t="s">
        <v>462</v>
      </c>
      <c r="K21" s="646" t="s">
        <v>321</v>
      </c>
      <c r="L21" s="643" t="s">
        <v>427</v>
      </c>
      <c r="M21" s="307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18"/>
      <c r="AL21" s="318"/>
      <c r="AM21" s="318"/>
    </row>
    <row r="22" spans="1:39" s="323" customFormat="1" ht="39.75" customHeight="1" x14ac:dyDescent="0.25">
      <c r="A22" s="623" t="s">
        <v>294</v>
      </c>
      <c r="B22" s="696"/>
      <c r="C22" s="697"/>
      <c r="D22" s="548" t="s">
        <v>452</v>
      </c>
      <c r="E22" s="629">
        <f t="shared" si="0"/>
        <v>120</v>
      </c>
      <c r="F22" s="546">
        <v>16533.150000000001</v>
      </c>
      <c r="G22" s="620">
        <v>3130.71</v>
      </c>
      <c r="H22" s="620">
        <v>13402.44</v>
      </c>
      <c r="I22" s="550" t="s">
        <v>249</v>
      </c>
      <c r="J22" s="646" t="s">
        <v>462</v>
      </c>
      <c r="K22" s="646" t="s">
        <v>321</v>
      </c>
      <c r="L22" s="643"/>
      <c r="M22" s="533"/>
      <c r="N22" s="691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  <c r="AK22" s="318"/>
      <c r="AL22" s="318"/>
      <c r="AM22" s="318"/>
    </row>
    <row r="23" spans="1:39" s="323" customFormat="1" ht="39.75" customHeight="1" x14ac:dyDescent="0.25">
      <c r="A23" s="623" t="s">
        <v>294</v>
      </c>
      <c r="B23" s="696"/>
      <c r="C23" s="697"/>
      <c r="D23" s="664" t="s">
        <v>489</v>
      </c>
      <c r="E23" s="629">
        <f t="shared" ref="E23" si="3">IFERROR(VALUE(MID(D23,2,LEN(D23)-1)),"")</f>
        <v>146</v>
      </c>
      <c r="F23" s="546">
        <v>5220</v>
      </c>
      <c r="G23" s="620"/>
      <c r="H23" s="620">
        <v>5220</v>
      </c>
      <c r="I23" s="550" t="s">
        <v>249</v>
      </c>
      <c r="J23" s="620" t="s">
        <v>496</v>
      </c>
      <c r="K23" s="646" t="s">
        <v>321</v>
      </c>
      <c r="L23" s="721"/>
      <c r="M23" s="533"/>
      <c r="N23" s="691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  <c r="AK23" s="318"/>
      <c r="AL23" s="318"/>
      <c r="AM23" s="318"/>
    </row>
    <row r="24" spans="1:39" s="323" customFormat="1" ht="36" customHeight="1" x14ac:dyDescent="0.25">
      <c r="A24" s="686" t="s">
        <v>295</v>
      </c>
      <c r="B24" s="665" t="s">
        <v>290</v>
      </c>
      <c r="C24" s="666">
        <v>7766307.4578399099</v>
      </c>
      <c r="D24" s="698" t="s">
        <v>158</v>
      </c>
      <c r="E24" s="629">
        <f t="shared" si="0"/>
        <v>15</v>
      </c>
      <c r="F24" s="546">
        <v>554353</v>
      </c>
      <c r="G24" s="620">
        <v>0</v>
      </c>
      <c r="H24" s="620">
        <v>554353</v>
      </c>
      <c r="I24" s="620" t="s">
        <v>202</v>
      </c>
      <c r="J24" s="646" t="s">
        <v>269</v>
      </c>
      <c r="K24" s="646" t="s">
        <v>382</v>
      </c>
      <c r="L24" s="556" t="s">
        <v>153</v>
      </c>
      <c r="M24" s="534" t="s">
        <v>249</v>
      </c>
      <c r="N24" s="637" t="s">
        <v>316</v>
      </c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  <c r="AK24" s="318"/>
      <c r="AL24" s="318"/>
      <c r="AM24" s="318"/>
    </row>
    <row r="25" spans="1:39" s="323" customFormat="1" ht="33" customHeight="1" x14ac:dyDescent="0.25">
      <c r="A25" s="663" t="s">
        <v>295</v>
      </c>
      <c r="B25" s="667"/>
      <c r="C25" s="668"/>
      <c r="D25" s="664" t="s">
        <v>262</v>
      </c>
      <c r="E25" s="629">
        <f t="shared" si="0"/>
        <v>28</v>
      </c>
      <c r="F25" s="546">
        <v>5437399.7429927047</v>
      </c>
      <c r="G25" s="620">
        <v>2649255.2429927043</v>
      </c>
      <c r="H25" s="620">
        <v>2788144.5</v>
      </c>
      <c r="I25" s="620" t="s">
        <v>202</v>
      </c>
      <c r="J25" s="620" t="s">
        <v>288</v>
      </c>
      <c r="K25" s="646" t="s">
        <v>382</v>
      </c>
      <c r="L25" s="556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318"/>
      <c r="AL25" s="318"/>
      <c r="AM25" s="318"/>
    </row>
    <row r="26" spans="1:39" s="323" customFormat="1" ht="32.4" customHeight="1" x14ac:dyDescent="0.25">
      <c r="A26" s="663" t="s">
        <v>295</v>
      </c>
      <c r="B26" s="667"/>
      <c r="C26" s="668"/>
      <c r="D26" s="664" t="s">
        <v>289</v>
      </c>
      <c r="E26" s="629">
        <f t="shared" si="0"/>
        <v>36</v>
      </c>
      <c r="F26" s="546">
        <v>887716.17086603516</v>
      </c>
      <c r="G26" s="620">
        <v>122464.17086603522</v>
      </c>
      <c r="H26" s="620">
        <v>765252</v>
      </c>
      <c r="I26" s="550" t="s">
        <v>249</v>
      </c>
      <c r="J26" s="620" t="s">
        <v>298</v>
      </c>
      <c r="K26" s="646" t="s">
        <v>382</v>
      </c>
      <c r="L26" s="556"/>
      <c r="M26" s="318"/>
      <c r="N26" s="535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  <c r="AK26" s="318"/>
      <c r="AL26" s="318"/>
      <c r="AM26" s="318"/>
    </row>
    <row r="27" spans="1:39" s="323" customFormat="1" ht="32.4" customHeight="1" x14ac:dyDescent="0.25">
      <c r="A27" s="663" t="s">
        <v>295</v>
      </c>
      <c r="B27" s="667"/>
      <c r="C27" s="668"/>
      <c r="D27" s="664" t="s">
        <v>301</v>
      </c>
      <c r="E27" s="629">
        <f t="shared" ref="E27:E28" si="4">IFERROR(VALUE(MID(D27,2,LEN(D27)-1)),"")</f>
        <v>37</v>
      </c>
      <c r="F27" s="546">
        <v>426150.51662977174</v>
      </c>
      <c r="G27" s="620">
        <v>7992.5166297717396</v>
      </c>
      <c r="H27" s="620">
        <v>418158</v>
      </c>
      <c r="I27" s="620" t="s">
        <v>202</v>
      </c>
      <c r="J27" s="646" t="s">
        <v>308</v>
      </c>
      <c r="K27" s="646" t="s">
        <v>382</v>
      </c>
      <c r="L27" s="556"/>
      <c r="M27" s="318"/>
      <c r="N27" s="535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  <c r="AK27" s="318"/>
      <c r="AL27" s="318"/>
      <c r="AM27" s="318"/>
    </row>
    <row r="28" spans="1:39" s="323" customFormat="1" ht="32.4" customHeight="1" x14ac:dyDescent="0.25">
      <c r="A28" s="663" t="s">
        <v>295</v>
      </c>
      <c r="B28" s="667"/>
      <c r="C28" s="668"/>
      <c r="D28" s="664" t="s">
        <v>422</v>
      </c>
      <c r="E28" s="629">
        <f t="shared" si="4"/>
        <v>98</v>
      </c>
      <c r="F28" s="546">
        <v>57640.08</v>
      </c>
      <c r="G28" s="620"/>
      <c r="H28" s="620">
        <v>57640.08</v>
      </c>
      <c r="I28" s="620" t="s">
        <v>202</v>
      </c>
      <c r="J28" s="646" t="s">
        <v>432</v>
      </c>
      <c r="K28" s="646" t="s">
        <v>321</v>
      </c>
      <c r="L28" s="662" t="s">
        <v>23</v>
      </c>
      <c r="M28" s="318"/>
      <c r="N28" s="535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  <c r="AK28" s="318"/>
      <c r="AL28" s="318"/>
      <c r="AM28" s="318"/>
    </row>
    <row r="29" spans="1:39" s="323" customFormat="1" ht="38.25" customHeight="1" x14ac:dyDescent="0.25">
      <c r="A29" s="663" t="s">
        <v>295</v>
      </c>
      <c r="B29" s="667"/>
      <c r="C29" s="668"/>
      <c r="D29" s="664" t="s">
        <v>428</v>
      </c>
      <c r="E29" s="629">
        <f t="shared" ref="E29" si="5">IFERROR(VALUE(MID(D29,2,LEN(D29)-1)),"")</f>
        <v>101</v>
      </c>
      <c r="F29" s="546">
        <v>15979.8</v>
      </c>
      <c r="G29" s="620"/>
      <c r="H29" s="620">
        <v>15979.8</v>
      </c>
      <c r="I29" s="550" t="s">
        <v>249</v>
      </c>
      <c r="J29" s="646" t="s">
        <v>462</v>
      </c>
      <c r="K29" s="646" t="s">
        <v>321</v>
      </c>
      <c r="L29" s="643" t="s">
        <v>427</v>
      </c>
      <c r="M29" s="307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  <c r="AK29" s="318"/>
      <c r="AL29" s="318"/>
      <c r="AM29" s="318"/>
    </row>
    <row r="30" spans="1:39" s="323" customFormat="1" ht="39.75" customHeight="1" x14ac:dyDescent="0.25">
      <c r="A30" s="699" t="s">
        <v>295</v>
      </c>
      <c r="B30" s="669"/>
      <c r="C30" s="670"/>
      <c r="D30" s="664" t="s">
        <v>453</v>
      </c>
      <c r="E30" s="629">
        <f t="shared" ref="E30:E31" si="6">IFERROR(VALUE(MID(D30,2,LEN(D30)-1)),"")</f>
        <v>121</v>
      </c>
      <c r="F30" s="546">
        <v>16533.150000000001</v>
      </c>
      <c r="G30" s="620">
        <v>3130.71</v>
      </c>
      <c r="H30" s="620">
        <v>13402.44</v>
      </c>
      <c r="I30" s="550" t="s">
        <v>249</v>
      </c>
      <c r="J30" s="646" t="s">
        <v>462</v>
      </c>
      <c r="K30" s="646" t="s">
        <v>321</v>
      </c>
      <c r="L30" s="643"/>
      <c r="M30" s="533"/>
      <c r="N30" s="691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  <c r="AK30" s="318"/>
      <c r="AL30" s="318"/>
      <c r="AM30" s="318"/>
    </row>
    <row r="31" spans="1:39" s="323" customFormat="1" ht="39.75" customHeight="1" x14ac:dyDescent="0.25">
      <c r="A31" s="699" t="s">
        <v>295</v>
      </c>
      <c r="B31" s="669"/>
      <c r="C31" s="670"/>
      <c r="D31" s="664" t="s">
        <v>490</v>
      </c>
      <c r="E31" s="629">
        <f t="shared" si="6"/>
        <v>147</v>
      </c>
      <c r="F31" s="546">
        <v>5220</v>
      </c>
      <c r="G31" s="620"/>
      <c r="H31" s="620">
        <v>5220</v>
      </c>
      <c r="I31" s="550" t="s">
        <v>249</v>
      </c>
      <c r="J31" s="620" t="s">
        <v>496</v>
      </c>
      <c r="K31" s="646" t="s">
        <v>321</v>
      </c>
      <c r="L31" s="721"/>
      <c r="M31" s="533"/>
      <c r="N31" s="691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  <c r="AL31" s="318"/>
      <c r="AM31" s="318"/>
    </row>
    <row r="32" spans="1:39" s="323" customFormat="1" ht="56.4" customHeight="1" x14ac:dyDescent="0.25">
      <c r="A32" s="656" t="s">
        <v>71</v>
      </c>
      <c r="B32" s="648" t="s">
        <v>194</v>
      </c>
      <c r="C32" s="555">
        <v>403929.07</v>
      </c>
      <c r="D32" s="549" t="s">
        <v>169</v>
      </c>
      <c r="E32" s="629">
        <f t="shared" si="0"/>
        <v>16</v>
      </c>
      <c r="F32" s="590">
        <v>446461.48</v>
      </c>
      <c r="G32" s="556">
        <v>95684.599359999993</v>
      </c>
      <c r="H32" s="556">
        <v>350776.88</v>
      </c>
      <c r="I32" s="620" t="s">
        <v>202</v>
      </c>
      <c r="J32" s="646" t="s">
        <v>269</v>
      </c>
      <c r="K32" s="646" t="s">
        <v>382</v>
      </c>
      <c r="L32" s="556"/>
      <c r="M32" s="318"/>
      <c r="N32" s="535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  <c r="AK32" s="318"/>
      <c r="AL32" s="318"/>
      <c r="AM32" s="318"/>
    </row>
    <row r="33" spans="1:39" s="323" customFormat="1" ht="56.4" customHeight="1" x14ac:dyDescent="0.25">
      <c r="A33" s="656" t="s">
        <v>71</v>
      </c>
      <c r="B33" s="649"/>
      <c r="C33" s="650"/>
      <c r="D33" s="549" t="s">
        <v>332</v>
      </c>
      <c r="E33" s="629">
        <f t="shared" si="0"/>
        <v>49</v>
      </c>
      <c r="F33" s="590">
        <v>73376.032399999996</v>
      </c>
      <c r="G33" s="556">
        <v>45590.462399999997</v>
      </c>
      <c r="H33" s="556">
        <v>27785.57</v>
      </c>
      <c r="I33" s="620" t="s">
        <v>202</v>
      </c>
      <c r="J33" s="646" t="s">
        <v>347</v>
      </c>
      <c r="K33" s="646" t="s">
        <v>382</v>
      </c>
      <c r="L33" s="550"/>
      <c r="M33" s="318"/>
      <c r="N33" s="535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  <c r="AK33" s="318"/>
      <c r="AL33" s="318"/>
      <c r="AM33" s="318"/>
    </row>
    <row r="34" spans="1:39" s="323" customFormat="1" ht="56.4" customHeight="1" x14ac:dyDescent="0.25">
      <c r="A34" s="579" t="s">
        <v>264</v>
      </c>
      <c r="B34" s="645" t="s">
        <v>265</v>
      </c>
      <c r="C34" s="646">
        <v>47254.520000000004</v>
      </c>
      <c r="D34" s="549" t="s">
        <v>170</v>
      </c>
      <c r="E34" s="629">
        <f t="shared" si="0"/>
        <v>17</v>
      </c>
      <c r="F34" s="590">
        <v>47254.520000000004</v>
      </c>
      <c r="G34" s="556">
        <v>9854.52</v>
      </c>
      <c r="H34" s="556">
        <v>37400</v>
      </c>
      <c r="I34" s="620" t="s">
        <v>202</v>
      </c>
      <c r="J34" s="646" t="s">
        <v>269</v>
      </c>
      <c r="K34" s="646" t="s">
        <v>382</v>
      </c>
      <c r="L34" s="550"/>
      <c r="M34" s="318"/>
      <c r="N34" s="535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  <c r="AK34" s="318"/>
      <c r="AL34" s="318"/>
      <c r="AM34" s="318"/>
    </row>
    <row r="35" spans="1:39" s="323" customFormat="1" ht="41.4" customHeight="1" x14ac:dyDescent="0.25">
      <c r="A35" s="671" t="s">
        <v>72</v>
      </c>
      <c r="B35" s="675" t="s">
        <v>195</v>
      </c>
      <c r="C35" s="666">
        <v>37950.600000000006</v>
      </c>
      <c r="D35" s="688" t="s">
        <v>360</v>
      </c>
      <c r="E35" s="629">
        <f t="shared" si="0"/>
        <v>67</v>
      </c>
      <c r="F35" s="546">
        <v>83715.760000000009</v>
      </c>
      <c r="G35" s="620">
        <v>30619.86</v>
      </c>
      <c r="H35" s="556">
        <v>53095.9</v>
      </c>
      <c r="I35" s="620" t="s">
        <v>202</v>
      </c>
      <c r="J35" s="556" t="s">
        <v>374</v>
      </c>
      <c r="K35" s="556" t="s">
        <v>321</v>
      </c>
      <c r="L35" s="620"/>
      <c r="M35" s="539"/>
      <c r="N35" s="540"/>
      <c r="O35" s="537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  <c r="AJ35" s="318"/>
      <c r="AK35" s="318"/>
      <c r="AL35" s="318"/>
      <c r="AM35" s="318"/>
    </row>
    <row r="36" spans="1:39" s="323" customFormat="1" ht="41.4" customHeight="1" x14ac:dyDescent="0.25">
      <c r="A36" s="671" t="s">
        <v>72</v>
      </c>
      <c r="B36" s="676"/>
      <c r="C36" s="670"/>
      <c r="D36" s="718" t="s">
        <v>510</v>
      </c>
      <c r="E36" s="629">
        <f t="shared" ref="E36" si="7">IFERROR(VALUE(MID(D36,2,LEN(D36)-1)),"")</f>
        <v>158</v>
      </c>
      <c r="F36" s="546">
        <v>7253.28</v>
      </c>
      <c r="G36" s="620">
        <v>6940.08</v>
      </c>
      <c r="H36" s="556">
        <v>313.2</v>
      </c>
      <c r="I36" s="726" t="s">
        <v>188</v>
      </c>
      <c r="J36" s="556" t="s">
        <v>520</v>
      </c>
      <c r="K36" s="556" t="s">
        <v>321</v>
      </c>
      <c r="L36" s="644"/>
      <c r="M36" s="539"/>
      <c r="N36" s="540"/>
      <c r="O36" s="537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  <c r="AK36" s="318"/>
      <c r="AL36" s="318"/>
      <c r="AM36" s="318"/>
    </row>
    <row r="37" spans="1:39" s="323" customFormat="1" ht="55.2" customHeight="1" x14ac:dyDescent="0.25">
      <c r="A37" s="635" t="s">
        <v>208</v>
      </c>
      <c r="B37" s="672" t="s">
        <v>211</v>
      </c>
      <c r="C37" s="674">
        <v>994922</v>
      </c>
      <c r="D37" s="620" t="s">
        <v>76</v>
      </c>
      <c r="E37" s="629">
        <f t="shared" si="0"/>
        <v>10</v>
      </c>
      <c r="F37" s="546">
        <v>1609186.51</v>
      </c>
      <c r="G37" s="620">
        <v>680569.72</v>
      </c>
      <c r="H37" s="620">
        <v>928616.79</v>
      </c>
      <c r="I37" s="620" t="s">
        <v>202</v>
      </c>
      <c r="J37" s="646" t="s">
        <v>269</v>
      </c>
      <c r="K37" s="646" t="s">
        <v>382</v>
      </c>
      <c r="L37" s="620"/>
      <c r="M37" s="541"/>
      <c r="N37" s="542"/>
      <c r="O37" s="537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  <c r="AK37" s="318"/>
      <c r="AL37" s="318"/>
      <c r="AM37" s="318"/>
    </row>
    <row r="38" spans="1:39" s="323" customFormat="1" ht="46.95" customHeight="1" x14ac:dyDescent="0.25">
      <c r="A38" s="635" t="s">
        <v>209</v>
      </c>
      <c r="B38" s="634" t="s">
        <v>206</v>
      </c>
      <c r="C38" s="620">
        <v>401488.07</v>
      </c>
      <c r="D38" s="548" t="s">
        <v>69</v>
      </c>
      <c r="E38" s="629">
        <f t="shared" si="0"/>
        <v>2</v>
      </c>
      <c r="F38" s="546">
        <v>585276.81999999995</v>
      </c>
      <c r="G38" s="620">
        <v>236280.52</v>
      </c>
      <c r="H38" s="620">
        <v>348996.3</v>
      </c>
      <c r="I38" s="620" t="s">
        <v>202</v>
      </c>
      <c r="J38" s="556" t="s">
        <v>242</v>
      </c>
      <c r="K38" s="646" t="s">
        <v>382</v>
      </c>
      <c r="L38" s="620"/>
      <c r="M38" s="538"/>
      <c r="N38" s="538"/>
      <c r="O38" s="537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  <c r="AK38" s="318"/>
      <c r="AL38" s="318"/>
      <c r="AM38" s="318"/>
    </row>
    <row r="39" spans="1:39" s="323" customFormat="1" ht="48.6" customHeight="1" x14ac:dyDescent="0.25">
      <c r="A39" s="635" t="s">
        <v>210</v>
      </c>
      <c r="B39" s="634" t="s">
        <v>207</v>
      </c>
      <c r="C39" s="620">
        <v>401488.07</v>
      </c>
      <c r="D39" s="548" t="s">
        <v>70</v>
      </c>
      <c r="E39" s="629">
        <f t="shared" si="0"/>
        <v>3</v>
      </c>
      <c r="F39" s="558">
        <v>585218.81999999995</v>
      </c>
      <c r="G39" s="620">
        <v>236280.52</v>
      </c>
      <c r="H39" s="547">
        <v>348938.3</v>
      </c>
      <c r="I39" s="620" t="s">
        <v>202</v>
      </c>
      <c r="J39" s="556" t="s">
        <v>242</v>
      </c>
      <c r="K39" s="646" t="s">
        <v>382</v>
      </c>
      <c r="L39" s="620"/>
      <c r="M39" s="536"/>
      <c r="N39" s="536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  <c r="AK39" s="318"/>
      <c r="AL39" s="318"/>
      <c r="AM39" s="318"/>
    </row>
    <row r="40" spans="1:39" s="323" customFormat="1" ht="41.4" customHeight="1" x14ac:dyDescent="0.25">
      <c r="A40" s="579" t="s">
        <v>74</v>
      </c>
      <c r="B40" s="645" t="s">
        <v>186</v>
      </c>
      <c r="C40" s="554">
        <v>70000</v>
      </c>
      <c r="D40" s="548" t="s">
        <v>71</v>
      </c>
      <c r="E40" s="629">
        <f t="shared" si="0"/>
        <v>4</v>
      </c>
      <c r="F40" s="591">
        <v>70000</v>
      </c>
      <c r="G40" s="557">
        <v>0</v>
      </c>
      <c r="H40" s="557">
        <v>70000</v>
      </c>
      <c r="I40" s="620" t="s">
        <v>249</v>
      </c>
      <c r="J40" s="646" t="s">
        <v>251</v>
      </c>
      <c r="K40" s="646" t="s">
        <v>321</v>
      </c>
      <c r="L40" s="646"/>
      <c r="M40" s="318"/>
      <c r="N40" s="655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  <c r="AK40" s="318"/>
      <c r="AL40" s="318"/>
      <c r="AM40" s="318"/>
    </row>
    <row r="41" spans="1:39" s="323" customFormat="1" ht="32.4" customHeight="1" x14ac:dyDescent="0.25">
      <c r="A41" s="656" t="s">
        <v>77</v>
      </c>
      <c r="B41" s="647" t="s">
        <v>196</v>
      </c>
      <c r="C41" s="554">
        <v>2183910</v>
      </c>
      <c r="D41" s="685" t="s">
        <v>75</v>
      </c>
      <c r="E41" s="628">
        <f t="shared" si="0"/>
        <v>12</v>
      </c>
      <c r="F41" s="591">
        <v>1027136</v>
      </c>
      <c r="G41" s="550"/>
      <c r="H41" s="557">
        <v>1027136</v>
      </c>
      <c r="I41" s="620" t="s">
        <v>249</v>
      </c>
      <c r="J41" s="556" t="s">
        <v>281</v>
      </c>
      <c r="K41" s="556" t="s">
        <v>440</v>
      </c>
      <c r="L41" s="620"/>
      <c r="M41" s="536"/>
      <c r="N41" s="537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  <c r="AK41" s="318"/>
      <c r="AL41" s="318"/>
      <c r="AM41" s="318"/>
    </row>
    <row r="42" spans="1:39" s="323" customFormat="1" ht="32.4" customHeight="1" x14ac:dyDescent="0.25">
      <c r="A42" s="657" t="s">
        <v>77</v>
      </c>
      <c r="B42" s="648"/>
      <c r="C42" s="555"/>
      <c r="D42" s="685" t="s">
        <v>283</v>
      </c>
      <c r="E42" s="630">
        <v>12.1</v>
      </c>
      <c r="F42" s="591">
        <v>33000</v>
      </c>
      <c r="G42" s="550"/>
      <c r="H42" s="557">
        <v>33000</v>
      </c>
      <c r="I42" s="550" t="s">
        <v>249</v>
      </c>
      <c r="J42" s="556" t="s">
        <v>284</v>
      </c>
      <c r="K42" s="556" t="s">
        <v>440</v>
      </c>
      <c r="L42" s="620"/>
      <c r="M42" s="536"/>
      <c r="N42" s="537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  <c r="AK42" s="318"/>
      <c r="AL42" s="318"/>
      <c r="AM42" s="318"/>
    </row>
    <row r="43" spans="1:39" s="323" customFormat="1" ht="32.4" customHeight="1" x14ac:dyDescent="0.25">
      <c r="A43" s="657" t="s">
        <v>77</v>
      </c>
      <c r="B43" s="648"/>
      <c r="C43" s="555"/>
      <c r="D43" s="685" t="s">
        <v>366</v>
      </c>
      <c r="E43" s="628">
        <f t="shared" ref="E43:E92" si="8">IFERROR(VALUE(MID(D43,2,LEN(D43)-1)),"")</f>
        <v>64</v>
      </c>
      <c r="F43" s="591">
        <v>397492.83880000003</v>
      </c>
      <c r="G43" s="620">
        <v>21942.838799999998</v>
      </c>
      <c r="H43" s="557">
        <v>375550</v>
      </c>
      <c r="I43" s="550" t="s">
        <v>249</v>
      </c>
      <c r="J43" s="556" t="s">
        <v>374</v>
      </c>
      <c r="K43" s="556" t="s">
        <v>321</v>
      </c>
      <c r="L43" s="620"/>
      <c r="M43" s="536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  <c r="AK43" s="318"/>
      <c r="AL43" s="318"/>
      <c r="AM43" s="318"/>
    </row>
    <row r="44" spans="1:39" s="323" customFormat="1" ht="32.4" customHeight="1" x14ac:dyDescent="0.25">
      <c r="A44" s="657" t="s">
        <v>77</v>
      </c>
      <c r="B44" s="648"/>
      <c r="C44" s="555"/>
      <c r="D44" s="685" t="s">
        <v>369</v>
      </c>
      <c r="E44" s="628">
        <f t="shared" si="8"/>
        <v>73</v>
      </c>
      <c r="F44" s="591">
        <v>221742.8388</v>
      </c>
      <c r="G44" s="620">
        <v>21942.838799999998</v>
      </c>
      <c r="H44" s="557">
        <v>199800</v>
      </c>
      <c r="I44" s="550" t="s">
        <v>249</v>
      </c>
      <c r="J44" s="556" t="s">
        <v>374</v>
      </c>
      <c r="K44" s="556" t="s">
        <v>321</v>
      </c>
      <c r="L44" s="620"/>
      <c r="M44" s="536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  <c r="AM44" s="318"/>
    </row>
    <row r="45" spans="1:39" s="323" customFormat="1" ht="38.4" customHeight="1" x14ac:dyDescent="0.25">
      <c r="A45" s="657" t="s">
        <v>77</v>
      </c>
      <c r="B45" s="648"/>
      <c r="C45" s="555"/>
      <c r="D45" s="685" t="s">
        <v>385</v>
      </c>
      <c r="E45" s="628">
        <f t="shared" ref="E45" si="9">IFERROR(VALUE(MID(D45,2,LEN(D45)-1)),"")</f>
        <v>81</v>
      </c>
      <c r="F45" s="591">
        <v>283975</v>
      </c>
      <c r="G45" s="620"/>
      <c r="H45" s="557">
        <v>283975</v>
      </c>
      <c r="I45" s="620" t="s">
        <v>202</v>
      </c>
      <c r="J45" s="646" t="s">
        <v>416</v>
      </c>
      <c r="K45" s="646" t="s">
        <v>434</v>
      </c>
      <c r="L45" s="547"/>
      <c r="M45" s="536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  <c r="AK45" s="318"/>
      <c r="AL45" s="318"/>
      <c r="AM45" s="318"/>
    </row>
    <row r="46" spans="1:39" s="323" customFormat="1" ht="38.4" customHeight="1" x14ac:dyDescent="0.25">
      <c r="A46" s="658" t="s">
        <v>77</v>
      </c>
      <c r="B46" s="649"/>
      <c r="C46" s="650"/>
      <c r="D46" s="664" t="s">
        <v>435</v>
      </c>
      <c r="E46" s="628">
        <f t="shared" si="8"/>
        <v>109</v>
      </c>
      <c r="F46" s="591">
        <v>173344.82</v>
      </c>
      <c r="G46" s="620">
        <v>32824.519999999997</v>
      </c>
      <c r="H46" s="557">
        <v>140520.29999999999</v>
      </c>
      <c r="I46" s="620" t="s">
        <v>202</v>
      </c>
      <c r="J46" s="646" t="s">
        <v>462</v>
      </c>
      <c r="K46" s="646" t="s">
        <v>321</v>
      </c>
      <c r="L46" s="547"/>
      <c r="M46" s="536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  <c r="AK46" s="318"/>
      <c r="AL46" s="318"/>
      <c r="AM46" s="318"/>
    </row>
    <row r="47" spans="1:39" s="323" customFormat="1" ht="55.2" customHeight="1" x14ac:dyDescent="0.25">
      <c r="A47" s="657" t="s">
        <v>78</v>
      </c>
      <c r="B47" s="648" t="s">
        <v>197</v>
      </c>
      <c r="C47" s="555">
        <v>644106.1</v>
      </c>
      <c r="D47" s="550" t="s">
        <v>80</v>
      </c>
      <c r="E47" s="628">
        <f t="shared" si="8"/>
        <v>13</v>
      </c>
      <c r="F47" s="546">
        <v>309258.40000000002</v>
      </c>
      <c r="G47" s="620"/>
      <c r="H47" s="557">
        <v>309258.40000000002</v>
      </c>
      <c r="I47" s="620" t="s">
        <v>249</v>
      </c>
      <c r="J47" s="556" t="s">
        <v>281</v>
      </c>
      <c r="K47" s="556" t="s">
        <v>440</v>
      </c>
      <c r="L47" s="620"/>
      <c r="M47" s="536"/>
      <c r="N47" s="536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  <c r="AK47" s="318"/>
      <c r="AL47" s="318"/>
      <c r="AM47" s="318"/>
    </row>
    <row r="48" spans="1:39" s="323" customFormat="1" ht="55.2" customHeight="1" x14ac:dyDescent="0.25">
      <c r="A48" s="658" t="s">
        <v>78</v>
      </c>
      <c r="B48" s="648"/>
      <c r="C48" s="555"/>
      <c r="D48" s="548" t="s">
        <v>391</v>
      </c>
      <c r="E48" s="628">
        <f t="shared" si="8"/>
        <v>84</v>
      </c>
      <c r="F48" s="546">
        <v>185810.15</v>
      </c>
      <c r="G48" s="620">
        <v>11910.15</v>
      </c>
      <c r="H48" s="557">
        <v>173900</v>
      </c>
      <c r="I48" s="620" t="s">
        <v>249</v>
      </c>
      <c r="J48" s="556" t="s">
        <v>406</v>
      </c>
      <c r="K48" s="556" t="s">
        <v>321</v>
      </c>
      <c r="L48" s="620"/>
      <c r="M48" s="536"/>
      <c r="N48" s="536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  <c r="AK48" s="318"/>
      <c r="AL48" s="318"/>
      <c r="AM48" s="318"/>
    </row>
    <row r="49" spans="1:39" s="323" customFormat="1" ht="37.200000000000003" customHeight="1" x14ac:dyDescent="0.25">
      <c r="A49" s="658" t="s">
        <v>78</v>
      </c>
      <c r="B49" s="649"/>
      <c r="C49" s="650"/>
      <c r="D49" s="702" t="s">
        <v>436</v>
      </c>
      <c r="E49" s="628">
        <f t="shared" ref="E49" si="10">IFERROR(VALUE(MID(D49,2,LEN(D49)-1)),"")</f>
        <v>110</v>
      </c>
      <c r="F49" s="546">
        <v>59259.826000000001</v>
      </c>
      <c r="G49" s="620">
        <v>9655.93</v>
      </c>
      <c r="H49" s="557">
        <v>49603.896000000001</v>
      </c>
      <c r="I49" s="618" t="s">
        <v>188</v>
      </c>
      <c r="J49" s="646" t="s">
        <v>502</v>
      </c>
      <c r="K49" s="556" t="s">
        <v>321</v>
      </c>
      <c r="L49" s="547"/>
      <c r="M49" s="536"/>
      <c r="N49" s="535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  <c r="AK49" s="318"/>
      <c r="AL49" s="318"/>
      <c r="AM49" s="318"/>
    </row>
    <row r="50" spans="1:39" s="323" customFormat="1" ht="48" customHeight="1" x14ac:dyDescent="0.25">
      <c r="A50" s="658" t="s">
        <v>78</v>
      </c>
      <c r="B50" s="649"/>
      <c r="C50" s="650"/>
      <c r="D50" s="620" t="s">
        <v>424</v>
      </c>
      <c r="E50" s="628">
        <f t="shared" si="8"/>
        <v>104</v>
      </c>
      <c r="F50" s="546">
        <v>86210</v>
      </c>
      <c r="G50" s="620"/>
      <c r="H50" s="557">
        <v>86210</v>
      </c>
      <c r="I50" s="620" t="s">
        <v>202</v>
      </c>
      <c r="J50" s="646" t="s">
        <v>432</v>
      </c>
      <c r="K50" s="646" t="s">
        <v>321</v>
      </c>
      <c r="L50" s="620"/>
      <c r="M50" s="536"/>
      <c r="N50" s="535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  <c r="AK50" s="318"/>
      <c r="AL50" s="318"/>
      <c r="AM50" s="318"/>
    </row>
    <row r="51" spans="1:39" s="323" customFormat="1" ht="41.4" customHeight="1" x14ac:dyDescent="0.25">
      <c r="A51" s="635" t="s">
        <v>76</v>
      </c>
      <c r="B51" s="634" t="s">
        <v>215</v>
      </c>
      <c r="C51" s="620">
        <v>526703.78</v>
      </c>
      <c r="D51" s="620" t="s">
        <v>245</v>
      </c>
      <c r="E51" s="629">
        <f t="shared" si="8"/>
        <v>23</v>
      </c>
      <c r="F51" s="558">
        <v>593059.22000000009</v>
      </c>
      <c r="G51" s="547">
        <v>150765.30000000002</v>
      </c>
      <c r="H51" s="547">
        <v>442293.92000000004</v>
      </c>
      <c r="I51" s="620" t="s">
        <v>249</v>
      </c>
      <c r="J51" s="556" t="s">
        <v>281</v>
      </c>
      <c r="K51" s="556" t="s">
        <v>321</v>
      </c>
      <c r="L51" s="620" t="s">
        <v>153</v>
      </c>
      <c r="M51" s="318"/>
      <c r="N51" s="534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  <c r="AK51" s="318"/>
      <c r="AL51" s="318"/>
      <c r="AM51" s="318"/>
    </row>
    <row r="52" spans="1:39" s="323" customFormat="1" ht="28.95" customHeight="1" x14ac:dyDescent="0.25">
      <c r="A52" s="656" t="s">
        <v>79</v>
      </c>
      <c r="B52" s="647" t="s">
        <v>213</v>
      </c>
      <c r="C52" s="554">
        <v>76937.850000000006</v>
      </c>
      <c r="D52" s="620" t="s">
        <v>167</v>
      </c>
      <c r="E52" s="629">
        <f t="shared" si="8"/>
        <v>14</v>
      </c>
      <c r="F52" s="558">
        <v>27868</v>
      </c>
      <c r="G52" s="547">
        <v>0</v>
      </c>
      <c r="H52" s="547">
        <v>27868</v>
      </c>
      <c r="I52" s="620" t="s">
        <v>202</v>
      </c>
      <c r="J52" s="646" t="s">
        <v>269</v>
      </c>
      <c r="K52" s="646" t="s">
        <v>321</v>
      </c>
      <c r="L52" s="547" t="s">
        <v>323</v>
      </c>
      <c r="M52" s="318"/>
      <c r="N52" s="655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  <c r="AK52" s="318"/>
      <c r="AL52" s="318"/>
      <c r="AM52" s="318"/>
    </row>
    <row r="53" spans="1:39" s="323" customFormat="1" ht="36" customHeight="1" x14ac:dyDescent="0.25">
      <c r="A53" s="657" t="s">
        <v>79</v>
      </c>
      <c r="B53" s="648"/>
      <c r="C53" s="555"/>
      <c r="D53" s="620" t="s">
        <v>236</v>
      </c>
      <c r="E53" s="629">
        <f t="shared" si="8"/>
        <v>30</v>
      </c>
      <c r="F53" s="558">
        <v>27224</v>
      </c>
      <c r="G53" s="547">
        <v>0</v>
      </c>
      <c r="H53" s="547">
        <v>27224</v>
      </c>
      <c r="I53" s="620" t="s">
        <v>202</v>
      </c>
      <c r="J53" s="620" t="s">
        <v>288</v>
      </c>
      <c r="K53" s="646" t="s">
        <v>321</v>
      </c>
      <c r="L53" s="554" t="s">
        <v>322</v>
      </c>
      <c r="M53" s="318"/>
      <c r="N53" s="534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  <c r="AK53" s="318"/>
      <c r="AL53" s="318"/>
      <c r="AM53" s="318"/>
    </row>
    <row r="54" spans="1:39" s="323" customFormat="1" ht="36" customHeight="1" x14ac:dyDescent="0.25">
      <c r="A54" s="657" t="s">
        <v>79</v>
      </c>
      <c r="B54" s="648"/>
      <c r="C54" s="555"/>
      <c r="D54" s="620" t="s">
        <v>239</v>
      </c>
      <c r="E54" s="629">
        <f t="shared" si="8"/>
        <v>33</v>
      </c>
      <c r="F54" s="558">
        <v>28858</v>
      </c>
      <c r="G54" s="547">
        <v>0</v>
      </c>
      <c r="H54" s="547">
        <v>28858</v>
      </c>
      <c r="I54" s="550" t="s">
        <v>249</v>
      </c>
      <c r="J54" s="620" t="s">
        <v>298</v>
      </c>
      <c r="K54" s="646" t="s">
        <v>321</v>
      </c>
      <c r="L54" s="554" t="s">
        <v>324</v>
      </c>
      <c r="M54" s="318"/>
      <c r="N54" s="534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  <c r="AK54" s="318"/>
      <c r="AL54" s="318"/>
      <c r="AM54" s="318"/>
    </row>
    <row r="55" spans="1:39" s="323" customFormat="1" ht="36" customHeight="1" x14ac:dyDescent="0.25">
      <c r="A55" s="658" t="s">
        <v>79</v>
      </c>
      <c r="B55" s="649"/>
      <c r="C55" s="650"/>
      <c r="D55" s="620" t="s">
        <v>336</v>
      </c>
      <c r="E55" s="629">
        <f t="shared" ref="E55" si="11">IFERROR(VALUE(MID(D55,2,LEN(D55)-1)),"")</f>
        <v>51</v>
      </c>
      <c r="F55" s="558">
        <v>5193.3999999999996</v>
      </c>
      <c r="G55" s="547">
        <v>0</v>
      </c>
      <c r="H55" s="547">
        <v>5193.3999999999996</v>
      </c>
      <c r="I55" s="550" t="s">
        <v>249</v>
      </c>
      <c r="J55" s="556" t="s">
        <v>347</v>
      </c>
      <c r="K55" s="678" t="s">
        <v>321</v>
      </c>
      <c r="L55" s="646"/>
      <c r="M55" s="318"/>
      <c r="N55" s="534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  <c r="AK55" s="318"/>
      <c r="AL55" s="318"/>
      <c r="AM55" s="318"/>
    </row>
    <row r="56" spans="1:39" s="323" customFormat="1" ht="35.4" customHeight="1" x14ac:dyDescent="0.25">
      <c r="A56" s="663" t="s">
        <v>75</v>
      </c>
      <c r="B56" s="647" t="s">
        <v>214</v>
      </c>
      <c r="C56" s="554">
        <v>300000</v>
      </c>
      <c r="D56" s="688" t="s">
        <v>79</v>
      </c>
      <c r="E56" s="629">
        <f t="shared" si="8"/>
        <v>11</v>
      </c>
      <c r="F56" s="558">
        <v>231000</v>
      </c>
      <c r="G56" s="547">
        <v>0</v>
      </c>
      <c r="H56" s="547">
        <v>231000</v>
      </c>
      <c r="I56" s="620" t="s">
        <v>202</v>
      </c>
      <c r="J56" s="646" t="s">
        <v>269</v>
      </c>
      <c r="K56" s="646" t="s">
        <v>321</v>
      </c>
      <c r="L56" s="646"/>
      <c r="M56" s="318"/>
      <c r="N56" s="655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  <c r="AK56" s="318"/>
      <c r="AL56" s="318"/>
      <c r="AM56" s="318"/>
    </row>
    <row r="57" spans="1:39" s="323" customFormat="1" ht="35.4" customHeight="1" x14ac:dyDescent="0.25">
      <c r="A57" s="686" t="s">
        <v>75</v>
      </c>
      <c r="B57" s="648"/>
      <c r="C57" s="555"/>
      <c r="D57" s="688" t="s">
        <v>223</v>
      </c>
      <c r="E57" s="629">
        <f t="shared" si="8"/>
        <v>22</v>
      </c>
      <c r="F57" s="558">
        <v>111000</v>
      </c>
      <c r="G57" s="547">
        <v>0</v>
      </c>
      <c r="H57" s="547">
        <v>111000</v>
      </c>
      <c r="I57" s="620" t="s">
        <v>249</v>
      </c>
      <c r="J57" s="556" t="s">
        <v>281</v>
      </c>
      <c r="K57" s="646" t="s">
        <v>321</v>
      </c>
      <c r="L57" s="646"/>
      <c r="M57" s="318"/>
      <c r="N57" s="534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  <c r="AK57" s="318"/>
      <c r="AL57" s="318"/>
      <c r="AM57" s="318"/>
    </row>
    <row r="58" spans="1:39" s="323" customFormat="1" ht="35.4" customHeight="1" x14ac:dyDescent="0.25">
      <c r="A58" s="686" t="s">
        <v>75</v>
      </c>
      <c r="B58" s="648"/>
      <c r="C58" s="555"/>
      <c r="D58" s="688" t="s">
        <v>302</v>
      </c>
      <c r="E58" s="629">
        <f t="shared" si="8"/>
        <v>38</v>
      </c>
      <c r="F58" s="558">
        <v>106875</v>
      </c>
      <c r="G58" s="547">
        <v>0</v>
      </c>
      <c r="H58" s="547">
        <v>106875</v>
      </c>
      <c r="I58" s="620" t="s">
        <v>202</v>
      </c>
      <c r="J58" s="646" t="s">
        <v>308</v>
      </c>
      <c r="K58" s="646" t="s">
        <v>321</v>
      </c>
      <c r="L58" s="646"/>
      <c r="M58" s="318"/>
      <c r="N58" s="534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  <c r="AK58" s="318"/>
      <c r="AL58" s="318"/>
      <c r="AM58" s="318"/>
    </row>
    <row r="59" spans="1:39" s="323" customFormat="1" ht="43.8" customHeight="1" x14ac:dyDescent="0.25">
      <c r="A59" s="686" t="s">
        <v>75</v>
      </c>
      <c r="B59" s="648"/>
      <c r="C59" s="555"/>
      <c r="D59" s="688" t="s">
        <v>309</v>
      </c>
      <c r="E59" s="629">
        <f t="shared" si="8"/>
        <v>43</v>
      </c>
      <c r="F59" s="558">
        <v>70875</v>
      </c>
      <c r="G59" s="547">
        <v>0</v>
      </c>
      <c r="H59" s="547">
        <v>70875</v>
      </c>
      <c r="I59" s="620" t="s">
        <v>202</v>
      </c>
      <c r="J59" s="646" t="s">
        <v>334</v>
      </c>
      <c r="K59" s="646" t="s">
        <v>321</v>
      </c>
      <c r="L59" s="646"/>
      <c r="M59" s="318"/>
      <c r="N59" s="534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  <c r="AJ59" s="318"/>
      <c r="AK59" s="318"/>
      <c r="AL59" s="318"/>
      <c r="AM59" s="318"/>
    </row>
    <row r="60" spans="1:39" s="323" customFormat="1" ht="49.2" customHeight="1" x14ac:dyDescent="0.25">
      <c r="A60" s="686" t="s">
        <v>75</v>
      </c>
      <c r="B60" s="648"/>
      <c r="C60" s="555"/>
      <c r="D60" s="688" t="s">
        <v>327</v>
      </c>
      <c r="E60" s="629">
        <f t="shared" si="8"/>
        <v>44</v>
      </c>
      <c r="F60" s="558">
        <v>33750</v>
      </c>
      <c r="G60" s="547">
        <v>0</v>
      </c>
      <c r="H60" s="547">
        <v>33750</v>
      </c>
      <c r="I60" s="550" t="s">
        <v>249</v>
      </c>
      <c r="J60" s="556" t="s">
        <v>347</v>
      </c>
      <c r="K60" s="678" t="s">
        <v>321</v>
      </c>
      <c r="L60" s="646"/>
      <c r="M60" s="318"/>
      <c r="N60" s="534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  <c r="AJ60" s="318"/>
      <c r="AK60" s="318"/>
      <c r="AL60" s="318"/>
      <c r="AM60" s="318"/>
    </row>
    <row r="61" spans="1:39" s="323" customFormat="1" ht="34.799999999999997" customHeight="1" x14ac:dyDescent="0.25">
      <c r="A61" s="686" t="s">
        <v>75</v>
      </c>
      <c r="B61" s="648"/>
      <c r="C61" s="555"/>
      <c r="D61" s="688" t="s">
        <v>328</v>
      </c>
      <c r="E61" s="629">
        <f t="shared" si="8"/>
        <v>45</v>
      </c>
      <c r="F61" s="558">
        <v>30375</v>
      </c>
      <c r="G61" s="547">
        <v>0</v>
      </c>
      <c r="H61" s="547">
        <v>30375</v>
      </c>
      <c r="I61" s="550" t="s">
        <v>249</v>
      </c>
      <c r="J61" s="556" t="s">
        <v>347</v>
      </c>
      <c r="K61" s="678" t="s">
        <v>321</v>
      </c>
      <c r="L61" s="646"/>
      <c r="M61" s="318"/>
      <c r="N61" s="534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  <c r="AJ61" s="318"/>
      <c r="AK61" s="318"/>
      <c r="AL61" s="318"/>
      <c r="AM61" s="318"/>
    </row>
    <row r="62" spans="1:39" s="323" customFormat="1" ht="40.200000000000003" customHeight="1" x14ac:dyDescent="0.25">
      <c r="A62" s="686" t="s">
        <v>75</v>
      </c>
      <c r="B62" s="648"/>
      <c r="C62" s="555"/>
      <c r="D62" s="688" t="s">
        <v>340</v>
      </c>
      <c r="E62" s="629">
        <f t="shared" si="8"/>
        <v>55</v>
      </c>
      <c r="F62" s="558">
        <v>76125</v>
      </c>
      <c r="G62" s="547">
        <v>0</v>
      </c>
      <c r="H62" s="547">
        <v>76125</v>
      </c>
      <c r="I62" s="550" t="s">
        <v>249</v>
      </c>
      <c r="J62" s="646" t="s">
        <v>357</v>
      </c>
      <c r="K62" s="678" t="s">
        <v>321</v>
      </c>
      <c r="L62" s="638"/>
      <c r="M62" s="318"/>
      <c r="N62" s="534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  <c r="AK62" s="318"/>
      <c r="AL62" s="318"/>
      <c r="AM62" s="318"/>
    </row>
    <row r="63" spans="1:39" s="323" customFormat="1" ht="40.200000000000003" customHeight="1" x14ac:dyDescent="0.25">
      <c r="A63" s="686" t="s">
        <v>75</v>
      </c>
      <c r="B63" s="648"/>
      <c r="C63" s="555"/>
      <c r="D63" s="688" t="s">
        <v>341</v>
      </c>
      <c r="E63" s="629">
        <f t="shared" si="8"/>
        <v>56</v>
      </c>
      <c r="F63" s="558">
        <v>169875</v>
      </c>
      <c r="G63" s="547">
        <v>0</v>
      </c>
      <c r="H63" s="547">
        <v>169875</v>
      </c>
      <c r="I63" s="550" t="s">
        <v>249</v>
      </c>
      <c r="J63" s="646" t="s">
        <v>357</v>
      </c>
      <c r="K63" s="678" t="s">
        <v>321</v>
      </c>
      <c r="L63" s="638" t="s">
        <v>358</v>
      </c>
      <c r="M63" s="318"/>
      <c r="N63" s="534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  <c r="AK63" s="318"/>
      <c r="AL63" s="318"/>
      <c r="AM63" s="318"/>
    </row>
    <row r="64" spans="1:39" s="323" customFormat="1" ht="40.200000000000003" customHeight="1" x14ac:dyDescent="0.25">
      <c r="A64" s="686" t="s">
        <v>75</v>
      </c>
      <c r="B64" s="667"/>
      <c r="C64" s="668"/>
      <c r="D64" s="688" t="s">
        <v>342</v>
      </c>
      <c r="E64" s="629">
        <f t="shared" si="8"/>
        <v>57</v>
      </c>
      <c r="F64" s="558">
        <v>21000</v>
      </c>
      <c r="G64" s="547">
        <v>0</v>
      </c>
      <c r="H64" s="547">
        <v>21000</v>
      </c>
      <c r="I64" s="550" t="s">
        <v>249</v>
      </c>
      <c r="J64" s="646" t="s">
        <v>357</v>
      </c>
      <c r="K64" s="678" t="s">
        <v>321</v>
      </c>
      <c r="L64" s="638" t="s">
        <v>358</v>
      </c>
      <c r="M64" s="318"/>
      <c r="N64" s="534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  <c r="AK64" s="318"/>
      <c r="AL64" s="318"/>
      <c r="AM64" s="318"/>
    </row>
    <row r="65" spans="1:39" s="323" customFormat="1" ht="40.200000000000003" customHeight="1" x14ac:dyDescent="0.25">
      <c r="A65" s="686" t="s">
        <v>75</v>
      </c>
      <c r="B65" s="667"/>
      <c r="C65" s="668"/>
      <c r="D65" s="688" t="s">
        <v>343</v>
      </c>
      <c r="E65" s="629">
        <f t="shared" si="8"/>
        <v>58</v>
      </c>
      <c r="F65" s="558">
        <v>36750</v>
      </c>
      <c r="G65" s="547">
        <v>0</v>
      </c>
      <c r="H65" s="547">
        <v>36750</v>
      </c>
      <c r="I65" s="550" t="s">
        <v>249</v>
      </c>
      <c r="J65" s="646" t="s">
        <v>357</v>
      </c>
      <c r="K65" s="678" t="s">
        <v>321</v>
      </c>
      <c r="L65" s="638" t="s">
        <v>358</v>
      </c>
      <c r="M65" s="318"/>
      <c r="N65" s="534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  <c r="AJ65" s="318"/>
      <c r="AK65" s="318"/>
      <c r="AL65" s="318"/>
      <c r="AM65" s="318"/>
    </row>
    <row r="66" spans="1:39" s="323" customFormat="1" ht="40.200000000000003" customHeight="1" x14ac:dyDescent="0.25">
      <c r="A66" s="686" t="s">
        <v>75</v>
      </c>
      <c r="B66" s="667"/>
      <c r="C66" s="668"/>
      <c r="D66" s="688" t="s">
        <v>345</v>
      </c>
      <c r="E66" s="629">
        <f t="shared" si="8"/>
        <v>60</v>
      </c>
      <c r="F66" s="558">
        <v>21000</v>
      </c>
      <c r="G66" s="547">
        <v>0</v>
      </c>
      <c r="H66" s="547">
        <v>21000</v>
      </c>
      <c r="I66" s="550" t="s">
        <v>249</v>
      </c>
      <c r="J66" s="646" t="s">
        <v>357</v>
      </c>
      <c r="K66" s="646" t="s">
        <v>321</v>
      </c>
      <c r="L66" s="638" t="s">
        <v>358</v>
      </c>
      <c r="M66" s="318"/>
      <c r="N66" s="534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  <c r="AK66" s="318"/>
      <c r="AL66" s="318"/>
      <c r="AM66" s="318"/>
    </row>
    <row r="67" spans="1:39" s="323" customFormat="1" ht="40.200000000000003" customHeight="1" x14ac:dyDescent="0.25">
      <c r="A67" s="687" t="s">
        <v>75</v>
      </c>
      <c r="B67" s="667"/>
      <c r="C67" s="668"/>
      <c r="D67" s="688" t="s">
        <v>377</v>
      </c>
      <c r="E67" s="629">
        <f t="shared" ref="E67:E69" si="12">IFERROR(VALUE(MID(D67,2,LEN(D67)-1)),"")</f>
        <v>74</v>
      </c>
      <c r="F67" s="558">
        <v>2250</v>
      </c>
      <c r="G67" s="547">
        <v>0</v>
      </c>
      <c r="H67" s="547">
        <v>2250</v>
      </c>
      <c r="I67" s="550" t="s">
        <v>249</v>
      </c>
      <c r="J67" s="646" t="s">
        <v>395</v>
      </c>
      <c r="K67" s="646" t="s">
        <v>321</v>
      </c>
      <c r="L67" s="638"/>
      <c r="M67" s="318"/>
      <c r="N67" s="534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  <c r="AJ67" s="318"/>
      <c r="AK67" s="318"/>
      <c r="AL67" s="318"/>
      <c r="AM67" s="318"/>
    </row>
    <row r="68" spans="1:39" s="323" customFormat="1" ht="40.200000000000003" customHeight="1" x14ac:dyDescent="0.25">
      <c r="A68" s="687" t="s">
        <v>75</v>
      </c>
      <c r="B68" s="667"/>
      <c r="C68" s="668"/>
      <c r="D68" s="688" t="s">
        <v>446</v>
      </c>
      <c r="E68" s="629">
        <f t="shared" si="12"/>
        <v>115</v>
      </c>
      <c r="F68" s="558">
        <v>22500</v>
      </c>
      <c r="G68" s="547">
        <v>0</v>
      </c>
      <c r="H68" s="547">
        <v>22500</v>
      </c>
      <c r="I68" s="550" t="s">
        <v>249</v>
      </c>
      <c r="J68" s="646" t="s">
        <v>462</v>
      </c>
      <c r="K68" s="646" t="s">
        <v>321</v>
      </c>
      <c r="L68" s="638" t="s">
        <v>449</v>
      </c>
      <c r="M68" s="318"/>
      <c r="N68" s="534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  <c r="AJ68" s="318"/>
      <c r="AK68" s="318"/>
      <c r="AL68" s="318"/>
      <c r="AM68" s="318"/>
    </row>
    <row r="69" spans="1:39" s="323" customFormat="1" ht="40.200000000000003" customHeight="1" x14ac:dyDescent="0.25">
      <c r="A69" s="687" t="s">
        <v>75</v>
      </c>
      <c r="B69" s="667"/>
      <c r="C69" s="668"/>
      <c r="D69" s="688" t="s">
        <v>447</v>
      </c>
      <c r="E69" s="629">
        <f t="shared" si="12"/>
        <v>116</v>
      </c>
      <c r="F69" s="558">
        <v>22500</v>
      </c>
      <c r="G69" s="547">
        <v>0</v>
      </c>
      <c r="H69" s="547">
        <v>22500</v>
      </c>
      <c r="I69" s="550" t="s">
        <v>249</v>
      </c>
      <c r="J69" s="646" t="s">
        <v>462</v>
      </c>
      <c r="K69" s="646" t="s">
        <v>321</v>
      </c>
      <c r="L69" s="638" t="s">
        <v>449</v>
      </c>
      <c r="M69" s="318"/>
      <c r="N69" s="534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  <c r="AJ69" s="318"/>
      <c r="AK69" s="318"/>
      <c r="AL69" s="318"/>
      <c r="AM69" s="318"/>
    </row>
    <row r="70" spans="1:39" s="323" customFormat="1" ht="40.200000000000003" customHeight="1" x14ac:dyDescent="0.25">
      <c r="A70" s="687" t="s">
        <v>75</v>
      </c>
      <c r="B70" s="648"/>
      <c r="C70" s="555"/>
      <c r="D70" s="688" t="s">
        <v>448</v>
      </c>
      <c r="E70" s="629">
        <f t="shared" si="8"/>
        <v>117</v>
      </c>
      <c r="F70" s="558">
        <v>22500</v>
      </c>
      <c r="G70" s="547">
        <v>0</v>
      </c>
      <c r="H70" s="547">
        <v>22500</v>
      </c>
      <c r="I70" s="550" t="s">
        <v>249</v>
      </c>
      <c r="J70" s="646" t="s">
        <v>462</v>
      </c>
      <c r="K70" s="646" t="s">
        <v>321</v>
      </c>
      <c r="L70" s="638" t="s">
        <v>449</v>
      </c>
      <c r="M70" s="318"/>
      <c r="N70" s="534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  <c r="AE70" s="318"/>
      <c r="AF70" s="318"/>
      <c r="AG70" s="318"/>
      <c r="AH70" s="318"/>
      <c r="AI70" s="318"/>
      <c r="AJ70" s="318"/>
      <c r="AK70" s="318"/>
      <c r="AL70" s="318"/>
      <c r="AM70" s="318"/>
    </row>
    <row r="71" spans="1:39" s="323" customFormat="1" ht="40.200000000000003" customHeight="1" x14ac:dyDescent="0.25">
      <c r="A71" s="687" t="s">
        <v>75</v>
      </c>
      <c r="B71" s="667"/>
      <c r="C71" s="668"/>
      <c r="D71" s="688" t="s">
        <v>465</v>
      </c>
      <c r="E71" s="629">
        <f t="shared" ref="E71" si="13">IFERROR(VALUE(MID(D71,2,LEN(D71)-1)),"")</f>
        <v>128</v>
      </c>
      <c r="F71" s="558">
        <v>75000</v>
      </c>
      <c r="G71" s="547"/>
      <c r="H71" s="547">
        <v>75000</v>
      </c>
      <c r="I71" s="620" t="s">
        <v>202</v>
      </c>
      <c r="J71" s="646" t="s">
        <v>474</v>
      </c>
      <c r="K71" s="646" t="s">
        <v>321</v>
      </c>
      <c r="L71" s="638" t="s">
        <v>469</v>
      </c>
      <c r="M71" s="318"/>
      <c r="N71" s="534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  <c r="AE71" s="318"/>
      <c r="AF71" s="318"/>
      <c r="AG71" s="318"/>
      <c r="AH71" s="318"/>
      <c r="AI71" s="318"/>
      <c r="AJ71" s="318"/>
      <c r="AK71" s="318"/>
      <c r="AL71" s="318"/>
      <c r="AM71" s="318"/>
    </row>
    <row r="72" spans="1:39" s="323" customFormat="1" ht="40.200000000000003" customHeight="1" x14ac:dyDescent="0.25">
      <c r="A72" s="687" t="s">
        <v>75</v>
      </c>
      <c r="B72" s="667"/>
      <c r="C72" s="668"/>
      <c r="D72" s="688" t="s">
        <v>475</v>
      </c>
      <c r="E72" s="629">
        <f t="shared" si="8"/>
        <v>135</v>
      </c>
      <c r="F72" s="558">
        <v>106500</v>
      </c>
      <c r="G72" s="547"/>
      <c r="H72" s="547">
        <v>106500</v>
      </c>
      <c r="I72" s="620" t="s">
        <v>202</v>
      </c>
      <c r="J72" s="646" t="s">
        <v>481</v>
      </c>
      <c r="K72" s="646" t="s">
        <v>321</v>
      </c>
      <c r="L72" s="638" t="s">
        <v>469</v>
      </c>
      <c r="M72" s="318"/>
      <c r="N72" s="534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  <c r="AJ72" s="318"/>
      <c r="AK72" s="318"/>
      <c r="AL72" s="318"/>
      <c r="AM72" s="318"/>
    </row>
    <row r="73" spans="1:39" s="323" customFormat="1" ht="42" customHeight="1" x14ac:dyDescent="0.25">
      <c r="A73" s="671" t="s">
        <v>80</v>
      </c>
      <c r="B73" s="675" t="s">
        <v>217</v>
      </c>
      <c r="C73" s="673">
        <v>658888.21000000008</v>
      </c>
      <c r="D73" s="688" t="s">
        <v>454</v>
      </c>
      <c r="E73" s="629">
        <f t="shared" si="8"/>
        <v>122</v>
      </c>
      <c r="F73" s="558">
        <v>240316.35</v>
      </c>
      <c r="G73" s="547"/>
      <c r="H73" s="547">
        <v>240316.35</v>
      </c>
      <c r="I73" s="620" t="s">
        <v>202</v>
      </c>
      <c r="J73" s="620" t="s">
        <v>461</v>
      </c>
      <c r="K73" s="646" t="s">
        <v>321</v>
      </c>
      <c r="L73" s="638"/>
      <c r="M73" s="318"/>
      <c r="N73" s="534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  <c r="AE73" s="318"/>
      <c r="AF73" s="318"/>
      <c r="AG73" s="318"/>
      <c r="AH73" s="318"/>
      <c r="AI73" s="318"/>
      <c r="AJ73" s="318"/>
      <c r="AK73" s="318"/>
      <c r="AL73" s="318"/>
      <c r="AM73" s="318"/>
    </row>
    <row r="74" spans="1:39" s="323" customFormat="1" ht="39.6" customHeight="1" x14ac:dyDescent="0.25">
      <c r="A74" s="671" t="s">
        <v>80</v>
      </c>
      <c r="B74" s="676"/>
      <c r="C74" s="677"/>
      <c r="D74" s="688" t="s">
        <v>458</v>
      </c>
      <c r="E74" s="629">
        <f t="shared" ref="E74:E75" si="14">IFERROR(VALUE(MID(D74,2,LEN(D74)-1)),"")</f>
        <v>124</v>
      </c>
      <c r="F74" s="558">
        <v>178615.2</v>
      </c>
      <c r="G74" s="547"/>
      <c r="H74" s="547">
        <v>178615.2</v>
      </c>
      <c r="I74" s="620" t="s">
        <v>202</v>
      </c>
      <c r="J74" s="646" t="s">
        <v>474</v>
      </c>
      <c r="K74" s="646" t="s">
        <v>321</v>
      </c>
      <c r="L74" s="638"/>
      <c r="M74" s="318"/>
      <c r="N74" s="534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  <c r="AA74" s="318"/>
      <c r="AB74" s="318"/>
      <c r="AC74" s="318"/>
      <c r="AD74" s="318"/>
      <c r="AE74" s="318"/>
      <c r="AF74" s="318"/>
      <c r="AG74" s="318"/>
      <c r="AH74" s="318"/>
      <c r="AI74" s="318"/>
      <c r="AJ74" s="318"/>
      <c r="AK74" s="318"/>
      <c r="AL74" s="318"/>
      <c r="AM74" s="318"/>
    </row>
    <row r="75" spans="1:39" s="323" customFormat="1" ht="39.6" customHeight="1" x14ac:dyDescent="0.25">
      <c r="A75" s="671" t="s">
        <v>80</v>
      </c>
      <c r="B75" s="676"/>
      <c r="C75" s="677"/>
      <c r="D75" s="688" t="s">
        <v>478</v>
      </c>
      <c r="E75" s="629">
        <f t="shared" si="14"/>
        <v>136</v>
      </c>
      <c r="F75" s="558">
        <v>75530.399999999994</v>
      </c>
      <c r="G75" s="547"/>
      <c r="H75" s="547">
        <v>75530.399999999994</v>
      </c>
      <c r="I75" s="618" t="s">
        <v>203</v>
      </c>
      <c r="J75" s="646" t="s">
        <v>479</v>
      </c>
      <c r="K75" s="646"/>
      <c r="L75" s="638" t="s">
        <v>472</v>
      </c>
      <c r="M75" s="318"/>
      <c r="N75" s="534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318"/>
      <c r="AB75" s="318"/>
      <c r="AC75" s="318"/>
      <c r="AD75" s="318"/>
      <c r="AE75" s="318"/>
      <c r="AF75" s="318"/>
      <c r="AG75" s="318"/>
      <c r="AH75" s="318"/>
      <c r="AI75" s="318"/>
      <c r="AJ75" s="318"/>
      <c r="AK75" s="318"/>
      <c r="AL75" s="318"/>
      <c r="AM75" s="318"/>
    </row>
    <row r="76" spans="1:39" s="323" customFormat="1" ht="39.6" customHeight="1" x14ac:dyDescent="0.25">
      <c r="A76" s="671" t="s">
        <v>80</v>
      </c>
      <c r="B76" s="676"/>
      <c r="C76" s="677"/>
      <c r="D76" s="688" t="s">
        <v>505</v>
      </c>
      <c r="E76" s="629">
        <f t="shared" si="8"/>
        <v>152</v>
      </c>
      <c r="F76" s="558">
        <v>3900</v>
      </c>
      <c r="G76" s="547"/>
      <c r="H76" s="547">
        <v>3900</v>
      </c>
      <c r="I76" s="550"/>
      <c r="J76" s="646" t="s">
        <v>504</v>
      </c>
      <c r="K76" s="646"/>
      <c r="L76" s="638" t="s">
        <v>498</v>
      </c>
      <c r="M76" s="318"/>
      <c r="N76" s="534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  <c r="AA76" s="318"/>
      <c r="AB76" s="318"/>
      <c r="AC76" s="318"/>
      <c r="AD76" s="318"/>
      <c r="AE76" s="318"/>
      <c r="AF76" s="318"/>
      <c r="AG76" s="318"/>
      <c r="AH76" s="318"/>
      <c r="AI76" s="318"/>
      <c r="AJ76" s="318"/>
      <c r="AK76" s="318"/>
      <c r="AL76" s="318"/>
      <c r="AM76" s="318"/>
    </row>
    <row r="77" spans="1:39" s="323" customFormat="1" ht="32.4" customHeight="1" x14ac:dyDescent="0.25">
      <c r="A77" s="635" t="s">
        <v>81</v>
      </c>
      <c r="B77" s="672" t="s">
        <v>227</v>
      </c>
      <c r="C77" s="674">
        <v>92115.83</v>
      </c>
      <c r="D77" s="620" t="s">
        <v>72</v>
      </c>
      <c r="E77" s="629">
        <f t="shared" si="8"/>
        <v>5</v>
      </c>
      <c r="F77" s="591">
        <v>92115.83</v>
      </c>
      <c r="G77" s="557">
        <v>0</v>
      </c>
      <c r="H77" s="557">
        <v>92115.83</v>
      </c>
      <c r="I77" s="620" t="s">
        <v>249</v>
      </c>
      <c r="J77" s="620" t="s">
        <v>263</v>
      </c>
      <c r="K77" s="620" t="s">
        <v>321</v>
      </c>
      <c r="L77" s="620"/>
      <c r="M77" s="318"/>
      <c r="N77" s="655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  <c r="AA77" s="318"/>
      <c r="AB77" s="318"/>
      <c r="AC77" s="318"/>
      <c r="AD77" s="318"/>
      <c r="AE77" s="318"/>
      <c r="AF77" s="318"/>
      <c r="AG77" s="318"/>
      <c r="AH77" s="318"/>
      <c r="AI77" s="318"/>
      <c r="AJ77" s="318"/>
      <c r="AK77" s="318"/>
      <c r="AL77" s="318"/>
      <c r="AM77" s="318"/>
    </row>
    <row r="78" spans="1:39" s="323" customFormat="1" ht="40.200000000000003" customHeight="1" x14ac:dyDescent="0.25">
      <c r="A78" s="635" t="s">
        <v>243</v>
      </c>
      <c r="B78" s="634" t="s">
        <v>247</v>
      </c>
      <c r="C78" s="620">
        <v>69692.789999999994</v>
      </c>
      <c r="D78" s="620" t="s">
        <v>73</v>
      </c>
      <c r="E78" s="629">
        <f t="shared" si="8"/>
        <v>6</v>
      </c>
      <c r="F78" s="546">
        <v>69692.789999999994</v>
      </c>
      <c r="G78" s="620">
        <v>0</v>
      </c>
      <c r="H78" s="620">
        <v>69692.789999999994</v>
      </c>
      <c r="I78" s="620" t="s">
        <v>249</v>
      </c>
      <c r="J78" s="620" t="s">
        <v>263</v>
      </c>
      <c r="K78" s="620" t="s">
        <v>321</v>
      </c>
      <c r="L78" s="620"/>
      <c r="M78" s="318"/>
      <c r="N78" s="655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318"/>
      <c r="AB78" s="318"/>
      <c r="AC78" s="318"/>
      <c r="AD78" s="318"/>
      <c r="AE78" s="318"/>
      <c r="AF78" s="318"/>
      <c r="AG78" s="318"/>
      <c r="AH78" s="318"/>
      <c r="AI78" s="318"/>
      <c r="AJ78" s="318"/>
      <c r="AK78" s="318"/>
      <c r="AL78" s="318"/>
      <c r="AM78" s="318"/>
    </row>
    <row r="79" spans="1:39" s="323" customFormat="1" ht="53.4" customHeight="1" x14ac:dyDescent="0.25">
      <c r="A79" s="635" t="s">
        <v>244</v>
      </c>
      <c r="B79" s="634" t="s">
        <v>248</v>
      </c>
      <c r="C79" s="620">
        <v>130832</v>
      </c>
      <c r="D79" s="620" t="s">
        <v>172</v>
      </c>
      <c r="E79" s="629">
        <f t="shared" si="8"/>
        <v>19</v>
      </c>
      <c r="F79" s="558">
        <v>151220.25</v>
      </c>
      <c r="G79" s="547">
        <v>0</v>
      </c>
      <c r="H79" s="547">
        <v>151220.25</v>
      </c>
      <c r="I79" s="620" t="s">
        <v>249</v>
      </c>
      <c r="J79" s="556" t="s">
        <v>281</v>
      </c>
      <c r="K79" s="646" t="s">
        <v>321</v>
      </c>
      <c r="L79" s="620"/>
      <c r="M79" s="318"/>
      <c r="N79" s="534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  <c r="AA79" s="318"/>
      <c r="AB79" s="318"/>
      <c r="AC79" s="318"/>
      <c r="AD79" s="318"/>
      <c r="AE79" s="318"/>
      <c r="AF79" s="318"/>
      <c r="AG79" s="318"/>
      <c r="AH79" s="318"/>
      <c r="AI79" s="318"/>
      <c r="AJ79" s="318"/>
      <c r="AK79" s="318"/>
      <c r="AL79" s="318"/>
      <c r="AM79" s="318"/>
    </row>
    <row r="80" spans="1:39" s="323" customFormat="1" ht="37.950000000000003" customHeight="1" x14ac:dyDescent="0.25">
      <c r="A80" s="635" t="s">
        <v>286</v>
      </c>
      <c r="B80" s="645" t="s">
        <v>287</v>
      </c>
      <c r="C80" s="646"/>
      <c r="D80" s="620"/>
      <c r="E80" s="629" t="str">
        <f t="shared" si="8"/>
        <v/>
      </c>
      <c r="F80" s="546"/>
      <c r="G80" s="547"/>
      <c r="H80" s="550"/>
      <c r="I80" s="556"/>
      <c r="J80" s="619"/>
      <c r="K80" s="619"/>
      <c r="L80" s="550"/>
      <c r="M80" s="318"/>
      <c r="N80" s="534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  <c r="AA80" s="318"/>
      <c r="AB80" s="318"/>
      <c r="AC80" s="318"/>
      <c r="AD80" s="318"/>
      <c r="AE80" s="318"/>
      <c r="AF80" s="318"/>
      <c r="AG80" s="318"/>
      <c r="AH80" s="318"/>
      <c r="AI80" s="318"/>
      <c r="AJ80" s="318"/>
      <c r="AK80" s="318"/>
      <c r="AL80" s="318"/>
      <c r="AM80" s="318"/>
    </row>
    <row r="81" spans="1:39" s="323" customFormat="1" ht="65.400000000000006" customHeight="1" x14ac:dyDescent="0.25">
      <c r="A81" s="671" t="s">
        <v>169</v>
      </c>
      <c r="B81" s="675" t="s">
        <v>233</v>
      </c>
      <c r="C81" s="673">
        <v>5868795.1899999995</v>
      </c>
      <c r="D81" s="664" t="s">
        <v>438</v>
      </c>
      <c r="E81" s="629">
        <f t="shared" si="8"/>
        <v>108</v>
      </c>
      <c r="F81" s="558">
        <v>285228.46000000002</v>
      </c>
      <c r="G81" s="547">
        <v>52701.46</v>
      </c>
      <c r="H81" s="547">
        <v>232527</v>
      </c>
      <c r="I81" s="550" t="s">
        <v>249</v>
      </c>
      <c r="J81" s="646" t="s">
        <v>462</v>
      </c>
      <c r="K81" s="620" t="s">
        <v>321</v>
      </c>
      <c r="L81" s="638"/>
      <c r="M81" s="318"/>
      <c r="N81" s="534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  <c r="AA81" s="318"/>
      <c r="AB81" s="318"/>
      <c r="AC81" s="318"/>
      <c r="AD81" s="318"/>
      <c r="AE81" s="318"/>
      <c r="AF81" s="318"/>
      <c r="AG81" s="318"/>
      <c r="AH81" s="318"/>
      <c r="AI81" s="318"/>
      <c r="AJ81" s="318"/>
      <c r="AK81" s="318"/>
      <c r="AL81" s="318"/>
      <c r="AM81" s="318"/>
    </row>
    <row r="82" spans="1:39" s="323" customFormat="1" ht="47.4" customHeight="1" x14ac:dyDescent="0.25">
      <c r="A82" s="671" t="s">
        <v>169</v>
      </c>
      <c r="B82" s="667"/>
      <c r="C82" s="710"/>
      <c r="D82" s="664" t="s">
        <v>460</v>
      </c>
      <c r="E82" s="629">
        <f t="shared" si="8"/>
        <v>126</v>
      </c>
      <c r="F82" s="558">
        <v>116806.2066</v>
      </c>
      <c r="G82" s="547">
        <v>1956.6065999999998</v>
      </c>
      <c r="H82" s="547">
        <v>114849.60000000001</v>
      </c>
      <c r="I82" s="550" t="s">
        <v>249</v>
      </c>
      <c r="J82" s="646" t="s">
        <v>464</v>
      </c>
      <c r="K82" s="620" t="s">
        <v>321</v>
      </c>
      <c r="L82" s="638"/>
      <c r="M82" s="318"/>
      <c r="N82" s="534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  <c r="AA82" s="318"/>
      <c r="AB82" s="318"/>
      <c r="AC82" s="318"/>
      <c r="AD82" s="318"/>
      <c r="AE82" s="318"/>
      <c r="AF82" s="318"/>
      <c r="AG82" s="318"/>
      <c r="AH82" s="318"/>
      <c r="AI82" s="318"/>
      <c r="AJ82" s="318"/>
      <c r="AK82" s="318"/>
      <c r="AL82" s="318"/>
      <c r="AM82" s="318"/>
    </row>
    <row r="83" spans="1:39" s="323" customFormat="1" ht="47.4" customHeight="1" x14ac:dyDescent="0.25">
      <c r="A83" s="671" t="s">
        <v>169</v>
      </c>
      <c r="B83" s="711"/>
      <c r="C83" s="710"/>
      <c r="D83" s="664" t="s">
        <v>467</v>
      </c>
      <c r="E83" s="629">
        <f t="shared" ref="E83:E85" si="15">IFERROR(VALUE(MID(D83,2,LEN(D83)-1)),"")</f>
        <v>130</v>
      </c>
      <c r="F83" s="558">
        <v>72180</v>
      </c>
      <c r="G83" s="547"/>
      <c r="H83" s="547">
        <v>72180</v>
      </c>
      <c r="I83" s="550" t="s">
        <v>249</v>
      </c>
      <c r="J83" s="646" t="s">
        <v>474</v>
      </c>
      <c r="K83" s="620" t="s">
        <v>321</v>
      </c>
      <c r="L83" s="638" t="s">
        <v>468</v>
      </c>
      <c r="M83" s="318"/>
      <c r="N83" s="534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318"/>
      <c r="AB83" s="318"/>
      <c r="AC83" s="318"/>
      <c r="AD83" s="318"/>
      <c r="AE83" s="318"/>
      <c r="AF83" s="318"/>
      <c r="AG83" s="318"/>
      <c r="AH83" s="318"/>
      <c r="AI83" s="318"/>
      <c r="AJ83" s="318"/>
      <c r="AK83" s="318"/>
      <c r="AL83" s="318"/>
      <c r="AM83" s="318"/>
    </row>
    <row r="84" spans="1:39" s="323" customFormat="1" ht="47.4" customHeight="1" x14ac:dyDescent="0.25">
      <c r="A84" s="671" t="s">
        <v>169</v>
      </c>
      <c r="B84" s="711"/>
      <c r="C84" s="710"/>
      <c r="D84" s="664" t="s">
        <v>473</v>
      </c>
      <c r="E84" s="629">
        <f t="shared" si="15"/>
        <v>134</v>
      </c>
      <c r="F84" s="558">
        <v>151884.95000000001</v>
      </c>
      <c r="G84" s="547">
        <v>3518.95</v>
      </c>
      <c r="H84" s="547">
        <v>148366</v>
      </c>
      <c r="I84" s="550" t="s">
        <v>249</v>
      </c>
      <c r="J84" s="620" t="s">
        <v>474</v>
      </c>
      <c r="K84" s="620" t="s">
        <v>321</v>
      </c>
      <c r="L84" s="638"/>
      <c r="M84" s="318"/>
      <c r="N84" s="534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  <c r="AA84" s="318"/>
      <c r="AB84" s="318"/>
      <c r="AC84" s="318"/>
      <c r="AD84" s="318"/>
      <c r="AE84" s="318"/>
      <c r="AF84" s="318"/>
      <c r="AG84" s="318"/>
      <c r="AH84" s="318"/>
      <c r="AI84" s="318"/>
      <c r="AJ84" s="318"/>
      <c r="AK84" s="318"/>
      <c r="AL84" s="318"/>
      <c r="AM84" s="318"/>
    </row>
    <row r="85" spans="1:39" s="323" customFormat="1" ht="47.4" customHeight="1" x14ac:dyDescent="0.25">
      <c r="A85" s="671" t="s">
        <v>169</v>
      </c>
      <c r="B85" s="719"/>
      <c r="C85" s="720"/>
      <c r="D85" s="664" t="s">
        <v>483</v>
      </c>
      <c r="E85" s="629">
        <f t="shared" si="15"/>
        <v>137</v>
      </c>
      <c r="F85" s="558">
        <v>242418.56400000001</v>
      </c>
      <c r="G85" s="547">
        <v>3996.5639999999994</v>
      </c>
      <c r="H85" s="547">
        <v>238422</v>
      </c>
      <c r="I85" s="707" t="s">
        <v>249</v>
      </c>
      <c r="J85" s="620" t="s">
        <v>496</v>
      </c>
      <c r="K85" s="620" t="s">
        <v>321</v>
      </c>
      <c r="L85" s="638"/>
      <c r="M85" s="318"/>
      <c r="N85" s="534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  <c r="AA85" s="318"/>
      <c r="AB85" s="318"/>
      <c r="AC85" s="318"/>
      <c r="AD85" s="318"/>
      <c r="AE85" s="318"/>
      <c r="AF85" s="318"/>
      <c r="AG85" s="318"/>
      <c r="AH85" s="318"/>
      <c r="AI85" s="318"/>
      <c r="AJ85" s="318"/>
      <c r="AK85" s="318"/>
      <c r="AL85" s="318"/>
      <c r="AM85" s="318"/>
    </row>
    <row r="86" spans="1:39" s="323" customFormat="1" ht="47.4" customHeight="1" x14ac:dyDescent="0.25">
      <c r="A86" s="671" t="s">
        <v>169</v>
      </c>
      <c r="B86" s="719"/>
      <c r="C86" s="720"/>
      <c r="D86" s="713" t="s">
        <v>497</v>
      </c>
      <c r="E86" s="629">
        <f t="shared" si="8"/>
        <v>138</v>
      </c>
      <c r="F86" s="558">
        <v>150507.42464000001</v>
      </c>
      <c r="G86" s="547">
        <v>36163.904640000001</v>
      </c>
      <c r="H86" s="547">
        <v>114343.52</v>
      </c>
      <c r="I86" s="727" t="s">
        <v>188</v>
      </c>
      <c r="J86" s="620" t="s">
        <v>522</v>
      </c>
      <c r="K86" s="708" t="s">
        <v>321</v>
      </c>
      <c r="L86" s="638" t="s">
        <v>516</v>
      </c>
      <c r="M86" s="318"/>
      <c r="N86" s="534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318"/>
      <c r="AB86" s="318"/>
      <c r="AC86" s="318"/>
      <c r="AD86" s="318"/>
      <c r="AE86" s="318"/>
      <c r="AF86" s="318"/>
      <c r="AG86" s="318"/>
      <c r="AH86" s="318"/>
      <c r="AI86" s="318"/>
      <c r="AJ86" s="318"/>
      <c r="AK86" s="318"/>
      <c r="AL86" s="318"/>
      <c r="AM86" s="318"/>
    </row>
    <row r="87" spans="1:39" s="323" customFormat="1" ht="37.950000000000003" customHeight="1" x14ac:dyDescent="0.25">
      <c r="A87" s="659" t="s">
        <v>170</v>
      </c>
      <c r="B87" s="651" t="s">
        <v>198</v>
      </c>
      <c r="C87" s="652">
        <v>1109034.9700000002</v>
      </c>
      <c r="D87" s="704" t="s">
        <v>337</v>
      </c>
      <c r="E87" s="705">
        <f t="shared" si="8"/>
        <v>52</v>
      </c>
      <c r="F87" s="706">
        <v>244644.62437129952</v>
      </c>
      <c r="G87" s="654">
        <v>129446.72437129953</v>
      </c>
      <c r="H87" s="654">
        <v>115197.90000000001</v>
      </c>
      <c r="I87" s="707" t="s">
        <v>249</v>
      </c>
      <c r="J87" s="708" t="s">
        <v>347</v>
      </c>
      <c r="K87" s="708" t="s">
        <v>382</v>
      </c>
      <c r="L87" s="642"/>
      <c r="M87" s="318"/>
      <c r="N87" s="534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  <c r="AA87" s="318"/>
      <c r="AB87" s="318"/>
      <c r="AC87" s="318"/>
      <c r="AD87" s="318"/>
      <c r="AE87" s="318"/>
      <c r="AF87" s="318"/>
      <c r="AG87" s="318"/>
      <c r="AH87" s="318"/>
      <c r="AI87" s="318"/>
      <c r="AJ87" s="318"/>
      <c r="AK87" s="318"/>
      <c r="AL87" s="318"/>
      <c r="AM87" s="318"/>
    </row>
    <row r="88" spans="1:39" s="323" customFormat="1" ht="37.950000000000003" customHeight="1" x14ac:dyDescent="0.25">
      <c r="A88" s="659" t="s">
        <v>170</v>
      </c>
      <c r="B88" s="651"/>
      <c r="C88" s="652"/>
      <c r="D88" s="692" t="s">
        <v>351</v>
      </c>
      <c r="E88" s="629">
        <f t="shared" si="8"/>
        <v>62</v>
      </c>
      <c r="F88" s="558">
        <v>593014.25678718765</v>
      </c>
      <c r="G88" s="547">
        <v>228541.95678718766</v>
      </c>
      <c r="H88" s="547">
        <v>364472.3</v>
      </c>
      <c r="I88" s="639" t="s">
        <v>249</v>
      </c>
      <c r="J88" s="556" t="s">
        <v>359</v>
      </c>
      <c r="K88" s="642" t="s">
        <v>321</v>
      </c>
      <c r="L88" s="642"/>
      <c r="M88" s="318"/>
      <c r="N88" s="534"/>
      <c r="O88" s="318"/>
      <c r="P88" s="318"/>
      <c r="Q88" s="318"/>
      <c r="R88" s="318"/>
      <c r="S88" s="318"/>
      <c r="T88" s="318"/>
      <c r="U88" s="318"/>
      <c r="V88" s="318"/>
      <c r="W88" s="318"/>
      <c r="X88" s="318"/>
      <c r="Y88" s="318"/>
      <c r="Z88" s="318"/>
      <c r="AA88" s="318"/>
      <c r="AB88" s="318"/>
      <c r="AC88" s="318"/>
      <c r="AD88" s="318"/>
      <c r="AE88" s="318"/>
      <c r="AF88" s="318"/>
      <c r="AG88" s="318"/>
      <c r="AH88" s="318"/>
      <c r="AI88" s="318"/>
      <c r="AJ88" s="318"/>
      <c r="AK88" s="318"/>
      <c r="AL88" s="318"/>
      <c r="AM88" s="318"/>
    </row>
    <row r="89" spans="1:39" s="323" customFormat="1" ht="37.950000000000003" customHeight="1" x14ac:dyDescent="0.25">
      <c r="A89" s="659" t="s">
        <v>170</v>
      </c>
      <c r="B89" s="651"/>
      <c r="C89" s="652"/>
      <c r="D89" s="692" t="s">
        <v>362</v>
      </c>
      <c r="E89" s="629">
        <f t="shared" si="8"/>
        <v>68</v>
      </c>
      <c r="F89" s="558">
        <v>118268.03085</v>
      </c>
      <c r="G89" s="547">
        <v>38288.330849999998</v>
      </c>
      <c r="H89" s="547">
        <v>79979.7</v>
      </c>
      <c r="I89" s="639" t="s">
        <v>249</v>
      </c>
      <c r="J89" s="556" t="s">
        <v>374</v>
      </c>
      <c r="K89" s="556" t="s">
        <v>321</v>
      </c>
      <c r="L89" s="642"/>
      <c r="M89" s="318"/>
      <c r="N89" s="534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  <c r="AA89" s="318"/>
      <c r="AB89" s="318"/>
      <c r="AC89" s="318"/>
      <c r="AD89" s="318"/>
      <c r="AE89" s="318"/>
      <c r="AF89" s="318"/>
      <c r="AG89" s="318"/>
      <c r="AH89" s="318"/>
      <c r="AI89" s="318"/>
      <c r="AJ89" s="318"/>
      <c r="AK89" s="318"/>
      <c r="AL89" s="318"/>
      <c r="AM89" s="318"/>
    </row>
    <row r="90" spans="1:39" s="323" customFormat="1" ht="37.950000000000003" customHeight="1" x14ac:dyDescent="0.25">
      <c r="A90" s="695" t="s">
        <v>170</v>
      </c>
      <c r="B90" s="693"/>
      <c r="C90" s="694"/>
      <c r="D90" s="692" t="s">
        <v>384</v>
      </c>
      <c r="E90" s="629">
        <f t="shared" ref="E90:E91" si="16">IFERROR(VALUE(MID(D90,2,LEN(D90)-1)),"")</f>
        <v>80</v>
      </c>
      <c r="F90" s="558">
        <v>98295.327522600724</v>
      </c>
      <c r="G90" s="547">
        <v>25544.387522600726</v>
      </c>
      <c r="H90" s="547">
        <v>72750.94</v>
      </c>
      <c r="I90" s="639" t="s">
        <v>249</v>
      </c>
      <c r="J90" s="646" t="s">
        <v>394</v>
      </c>
      <c r="K90" s="646" t="s">
        <v>321</v>
      </c>
      <c r="L90" s="644"/>
      <c r="M90" s="318"/>
      <c r="N90" s="534"/>
      <c r="O90" s="318"/>
      <c r="P90" s="318"/>
      <c r="Q90" s="318"/>
      <c r="R90" s="318"/>
      <c r="S90" s="318"/>
      <c r="T90" s="318"/>
      <c r="U90" s="318"/>
      <c r="V90" s="318"/>
      <c r="W90" s="318"/>
      <c r="X90" s="318"/>
      <c r="Y90" s="318"/>
      <c r="Z90" s="318"/>
      <c r="AA90" s="318"/>
      <c r="AB90" s="318"/>
      <c r="AC90" s="318"/>
      <c r="AD90" s="318"/>
      <c r="AE90" s="318"/>
      <c r="AF90" s="318"/>
      <c r="AG90" s="318"/>
      <c r="AH90" s="318"/>
      <c r="AI90" s="318"/>
      <c r="AJ90" s="318"/>
      <c r="AK90" s="318"/>
      <c r="AL90" s="318"/>
      <c r="AM90" s="318"/>
    </row>
    <row r="91" spans="1:39" s="323" customFormat="1" ht="37.950000000000003" customHeight="1" x14ac:dyDescent="0.25">
      <c r="A91" s="660" t="s">
        <v>170</v>
      </c>
      <c r="B91" s="653"/>
      <c r="C91" s="654"/>
      <c r="D91" s="664" t="s">
        <v>450</v>
      </c>
      <c r="E91" s="629">
        <f t="shared" si="16"/>
        <v>118</v>
      </c>
      <c r="F91" s="558">
        <v>7729.53</v>
      </c>
      <c r="G91" s="547">
        <v>1463.66</v>
      </c>
      <c r="H91" s="547">
        <v>6265.87</v>
      </c>
      <c r="I91" s="550" t="s">
        <v>249</v>
      </c>
      <c r="J91" s="646" t="s">
        <v>462</v>
      </c>
      <c r="K91" s="646" t="s">
        <v>321</v>
      </c>
      <c r="L91" s="644"/>
      <c r="M91" s="318"/>
      <c r="N91" s="534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  <c r="AA91" s="318"/>
      <c r="AB91" s="318"/>
      <c r="AC91" s="318"/>
      <c r="AD91" s="318"/>
      <c r="AE91" s="318"/>
      <c r="AF91" s="318"/>
      <c r="AG91" s="318"/>
      <c r="AH91" s="318"/>
      <c r="AI91" s="318"/>
      <c r="AJ91" s="318"/>
      <c r="AK91" s="318"/>
      <c r="AL91" s="318"/>
      <c r="AM91" s="318"/>
    </row>
    <row r="92" spans="1:39" s="323" customFormat="1" ht="37.950000000000003" customHeight="1" x14ac:dyDescent="0.25">
      <c r="A92" s="660" t="s">
        <v>170</v>
      </c>
      <c r="B92" s="653"/>
      <c r="C92" s="654"/>
      <c r="D92" s="713" t="s">
        <v>509</v>
      </c>
      <c r="E92" s="629">
        <f t="shared" si="8"/>
        <v>157</v>
      </c>
      <c r="F92" s="558">
        <v>14506.56</v>
      </c>
      <c r="G92" s="547">
        <v>13880.16</v>
      </c>
      <c r="H92" s="547">
        <v>626.4</v>
      </c>
      <c r="I92" s="618" t="s">
        <v>188</v>
      </c>
      <c r="J92" s="646" t="s">
        <v>521</v>
      </c>
      <c r="K92" s="646" t="s">
        <v>321</v>
      </c>
      <c r="L92" s="644"/>
      <c r="M92" s="318"/>
      <c r="N92" s="534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  <c r="AA92" s="318"/>
      <c r="AB92" s="318"/>
      <c r="AC92" s="318"/>
      <c r="AD92" s="318"/>
      <c r="AE92" s="318"/>
      <c r="AF92" s="318"/>
      <c r="AG92" s="318"/>
      <c r="AH92" s="318"/>
      <c r="AI92" s="318"/>
      <c r="AJ92" s="318"/>
      <c r="AK92" s="318"/>
      <c r="AL92" s="318"/>
      <c r="AM92" s="318"/>
    </row>
    <row r="93" spans="1:39" s="323" customFormat="1" ht="32.4" customHeight="1" x14ac:dyDescent="0.25">
      <c r="A93" s="635" t="s">
        <v>171</v>
      </c>
      <c r="B93" s="634" t="s">
        <v>226</v>
      </c>
      <c r="C93" s="620">
        <v>220420.19</v>
      </c>
      <c r="D93" s="620" t="s">
        <v>74</v>
      </c>
      <c r="E93" s="629">
        <f t="shared" ref="E93:E141" si="17">IFERROR(VALUE(MID(D93,2,LEN(D93)-1)),"")</f>
        <v>7</v>
      </c>
      <c r="F93" s="558">
        <v>220420.19</v>
      </c>
      <c r="G93" s="547">
        <v>0</v>
      </c>
      <c r="H93" s="547">
        <v>220420.19</v>
      </c>
      <c r="I93" s="620" t="s">
        <v>249</v>
      </c>
      <c r="J93" s="620" t="s">
        <v>263</v>
      </c>
      <c r="K93" s="620" t="s">
        <v>321</v>
      </c>
      <c r="L93" s="620"/>
      <c r="M93" s="318"/>
      <c r="N93" s="655"/>
      <c r="O93" s="318"/>
      <c r="P93" s="318"/>
      <c r="Q93" s="318"/>
      <c r="R93" s="318"/>
      <c r="S93" s="318"/>
      <c r="T93" s="318"/>
      <c r="U93" s="318"/>
      <c r="V93" s="318"/>
      <c r="W93" s="318"/>
      <c r="X93" s="318"/>
      <c r="Y93" s="318"/>
      <c r="Z93" s="318"/>
      <c r="AA93" s="318"/>
      <c r="AB93" s="318"/>
      <c r="AC93" s="318"/>
      <c r="AD93" s="318"/>
      <c r="AE93" s="318"/>
      <c r="AF93" s="318"/>
      <c r="AG93" s="318"/>
      <c r="AH93" s="318"/>
      <c r="AI93" s="318"/>
      <c r="AJ93" s="318"/>
      <c r="AK93" s="318"/>
      <c r="AL93" s="318"/>
      <c r="AM93" s="318"/>
    </row>
    <row r="94" spans="1:39" s="323" customFormat="1" ht="34.200000000000003" customHeight="1" x14ac:dyDescent="0.25">
      <c r="A94" s="635" t="s">
        <v>172</v>
      </c>
      <c r="B94" s="634" t="s">
        <v>228</v>
      </c>
      <c r="C94" s="620">
        <v>19075.719999999998</v>
      </c>
      <c r="D94" s="620" t="s">
        <v>77</v>
      </c>
      <c r="E94" s="629">
        <f t="shared" si="17"/>
        <v>8</v>
      </c>
      <c r="F94" s="546">
        <v>19075.719999999998</v>
      </c>
      <c r="G94" s="547">
        <v>0</v>
      </c>
      <c r="H94" s="620">
        <v>19075.719999999998</v>
      </c>
      <c r="I94" s="620" t="s">
        <v>249</v>
      </c>
      <c r="J94" s="620" t="s">
        <v>263</v>
      </c>
      <c r="K94" s="620" t="s">
        <v>321</v>
      </c>
      <c r="L94" s="620"/>
      <c r="M94" s="318"/>
      <c r="N94" s="534"/>
      <c r="O94" s="318"/>
      <c r="P94" s="318"/>
      <c r="Q94" s="318"/>
      <c r="R94" s="318"/>
      <c r="S94" s="318"/>
      <c r="T94" s="318"/>
      <c r="U94" s="318"/>
      <c r="V94" s="318"/>
      <c r="W94" s="318"/>
      <c r="X94" s="318"/>
      <c r="Y94" s="318"/>
      <c r="Z94" s="318"/>
      <c r="AA94" s="318"/>
      <c r="AB94" s="318"/>
      <c r="AC94" s="318"/>
      <c r="AD94" s="318"/>
      <c r="AE94" s="318"/>
      <c r="AF94" s="318"/>
      <c r="AG94" s="318"/>
      <c r="AH94" s="318"/>
      <c r="AI94" s="318"/>
      <c r="AJ94" s="318"/>
      <c r="AK94" s="318"/>
      <c r="AL94" s="318"/>
      <c r="AM94" s="318"/>
    </row>
    <row r="95" spans="1:39" s="323" customFormat="1" ht="37.200000000000003" customHeight="1" x14ac:dyDescent="0.25">
      <c r="A95" s="635" t="s">
        <v>221</v>
      </c>
      <c r="B95" s="634" t="s">
        <v>231</v>
      </c>
      <c r="C95" s="620">
        <v>8730</v>
      </c>
      <c r="D95" s="620" t="s">
        <v>250</v>
      </c>
      <c r="E95" s="629">
        <f t="shared" si="17"/>
        <v>9</v>
      </c>
      <c r="F95" s="546">
        <v>8730</v>
      </c>
      <c r="G95" s="547">
        <v>0</v>
      </c>
      <c r="H95" s="620">
        <v>8730</v>
      </c>
      <c r="I95" s="620" t="s">
        <v>249</v>
      </c>
      <c r="J95" s="620" t="s">
        <v>263</v>
      </c>
      <c r="K95" s="620" t="s">
        <v>321</v>
      </c>
      <c r="L95" s="620"/>
      <c r="M95" s="318"/>
      <c r="N95" s="534"/>
      <c r="O95" s="318"/>
      <c r="P95" s="318"/>
      <c r="Q95" s="318"/>
      <c r="R95" s="318"/>
      <c r="S95" s="318"/>
      <c r="T95" s="318"/>
      <c r="U95" s="318"/>
      <c r="V95" s="318"/>
      <c r="W95" s="318"/>
      <c r="X95" s="318"/>
      <c r="Y95" s="318"/>
      <c r="Z95" s="318"/>
      <c r="AA95" s="318"/>
      <c r="AB95" s="318"/>
      <c r="AC95" s="318"/>
      <c r="AD95" s="318"/>
      <c r="AE95" s="318"/>
      <c r="AF95" s="318"/>
      <c r="AG95" s="318"/>
      <c r="AH95" s="318"/>
      <c r="AI95" s="318"/>
      <c r="AJ95" s="318"/>
      <c r="AK95" s="318"/>
      <c r="AL95" s="318"/>
      <c r="AM95" s="318"/>
    </row>
    <row r="96" spans="1:39" s="323" customFormat="1" ht="39.6" customHeight="1" x14ac:dyDescent="0.25">
      <c r="A96" s="656" t="s">
        <v>222</v>
      </c>
      <c r="B96" s="647" t="s">
        <v>241</v>
      </c>
      <c r="C96" s="554">
        <v>1821725.04</v>
      </c>
      <c r="D96" s="620" t="s">
        <v>225</v>
      </c>
      <c r="E96" s="629">
        <f t="shared" si="17"/>
        <v>26</v>
      </c>
      <c r="F96" s="558">
        <v>954520.6</v>
      </c>
      <c r="G96" s="547">
        <v>0</v>
      </c>
      <c r="H96" s="547">
        <v>954520.6</v>
      </c>
      <c r="I96" s="550" t="s">
        <v>249</v>
      </c>
      <c r="J96" s="556" t="s">
        <v>284</v>
      </c>
      <c r="K96" s="556" t="s">
        <v>440</v>
      </c>
      <c r="L96" s="620"/>
      <c r="M96" s="318"/>
      <c r="N96" s="534"/>
      <c r="O96" s="318"/>
      <c r="P96" s="318"/>
      <c r="Q96" s="318"/>
      <c r="R96" s="318"/>
      <c r="S96" s="318"/>
      <c r="T96" s="318"/>
      <c r="U96" s="318"/>
      <c r="V96" s="318"/>
      <c r="W96" s="318"/>
      <c r="X96" s="318"/>
      <c r="Y96" s="318"/>
      <c r="Z96" s="318"/>
      <c r="AA96" s="318"/>
      <c r="AB96" s="318"/>
      <c r="AC96" s="318"/>
      <c r="AD96" s="318"/>
      <c r="AE96" s="318"/>
      <c r="AF96" s="318"/>
      <c r="AG96" s="318"/>
      <c r="AH96" s="318"/>
      <c r="AI96" s="318"/>
      <c r="AJ96" s="318"/>
      <c r="AK96" s="318"/>
      <c r="AL96" s="318"/>
      <c r="AM96" s="318"/>
    </row>
    <row r="97" spans="1:39" s="323" customFormat="1" ht="39.6" customHeight="1" x14ac:dyDescent="0.25">
      <c r="A97" s="657" t="s">
        <v>222</v>
      </c>
      <c r="B97" s="648"/>
      <c r="C97" s="555"/>
      <c r="D97" s="620" t="s">
        <v>285</v>
      </c>
      <c r="E97" s="629">
        <f t="shared" si="17"/>
        <v>35</v>
      </c>
      <c r="F97" s="558">
        <v>320050</v>
      </c>
      <c r="G97" s="547">
        <v>0</v>
      </c>
      <c r="H97" s="547">
        <v>320050</v>
      </c>
      <c r="I97" s="550" t="s">
        <v>249</v>
      </c>
      <c r="J97" s="620" t="s">
        <v>299</v>
      </c>
      <c r="K97" s="646" t="s">
        <v>321</v>
      </c>
      <c r="L97" s="620"/>
      <c r="M97" s="318"/>
      <c r="N97" s="534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  <c r="AA97" s="318"/>
      <c r="AB97" s="318"/>
      <c r="AC97" s="318"/>
      <c r="AD97" s="318"/>
      <c r="AE97" s="318"/>
      <c r="AF97" s="318"/>
      <c r="AG97" s="318"/>
      <c r="AH97" s="318"/>
      <c r="AI97" s="318"/>
      <c r="AJ97" s="318"/>
      <c r="AK97" s="318"/>
      <c r="AL97" s="318"/>
      <c r="AM97" s="318"/>
    </row>
    <row r="98" spans="1:39" s="323" customFormat="1" ht="39.6" customHeight="1" x14ac:dyDescent="0.25">
      <c r="A98" s="657" t="s">
        <v>222</v>
      </c>
      <c r="B98" s="648"/>
      <c r="C98" s="555"/>
      <c r="D98" s="620" t="s">
        <v>303</v>
      </c>
      <c r="E98" s="629">
        <f t="shared" si="17"/>
        <v>39</v>
      </c>
      <c r="F98" s="558">
        <v>255300</v>
      </c>
      <c r="G98" s="547">
        <v>0</v>
      </c>
      <c r="H98" s="547">
        <v>255300</v>
      </c>
      <c r="I98" s="620" t="s">
        <v>202</v>
      </c>
      <c r="J98" s="646" t="s">
        <v>308</v>
      </c>
      <c r="K98" s="646" t="s">
        <v>321</v>
      </c>
      <c r="L98" s="620"/>
      <c r="M98" s="318"/>
      <c r="N98" s="534"/>
      <c r="O98" s="318"/>
      <c r="P98" s="318"/>
      <c r="Q98" s="318"/>
      <c r="R98" s="318"/>
      <c r="S98" s="318"/>
      <c r="T98" s="318"/>
      <c r="U98" s="318"/>
      <c r="V98" s="318"/>
      <c r="W98" s="318"/>
      <c r="X98" s="318"/>
      <c r="Y98" s="318"/>
      <c r="Z98" s="318"/>
      <c r="AA98" s="318"/>
      <c r="AB98" s="318"/>
      <c r="AC98" s="318"/>
      <c r="AD98" s="318"/>
      <c r="AE98" s="318"/>
      <c r="AF98" s="318"/>
      <c r="AG98" s="318"/>
      <c r="AH98" s="318"/>
      <c r="AI98" s="318"/>
      <c r="AJ98" s="318"/>
      <c r="AK98" s="318"/>
      <c r="AL98" s="318"/>
      <c r="AM98" s="318"/>
    </row>
    <row r="99" spans="1:39" s="323" customFormat="1" ht="39.6" customHeight="1" x14ac:dyDescent="0.25">
      <c r="A99" s="657" t="s">
        <v>222</v>
      </c>
      <c r="B99" s="648"/>
      <c r="C99" s="555"/>
      <c r="D99" s="620" t="s">
        <v>367</v>
      </c>
      <c r="E99" s="629">
        <f t="shared" si="17"/>
        <v>65</v>
      </c>
      <c r="F99" s="558">
        <v>356841.48</v>
      </c>
      <c r="G99" s="547">
        <v>234741.48</v>
      </c>
      <c r="H99" s="547">
        <v>122100</v>
      </c>
      <c r="I99" s="620" t="s">
        <v>202</v>
      </c>
      <c r="J99" s="556" t="s">
        <v>374</v>
      </c>
      <c r="K99" s="556" t="s">
        <v>321</v>
      </c>
      <c r="L99" s="620"/>
      <c r="M99" s="318"/>
      <c r="N99" s="534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  <c r="AA99" s="318"/>
      <c r="AB99" s="318"/>
      <c r="AC99" s="318"/>
      <c r="AD99" s="318"/>
      <c r="AE99" s="318"/>
      <c r="AF99" s="318"/>
      <c r="AG99" s="318"/>
      <c r="AH99" s="318"/>
      <c r="AI99" s="318"/>
      <c r="AJ99" s="318"/>
      <c r="AK99" s="318"/>
      <c r="AL99" s="318"/>
      <c r="AM99" s="318"/>
    </row>
    <row r="100" spans="1:39" s="323" customFormat="1" ht="39.6" customHeight="1" x14ac:dyDescent="0.25">
      <c r="A100" s="658" t="s">
        <v>222</v>
      </c>
      <c r="B100" s="648"/>
      <c r="C100" s="555"/>
      <c r="D100" s="548" t="s">
        <v>378</v>
      </c>
      <c r="E100" s="629">
        <f t="shared" si="17"/>
        <v>75</v>
      </c>
      <c r="F100" s="558">
        <v>77459.5</v>
      </c>
      <c r="G100" s="547"/>
      <c r="H100" s="547">
        <v>77459.5</v>
      </c>
      <c r="I100" s="620" t="s">
        <v>202</v>
      </c>
      <c r="J100" s="646" t="s">
        <v>416</v>
      </c>
      <c r="K100" s="556" t="s">
        <v>321</v>
      </c>
      <c r="L100" s="547"/>
      <c r="M100" s="318"/>
      <c r="N100" s="534"/>
      <c r="O100" s="318"/>
      <c r="P100" s="318"/>
      <c r="Q100" s="318"/>
      <c r="R100" s="318"/>
      <c r="S100" s="318"/>
      <c r="T100" s="318"/>
      <c r="U100" s="318"/>
      <c r="V100" s="318"/>
      <c r="W100" s="318"/>
      <c r="X100" s="318"/>
      <c r="Y100" s="318"/>
      <c r="Z100" s="318"/>
      <c r="AA100" s="318"/>
      <c r="AB100" s="318"/>
      <c r="AC100" s="318"/>
      <c r="AD100" s="318"/>
      <c r="AE100" s="318"/>
      <c r="AF100" s="318"/>
      <c r="AG100" s="318"/>
      <c r="AH100" s="318"/>
      <c r="AI100" s="318"/>
      <c r="AJ100" s="318"/>
      <c r="AK100" s="318"/>
      <c r="AL100" s="318"/>
      <c r="AM100" s="318"/>
    </row>
    <row r="101" spans="1:39" s="323" customFormat="1" ht="33" customHeight="1" x14ac:dyDescent="0.25">
      <c r="A101" s="656" t="s">
        <v>223</v>
      </c>
      <c r="B101" s="647" t="s">
        <v>246</v>
      </c>
      <c r="C101" s="554">
        <v>505000</v>
      </c>
      <c r="D101" s="620" t="s">
        <v>224</v>
      </c>
      <c r="E101" s="629">
        <f t="shared" si="17"/>
        <v>25</v>
      </c>
      <c r="F101" s="558">
        <v>290457</v>
      </c>
      <c r="G101" s="547">
        <v>0</v>
      </c>
      <c r="H101" s="547">
        <v>290457</v>
      </c>
      <c r="I101" s="550" t="s">
        <v>249</v>
      </c>
      <c r="J101" s="556" t="s">
        <v>284</v>
      </c>
      <c r="K101" s="556" t="s">
        <v>321</v>
      </c>
      <c r="L101" s="620"/>
      <c r="M101" s="318"/>
      <c r="N101" s="534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  <c r="AA101" s="318"/>
      <c r="AB101" s="318"/>
      <c r="AC101" s="318"/>
      <c r="AD101" s="318"/>
      <c r="AE101" s="318"/>
      <c r="AF101" s="318"/>
      <c r="AG101" s="318"/>
      <c r="AH101" s="318"/>
      <c r="AI101" s="318"/>
      <c r="AJ101" s="318"/>
      <c r="AK101" s="318"/>
      <c r="AL101" s="318"/>
      <c r="AM101" s="318"/>
    </row>
    <row r="102" spans="1:39" s="323" customFormat="1" ht="33" customHeight="1" x14ac:dyDescent="0.25">
      <c r="A102" s="657" t="s">
        <v>223</v>
      </c>
      <c r="B102" s="648"/>
      <c r="C102" s="555"/>
      <c r="D102" s="620" t="s">
        <v>238</v>
      </c>
      <c r="E102" s="629">
        <f t="shared" si="17"/>
        <v>32</v>
      </c>
      <c r="F102" s="558">
        <v>145228.5</v>
      </c>
      <c r="G102" s="547">
        <v>0</v>
      </c>
      <c r="H102" s="547">
        <v>145228.5</v>
      </c>
      <c r="I102" s="550" t="s">
        <v>249</v>
      </c>
      <c r="J102" s="620" t="s">
        <v>298</v>
      </c>
      <c r="K102" s="556" t="s">
        <v>321</v>
      </c>
      <c r="L102" s="620"/>
      <c r="M102" s="318"/>
      <c r="N102" s="534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  <c r="AA102" s="318"/>
      <c r="AB102" s="318"/>
      <c r="AC102" s="318"/>
      <c r="AD102" s="318"/>
      <c r="AE102" s="318"/>
      <c r="AF102" s="318"/>
      <c r="AG102" s="318"/>
      <c r="AH102" s="318"/>
      <c r="AI102" s="318"/>
      <c r="AJ102" s="318"/>
      <c r="AK102" s="318"/>
      <c r="AL102" s="318"/>
      <c r="AM102" s="318"/>
    </row>
    <row r="103" spans="1:39" s="323" customFormat="1" ht="34.5" customHeight="1" x14ac:dyDescent="0.25">
      <c r="A103" s="657" t="s">
        <v>223</v>
      </c>
      <c r="B103" s="648"/>
      <c r="C103" s="555"/>
      <c r="D103" s="620" t="s">
        <v>304</v>
      </c>
      <c r="E103" s="629">
        <f t="shared" si="17"/>
        <v>40</v>
      </c>
      <c r="F103" s="558">
        <v>69314.5</v>
      </c>
      <c r="G103" s="547">
        <v>0</v>
      </c>
      <c r="H103" s="547">
        <v>69314.5</v>
      </c>
      <c r="I103" s="620" t="s">
        <v>202</v>
      </c>
      <c r="J103" s="646" t="s">
        <v>308</v>
      </c>
      <c r="K103" s="556" t="s">
        <v>321</v>
      </c>
      <c r="L103" s="620"/>
      <c r="M103" s="318"/>
      <c r="N103" s="534"/>
      <c r="O103" s="318"/>
      <c r="P103" s="318"/>
      <c r="Q103" s="318"/>
      <c r="R103" s="318"/>
      <c r="S103" s="318"/>
      <c r="T103" s="318"/>
      <c r="U103" s="318"/>
      <c r="V103" s="318"/>
      <c r="W103" s="318"/>
      <c r="X103" s="318"/>
      <c r="Y103" s="318"/>
      <c r="Z103" s="318"/>
      <c r="AA103" s="318"/>
      <c r="AB103" s="318"/>
      <c r="AC103" s="318"/>
      <c r="AD103" s="318"/>
      <c r="AE103" s="318"/>
      <c r="AF103" s="318"/>
      <c r="AG103" s="318"/>
      <c r="AH103" s="318"/>
      <c r="AI103" s="318"/>
      <c r="AJ103" s="318"/>
      <c r="AK103" s="318"/>
      <c r="AL103" s="318"/>
      <c r="AM103" s="318"/>
    </row>
    <row r="104" spans="1:39" s="323" customFormat="1" ht="36.6" customHeight="1" x14ac:dyDescent="0.25">
      <c r="A104" s="663" t="s">
        <v>245</v>
      </c>
      <c r="B104" s="647" t="s">
        <v>232</v>
      </c>
      <c r="C104" s="666">
        <v>959112.20788461529</v>
      </c>
      <c r="D104" s="688" t="s">
        <v>363</v>
      </c>
      <c r="E104" s="629">
        <f t="shared" si="17"/>
        <v>70</v>
      </c>
      <c r="F104" s="558">
        <v>203939.56</v>
      </c>
      <c r="G104" s="547">
        <v>32946.06</v>
      </c>
      <c r="H104" s="547">
        <v>170993.5</v>
      </c>
      <c r="I104" s="550" t="s">
        <v>249</v>
      </c>
      <c r="J104" s="556" t="s">
        <v>387</v>
      </c>
      <c r="K104" s="556" t="s">
        <v>321</v>
      </c>
      <c r="L104" s="620"/>
      <c r="M104" s="318"/>
      <c r="N104" s="534"/>
      <c r="O104" s="318"/>
      <c r="P104" s="318"/>
      <c r="Q104" s="318"/>
      <c r="R104" s="318"/>
      <c r="S104" s="318"/>
      <c r="T104" s="318"/>
      <c r="U104" s="318"/>
      <c r="V104" s="318"/>
      <c r="W104" s="318"/>
      <c r="X104" s="318"/>
      <c r="Y104" s="318"/>
      <c r="Z104" s="318"/>
      <c r="AA104" s="318"/>
      <c r="AB104" s="318"/>
      <c r="AC104" s="318"/>
      <c r="AD104" s="318"/>
      <c r="AE104" s="318"/>
      <c r="AF104" s="318"/>
      <c r="AG104" s="318"/>
      <c r="AH104" s="318"/>
      <c r="AI104" s="318"/>
      <c r="AJ104" s="318"/>
      <c r="AK104" s="318"/>
      <c r="AL104" s="318"/>
      <c r="AM104" s="318"/>
    </row>
    <row r="105" spans="1:39" s="323" customFormat="1" ht="36.6" customHeight="1" x14ac:dyDescent="0.25">
      <c r="A105" s="686" t="s">
        <v>245</v>
      </c>
      <c r="B105" s="648"/>
      <c r="C105" s="668"/>
      <c r="D105" s="664" t="s">
        <v>392</v>
      </c>
      <c r="E105" s="629">
        <f t="shared" ref="E105" si="18">IFERROR(VALUE(MID(D105,2,LEN(D105)-1)),"")</f>
        <v>85</v>
      </c>
      <c r="F105" s="558">
        <v>337941.17000000004</v>
      </c>
      <c r="G105" s="547">
        <v>143315.36000000002</v>
      </c>
      <c r="H105" s="547">
        <v>194625.81</v>
      </c>
      <c r="I105" s="550" t="s">
        <v>249</v>
      </c>
      <c r="J105" s="646" t="s">
        <v>445</v>
      </c>
      <c r="K105" s="646" t="s">
        <v>321</v>
      </c>
      <c r="L105" s="690"/>
      <c r="M105" s="318"/>
      <c r="N105" s="534"/>
      <c r="O105" s="318"/>
      <c r="P105" s="318"/>
      <c r="Q105" s="318"/>
      <c r="R105" s="318"/>
      <c r="S105" s="318"/>
      <c r="T105" s="318"/>
      <c r="U105" s="318"/>
      <c r="V105" s="318"/>
      <c r="W105" s="318"/>
      <c r="X105" s="318"/>
      <c r="Y105" s="318"/>
      <c r="Z105" s="318"/>
      <c r="AA105" s="318"/>
      <c r="AB105" s="318"/>
      <c r="AC105" s="318"/>
      <c r="AD105" s="318"/>
      <c r="AE105" s="318"/>
      <c r="AF105" s="318"/>
      <c r="AG105" s="318"/>
      <c r="AH105" s="318"/>
      <c r="AI105" s="318"/>
      <c r="AJ105" s="318"/>
      <c r="AK105" s="318"/>
      <c r="AL105" s="318"/>
      <c r="AM105" s="318"/>
    </row>
    <row r="106" spans="1:39" s="323" customFormat="1" ht="36.6" customHeight="1" x14ac:dyDescent="0.25">
      <c r="A106" s="687" t="s">
        <v>245</v>
      </c>
      <c r="B106" s="649"/>
      <c r="C106" s="670"/>
      <c r="D106" s="664" t="s">
        <v>437</v>
      </c>
      <c r="E106" s="629">
        <f t="shared" si="17"/>
        <v>107</v>
      </c>
      <c r="F106" s="558">
        <v>511938.25680000003</v>
      </c>
      <c r="G106" s="547">
        <v>62419.356800000001</v>
      </c>
      <c r="H106" s="547">
        <v>449518.9</v>
      </c>
      <c r="I106" s="550" t="s">
        <v>249</v>
      </c>
      <c r="J106" s="646" t="s">
        <v>462</v>
      </c>
      <c r="K106" s="646" t="s">
        <v>321</v>
      </c>
      <c r="L106" s="638"/>
      <c r="M106" s="318"/>
      <c r="N106" s="534"/>
      <c r="O106" s="318"/>
      <c r="P106" s="318"/>
      <c r="Q106" s="318"/>
      <c r="R106" s="318"/>
      <c r="S106" s="318"/>
      <c r="T106" s="318"/>
      <c r="U106" s="318"/>
      <c r="V106" s="318"/>
      <c r="W106" s="318"/>
      <c r="X106" s="318"/>
      <c r="Y106" s="318"/>
      <c r="Z106" s="318"/>
      <c r="AA106" s="318"/>
      <c r="AB106" s="318"/>
      <c r="AC106" s="318"/>
      <c r="AD106" s="318"/>
      <c r="AE106" s="318"/>
      <c r="AF106" s="318"/>
      <c r="AG106" s="318"/>
      <c r="AH106" s="318"/>
      <c r="AI106" s="318"/>
      <c r="AJ106" s="318"/>
      <c r="AK106" s="318"/>
      <c r="AL106" s="318"/>
      <c r="AM106" s="318"/>
    </row>
    <row r="107" spans="1:39" s="323" customFormat="1" ht="43.2" customHeight="1" x14ac:dyDescent="0.25">
      <c r="A107" s="635" t="s">
        <v>252</v>
      </c>
      <c r="B107" s="645" t="s">
        <v>254</v>
      </c>
      <c r="C107" s="620">
        <v>16887.37</v>
      </c>
      <c r="D107" s="620" t="s">
        <v>221</v>
      </c>
      <c r="E107" s="629">
        <f t="shared" si="17"/>
        <v>20</v>
      </c>
      <c r="F107" s="558">
        <v>46960.607999999993</v>
      </c>
      <c r="G107" s="547">
        <v>30073.237999999998</v>
      </c>
      <c r="H107" s="547">
        <v>16887.37</v>
      </c>
      <c r="I107" s="620" t="s">
        <v>249</v>
      </c>
      <c r="J107" s="556" t="s">
        <v>281</v>
      </c>
      <c r="K107" s="620" t="s">
        <v>321</v>
      </c>
      <c r="L107" s="620"/>
      <c r="M107" s="318"/>
      <c r="N107" s="534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  <c r="Y107" s="318"/>
      <c r="Z107" s="318"/>
      <c r="AA107" s="318"/>
      <c r="AB107" s="318"/>
      <c r="AC107" s="318"/>
      <c r="AD107" s="318"/>
      <c r="AE107" s="318"/>
      <c r="AF107" s="318"/>
      <c r="AG107" s="318"/>
      <c r="AH107" s="318"/>
      <c r="AI107" s="318"/>
      <c r="AJ107" s="318"/>
      <c r="AK107" s="318"/>
      <c r="AL107" s="318"/>
      <c r="AM107" s="318"/>
    </row>
    <row r="108" spans="1:39" s="323" customFormat="1" ht="32.4" customHeight="1" x14ac:dyDescent="0.25">
      <c r="A108" s="635" t="s">
        <v>253</v>
      </c>
      <c r="B108" s="645" t="s">
        <v>255</v>
      </c>
      <c r="C108" s="620">
        <v>35345</v>
      </c>
      <c r="D108" s="620" t="s">
        <v>346</v>
      </c>
      <c r="E108" s="629">
        <f t="shared" si="17"/>
        <v>61</v>
      </c>
      <c r="F108" s="558">
        <v>129839.32</v>
      </c>
      <c r="G108" s="547">
        <v>102300.57</v>
      </c>
      <c r="H108" s="547">
        <v>27538.75</v>
      </c>
      <c r="I108" s="550" t="s">
        <v>249</v>
      </c>
      <c r="J108" s="646" t="s">
        <v>350</v>
      </c>
      <c r="K108" s="620" t="s">
        <v>321</v>
      </c>
      <c r="L108" s="620"/>
      <c r="M108" s="318"/>
      <c r="N108" s="534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  <c r="AA108" s="318"/>
      <c r="AB108" s="318"/>
      <c r="AC108" s="318"/>
      <c r="AD108" s="318"/>
      <c r="AE108" s="318"/>
      <c r="AF108" s="318"/>
      <c r="AG108" s="318"/>
      <c r="AH108" s="318"/>
      <c r="AI108" s="318"/>
      <c r="AJ108" s="318"/>
      <c r="AK108" s="318"/>
      <c r="AL108" s="318"/>
      <c r="AM108" s="318"/>
    </row>
    <row r="109" spans="1:39" s="323" customFormat="1" ht="32.4" customHeight="1" x14ac:dyDescent="0.25">
      <c r="A109" s="635" t="s">
        <v>253</v>
      </c>
      <c r="B109" s="645"/>
      <c r="C109" s="620"/>
      <c r="D109" s="620" t="s">
        <v>381</v>
      </c>
      <c r="E109" s="629">
        <f t="shared" si="17"/>
        <v>78</v>
      </c>
      <c r="F109" s="558">
        <v>29576.124592</v>
      </c>
      <c r="G109" s="547">
        <v>23015.874592</v>
      </c>
      <c r="H109" s="547">
        <v>6560.25</v>
      </c>
      <c r="I109" s="550" t="s">
        <v>249</v>
      </c>
      <c r="J109" s="646" t="s">
        <v>394</v>
      </c>
      <c r="K109" s="646" t="s">
        <v>321</v>
      </c>
      <c r="L109" s="620"/>
      <c r="M109" s="318"/>
      <c r="N109" s="534"/>
      <c r="O109" s="318"/>
      <c r="P109" s="318"/>
      <c r="Q109" s="318"/>
      <c r="R109" s="318"/>
      <c r="S109" s="318"/>
      <c r="T109" s="318"/>
      <c r="U109" s="318"/>
      <c r="V109" s="318"/>
      <c r="W109" s="318"/>
      <c r="X109" s="318"/>
      <c r="Y109" s="318"/>
      <c r="Z109" s="318"/>
      <c r="AA109" s="318"/>
      <c r="AB109" s="318"/>
      <c r="AC109" s="318"/>
      <c r="AD109" s="318"/>
      <c r="AE109" s="318"/>
      <c r="AF109" s="318"/>
      <c r="AG109" s="318"/>
      <c r="AH109" s="318"/>
      <c r="AI109" s="318"/>
      <c r="AJ109" s="318"/>
      <c r="AK109" s="318"/>
      <c r="AL109" s="318"/>
      <c r="AM109" s="318"/>
    </row>
    <row r="110" spans="1:39" s="323" customFormat="1" ht="32.4" customHeight="1" x14ac:dyDescent="0.25">
      <c r="A110" s="635" t="s">
        <v>258</v>
      </c>
      <c r="B110" s="645" t="s">
        <v>256</v>
      </c>
      <c r="C110" s="620">
        <v>35365.25</v>
      </c>
      <c r="D110" s="620" t="s">
        <v>329</v>
      </c>
      <c r="E110" s="629">
        <f t="shared" si="17"/>
        <v>46</v>
      </c>
      <c r="F110" s="558">
        <v>148135.124392</v>
      </c>
      <c r="G110" s="547">
        <v>115874.374392</v>
      </c>
      <c r="H110" s="547">
        <v>32260.75</v>
      </c>
      <c r="I110" s="620" t="s">
        <v>249</v>
      </c>
      <c r="J110" s="556" t="s">
        <v>347</v>
      </c>
      <c r="K110" s="550" t="s">
        <v>321</v>
      </c>
      <c r="L110" s="550"/>
      <c r="M110" s="318"/>
      <c r="N110" s="534"/>
      <c r="O110" s="318"/>
      <c r="P110" s="318"/>
      <c r="Q110" s="318"/>
      <c r="R110" s="318"/>
      <c r="S110" s="318"/>
      <c r="T110" s="318"/>
      <c r="U110" s="318"/>
      <c r="V110" s="318"/>
      <c r="W110" s="318"/>
      <c r="X110" s="318"/>
      <c r="Y110" s="318"/>
      <c r="Z110" s="318"/>
      <c r="AA110" s="318"/>
      <c r="AB110" s="318"/>
      <c r="AC110" s="318"/>
      <c r="AD110" s="318"/>
      <c r="AE110" s="318"/>
      <c r="AF110" s="318"/>
      <c r="AG110" s="318"/>
      <c r="AH110" s="318"/>
      <c r="AI110" s="318"/>
      <c r="AJ110" s="318"/>
      <c r="AK110" s="318"/>
      <c r="AL110" s="318"/>
      <c r="AM110" s="318"/>
    </row>
    <row r="111" spans="1:39" s="323" customFormat="1" ht="32.4" customHeight="1" x14ac:dyDescent="0.25">
      <c r="A111" s="635" t="s">
        <v>259</v>
      </c>
      <c r="B111" s="645" t="s">
        <v>257</v>
      </c>
      <c r="C111" s="620">
        <v>35433.65</v>
      </c>
      <c r="D111" s="620" t="s">
        <v>222</v>
      </c>
      <c r="E111" s="629">
        <f t="shared" si="17"/>
        <v>21</v>
      </c>
      <c r="F111" s="558">
        <v>148179.73000000001</v>
      </c>
      <c r="G111" s="547">
        <v>115912.73</v>
      </c>
      <c r="H111" s="547">
        <v>32267</v>
      </c>
      <c r="I111" s="620" t="s">
        <v>249</v>
      </c>
      <c r="J111" s="556" t="s">
        <v>298</v>
      </c>
      <c r="K111" s="550" t="s">
        <v>321</v>
      </c>
      <c r="L111" s="620"/>
      <c r="M111" s="318"/>
      <c r="N111" s="534"/>
      <c r="O111" s="318"/>
      <c r="P111" s="318"/>
      <c r="Q111" s="318"/>
      <c r="R111" s="318"/>
      <c r="S111" s="318"/>
      <c r="T111" s="318"/>
      <c r="U111" s="318"/>
      <c r="V111" s="318"/>
      <c r="W111" s="318"/>
      <c r="X111" s="318"/>
      <c r="Y111" s="318"/>
      <c r="Z111" s="318"/>
      <c r="AA111" s="318"/>
      <c r="AB111" s="318"/>
      <c r="AC111" s="318"/>
      <c r="AD111" s="318"/>
      <c r="AE111" s="318"/>
      <c r="AF111" s="318"/>
      <c r="AG111" s="318"/>
      <c r="AH111" s="318"/>
      <c r="AI111" s="318"/>
      <c r="AJ111" s="318"/>
      <c r="AK111" s="318"/>
      <c r="AL111" s="318"/>
      <c r="AM111" s="318"/>
    </row>
    <row r="112" spans="1:39" s="323" customFormat="1" ht="39.6" customHeight="1" x14ac:dyDescent="0.25">
      <c r="A112" s="635" t="s">
        <v>260</v>
      </c>
      <c r="B112" s="645" t="s">
        <v>261</v>
      </c>
      <c r="C112" s="620">
        <v>30402.5</v>
      </c>
      <c r="D112" s="620" t="s">
        <v>361</v>
      </c>
      <c r="E112" s="629">
        <f t="shared" si="17"/>
        <v>69</v>
      </c>
      <c r="F112" s="558">
        <v>117879.35040000001</v>
      </c>
      <c r="G112" s="547">
        <v>91549.85040000001</v>
      </c>
      <c r="H112" s="547">
        <v>26329.5</v>
      </c>
      <c r="I112" s="550" t="s">
        <v>249</v>
      </c>
      <c r="J112" s="556" t="s">
        <v>374</v>
      </c>
      <c r="K112" s="556" t="s">
        <v>321</v>
      </c>
      <c r="L112" s="620"/>
      <c r="M112" s="318"/>
      <c r="N112" s="534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  <c r="AA112" s="318"/>
      <c r="AB112" s="318"/>
      <c r="AC112" s="318"/>
      <c r="AD112" s="318"/>
      <c r="AE112" s="318"/>
      <c r="AF112" s="318"/>
      <c r="AG112" s="318"/>
      <c r="AH112" s="318"/>
      <c r="AI112" s="318"/>
      <c r="AJ112" s="318"/>
      <c r="AK112" s="318"/>
      <c r="AL112" s="318"/>
      <c r="AM112" s="318"/>
    </row>
    <row r="113" spans="1:39" s="323" customFormat="1" ht="39.6" customHeight="1" x14ac:dyDescent="0.25">
      <c r="A113" s="656" t="s">
        <v>224</v>
      </c>
      <c r="B113" s="647" t="s">
        <v>234</v>
      </c>
      <c r="C113" s="554">
        <v>246953.74</v>
      </c>
      <c r="D113" s="620" t="s">
        <v>240</v>
      </c>
      <c r="E113" s="629">
        <f t="shared" si="17"/>
        <v>34</v>
      </c>
      <c r="F113" s="558">
        <v>325313.90174200002</v>
      </c>
      <c r="G113" s="547">
        <v>168734.02174199998</v>
      </c>
      <c r="H113" s="547">
        <v>156579.88</v>
      </c>
      <c r="I113" s="550" t="s">
        <v>249</v>
      </c>
      <c r="J113" s="620" t="s">
        <v>298</v>
      </c>
      <c r="K113" s="620" t="s">
        <v>321</v>
      </c>
      <c r="L113" s="620"/>
      <c r="M113" s="318"/>
      <c r="N113" s="534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  <c r="AA113" s="318"/>
      <c r="AB113" s="318"/>
      <c r="AC113" s="318"/>
      <c r="AD113" s="318"/>
      <c r="AE113" s="318"/>
      <c r="AF113" s="318"/>
      <c r="AG113" s="318"/>
      <c r="AH113" s="318"/>
      <c r="AI113" s="318"/>
      <c r="AJ113" s="318"/>
      <c r="AK113" s="318"/>
      <c r="AL113" s="318"/>
      <c r="AM113" s="318"/>
    </row>
    <row r="114" spans="1:39" s="323" customFormat="1" ht="39.6" customHeight="1" x14ac:dyDescent="0.25">
      <c r="A114" s="657" t="s">
        <v>224</v>
      </c>
      <c r="B114" s="648"/>
      <c r="C114" s="555"/>
      <c r="D114" s="620" t="s">
        <v>305</v>
      </c>
      <c r="E114" s="629">
        <f t="shared" si="17"/>
        <v>41</v>
      </c>
      <c r="F114" s="558">
        <v>121976.767742368</v>
      </c>
      <c r="G114" s="547">
        <v>59072.827742367997</v>
      </c>
      <c r="H114" s="547">
        <v>62903.94</v>
      </c>
      <c r="I114" s="620" t="s">
        <v>202</v>
      </c>
      <c r="J114" s="646" t="s">
        <v>308</v>
      </c>
      <c r="K114" s="620" t="s">
        <v>321</v>
      </c>
      <c r="L114" s="620"/>
      <c r="M114" s="318"/>
      <c r="N114" s="534"/>
      <c r="O114" s="318"/>
      <c r="P114" s="318"/>
      <c r="Q114" s="318"/>
      <c r="R114" s="318"/>
      <c r="S114" s="318"/>
      <c r="T114" s="318"/>
      <c r="U114" s="318"/>
      <c r="V114" s="318"/>
      <c r="W114" s="318"/>
      <c r="X114" s="318"/>
      <c r="Y114" s="318"/>
      <c r="Z114" s="318"/>
      <c r="AA114" s="318"/>
      <c r="AB114" s="318"/>
      <c r="AC114" s="318"/>
      <c r="AD114" s="318"/>
      <c r="AE114" s="318"/>
      <c r="AF114" s="318"/>
      <c r="AG114" s="318"/>
      <c r="AH114" s="318"/>
      <c r="AI114" s="318"/>
      <c r="AJ114" s="318"/>
      <c r="AK114" s="318"/>
      <c r="AL114" s="318"/>
      <c r="AM114" s="318"/>
    </row>
    <row r="115" spans="1:39" s="323" customFormat="1" ht="39.6" customHeight="1" x14ac:dyDescent="0.25">
      <c r="A115" s="658" t="s">
        <v>224</v>
      </c>
      <c r="B115" s="648"/>
      <c r="C115" s="555"/>
      <c r="D115" s="620" t="s">
        <v>331</v>
      </c>
      <c r="E115" s="629">
        <f t="shared" si="17"/>
        <v>48</v>
      </c>
      <c r="F115" s="558">
        <v>27190.45</v>
      </c>
      <c r="G115" s="547">
        <v>7129.87</v>
      </c>
      <c r="H115" s="547">
        <v>20060.580000000002</v>
      </c>
      <c r="I115" s="550" t="s">
        <v>249</v>
      </c>
      <c r="J115" s="556" t="s">
        <v>347</v>
      </c>
      <c r="K115" s="556" t="s">
        <v>321</v>
      </c>
      <c r="L115" s="556"/>
      <c r="M115" s="318"/>
      <c r="N115" s="534"/>
      <c r="O115" s="318"/>
      <c r="P115" s="318"/>
      <c r="Q115" s="318"/>
      <c r="R115" s="318"/>
      <c r="S115" s="318"/>
      <c r="T115" s="318"/>
      <c r="U115" s="318"/>
      <c r="V115" s="318"/>
      <c r="W115" s="318"/>
      <c r="X115" s="318"/>
      <c r="Y115" s="318"/>
      <c r="Z115" s="318"/>
      <c r="AA115" s="318"/>
      <c r="AB115" s="318"/>
      <c r="AC115" s="318"/>
      <c r="AD115" s="318"/>
      <c r="AE115" s="318"/>
      <c r="AF115" s="318"/>
      <c r="AG115" s="318"/>
      <c r="AH115" s="318"/>
      <c r="AI115" s="318"/>
      <c r="AJ115" s="318"/>
      <c r="AK115" s="318"/>
      <c r="AL115" s="318"/>
      <c r="AM115" s="318"/>
    </row>
    <row r="116" spans="1:39" s="323" customFormat="1" ht="36.6" customHeight="1" x14ac:dyDescent="0.25">
      <c r="A116" s="671" t="s">
        <v>225</v>
      </c>
      <c r="B116" s="675" t="s">
        <v>229</v>
      </c>
      <c r="C116" s="673"/>
      <c r="D116" s="688" t="s">
        <v>380</v>
      </c>
      <c r="E116" s="629">
        <f t="shared" si="17"/>
        <v>77</v>
      </c>
      <c r="F116" s="558">
        <v>71715.899999999994</v>
      </c>
      <c r="G116" s="547"/>
      <c r="H116" s="547">
        <v>71715.899999999994</v>
      </c>
      <c r="I116" s="620" t="s">
        <v>202</v>
      </c>
      <c r="J116" s="646" t="s">
        <v>416</v>
      </c>
      <c r="K116" s="646" t="s">
        <v>321</v>
      </c>
      <c r="L116" s="547"/>
      <c r="M116" s="318"/>
      <c r="N116" s="534"/>
      <c r="O116" s="318"/>
      <c r="P116" s="318"/>
      <c r="Q116" s="318"/>
      <c r="R116" s="318"/>
      <c r="S116" s="318"/>
      <c r="T116" s="318"/>
      <c r="U116" s="318"/>
      <c r="V116" s="318"/>
      <c r="W116" s="318"/>
      <c r="X116" s="318"/>
      <c r="Y116" s="318"/>
      <c r="Z116" s="318"/>
      <c r="AA116" s="318"/>
      <c r="AB116" s="318"/>
      <c r="AC116" s="318"/>
      <c r="AD116" s="318"/>
      <c r="AE116" s="318"/>
      <c r="AF116" s="318"/>
      <c r="AG116" s="318"/>
      <c r="AH116" s="318"/>
      <c r="AI116" s="318"/>
      <c r="AJ116" s="318"/>
      <c r="AK116" s="318"/>
      <c r="AL116" s="318"/>
      <c r="AM116" s="318"/>
    </row>
    <row r="117" spans="1:39" s="323" customFormat="1" ht="36.6" customHeight="1" x14ac:dyDescent="0.25">
      <c r="A117" s="671" t="s">
        <v>225</v>
      </c>
      <c r="B117" s="723"/>
      <c r="C117" s="710"/>
      <c r="D117" s="688" t="s">
        <v>500</v>
      </c>
      <c r="E117" s="629">
        <f t="shared" si="17"/>
        <v>139</v>
      </c>
      <c r="F117" s="558">
        <v>174232.49999999997</v>
      </c>
      <c r="G117" s="547"/>
      <c r="H117" s="547">
        <v>174232.49999999997</v>
      </c>
      <c r="I117" s="550" t="s">
        <v>249</v>
      </c>
      <c r="J117" s="646" t="s">
        <v>520</v>
      </c>
      <c r="K117" s="646" t="s">
        <v>321</v>
      </c>
      <c r="L117" s="547"/>
      <c r="M117" s="318"/>
      <c r="N117" s="534"/>
      <c r="O117" s="318"/>
      <c r="P117" s="318"/>
      <c r="Q117" s="318"/>
      <c r="R117" s="318"/>
      <c r="S117" s="318"/>
      <c r="T117" s="318"/>
      <c r="U117" s="318"/>
      <c r="V117" s="318"/>
      <c r="W117" s="318"/>
      <c r="X117" s="318"/>
      <c r="Y117" s="318"/>
      <c r="Z117" s="318"/>
      <c r="AA117" s="318"/>
      <c r="AB117" s="318"/>
      <c r="AC117" s="318"/>
      <c r="AD117" s="318"/>
      <c r="AE117" s="318"/>
      <c r="AF117" s="318"/>
      <c r="AG117" s="318"/>
      <c r="AH117" s="318"/>
      <c r="AI117" s="318"/>
      <c r="AJ117" s="318"/>
      <c r="AK117" s="318"/>
      <c r="AL117" s="318"/>
      <c r="AM117" s="318"/>
    </row>
    <row r="118" spans="1:39" s="323" customFormat="1" ht="36.6" customHeight="1" x14ac:dyDescent="0.25">
      <c r="A118" s="671" t="s">
        <v>225</v>
      </c>
      <c r="B118" s="723"/>
      <c r="C118" s="710"/>
      <c r="D118" s="688" t="s">
        <v>487</v>
      </c>
      <c r="E118" s="629">
        <f t="shared" ref="E118:E119" si="19">IFERROR(VALUE(MID(D118,2,LEN(D118)-1)),"")</f>
        <v>142</v>
      </c>
      <c r="F118" s="558">
        <v>198900</v>
      </c>
      <c r="G118" s="547"/>
      <c r="H118" s="547">
        <v>198900</v>
      </c>
      <c r="I118" s="550" t="s">
        <v>249</v>
      </c>
      <c r="J118" s="620" t="s">
        <v>496</v>
      </c>
      <c r="K118" s="646" t="s">
        <v>321</v>
      </c>
      <c r="L118" s="714"/>
      <c r="M118" s="318"/>
      <c r="N118" s="534"/>
      <c r="O118" s="318"/>
      <c r="P118" s="318"/>
      <c r="Q118" s="318"/>
      <c r="R118" s="318"/>
      <c r="S118" s="318"/>
      <c r="T118" s="318"/>
      <c r="U118" s="318"/>
      <c r="V118" s="318"/>
      <c r="W118" s="318"/>
      <c r="X118" s="318"/>
      <c r="Y118" s="318"/>
      <c r="Z118" s="318"/>
      <c r="AA118" s="318"/>
      <c r="AB118" s="318"/>
      <c r="AC118" s="318"/>
      <c r="AD118" s="318"/>
      <c r="AE118" s="318"/>
      <c r="AF118" s="318"/>
      <c r="AG118" s="318"/>
      <c r="AH118" s="318"/>
      <c r="AI118" s="318"/>
      <c r="AJ118" s="318"/>
      <c r="AK118" s="318"/>
      <c r="AL118" s="318"/>
      <c r="AM118" s="318"/>
    </row>
    <row r="119" spans="1:39" s="323" customFormat="1" ht="36.6" customHeight="1" x14ac:dyDescent="0.25">
      <c r="A119" s="671" t="s">
        <v>225</v>
      </c>
      <c r="B119" s="723"/>
      <c r="C119" s="710"/>
      <c r="D119" s="688" t="s">
        <v>492</v>
      </c>
      <c r="E119" s="629">
        <f t="shared" si="19"/>
        <v>148</v>
      </c>
      <c r="F119" s="558">
        <v>81049.080000000016</v>
      </c>
      <c r="G119" s="547"/>
      <c r="H119" s="547">
        <v>81049.080000000016</v>
      </c>
      <c r="I119" s="550" t="s">
        <v>249</v>
      </c>
      <c r="J119" s="646" t="s">
        <v>520</v>
      </c>
      <c r="K119" s="646" t="s">
        <v>321</v>
      </c>
      <c r="L119" s="547"/>
      <c r="M119" s="318"/>
      <c r="N119" s="534"/>
      <c r="O119" s="318"/>
      <c r="P119" s="318"/>
      <c r="Q119" s="318"/>
      <c r="R119" s="318"/>
      <c r="S119" s="318"/>
      <c r="T119" s="318"/>
      <c r="U119" s="318"/>
      <c r="V119" s="318"/>
      <c r="W119" s="318"/>
      <c r="X119" s="318"/>
      <c r="Y119" s="318"/>
      <c r="Z119" s="318"/>
      <c r="AA119" s="318"/>
      <c r="AB119" s="318"/>
      <c r="AC119" s="318"/>
      <c r="AD119" s="318"/>
      <c r="AE119" s="318"/>
      <c r="AF119" s="318"/>
      <c r="AG119" s="318"/>
      <c r="AH119" s="318"/>
      <c r="AI119" s="318"/>
      <c r="AJ119" s="318"/>
      <c r="AK119" s="318"/>
      <c r="AL119" s="318"/>
      <c r="AM119" s="318"/>
    </row>
    <row r="120" spans="1:39" s="323" customFormat="1" ht="36.6" customHeight="1" x14ac:dyDescent="0.25">
      <c r="A120" s="671" t="s">
        <v>225</v>
      </c>
      <c r="B120" s="676"/>
      <c r="C120" s="677"/>
      <c r="D120" s="718" t="s">
        <v>507</v>
      </c>
      <c r="E120" s="629">
        <f t="shared" si="17"/>
        <v>154</v>
      </c>
      <c r="F120" s="558">
        <v>91149.840000000011</v>
      </c>
      <c r="G120" s="547">
        <v>20820.240000000002</v>
      </c>
      <c r="H120" s="547">
        <v>70329.600000000006</v>
      </c>
      <c r="I120" s="618" t="s">
        <v>188</v>
      </c>
      <c r="J120" s="646" t="s">
        <v>524</v>
      </c>
      <c r="K120" s="715"/>
      <c r="L120" s="547"/>
      <c r="M120" s="318"/>
      <c r="N120" s="534"/>
      <c r="O120" s="318"/>
      <c r="P120" s="318"/>
      <c r="Q120" s="318"/>
      <c r="R120" s="318"/>
      <c r="S120" s="318"/>
      <c r="T120" s="318"/>
      <c r="U120" s="318"/>
      <c r="V120" s="318"/>
      <c r="W120" s="318"/>
      <c r="X120" s="318"/>
      <c r="Y120" s="318"/>
      <c r="Z120" s="318"/>
      <c r="AA120" s="318"/>
      <c r="AB120" s="318"/>
      <c r="AC120" s="318"/>
      <c r="AD120" s="318"/>
      <c r="AE120" s="318"/>
      <c r="AF120" s="318"/>
      <c r="AG120" s="318"/>
      <c r="AH120" s="318"/>
      <c r="AI120" s="318"/>
      <c r="AJ120" s="318"/>
      <c r="AK120" s="318"/>
      <c r="AL120" s="318"/>
      <c r="AM120" s="318"/>
    </row>
    <row r="121" spans="1:39" s="323" customFormat="1" ht="32.4" customHeight="1" x14ac:dyDescent="0.25">
      <c r="A121" s="579" t="s">
        <v>235</v>
      </c>
      <c r="B121" s="717" t="s">
        <v>266</v>
      </c>
      <c r="C121" s="680">
        <v>48963.26</v>
      </c>
      <c r="D121" s="664" t="s">
        <v>439</v>
      </c>
      <c r="E121" s="629">
        <f t="shared" si="17"/>
        <v>111</v>
      </c>
      <c r="F121" s="558">
        <v>40868.340000000004</v>
      </c>
      <c r="G121" s="547"/>
      <c r="H121" s="547">
        <v>40868.340000000004</v>
      </c>
      <c r="I121" s="620" t="s">
        <v>202</v>
      </c>
      <c r="J121" s="646" t="s">
        <v>462</v>
      </c>
      <c r="K121" s="556" t="s">
        <v>321</v>
      </c>
      <c r="L121" s="644"/>
      <c r="M121" s="318"/>
      <c r="N121" s="534"/>
      <c r="O121" s="318"/>
      <c r="P121" s="318"/>
      <c r="Q121" s="318"/>
      <c r="R121" s="318"/>
      <c r="S121" s="318"/>
      <c r="T121" s="318"/>
      <c r="U121" s="318"/>
      <c r="V121" s="318"/>
      <c r="W121" s="318"/>
      <c r="X121" s="318"/>
      <c r="Y121" s="318"/>
      <c r="Z121" s="318"/>
      <c r="AA121" s="318"/>
      <c r="AB121" s="318"/>
      <c r="AC121" s="318"/>
      <c r="AD121" s="318"/>
      <c r="AE121" s="318"/>
      <c r="AF121" s="318"/>
      <c r="AG121" s="318"/>
      <c r="AH121" s="318"/>
      <c r="AI121" s="318"/>
      <c r="AJ121" s="318"/>
      <c r="AK121" s="318"/>
      <c r="AL121" s="318"/>
      <c r="AM121" s="318"/>
    </row>
    <row r="122" spans="1:39" s="323" customFormat="1" ht="32.4" customHeight="1" x14ac:dyDescent="0.25">
      <c r="A122" s="663" t="s">
        <v>262</v>
      </c>
      <c r="B122" s="647" t="s">
        <v>270</v>
      </c>
      <c r="C122" s="666">
        <v>1900000</v>
      </c>
      <c r="D122" s="688" t="s">
        <v>365</v>
      </c>
      <c r="E122" s="629">
        <f t="shared" si="17"/>
        <v>72</v>
      </c>
      <c r="F122" s="558">
        <v>254850</v>
      </c>
      <c r="G122" s="547"/>
      <c r="H122" s="547">
        <v>254850</v>
      </c>
      <c r="I122" s="550" t="s">
        <v>249</v>
      </c>
      <c r="J122" s="556" t="s">
        <v>374</v>
      </c>
      <c r="K122" s="556" t="s">
        <v>321</v>
      </c>
      <c r="L122" s="620"/>
      <c r="M122" s="318"/>
      <c r="N122" s="534"/>
      <c r="O122" s="318"/>
      <c r="P122" s="318"/>
      <c r="Q122" s="318"/>
      <c r="R122" s="318"/>
      <c r="S122" s="318"/>
      <c r="T122" s="318"/>
      <c r="U122" s="318"/>
      <c r="V122" s="318"/>
      <c r="W122" s="318"/>
      <c r="X122" s="318"/>
      <c r="Y122" s="318"/>
      <c r="Z122" s="318"/>
      <c r="AA122" s="318"/>
      <c r="AB122" s="318"/>
      <c r="AC122" s="318"/>
      <c r="AD122" s="318"/>
      <c r="AE122" s="318"/>
      <c r="AF122" s="318"/>
      <c r="AG122" s="318"/>
      <c r="AH122" s="318"/>
      <c r="AI122" s="318"/>
      <c r="AJ122" s="318"/>
      <c r="AK122" s="318"/>
      <c r="AL122" s="318"/>
      <c r="AM122" s="318"/>
    </row>
    <row r="123" spans="1:39" s="323" customFormat="1" ht="32.4" customHeight="1" x14ac:dyDescent="0.25">
      <c r="A123" s="686" t="s">
        <v>262</v>
      </c>
      <c r="B123" s="648"/>
      <c r="C123" s="668"/>
      <c r="D123" s="688" t="s">
        <v>396</v>
      </c>
      <c r="E123" s="629">
        <f t="shared" si="17"/>
        <v>86</v>
      </c>
      <c r="F123" s="558">
        <v>51720</v>
      </c>
      <c r="G123" s="547"/>
      <c r="H123" s="547">
        <v>51720</v>
      </c>
      <c r="I123" s="620" t="s">
        <v>202</v>
      </c>
      <c r="J123" s="646" t="s">
        <v>416</v>
      </c>
      <c r="K123" s="556" t="s">
        <v>321</v>
      </c>
      <c r="L123" s="620"/>
      <c r="M123" s="318"/>
      <c r="N123" s="534"/>
      <c r="O123" s="318"/>
      <c r="P123" s="318"/>
      <c r="Q123" s="318"/>
      <c r="R123" s="318"/>
      <c r="S123" s="318"/>
      <c r="T123" s="318"/>
      <c r="U123" s="318"/>
      <c r="V123" s="318"/>
      <c r="W123" s="318"/>
      <c r="X123" s="318"/>
      <c r="Y123" s="318"/>
      <c r="Z123" s="318"/>
      <c r="AA123" s="318"/>
      <c r="AB123" s="318"/>
      <c r="AC123" s="318"/>
      <c r="AD123" s="318"/>
      <c r="AE123" s="318"/>
      <c r="AF123" s="318"/>
      <c r="AG123" s="318"/>
      <c r="AH123" s="318"/>
      <c r="AI123" s="318"/>
      <c r="AJ123" s="318"/>
      <c r="AK123" s="318"/>
      <c r="AL123" s="318"/>
      <c r="AM123" s="318"/>
    </row>
    <row r="124" spans="1:39" s="323" customFormat="1" ht="32.4" customHeight="1" x14ac:dyDescent="0.25">
      <c r="A124" s="686" t="s">
        <v>262</v>
      </c>
      <c r="B124" s="648"/>
      <c r="C124" s="668"/>
      <c r="D124" s="688" t="s">
        <v>404</v>
      </c>
      <c r="E124" s="629">
        <f t="shared" ref="E124:E128" si="20">IFERROR(VALUE(MID(D124,2,LEN(D124)-1)),"")</f>
        <v>88</v>
      </c>
      <c r="F124" s="558">
        <v>264860</v>
      </c>
      <c r="G124" s="547"/>
      <c r="H124" s="547">
        <v>264860</v>
      </c>
      <c r="I124" s="550" t="s">
        <v>249</v>
      </c>
      <c r="J124" s="646" t="s">
        <v>406</v>
      </c>
      <c r="K124" s="646" t="s">
        <v>321</v>
      </c>
      <c r="L124" s="620"/>
      <c r="M124" s="318"/>
      <c r="N124" s="534"/>
      <c r="O124" s="318"/>
      <c r="P124" s="318"/>
      <c r="Q124" s="318"/>
      <c r="R124" s="318"/>
      <c r="S124" s="318"/>
      <c r="T124" s="318"/>
      <c r="U124" s="318"/>
      <c r="V124" s="318"/>
      <c r="W124" s="318"/>
      <c r="X124" s="318"/>
      <c r="Y124" s="318"/>
      <c r="Z124" s="318"/>
      <c r="AA124" s="318"/>
      <c r="AB124" s="318"/>
      <c r="AC124" s="318"/>
      <c r="AD124" s="318"/>
      <c r="AE124" s="318"/>
      <c r="AF124" s="318"/>
      <c r="AG124" s="318"/>
      <c r="AH124" s="318"/>
      <c r="AI124" s="318"/>
      <c r="AJ124" s="318"/>
      <c r="AK124" s="318"/>
      <c r="AL124" s="318"/>
      <c r="AM124" s="318"/>
    </row>
    <row r="125" spans="1:39" s="323" customFormat="1" ht="32.4" customHeight="1" x14ac:dyDescent="0.25">
      <c r="A125" s="686" t="s">
        <v>262</v>
      </c>
      <c r="B125" s="648"/>
      <c r="C125" s="668"/>
      <c r="D125" s="664" t="s">
        <v>414</v>
      </c>
      <c r="E125" s="629">
        <f t="shared" si="20"/>
        <v>94</v>
      </c>
      <c r="F125" s="558">
        <v>134843.24</v>
      </c>
      <c r="G125" s="547"/>
      <c r="H125" s="547">
        <v>134843.24</v>
      </c>
      <c r="I125" s="550" t="s">
        <v>249</v>
      </c>
      <c r="J125" s="646" t="s">
        <v>417</v>
      </c>
      <c r="K125" s="646" t="s">
        <v>321</v>
      </c>
      <c r="L125" s="644"/>
      <c r="M125" s="318"/>
      <c r="N125" s="534"/>
      <c r="O125" s="318"/>
      <c r="P125" s="318"/>
      <c r="Q125" s="318"/>
      <c r="R125" s="318"/>
      <c r="S125" s="318"/>
      <c r="T125" s="318"/>
      <c r="U125" s="318"/>
      <c r="V125" s="318"/>
      <c r="W125" s="318"/>
      <c r="X125" s="318"/>
      <c r="Y125" s="318"/>
      <c r="Z125" s="318"/>
      <c r="AA125" s="318"/>
      <c r="AB125" s="318"/>
      <c r="AC125" s="318"/>
      <c r="AD125" s="318"/>
      <c r="AE125" s="318"/>
      <c r="AF125" s="318"/>
      <c r="AG125" s="318"/>
      <c r="AH125" s="318"/>
      <c r="AI125" s="318"/>
      <c r="AJ125" s="318"/>
      <c r="AK125" s="318"/>
      <c r="AL125" s="318"/>
      <c r="AM125" s="318"/>
    </row>
    <row r="126" spans="1:39" s="323" customFormat="1" ht="36.6" customHeight="1" x14ac:dyDescent="0.25">
      <c r="A126" s="686" t="s">
        <v>262</v>
      </c>
      <c r="B126" s="648"/>
      <c r="C126" s="668"/>
      <c r="D126" s="664" t="s">
        <v>415</v>
      </c>
      <c r="E126" s="629">
        <f t="shared" si="20"/>
        <v>95</v>
      </c>
      <c r="F126" s="558">
        <v>198330</v>
      </c>
      <c r="G126" s="547"/>
      <c r="H126" s="547">
        <v>198330</v>
      </c>
      <c r="I126" s="550" t="s">
        <v>249</v>
      </c>
      <c r="J126" s="646" t="s">
        <v>417</v>
      </c>
      <c r="K126" s="646" t="s">
        <v>321</v>
      </c>
      <c r="L126" s="644"/>
      <c r="M126" s="318"/>
      <c r="N126" s="534"/>
      <c r="O126" s="318"/>
      <c r="P126" s="318"/>
      <c r="Q126" s="318"/>
      <c r="R126" s="318"/>
      <c r="S126" s="318"/>
      <c r="T126" s="318"/>
      <c r="U126" s="318"/>
      <c r="V126" s="318"/>
      <c r="W126" s="318"/>
      <c r="X126" s="318"/>
      <c r="Y126" s="318"/>
      <c r="Z126" s="318"/>
      <c r="AA126" s="318"/>
      <c r="AB126" s="318"/>
      <c r="AC126" s="318"/>
      <c r="AD126" s="318"/>
      <c r="AE126" s="318"/>
      <c r="AF126" s="318"/>
      <c r="AG126" s="318"/>
      <c r="AH126" s="318"/>
      <c r="AI126" s="318"/>
      <c r="AJ126" s="318"/>
      <c r="AK126" s="318"/>
      <c r="AL126" s="318"/>
      <c r="AM126" s="318"/>
    </row>
    <row r="127" spans="1:39" s="323" customFormat="1" ht="36.6" customHeight="1" x14ac:dyDescent="0.25">
      <c r="A127" s="686" t="s">
        <v>262</v>
      </c>
      <c r="B127" s="648"/>
      <c r="C127" s="668"/>
      <c r="D127" s="664" t="s">
        <v>430</v>
      </c>
      <c r="E127" s="629">
        <f t="shared" si="20"/>
        <v>106</v>
      </c>
      <c r="F127" s="558">
        <v>163000</v>
      </c>
      <c r="G127" s="547"/>
      <c r="H127" s="547">
        <v>163000</v>
      </c>
      <c r="I127" s="620" t="s">
        <v>202</v>
      </c>
      <c r="J127" s="646" t="s">
        <v>432</v>
      </c>
      <c r="K127" s="646" t="s">
        <v>321</v>
      </c>
      <c r="L127" s="644"/>
      <c r="M127" s="318"/>
      <c r="N127" s="534"/>
      <c r="O127" s="318"/>
      <c r="P127" s="318"/>
      <c r="Q127" s="318"/>
      <c r="R127" s="318"/>
      <c r="S127" s="318"/>
      <c r="T127" s="318"/>
      <c r="U127" s="318"/>
      <c r="V127" s="318"/>
      <c r="W127" s="318"/>
      <c r="X127" s="318"/>
      <c r="Y127" s="318"/>
      <c r="Z127" s="318"/>
      <c r="AA127" s="318"/>
      <c r="AB127" s="318"/>
      <c r="AC127" s="318"/>
      <c r="AD127" s="318"/>
      <c r="AE127" s="318"/>
      <c r="AF127" s="318"/>
      <c r="AG127" s="318"/>
      <c r="AH127" s="318"/>
      <c r="AI127" s="318"/>
      <c r="AJ127" s="318"/>
      <c r="AK127" s="318"/>
      <c r="AL127" s="318"/>
      <c r="AM127" s="318"/>
    </row>
    <row r="128" spans="1:39" s="323" customFormat="1" ht="36.6" customHeight="1" x14ac:dyDescent="0.25">
      <c r="A128" s="687" t="s">
        <v>262</v>
      </c>
      <c r="B128" s="649"/>
      <c r="C128" s="670"/>
      <c r="D128" s="664" t="s">
        <v>441</v>
      </c>
      <c r="E128" s="629">
        <f t="shared" si="20"/>
        <v>112</v>
      </c>
      <c r="F128" s="558">
        <v>262930</v>
      </c>
      <c r="G128" s="547"/>
      <c r="H128" s="547">
        <v>262930</v>
      </c>
      <c r="I128" s="620" t="s">
        <v>202</v>
      </c>
      <c r="J128" s="646" t="s">
        <v>443</v>
      </c>
      <c r="K128" s="646" t="s">
        <v>321</v>
      </c>
      <c r="L128" s="644"/>
      <c r="M128" s="318"/>
      <c r="N128" s="534"/>
      <c r="O128" s="318"/>
      <c r="P128" s="318"/>
      <c r="Q128" s="318"/>
      <c r="R128" s="318"/>
      <c r="S128" s="318"/>
      <c r="T128" s="318"/>
      <c r="U128" s="318"/>
      <c r="V128" s="318"/>
      <c r="W128" s="318"/>
      <c r="X128" s="318"/>
      <c r="Y128" s="318"/>
      <c r="Z128" s="318"/>
      <c r="AA128" s="318"/>
      <c r="AB128" s="318"/>
      <c r="AC128" s="318"/>
      <c r="AD128" s="318"/>
      <c r="AE128" s="318"/>
      <c r="AF128" s="318"/>
      <c r="AG128" s="318"/>
      <c r="AH128" s="318"/>
      <c r="AI128" s="318"/>
      <c r="AJ128" s="318"/>
      <c r="AK128" s="318"/>
      <c r="AL128" s="318"/>
      <c r="AM128" s="318"/>
    </row>
    <row r="129" spans="1:39" s="323" customFormat="1" ht="36.6" customHeight="1" x14ac:dyDescent="0.25">
      <c r="A129" s="687" t="s">
        <v>262</v>
      </c>
      <c r="B129" s="649"/>
      <c r="C129" s="670"/>
      <c r="D129" s="664" t="s">
        <v>444</v>
      </c>
      <c r="E129" s="629">
        <f>IFERROR(VALUE(MID(D129,2,LEN(D129)-1)),"")</f>
        <v>114</v>
      </c>
      <c r="F129" s="558">
        <v>267630</v>
      </c>
      <c r="G129" s="547"/>
      <c r="H129" s="547">
        <v>262930</v>
      </c>
      <c r="I129" s="620" t="s">
        <v>202</v>
      </c>
      <c r="J129" s="646" t="s">
        <v>445</v>
      </c>
      <c r="K129" s="646" t="s">
        <v>321</v>
      </c>
      <c r="L129" s="644"/>
      <c r="M129" s="318"/>
      <c r="N129" s="534"/>
      <c r="O129" s="318"/>
      <c r="P129" s="318"/>
      <c r="Q129" s="318"/>
      <c r="R129" s="318"/>
      <c r="S129" s="318"/>
      <c r="T129" s="318"/>
      <c r="U129" s="318"/>
      <c r="V129" s="318"/>
      <c r="W129" s="318"/>
      <c r="X129" s="318"/>
      <c r="Y129" s="318"/>
      <c r="Z129" s="318"/>
      <c r="AA129" s="318"/>
      <c r="AB129" s="318"/>
      <c r="AC129" s="318"/>
      <c r="AD129" s="318"/>
      <c r="AE129" s="318"/>
      <c r="AF129" s="318"/>
      <c r="AG129" s="318"/>
      <c r="AH129" s="318"/>
      <c r="AI129" s="318"/>
      <c r="AJ129" s="318"/>
      <c r="AK129" s="318"/>
      <c r="AL129" s="318"/>
      <c r="AM129" s="318"/>
    </row>
    <row r="130" spans="1:39" s="323" customFormat="1" ht="36.6" customHeight="1" x14ac:dyDescent="0.25">
      <c r="A130" s="687" t="s">
        <v>262</v>
      </c>
      <c r="B130" s="648"/>
      <c r="C130" s="668"/>
      <c r="D130" s="664" t="s">
        <v>466</v>
      </c>
      <c r="E130" s="629">
        <f>IFERROR(VALUE(MID(D130,2,LEN(D130)-1)),"")</f>
        <v>129</v>
      </c>
      <c r="F130" s="558">
        <v>88000</v>
      </c>
      <c r="G130" s="547"/>
      <c r="H130" s="547">
        <v>88000</v>
      </c>
      <c r="I130" s="620" t="s">
        <v>202</v>
      </c>
      <c r="J130" s="646" t="s">
        <v>474</v>
      </c>
      <c r="K130" s="646" t="s">
        <v>321</v>
      </c>
      <c r="L130" s="638"/>
      <c r="M130" s="318"/>
      <c r="N130" s="534"/>
      <c r="O130" s="318"/>
      <c r="P130" s="318"/>
      <c r="Q130" s="318"/>
      <c r="R130" s="318"/>
      <c r="S130" s="318"/>
      <c r="T130" s="318"/>
      <c r="U130" s="318"/>
      <c r="V130" s="318"/>
      <c r="W130" s="318"/>
      <c r="X130" s="318"/>
      <c r="Y130" s="318"/>
      <c r="Z130" s="318"/>
      <c r="AA130" s="318"/>
      <c r="AB130" s="318"/>
      <c r="AC130" s="318"/>
      <c r="AD130" s="318"/>
      <c r="AE130" s="318"/>
      <c r="AF130" s="318"/>
      <c r="AG130" s="318"/>
      <c r="AH130" s="318"/>
      <c r="AI130" s="318"/>
      <c r="AJ130" s="318"/>
      <c r="AK130" s="318"/>
      <c r="AL130" s="318"/>
      <c r="AM130" s="318"/>
    </row>
    <row r="131" spans="1:39" s="323" customFormat="1" ht="36.6" customHeight="1" x14ac:dyDescent="0.25">
      <c r="A131" s="687" t="s">
        <v>262</v>
      </c>
      <c r="B131" s="648"/>
      <c r="C131" s="668"/>
      <c r="D131" s="664" t="s">
        <v>471</v>
      </c>
      <c r="E131" s="629">
        <f>IFERROR(VALUE(MID(D131,2,LEN(D131)-1)),"")</f>
        <v>133</v>
      </c>
      <c r="F131" s="558">
        <v>44000</v>
      </c>
      <c r="G131" s="547"/>
      <c r="H131" s="547">
        <v>44000</v>
      </c>
      <c r="I131" s="620" t="s">
        <v>202</v>
      </c>
      <c r="J131" s="703">
        <v>45623</v>
      </c>
      <c r="K131" s="646" t="s">
        <v>321</v>
      </c>
      <c r="L131" s="638"/>
      <c r="M131" s="318"/>
      <c r="N131" s="534"/>
      <c r="O131" s="318"/>
      <c r="P131" s="318"/>
      <c r="Q131" s="318"/>
      <c r="R131" s="318"/>
      <c r="S131" s="318"/>
      <c r="T131" s="318"/>
      <c r="U131" s="318"/>
      <c r="V131" s="318"/>
      <c r="W131" s="318"/>
      <c r="X131" s="318"/>
      <c r="Y131" s="318"/>
      <c r="Z131" s="318"/>
      <c r="AA131" s="318"/>
      <c r="AB131" s="318"/>
      <c r="AC131" s="318"/>
      <c r="AD131" s="318"/>
      <c r="AE131" s="318"/>
      <c r="AF131" s="318"/>
      <c r="AG131" s="318"/>
      <c r="AH131" s="318"/>
      <c r="AI131" s="318"/>
      <c r="AJ131" s="318"/>
      <c r="AK131" s="318"/>
      <c r="AL131" s="318"/>
      <c r="AM131" s="318"/>
    </row>
    <row r="132" spans="1:39" s="323" customFormat="1" ht="36.6" customHeight="1" x14ac:dyDescent="0.25">
      <c r="A132" s="687" t="s">
        <v>262</v>
      </c>
      <c r="B132" s="648"/>
      <c r="C132" s="668"/>
      <c r="D132" s="664" t="s">
        <v>484</v>
      </c>
      <c r="E132" s="629">
        <f>IFERROR(VALUE(MID(D132,2,LEN(D132)-1)),"")</f>
        <v>140</v>
      </c>
      <c r="F132" s="558">
        <v>75140</v>
      </c>
      <c r="G132" s="547"/>
      <c r="H132" s="547">
        <v>75140</v>
      </c>
      <c r="I132" s="620" t="s">
        <v>202</v>
      </c>
      <c r="J132" s="703" t="s">
        <v>494</v>
      </c>
      <c r="K132" s="715"/>
      <c r="L132" s="716"/>
      <c r="M132" s="318"/>
      <c r="N132" s="534"/>
      <c r="O132" s="318"/>
      <c r="P132" s="318"/>
      <c r="Q132" s="318"/>
      <c r="R132" s="318"/>
      <c r="S132" s="318"/>
      <c r="T132" s="318"/>
      <c r="U132" s="318"/>
      <c r="V132" s="318"/>
      <c r="W132" s="318"/>
      <c r="X132" s="318"/>
      <c r="Y132" s="318"/>
      <c r="Z132" s="318"/>
      <c r="AA132" s="318"/>
      <c r="AB132" s="318"/>
      <c r="AC132" s="318"/>
      <c r="AD132" s="318"/>
      <c r="AE132" s="318"/>
      <c r="AF132" s="318"/>
      <c r="AG132" s="318"/>
      <c r="AH132" s="318"/>
      <c r="AI132" s="318"/>
      <c r="AJ132" s="318"/>
      <c r="AK132" s="318"/>
      <c r="AL132" s="318"/>
      <c r="AM132" s="318"/>
    </row>
    <row r="133" spans="1:39" s="323" customFormat="1" ht="36.6" customHeight="1" x14ac:dyDescent="0.25">
      <c r="A133" s="687" t="s">
        <v>262</v>
      </c>
      <c r="B133" s="667"/>
      <c r="C133" s="668"/>
      <c r="D133" s="664" t="s">
        <v>506</v>
      </c>
      <c r="E133" s="629">
        <f>IFERROR(VALUE(MID(D133,2,LEN(D133)-1)),"")</f>
        <v>153</v>
      </c>
      <c r="F133" s="558">
        <v>121072</v>
      </c>
      <c r="G133" s="547"/>
      <c r="H133" s="547">
        <v>121072</v>
      </c>
      <c r="I133" s="620" t="s">
        <v>202</v>
      </c>
      <c r="J133" s="703" t="s">
        <v>523</v>
      </c>
      <c r="K133" s="715"/>
      <c r="L133" s="638"/>
      <c r="M133" s="318"/>
      <c r="N133" s="534"/>
      <c r="O133" s="318"/>
      <c r="P133" s="318"/>
      <c r="Q133" s="318"/>
      <c r="R133" s="318"/>
      <c r="S133" s="318"/>
      <c r="T133" s="318"/>
      <c r="U133" s="318"/>
      <c r="V133" s="318"/>
      <c r="W133" s="318"/>
      <c r="X133" s="318"/>
      <c r="Y133" s="318"/>
      <c r="Z133" s="318"/>
      <c r="AA133" s="318"/>
      <c r="AB133" s="318"/>
      <c r="AC133" s="318"/>
      <c r="AD133" s="318"/>
      <c r="AE133" s="318"/>
      <c r="AF133" s="318"/>
      <c r="AG133" s="318"/>
      <c r="AH133" s="318"/>
      <c r="AI133" s="318"/>
      <c r="AJ133" s="318"/>
      <c r="AK133" s="318"/>
      <c r="AL133" s="318"/>
      <c r="AM133" s="318"/>
    </row>
    <row r="134" spans="1:39" s="323" customFormat="1" ht="32.4" customHeight="1" x14ac:dyDescent="0.25">
      <c r="A134" s="709" t="s">
        <v>230</v>
      </c>
      <c r="B134" s="675" t="s">
        <v>216</v>
      </c>
      <c r="C134" s="673"/>
      <c r="D134" s="688" t="s">
        <v>456</v>
      </c>
      <c r="E134" s="629">
        <f t="shared" si="17"/>
        <v>123</v>
      </c>
      <c r="F134" s="558">
        <v>292822</v>
      </c>
      <c r="G134" s="547"/>
      <c r="H134" s="547">
        <v>292822</v>
      </c>
      <c r="I134" s="620" t="s">
        <v>202</v>
      </c>
      <c r="J134" s="620" t="s">
        <v>461</v>
      </c>
      <c r="K134" s="620" t="s">
        <v>321</v>
      </c>
      <c r="L134" s="638"/>
      <c r="M134" s="318"/>
      <c r="N134" s="534"/>
      <c r="O134" s="318"/>
      <c r="P134" s="318"/>
      <c r="Q134" s="318"/>
      <c r="R134" s="318"/>
      <c r="S134" s="318"/>
      <c r="T134" s="318"/>
      <c r="U134" s="318"/>
      <c r="V134" s="318"/>
      <c r="W134" s="318"/>
      <c r="X134" s="318"/>
      <c r="Y134" s="318"/>
      <c r="Z134" s="318"/>
      <c r="AA134" s="318"/>
      <c r="AB134" s="318"/>
      <c r="AC134" s="318"/>
      <c r="AD134" s="318"/>
      <c r="AE134" s="318"/>
      <c r="AF134" s="318"/>
      <c r="AG134" s="318"/>
      <c r="AH134" s="318"/>
      <c r="AI134" s="318"/>
      <c r="AJ134" s="318"/>
      <c r="AK134" s="318"/>
      <c r="AL134" s="318"/>
      <c r="AM134" s="318"/>
    </row>
    <row r="135" spans="1:39" s="323" customFormat="1" ht="39.6" customHeight="1" x14ac:dyDescent="0.25">
      <c r="A135" s="709" t="s">
        <v>230</v>
      </c>
      <c r="B135" s="676"/>
      <c r="C135" s="677"/>
      <c r="D135" s="688" t="s">
        <v>491</v>
      </c>
      <c r="E135" s="629">
        <f t="shared" ref="E135:E136" si="21">IFERROR(VALUE(MID(D135,2,LEN(D135)-1)),"")</f>
        <v>143</v>
      </c>
      <c r="F135" s="558">
        <v>55035</v>
      </c>
      <c r="G135" s="547"/>
      <c r="H135" s="547">
        <v>55035</v>
      </c>
      <c r="I135" s="620" t="s">
        <v>202</v>
      </c>
      <c r="J135" s="620" t="s">
        <v>496</v>
      </c>
      <c r="K135" s="547"/>
      <c r="L135" s="638"/>
      <c r="M135" s="318"/>
      <c r="N135" s="534"/>
      <c r="O135" s="318"/>
      <c r="P135" s="318"/>
      <c r="Q135" s="318"/>
      <c r="R135" s="318"/>
      <c r="S135" s="318"/>
      <c r="T135" s="318"/>
      <c r="U135" s="318"/>
      <c r="V135" s="318"/>
      <c r="W135" s="318"/>
      <c r="X135" s="318"/>
      <c r="Y135" s="318"/>
      <c r="Z135" s="318"/>
      <c r="AA135" s="318"/>
      <c r="AB135" s="318"/>
      <c r="AC135" s="318"/>
      <c r="AD135" s="318"/>
      <c r="AE135" s="318"/>
      <c r="AF135" s="318"/>
      <c r="AG135" s="318"/>
      <c r="AH135" s="318"/>
      <c r="AI135" s="318"/>
      <c r="AJ135" s="318"/>
      <c r="AK135" s="318"/>
      <c r="AL135" s="318"/>
      <c r="AM135" s="318"/>
    </row>
    <row r="136" spans="1:39" s="323" customFormat="1" ht="39.6" customHeight="1" x14ac:dyDescent="0.25">
      <c r="A136" s="709" t="s">
        <v>230</v>
      </c>
      <c r="B136" s="676"/>
      <c r="C136" s="677"/>
      <c r="D136" s="688" t="s">
        <v>491</v>
      </c>
      <c r="E136" s="629">
        <f t="shared" si="21"/>
        <v>143</v>
      </c>
      <c r="F136" s="558">
        <v>55035</v>
      </c>
      <c r="G136" s="547"/>
      <c r="H136" s="547">
        <v>55035</v>
      </c>
      <c r="I136" s="620" t="s">
        <v>202</v>
      </c>
      <c r="J136" s="620" t="s">
        <v>496</v>
      </c>
      <c r="K136" s="620" t="s">
        <v>321</v>
      </c>
      <c r="L136" s="638"/>
      <c r="M136" s="318"/>
      <c r="N136" s="534"/>
      <c r="O136" s="318"/>
      <c r="P136" s="318"/>
      <c r="Q136" s="318"/>
      <c r="R136" s="318"/>
      <c r="S136" s="318"/>
      <c r="T136" s="318"/>
      <c r="U136" s="318"/>
      <c r="V136" s="318"/>
      <c r="W136" s="318"/>
      <c r="X136" s="318"/>
      <c r="Y136" s="318"/>
      <c r="Z136" s="318"/>
      <c r="AA136" s="318"/>
      <c r="AB136" s="318"/>
      <c r="AC136" s="318"/>
      <c r="AD136" s="318"/>
      <c r="AE136" s="318"/>
      <c r="AF136" s="318"/>
      <c r="AG136" s="318"/>
      <c r="AH136" s="318"/>
      <c r="AI136" s="318"/>
      <c r="AJ136" s="318"/>
      <c r="AK136" s="318"/>
      <c r="AL136" s="318"/>
      <c r="AM136" s="318"/>
    </row>
    <row r="137" spans="1:39" s="323" customFormat="1" ht="39.6" customHeight="1" x14ac:dyDescent="0.25">
      <c r="A137" s="709" t="s">
        <v>230</v>
      </c>
      <c r="B137" s="676"/>
      <c r="C137" s="677"/>
      <c r="D137" s="713" t="s">
        <v>501</v>
      </c>
      <c r="E137" s="629">
        <f t="shared" si="17"/>
        <v>150</v>
      </c>
      <c r="F137" s="558">
        <v>13926</v>
      </c>
      <c r="G137" s="547"/>
      <c r="H137" s="547">
        <v>13926</v>
      </c>
      <c r="I137" s="726" t="s">
        <v>188</v>
      </c>
      <c r="J137" s="620" t="s">
        <v>520</v>
      </c>
      <c r="K137" s="620" t="s">
        <v>321</v>
      </c>
      <c r="L137" s="638"/>
      <c r="M137" s="318"/>
      <c r="N137" s="534"/>
      <c r="O137" s="318"/>
      <c r="P137" s="318"/>
      <c r="Q137" s="318"/>
      <c r="R137" s="318"/>
      <c r="S137" s="318"/>
      <c r="T137" s="318"/>
      <c r="U137" s="318"/>
      <c r="V137" s="318"/>
      <c r="W137" s="318"/>
      <c r="X137" s="318"/>
      <c r="Y137" s="318"/>
      <c r="Z137" s="318"/>
      <c r="AA137" s="318"/>
      <c r="AB137" s="318"/>
      <c r="AC137" s="318"/>
      <c r="AD137" s="318"/>
      <c r="AE137" s="318"/>
      <c r="AF137" s="318"/>
      <c r="AG137" s="318"/>
      <c r="AH137" s="318"/>
      <c r="AI137" s="318"/>
      <c r="AJ137" s="318"/>
      <c r="AK137" s="318"/>
      <c r="AL137" s="318"/>
      <c r="AM137" s="318"/>
    </row>
    <row r="138" spans="1:39" s="323" customFormat="1" ht="37.200000000000003" customHeight="1" x14ac:dyDescent="0.25">
      <c r="A138" s="635" t="s">
        <v>236</v>
      </c>
      <c r="B138" s="672" t="s">
        <v>271</v>
      </c>
      <c r="C138" s="674">
        <v>44103.59</v>
      </c>
      <c r="D138" s="620" t="s">
        <v>277</v>
      </c>
      <c r="E138" s="629">
        <f t="shared" si="17"/>
        <v>24</v>
      </c>
      <c r="F138" s="558">
        <v>40991.121999999996</v>
      </c>
      <c r="G138" s="547">
        <v>187.78200000000001</v>
      </c>
      <c r="H138" s="547">
        <v>40803.339999999997</v>
      </c>
      <c r="I138" s="620" t="s">
        <v>249</v>
      </c>
      <c r="J138" s="556" t="s">
        <v>281</v>
      </c>
      <c r="K138" s="620" t="s">
        <v>321</v>
      </c>
      <c r="L138" s="620"/>
      <c r="M138" s="318"/>
      <c r="N138" s="534"/>
      <c r="O138" s="318"/>
      <c r="P138" s="318"/>
      <c r="Q138" s="318"/>
      <c r="R138" s="318"/>
      <c r="S138" s="318"/>
      <c r="T138" s="318"/>
      <c r="U138" s="318"/>
      <c r="V138" s="318"/>
      <c r="W138" s="318"/>
      <c r="X138" s="318"/>
      <c r="Y138" s="318"/>
      <c r="Z138" s="318"/>
      <c r="AA138" s="318"/>
      <c r="AB138" s="318"/>
      <c r="AC138" s="318"/>
      <c r="AD138" s="318"/>
      <c r="AE138" s="318"/>
      <c r="AF138" s="318"/>
      <c r="AG138" s="318"/>
      <c r="AH138" s="318"/>
      <c r="AI138" s="318"/>
      <c r="AJ138" s="318"/>
      <c r="AK138" s="318"/>
      <c r="AL138" s="318"/>
      <c r="AM138" s="318"/>
    </row>
    <row r="139" spans="1:39" s="323" customFormat="1" ht="32.4" customHeight="1" x14ac:dyDescent="0.25">
      <c r="A139" s="635" t="s">
        <v>237</v>
      </c>
      <c r="B139" s="634" t="s">
        <v>276</v>
      </c>
      <c r="C139" s="620"/>
      <c r="D139" s="620"/>
      <c r="E139" s="629" t="str">
        <f t="shared" si="17"/>
        <v/>
      </c>
      <c r="F139" s="558"/>
      <c r="G139" s="547"/>
      <c r="H139" s="547"/>
      <c r="I139" s="547"/>
      <c r="J139" s="547"/>
      <c r="K139" s="547"/>
      <c r="L139" s="547"/>
      <c r="M139" s="318"/>
      <c r="N139" s="534"/>
      <c r="O139" s="318"/>
      <c r="P139" s="318"/>
      <c r="Q139" s="318"/>
      <c r="R139" s="318"/>
      <c r="S139" s="318"/>
      <c r="T139" s="318"/>
      <c r="U139" s="318"/>
      <c r="V139" s="318"/>
      <c r="W139" s="318"/>
      <c r="X139" s="318"/>
      <c r="Y139" s="318"/>
      <c r="Z139" s="318"/>
      <c r="AA139" s="318"/>
      <c r="AB139" s="318"/>
      <c r="AC139" s="318"/>
      <c r="AD139" s="318"/>
      <c r="AE139" s="318"/>
      <c r="AF139" s="318"/>
      <c r="AG139" s="318"/>
      <c r="AH139" s="318"/>
      <c r="AI139" s="318"/>
      <c r="AJ139" s="318"/>
      <c r="AK139" s="318"/>
      <c r="AL139" s="318"/>
      <c r="AM139" s="318"/>
    </row>
    <row r="140" spans="1:39" s="323" customFormat="1" ht="43.95" customHeight="1" x14ac:dyDescent="0.25">
      <c r="A140" s="635" t="s">
        <v>238</v>
      </c>
      <c r="B140" s="634" t="s">
        <v>282</v>
      </c>
      <c r="C140" s="620">
        <v>337206.36</v>
      </c>
      <c r="D140" s="620" t="s">
        <v>237</v>
      </c>
      <c r="E140" s="629">
        <f t="shared" si="17"/>
        <v>31</v>
      </c>
      <c r="F140" s="546">
        <v>337206.36</v>
      </c>
      <c r="G140" s="547">
        <v>0</v>
      </c>
      <c r="H140" s="547">
        <v>337206.36</v>
      </c>
      <c r="I140" s="550" t="s">
        <v>249</v>
      </c>
      <c r="J140" s="620" t="s">
        <v>298</v>
      </c>
      <c r="K140" s="646" t="s">
        <v>321</v>
      </c>
      <c r="L140" s="620"/>
      <c r="M140" s="534"/>
      <c r="N140" s="318"/>
      <c r="O140" s="318"/>
      <c r="P140" s="318"/>
      <c r="Q140" s="318"/>
      <c r="R140" s="318"/>
      <c r="S140" s="318"/>
      <c r="T140" s="318"/>
      <c r="U140" s="318"/>
      <c r="V140" s="318"/>
      <c r="W140" s="318"/>
      <c r="X140" s="318"/>
      <c r="Y140" s="318"/>
      <c r="Z140" s="318"/>
      <c r="AA140" s="318"/>
      <c r="AB140" s="318"/>
      <c r="AC140" s="318"/>
      <c r="AD140" s="318"/>
      <c r="AE140" s="318"/>
      <c r="AF140" s="318"/>
      <c r="AG140" s="318"/>
      <c r="AH140" s="318"/>
      <c r="AI140" s="318"/>
      <c r="AJ140" s="318"/>
      <c r="AK140" s="318"/>
      <c r="AL140" s="318"/>
    </row>
    <row r="141" spans="1:39" s="323" customFormat="1" ht="43.95" customHeight="1" x14ac:dyDescent="0.25">
      <c r="A141" s="635" t="s">
        <v>239</v>
      </c>
      <c r="B141" s="634" t="s">
        <v>279</v>
      </c>
      <c r="C141" s="620">
        <v>5040</v>
      </c>
      <c r="D141" s="620"/>
      <c r="E141" s="629" t="str">
        <f t="shared" si="17"/>
        <v/>
      </c>
      <c r="F141" s="546"/>
      <c r="G141" s="547"/>
      <c r="H141" s="547"/>
      <c r="I141" s="550"/>
      <c r="J141" s="620"/>
      <c r="K141" s="620"/>
      <c r="L141" s="620"/>
      <c r="M141" s="534"/>
      <c r="N141" s="318"/>
      <c r="O141" s="318"/>
      <c r="P141" s="318"/>
      <c r="Q141" s="318"/>
      <c r="R141" s="318"/>
      <c r="S141" s="318"/>
      <c r="T141" s="318"/>
      <c r="U141" s="318"/>
      <c r="V141" s="318"/>
      <c r="W141" s="318"/>
      <c r="X141" s="318"/>
      <c r="Y141" s="318"/>
      <c r="Z141" s="318"/>
      <c r="AA141" s="318"/>
      <c r="AB141" s="318"/>
      <c r="AC141" s="318"/>
      <c r="AD141" s="318"/>
      <c r="AE141" s="318"/>
      <c r="AF141" s="318"/>
      <c r="AG141" s="318"/>
      <c r="AH141" s="318"/>
      <c r="AI141" s="318"/>
      <c r="AJ141" s="318"/>
      <c r="AK141" s="318"/>
      <c r="AL141" s="318"/>
    </row>
    <row r="142" spans="1:39" s="323" customFormat="1" ht="43.95" customHeight="1" x14ac:dyDescent="0.25">
      <c r="A142" s="635" t="s">
        <v>240</v>
      </c>
      <c r="B142" s="634" t="s">
        <v>275</v>
      </c>
      <c r="C142" s="620">
        <v>40920.067115384612</v>
      </c>
      <c r="D142" s="620"/>
      <c r="E142" s="629" t="str">
        <f t="shared" ref="E142:E160" si="22">IFERROR(VALUE(MID(D142,2,LEN(D142)-1)),"")</f>
        <v/>
      </c>
      <c r="F142" s="546"/>
      <c r="G142" s="547"/>
      <c r="H142" s="547"/>
      <c r="I142" s="550"/>
      <c r="J142" s="620"/>
      <c r="K142" s="620"/>
      <c r="L142" s="620"/>
      <c r="M142" s="534"/>
      <c r="N142" s="318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  <c r="AA142" s="318"/>
      <c r="AB142" s="318"/>
      <c r="AC142" s="318"/>
      <c r="AD142" s="318"/>
      <c r="AE142" s="318"/>
      <c r="AF142" s="318"/>
      <c r="AG142" s="318"/>
      <c r="AH142" s="318"/>
      <c r="AI142" s="318"/>
      <c r="AJ142" s="318"/>
      <c r="AK142" s="318"/>
      <c r="AL142" s="318"/>
    </row>
    <row r="143" spans="1:39" s="323" customFormat="1" ht="43.95" customHeight="1" x14ac:dyDescent="0.25">
      <c r="A143" s="635" t="s">
        <v>285</v>
      </c>
      <c r="B143" s="634" t="s">
        <v>297</v>
      </c>
      <c r="C143" s="620">
        <v>108026.29200000002</v>
      </c>
      <c r="D143" s="620" t="s">
        <v>330</v>
      </c>
      <c r="E143" s="629">
        <f t="shared" si="22"/>
        <v>47</v>
      </c>
      <c r="F143" s="546">
        <v>120418.52706000002</v>
      </c>
      <c r="G143" s="547">
        <v>12392.235060000001</v>
      </c>
      <c r="H143" s="547">
        <v>108026.29200000002</v>
      </c>
      <c r="I143" s="550" t="s">
        <v>249</v>
      </c>
      <c r="J143" s="620" t="s">
        <v>334</v>
      </c>
      <c r="K143" s="620" t="s">
        <v>321</v>
      </c>
      <c r="L143" s="550"/>
      <c r="M143" s="534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8"/>
      <c r="Z143" s="318"/>
      <c r="AA143" s="318"/>
      <c r="AB143" s="318"/>
      <c r="AC143" s="318"/>
      <c r="AD143" s="318"/>
      <c r="AE143" s="318"/>
      <c r="AF143" s="318"/>
      <c r="AG143" s="318"/>
      <c r="AH143" s="318"/>
      <c r="AI143" s="318"/>
      <c r="AJ143" s="318"/>
      <c r="AK143" s="318"/>
      <c r="AL143" s="318"/>
    </row>
    <row r="144" spans="1:39" s="323" customFormat="1" ht="43.95" customHeight="1" x14ac:dyDescent="0.25">
      <c r="A144" s="635" t="s">
        <v>289</v>
      </c>
      <c r="B144" s="634" t="s">
        <v>300</v>
      </c>
      <c r="C144" s="620">
        <v>6116.26</v>
      </c>
      <c r="D144" s="620"/>
      <c r="E144" s="629" t="str">
        <f t="shared" si="22"/>
        <v/>
      </c>
      <c r="F144" s="546"/>
      <c r="G144" s="547"/>
      <c r="H144" s="547"/>
      <c r="I144" s="550"/>
      <c r="J144" s="620"/>
      <c r="K144" s="620"/>
      <c r="L144" s="620"/>
      <c r="M144" s="534"/>
      <c r="N144" s="318"/>
      <c r="O144" s="318"/>
      <c r="P144" s="318"/>
      <c r="Q144" s="318"/>
      <c r="R144" s="318"/>
      <c r="S144" s="318"/>
      <c r="T144" s="318"/>
      <c r="U144" s="318"/>
      <c r="V144" s="318"/>
      <c r="W144" s="318"/>
      <c r="X144" s="318"/>
      <c r="Y144" s="318"/>
      <c r="Z144" s="318"/>
      <c r="AA144" s="318"/>
      <c r="AB144" s="318"/>
      <c r="AC144" s="318"/>
      <c r="AD144" s="318"/>
      <c r="AE144" s="318"/>
      <c r="AF144" s="318"/>
      <c r="AG144" s="318"/>
      <c r="AH144" s="318"/>
      <c r="AI144" s="318"/>
      <c r="AJ144" s="318"/>
      <c r="AK144" s="318"/>
      <c r="AL144" s="318"/>
    </row>
    <row r="145" spans="1:38" s="323" customFormat="1" ht="43.95" customHeight="1" x14ac:dyDescent="0.25">
      <c r="A145" s="635" t="s">
        <v>302</v>
      </c>
      <c r="B145" s="634" t="s">
        <v>333</v>
      </c>
      <c r="C145" s="620">
        <v>142452.13</v>
      </c>
      <c r="D145" s="620"/>
      <c r="E145" s="629" t="str">
        <f t="shared" si="22"/>
        <v/>
      </c>
      <c r="F145" s="546"/>
      <c r="G145" s="547"/>
      <c r="H145" s="547"/>
      <c r="I145" s="550"/>
      <c r="J145" s="620"/>
      <c r="K145" s="620"/>
      <c r="L145" s="620"/>
      <c r="M145" s="534"/>
      <c r="N145" s="318"/>
      <c r="O145" s="318"/>
      <c r="P145" s="318"/>
      <c r="Q145" s="318"/>
      <c r="R145" s="318"/>
      <c r="S145" s="318"/>
      <c r="T145" s="318"/>
      <c r="U145" s="318"/>
      <c r="V145" s="318"/>
      <c r="W145" s="318"/>
      <c r="X145" s="318"/>
      <c r="Y145" s="318"/>
      <c r="Z145" s="318"/>
      <c r="AA145" s="318"/>
      <c r="AB145" s="318"/>
      <c r="AC145" s="318"/>
      <c r="AD145" s="318"/>
      <c r="AE145" s="318"/>
      <c r="AF145" s="318"/>
      <c r="AG145" s="318"/>
      <c r="AH145" s="318"/>
      <c r="AI145" s="318"/>
      <c r="AJ145" s="318"/>
      <c r="AK145" s="318"/>
      <c r="AL145" s="318"/>
    </row>
    <row r="146" spans="1:38" s="323" customFormat="1" ht="37.950000000000003" customHeight="1" x14ac:dyDescent="0.25">
      <c r="A146" s="635" t="s">
        <v>303</v>
      </c>
      <c r="B146" s="634" t="s">
        <v>349</v>
      </c>
      <c r="C146" s="620">
        <f>'Реєстр ДЦ '!E55</f>
        <v>8258.1</v>
      </c>
      <c r="D146" s="620" t="s">
        <v>344</v>
      </c>
      <c r="E146" s="629">
        <f t="shared" si="22"/>
        <v>59</v>
      </c>
      <c r="F146" s="546">
        <v>8258.1</v>
      </c>
      <c r="G146" s="547"/>
      <c r="H146" s="620">
        <v>8258.1</v>
      </c>
      <c r="I146" s="550" t="s">
        <v>249</v>
      </c>
      <c r="J146" s="620" t="s">
        <v>371</v>
      </c>
      <c r="K146" s="620" t="s">
        <v>321</v>
      </c>
      <c r="L146" s="547"/>
      <c r="M146" s="534"/>
      <c r="N146" s="318"/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  <c r="Z146" s="318"/>
      <c r="AA146" s="318"/>
      <c r="AB146" s="318"/>
      <c r="AC146" s="318"/>
      <c r="AD146" s="318"/>
      <c r="AE146" s="318"/>
      <c r="AF146" s="318"/>
      <c r="AG146" s="318"/>
      <c r="AH146" s="318"/>
      <c r="AI146" s="318"/>
      <c r="AJ146" s="318"/>
      <c r="AK146" s="318"/>
      <c r="AL146" s="318"/>
    </row>
    <row r="147" spans="1:38" s="323" customFormat="1" ht="31.8" customHeight="1" x14ac:dyDescent="0.25">
      <c r="A147" s="656" t="s">
        <v>304</v>
      </c>
      <c r="B147" s="647" t="s">
        <v>354</v>
      </c>
      <c r="C147" s="554"/>
      <c r="D147" s="620" t="s">
        <v>355</v>
      </c>
      <c r="E147" s="629">
        <f t="shared" si="22"/>
        <v>66</v>
      </c>
      <c r="F147" s="546">
        <v>646774</v>
      </c>
      <c r="G147" s="547"/>
      <c r="H147" s="620">
        <v>646774</v>
      </c>
      <c r="I147" s="550" t="s">
        <v>249</v>
      </c>
      <c r="J147" s="620" t="s">
        <v>371</v>
      </c>
      <c r="K147" s="620"/>
      <c r="L147" s="547"/>
      <c r="M147" s="534"/>
      <c r="N147" s="318"/>
      <c r="O147" s="318"/>
      <c r="P147" s="318"/>
      <c r="Q147" s="318"/>
      <c r="R147" s="318"/>
      <c r="S147" s="318"/>
      <c r="T147" s="318"/>
      <c r="U147" s="318"/>
      <c r="V147" s="318"/>
      <c r="W147" s="318"/>
      <c r="X147" s="318"/>
      <c r="Y147" s="318"/>
      <c r="Z147" s="318"/>
      <c r="AA147" s="318"/>
      <c r="AB147" s="318"/>
      <c r="AC147" s="318"/>
      <c r="AD147" s="318"/>
      <c r="AE147" s="318"/>
      <c r="AF147" s="318"/>
      <c r="AG147" s="318"/>
      <c r="AH147" s="318"/>
      <c r="AI147" s="318"/>
      <c r="AJ147" s="318"/>
      <c r="AK147" s="318"/>
      <c r="AL147" s="318"/>
    </row>
    <row r="148" spans="1:38" s="323" customFormat="1" ht="35.4" customHeight="1" x14ac:dyDescent="0.25">
      <c r="A148" s="658" t="s">
        <v>304</v>
      </c>
      <c r="B148" s="649"/>
      <c r="C148" s="650"/>
      <c r="D148" s="620" t="s">
        <v>379</v>
      </c>
      <c r="E148" s="629">
        <f t="shared" si="22"/>
        <v>76</v>
      </c>
      <c r="F148" s="546">
        <v>15700</v>
      </c>
      <c r="G148" s="547"/>
      <c r="H148" s="620">
        <v>15700</v>
      </c>
      <c r="I148" s="550" t="s">
        <v>249</v>
      </c>
      <c r="J148" s="646" t="s">
        <v>394</v>
      </c>
      <c r="K148" s="646"/>
      <c r="L148" s="547"/>
      <c r="M148" s="534"/>
      <c r="N148" s="318"/>
      <c r="O148" s="318"/>
      <c r="P148" s="318"/>
      <c r="Q148" s="318"/>
      <c r="R148" s="318"/>
      <c r="S148" s="318"/>
      <c r="T148" s="318"/>
      <c r="U148" s="318"/>
      <c r="V148" s="318"/>
      <c r="W148" s="318"/>
      <c r="X148" s="318"/>
      <c r="Y148" s="318"/>
      <c r="Z148" s="318"/>
      <c r="AA148" s="318"/>
      <c r="AB148" s="318"/>
      <c r="AC148" s="318"/>
      <c r="AD148" s="318"/>
      <c r="AE148" s="318"/>
      <c r="AF148" s="318"/>
      <c r="AG148" s="318"/>
      <c r="AH148" s="318"/>
      <c r="AI148" s="318"/>
      <c r="AJ148" s="318"/>
      <c r="AK148" s="318"/>
      <c r="AL148" s="318"/>
    </row>
    <row r="149" spans="1:38" s="323" customFormat="1" ht="37.950000000000003" customHeight="1" x14ac:dyDescent="0.25">
      <c r="A149" s="635" t="s">
        <v>305</v>
      </c>
      <c r="B149" s="634" t="s">
        <v>352</v>
      </c>
      <c r="C149" s="620"/>
      <c r="D149" s="620"/>
      <c r="E149" s="629" t="str">
        <f t="shared" si="22"/>
        <v/>
      </c>
      <c r="F149" s="546"/>
      <c r="G149" s="547"/>
      <c r="H149" s="546"/>
      <c r="I149" s="639"/>
      <c r="J149" s="620"/>
      <c r="K149" s="620"/>
      <c r="L149" s="547"/>
      <c r="M149" s="534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18"/>
      <c r="Z149" s="318"/>
      <c r="AA149" s="318"/>
      <c r="AB149" s="318"/>
      <c r="AC149" s="318"/>
      <c r="AD149" s="318"/>
      <c r="AE149" s="318"/>
      <c r="AF149" s="318"/>
      <c r="AG149" s="318"/>
      <c r="AH149" s="318"/>
      <c r="AI149" s="318"/>
      <c r="AJ149" s="318"/>
      <c r="AK149" s="318"/>
      <c r="AL149" s="318"/>
    </row>
    <row r="150" spans="1:38" s="323" customFormat="1" ht="37.950000000000003" customHeight="1" x14ac:dyDescent="0.25">
      <c r="A150" s="635" t="s">
        <v>307</v>
      </c>
      <c r="B150" s="634" t="s">
        <v>376</v>
      </c>
      <c r="C150" s="620"/>
      <c r="D150" s="620" t="s">
        <v>389</v>
      </c>
      <c r="E150" s="629">
        <f t="shared" si="22"/>
        <v>82</v>
      </c>
      <c r="F150" s="546">
        <v>24192.53</v>
      </c>
      <c r="G150" s="547"/>
      <c r="H150" s="620">
        <v>24192.53</v>
      </c>
      <c r="I150" s="550" t="s">
        <v>249</v>
      </c>
      <c r="J150" s="646" t="s">
        <v>394</v>
      </c>
      <c r="K150" s="646" t="s">
        <v>321</v>
      </c>
      <c r="L150" s="547"/>
      <c r="M150" s="534"/>
      <c r="N150" s="318"/>
      <c r="O150" s="318"/>
      <c r="P150" s="318"/>
      <c r="Q150" s="318"/>
      <c r="R150" s="318"/>
      <c r="S150" s="318"/>
      <c r="T150" s="318"/>
      <c r="U150" s="318"/>
      <c r="V150" s="318"/>
      <c r="W150" s="318"/>
      <c r="X150" s="318"/>
      <c r="Y150" s="318"/>
      <c r="Z150" s="318"/>
      <c r="AA150" s="318"/>
      <c r="AB150" s="318"/>
      <c r="AC150" s="318"/>
      <c r="AD150" s="318"/>
      <c r="AE150" s="318"/>
      <c r="AF150" s="318"/>
      <c r="AG150" s="318"/>
      <c r="AH150" s="318"/>
      <c r="AI150" s="318"/>
      <c r="AJ150" s="318"/>
      <c r="AK150" s="318"/>
      <c r="AL150" s="318"/>
    </row>
    <row r="151" spans="1:38" s="323" customFormat="1" ht="37.950000000000003" customHeight="1" x14ac:dyDescent="0.25">
      <c r="A151" s="635" t="s">
        <v>309</v>
      </c>
      <c r="B151" s="645" t="s">
        <v>368</v>
      </c>
      <c r="C151" s="646"/>
      <c r="D151" s="548" t="s">
        <v>408</v>
      </c>
      <c r="E151" s="629">
        <f t="shared" si="22"/>
        <v>91</v>
      </c>
      <c r="F151" s="546">
        <v>5670</v>
      </c>
      <c r="G151" s="547"/>
      <c r="H151" s="620">
        <v>5670</v>
      </c>
      <c r="I151" s="550" t="s">
        <v>249</v>
      </c>
      <c r="J151" s="646" t="s">
        <v>406</v>
      </c>
      <c r="K151" s="646" t="s">
        <v>321</v>
      </c>
      <c r="L151" s="547"/>
      <c r="M151" s="534"/>
      <c r="N151" s="318"/>
      <c r="O151" s="318"/>
      <c r="P151" s="318"/>
      <c r="Q151" s="318"/>
      <c r="R151" s="318"/>
      <c r="S151" s="318"/>
      <c r="T151" s="318"/>
      <c r="U151" s="318"/>
      <c r="V151" s="318"/>
      <c r="W151" s="318"/>
      <c r="X151" s="318"/>
      <c r="Y151" s="318"/>
      <c r="Z151" s="318"/>
      <c r="AA151" s="318"/>
      <c r="AB151" s="318"/>
      <c r="AC151" s="318"/>
      <c r="AD151" s="318"/>
      <c r="AE151" s="318"/>
      <c r="AF151" s="318"/>
      <c r="AG151" s="318"/>
      <c r="AH151" s="318"/>
      <c r="AI151" s="318"/>
      <c r="AJ151" s="318"/>
      <c r="AK151" s="318"/>
      <c r="AL151" s="318"/>
    </row>
    <row r="152" spans="1:38" s="323" customFormat="1" ht="37.950000000000003" customHeight="1" x14ac:dyDescent="0.25">
      <c r="A152" s="671" t="s">
        <v>327</v>
      </c>
      <c r="B152" s="675" t="s">
        <v>370</v>
      </c>
      <c r="C152" s="673">
        <v>120000</v>
      </c>
      <c r="D152" s="664" t="s">
        <v>390</v>
      </c>
      <c r="E152" s="629">
        <f t="shared" si="22"/>
        <v>83</v>
      </c>
      <c r="F152" s="546">
        <v>111272.5</v>
      </c>
      <c r="G152" s="547"/>
      <c r="H152" s="620">
        <v>111272.5</v>
      </c>
      <c r="I152" s="550" t="s">
        <v>249</v>
      </c>
      <c r="J152" s="646" t="s">
        <v>406</v>
      </c>
      <c r="K152" s="646" t="s">
        <v>321</v>
      </c>
      <c r="L152" s="547"/>
      <c r="M152" s="534"/>
      <c r="N152" s="318"/>
      <c r="O152" s="318"/>
      <c r="P152" s="318"/>
      <c r="Q152" s="318"/>
      <c r="R152" s="318"/>
      <c r="S152" s="318"/>
      <c r="T152" s="318"/>
      <c r="U152" s="318"/>
      <c r="V152" s="318"/>
      <c r="W152" s="318"/>
      <c r="X152" s="318"/>
      <c r="Y152" s="318"/>
      <c r="Z152" s="318"/>
      <c r="AA152" s="318"/>
      <c r="AB152" s="318"/>
      <c r="AC152" s="318"/>
      <c r="AD152" s="318"/>
      <c r="AE152" s="318"/>
      <c r="AF152" s="318"/>
      <c r="AG152" s="318"/>
      <c r="AH152" s="318"/>
      <c r="AI152" s="318"/>
      <c r="AJ152" s="318"/>
      <c r="AK152" s="318"/>
      <c r="AL152" s="318"/>
    </row>
    <row r="153" spans="1:38" s="323" customFormat="1" ht="37.950000000000003" customHeight="1" x14ac:dyDescent="0.25">
      <c r="A153" s="671" t="s">
        <v>327</v>
      </c>
      <c r="B153" s="676"/>
      <c r="C153" s="677"/>
      <c r="D153" s="713" t="s">
        <v>508</v>
      </c>
      <c r="E153" s="629">
        <f t="shared" ref="E153" si="23">IFERROR(VALUE(MID(D153,2,LEN(D153)-1)),"")</f>
        <v>155</v>
      </c>
      <c r="F153" s="546">
        <v>4500</v>
      </c>
      <c r="G153" s="547"/>
      <c r="H153" s="620">
        <v>4500</v>
      </c>
      <c r="I153" s="550"/>
      <c r="J153" s="646"/>
      <c r="K153" s="646"/>
      <c r="L153" s="547" t="s">
        <v>498</v>
      </c>
      <c r="M153" s="534"/>
      <c r="N153" s="318"/>
      <c r="O153" s="318"/>
      <c r="P153" s="318"/>
      <c r="Q153" s="318"/>
      <c r="R153" s="318"/>
      <c r="S153" s="318"/>
      <c r="T153" s="318"/>
      <c r="U153" s="318"/>
      <c r="V153" s="318"/>
      <c r="W153" s="318"/>
      <c r="X153" s="318"/>
      <c r="Y153" s="318"/>
      <c r="Z153" s="318"/>
      <c r="AA153" s="318"/>
      <c r="AB153" s="318"/>
      <c r="AC153" s="318"/>
      <c r="AD153" s="318"/>
      <c r="AE153" s="318"/>
      <c r="AF153" s="318"/>
      <c r="AG153" s="318"/>
      <c r="AH153" s="318"/>
      <c r="AI153" s="318"/>
      <c r="AJ153" s="318"/>
      <c r="AK153" s="318"/>
      <c r="AL153" s="318"/>
    </row>
    <row r="154" spans="1:38" s="323" customFormat="1" ht="37.950000000000003" customHeight="1" x14ac:dyDescent="0.25">
      <c r="A154" s="635" t="s">
        <v>328</v>
      </c>
      <c r="B154" s="672" t="s">
        <v>372</v>
      </c>
      <c r="C154" s="674">
        <v>20736.719333333334</v>
      </c>
      <c r="D154" s="548" t="s">
        <v>398</v>
      </c>
      <c r="E154" s="629">
        <f t="shared" si="22"/>
        <v>87</v>
      </c>
      <c r="F154" s="546">
        <v>19339.953333333331</v>
      </c>
      <c r="G154" s="547"/>
      <c r="H154" s="620">
        <v>19339.953333333331</v>
      </c>
      <c r="I154" s="550" t="s">
        <v>249</v>
      </c>
      <c r="J154" s="646" t="s">
        <v>417</v>
      </c>
      <c r="K154" s="620" t="s">
        <v>321</v>
      </c>
      <c r="L154" s="547"/>
      <c r="M154" s="534"/>
      <c r="N154" s="318"/>
      <c r="O154" s="318"/>
      <c r="P154" s="318"/>
      <c r="Q154" s="318"/>
      <c r="R154" s="318"/>
      <c r="S154" s="318"/>
      <c r="T154" s="318"/>
      <c r="U154" s="318"/>
      <c r="V154" s="318"/>
      <c r="W154" s="318"/>
      <c r="X154" s="318"/>
      <c r="Y154" s="318"/>
      <c r="Z154" s="318"/>
      <c r="AA154" s="318"/>
      <c r="AB154" s="318"/>
      <c r="AC154" s="318"/>
      <c r="AD154" s="318"/>
      <c r="AE154" s="318"/>
      <c r="AF154" s="318"/>
      <c r="AG154" s="318"/>
      <c r="AH154" s="318"/>
      <c r="AI154" s="318"/>
      <c r="AJ154" s="318"/>
      <c r="AK154" s="318"/>
      <c r="AL154" s="318"/>
    </row>
    <row r="155" spans="1:38" s="323" customFormat="1" ht="37.950000000000003" customHeight="1" x14ac:dyDescent="0.25">
      <c r="A155" s="635" t="s">
        <v>329</v>
      </c>
      <c r="B155" s="645" t="s">
        <v>373</v>
      </c>
      <c r="C155" s="646">
        <v>108679.85</v>
      </c>
      <c r="D155" s="548" t="s">
        <v>470</v>
      </c>
      <c r="E155" s="629">
        <f t="shared" si="22"/>
        <v>132</v>
      </c>
      <c r="F155" s="546">
        <v>116225.5</v>
      </c>
      <c r="G155" s="547"/>
      <c r="H155" s="620">
        <v>116225.5</v>
      </c>
      <c r="I155" s="550" t="s">
        <v>249</v>
      </c>
      <c r="J155" s="646" t="s">
        <v>481</v>
      </c>
      <c r="K155" s="646" t="s">
        <v>321</v>
      </c>
      <c r="L155" s="547"/>
      <c r="M155" s="534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18"/>
      <c r="Z155" s="318"/>
      <c r="AA155" s="318"/>
      <c r="AB155" s="318"/>
      <c r="AC155" s="318"/>
      <c r="AD155" s="318"/>
      <c r="AE155" s="318"/>
      <c r="AF155" s="318"/>
      <c r="AG155" s="318"/>
      <c r="AH155" s="318"/>
      <c r="AI155" s="318"/>
      <c r="AJ155" s="318"/>
      <c r="AK155" s="318"/>
      <c r="AL155" s="318"/>
    </row>
    <row r="156" spans="1:38" s="323" customFormat="1" ht="37.950000000000003" customHeight="1" x14ac:dyDescent="0.25">
      <c r="A156" s="671" t="s">
        <v>330</v>
      </c>
      <c r="B156" s="675" t="s">
        <v>375</v>
      </c>
      <c r="C156" s="673">
        <v>315020.03088571428</v>
      </c>
      <c r="D156" s="664" t="s">
        <v>411</v>
      </c>
      <c r="E156" s="629">
        <f t="shared" si="22"/>
        <v>92</v>
      </c>
      <c r="F156" s="546">
        <v>229503.26231428573</v>
      </c>
      <c r="G156" s="547"/>
      <c r="H156" s="620">
        <v>229503.26231428573</v>
      </c>
      <c r="I156" s="550" t="s">
        <v>249</v>
      </c>
      <c r="J156" s="646" t="s">
        <v>417</v>
      </c>
      <c r="K156" s="646" t="s">
        <v>321</v>
      </c>
      <c r="L156" s="547"/>
      <c r="M156" s="534"/>
      <c r="N156" s="318"/>
      <c r="O156" s="318"/>
      <c r="P156" s="318"/>
      <c r="Q156" s="318"/>
      <c r="R156" s="318"/>
      <c r="S156" s="318"/>
      <c r="T156" s="318"/>
      <c r="U156" s="318"/>
      <c r="V156" s="318"/>
      <c r="W156" s="318"/>
      <c r="X156" s="318"/>
      <c r="Y156" s="318"/>
      <c r="Z156" s="318"/>
      <c r="AA156" s="318"/>
      <c r="AB156" s="318"/>
      <c r="AC156" s="318"/>
      <c r="AD156" s="318"/>
      <c r="AE156" s="318"/>
      <c r="AF156" s="318"/>
      <c r="AG156" s="318"/>
      <c r="AH156" s="318"/>
      <c r="AI156" s="318"/>
      <c r="AJ156" s="318"/>
      <c r="AK156" s="318"/>
      <c r="AL156" s="318"/>
    </row>
    <row r="157" spans="1:38" s="323" customFormat="1" ht="37.950000000000003" customHeight="1" x14ac:dyDescent="0.25">
      <c r="A157" s="671" t="s">
        <v>330</v>
      </c>
      <c r="B157" s="676"/>
      <c r="C157" s="677"/>
      <c r="D157" s="664" t="s">
        <v>431</v>
      </c>
      <c r="E157" s="629">
        <f t="shared" ref="E157" si="24">IFERROR(VALUE(MID(D157,2,LEN(D157)-1)),"")</f>
        <v>102</v>
      </c>
      <c r="F157" s="546">
        <v>44001.440000000002</v>
      </c>
      <c r="G157" s="547"/>
      <c r="H157" s="620">
        <v>44001.440000000002</v>
      </c>
      <c r="I157" s="620" t="s">
        <v>202</v>
      </c>
      <c r="J157" s="646" t="s">
        <v>432</v>
      </c>
      <c r="K157" s="646" t="s">
        <v>321</v>
      </c>
      <c r="L157" s="547"/>
      <c r="M157" s="534"/>
      <c r="N157" s="318"/>
      <c r="O157" s="318"/>
      <c r="P157" s="318"/>
      <c r="Q157" s="318"/>
      <c r="R157" s="318"/>
      <c r="S157" s="318"/>
      <c r="T157" s="318"/>
      <c r="U157" s="318"/>
      <c r="V157" s="318"/>
      <c r="W157" s="318"/>
      <c r="X157" s="318"/>
      <c r="Y157" s="318"/>
      <c r="Z157" s="318"/>
      <c r="AA157" s="318"/>
      <c r="AB157" s="318"/>
      <c r="AC157" s="318"/>
      <c r="AD157" s="318"/>
      <c r="AE157" s="318"/>
      <c r="AF157" s="318"/>
      <c r="AG157" s="318"/>
      <c r="AH157" s="318"/>
      <c r="AI157" s="318"/>
      <c r="AJ157" s="318"/>
      <c r="AK157" s="318"/>
      <c r="AL157" s="318"/>
    </row>
    <row r="158" spans="1:38" s="323" customFormat="1" ht="37.950000000000003" customHeight="1" x14ac:dyDescent="0.25">
      <c r="A158" s="635" t="s">
        <v>331</v>
      </c>
      <c r="B158" s="672" t="s">
        <v>386</v>
      </c>
      <c r="C158" s="674">
        <v>64000</v>
      </c>
      <c r="D158" s="548" t="s">
        <v>419</v>
      </c>
      <c r="E158" s="629">
        <f t="shared" si="22"/>
        <v>99</v>
      </c>
      <c r="F158" s="546">
        <v>63889.68</v>
      </c>
      <c r="G158" s="547"/>
      <c r="H158" s="620">
        <v>63889.68</v>
      </c>
      <c r="I158" s="620" t="s">
        <v>202</v>
      </c>
      <c r="J158" s="646" t="s">
        <v>432</v>
      </c>
      <c r="K158" s="646" t="s">
        <v>321</v>
      </c>
      <c r="L158" s="547"/>
      <c r="M158" s="534"/>
      <c r="N158" s="318"/>
      <c r="O158" s="318"/>
      <c r="P158" s="318"/>
      <c r="Q158" s="318"/>
      <c r="R158" s="318"/>
      <c r="S158" s="318"/>
      <c r="T158" s="318"/>
      <c r="U158" s="318"/>
      <c r="V158" s="318"/>
      <c r="W158" s="318"/>
      <c r="X158" s="318"/>
      <c r="Y158" s="318"/>
      <c r="Z158" s="318"/>
      <c r="AA158" s="318"/>
      <c r="AB158" s="318"/>
      <c r="AC158" s="318"/>
      <c r="AD158" s="318"/>
      <c r="AE158" s="318"/>
      <c r="AF158" s="318"/>
      <c r="AG158" s="318"/>
      <c r="AH158" s="318"/>
      <c r="AI158" s="318"/>
      <c r="AJ158" s="318"/>
      <c r="AK158" s="318"/>
      <c r="AL158" s="318"/>
    </row>
    <row r="159" spans="1:38" s="323" customFormat="1" ht="37.950000000000003" customHeight="1" x14ac:dyDescent="0.25">
      <c r="A159" s="635" t="s">
        <v>332</v>
      </c>
      <c r="B159" s="634" t="s">
        <v>388</v>
      </c>
      <c r="C159" s="620">
        <v>63217.29</v>
      </c>
      <c r="D159" s="548" t="s">
        <v>403</v>
      </c>
      <c r="E159" s="629">
        <f t="shared" si="22"/>
        <v>89</v>
      </c>
      <c r="F159" s="546">
        <v>63217.29</v>
      </c>
      <c r="G159" s="547"/>
      <c r="H159" s="620">
        <v>63217.29</v>
      </c>
      <c r="I159" s="550" t="s">
        <v>249</v>
      </c>
      <c r="J159" s="646" t="s">
        <v>406</v>
      </c>
      <c r="K159" s="620" t="s">
        <v>321</v>
      </c>
      <c r="L159" s="547"/>
      <c r="M159" s="534"/>
      <c r="N159" s="318"/>
      <c r="O159" s="318"/>
      <c r="P159" s="318"/>
      <c r="Q159" s="318"/>
      <c r="R159" s="318"/>
      <c r="S159" s="318"/>
      <c r="T159" s="318"/>
      <c r="U159" s="318"/>
      <c r="V159" s="318"/>
      <c r="W159" s="318"/>
      <c r="X159" s="318"/>
      <c r="Y159" s="318"/>
      <c r="Z159" s="318"/>
      <c r="AA159" s="318"/>
      <c r="AB159" s="318"/>
      <c r="AC159" s="318"/>
      <c r="AD159" s="318"/>
      <c r="AE159" s="318"/>
      <c r="AF159" s="318"/>
      <c r="AG159" s="318"/>
      <c r="AH159" s="318"/>
      <c r="AI159" s="318"/>
      <c r="AJ159" s="318"/>
      <c r="AK159" s="318"/>
      <c r="AL159" s="318"/>
    </row>
    <row r="160" spans="1:38" s="323" customFormat="1" ht="37.950000000000003" customHeight="1" x14ac:dyDescent="0.25">
      <c r="A160" s="635" t="s">
        <v>335</v>
      </c>
      <c r="B160" s="634" t="s">
        <v>393</v>
      </c>
      <c r="C160" s="620">
        <v>17140.37</v>
      </c>
      <c r="D160" s="548" t="s">
        <v>423</v>
      </c>
      <c r="E160" s="629">
        <f t="shared" si="22"/>
        <v>103</v>
      </c>
      <c r="F160" s="546">
        <v>15762.599999999999</v>
      </c>
      <c r="G160" s="547"/>
      <c r="H160" s="620">
        <v>15762.599999999999</v>
      </c>
      <c r="I160" s="620" t="s">
        <v>202</v>
      </c>
      <c r="J160" s="646" t="s">
        <v>432</v>
      </c>
      <c r="K160" s="646" t="s">
        <v>321</v>
      </c>
      <c r="L160" s="547"/>
      <c r="M160" s="534"/>
      <c r="N160" s="318"/>
      <c r="O160" s="318"/>
      <c r="P160" s="318"/>
      <c r="Q160" s="318"/>
      <c r="R160" s="318"/>
      <c r="S160" s="318"/>
      <c r="T160" s="318"/>
      <c r="U160" s="318"/>
      <c r="V160" s="318"/>
      <c r="W160" s="318"/>
      <c r="X160" s="318"/>
      <c r="Y160" s="318"/>
      <c r="Z160" s="318"/>
      <c r="AA160" s="318"/>
      <c r="AB160" s="318"/>
      <c r="AC160" s="318"/>
      <c r="AD160" s="318"/>
      <c r="AE160" s="318"/>
      <c r="AF160" s="318"/>
      <c r="AG160" s="318"/>
      <c r="AH160" s="318"/>
      <c r="AI160" s="318"/>
      <c r="AJ160" s="318"/>
      <c r="AK160" s="318"/>
      <c r="AL160" s="318"/>
    </row>
    <row r="161" spans="1:38" s="323" customFormat="1" ht="37.950000000000003" customHeight="1" x14ac:dyDescent="0.25">
      <c r="A161" s="635" t="s">
        <v>336</v>
      </c>
      <c r="B161" s="634" t="s">
        <v>397</v>
      </c>
      <c r="C161" s="620"/>
      <c r="D161" s="548" t="s">
        <v>407</v>
      </c>
      <c r="E161" s="629">
        <f t="shared" ref="E161:E167" si="25">IFERROR(VALUE(MID(D161,2,LEN(D161)-1)),"")</f>
        <v>90</v>
      </c>
      <c r="F161" s="546">
        <v>72225.63</v>
      </c>
      <c r="G161" s="547"/>
      <c r="H161" s="620">
        <v>72225.63</v>
      </c>
      <c r="I161" s="550" t="s">
        <v>249</v>
      </c>
      <c r="J161" s="646" t="s">
        <v>406</v>
      </c>
      <c r="K161" s="646" t="s">
        <v>321</v>
      </c>
      <c r="L161" s="547"/>
      <c r="M161" s="534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18"/>
      <c r="Z161" s="318"/>
      <c r="AA161" s="318"/>
      <c r="AB161" s="318"/>
      <c r="AC161" s="318"/>
      <c r="AD161" s="318"/>
      <c r="AE161" s="318"/>
      <c r="AF161" s="318"/>
      <c r="AG161" s="318"/>
      <c r="AH161" s="318"/>
      <c r="AI161" s="318"/>
      <c r="AJ161" s="318"/>
      <c r="AK161" s="318"/>
      <c r="AL161" s="318"/>
    </row>
    <row r="162" spans="1:38" s="323" customFormat="1" ht="37.950000000000003" customHeight="1" x14ac:dyDescent="0.25">
      <c r="A162" s="635" t="s">
        <v>337</v>
      </c>
      <c r="B162" s="634" t="s">
        <v>400</v>
      </c>
      <c r="C162" s="620">
        <v>23023.89</v>
      </c>
      <c r="D162" s="548" t="s">
        <v>425</v>
      </c>
      <c r="E162" s="629">
        <f t="shared" si="25"/>
        <v>105</v>
      </c>
      <c r="F162" s="546">
        <v>23023.89</v>
      </c>
      <c r="G162" s="547"/>
      <c r="H162" s="620">
        <v>23023.89</v>
      </c>
      <c r="I162" s="620" t="s">
        <v>202</v>
      </c>
      <c r="J162" s="646" t="s">
        <v>432</v>
      </c>
      <c r="K162" s="646" t="s">
        <v>321</v>
      </c>
      <c r="L162" s="547"/>
      <c r="M162" s="534"/>
      <c r="N162" s="318"/>
      <c r="O162" s="318"/>
      <c r="P162" s="318"/>
      <c r="Q162" s="318"/>
      <c r="R162" s="318"/>
      <c r="S162" s="318"/>
      <c r="T162" s="318"/>
      <c r="U162" s="318"/>
      <c r="V162" s="318"/>
      <c r="W162" s="318"/>
      <c r="X162" s="318"/>
      <c r="Y162" s="318"/>
      <c r="Z162" s="318"/>
      <c r="AA162" s="318"/>
      <c r="AB162" s="318"/>
      <c r="AC162" s="318"/>
      <c r="AD162" s="318"/>
      <c r="AE162" s="318"/>
      <c r="AF162" s="318"/>
      <c r="AG162" s="318"/>
      <c r="AH162" s="318"/>
      <c r="AI162" s="318"/>
      <c r="AJ162" s="318"/>
      <c r="AK162" s="318"/>
      <c r="AL162" s="318"/>
    </row>
    <row r="163" spans="1:38" s="323" customFormat="1" ht="37.950000000000003" customHeight="1" x14ac:dyDescent="0.25">
      <c r="A163" s="635" t="s">
        <v>338</v>
      </c>
      <c r="B163" s="634" t="s">
        <v>401</v>
      </c>
      <c r="C163" s="620">
        <v>227922.04</v>
      </c>
      <c r="D163" s="620"/>
      <c r="E163" s="629" t="str">
        <f t="shared" si="25"/>
        <v/>
      </c>
      <c r="F163" s="546"/>
      <c r="G163" s="547"/>
      <c r="H163" s="546"/>
      <c r="I163" s="639"/>
      <c r="J163" s="646"/>
      <c r="K163" s="646"/>
      <c r="L163" s="547"/>
      <c r="M163" s="534"/>
      <c r="N163" s="318"/>
      <c r="O163" s="318"/>
      <c r="P163" s="318"/>
      <c r="Q163" s="318"/>
      <c r="R163" s="318"/>
      <c r="S163" s="318"/>
      <c r="T163" s="318"/>
      <c r="U163" s="318"/>
      <c r="V163" s="318"/>
      <c r="W163" s="318"/>
      <c r="X163" s="318"/>
      <c r="Y163" s="318"/>
      <c r="Z163" s="318"/>
      <c r="AA163" s="318"/>
      <c r="AB163" s="318"/>
      <c r="AC163" s="318"/>
      <c r="AD163" s="318"/>
      <c r="AE163" s="318"/>
      <c r="AF163" s="318"/>
      <c r="AG163" s="318"/>
      <c r="AH163" s="318"/>
      <c r="AI163" s="318"/>
      <c r="AJ163" s="318"/>
      <c r="AK163" s="318"/>
      <c r="AL163" s="318"/>
    </row>
    <row r="164" spans="1:38" s="323" customFormat="1" ht="37.950000000000003" customHeight="1" x14ac:dyDescent="0.25">
      <c r="A164" s="635" t="s">
        <v>339</v>
      </c>
      <c r="B164" s="634" t="s">
        <v>402</v>
      </c>
      <c r="C164" s="620">
        <v>107483.784</v>
      </c>
      <c r="D164" s="664" t="s">
        <v>442</v>
      </c>
      <c r="E164" s="629">
        <f t="shared" si="25"/>
        <v>113</v>
      </c>
      <c r="F164" s="546">
        <v>110477.484</v>
      </c>
      <c r="G164" s="547"/>
      <c r="H164" s="620">
        <v>110477.484</v>
      </c>
      <c r="I164" s="620" t="s">
        <v>202</v>
      </c>
      <c r="J164" s="646" t="s">
        <v>445</v>
      </c>
      <c r="K164" s="646" t="s">
        <v>321</v>
      </c>
      <c r="L164" s="547"/>
      <c r="M164" s="534"/>
      <c r="N164" s="318"/>
      <c r="O164" s="318"/>
      <c r="P164" s="318"/>
      <c r="Q164" s="318"/>
      <c r="R164" s="318"/>
      <c r="S164" s="318"/>
      <c r="T164" s="318"/>
      <c r="U164" s="318"/>
      <c r="V164" s="318"/>
      <c r="W164" s="318"/>
      <c r="X164" s="318"/>
      <c r="Y164" s="318"/>
      <c r="Z164" s="318"/>
      <c r="AA164" s="318"/>
      <c r="AB164" s="318"/>
      <c r="AC164" s="318"/>
      <c r="AD164" s="318"/>
      <c r="AE164" s="318"/>
      <c r="AF164" s="318"/>
      <c r="AG164" s="318"/>
      <c r="AH164" s="318"/>
      <c r="AI164" s="318"/>
      <c r="AJ164" s="318"/>
      <c r="AK164" s="318"/>
      <c r="AL164" s="318"/>
    </row>
    <row r="165" spans="1:38" s="323" customFormat="1" ht="37.950000000000003" customHeight="1" x14ac:dyDescent="0.25">
      <c r="A165" s="635" t="s">
        <v>340</v>
      </c>
      <c r="B165" s="634" t="s">
        <v>405</v>
      </c>
      <c r="C165" s="620">
        <v>27150</v>
      </c>
      <c r="D165" s="548" t="s">
        <v>412</v>
      </c>
      <c r="E165" s="629">
        <f t="shared" si="25"/>
        <v>93</v>
      </c>
      <c r="F165" s="546">
        <v>27150</v>
      </c>
      <c r="G165" s="547"/>
      <c r="H165" s="620">
        <v>27150</v>
      </c>
      <c r="I165" s="550" t="s">
        <v>249</v>
      </c>
      <c r="J165" s="646" t="s">
        <v>417</v>
      </c>
      <c r="K165" s="646" t="s">
        <v>321</v>
      </c>
      <c r="L165" s="547"/>
      <c r="M165" s="534"/>
      <c r="N165" s="318"/>
      <c r="O165" s="318"/>
      <c r="P165" s="318"/>
      <c r="Q165" s="318"/>
      <c r="R165" s="318"/>
      <c r="S165" s="318"/>
      <c r="T165" s="318"/>
      <c r="U165" s="318"/>
      <c r="V165" s="318"/>
      <c r="W165" s="318"/>
      <c r="X165" s="318"/>
      <c r="Y165" s="318"/>
      <c r="Z165" s="318"/>
      <c r="AA165" s="318"/>
      <c r="AB165" s="318"/>
      <c r="AC165" s="318"/>
      <c r="AD165" s="318"/>
      <c r="AE165" s="318"/>
      <c r="AF165" s="318"/>
      <c r="AG165" s="318"/>
      <c r="AH165" s="318"/>
      <c r="AI165" s="318"/>
      <c r="AJ165" s="318"/>
      <c r="AK165" s="318"/>
      <c r="AL165" s="318"/>
    </row>
    <row r="166" spans="1:38" s="323" customFormat="1" ht="37.950000000000003" customHeight="1" x14ac:dyDescent="0.25">
      <c r="A166" s="635" t="s">
        <v>341</v>
      </c>
      <c r="B166" s="634" t="s">
        <v>413</v>
      </c>
      <c r="C166" s="620">
        <v>82388</v>
      </c>
      <c r="D166" s="548"/>
      <c r="E166" s="629" t="str">
        <f t="shared" si="25"/>
        <v/>
      </c>
      <c r="F166" s="546"/>
      <c r="G166" s="547"/>
      <c r="H166" s="620"/>
      <c r="I166" s="550"/>
      <c r="J166" s="646"/>
      <c r="K166" s="646"/>
      <c r="L166" s="547"/>
      <c r="M166" s="534"/>
      <c r="N166" s="318"/>
      <c r="O166" s="318"/>
      <c r="P166" s="318"/>
      <c r="Q166" s="318"/>
      <c r="R166" s="318"/>
      <c r="S166" s="318"/>
      <c r="T166" s="318"/>
      <c r="U166" s="318"/>
      <c r="V166" s="318"/>
      <c r="W166" s="318"/>
      <c r="X166" s="318"/>
      <c r="Y166" s="318"/>
      <c r="Z166" s="318"/>
      <c r="AA166" s="318"/>
      <c r="AB166" s="318"/>
      <c r="AC166" s="318"/>
      <c r="AD166" s="318"/>
      <c r="AE166" s="318"/>
      <c r="AF166" s="318"/>
      <c r="AG166" s="318"/>
      <c r="AH166" s="318"/>
      <c r="AI166" s="318"/>
      <c r="AJ166" s="318"/>
      <c r="AK166" s="318"/>
      <c r="AL166" s="318"/>
    </row>
    <row r="167" spans="1:38" s="323" customFormat="1" ht="37.950000000000003" customHeight="1" x14ac:dyDescent="0.25">
      <c r="A167" s="635" t="s">
        <v>342</v>
      </c>
      <c r="B167" s="634" t="s">
        <v>418</v>
      </c>
      <c r="C167" s="620">
        <v>799800</v>
      </c>
      <c r="D167" s="548"/>
      <c r="E167" s="629" t="str">
        <f t="shared" si="25"/>
        <v/>
      </c>
      <c r="F167" s="546"/>
      <c r="G167" s="547"/>
      <c r="H167" s="620"/>
      <c r="I167" s="550"/>
      <c r="J167" s="646"/>
      <c r="K167" s="646"/>
      <c r="L167" s="547"/>
      <c r="M167" s="534"/>
      <c r="N167" s="318"/>
      <c r="O167" s="318"/>
      <c r="P167" s="318"/>
      <c r="Q167" s="318"/>
      <c r="R167" s="318"/>
      <c r="S167" s="318"/>
      <c r="T167" s="318"/>
      <c r="U167" s="318"/>
      <c r="V167" s="318"/>
      <c r="W167" s="318"/>
      <c r="X167" s="318"/>
      <c r="Y167" s="318"/>
      <c r="Z167" s="318"/>
      <c r="AA167" s="318"/>
      <c r="AB167" s="318"/>
      <c r="AC167" s="318"/>
      <c r="AD167" s="318"/>
      <c r="AE167" s="318"/>
      <c r="AF167" s="318"/>
      <c r="AG167" s="318"/>
      <c r="AH167" s="318"/>
      <c r="AI167" s="318"/>
      <c r="AJ167" s="318"/>
      <c r="AK167" s="318"/>
      <c r="AL167" s="318"/>
    </row>
    <row r="168" spans="1:38" s="323" customFormat="1" ht="37.950000000000003" customHeight="1" x14ac:dyDescent="0.25">
      <c r="A168" s="635" t="s">
        <v>343</v>
      </c>
      <c r="B168" s="634" t="s">
        <v>455</v>
      </c>
      <c r="C168" s="620">
        <v>15510</v>
      </c>
      <c r="D168" s="548" t="s">
        <v>459</v>
      </c>
      <c r="E168" s="629">
        <f>IFERROR(VALUE(MID(D168,2,LEN(D168)-1)),"")</f>
        <v>125</v>
      </c>
      <c r="F168" s="546">
        <v>15510</v>
      </c>
      <c r="G168" s="547"/>
      <c r="H168" s="620">
        <v>15510</v>
      </c>
      <c r="I168" s="550" t="s">
        <v>249</v>
      </c>
      <c r="J168" s="703">
        <v>45610</v>
      </c>
      <c r="K168" s="646" t="s">
        <v>321</v>
      </c>
      <c r="L168" s="547"/>
      <c r="M168" s="534"/>
      <c r="N168" s="318"/>
      <c r="O168" s="318"/>
      <c r="P168" s="318"/>
      <c r="Q168" s="318"/>
      <c r="R168" s="318"/>
      <c r="S168" s="318"/>
      <c r="T168" s="318"/>
      <c r="U168" s="318"/>
      <c r="V168" s="318"/>
      <c r="W168" s="318"/>
      <c r="X168" s="318"/>
      <c r="Y168" s="318"/>
      <c r="Z168" s="318"/>
      <c r="AA168" s="318"/>
      <c r="AB168" s="318"/>
      <c r="AC168" s="318"/>
      <c r="AD168" s="318"/>
      <c r="AE168" s="318"/>
      <c r="AF168" s="318"/>
      <c r="AG168" s="318"/>
      <c r="AH168" s="318"/>
      <c r="AI168" s="318"/>
      <c r="AJ168" s="318"/>
      <c r="AK168" s="318"/>
      <c r="AL168" s="318"/>
    </row>
    <row r="169" spans="1:38" s="323" customFormat="1" ht="37.950000000000003" customHeight="1" x14ac:dyDescent="0.25">
      <c r="A169" s="635" t="s">
        <v>344</v>
      </c>
      <c r="B169" s="634" t="s">
        <v>457</v>
      </c>
      <c r="C169" s="620"/>
      <c r="D169" s="548" t="s">
        <v>463</v>
      </c>
      <c r="E169" s="629">
        <f>IFERROR(VALUE(MID(D169,2,LEN(D169)-1)),"")</f>
        <v>127</v>
      </c>
      <c r="F169" s="546">
        <v>113715</v>
      </c>
      <c r="G169" s="547"/>
      <c r="H169" s="620">
        <v>113715</v>
      </c>
      <c r="I169" s="550" t="s">
        <v>249</v>
      </c>
      <c r="J169" s="703">
        <v>45611</v>
      </c>
      <c r="K169" s="646" t="s">
        <v>321</v>
      </c>
      <c r="L169" s="700"/>
      <c r="M169" s="534"/>
      <c r="N169" s="318"/>
      <c r="O169" s="318"/>
      <c r="P169" s="318"/>
      <c r="Q169" s="318"/>
      <c r="R169" s="318"/>
      <c r="S169" s="318"/>
      <c r="T169" s="318"/>
      <c r="U169" s="318"/>
      <c r="V169" s="318"/>
      <c r="W169" s="318"/>
      <c r="X169" s="318"/>
      <c r="Y169" s="318"/>
      <c r="Z169" s="318"/>
      <c r="AA169" s="318"/>
      <c r="AB169" s="318"/>
      <c r="AC169" s="318"/>
      <c r="AD169" s="318"/>
      <c r="AE169" s="318"/>
      <c r="AF169" s="318"/>
      <c r="AG169" s="318"/>
      <c r="AH169" s="318"/>
      <c r="AI169" s="318"/>
      <c r="AJ169" s="318"/>
      <c r="AK169" s="318"/>
      <c r="AL169" s="318"/>
    </row>
    <row r="170" spans="1:38" s="323" customFormat="1" ht="37.950000000000003" customHeight="1" x14ac:dyDescent="0.25">
      <c r="A170" s="635" t="s">
        <v>344</v>
      </c>
      <c r="B170" s="634"/>
      <c r="C170" s="620"/>
      <c r="D170" s="722" t="s">
        <v>503</v>
      </c>
      <c r="E170" s="629">
        <f>IFERROR(VALUE(MID(D170,2,LEN(D170)-1)),"")</f>
        <v>151</v>
      </c>
      <c r="F170" s="546">
        <v>9380.52</v>
      </c>
      <c r="G170" s="547"/>
      <c r="H170" s="620">
        <v>9380.52</v>
      </c>
      <c r="I170" s="550"/>
      <c r="J170" s="646" t="s">
        <v>504</v>
      </c>
      <c r="K170" s="646"/>
      <c r="L170" s="547" t="s">
        <v>498</v>
      </c>
      <c r="M170" s="534"/>
      <c r="N170" s="318"/>
      <c r="O170" s="318"/>
      <c r="P170" s="318"/>
      <c r="Q170" s="318"/>
      <c r="R170" s="318"/>
      <c r="S170" s="318"/>
      <c r="T170" s="318"/>
      <c r="U170" s="318"/>
      <c r="V170" s="318"/>
      <c r="W170" s="318"/>
      <c r="X170" s="318"/>
      <c r="Y170" s="318"/>
      <c r="Z170" s="318"/>
      <c r="AA170" s="318"/>
      <c r="AB170" s="318"/>
      <c r="AC170" s="318"/>
      <c r="AD170" s="318"/>
      <c r="AE170" s="318"/>
      <c r="AF170" s="318"/>
      <c r="AG170" s="318"/>
      <c r="AH170" s="318"/>
      <c r="AI170" s="318"/>
      <c r="AJ170" s="318"/>
      <c r="AK170" s="318"/>
      <c r="AL170" s="318"/>
    </row>
    <row r="171" spans="1:38" s="323" customFormat="1" ht="37.950000000000003" customHeight="1" x14ac:dyDescent="0.25">
      <c r="A171" s="635" t="s">
        <v>345</v>
      </c>
      <c r="B171" s="634" t="s">
        <v>476</v>
      </c>
      <c r="C171" s="620">
        <v>152188</v>
      </c>
      <c r="D171" s="548" t="s">
        <v>493</v>
      </c>
      <c r="E171" s="629">
        <f t="shared" ref="E171:E174" si="26">IFERROR(VALUE(MID(D171,2,LEN(D171)-1)),"")</f>
        <v>149</v>
      </c>
      <c r="F171" s="546">
        <v>138516</v>
      </c>
      <c r="G171" s="547"/>
      <c r="H171" s="620">
        <v>138516</v>
      </c>
      <c r="I171" s="550" t="s">
        <v>249</v>
      </c>
      <c r="J171" s="646" t="s">
        <v>520</v>
      </c>
      <c r="K171" s="646" t="s">
        <v>321</v>
      </c>
      <c r="L171" s="547"/>
      <c r="M171" s="534"/>
      <c r="N171" s="318"/>
      <c r="O171" s="318"/>
      <c r="P171" s="318"/>
      <c r="Q171" s="318"/>
      <c r="R171" s="318"/>
      <c r="S171" s="318"/>
      <c r="T171" s="318"/>
      <c r="U171" s="318"/>
      <c r="V171" s="318"/>
      <c r="W171" s="318"/>
      <c r="X171" s="318"/>
      <c r="Y171" s="318"/>
      <c r="Z171" s="318"/>
      <c r="AA171" s="318"/>
      <c r="AB171" s="318"/>
      <c r="AC171" s="318"/>
      <c r="AD171" s="318"/>
      <c r="AE171" s="318"/>
      <c r="AF171" s="318"/>
      <c r="AG171" s="318"/>
      <c r="AH171" s="318"/>
      <c r="AI171" s="318"/>
      <c r="AJ171" s="318"/>
      <c r="AK171" s="318"/>
      <c r="AL171" s="318"/>
    </row>
    <row r="172" spans="1:38" s="323" customFormat="1" ht="37.950000000000003" customHeight="1" x14ac:dyDescent="0.25">
      <c r="A172" s="635" t="s">
        <v>351</v>
      </c>
      <c r="B172" s="634" t="s">
        <v>480</v>
      </c>
      <c r="C172" s="620">
        <v>31989</v>
      </c>
      <c r="D172" s="548" t="s">
        <v>485</v>
      </c>
      <c r="E172" s="629">
        <f t="shared" si="26"/>
        <v>141</v>
      </c>
      <c r="F172" s="546">
        <v>31989</v>
      </c>
      <c r="G172" s="547"/>
      <c r="H172" s="620">
        <v>31989</v>
      </c>
      <c r="I172" s="550" t="s">
        <v>249</v>
      </c>
      <c r="J172" s="620" t="s">
        <v>496</v>
      </c>
      <c r="K172" s="646" t="s">
        <v>321</v>
      </c>
      <c r="L172" s="714"/>
      <c r="M172" s="534"/>
      <c r="N172" s="318"/>
      <c r="O172" s="318"/>
      <c r="P172" s="318"/>
      <c r="Q172" s="318"/>
      <c r="R172" s="318"/>
      <c r="S172" s="318"/>
      <c r="T172" s="318"/>
      <c r="U172" s="318"/>
      <c r="V172" s="318"/>
      <c r="W172" s="318"/>
      <c r="X172" s="318"/>
      <c r="Y172" s="318"/>
      <c r="Z172" s="318"/>
      <c r="AA172" s="318"/>
      <c r="AB172" s="318"/>
      <c r="AC172" s="318"/>
      <c r="AD172" s="318"/>
      <c r="AE172" s="318"/>
      <c r="AF172" s="318"/>
      <c r="AG172" s="318"/>
      <c r="AH172" s="318"/>
      <c r="AI172" s="318"/>
      <c r="AJ172" s="318"/>
      <c r="AK172" s="318"/>
      <c r="AL172" s="318"/>
    </row>
    <row r="173" spans="1:38" s="323" customFormat="1" ht="37.950000000000003" customHeight="1" x14ac:dyDescent="0.25">
      <c r="A173" s="635" t="s">
        <v>353</v>
      </c>
      <c r="B173" s="634" t="s">
        <v>482</v>
      </c>
      <c r="C173" s="620">
        <v>207656.27999999997</v>
      </c>
      <c r="D173" s="548" t="s">
        <v>486</v>
      </c>
      <c r="E173" s="629">
        <f t="shared" si="26"/>
        <v>144</v>
      </c>
      <c r="F173" s="546">
        <v>212171.08</v>
      </c>
      <c r="G173" s="547">
        <v>675.1</v>
      </c>
      <c r="H173" s="620">
        <v>211495.98</v>
      </c>
      <c r="I173" s="550" t="s">
        <v>249</v>
      </c>
      <c r="J173" s="646" t="s">
        <v>520</v>
      </c>
      <c r="K173" s="646" t="s">
        <v>321</v>
      </c>
      <c r="L173" s="547"/>
      <c r="M173" s="534"/>
      <c r="N173" s="318"/>
      <c r="O173" s="318"/>
      <c r="P173" s="318"/>
      <c r="Q173" s="318"/>
      <c r="R173" s="318"/>
      <c r="S173" s="318"/>
      <c r="T173" s="318"/>
      <c r="U173" s="318"/>
      <c r="V173" s="318"/>
      <c r="W173" s="318"/>
      <c r="X173" s="318"/>
      <c r="Y173" s="318"/>
      <c r="Z173" s="318"/>
      <c r="AA173" s="318"/>
      <c r="AB173" s="318"/>
      <c r="AC173" s="318"/>
      <c r="AD173" s="318"/>
      <c r="AE173" s="318"/>
      <c r="AF173" s="318"/>
      <c r="AG173" s="318"/>
      <c r="AH173" s="318"/>
      <c r="AI173" s="318"/>
      <c r="AJ173" s="318"/>
      <c r="AK173" s="318"/>
      <c r="AL173" s="318"/>
    </row>
    <row r="174" spans="1:38" s="323" customFormat="1" ht="37.950000000000003" customHeight="1" x14ac:dyDescent="0.25">
      <c r="A174" s="635" t="s">
        <v>366</v>
      </c>
      <c r="B174" s="634" t="s">
        <v>499</v>
      </c>
      <c r="C174" s="620">
        <v>73800</v>
      </c>
      <c r="D174" s="722" t="s">
        <v>512</v>
      </c>
      <c r="E174" s="629">
        <f t="shared" si="26"/>
        <v>159</v>
      </c>
      <c r="F174" s="546">
        <v>45803.078200000004</v>
      </c>
      <c r="G174" s="547">
        <v>11043.0782</v>
      </c>
      <c r="H174" s="620">
        <v>34760</v>
      </c>
      <c r="I174" s="618" t="s">
        <v>188</v>
      </c>
      <c r="J174" s="646" t="s">
        <v>524</v>
      </c>
      <c r="K174" s="646"/>
      <c r="L174" s="547"/>
      <c r="M174" s="534"/>
      <c r="N174" s="318"/>
      <c r="O174" s="318"/>
      <c r="P174" s="318"/>
      <c r="Q174" s="318"/>
      <c r="R174" s="318"/>
      <c r="S174" s="318"/>
      <c r="T174" s="318"/>
      <c r="U174" s="318"/>
      <c r="V174" s="318"/>
      <c r="W174" s="318"/>
      <c r="X174" s="318"/>
      <c r="Y174" s="318"/>
      <c r="Z174" s="318"/>
      <c r="AA174" s="318"/>
      <c r="AB174" s="318"/>
      <c r="AC174" s="318"/>
      <c r="AD174" s="318"/>
      <c r="AE174" s="318"/>
      <c r="AF174" s="318"/>
      <c r="AG174" s="318"/>
      <c r="AH174" s="318"/>
      <c r="AI174" s="318"/>
      <c r="AJ174" s="318"/>
      <c r="AK174" s="318"/>
      <c r="AL174" s="318"/>
    </row>
    <row r="175" spans="1:38" s="324" customFormat="1" ht="22.95" customHeight="1" x14ac:dyDescent="0.25">
      <c r="A175" s="560"/>
      <c r="B175" s="560" t="s">
        <v>47</v>
      </c>
      <c r="C175" s="561">
        <f>SUM(C6:C174)</f>
        <v>45824386.248762786</v>
      </c>
      <c r="D175" s="661"/>
      <c r="E175" s="661"/>
      <c r="F175" s="561">
        <f>SUM(F6:F174)</f>
        <v>43376361.898024954</v>
      </c>
      <c r="G175" s="561">
        <f>SUM(G6:G174)</f>
        <v>11594375.477879362</v>
      </c>
      <c r="H175" s="561">
        <f>SUM(H6:H174)</f>
        <v>31777286.417647619</v>
      </c>
      <c r="I175" s="561"/>
      <c r="J175" s="561"/>
      <c r="K175" s="561"/>
      <c r="L175" s="561"/>
    </row>
    <row r="176" spans="1:38" ht="27" customHeight="1" x14ac:dyDescent="0.25"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</row>
    <row r="177" spans="2:12" ht="34.799999999999997" hidden="1" customHeight="1" x14ac:dyDescent="0.25">
      <c r="B177" s="848" t="s">
        <v>513</v>
      </c>
      <c r="C177" s="848"/>
      <c r="D177" s="848"/>
      <c r="E177" s="849"/>
      <c r="F177" s="561">
        <v>43213743.270000003</v>
      </c>
      <c r="G177" s="339"/>
      <c r="H177" s="339"/>
      <c r="I177" s="339"/>
      <c r="J177" s="339"/>
      <c r="K177" s="339"/>
      <c r="L177" s="339"/>
    </row>
    <row r="178" spans="2:12" ht="29.4" hidden="1" customHeight="1" x14ac:dyDescent="0.35">
      <c r="B178" s="848" t="s">
        <v>514</v>
      </c>
      <c r="C178" s="848"/>
      <c r="D178" s="848"/>
      <c r="E178" s="849"/>
      <c r="F178" s="724">
        <f>F175-F177</f>
        <v>162618.62802495062</v>
      </c>
      <c r="G178" s="339"/>
      <c r="H178" s="339"/>
      <c r="I178" s="339"/>
      <c r="J178" s="339"/>
      <c r="K178" s="339"/>
      <c r="L178" s="339"/>
    </row>
    <row r="179" spans="2:12" ht="19.8" hidden="1" customHeight="1" x14ac:dyDescent="0.25"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</row>
    <row r="180" spans="2:12" ht="42.6" hidden="1" customHeight="1" x14ac:dyDescent="0.3">
      <c r="C180" s="850" t="s">
        <v>517</v>
      </c>
      <c r="D180" s="850"/>
      <c r="E180" s="850"/>
      <c r="F180" s="725">
        <v>394922.76</v>
      </c>
    </row>
    <row r="181" spans="2:12" ht="22.8" hidden="1" customHeight="1" x14ac:dyDescent="0.25">
      <c r="B181" s="848" t="s">
        <v>515</v>
      </c>
      <c r="C181" s="848"/>
      <c r="D181" s="848"/>
      <c r="E181" s="848"/>
      <c r="F181" s="561">
        <v>263800</v>
      </c>
      <c r="G181" s="339"/>
      <c r="H181" s="339"/>
      <c r="I181" s="339"/>
      <c r="J181" s="339"/>
      <c r="K181" s="339"/>
      <c r="L181" s="339"/>
    </row>
    <row r="182" spans="2:12" ht="29.4" hidden="1" customHeight="1" x14ac:dyDescent="0.35">
      <c r="B182" s="848" t="s">
        <v>514</v>
      </c>
      <c r="C182" s="848"/>
      <c r="D182" s="848"/>
      <c r="E182" s="849"/>
      <c r="F182" s="724">
        <f>F180-F181</f>
        <v>131122.76</v>
      </c>
      <c r="G182" s="339"/>
      <c r="H182" s="339"/>
      <c r="I182" s="339"/>
      <c r="J182" s="339"/>
      <c r="K182" s="339"/>
      <c r="L182" s="339"/>
    </row>
    <row r="183" spans="2:12" ht="46.8" hidden="1" customHeight="1" x14ac:dyDescent="0.25">
      <c r="B183" s="851" t="s">
        <v>518</v>
      </c>
      <c r="C183" s="851"/>
      <c r="D183" s="851"/>
      <c r="E183" s="851"/>
    </row>
    <row r="184" spans="2:12" ht="28.8" hidden="1" customHeight="1" x14ac:dyDescent="0.3">
      <c r="B184" s="725">
        <f>98200+172000+15500</f>
        <v>285700</v>
      </c>
    </row>
    <row r="185" spans="2:12" hidden="1" x14ac:dyDescent="0.25"/>
    <row r="186" spans="2:12" ht="17.399999999999999" hidden="1" x14ac:dyDescent="0.25">
      <c r="B186" s="851" t="s">
        <v>519</v>
      </c>
      <c r="C186" s="851"/>
      <c r="D186" s="851"/>
      <c r="E186" s="851"/>
    </row>
    <row r="187" spans="2:12" ht="17.399999999999999" hidden="1" x14ac:dyDescent="0.3">
      <c r="B187" s="725">
        <v>54222.76</v>
      </c>
    </row>
    <row r="188" spans="2:12" hidden="1" x14ac:dyDescent="0.25"/>
  </sheetData>
  <autoFilter ref="A5:AM175"/>
  <mergeCells count="14">
    <mergeCell ref="B182:E182"/>
    <mergeCell ref="C180:E180"/>
    <mergeCell ref="B183:E183"/>
    <mergeCell ref="B186:E186"/>
    <mergeCell ref="B177:E177"/>
    <mergeCell ref="B178:E178"/>
    <mergeCell ref="B181:E181"/>
    <mergeCell ref="A1:L2"/>
    <mergeCell ref="L3:L5"/>
    <mergeCell ref="D3:J4"/>
    <mergeCell ref="A3:A5"/>
    <mergeCell ref="B3:B5"/>
    <mergeCell ref="C3:C5"/>
    <mergeCell ref="K3:K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47" fitToHeight="0" orientation="landscape" verticalDpi="300" r:id="rId1"/>
  <rowBreaks count="2" manualBreakCount="2">
    <brk id="28" max="11" man="1"/>
    <brk id="53" max="1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88"/>
  <sheetViews>
    <sheetView showWhiteSpace="0" zoomScale="76" zoomScaleNormal="76" zoomScaleSheetLayoutView="36" workbookViewId="0">
      <pane xSplit="2" ySplit="5" topLeftCell="C129" activePane="bottomRight" state="frozen"/>
      <selection pane="topRight" activeCell="C1" sqref="C1"/>
      <selection pane="bottomLeft" activeCell="A6" sqref="A6"/>
      <selection pane="bottomRight" activeCell="I163" sqref="I163"/>
    </sheetView>
  </sheetViews>
  <sheetFormatPr defaultColWidth="9.109375" defaultRowHeight="12" outlineLevelCol="1" x14ac:dyDescent="0.25"/>
  <cols>
    <col min="1" max="1" width="10.44140625" style="308" customWidth="1"/>
    <col min="2" max="2" width="56.33203125" style="308" customWidth="1"/>
    <col min="3" max="3" width="22.33203125" style="342" customWidth="1"/>
    <col min="4" max="4" width="9.44140625" style="342" customWidth="1"/>
    <col min="5" max="5" width="19.88671875" style="342" customWidth="1" outlineLevel="1"/>
    <col min="6" max="6" width="21.6640625" style="342" customWidth="1"/>
    <col min="7" max="7" width="24.21875" style="342" customWidth="1"/>
    <col min="8" max="8" width="23.6640625" style="342" customWidth="1"/>
    <col min="9" max="9" width="24.109375" style="342" customWidth="1"/>
    <col min="10" max="11" width="18.5546875" style="342" customWidth="1"/>
    <col min="12" max="12" width="56.21875" style="342" customWidth="1"/>
    <col min="13" max="13" width="21.5546875" style="308" customWidth="1"/>
    <col min="14" max="14" width="36.77734375" style="308" customWidth="1"/>
    <col min="15" max="15" width="16.44140625" style="308" customWidth="1"/>
    <col min="16" max="16384" width="9.109375" style="308"/>
  </cols>
  <sheetData>
    <row r="1" spans="1:39" ht="16.95" customHeight="1" x14ac:dyDescent="0.25">
      <c r="A1" s="822" t="s">
        <v>205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</row>
    <row r="2" spans="1:39" ht="59.4" customHeight="1" thickBot="1" x14ac:dyDescent="0.3">
      <c r="A2" s="839"/>
      <c r="B2" s="839"/>
      <c r="C2" s="839"/>
      <c r="D2" s="839"/>
      <c r="E2" s="839"/>
      <c r="F2" s="839"/>
      <c r="G2" s="839"/>
      <c r="H2" s="839"/>
      <c r="I2" s="839"/>
      <c r="J2" s="839"/>
      <c r="K2" s="839"/>
      <c r="L2" s="839"/>
    </row>
    <row r="3" spans="1:39" ht="17.399999999999999" customHeight="1" x14ac:dyDescent="0.25">
      <c r="A3" s="823" t="s">
        <v>124</v>
      </c>
      <c r="B3" s="836" t="s">
        <v>185</v>
      </c>
      <c r="C3" s="826" t="s">
        <v>204</v>
      </c>
      <c r="D3" s="840" t="s">
        <v>218</v>
      </c>
      <c r="E3" s="841"/>
      <c r="F3" s="841"/>
      <c r="G3" s="841"/>
      <c r="H3" s="841"/>
      <c r="I3" s="841"/>
      <c r="J3" s="842"/>
      <c r="K3" s="846" t="s">
        <v>433</v>
      </c>
      <c r="L3" s="833" t="s">
        <v>191</v>
      </c>
    </row>
    <row r="4" spans="1:39" ht="12.6" customHeight="1" x14ac:dyDescent="0.25">
      <c r="A4" s="824"/>
      <c r="B4" s="837"/>
      <c r="C4" s="827"/>
      <c r="D4" s="843"/>
      <c r="E4" s="844"/>
      <c r="F4" s="844"/>
      <c r="G4" s="844"/>
      <c r="H4" s="844"/>
      <c r="I4" s="844"/>
      <c r="J4" s="845"/>
      <c r="K4" s="847"/>
      <c r="L4" s="834"/>
    </row>
    <row r="5" spans="1:39" ht="40.950000000000003" customHeight="1" thickBot="1" x14ac:dyDescent="0.3">
      <c r="A5" s="825"/>
      <c r="B5" s="838"/>
      <c r="C5" s="828"/>
      <c r="D5" s="636" t="s">
        <v>126</v>
      </c>
      <c r="E5" s="636" t="s">
        <v>409</v>
      </c>
      <c r="F5" s="636" t="s">
        <v>267</v>
      </c>
      <c r="G5" s="636" t="s">
        <v>193</v>
      </c>
      <c r="H5" s="636" t="s">
        <v>192</v>
      </c>
      <c r="I5" s="636" t="s">
        <v>9</v>
      </c>
      <c r="J5" s="636" t="s">
        <v>190</v>
      </c>
      <c r="K5" s="832"/>
      <c r="L5" s="835"/>
    </row>
    <row r="6" spans="1:39" s="323" customFormat="1" ht="49.2" customHeight="1" x14ac:dyDescent="0.25">
      <c r="A6" s="679" t="s">
        <v>53</v>
      </c>
      <c r="B6" s="672" t="s">
        <v>199</v>
      </c>
      <c r="C6" s="674">
        <v>69779.8</v>
      </c>
      <c r="D6" s="682" t="s">
        <v>53</v>
      </c>
      <c r="E6" s="683">
        <f t="shared" ref="E6:E17" si="0">IFERROR(VALUE(MID(D6,2,LEN(D6)-1)),"")</f>
        <v>1</v>
      </c>
      <c r="F6" s="684">
        <v>74844.200000000012</v>
      </c>
      <c r="G6" s="674">
        <v>0</v>
      </c>
      <c r="H6" s="674">
        <v>74844.200000000012</v>
      </c>
      <c r="I6" s="674" t="s">
        <v>249</v>
      </c>
      <c r="J6" s="680" t="s">
        <v>251</v>
      </c>
      <c r="K6" s="680" t="s">
        <v>321</v>
      </c>
      <c r="L6" s="680" t="s">
        <v>153</v>
      </c>
      <c r="M6" s="533" t="s">
        <v>312</v>
      </c>
      <c r="N6" s="637" t="s">
        <v>313</v>
      </c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</row>
    <row r="7" spans="1:39" s="323" customFormat="1" ht="52.95" customHeight="1" x14ac:dyDescent="0.25">
      <c r="A7" s="635" t="s">
        <v>209</v>
      </c>
      <c r="B7" s="634" t="s">
        <v>206</v>
      </c>
      <c r="C7" s="646">
        <v>401488.07</v>
      </c>
      <c r="D7" s="548" t="s">
        <v>69</v>
      </c>
      <c r="E7" s="629">
        <f t="shared" si="0"/>
        <v>2</v>
      </c>
      <c r="F7" s="681">
        <v>585276.81999999995</v>
      </c>
      <c r="G7" s="620">
        <v>236280.52</v>
      </c>
      <c r="H7" s="646">
        <v>348996.3</v>
      </c>
      <c r="I7" s="620" t="s">
        <v>202</v>
      </c>
      <c r="J7" s="678" t="s">
        <v>242</v>
      </c>
      <c r="K7" s="646" t="s">
        <v>382</v>
      </c>
      <c r="L7" s="620"/>
      <c r="M7" s="538"/>
      <c r="N7" s="538"/>
      <c r="O7" s="537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  <c r="AM7" s="318"/>
    </row>
    <row r="8" spans="1:39" s="323" customFormat="1" ht="48.6" customHeight="1" x14ac:dyDescent="0.25">
      <c r="A8" s="579" t="s">
        <v>210</v>
      </c>
      <c r="B8" s="645" t="s">
        <v>207</v>
      </c>
      <c r="C8" s="646">
        <v>401488.07</v>
      </c>
      <c r="D8" s="548" t="s">
        <v>70</v>
      </c>
      <c r="E8" s="629">
        <f t="shared" si="0"/>
        <v>3</v>
      </c>
      <c r="F8" s="558">
        <v>585218.81999999995</v>
      </c>
      <c r="G8" s="620">
        <v>236280.52</v>
      </c>
      <c r="H8" s="547">
        <v>348938.3</v>
      </c>
      <c r="I8" s="620" t="s">
        <v>202</v>
      </c>
      <c r="J8" s="678" t="s">
        <v>242</v>
      </c>
      <c r="K8" s="646" t="s">
        <v>382</v>
      </c>
      <c r="L8" s="620"/>
      <c r="M8" s="536"/>
      <c r="N8" s="75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</row>
    <row r="9" spans="1:39" s="323" customFormat="1" ht="39.75" customHeight="1" x14ac:dyDescent="0.25">
      <c r="A9" s="579" t="s">
        <v>74</v>
      </c>
      <c r="B9" s="717" t="s">
        <v>186</v>
      </c>
      <c r="C9" s="555">
        <v>70000</v>
      </c>
      <c r="D9" s="548" t="s">
        <v>71</v>
      </c>
      <c r="E9" s="629">
        <f t="shared" si="0"/>
        <v>4</v>
      </c>
      <c r="F9" s="591">
        <v>70000</v>
      </c>
      <c r="G9" s="557">
        <v>0</v>
      </c>
      <c r="H9" s="557">
        <v>70000</v>
      </c>
      <c r="I9" s="620" t="s">
        <v>249</v>
      </c>
      <c r="J9" s="646" t="s">
        <v>251</v>
      </c>
      <c r="K9" s="646" t="s">
        <v>321</v>
      </c>
      <c r="L9" s="620"/>
      <c r="M9" s="318"/>
      <c r="N9" s="759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  <c r="AM9" s="318"/>
    </row>
    <row r="10" spans="1:39" s="323" customFormat="1" ht="39.75" customHeight="1" x14ac:dyDescent="0.25">
      <c r="A10" s="579" t="s">
        <v>81</v>
      </c>
      <c r="B10" s="717" t="s">
        <v>227</v>
      </c>
      <c r="C10" s="680">
        <v>92115.83</v>
      </c>
      <c r="D10" s="620" t="s">
        <v>72</v>
      </c>
      <c r="E10" s="629">
        <f t="shared" si="0"/>
        <v>5</v>
      </c>
      <c r="F10" s="591">
        <v>92115.83</v>
      </c>
      <c r="G10" s="557">
        <v>0</v>
      </c>
      <c r="H10" s="557">
        <v>92115.83</v>
      </c>
      <c r="I10" s="620" t="s">
        <v>249</v>
      </c>
      <c r="J10" s="646" t="s">
        <v>263</v>
      </c>
      <c r="K10" s="646" t="s">
        <v>321</v>
      </c>
      <c r="L10" s="620"/>
      <c r="M10" s="318"/>
      <c r="N10" s="655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</row>
    <row r="11" spans="1:39" s="323" customFormat="1" ht="39.75" customHeight="1" x14ac:dyDescent="0.25">
      <c r="A11" s="579" t="s">
        <v>243</v>
      </c>
      <c r="B11" s="672" t="s">
        <v>247</v>
      </c>
      <c r="C11" s="674">
        <v>69692.789999999994</v>
      </c>
      <c r="D11" s="620" t="s">
        <v>73</v>
      </c>
      <c r="E11" s="629">
        <f t="shared" si="0"/>
        <v>6</v>
      </c>
      <c r="F11" s="546">
        <v>69692.789999999994</v>
      </c>
      <c r="G11" s="620">
        <v>0</v>
      </c>
      <c r="H11" s="620">
        <v>69692.789999999994</v>
      </c>
      <c r="I11" s="620" t="s">
        <v>249</v>
      </c>
      <c r="J11" s="646" t="s">
        <v>263</v>
      </c>
      <c r="K11" s="646" t="s">
        <v>321</v>
      </c>
      <c r="L11" s="620"/>
      <c r="M11" s="318"/>
      <c r="N11" s="655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</row>
    <row r="12" spans="1:39" s="323" customFormat="1" ht="39.75" customHeight="1" x14ac:dyDescent="0.25">
      <c r="A12" s="579" t="s">
        <v>171</v>
      </c>
      <c r="B12" s="717" t="s">
        <v>226</v>
      </c>
      <c r="C12" s="680">
        <v>220420.19</v>
      </c>
      <c r="D12" s="620" t="s">
        <v>74</v>
      </c>
      <c r="E12" s="629">
        <f t="shared" si="0"/>
        <v>7</v>
      </c>
      <c r="F12" s="558">
        <v>220420.19</v>
      </c>
      <c r="G12" s="547">
        <v>0</v>
      </c>
      <c r="H12" s="547">
        <v>220420.19</v>
      </c>
      <c r="I12" s="620" t="s">
        <v>249</v>
      </c>
      <c r="J12" s="646" t="s">
        <v>263</v>
      </c>
      <c r="K12" s="646" t="s">
        <v>321</v>
      </c>
      <c r="L12" s="620"/>
      <c r="M12" s="318"/>
      <c r="N12" s="655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</row>
    <row r="13" spans="1:39" s="323" customFormat="1" ht="39.75" customHeight="1" x14ac:dyDescent="0.25">
      <c r="A13" s="579" t="s">
        <v>172</v>
      </c>
      <c r="B13" s="717" t="s">
        <v>228</v>
      </c>
      <c r="C13" s="680">
        <v>19075.719999999998</v>
      </c>
      <c r="D13" s="688" t="s">
        <v>77</v>
      </c>
      <c r="E13" s="629">
        <f t="shared" si="0"/>
        <v>8</v>
      </c>
      <c r="F13" s="546">
        <v>19075.719999999998</v>
      </c>
      <c r="G13" s="547">
        <v>0</v>
      </c>
      <c r="H13" s="620">
        <v>19075.719999999998</v>
      </c>
      <c r="I13" s="620" t="s">
        <v>249</v>
      </c>
      <c r="J13" s="646" t="s">
        <v>263</v>
      </c>
      <c r="K13" s="646" t="s">
        <v>321</v>
      </c>
      <c r="L13" s="620"/>
      <c r="M13" s="318"/>
      <c r="N13" s="534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</row>
    <row r="14" spans="1:39" s="323" customFormat="1" ht="39.75" customHeight="1" x14ac:dyDescent="0.25">
      <c r="A14" s="579" t="s">
        <v>221</v>
      </c>
      <c r="B14" s="717" t="s">
        <v>231</v>
      </c>
      <c r="C14" s="680">
        <v>8730</v>
      </c>
      <c r="D14" s="688" t="s">
        <v>250</v>
      </c>
      <c r="E14" s="629">
        <f t="shared" si="0"/>
        <v>9</v>
      </c>
      <c r="F14" s="546">
        <v>8730</v>
      </c>
      <c r="G14" s="547">
        <v>0</v>
      </c>
      <c r="H14" s="620">
        <v>8730</v>
      </c>
      <c r="I14" s="620" t="s">
        <v>249</v>
      </c>
      <c r="J14" s="620" t="s">
        <v>263</v>
      </c>
      <c r="K14" s="646" t="s">
        <v>321</v>
      </c>
      <c r="L14" s="620"/>
      <c r="M14" s="318"/>
      <c r="N14" s="534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</row>
    <row r="15" spans="1:39" s="323" customFormat="1" ht="38.25" customHeight="1" x14ac:dyDescent="0.25">
      <c r="A15" s="731" t="s">
        <v>208</v>
      </c>
      <c r="B15" s="675" t="s">
        <v>211</v>
      </c>
      <c r="C15" s="673">
        <v>994922</v>
      </c>
      <c r="D15" s="688" t="s">
        <v>76</v>
      </c>
      <c r="E15" s="629">
        <f t="shared" si="0"/>
        <v>10</v>
      </c>
      <c r="F15" s="546">
        <v>1609186.51</v>
      </c>
      <c r="G15" s="620">
        <v>680569.72</v>
      </c>
      <c r="H15" s="620">
        <v>928616.79</v>
      </c>
      <c r="I15" s="620" t="s">
        <v>202</v>
      </c>
      <c r="J15" s="620" t="s">
        <v>269</v>
      </c>
      <c r="K15" s="646" t="s">
        <v>382</v>
      </c>
      <c r="L15" s="620"/>
      <c r="M15" s="541"/>
      <c r="N15" s="542"/>
      <c r="O15" s="537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</row>
    <row r="16" spans="1:39" s="323" customFormat="1" ht="38.25" customHeight="1" x14ac:dyDescent="0.25">
      <c r="A16" s="663" t="s">
        <v>75</v>
      </c>
      <c r="B16" s="667" t="s">
        <v>214</v>
      </c>
      <c r="C16" s="668">
        <v>300000</v>
      </c>
      <c r="D16" s="688" t="s">
        <v>79</v>
      </c>
      <c r="E16" s="629">
        <f t="shared" si="0"/>
        <v>11</v>
      </c>
      <c r="F16" s="558">
        <v>231000</v>
      </c>
      <c r="G16" s="547">
        <v>0</v>
      </c>
      <c r="H16" s="547">
        <v>231000</v>
      </c>
      <c r="I16" s="620" t="s">
        <v>202</v>
      </c>
      <c r="J16" s="646" t="s">
        <v>269</v>
      </c>
      <c r="K16" s="646" t="s">
        <v>321</v>
      </c>
      <c r="L16" s="620"/>
      <c r="M16" s="318"/>
      <c r="N16" s="655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</row>
    <row r="17" spans="1:39" s="323" customFormat="1" ht="38.25" customHeight="1" x14ac:dyDescent="0.25">
      <c r="A17" s="663" t="s">
        <v>77</v>
      </c>
      <c r="B17" s="667" t="s">
        <v>196</v>
      </c>
      <c r="C17" s="668">
        <v>2183910</v>
      </c>
      <c r="D17" s="685" t="s">
        <v>75</v>
      </c>
      <c r="E17" s="628">
        <f t="shared" si="0"/>
        <v>12</v>
      </c>
      <c r="F17" s="591">
        <v>1027136</v>
      </c>
      <c r="G17" s="550"/>
      <c r="H17" s="557">
        <v>1027136</v>
      </c>
      <c r="I17" s="620" t="s">
        <v>249</v>
      </c>
      <c r="J17" s="678" t="s">
        <v>281</v>
      </c>
      <c r="K17" s="678" t="s">
        <v>440</v>
      </c>
      <c r="L17" s="620"/>
      <c r="M17" s="536"/>
      <c r="N17" s="537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</row>
    <row r="18" spans="1:39" s="323" customFormat="1" ht="38.25" customHeight="1" x14ac:dyDescent="0.25">
      <c r="A18" s="663" t="s">
        <v>77</v>
      </c>
      <c r="B18" s="667"/>
      <c r="C18" s="668"/>
      <c r="D18" s="685" t="s">
        <v>283</v>
      </c>
      <c r="E18" s="630">
        <v>12.1</v>
      </c>
      <c r="F18" s="591">
        <v>33000</v>
      </c>
      <c r="G18" s="550"/>
      <c r="H18" s="557">
        <v>33000</v>
      </c>
      <c r="I18" s="550" t="s">
        <v>249</v>
      </c>
      <c r="J18" s="678" t="s">
        <v>284</v>
      </c>
      <c r="K18" s="678" t="s">
        <v>440</v>
      </c>
      <c r="L18" s="620"/>
      <c r="M18" s="536"/>
      <c r="N18" s="537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318"/>
    </row>
    <row r="19" spans="1:39" s="323" customFormat="1" ht="38.25" customHeight="1" x14ac:dyDescent="0.25">
      <c r="A19" s="663" t="s">
        <v>78</v>
      </c>
      <c r="B19" s="667" t="s">
        <v>197</v>
      </c>
      <c r="C19" s="668">
        <v>644106.1</v>
      </c>
      <c r="D19" s="685" t="s">
        <v>80</v>
      </c>
      <c r="E19" s="628">
        <f t="shared" ref="E19:E50" si="1">IFERROR(VALUE(MID(D19,2,LEN(D19)-1)),"")</f>
        <v>13</v>
      </c>
      <c r="F19" s="546">
        <v>309258.40000000002</v>
      </c>
      <c r="G19" s="620"/>
      <c r="H19" s="557">
        <v>309258.40000000002</v>
      </c>
      <c r="I19" s="620" t="s">
        <v>249</v>
      </c>
      <c r="J19" s="556" t="s">
        <v>281</v>
      </c>
      <c r="K19" s="556" t="s">
        <v>440</v>
      </c>
      <c r="L19" s="620"/>
      <c r="M19" s="536"/>
      <c r="N19" s="536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  <c r="AK19" s="318"/>
      <c r="AL19" s="318"/>
      <c r="AM19" s="318"/>
    </row>
    <row r="20" spans="1:39" s="323" customFormat="1" ht="38.25" customHeight="1" x14ac:dyDescent="0.25">
      <c r="A20" s="663" t="s">
        <v>79</v>
      </c>
      <c r="B20" s="667" t="s">
        <v>213</v>
      </c>
      <c r="C20" s="668">
        <v>76937.850000000006</v>
      </c>
      <c r="D20" s="688" t="s">
        <v>167</v>
      </c>
      <c r="E20" s="629">
        <f t="shared" si="1"/>
        <v>14</v>
      </c>
      <c r="F20" s="558">
        <v>27868</v>
      </c>
      <c r="G20" s="547">
        <v>0</v>
      </c>
      <c r="H20" s="547">
        <v>27868</v>
      </c>
      <c r="I20" s="620" t="s">
        <v>202</v>
      </c>
      <c r="J20" s="646" t="s">
        <v>269</v>
      </c>
      <c r="K20" s="646" t="s">
        <v>321</v>
      </c>
      <c r="L20" s="547" t="s">
        <v>323</v>
      </c>
      <c r="M20" s="318"/>
      <c r="N20" s="655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  <c r="AM20" s="318"/>
    </row>
    <row r="21" spans="1:39" s="323" customFormat="1" ht="38.25" customHeight="1" x14ac:dyDescent="0.25">
      <c r="A21" s="663" t="s">
        <v>295</v>
      </c>
      <c r="B21" s="667" t="s">
        <v>290</v>
      </c>
      <c r="C21" s="668">
        <v>7766307.4578399099</v>
      </c>
      <c r="D21" s="664" t="s">
        <v>158</v>
      </c>
      <c r="E21" s="629">
        <f t="shared" si="1"/>
        <v>15</v>
      </c>
      <c r="F21" s="546">
        <v>554353</v>
      </c>
      <c r="G21" s="620">
        <v>0</v>
      </c>
      <c r="H21" s="620">
        <v>554353</v>
      </c>
      <c r="I21" s="620" t="s">
        <v>202</v>
      </c>
      <c r="J21" s="646" t="s">
        <v>269</v>
      </c>
      <c r="K21" s="646" t="s">
        <v>382</v>
      </c>
      <c r="L21" s="556" t="s">
        <v>153</v>
      </c>
      <c r="M21" s="534" t="s">
        <v>249</v>
      </c>
      <c r="N21" s="691" t="s">
        <v>316</v>
      </c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18"/>
      <c r="AL21" s="318"/>
      <c r="AM21" s="318"/>
    </row>
    <row r="22" spans="1:39" s="323" customFormat="1" ht="39.75" customHeight="1" x14ac:dyDescent="0.25">
      <c r="A22" s="623" t="s">
        <v>71</v>
      </c>
      <c r="B22" s="696" t="s">
        <v>194</v>
      </c>
      <c r="C22" s="697">
        <v>403929.07</v>
      </c>
      <c r="D22" s="549" t="s">
        <v>169</v>
      </c>
      <c r="E22" s="629">
        <f t="shared" si="1"/>
        <v>16</v>
      </c>
      <c r="F22" s="590">
        <v>446461.48</v>
      </c>
      <c r="G22" s="556">
        <v>95684.599359999993</v>
      </c>
      <c r="H22" s="556">
        <v>350776.88</v>
      </c>
      <c r="I22" s="620" t="s">
        <v>202</v>
      </c>
      <c r="J22" s="646" t="s">
        <v>269</v>
      </c>
      <c r="K22" s="646" t="s">
        <v>382</v>
      </c>
      <c r="L22" s="556"/>
      <c r="M22" s="318"/>
      <c r="N22" s="535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  <c r="AK22" s="318"/>
      <c r="AL22" s="318"/>
      <c r="AM22" s="318"/>
    </row>
    <row r="23" spans="1:39" s="323" customFormat="1" ht="39.75" customHeight="1" x14ac:dyDescent="0.25">
      <c r="A23" s="635" t="s">
        <v>264</v>
      </c>
      <c r="B23" s="738" t="s">
        <v>265</v>
      </c>
      <c r="C23" s="743">
        <v>47254.520000000004</v>
      </c>
      <c r="D23" s="745" t="s">
        <v>170</v>
      </c>
      <c r="E23" s="629">
        <f t="shared" si="1"/>
        <v>17</v>
      </c>
      <c r="F23" s="590">
        <v>47254.520000000004</v>
      </c>
      <c r="G23" s="556">
        <v>9854.52</v>
      </c>
      <c r="H23" s="556">
        <v>37400</v>
      </c>
      <c r="I23" s="620" t="s">
        <v>202</v>
      </c>
      <c r="J23" s="620" t="s">
        <v>269</v>
      </c>
      <c r="K23" s="646" t="s">
        <v>382</v>
      </c>
      <c r="L23" s="550"/>
      <c r="M23" s="318"/>
      <c r="N23" s="535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  <c r="AK23" s="318"/>
      <c r="AL23" s="318"/>
      <c r="AM23" s="318"/>
    </row>
    <row r="24" spans="1:39" s="323" customFormat="1" ht="36" customHeight="1" x14ac:dyDescent="0.25">
      <c r="A24" s="730" t="s">
        <v>69</v>
      </c>
      <c r="B24" s="675" t="s">
        <v>200</v>
      </c>
      <c r="C24" s="673">
        <v>2044</v>
      </c>
      <c r="D24" s="747" t="s">
        <v>171</v>
      </c>
      <c r="E24" s="629">
        <f t="shared" si="1"/>
        <v>18</v>
      </c>
      <c r="F24" s="546">
        <v>2044</v>
      </c>
      <c r="G24" s="620">
        <v>0</v>
      </c>
      <c r="H24" s="620">
        <v>2044</v>
      </c>
      <c r="I24" s="620" t="s">
        <v>202</v>
      </c>
      <c r="J24" s="646" t="s">
        <v>269</v>
      </c>
      <c r="K24" s="646"/>
      <c r="L24" s="550" t="s">
        <v>153</v>
      </c>
      <c r="M24" s="307"/>
      <c r="N24" s="49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  <c r="AK24" s="318"/>
      <c r="AL24" s="318"/>
      <c r="AM24" s="318"/>
    </row>
    <row r="25" spans="1:39" s="323" customFormat="1" ht="33" customHeight="1" x14ac:dyDescent="0.25">
      <c r="A25" s="731" t="s">
        <v>244</v>
      </c>
      <c r="B25" s="723" t="s">
        <v>248</v>
      </c>
      <c r="C25" s="710">
        <v>130832</v>
      </c>
      <c r="D25" s="688" t="s">
        <v>172</v>
      </c>
      <c r="E25" s="629">
        <f t="shared" si="1"/>
        <v>19</v>
      </c>
      <c r="F25" s="558">
        <v>151220.25</v>
      </c>
      <c r="G25" s="547">
        <v>0</v>
      </c>
      <c r="H25" s="547">
        <v>151220.25</v>
      </c>
      <c r="I25" s="620" t="s">
        <v>249</v>
      </c>
      <c r="J25" s="556" t="s">
        <v>281</v>
      </c>
      <c r="K25" s="646" t="s">
        <v>321</v>
      </c>
      <c r="L25" s="620"/>
      <c r="M25" s="318"/>
      <c r="N25" s="534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318"/>
      <c r="AL25" s="318"/>
      <c r="AM25" s="318"/>
    </row>
    <row r="26" spans="1:39" s="323" customFormat="1" ht="32.4" customHeight="1" x14ac:dyDescent="0.25">
      <c r="A26" s="731" t="s">
        <v>252</v>
      </c>
      <c r="B26" s="723" t="s">
        <v>254</v>
      </c>
      <c r="C26" s="710">
        <v>16887.37</v>
      </c>
      <c r="D26" s="688" t="s">
        <v>221</v>
      </c>
      <c r="E26" s="629">
        <f t="shared" si="1"/>
        <v>20</v>
      </c>
      <c r="F26" s="558">
        <v>46960.607999999993</v>
      </c>
      <c r="G26" s="547">
        <v>30073.237999999998</v>
      </c>
      <c r="H26" s="547">
        <v>16887.37</v>
      </c>
      <c r="I26" s="620" t="s">
        <v>249</v>
      </c>
      <c r="J26" s="556" t="s">
        <v>281</v>
      </c>
      <c r="K26" s="646" t="s">
        <v>321</v>
      </c>
      <c r="L26" s="620"/>
      <c r="M26" s="318"/>
      <c r="N26" s="534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  <c r="AK26" s="318"/>
      <c r="AL26" s="318"/>
      <c r="AM26" s="318"/>
    </row>
    <row r="27" spans="1:39" s="323" customFormat="1" ht="32.4" customHeight="1" x14ac:dyDescent="0.25">
      <c r="A27" s="731" t="s">
        <v>259</v>
      </c>
      <c r="B27" s="723" t="s">
        <v>257</v>
      </c>
      <c r="C27" s="710">
        <v>35433.65</v>
      </c>
      <c r="D27" s="688" t="s">
        <v>222</v>
      </c>
      <c r="E27" s="629">
        <f t="shared" si="1"/>
        <v>21</v>
      </c>
      <c r="F27" s="558">
        <v>148179.73000000001</v>
      </c>
      <c r="G27" s="547">
        <v>115912.73</v>
      </c>
      <c r="H27" s="547">
        <v>32267</v>
      </c>
      <c r="I27" s="620" t="s">
        <v>249</v>
      </c>
      <c r="J27" s="678" t="s">
        <v>298</v>
      </c>
      <c r="K27" s="755" t="s">
        <v>321</v>
      </c>
      <c r="L27" s="620"/>
      <c r="M27" s="318"/>
      <c r="N27" s="534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  <c r="AK27" s="318"/>
      <c r="AL27" s="318"/>
      <c r="AM27" s="318"/>
    </row>
    <row r="28" spans="1:39" s="323" customFormat="1" ht="32.4" customHeight="1" x14ac:dyDescent="0.25">
      <c r="A28" s="663" t="s">
        <v>75</v>
      </c>
      <c r="B28" s="667"/>
      <c r="C28" s="668"/>
      <c r="D28" s="688" t="s">
        <v>223</v>
      </c>
      <c r="E28" s="629">
        <f t="shared" si="1"/>
        <v>22</v>
      </c>
      <c r="F28" s="558">
        <v>111000</v>
      </c>
      <c r="G28" s="547">
        <v>0</v>
      </c>
      <c r="H28" s="547">
        <v>111000</v>
      </c>
      <c r="I28" s="620" t="s">
        <v>249</v>
      </c>
      <c r="J28" s="678" t="s">
        <v>281</v>
      </c>
      <c r="K28" s="646" t="s">
        <v>321</v>
      </c>
      <c r="L28" s="620"/>
      <c r="M28" s="318"/>
      <c r="N28" s="534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  <c r="AK28" s="318"/>
      <c r="AL28" s="318"/>
      <c r="AM28" s="318"/>
    </row>
    <row r="29" spans="1:39" s="323" customFormat="1" ht="38.25" customHeight="1" x14ac:dyDescent="0.25">
      <c r="A29" s="731" t="s">
        <v>76</v>
      </c>
      <c r="B29" s="723" t="s">
        <v>215</v>
      </c>
      <c r="C29" s="710">
        <v>526703.78</v>
      </c>
      <c r="D29" s="688" t="s">
        <v>245</v>
      </c>
      <c r="E29" s="629">
        <f t="shared" si="1"/>
        <v>23</v>
      </c>
      <c r="F29" s="558">
        <v>593059.22000000009</v>
      </c>
      <c r="G29" s="547">
        <v>150765.30000000002</v>
      </c>
      <c r="H29" s="547">
        <v>442293.92000000004</v>
      </c>
      <c r="I29" s="620" t="s">
        <v>249</v>
      </c>
      <c r="J29" s="678" t="s">
        <v>281</v>
      </c>
      <c r="K29" s="678" t="s">
        <v>321</v>
      </c>
      <c r="L29" s="620" t="s">
        <v>153</v>
      </c>
      <c r="M29" s="318"/>
      <c r="N29" s="534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  <c r="AK29" s="318"/>
      <c r="AL29" s="318"/>
      <c r="AM29" s="318"/>
    </row>
    <row r="30" spans="1:39" s="323" customFormat="1" ht="39.75" customHeight="1" x14ac:dyDescent="0.25">
      <c r="A30" s="671" t="s">
        <v>236</v>
      </c>
      <c r="B30" s="676" t="s">
        <v>271</v>
      </c>
      <c r="C30" s="677">
        <v>44103.59</v>
      </c>
      <c r="D30" s="688" t="s">
        <v>277</v>
      </c>
      <c r="E30" s="629">
        <f t="shared" si="1"/>
        <v>24</v>
      </c>
      <c r="F30" s="558">
        <v>40991.121999999996</v>
      </c>
      <c r="G30" s="547">
        <v>187.78200000000001</v>
      </c>
      <c r="H30" s="547">
        <v>40803.339999999997</v>
      </c>
      <c r="I30" s="620" t="s">
        <v>249</v>
      </c>
      <c r="J30" s="678" t="s">
        <v>281</v>
      </c>
      <c r="K30" s="646" t="s">
        <v>321</v>
      </c>
      <c r="L30" s="620"/>
      <c r="M30" s="318"/>
      <c r="N30" s="534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  <c r="AK30" s="318"/>
      <c r="AL30" s="318"/>
      <c r="AM30" s="318"/>
    </row>
    <row r="31" spans="1:39" s="323" customFormat="1" ht="39.75" customHeight="1" x14ac:dyDescent="0.25">
      <c r="A31" s="699" t="s">
        <v>223</v>
      </c>
      <c r="B31" s="669" t="s">
        <v>246</v>
      </c>
      <c r="C31" s="670">
        <v>505000</v>
      </c>
      <c r="D31" s="688" t="s">
        <v>224</v>
      </c>
      <c r="E31" s="629">
        <f t="shared" si="1"/>
        <v>25</v>
      </c>
      <c r="F31" s="558">
        <v>290457</v>
      </c>
      <c r="G31" s="547">
        <v>0</v>
      </c>
      <c r="H31" s="547">
        <v>290457</v>
      </c>
      <c r="I31" s="550" t="s">
        <v>249</v>
      </c>
      <c r="J31" s="556" t="s">
        <v>284</v>
      </c>
      <c r="K31" s="678" t="s">
        <v>321</v>
      </c>
      <c r="L31" s="620"/>
      <c r="M31" s="318"/>
      <c r="N31" s="534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  <c r="AL31" s="318"/>
      <c r="AM31" s="318"/>
    </row>
    <row r="32" spans="1:39" s="323" customFormat="1" ht="56.4" customHeight="1" x14ac:dyDescent="0.25">
      <c r="A32" s="656" t="s">
        <v>222</v>
      </c>
      <c r="B32" s="648" t="s">
        <v>241</v>
      </c>
      <c r="C32" s="555">
        <v>1821725.04</v>
      </c>
      <c r="D32" s="620" t="s">
        <v>225</v>
      </c>
      <c r="E32" s="629">
        <f t="shared" si="1"/>
        <v>26</v>
      </c>
      <c r="F32" s="558">
        <v>954520.6</v>
      </c>
      <c r="G32" s="547">
        <v>0</v>
      </c>
      <c r="H32" s="547">
        <v>954520.6</v>
      </c>
      <c r="I32" s="550" t="s">
        <v>249</v>
      </c>
      <c r="J32" s="678" t="s">
        <v>284</v>
      </c>
      <c r="K32" s="678" t="s">
        <v>440</v>
      </c>
      <c r="L32" s="620"/>
      <c r="M32" s="318"/>
      <c r="N32" s="534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  <c r="AK32" s="318"/>
      <c r="AL32" s="318"/>
      <c r="AM32" s="318"/>
    </row>
    <row r="33" spans="1:39" s="323" customFormat="1" ht="56.4" customHeight="1" x14ac:dyDescent="0.25">
      <c r="A33" s="656" t="s">
        <v>294</v>
      </c>
      <c r="B33" s="649" t="s">
        <v>291</v>
      </c>
      <c r="C33" s="650">
        <v>7051600.8118639104</v>
      </c>
      <c r="D33" s="548" t="s">
        <v>235</v>
      </c>
      <c r="E33" s="629">
        <f t="shared" si="1"/>
        <v>27</v>
      </c>
      <c r="F33" s="546">
        <v>330648.57999999996</v>
      </c>
      <c r="G33" s="620">
        <v>0</v>
      </c>
      <c r="H33" s="620">
        <v>330648.57999999996</v>
      </c>
      <c r="I33" s="620" t="s">
        <v>202</v>
      </c>
      <c r="J33" s="646" t="s">
        <v>288</v>
      </c>
      <c r="K33" s="646" t="s">
        <v>382</v>
      </c>
      <c r="L33" s="556" t="s">
        <v>153</v>
      </c>
      <c r="M33" s="307"/>
      <c r="N33" s="691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  <c r="AK33" s="318"/>
      <c r="AL33" s="318"/>
      <c r="AM33" s="318"/>
    </row>
    <row r="34" spans="1:39" s="323" customFormat="1" ht="56.4" customHeight="1" x14ac:dyDescent="0.25">
      <c r="A34" s="656" t="s">
        <v>295</v>
      </c>
      <c r="B34" s="647"/>
      <c r="C34" s="554"/>
      <c r="D34" s="548" t="s">
        <v>262</v>
      </c>
      <c r="E34" s="629">
        <f t="shared" si="1"/>
        <v>28</v>
      </c>
      <c r="F34" s="546">
        <v>5437399.7429927047</v>
      </c>
      <c r="G34" s="620">
        <v>2649255.2429927043</v>
      </c>
      <c r="H34" s="620">
        <v>2788144.5</v>
      </c>
      <c r="I34" s="620" t="s">
        <v>202</v>
      </c>
      <c r="J34" s="646" t="s">
        <v>288</v>
      </c>
      <c r="K34" s="646" t="s">
        <v>382</v>
      </c>
      <c r="L34" s="556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  <c r="AK34" s="318"/>
      <c r="AL34" s="318"/>
      <c r="AM34" s="318"/>
    </row>
    <row r="35" spans="1:39" s="323" customFormat="1" ht="41.4" customHeight="1" x14ac:dyDescent="0.25">
      <c r="A35" s="699" t="s">
        <v>293</v>
      </c>
      <c r="B35" s="665" t="s">
        <v>292</v>
      </c>
      <c r="C35" s="666">
        <v>7883363.147839915</v>
      </c>
      <c r="D35" s="664" t="s">
        <v>230</v>
      </c>
      <c r="E35" s="629">
        <f t="shared" si="1"/>
        <v>29</v>
      </c>
      <c r="F35" s="546">
        <v>359694.36</v>
      </c>
      <c r="G35" s="620" t="s">
        <v>153</v>
      </c>
      <c r="H35" s="620">
        <v>359694.36</v>
      </c>
      <c r="I35" s="620" t="s">
        <v>202</v>
      </c>
      <c r="J35" s="620" t="s">
        <v>308</v>
      </c>
      <c r="K35" s="620" t="s">
        <v>321</v>
      </c>
      <c r="L35" s="556" t="s">
        <v>153</v>
      </c>
      <c r="M35" s="533" t="s">
        <v>203</v>
      </c>
      <c r="N35" s="691" t="s">
        <v>314</v>
      </c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  <c r="AJ35" s="318"/>
      <c r="AK35" s="318"/>
      <c r="AL35" s="318"/>
      <c r="AM35" s="318"/>
    </row>
    <row r="36" spans="1:39" s="323" customFormat="1" ht="41.4" customHeight="1" x14ac:dyDescent="0.25">
      <c r="A36" s="699" t="s">
        <v>79</v>
      </c>
      <c r="B36" s="669"/>
      <c r="C36" s="670"/>
      <c r="D36" s="688" t="s">
        <v>236</v>
      </c>
      <c r="E36" s="629">
        <f t="shared" si="1"/>
        <v>30</v>
      </c>
      <c r="F36" s="558">
        <v>27224</v>
      </c>
      <c r="G36" s="547">
        <v>0</v>
      </c>
      <c r="H36" s="547">
        <v>27224</v>
      </c>
      <c r="I36" s="620" t="s">
        <v>202</v>
      </c>
      <c r="J36" s="620" t="s">
        <v>288</v>
      </c>
      <c r="K36" s="620" t="s">
        <v>321</v>
      </c>
      <c r="L36" s="547" t="s">
        <v>322</v>
      </c>
      <c r="M36" s="318"/>
      <c r="N36" s="534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  <c r="AK36" s="318"/>
      <c r="AL36" s="318"/>
      <c r="AM36" s="318"/>
    </row>
    <row r="37" spans="1:39" s="323" customFormat="1" ht="55.2" customHeight="1" x14ac:dyDescent="0.25">
      <c r="A37" s="635" t="s">
        <v>238</v>
      </c>
      <c r="B37" s="672" t="s">
        <v>282</v>
      </c>
      <c r="C37" s="674">
        <v>337206.36</v>
      </c>
      <c r="D37" s="620" t="s">
        <v>237</v>
      </c>
      <c r="E37" s="629">
        <f t="shared" si="1"/>
        <v>31</v>
      </c>
      <c r="F37" s="546">
        <v>337206.36</v>
      </c>
      <c r="G37" s="547">
        <v>0</v>
      </c>
      <c r="H37" s="547">
        <v>337206.36</v>
      </c>
      <c r="I37" s="550" t="s">
        <v>249</v>
      </c>
      <c r="J37" s="646" t="s">
        <v>298</v>
      </c>
      <c r="K37" s="646" t="s">
        <v>321</v>
      </c>
      <c r="L37" s="620"/>
      <c r="M37" s="534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  <c r="AK37" s="318"/>
      <c r="AL37" s="318"/>
    </row>
    <row r="38" spans="1:39" s="323" customFormat="1" ht="46.95" customHeight="1" x14ac:dyDescent="0.25">
      <c r="A38" s="623" t="s">
        <v>223</v>
      </c>
      <c r="B38" s="559"/>
      <c r="C38" s="547"/>
      <c r="D38" s="620" t="s">
        <v>238</v>
      </c>
      <c r="E38" s="629">
        <f t="shared" si="1"/>
        <v>32</v>
      </c>
      <c r="F38" s="558">
        <v>145228.5</v>
      </c>
      <c r="G38" s="547">
        <v>0</v>
      </c>
      <c r="H38" s="547">
        <v>145228.5</v>
      </c>
      <c r="I38" s="550" t="s">
        <v>249</v>
      </c>
      <c r="J38" s="620" t="s">
        <v>298</v>
      </c>
      <c r="K38" s="678" t="s">
        <v>321</v>
      </c>
      <c r="L38" s="620"/>
      <c r="M38" s="318"/>
      <c r="N38" s="534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  <c r="AK38" s="318"/>
      <c r="AL38" s="318"/>
      <c r="AM38" s="318"/>
    </row>
    <row r="39" spans="1:39" s="323" customFormat="1" ht="48.6" customHeight="1" x14ac:dyDescent="0.25">
      <c r="A39" s="623" t="s">
        <v>79</v>
      </c>
      <c r="B39" s="559"/>
      <c r="C39" s="547"/>
      <c r="D39" s="620" t="s">
        <v>239</v>
      </c>
      <c r="E39" s="629">
        <f t="shared" si="1"/>
        <v>33</v>
      </c>
      <c r="F39" s="558">
        <v>28858</v>
      </c>
      <c r="G39" s="547">
        <v>0</v>
      </c>
      <c r="H39" s="547">
        <v>28858</v>
      </c>
      <c r="I39" s="550" t="s">
        <v>249</v>
      </c>
      <c r="J39" s="620" t="s">
        <v>298</v>
      </c>
      <c r="K39" s="646" t="s">
        <v>321</v>
      </c>
      <c r="L39" s="547" t="s">
        <v>324</v>
      </c>
      <c r="M39" s="318"/>
      <c r="N39" s="534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  <c r="AK39" s="318"/>
      <c r="AL39" s="318"/>
      <c r="AM39" s="318"/>
    </row>
    <row r="40" spans="1:39" s="323" customFormat="1" ht="41.4" customHeight="1" x14ac:dyDescent="0.25">
      <c r="A40" s="656" t="s">
        <v>224</v>
      </c>
      <c r="B40" s="647" t="s">
        <v>234</v>
      </c>
      <c r="C40" s="554">
        <v>246953.74</v>
      </c>
      <c r="D40" s="620" t="s">
        <v>240</v>
      </c>
      <c r="E40" s="629">
        <f t="shared" si="1"/>
        <v>34</v>
      </c>
      <c r="F40" s="558">
        <v>325313.90174200002</v>
      </c>
      <c r="G40" s="547">
        <v>168734.02174199998</v>
      </c>
      <c r="H40" s="547">
        <v>156579.88</v>
      </c>
      <c r="I40" s="550" t="s">
        <v>249</v>
      </c>
      <c r="J40" s="646" t="s">
        <v>298</v>
      </c>
      <c r="K40" s="646" t="s">
        <v>321</v>
      </c>
      <c r="L40" s="646"/>
      <c r="M40" s="318"/>
      <c r="N40" s="534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  <c r="AK40" s="318"/>
      <c r="AL40" s="318"/>
      <c r="AM40" s="318"/>
    </row>
    <row r="41" spans="1:39" s="323" customFormat="1" ht="32.4" customHeight="1" x14ac:dyDescent="0.25">
      <c r="A41" s="656" t="s">
        <v>222</v>
      </c>
      <c r="B41" s="647"/>
      <c r="C41" s="554"/>
      <c r="D41" s="688" t="s">
        <v>285</v>
      </c>
      <c r="E41" s="629">
        <f t="shared" si="1"/>
        <v>35</v>
      </c>
      <c r="F41" s="558">
        <v>320050</v>
      </c>
      <c r="G41" s="547">
        <v>0</v>
      </c>
      <c r="H41" s="547">
        <v>320050</v>
      </c>
      <c r="I41" s="550" t="s">
        <v>249</v>
      </c>
      <c r="J41" s="620" t="s">
        <v>299</v>
      </c>
      <c r="K41" s="620" t="s">
        <v>321</v>
      </c>
      <c r="L41" s="620"/>
      <c r="M41" s="318"/>
      <c r="N41" s="534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  <c r="AK41" s="318"/>
      <c r="AL41" s="318"/>
      <c r="AM41" s="318"/>
    </row>
    <row r="42" spans="1:39" s="323" customFormat="1" ht="32.4" customHeight="1" x14ac:dyDescent="0.25">
      <c r="A42" s="657" t="s">
        <v>295</v>
      </c>
      <c r="B42" s="648"/>
      <c r="C42" s="555"/>
      <c r="D42" s="664" t="s">
        <v>289</v>
      </c>
      <c r="E42" s="629">
        <f t="shared" si="1"/>
        <v>36</v>
      </c>
      <c r="F42" s="546">
        <v>887716.17086603516</v>
      </c>
      <c r="G42" s="620">
        <v>122464.17086603522</v>
      </c>
      <c r="H42" s="620">
        <v>765252</v>
      </c>
      <c r="I42" s="550" t="s">
        <v>249</v>
      </c>
      <c r="J42" s="620" t="s">
        <v>298</v>
      </c>
      <c r="K42" s="620" t="s">
        <v>382</v>
      </c>
      <c r="L42" s="556"/>
      <c r="M42" s="318"/>
      <c r="N42" s="535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  <c r="AK42" s="318"/>
      <c r="AL42" s="318"/>
      <c r="AM42" s="318"/>
    </row>
    <row r="43" spans="1:39" s="323" customFormat="1" ht="32.4" customHeight="1" x14ac:dyDescent="0.25">
      <c r="A43" s="657" t="s">
        <v>295</v>
      </c>
      <c r="B43" s="648"/>
      <c r="C43" s="555"/>
      <c r="D43" s="664" t="s">
        <v>301</v>
      </c>
      <c r="E43" s="629">
        <f t="shared" si="1"/>
        <v>37</v>
      </c>
      <c r="F43" s="546">
        <v>426150.51662977174</v>
      </c>
      <c r="G43" s="620">
        <v>7992.5166297717396</v>
      </c>
      <c r="H43" s="620">
        <v>418158</v>
      </c>
      <c r="I43" s="620" t="s">
        <v>202</v>
      </c>
      <c r="J43" s="620" t="s">
        <v>308</v>
      </c>
      <c r="K43" s="620" t="s">
        <v>382</v>
      </c>
      <c r="L43" s="556"/>
      <c r="M43" s="318"/>
      <c r="N43" s="535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  <c r="AK43" s="318"/>
      <c r="AL43" s="318"/>
      <c r="AM43" s="318"/>
    </row>
    <row r="44" spans="1:39" s="323" customFormat="1" ht="32.4" customHeight="1" x14ac:dyDescent="0.25">
      <c r="A44" s="657" t="s">
        <v>75</v>
      </c>
      <c r="B44" s="648"/>
      <c r="C44" s="555"/>
      <c r="D44" s="688" t="s">
        <v>302</v>
      </c>
      <c r="E44" s="629">
        <f t="shared" si="1"/>
        <v>38</v>
      </c>
      <c r="F44" s="558">
        <v>106875</v>
      </c>
      <c r="G44" s="547">
        <v>0</v>
      </c>
      <c r="H44" s="547">
        <v>106875</v>
      </c>
      <c r="I44" s="620" t="s">
        <v>202</v>
      </c>
      <c r="J44" s="620" t="s">
        <v>308</v>
      </c>
      <c r="K44" s="620" t="s">
        <v>321</v>
      </c>
      <c r="L44" s="620"/>
      <c r="M44" s="318"/>
      <c r="N44" s="534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  <c r="AM44" s="318"/>
    </row>
    <row r="45" spans="1:39" s="323" customFormat="1" ht="38.4" customHeight="1" x14ac:dyDescent="0.25">
      <c r="A45" s="657" t="s">
        <v>222</v>
      </c>
      <c r="B45" s="648"/>
      <c r="C45" s="555"/>
      <c r="D45" s="688" t="s">
        <v>303</v>
      </c>
      <c r="E45" s="629">
        <f t="shared" si="1"/>
        <v>39</v>
      </c>
      <c r="F45" s="558">
        <v>255300</v>
      </c>
      <c r="G45" s="547">
        <v>0</v>
      </c>
      <c r="H45" s="547">
        <v>255300</v>
      </c>
      <c r="I45" s="620" t="s">
        <v>202</v>
      </c>
      <c r="J45" s="646" t="s">
        <v>308</v>
      </c>
      <c r="K45" s="646" t="s">
        <v>321</v>
      </c>
      <c r="L45" s="620"/>
      <c r="M45" s="318"/>
      <c r="N45" s="534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  <c r="AK45" s="318"/>
      <c r="AL45" s="318"/>
      <c r="AM45" s="318"/>
    </row>
    <row r="46" spans="1:39" s="323" customFormat="1" ht="38.4" customHeight="1" x14ac:dyDescent="0.25">
      <c r="A46" s="658" t="s">
        <v>223</v>
      </c>
      <c r="B46" s="649"/>
      <c r="C46" s="650"/>
      <c r="D46" s="688" t="s">
        <v>304</v>
      </c>
      <c r="E46" s="629">
        <f t="shared" si="1"/>
        <v>40</v>
      </c>
      <c r="F46" s="558">
        <v>69314.5</v>
      </c>
      <c r="G46" s="547">
        <v>0</v>
      </c>
      <c r="H46" s="547">
        <v>69314.5</v>
      </c>
      <c r="I46" s="620" t="s">
        <v>202</v>
      </c>
      <c r="J46" s="646" t="s">
        <v>308</v>
      </c>
      <c r="K46" s="678" t="s">
        <v>321</v>
      </c>
      <c r="L46" s="620"/>
      <c r="M46" s="318"/>
      <c r="N46" s="534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  <c r="AK46" s="318"/>
      <c r="AL46" s="318"/>
      <c r="AM46" s="318"/>
    </row>
    <row r="47" spans="1:39" s="323" customFormat="1" ht="55.2" customHeight="1" x14ac:dyDescent="0.25">
      <c r="A47" s="657" t="s">
        <v>224</v>
      </c>
      <c r="B47" s="648"/>
      <c r="C47" s="555"/>
      <c r="D47" s="620" t="s">
        <v>305</v>
      </c>
      <c r="E47" s="629">
        <f t="shared" si="1"/>
        <v>41</v>
      </c>
      <c r="F47" s="558">
        <v>121976.767742368</v>
      </c>
      <c r="G47" s="547">
        <v>59072.827742367997</v>
      </c>
      <c r="H47" s="547">
        <v>62903.94</v>
      </c>
      <c r="I47" s="620" t="s">
        <v>202</v>
      </c>
      <c r="J47" s="620" t="s">
        <v>308</v>
      </c>
      <c r="K47" s="620" t="s">
        <v>321</v>
      </c>
      <c r="L47" s="620"/>
      <c r="M47" s="318"/>
      <c r="N47" s="534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  <c r="AK47" s="318"/>
      <c r="AL47" s="318"/>
      <c r="AM47" s="318"/>
    </row>
    <row r="48" spans="1:39" s="323" customFormat="1" ht="55.2" customHeight="1" x14ac:dyDescent="0.25">
      <c r="A48" s="658" t="s">
        <v>294</v>
      </c>
      <c r="B48" s="648"/>
      <c r="C48" s="555"/>
      <c r="D48" s="548" t="s">
        <v>307</v>
      </c>
      <c r="E48" s="629">
        <f t="shared" si="1"/>
        <v>42</v>
      </c>
      <c r="F48" s="546">
        <v>908895.93</v>
      </c>
      <c r="G48" s="620">
        <v>307721.33</v>
      </c>
      <c r="H48" s="620">
        <v>601174.6</v>
      </c>
      <c r="I48" s="620" t="s">
        <v>202</v>
      </c>
      <c r="J48" s="620" t="s">
        <v>308</v>
      </c>
      <c r="K48" s="620" t="s">
        <v>382</v>
      </c>
      <c r="L48" s="556"/>
      <c r="M48" s="307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  <c r="AK48" s="318"/>
      <c r="AL48" s="318"/>
      <c r="AM48" s="318"/>
    </row>
    <row r="49" spans="1:39" s="323" customFormat="1" ht="37.200000000000003" customHeight="1" x14ac:dyDescent="0.25">
      <c r="A49" s="658" t="s">
        <v>75</v>
      </c>
      <c r="B49" s="649"/>
      <c r="C49" s="650"/>
      <c r="D49" s="688" t="s">
        <v>309</v>
      </c>
      <c r="E49" s="629">
        <f t="shared" si="1"/>
        <v>43</v>
      </c>
      <c r="F49" s="558">
        <v>70875</v>
      </c>
      <c r="G49" s="547">
        <v>0</v>
      </c>
      <c r="H49" s="547">
        <v>70875</v>
      </c>
      <c r="I49" s="620" t="s">
        <v>202</v>
      </c>
      <c r="J49" s="646" t="s">
        <v>334</v>
      </c>
      <c r="K49" s="620" t="s">
        <v>321</v>
      </c>
      <c r="L49" s="620"/>
      <c r="M49" s="318"/>
      <c r="N49" s="534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  <c r="AK49" s="318"/>
      <c r="AL49" s="318"/>
      <c r="AM49" s="318"/>
    </row>
    <row r="50" spans="1:39" s="323" customFormat="1" ht="48" customHeight="1" x14ac:dyDescent="0.25">
      <c r="A50" s="658" t="s">
        <v>75</v>
      </c>
      <c r="B50" s="649"/>
      <c r="C50" s="650"/>
      <c r="D50" s="620" t="s">
        <v>327</v>
      </c>
      <c r="E50" s="629">
        <f t="shared" si="1"/>
        <v>44</v>
      </c>
      <c r="F50" s="558">
        <v>33750</v>
      </c>
      <c r="G50" s="547">
        <v>0</v>
      </c>
      <c r="H50" s="547">
        <v>33750</v>
      </c>
      <c r="I50" s="550" t="s">
        <v>249</v>
      </c>
      <c r="J50" s="678" t="s">
        <v>347</v>
      </c>
      <c r="K50" s="678" t="s">
        <v>321</v>
      </c>
      <c r="L50" s="620"/>
      <c r="M50" s="318"/>
      <c r="N50" s="534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  <c r="AK50" s="318"/>
      <c r="AL50" s="318"/>
      <c r="AM50" s="318"/>
    </row>
    <row r="51" spans="1:39" s="323" customFormat="1" ht="41.4" customHeight="1" x14ac:dyDescent="0.25">
      <c r="A51" s="623" t="s">
        <v>75</v>
      </c>
      <c r="B51" s="559"/>
      <c r="C51" s="547"/>
      <c r="D51" s="620" t="s">
        <v>328</v>
      </c>
      <c r="E51" s="629">
        <f t="shared" ref="E51:E82" si="2">IFERROR(VALUE(MID(D51,2,LEN(D51)-1)),"")</f>
        <v>45</v>
      </c>
      <c r="F51" s="558">
        <v>30375</v>
      </c>
      <c r="G51" s="547">
        <v>0</v>
      </c>
      <c r="H51" s="547">
        <v>30375</v>
      </c>
      <c r="I51" s="550" t="s">
        <v>249</v>
      </c>
      <c r="J51" s="556" t="s">
        <v>347</v>
      </c>
      <c r="K51" s="556" t="s">
        <v>321</v>
      </c>
      <c r="L51" s="620"/>
      <c r="M51" s="318"/>
      <c r="N51" s="534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  <c r="AK51" s="318"/>
      <c r="AL51" s="318"/>
      <c r="AM51" s="318"/>
    </row>
    <row r="52" spans="1:39" s="323" customFormat="1" ht="28.95" customHeight="1" x14ac:dyDescent="0.25">
      <c r="A52" s="579" t="s">
        <v>258</v>
      </c>
      <c r="B52" s="645" t="s">
        <v>256</v>
      </c>
      <c r="C52" s="646">
        <v>35365.25</v>
      </c>
      <c r="D52" s="620" t="s">
        <v>329</v>
      </c>
      <c r="E52" s="629">
        <f t="shared" si="2"/>
        <v>46</v>
      </c>
      <c r="F52" s="558">
        <v>148135.124392</v>
      </c>
      <c r="G52" s="547">
        <v>115874.374392</v>
      </c>
      <c r="H52" s="547">
        <v>32260.75</v>
      </c>
      <c r="I52" s="620" t="s">
        <v>249</v>
      </c>
      <c r="J52" s="678" t="s">
        <v>347</v>
      </c>
      <c r="K52" s="755" t="s">
        <v>321</v>
      </c>
      <c r="L52" s="550"/>
      <c r="M52" s="318"/>
      <c r="N52" s="534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  <c r="AK52" s="318"/>
      <c r="AL52" s="318"/>
      <c r="AM52" s="318"/>
    </row>
    <row r="53" spans="1:39" s="323" customFormat="1" ht="36" customHeight="1" x14ac:dyDescent="0.25">
      <c r="A53" s="728" t="s">
        <v>285</v>
      </c>
      <c r="B53" s="717" t="s">
        <v>297</v>
      </c>
      <c r="C53" s="680">
        <v>108026.29200000002</v>
      </c>
      <c r="D53" s="620" t="s">
        <v>330</v>
      </c>
      <c r="E53" s="629">
        <f t="shared" si="2"/>
        <v>47</v>
      </c>
      <c r="F53" s="546">
        <v>120418.52706000002</v>
      </c>
      <c r="G53" s="547">
        <v>12392.235060000001</v>
      </c>
      <c r="H53" s="547">
        <v>108026.29200000002</v>
      </c>
      <c r="I53" s="550" t="s">
        <v>249</v>
      </c>
      <c r="J53" s="620" t="s">
        <v>334</v>
      </c>
      <c r="K53" s="646" t="s">
        <v>321</v>
      </c>
      <c r="L53" s="755"/>
      <c r="M53" s="534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  <c r="AK53" s="318"/>
      <c r="AL53" s="318"/>
    </row>
    <row r="54" spans="1:39" s="323" customFormat="1" ht="36" customHeight="1" x14ac:dyDescent="0.25">
      <c r="A54" s="657" t="s">
        <v>224</v>
      </c>
      <c r="B54" s="648"/>
      <c r="C54" s="555"/>
      <c r="D54" s="620" t="s">
        <v>331</v>
      </c>
      <c r="E54" s="629">
        <f t="shared" si="2"/>
        <v>48</v>
      </c>
      <c r="F54" s="558">
        <v>27190.45</v>
      </c>
      <c r="G54" s="547">
        <v>7129.87</v>
      </c>
      <c r="H54" s="547">
        <v>20060.580000000002</v>
      </c>
      <c r="I54" s="550" t="s">
        <v>249</v>
      </c>
      <c r="J54" s="556" t="s">
        <v>347</v>
      </c>
      <c r="K54" s="678" t="s">
        <v>321</v>
      </c>
      <c r="L54" s="678"/>
      <c r="M54" s="318"/>
      <c r="N54" s="534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  <c r="AK54" s="318"/>
      <c r="AL54" s="318"/>
      <c r="AM54" s="318"/>
    </row>
    <row r="55" spans="1:39" s="323" customFormat="1" ht="36" customHeight="1" x14ac:dyDescent="0.25">
      <c r="A55" s="658" t="s">
        <v>71</v>
      </c>
      <c r="B55" s="649"/>
      <c r="C55" s="650"/>
      <c r="D55" s="549" t="s">
        <v>332</v>
      </c>
      <c r="E55" s="629">
        <f t="shared" si="2"/>
        <v>49</v>
      </c>
      <c r="F55" s="590">
        <v>73376.032399999996</v>
      </c>
      <c r="G55" s="556">
        <v>45590.462399999997</v>
      </c>
      <c r="H55" s="556">
        <v>27785.57</v>
      </c>
      <c r="I55" s="620" t="s">
        <v>202</v>
      </c>
      <c r="J55" s="620" t="s">
        <v>347</v>
      </c>
      <c r="K55" s="646" t="s">
        <v>382</v>
      </c>
      <c r="L55" s="755"/>
      <c r="M55" s="318"/>
      <c r="N55" s="535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  <c r="AK55" s="318"/>
      <c r="AL55" s="318"/>
      <c r="AM55" s="318"/>
    </row>
    <row r="56" spans="1:39" s="323" customFormat="1" ht="35.4" customHeight="1" x14ac:dyDescent="0.25">
      <c r="A56" s="663" t="s">
        <v>294</v>
      </c>
      <c r="B56" s="647"/>
      <c r="C56" s="554"/>
      <c r="D56" s="664" t="s">
        <v>335</v>
      </c>
      <c r="E56" s="629">
        <f t="shared" si="2"/>
        <v>50</v>
      </c>
      <c r="F56" s="546">
        <v>15568.8</v>
      </c>
      <c r="G56" s="620"/>
      <c r="H56" s="620">
        <v>15568.8</v>
      </c>
      <c r="I56" s="620" t="s">
        <v>202</v>
      </c>
      <c r="J56" s="646" t="s">
        <v>347</v>
      </c>
      <c r="K56" s="646" t="s">
        <v>382</v>
      </c>
      <c r="L56" s="678" t="s">
        <v>153</v>
      </c>
      <c r="M56" s="307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  <c r="AK56" s="318"/>
      <c r="AL56" s="318"/>
      <c r="AM56" s="318"/>
    </row>
    <row r="57" spans="1:39" s="323" customFormat="1" ht="35.4" customHeight="1" x14ac:dyDescent="0.25">
      <c r="A57" s="686" t="s">
        <v>79</v>
      </c>
      <c r="B57" s="648"/>
      <c r="C57" s="555"/>
      <c r="D57" s="688" t="s">
        <v>336</v>
      </c>
      <c r="E57" s="629">
        <f t="shared" si="2"/>
        <v>51</v>
      </c>
      <c r="F57" s="558">
        <v>5193.3999999999996</v>
      </c>
      <c r="G57" s="547">
        <v>0</v>
      </c>
      <c r="H57" s="547">
        <v>5193.3999999999996</v>
      </c>
      <c r="I57" s="550" t="s">
        <v>249</v>
      </c>
      <c r="J57" s="556" t="s">
        <v>347</v>
      </c>
      <c r="K57" s="678" t="s">
        <v>321</v>
      </c>
      <c r="L57" s="646"/>
      <c r="M57" s="318"/>
      <c r="N57" s="534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  <c r="AK57" s="318"/>
      <c r="AL57" s="318"/>
      <c r="AM57" s="318"/>
    </row>
    <row r="58" spans="1:39" s="323" customFormat="1" ht="35.4" customHeight="1" x14ac:dyDescent="0.25">
      <c r="A58" s="729" t="s">
        <v>170</v>
      </c>
      <c r="B58" s="651" t="s">
        <v>198</v>
      </c>
      <c r="C58" s="652">
        <v>1109034.9700000002</v>
      </c>
      <c r="D58" s="692" t="s">
        <v>337</v>
      </c>
      <c r="E58" s="748">
        <f t="shared" si="2"/>
        <v>52</v>
      </c>
      <c r="F58" s="558">
        <v>244644.62437129952</v>
      </c>
      <c r="G58" s="744">
        <v>129446.72437129953</v>
      </c>
      <c r="H58" s="744">
        <v>115197.90000000001</v>
      </c>
      <c r="I58" s="639" t="s">
        <v>249</v>
      </c>
      <c r="J58" s="754" t="s">
        <v>347</v>
      </c>
      <c r="K58" s="754" t="s">
        <v>382</v>
      </c>
      <c r="L58" s="754"/>
      <c r="M58" s="318"/>
      <c r="N58" s="534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  <c r="AK58" s="318"/>
      <c r="AL58" s="318"/>
      <c r="AM58" s="318"/>
    </row>
    <row r="59" spans="1:39" s="323" customFormat="1" ht="43.8" customHeight="1" x14ac:dyDescent="0.25">
      <c r="A59" s="686" t="s">
        <v>293</v>
      </c>
      <c r="B59" s="648"/>
      <c r="C59" s="555"/>
      <c r="D59" s="664" t="s">
        <v>338</v>
      </c>
      <c r="E59" s="629">
        <f t="shared" si="2"/>
        <v>53</v>
      </c>
      <c r="F59" s="546">
        <v>1041800.0712068096</v>
      </c>
      <c r="G59" s="620">
        <v>358436.37120680953</v>
      </c>
      <c r="H59" s="620">
        <v>683363.70000000007</v>
      </c>
      <c r="I59" s="620" t="s">
        <v>202</v>
      </c>
      <c r="J59" s="646" t="s">
        <v>347</v>
      </c>
      <c r="K59" s="646" t="s">
        <v>321</v>
      </c>
      <c r="L59" s="755"/>
      <c r="M59" s="307" t="s">
        <v>188</v>
      </c>
      <c r="N59" s="691" t="s">
        <v>315</v>
      </c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  <c r="AJ59" s="318"/>
      <c r="AK59" s="318"/>
      <c r="AL59" s="318"/>
      <c r="AM59" s="318"/>
    </row>
    <row r="60" spans="1:39" s="323" customFormat="1" ht="49.2" customHeight="1" x14ac:dyDescent="0.25">
      <c r="A60" s="686" t="s">
        <v>294</v>
      </c>
      <c r="B60" s="648"/>
      <c r="C60" s="555"/>
      <c r="D60" s="664" t="s">
        <v>339</v>
      </c>
      <c r="E60" s="629">
        <f t="shared" si="2"/>
        <v>54</v>
      </c>
      <c r="F60" s="546">
        <v>2738195.2531138035</v>
      </c>
      <c r="G60" s="620">
        <v>1165791.7731138035</v>
      </c>
      <c r="H60" s="620">
        <v>1572403.4799999997</v>
      </c>
      <c r="I60" s="620" t="s">
        <v>202</v>
      </c>
      <c r="J60" s="620" t="s">
        <v>347</v>
      </c>
      <c r="K60" s="646" t="s">
        <v>321</v>
      </c>
      <c r="L60" s="755"/>
      <c r="M60" s="307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  <c r="AJ60" s="318"/>
      <c r="AK60" s="318"/>
      <c r="AL60" s="318"/>
      <c r="AM60" s="318"/>
    </row>
    <row r="61" spans="1:39" s="323" customFormat="1" ht="34.799999999999997" customHeight="1" x14ac:dyDescent="0.25">
      <c r="A61" s="686" t="s">
        <v>75</v>
      </c>
      <c r="B61" s="648"/>
      <c r="C61" s="555"/>
      <c r="D61" s="688" t="s">
        <v>340</v>
      </c>
      <c r="E61" s="629">
        <f t="shared" si="2"/>
        <v>55</v>
      </c>
      <c r="F61" s="558">
        <v>76125</v>
      </c>
      <c r="G61" s="547">
        <v>0</v>
      </c>
      <c r="H61" s="547">
        <v>76125</v>
      </c>
      <c r="I61" s="550" t="s">
        <v>249</v>
      </c>
      <c r="J61" s="620" t="s">
        <v>357</v>
      </c>
      <c r="K61" s="678" t="s">
        <v>321</v>
      </c>
      <c r="L61" s="757"/>
      <c r="M61" s="318"/>
      <c r="N61" s="534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  <c r="AJ61" s="318"/>
      <c r="AK61" s="318"/>
      <c r="AL61" s="318"/>
      <c r="AM61" s="318"/>
    </row>
    <row r="62" spans="1:39" s="323" customFormat="1" ht="40.200000000000003" customHeight="1" x14ac:dyDescent="0.25">
      <c r="A62" s="686" t="s">
        <v>75</v>
      </c>
      <c r="B62" s="648"/>
      <c r="C62" s="555"/>
      <c r="D62" s="688" t="s">
        <v>341</v>
      </c>
      <c r="E62" s="629">
        <f t="shared" si="2"/>
        <v>56</v>
      </c>
      <c r="F62" s="558">
        <v>169875</v>
      </c>
      <c r="G62" s="547">
        <v>0</v>
      </c>
      <c r="H62" s="547">
        <v>169875</v>
      </c>
      <c r="I62" s="550" t="s">
        <v>249</v>
      </c>
      <c r="J62" s="646" t="s">
        <v>357</v>
      </c>
      <c r="K62" s="678" t="s">
        <v>321</v>
      </c>
      <c r="L62" s="638" t="s">
        <v>358</v>
      </c>
      <c r="M62" s="318"/>
      <c r="N62" s="534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  <c r="AK62" s="318"/>
      <c r="AL62" s="318"/>
      <c r="AM62" s="318"/>
    </row>
    <row r="63" spans="1:39" s="323" customFormat="1" ht="40.200000000000003" customHeight="1" x14ac:dyDescent="0.25">
      <c r="A63" s="686" t="s">
        <v>75</v>
      </c>
      <c r="B63" s="648"/>
      <c r="C63" s="555"/>
      <c r="D63" s="688" t="s">
        <v>342</v>
      </c>
      <c r="E63" s="629">
        <f t="shared" si="2"/>
        <v>57</v>
      </c>
      <c r="F63" s="558">
        <v>21000</v>
      </c>
      <c r="G63" s="547">
        <v>0</v>
      </c>
      <c r="H63" s="547">
        <v>21000</v>
      </c>
      <c r="I63" s="550" t="s">
        <v>249</v>
      </c>
      <c r="J63" s="646" t="s">
        <v>357</v>
      </c>
      <c r="K63" s="678" t="s">
        <v>321</v>
      </c>
      <c r="L63" s="638" t="s">
        <v>358</v>
      </c>
      <c r="M63" s="318"/>
      <c r="N63" s="534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  <c r="AK63" s="318"/>
      <c r="AL63" s="318"/>
      <c r="AM63" s="318"/>
    </row>
    <row r="64" spans="1:39" s="323" customFormat="1" ht="40.200000000000003" customHeight="1" x14ac:dyDescent="0.25">
      <c r="A64" s="686" t="s">
        <v>75</v>
      </c>
      <c r="B64" s="667"/>
      <c r="C64" s="668"/>
      <c r="D64" s="688" t="s">
        <v>343</v>
      </c>
      <c r="E64" s="629">
        <f t="shared" si="2"/>
        <v>58</v>
      </c>
      <c r="F64" s="558">
        <v>36750</v>
      </c>
      <c r="G64" s="547">
        <v>0</v>
      </c>
      <c r="H64" s="547">
        <v>36750</v>
      </c>
      <c r="I64" s="550" t="s">
        <v>249</v>
      </c>
      <c r="J64" s="646" t="s">
        <v>357</v>
      </c>
      <c r="K64" s="678" t="s">
        <v>321</v>
      </c>
      <c r="L64" s="638" t="s">
        <v>358</v>
      </c>
      <c r="M64" s="318"/>
      <c r="N64" s="534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  <c r="AK64" s="318"/>
      <c r="AL64" s="318"/>
      <c r="AM64" s="318"/>
    </row>
    <row r="65" spans="1:39" s="323" customFormat="1" ht="40.200000000000003" customHeight="1" x14ac:dyDescent="0.25">
      <c r="A65" s="730" t="s">
        <v>303</v>
      </c>
      <c r="B65" s="723" t="s">
        <v>349</v>
      </c>
      <c r="C65" s="710">
        <f>'Реєстр ДЦ '!E55</f>
        <v>8258.1</v>
      </c>
      <c r="D65" s="688" t="s">
        <v>344</v>
      </c>
      <c r="E65" s="629">
        <f t="shared" si="2"/>
        <v>59</v>
      </c>
      <c r="F65" s="546">
        <v>8258.1</v>
      </c>
      <c r="G65" s="547"/>
      <c r="H65" s="620">
        <v>8258.1</v>
      </c>
      <c r="I65" s="550" t="s">
        <v>249</v>
      </c>
      <c r="J65" s="646" t="s">
        <v>371</v>
      </c>
      <c r="K65" s="646" t="s">
        <v>321</v>
      </c>
      <c r="L65" s="547"/>
      <c r="M65" s="534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  <c r="AJ65" s="318"/>
      <c r="AK65" s="318"/>
      <c r="AL65" s="318"/>
    </row>
    <row r="66" spans="1:39" s="323" customFormat="1" ht="40.200000000000003" customHeight="1" x14ac:dyDescent="0.25">
      <c r="A66" s="686" t="s">
        <v>75</v>
      </c>
      <c r="B66" s="667"/>
      <c r="C66" s="668"/>
      <c r="D66" s="688" t="s">
        <v>345</v>
      </c>
      <c r="E66" s="629">
        <f t="shared" si="2"/>
        <v>60</v>
      </c>
      <c r="F66" s="558">
        <v>21000</v>
      </c>
      <c r="G66" s="547">
        <v>0</v>
      </c>
      <c r="H66" s="547">
        <v>21000</v>
      </c>
      <c r="I66" s="550" t="s">
        <v>249</v>
      </c>
      <c r="J66" s="646" t="s">
        <v>357</v>
      </c>
      <c r="K66" s="646" t="s">
        <v>321</v>
      </c>
      <c r="L66" s="638" t="s">
        <v>358</v>
      </c>
      <c r="M66" s="318"/>
      <c r="N66" s="534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  <c r="AK66" s="318"/>
      <c r="AL66" s="318"/>
      <c r="AM66" s="318"/>
    </row>
    <row r="67" spans="1:39" s="323" customFormat="1" ht="40.200000000000003" customHeight="1" x14ac:dyDescent="0.25">
      <c r="A67" s="709" t="s">
        <v>253</v>
      </c>
      <c r="B67" s="723" t="s">
        <v>255</v>
      </c>
      <c r="C67" s="710">
        <v>35345</v>
      </c>
      <c r="D67" s="688" t="s">
        <v>346</v>
      </c>
      <c r="E67" s="629">
        <f t="shared" si="2"/>
        <v>61</v>
      </c>
      <c r="F67" s="558">
        <v>129839.32</v>
      </c>
      <c r="G67" s="547">
        <v>102300.57</v>
      </c>
      <c r="H67" s="547">
        <v>27538.75</v>
      </c>
      <c r="I67" s="550" t="s">
        <v>249</v>
      </c>
      <c r="J67" s="646" t="s">
        <v>350</v>
      </c>
      <c r="K67" s="646" t="s">
        <v>321</v>
      </c>
      <c r="L67" s="620"/>
      <c r="M67" s="318"/>
      <c r="N67" s="534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  <c r="AJ67" s="318"/>
      <c r="AK67" s="318"/>
      <c r="AL67" s="318"/>
      <c r="AM67" s="318"/>
    </row>
    <row r="68" spans="1:39" s="323" customFormat="1" ht="40.200000000000003" customHeight="1" x14ac:dyDescent="0.25">
      <c r="A68" s="733" t="s">
        <v>170</v>
      </c>
      <c r="B68" s="736"/>
      <c r="C68" s="694"/>
      <c r="D68" s="692" t="s">
        <v>351</v>
      </c>
      <c r="E68" s="629">
        <f t="shared" si="2"/>
        <v>62</v>
      </c>
      <c r="F68" s="558">
        <v>593014.25678718765</v>
      </c>
      <c r="G68" s="547">
        <v>228541.95678718766</v>
      </c>
      <c r="H68" s="547">
        <v>364472.3</v>
      </c>
      <c r="I68" s="639" t="s">
        <v>249</v>
      </c>
      <c r="J68" s="678" t="s">
        <v>359</v>
      </c>
      <c r="K68" s="754" t="s">
        <v>321</v>
      </c>
      <c r="L68" s="642"/>
      <c r="M68" s="318"/>
      <c r="N68" s="534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  <c r="AJ68" s="318"/>
      <c r="AK68" s="318"/>
      <c r="AL68" s="318"/>
      <c r="AM68" s="318"/>
    </row>
    <row r="69" spans="1:39" s="323" customFormat="1" ht="40.200000000000003" customHeight="1" x14ac:dyDescent="0.25">
      <c r="A69" s="687" t="s">
        <v>294</v>
      </c>
      <c r="B69" s="667"/>
      <c r="C69" s="668"/>
      <c r="D69" s="664" t="s">
        <v>353</v>
      </c>
      <c r="E69" s="629">
        <f t="shared" si="2"/>
        <v>63</v>
      </c>
      <c r="F69" s="546">
        <v>3145348.21</v>
      </c>
      <c r="G69" s="620">
        <v>1234705.2081420319</v>
      </c>
      <c r="H69" s="620">
        <v>1910643</v>
      </c>
      <c r="I69" s="620" t="s">
        <v>202</v>
      </c>
      <c r="J69" s="678" t="s">
        <v>374</v>
      </c>
      <c r="K69" s="678" t="s">
        <v>321</v>
      </c>
      <c r="L69" s="643"/>
      <c r="M69" s="307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  <c r="AJ69" s="318"/>
      <c r="AK69" s="318"/>
      <c r="AL69" s="318"/>
      <c r="AM69" s="318"/>
    </row>
    <row r="70" spans="1:39" s="323" customFormat="1" ht="40.200000000000003" customHeight="1" x14ac:dyDescent="0.25">
      <c r="A70" s="687" t="s">
        <v>77</v>
      </c>
      <c r="B70" s="648"/>
      <c r="C70" s="555"/>
      <c r="D70" s="685" t="s">
        <v>366</v>
      </c>
      <c r="E70" s="628">
        <f t="shared" si="2"/>
        <v>64</v>
      </c>
      <c r="F70" s="591">
        <v>397492.83880000003</v>
      </c>
      <c r="G70" s="620">
        <v>21942.838799999998</v>
      </c>
      <c r="H70" s="557">
        <v>375550</v>
      </c>
      <c r="I70" s="550" t="s">
        <v>249</v>
      </c>
      <c r="J70" s="678" t="s">
        <v>374</v>
      </c>
      <c r="K70" s="678" t="s">
        <v>321</v>
      </c>
      <c r="L70" s="620"/>
      <c r="M70" s="536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  <c r="AE70" s="318"/>
      <c r="AF70" s="318"/>
      <c r="AG70" s="318"/>
      <c r="AH70" s="318"/>
      <c r="AI70" s="318"/>
      <c r="AJ70" s="318"/>
      <c r="AK70" s="318"/>
      <c r="AL70" s="318"/>
      <c r="AM70" s="318"/>
    </row>
    <row r="71" spans="1:39" s="323" customFormat="1" ht="40.200000000000003" customHeight="1" x14ac:dyDescent="0.25">
      <c r="A71" s="687" t="s">
        <v>222</v>
      </c>
      <c r="B71" s="667"/>
      <c r="C71" s="668"/>
      <c r="D71" s="688" t="s">
        <v>367</v>
      </c>
      <c r="E71" s="629">
        <f t="shared" si="2"/>
        <v>65</v>
      </c>
      <c r="F71" s="558">
        <v>356841.48</v>
      </c>
      <c r="G71" s="547">
        <v>234741.48</v>
      </c>
      <c r="H71" s="547">
        <v>122100</v>
      </c>
      <c r="I71" s="620" t="s">
        <v>202</v>
      </c>
      <c r="J71" s="678" t="s">
        <v>374</v>
      </c>
      <c r="K71" s="678" t="s">
        <v>321</v>
      </c>
      <c r="L71" s="620"/>
      <c r="M71" s="318"/>
      <c r="N71" s="534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  <c r="AE71" s="318"/>
      <c r="AF71" s="318"/>
      <c r="AG71" s="318"/>
      <c r="AH71" s="318"/>
      <c r="AI71" s="318"/>
      <c r="AJ71" s="318"/>
      <c r="AK71" s="318"/>
      <c r="AL71" s="318"/>
      <c r="AM71" s="318"/>
    </row>
    <row r="72" spans="1:39" s="323" customFormat="1" ht="40.200000000000003" customHeight="1" x14ac:dyDescent="0.25">
      <c r="A72" s="687" t="s">
        <v>304</v>
      </c>
      <c r="B72" s="667" t="s">
        <v>354</v>
      </c>
      <c r="C72" s="668"/>
      <c r="D72" s="688" t="s">
        <v>355</v>
      </c>
      <c r="E72" s="629">
        <f t="shared" si="2"/>
        <v>66</v>
      </c>
      <c r="F72" s="546">
        <v>646774</v>
      </c>
      <c r="G72" s="547"/>
      <c r="H72" s="620">
        <v>646774</v>
      </c>
      <c r="I72" s="550" t="s">
        <v>249</v>
      </c>
      <c r="J72" s="646" t="s">
        <v>371</v>
      </c>
      <c r="K72" s="646"/>
      <c r="L72" s="547"/>
      <c r="M72" s="534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  <c r="AJ72" s="318"/>
      <c r="AK72" s="318"/>
      <c r="AL72" s="318"/>
    </row>
    <row r="73" spans="1:39" s="323" customFormat="1" ht="42" customHeight="1" x14ac:dyDescent="0.25">
      <c r="A73" s="671" t="s">
        <v>72</v>
      </c>
      <c r="B73" s="675" t="s">
        <v>195</v>
      </c>
      <c r="C73" s="666">
        <v>37950.600000000006</v>
      </c>
      <c r="D73" s="688" t="s">
        <v>360</v>
      </c>
      <c r="E73" s="629">
        <f t="shared" si="2"/>
        <v>67</v>
      </c>
      <c r="F73" s="546">
        <v>83715.760000000009</v>
      </c>
      <c r="G73" s="620">
        <v>30619.86</v>
      </c>
      <c r="H73" s="556">
        <v>53095.9</v>
      </c>
      <c r="I73" s="620" t="s">
        <v>202</v>
      </c>
      <c r="J73" s="556" t="s">
        <v>374</v>
      </c>
      <c r="K73" s="678" t="s">
        <v>321</v>
      </c>
      <c r="L73" s="620"/>
      <c r="M73" s="539"/>
      <c r="N73" s="540"/>
      <c r="O73" s="537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  <c r="AE73" s="318"/>
      <c r="AF73" s="318"/>
      <c r="AG73" s="318"/>
      <c r="AH73" s="318"/>
      <c r="AI73" s="318"/>
      <c r="AJ73" s="318"/>
      <c r="AK73" s="318"/>
      <c r="AL73" s="318"/>
      <c r="AM73" s="318"/>
    </row>
    <row r="74" spans="1:39" s="323" customFormat="1" ht="39.6" customHeight="1" x14ac:dyDescent="0.25">
      <c r="A74" s="732" t="s">
        <v>170</v>
      </c>
      <c r="B74" s="735"/>
      <c r="C74" s="742"/>
      <c r="D74" s="692" t="s">
        <v>362</v>
      </c>
      <c r="E74" s="629">
        <f t="shared" si="2"/>
        <v>68</v>
      </c>
      <c r="F74" s="558">
        <v>118268.03085</v>
      </c>
      <c r="G74" s="547">
        <v>38288.330849999998</v>
      </c>
      <c r="H74" s="547">
        <v>79979.7</v>
      </c>
      <c r="I74" s="639" t="s">
        <v>249</v>
      </c>
      <c r="J74" s="678" t="s">
        <v>374</v>
      </c>
      <c r="K74" s="678" t="s">
        <v>321</v>
      </c>
      <c r="L74" s="642"/>
      <c r="M74" s="318"/>
      <c r="N74" s="534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  <c r="AA74" s="318"/>
      <c r="AB74" s="318"/>
      <c r="AC74" s="318"/>
      <c r="AD74" s="318"/>
      <c r="AE74" s="318"/>
      <c r="AF74" s="318"/>
      <c r="AG74" s="318"/>
      <c r="AH74" s="318"/>
      <c r="AI74" s="318"/>
      <c r="AJ74" s="318"/>
      <c r="AK74" s="318"/>
      <c r="AL74" s="318"/>
      <c r="AM74" s="318"/>
    </row>
    <row r="75" spans="1:39" s="323" customFormat="1" ht="39.6" customHeight="1" x14ac:dyDescent="0.25">
      <c r="A75" s="671" t="s">
        <v>260</v>
      </c>
      <c r="B75" s="676" t="s">
        <v>261</v>
      </c>
      <c r="C75" s="677">
        <v>30402.5</v>
      </c>
      <c r="D75" s="688" t="s">
        <v>361</v>
      </c>
      <c r="E75" s="629">
        <f t="shared" si="2"/>
        <v>69</v>
      </c>
      <c r="F75" s="558">
        <v>117879.35040000001</v>
      </c>
      <c r="G75" s="547">
        <v>91549.85040000001</v>
      </c>
      <c r="H75" s="547">
        <v>26329.5</v>
      </c>
      <c r="I75" s="550" t="s">
        <v>249</v>
      </c>
      <c r="J75" s="678" t="s">
        <v>374</v>
      </c>
      <c r="K75" s="678" t="s">
        <v>321</v>
      </c>
      <c r="L75" s="620"/>
      <c r="M75" s="318"/>
      <c r="N75" s="534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318"/>
      <c r="AB75" s="318"/>
      <c r="AC75" s="318"/>
      <c r="AD75" s="318"/>
      <c r="AE75" s="318"/>
      <c r="AF75" s="318"/>
      <c r="AG75" s="318"/>
      <c r="AH75" s="318"/>
      <c r="AI75" s="318"/>
      <c r="AJ75" s="318"/>
      <c r="AK75" s="318"/>
      <c r="AL75" s="318"/>
      <c r="AM75" s="318"/>
    </row>
    <row r="76" spans="1:39" s="323" customFormat="1" ht="39.6" customHeight="1" x14ac:dyDescent="0.25">
      <c r="A76" s="699" t="s">
        <v>245</v>
      </c>
      <c r="B76" s="669" t="s">
        <v>232</v>
      </c>
      <c r="C76" s="670">
        <v>959112.20788461529</v>
      </c>
      <c r="D76" s="688" t="s">
        <v>363</v>
      </c>
      <c r="E76" s="629">
        <f t="shared" si="2"/>
        <v>70</v>
      </c>
      <c r="F76" s="558">
        <v>203939.56</v>
      </c>
      <c r="G76" s="547">
        <v>32946.06</v>
      </c>
      <c r="H76" s="547">
        <v>170993.5</v>
      </c>
      <c r="I76" s="550" t="s">
        <v>249</v>
      </c>
      <c r="J76" s="678" t="s">
        <v>387</v>
      </c>
      <c r="K76" s="678" t="s">
        <v>321</v>
      </c>
      <c r="L76" s="620"/>
      <c r="M76" s="318"/>
      <c r="N76" s="534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  <c r="AA76" s="318"/>
      <c r="AB76" s="318"/>
      <c r="AC76" s="318"/>
      <c r="AD76" s="318"/>
      <c r="AE76" s="318"/>
      <c r="AF76" s="318"/>
      <c r="AG76" s="318"/>
      <c r="AH76" s="318"/>
      <c r="AI76" s="318"/>
      <c r="AJ76" s="318"/>
      <c r="AK76" s="318"/>
      <c r="AL76" s="318"/>
      <c r="AM76" s="318"/>
    </row>
    <row r="77" spans="1:39" s="323" customFormat="1" ht="32.4" customHeight="1" x14ac:dyDescent="0.25">
      <c r="A77" s="623" t="s">
        <v>293</v>
      </c>
      <c r="B77" s="649"/>
      <c r="C77" s="650"/>
      <c r="D77" s="548" t="s">
        <v>364</v>
      </c>
      <c r="E77" s="629">
        <f t="shared" si="2"/>
        <v>71</v>
      </c>
      <c r="F77" s="546">
        <v>3843652.4262551991</v>
      </c>
      <c r="G77" s="620">
        <v>1651331.9262551989</v>
      </c>
      <c r="H77" s="620">
        <v>2192320.5</v>
      </c>
      <c r="I77" s="620" t="s">
        <v>202</v>
      </c>
      <c r="J77" s="620" t="s">
        <v>394</v>
      </c>
      <c r="K77" s="620" t="s">
        <v>321</v>
      </c>
      <c r="L77" s="547"/>
      <c r="M77" s="533"/>
      <c r="N77" s="691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  <c r="AA77" s="318"/>
      <c r="AB77" s="318"/>
      <c r="AC77" s="318"/>
      <c r="AD77" s="318"/>
      <c r="AE77" s="318"/>
      <c r="AF77" s="318"/>
      <c r="AG77" s="318"/>
      <c r="AH77" s="318"/>
      <c r="AI77" s="318"/>
      <c r="AJ77" s="318"/>
      <c r="AK77" s="318"/>
      <c r="AL77" s="318"/>
      <c r="AM77" s="318"/>
    </row>
    <row r="78" spans="1:39" s="323" customFormat="1" ht="40.200000000000003" customHeight="1" x14ac:dyDescent="0.25">
      <c r="A78" s="623" t="s">
        <v>262</v>
      </c>
      <c r="B78" s="559" t="s">
        <v>270</v>
      </c>
      <c r="C78" s="547">
        <v>1900000</v>
      </c>
      <c r="D78" s="620" t="s">
        <v>365</v>
      </c>
      <c r="E78" s="629">
        <f t="shared" si="2"/>
        <v>72</v>
      </c>
      <c r="F78" s="558">
        <v>254850</v>
      </c>
      <c r="G78" s="547"/>
      <c r="H78" s="547">
        <v>254850</v>
      </c>
      <c r="I78" s="550" t="s">
        <v>249</v>
      </c>
      <c r="J78" s="556" t="s">
        <v>374</v>
      </c>
      <c r="K78" s="556" t="s">
        <v>321</v>
      </c>
      <c r="L78" s="620"/>
      <c r="M78" s="318"/>
      <c r="N78" s="534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318"/>
      <c r="AB78" s="318"/>
      <c r="AC78" s="318"/>
      <c r="AD78" s="318"/>
      <c r="AE78" s="318"/>
      <c r="AF78" s="318"/>
      <c r="AG78" s="318"/>
      <c r="AH78" s="318"/>
      <c r="AI78" s="318"/>
      <c r="AJ78" s="318"/>
      <c r="AK78" s="318"/>
      <c r="AL78" s="318"/>
      <c r="AM78" s="318"/>
    </row>
    <row r="79" spans="1:39" s="323" customFormat="1" ht="53.4" customHeight="1" x14ac:dyDescent="0.25">
      <c r="A79" s="623" t="s">
        <v>77</v>
      </c>
      <c r="B79" s="559"/>
      <c r="C79" s="547"/>
      <c r="D79" s="550" t="s">
        <v>369</v>
      </c>
      <c r="E79" s="628">
        <f t="shared" si="2"/>
        <v>73</v>
      </c>
      <c r="F79" s="591">
        <v>221742.8388</v>
      </c>
      <c r="G79" s="620">
        <v>21942.838799999998</v>
      </c>
      <c r="H79" s="557">
        <v>199800</v>
      </c>
      <c r="I79" s="550" t="s">
        <v>249</v>
      </c>
      <c r="J79" s="556" t="s">
        <v>374</v>
      </c>
      <c r="K79" s="678" t="s">
        <v>321</v>
      </c>
      <c r="L79" s="620"/>
      <c r="M79" s="536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  <c r="AA79" s="318"/>
      <c r="AB79" s="318"/>
      <c r="AC79" s="318"/>
      <c r="AD79" s="318"/>
      <c r="AE79" s="318"/>
      <c r="AF79" s="318"/>
      <c r="AG79" s="318"/>
      <c r="AH79" s="318"/>
      <c r="AI79" s="318"/>
      <c r="AJ79" s="318"/>
      <c r="AK79" s="318"/>
      <c r="AL79" s="318"/>
      <c r="AM79" s="318"/>
    </row>
    <row r="80" spans="1:39" s="323" customFormat="1" ht="37.950000000000003" customHeight="1" x14ac:dyDescent="0.25">
      <c r="A80" s="623" t="s">
        <v>75</v>
      </c>
      <c r="B80" s="647"/>
      <c r="C80" s="554"/>
      <c r="D80" s="620" t="s">
        <v>377</v>
      </c>
      <c r="E80" s="629">
        <f t="shared" si="2"/>
        <v>74</v>
      </c>
      <c r="F80" s="558">
        <v>2250</v>
      </c>
      <c r="G80" s="547">
        <v>0</v>
      </c>
      <c r="H80" s="547">
        <v>2250</v>
      </c>
      <c r="I80" s="550" t="s">
        <v>249</v>
      </c>
      <c r="J80" s="620" t="s">
        <v>395</v>
      </c>
      <c r="K80" s="620" t="s">
        <v>321</v>
      </c>
      <c r="L80" s="638"/>
      <c r="M80" s="318"/>
      <c r="N80" s="534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  <c r="AA80" s="318"/>
      <c r="AB80" s="318"/>
      <c r="AC80" s="318"/>
      <c r="AD80" s="318"/>
      <c r="AE80" s="318"/>
      <c r="AF80" s="318"/>
      <c r="AG80" s="318"/>
      <c r="AH80" s="318"/>
      <c r="AI80" s="318"/>
      <c r="AJ80" s="318"/>
      <c r="AK80" s="318"/>
      <c r="AL80" s="318"/>
      <c r="AM80" s="318"/>
    </row>
    <row r="81" spans="1:39" s="323" customFormat="1" ht="65.400000000000006" customHeight="1" x14ac:dyDescent="0.25">
      <c r="A81" s="699" t="s">
        <v>222</v>
      </c>
      <c r="B81" s="665"/>
      <c r="C81" s="666"/>
      <c r="D81" s="664" t="s">
        <v>378</v>
      </c>
      <c r="E81" s="629">
        <f t="shared" si="2"/>
        <v>75</v>
      </c>
      <c r="F81" s="558">
        <v>77459.5</v>
      </c>
      <c r="G81" s="547"/>
      <c r="H81" s="547">
        <v>77459.5</v>
      </c>
      <c r="I81" s="620" t="s">
        <v>202</v>
      </c>
      <c r="J81" s="646" t="s">
        <v>416</v>
      </c>
      <c r="K81" s="556" t="s">
        <v>321</v>
      </c>
      <c r="L81" s="547"/>
      <c r="M81" s="318"/>
      <c r="N81" s="534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  <c r="AA81" s="318"/>
      <c r="AB81" s="318"/>
      <c r="AC81" s="318"/>
      <c r="AD81" s="318"/>
      <c r="AE81" s="318"/>
      <c r="AF81" s="318"/>
      <c r="AG81" s="318"/>
      <c r="AH81" s="318"/>
      <c r="AI81" s="318"/>
      <c r="AJ81" s="318"/>
      <c r="AK81" s="318"/>
      <c r="AL81" s="318"/>
      <c r="AM81" s="318"/>
    </row>
    <row r="82" spans="1:39" s="323" customFormat="1" ht="47.4" customHeight="1" x14ac:dyDescent="0.25">
      <c r="A82" s="699" t="s">
        <v>304</v>
      </c>
      <c r="B82" s="667"/>
      <c r="C82" s="668"/>
      <c r="D82" s="688" t="s">
        <v>379</v>
      </c>
      <c r="E82" s="629">
        <f t="shared" si="2"/>
        <v>76</v>
      </c>
      <c r="F82" s="546">
        <v>15700</v>
      </c>
      <c r="G82" s="547"/>
      <c r="H82" s="620">
        <v>15700</v>
      </c>
      <c r="I82" s="550" t="s">
        <v>249</v>
      </c>
      <c r="J82" s="646" t="s">
        <v>394</v>
      </c>
      <c r="K82" s="620"/>
      <c r="L82" s="547"/>
      <c r="M82" s="534"/>
      <c r="N82" s="318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  <c r="AA82" s="318"/>
      <c r="AB82" s="318"/>
      <c r="AC82" s="318"/>
      <c r="AD82" s="318"/>
      <c r="AE82" s="318"/>
      <c r="AF82" s="318"/>
      <c r="AG82" s="318"/>
      <c r="AH82" s="318"/>
      <c r="AI82" s="318"/>
      <c r="AJ82" s="318"/>
      <c r="AK82" s="318"/>
      <c r="AL82" s="318"/>
    </row>
    <row r="83" spans="1:39" s="323" customFormat="1" ht="47.4" customHeight="1" x14ac:dyDescent="0.25">
      <c r="A83" s="671" t="s">
        <v>225</v>
      </c>
      <c r="B83" s="723" t="s">
        <v>229</v>
      </c>
      <c r="C83" s="710"/>
      <c r="D83" s="688" t="s">
        <v>380</v>
      </c>
      <c r="E83" s="629">
        <f t="shared" ref="E83:E114" si="3">IFERROR(VALUE(MID(D83,2,LEN(D83)-1)),"")</f>
        <v>77</v>
      </c>
      <c r="F83" s="558">
        <v>71715.899999999994</v>
      </c>
      <c r="G83" s="547"/>
      <c r="H83" s="547">
        <v>71715.899999999994</v>
      </c>
      <c r="I83" s="620" t="s">
        <v>202</v>
      </c>
      <c r="J83" s="646" t="s">
        <v>416</v>
      </c>
      <c r="K83" s="620" t="s">
        <v>321</v>
      </c>
      <c r="L83" s="547"/>
      <c r="M83" s="318"/>
      <c r="N83" s="534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318"/>
      <c r="AB83" s="318"/>
      <c r="AC83" s="318"/>
      <c r="AD83" s="318"/>
      <c r="AE83" s="318"/>
      <c r="AF83" s="318"/>
      <c r="AG83" s="318"/>
      <c r="AH83" s="318"/>
      <c r="AI83" s="318"/>
      <c r="AJ83" s="318"/>
      <c r="AK83" s="318"/>
      <c r="AL83" s="318"/>
      <c r="AM83" s="318"/>
    </row>
    <row r="84" spans="1:39" s="323" customFormat="1" ht="47.4" customHeight="1" x14ac:dyDescent="0.25">
      <c r="A84" s="671" t="s">
        <v>253</v>
      </c>
      <c r="B84" s="723"/>
      <c r="C84" s="710"/>
      <c r="D84" s="688" t="s">
        <v>381</v>
      </c>
      <c r="E84" s="629">
        <f t="shared" si="3"/>
        <v>78</v>
      </c>
      <c r="F84" s="558">
        <v>29576.124592</v>
      </c>
      <c r="G84" s="547">
        <v>23015.874592</v>
      </c>
      <c r="H84" s="547">
        <v>6560.25</v>
      </c>
      <c r="I84" s="550" t="s">
        <v>249</v>
      </c>
      <c r="J84" s="620" t="s">
        <v>394</v>
      </c>
      <c r="K84" s="620" t="s">
        <v>321</v>
      </c>
      <c r="L84" s="620"/>
      <c r="M84" s="318"/>
      <c r="N84" s="534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  <c r="AA84" s="318"/>
      <c r="AB84" s="318"/>
      <c r="AC84" s="318"/>
      <c r="AD84" s="318"/>
      <c r="AE84" s="318"/>
      <c r="AF84" s="318"/>
      <c r="AG84" s="318"/>
      <c r="AH84" s="318"/>
      <c r="AI84" s="318"/>
      <c r="AJ84" s="318"/>
      <c r="AK84" s="318"/>
      <c r="AL84" s="318"/>
      <c r="AM84" s="318"/>
    </row>
    <row r="85" spans="1:39" s="323" customFormat="1" ht="47.4" customHeight="1" x14ac:dyDescent="0.25">
      <c r="A85" s="699" t="s">
        <v>293</v>
      </c>
      <c r="B85" s="669"/>
      <c r="C85" s="670"/>
      <c r="D85" s="664" t="s">
        <v>383</v>
      </c>
      <c r="E85" s="629">
        <f t="shared" si="3"/>
        <v>79</v>
      </c>
      <c r="F85" s="546">
        <v>1819844.095613553</v>
      </c>
      <c r="G85" s="620">
        <v>728716.19561355305</v>
      </c>
      <c r="H85" s="620">
        <v>1091127.8999999999</v>
      </c>
      <c r="I85" s="674" t="s">
        <v>202</v>
      </c>
      <c r="J85" s="620" t="s">
        <v>394</v>
      </c>
      <c r="K85" s="620" t="s">
        <v>321</v>
      </c>
      <c r="L85" s="547"/>
      <c r="M85" s="533"/>
      <c r="N85" s="691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  <c r="AA85" s="318"/>
      <c r="AB85" s="318"/>
      <c r="AC85" s="318"/>
      <c r="AD85" s="318"/>
      <c r="AE85" s="318"/>
      <c r="AF85" s="318"/>
      <c r="AG85" s="318"/>
      <c r="AH85" s="318"/>
      <c r="AI85" s="318"/>
      <c r="AJ85" s="318"/>
      <c r="AK85" s="318"/>
      <c r="AL85" s="318"/>
      <c r="AM85" s="318"/>
    </row>
    <row r="86" spans="1:39" s="323" customFormat="1" ht="47.4" customHeight="1" x14ac:dyDescent="0.25">
      <c r="A86" s="732" t="s">
        <v>170</v>
      </c>
      <c r="B86" s="735"/>
      <c r="C86" s="742"/>
      <c r="D86" s="692" t="s">
        <v>384</v>
      </c>
      <c r="E86" s="629">
        <f t="shared" si="3"/>
        <v>80</v>
      </c>
      <c r="F86" s="558">
        <v>98295.327522600724</v>
      </c>
      <c r="G86" s="547">
        <v>25544.387522600726</v>
      </c>
      <c r="H86" s="547">
        <v>72750.94</v>
      </c>
      <c r="I86" s="707" t="s">
        <v>249</v>
      </c>
      <c r="J86" s="620" t="s">
        <v>394</v>
      </c>
      <c r="K86" s="620" t="s">
        <v>321</v>
      </c>
      <c r="L86" s="644"/>
      <c r="M86" s="318"/>
      <c r="N86" s="534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318"/>
      <c r="AB86" s="318"/>
      <c r="AC86" s="318"/>
      <c r="AD86" s="318"/>
      <c r="AE86" s="318"/>
      <c r="AF86" s="318"/>
      <c r="AG86" s="318"/>
      <c r="AH86" s="318"/>
      <c r="AI86" s="318"/>
      <c r="AJ86" s="318"/>
      <c r="AK86" s="318"/>
      <c r="AL86" s="318"/>
      <c r="AM86" s="318"/>
    </row>
    <row r="87" spans="1:39" s="323" customFormat="1" ht="37.950000000000003" customHeight="1" x14ac:dyDescent="0.25">
      <c r="A87" s="657" t="s">
        <v>77</v>
      </c>
      <c r="B87" s="648"/>
      <c r="C87" s="555"/>
      <c r="D87" s="746" t="s">
        <v>385</v>
      </c>
      <c r="E87" s="749">
        <f t="shared" si="3"/>
        <v>81</v>
      </c>
      <c r="F87" s="750">
        <v>283975</v>
      </c>
      <c r="G87" s="674"/>
      <c r="H87" s="751">
        <v>283975</v>
      </c>
      <c r="I87" s="674" t="s">
        <v>202</v>
      </c>
      <c r="J87" s="674" t="s">
        <v>416</v>
      </c>
      <c r="K87" s="674" t="s">
        <v>434</v>
      </c>
      <c r="L87" s="547"/>
      <c r="M87" s="536"/>
      <c r="N87" s="318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  <c r="AA87" s="318"/>
      <c r="AB87" s="318"/>
      <c r="AC87" s="318"/>
      <c r="AD87" s="318"/>
      <c r="AE87" s="318"/>
      <c r="AF87" s="318"/>
      <c r="AG87" s="318"/>
      <c r="AH87" s="318"/>
      <c r="AI87" s="318"/>
      <c r="AJ87" s="318"/>
      <c r="AK87" s="318"/>
      <c r="AL87" s="318"/>
      <c r="AM87" s="318"/>
    </row>
    <row r="88" spans="1:39" s="323" customFormat="1" ht="37.950000000000003" customHeight="1" x14ac:dyDescent="0.25">
      <c r="A88" s="728" t="s">
        <v>307</v>
      </c>
      <c r="B88" s="717" t="s">
        <v>376</v>
      </c>
      <c r="C88" s="680"/>
      <c r="D88" s="688" t="s">
        <v>389</v>
      </c>
      <c r="E88" s="629">
        <f t="shared" si="3"/>
        <v>82</v>
      </c>
      <c r="F88" s="546">
        <v>24192.53</v>
      </c>
      <c r="G88" s="547"/>
      <c r="H88" s="620">
        <v>24192.53</v>
      </c>
      <c r="I88" s="550" t="s">
        <v>249</v>
      </c>
      <c r="J88" s="620" t="s">
        <v>394</v>
      </c>
      <c r="K88" s="620" t="s">
        <v>321</v>
      </c>
      <c r="L88" s="547"/>
      <c r="M88" s="534"/>
      <c r="N88" s="318"/>
      <c r="O88" s="318"/>
      <c r="P88" s="318"/>
      <c r="Q88" s="318"/>
      <c r="R88" s="318"/>
      <c r="S88" s="318"/>
      <c r="T88" s="318"/>
      <c r="U88" s="318"/>
      <c r="V88" s="318"/>
      <c r="W88" s="318"/>
      <c r="X88" s="318"/>
      <c r="Y88" s="318"/>
      <c r="Z88" s="318"/>
      <c r="AA88" s="318"/>
      <c r="AB88" s="318"/>
      <c r="AC88" s="318"/>
      <c r="AD88" s="318"/>
      <c r="AE88" s="318"/>
      <c r="AF88" s="318"/>
      <c r="AG88" s="318"/>
      <c r="AH88" s="318"/>
      <c r="AI88" s="318"/>
      <c r="AJ88" s="318"/>
      <c r="AK88" s="318"/>
      <c r="AL88" s="318"/>
    </row>
    <row r="89" spans="1:39" s="323" customFormat="1" ht="37.950000000000003" customHeight="1" x14ac:dyDescent="0.25">
      <c r="A89" s="728" t="s">
        <v>327</v>
      </c>
      <c r="B89" s="717" t="s">
        <v>370</v>
      </c>
      <c r="C89" s="680">
        <v>120000</v>
      </c>
      <c r="D89" s="664" t="s">
        <v>390</v>
      </c>
      <c r="E89" s="629">
        <f t="shared" si="3"/>
        <v>83</v>
      </c>
      <c r="F89" s="546">
        <v>111272.5</v>
      </c>
      <c r="G89" s="547"/>
      <c r="H89" s="620">
        <v>111272.5</v>
      </c>
      <c r="I89" s="550" t="s">
        <v>249</v>
      </c>
      <c r="J89" s="620" t="s">
        <v>406</v>
      </c>
      <c r="K89" s="620" t="s">
        <v>321</v>
      </c>
      <c r="L89" s="547"/>
      <c r="M89" s="534"/>
      <c r="N89" s="318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  <c r="AA89" s="318"/>
      <c r="AB89" s="318"/>
      <c r="AC89" s="318"/>
      <c r="AD89" s="318"/>
      <c r="AE89" s="318"/>
      <c r="AF89" s="318"/>
      <c r="AG89" s="318"/>
      <c r="AH89" s="318"/>
      <c r="AI89" s="318"/>
      <c r="AJ89" s="318"/>
      <c r="AK89" s="318"/>
      <c r="AL89" s="318"/>
    </row>
    <row r="90" spans="1:39" s="323" customFormat="1" ht="37.950000000000003" customHeight="1" x14ac:dyDescent="0.25">
      <c r="A90" s="623" t="s">
        <v>78</v>
      </c>
      <c r="B90" s="696"/>
      <c r="C90" s="668"/>
      <c r="D90" s="664" t="s">
        <v>391</v>
      </c>
      <c r="E90" s="628">
        <f t="shared" si="3"/>
        <v>84</v>
      </c>
      <c r="F90" s="546">
        <v>185810.15</v>
      </c>
      <c r="G90" s="620">
        <v>11910.15</v>
      </c>
      <c r="H90" s="557">
        <v>173900</v>
      </c>
      <c r="I90" s="620" t="s">
        <v>249</v>
      </c>
      <c r="J90" s="678" t="s">
        <v>406</v>
      </c>
      <c r="K90" s="678" t="s">
        <v>321</v>
      </c>
      <c r="L90" s="620"/>
      <c r="M90" s="536"/>
      <c r="N90" s="536"/>
      <c r="O90" s="318"/>
      <c r="P90" s="318"/>
      <c r="Q90" s="318"/>
      <c r="R90" s="318"/>
      <c r="S90" s="318"/>
      <c r="T90" s="318"/>
      <c r="U90" s="318"/>
      <c r="V90" s="318"/>
      <c r="W90" s="318"/>
      <c r="X90" s="318"/>
      <c r="Y90" s="318"/>
      <c r="Z90" s="318"/>
      <c r="AA90" s="318"/>
      <c r="AB90" s="318"/>
      <c r="AC90" s="318"/>
      <c r="AD90" s="318"/>
      <c r="AE90" s="318"/>
      <c r="AF90" s="318"/>
      <c r="AG90" s="318"/>
      <c r="AH90" s="318"/>
      <c r="AI90" s="318"/>
      <c r="AJ90" s="318"/>
      <c r="AK90" s="318"/>
      <c r="AL90" s="318"/>
      <c r="AM90" s="318"/>
    </row>
    <row r="91" spans="1:39" s="323" customFormat="1" ht="37.950000000000003" customHeight="1" x14ac:dyDescent="0.25">
      <c r="A91" s="658" t="s">
        <v>245</v>
      </c>
      <c r="B91" s="649"/>
      <c r="C91" s="650"/>
      <c r="D91" s="664" t="s">
        <v>392</v>
      </c>
      <c r="E91" s="629">
        <f t="shared" si="3"/>
        <v>85</v>
      </c>
      <c r="F91" s="558">
        <v>337941.17000000004</v>
      </c>
      <c r="G91" s="547">
        <v>143315.36000000002</v>
      </c>
      <c r="H91" s="547">
        <v>194625.81</v>
      </c>
      <c r="I91" s="550" t="s">
        <v>249</v>
      </c>
      <c r="J91" s="646" t="s">
        <v>445</v>
      </c>
      <c r="K91" s="646" t="s">
        <v>321</v>
      </c>
      <c r="L91" s="690"/>
      <c r="M91" s="318"/>
      <c r="N91" s="534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  <c r="AA91" s="318"/>
      <c r="AB91" s="318"/>
      <c r="AC91" s="318"/>
      <c r="AD91" s="318"/>
      <c r="AE91" s="318"/>
      <c r="AF91" s="318"/>
      <c r="AG91" s="318"/>
      <c r="AH91" s="318"/>
      <c r="AI91" s="318"/>
      <c r="AJ91" s="318"/>
      <c r="AK91" s="318"/>
      <c r="AL91" s="318"/>
      <c r="AM91" s="318"/>
    </row>
    <row r="92" spans="1:39" s="323" customFormat="1" ht="37.950000000000003" customHeight="1" x14ac:dyDescent="0.25">
      <c r="A92" s="658" t="s">
        <v>262</v>
      </c>
      <c r="B92" s="649"/>
      <c r="C92" s="650"/>
      <c r="D92" s="688" t="s">
        <v>396</v>
      </c>
      <c r="E92" s="629">
        <f t="shared" si="3"/>
        <v>86</v>
      </c>
      <c r="F92" s="558">
        <v>51720</v>
      </c>
      <c r="G92" s="547"/>
      <c r="H92" s="547">
        <v>51720</v>
      </c>
      <c r="I92" s="620" t="s">
        <v>202</v>
      </c>
      <c r="J92" s="646" t="s">
        <v>416</v>
      </c>
      <c r="K92" s="678" t="s">
        <v>321</v>
      </c>
      <c r="L92" s="620"/>
      <c r="M92" s="318"/>
      <c r="N92" s="534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  <c r="AA92" s="318"/>
      <c r="AB92" s="318"/>
      <c r="AC92" s="318"/>
      <c r="AD92" s="318"/>
      <c r="AE92" s="318"/>
      <c r="AF92" s="318"/>
      <c r="AG92" s="318"/>
      <c r="AH92" s="318"/>
      <c r="AI92" s="318"/>
      <c r="AJ92" s="318"/>
      <c r="AK92" s="318"/>
      <c r="AL92" s="318"/>
      <c r="AM92" s="318"/>
    </row>
    <row r="93" spans="1:39" s="323" customFormat="1" ht="32.4" customHeight="1" x14ac:dyDescent="0.25">
      <c r="A93" s="635" t="s">
        <v>328</v>
      </c>
      <c r="B93" s="634" t="s">
        <v>372</v>
      </c>
      <c r="C93" s="620">
        <v>20736.719333333334</v>
      </c>
      <c r="D93" s="548" t="s">
        <v>398</v>
      </c>
      <c r="E93" s="629">
        <f t="shared" si="3"/>
        <v>87</v>
      </c>
      <c r="F93" s="546">
        <v>19339.953333333331</v>
      </c>
      <c r="G93" s="547"/>
      <c r="H93" s="620">
        <v>19339.953333333331</v>
      </c>
      <c r="I93" s="550" t="s">
        <v>249</v>
      </c>
      <c r="J93" s="620" t="s">
        <v>417</v>
      </c>
      <c r="K93" s="620" t="s">
        <v>321</v>
      </c>
      <c r="L93" s="547"/>
      <c r="M93" s="534"/>
      <c r="N93" s="318"/>
      <c r="O93" s="318"/>
      <c r="P93" s="318"/>
      <c r="Q93" s="318"/>
      <c r="R93" s="318"/>
      <c r="S93" s="318"/>
      <c r="T93" s="318"/>
      <c r="U93" s="318"/>
      <c r="V93" s="318"/>
      <c r="W93" s="318"/>
      <c r="X93" s="318"/>
      <c r="Y93" s="318"/>
      <c r="Z93" s="318"/>
      <c r="AA93" s="318"/>
      <c r="AB93" s="318"/>
      <c r="AC93" s="318"/>
      <c r="AD93" s="318"/>
      <c r="AE93" s="318"/>
      <c r="AF93" s="318"/>
      <c r="AG93" s="318"/>
      <c r="AH93" s="318"/>
      <c r="AI93" s="318"/>
      <c r="AJ93" s="318"/>
      <c r="AK93" s="318"/>
      <c r="AL93" s="318"/>
    </row>
    <row r="94" spans="1:39" s="323" customFormat="1" ht="34.200000000000003" customHeight="1" x14ac:dyDescent="0.25">
      <c r="A94" s="623" t="s">
        <v>262</v>
      </c>
      <c r="B94" s="559"/>
      <c r="C94" s="547"/>
      <c r="D94" s="620" t="s">
        <v>404</v>
      </c>
      <c r="E94" s="629">
        <f t="shared" si="3"/>
        <v>88</v>
      </c>
      <c r="F94" s="558">
        <v>264860</v>
      </c>
      <c r="G94" s="547"/>
      <c r="H94" s="547">
        <v>264860</v>
      </c>
      <c r="I94" s="550" t="s">
        <v>249</v>
      </c>
      <c r="J94" s="620" t="s">
        <v>406</v>
      </c>
      <c r="K94" s="620" t="s">
        <v>321</v>
      </c>
      <c r="L94" s="620"/>
      <c r="M94" s="318"/>
      <c r="N94" s="534"/>
      <c r="O94" s="318"/>
      <c r="P94" s="318"/>
      <c r="Q94" s="318"/>
      <c r="R94" s="318"/>
      <c r="S94" s="318"/>
      <c r="T94" s="318"/>
      <c r="U94" s="318"/>
      <c r="V94" s="318"/>
      <c r="W94" s="318"/>
      <c r="X94" s="318"/>
      <c r="Y94" s="318"/>
      <c r="Z94" s="318"/>
      <c r="AA94" s="318"/>
      <c r="AB94" s="318"/>
      <c r="AC94" s="318"/>
      <c r="AD94" s="318"/>
      <c r="AE94" s="318"/>
      <c r="AF94" s="318"/>
      <c r="AG94" s="318"/>
      <c r="AH94" s="318"/>
      <c r="AI94" s="318"/>
      <c r="AJ94" s="318"/>
      <c r="AK94" s="318"/>
      <c r="AL94" s="318"/>
      <c r="AM94" s="318"/>
    </row>
    <row r="95" spans="1:39" s="323" customFormat="1" ht="37.200000000000003" customHeight="1" x14ac:dyDescent="0.25">
      <c r="A95" s="635" t="s">
        <v>332</v>
      </c>
      <c r="B95" s="634" t="s">
        <v>388</v>
      </c>
      <c r="C95" s="620">
        <v>63217.29</v>
      </c>
      <c r="D95" s="548" t="s">
        <v>403</v>
      </c>
      <c r="E95" s="629">
        <f t="shared" si="3"/>
        <v>89</v>
      </c>
      <c r="F95" s="546">
        <v>63217.29</v>
      </c>
      <c r="G95" s="547"/>
      <c r="H95" s="620">
        <v>63217.29</v>
      </c>
      <c r="I95" s="550" t="s">
        <v>249</v>
      </c>
      <c r="J95" s="620" t="s">
        <v>406</v>
      </c>
      <c r="K95" s="620" t="s">
        <v>321</v>
      </c>
      <c r="L95" s="547"/>
      <c r="M95" s="534"/>
      <c r="N95" s="318"/>
      <c r="O95" s="318"/>
      <c r="P95" s="318"/>
      <c r="Q95" s="318"/>
      <c r="R95" s="318"/>
      <c r="S95" s="318"/>
      <c r="T95" s="318"/>
      <c r="U95" s="318"/>
      <c r="V95" s="318"/>
      <c r="W95" s="318"/>
      <c r="X95" s="318"/>
      <c r="Y95" s="318"/>
      <c r="Z95" s="318"/>
      <c r="AA95" s="318"/>
      <c r="AB95" s="318"/>
      <c r="AC95" s="318"/>
      <c r="AD95" s="318"/>
      <c r="AE95" s="318"/>
      <c r="AF95" s="318"/>
      <c r="AG95" s="318"/>
      <c r="AH95" s="318"/>
      <c r="AI95" s="318"/>
      <c r="AJ95" s="318"/>
      <c r="AK95" s="318"/>
      <c r="AL95" s="318"/>
    </row>
    <row r="96" spans="1:39" s="323" customFormat="1" ht="39.6" customHeight="1" x14ac:dyDescent="0.25">
      <c r="A96" s="579" t="s">
        <v>336</v>
      </c>
      <c r="B96" s="645" t="s">
        <v>397</v>
      </c>
      <c r="C96" s="646"/>
      <c r="D96" s="548" t="s">
        <v>407</v>
      </c>
      <c r="E96" s="629">
        <f t="shared" si="3"/>
        <v>90</v>
      </c>
      <c r="F96" s="546">
        <v>72225.63</v>
      </c>
      <c r="G96" s="547"/>
      <c r="H96" s="620">
        <v>72225.63</v>
      </c>
      <c r="I96" s="550" t="s">
        <v>249</v>
      </c>
      <c r="J96" s="620" t="s">
        <v>406</v>
      </c>
      <c r="K96" s="620" t="s">
        <v>321</v>
      </c>
      <c r="L96" s="547"/>
      <c r="M96" s="534"/>
      <c r="N96" s="318"/>
      <c r="O96" s="318"/>
      <c r="P96" s="318"/>
      <c r="Q96" s="318"/>
      <c r="R96" s="318"/>
      <c r="S96" s="318"/>
      <c r="T96" s="318"/>
      <c r="U96" s="318"/>
      <c r="V96" s="318"/>
      <c r="W96" s="318"/>
      <c r="X96" s="318"/>
      <c r="Y96" s="318"/>
      <c r="Z96" s="318"/>
      <c r="AA96" s="318"/>
      <c r="AB96" s="318"/>
      <c r="AC96" s="318"/>
      <c r="AD96" s="318"/>
      <c r="AE96" s="318"/>
      <c r="AF96" s="318"/>
      <c r="AG96" s="318"/>
      <c r="AH96" s="318"/>
      <c r="AI96" s="318"/>
      <c r="AJ96" s="318"/>
      <c r="AK96" s="318"/>
      <c r="AL96" s="318"/>
    </row>
    <row r="97" spans="1:39" s="323" customFormat="1" ht="39.6" customHeight="1" x14ac:dyDescent="0.25">
      <c r="A97" s="728" t="s">
        <v>309</v>
      </c>
      <c r="B97" s="717" t="s">
        <v>368</v>
      </c>
      <c r="C97" s="680"/>
      <c r="D97" s="548" t="s">
        <v>408</v>
      </c>
      <c r="E97" s="629">
        <f t="shared" si="3"/>
        <v>91</v>
      </c>
      <c r="F97" s="546">
        <v>5670</v>
      </c>
      <c r="G97" s="547"/>
      <c r="H97" s="620">
        <v>5670</v>
      </c>
      <c r="I97" s="550" t="s">
        <v>249</v>
      </c>
      <c r="J97" s="620" t="s">
        <v>406</v>
      </c>
      <c r="K97" s="646" t="s">
        <v>321</v>
      </c>
      <c r="L97" s="547"/>
      <c r="M97" s="534"/>
      <c r="N97" s="318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  <c r="AA97" s="318"/>
      <c r="AB97" s="318"/>
      <c r="AC97" s="318"/>
      <c r="AD97" s="318"/>
      <c r="AE97" s="318"/>
      <c r="AF97" s="318"/>
      <c r="AG97" s="318"/>
      <c r="AH97" s="318"/>
      <c r="AI97" s="318"/>
      <c r="AJ97" s="318"/>
      <c r="AK97" s="318"/>
      <c r="AL97" s="318"/>
    </row>
    <row r="98" spans="1:39" s="323" customFormat="1" ht="39.6" customHeight="1" x14ac:dyDescent="0.25">
      <c r="A98" s="728" t="s">
        <v>330</v>
      </c>
      <c r="B98" s="717" t="s">
        <v>375</v>
      </c>
      <c r="C98" s="680">
        <v>315020.03088571428</v>
      </c>
      <c r="D98" s="548" t="s">
        <v>411</v>
      </c>
      <c r="E98" s="629">
        <f t="shared" si="3"/>
        <v>92</v>
      </c>
      <c r="F98" s="546">
        <v>229503.26231428573</v>
      </c>
      <c r="G98" s="547"/>
      <c r="H98" s="620">
        <v>229503.26231428573</v>
      </c>
      <c r="I98" s="550" t="s">
        <v>249</v>
      </c>
      <c r="J98" s="646" t="s">
        <v>417</v>
      </c>
      <c r="K98" s="646" t="s">
        <v>321</v>
      </c>
      <c r="L98" s="547"/>
      <c r="M98" s="534"/>
      <c r="N98" s="318"/>
      <c r="O98" s="318"/>
      <c r="P98" s="318"/>
      <c r="Q98" s="318"/>
      <c r="R98" s="318"/>
      <c r="S98" s="318"/>
      <c r="T98" s="318"/>
      <c r="U98" s="318"/>
      <c r="V98" s="318"/>
      <c r="W98" s="318"/>
      <c r="X98" s="318"/>
      <c r="Y98" s="318"/>
      <c r="Z98" s="318"/>
      <c r="AA98" s="318"/>
      <c r="AB98" s="318"/>
      <c r="AC98" s="318"/>
      <c r="AD98" s="318"/>
      <c r="AE98" s="318"/>
      <c r="AF98" s="318"/>
      <c r="AG98" s="318"/>
      <c r="AH98" s="318"/>
      <c r="AI98" s="318"/>
      <c r="AJ98" s="318"/>
      <c r="AK98" s="318"/>
      <c r="AL98" s="318"/>
    </row>
    <row r="99" spans="1:39" s="323" customFormat="1" ht="39.6" customHeight="1" x14ac:dyDescent="0.25">
      <c r="A99" s="728" t="s">
        <v>340</v>
      </c>
      <c r="B99" s="717" t="s">
        <v>405</v>
      </c>
      <c r="C99" s="680">
        <v>27150</v>
      </c>
      <c r="D99" s="548" t="s">
        <v>412</v>
      </c>
      <c r="E99" s="629">
        <f t="shared" si="3"/>
        <v>93</v>
      </c>
      <c r="F99" s="546">
        <v>27150</v>
      </c>
      <c r="G99" s="547"/>
      <c r="H99" s="620">
        <v>27150</v>
      </c>
      <c r="I99" s="550" t="s">
        <v>249</v>
      </c>
      <c r="J99" s="620" t="s">
        <v>417</v>
      </c>
      <c r="K99" s="620" t="s">
        <v>321</v>
      </c>
      <c r="L99" s="547"/>
      <c r="M99" s="534"/>
      <c r="N99" s="318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  <c r="AA99" s="318"/>
      <c r="AB99" s="318"/>
      <c r="AC99" s="318"/>
      <c r="AD99" s="318"/>
      <c r="AE99" s="318"/>
      <c r="AF99" s="318"/>
      <c r="AG99" s="318"/>
      <c r="AH99" s="318"/>
      <c r="AI99" s="318"/>
      <c r="AJ99" s="318"/>
      <c r="AK99" s="318"/>
      <c r="AL99" s="318"/>
    </row>
    <row r="100" spans="1:39" s="323" customFormat="1" ht="39.6" customHeight="1" x14ac:dyDescent="0.25">
      <c r="A100" s="658" t="s">
        <v>262</v>
      </c>
      <c r="B100" s="648"/>
      <c r="C100" s="555"/>
      <c r="D100" s="548" t="s">
        <v>414</v>
      </c>
      <c r="E100" s="629">
        <f t="shared" si="3"/>
        <v>94</v>
      </c>
      <c r="F100" s="558">
        <v>134843.24</v>
      </c>
      <c r="G100" s="547"/>
      <c r="H100" s="547">
        <v>134843.24</v>
      </c>
      <c r="I100" s="550" t="s">
        <v>249</v>
      </c>
      <c r="J100" s="646" t="s">
        <v>417</v>
      </c>
      <c r="K100" s="620" t="s">
        <v>321</v>
      </c>
      <c r="L100" s="644"/>
      <c r="M100" s="318"/>
      <c r="N100" s="534"/>
      <c r="O100" s="318"/>
      <c r="P100" s="318"/>
      <c r="Q100" s="318"/>
      <c r="R100" s="318"/>
      <c r="S100" s="318"/>
      <c r="T100" s="318"/>
      <c r="U100" s="318"/>
      <c r="V100" s="318"/>
      <c r="W100" s="318"/>
      <c r="X100" s="318"/>
      <c r="Y100" s="318"/>
      <c r="Z100" s="318"/>
      <c r="AA100" s="318"/>
      <c r="AB100" s="318"/>
      <c r="AC100" s="318"/>
      <c r="AD100" s="318"/>
      <c r="AE100" s="318"/>
      <c r="AF100" s="318"/>
      <c r="AG100" s="318"/>
      <c r="AH100" s="318"/>
      <c r="AI100" s="318"/>
      <c r="AJ100" s="318"/>
      <c r="AK100" s="318"/>
      <c r="AL100" s="318"/>
      <c r="AM100" s="318"/>
    </row>
    <row r="101" spans="1:39" s="323" customFormat="1" ht="33" customHeight="1" x14ac:dyDescent="0.25">
      <c r="A101" s="656" t="s">
        <v>262</v>
      </c>
      <c r="B101" s="647"/>
      <c r="C101" s="554"/>
      <c r="D101" s="548" t="s">
        <v>415</v>
      </c>
      <c r="E101" s="629">
        <f t="shared" si="3"/>
        <v>95</v>
      </c>
      <c r="F101" s="558">
        <v>198330</v>
      </c>
      <c r="G101" s="547"/>
      <c r="H101" s="547">
        <v>198330</v>
      </c>
      <c r="I101" s="550" t="s">
        <v>249</v>
      </c>
      <c r="J101" s="620" t="s">
        <v>417</v>
      </c>
      <c r="K101" s="620" t="s">
        <v>321</v>
      </c>
      <c r="L101" s="644"/>
      <c r="M101" s="318"/>
      <c r="N101" s="534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  <c r="AA101" s="318"/>
      <c r="AB101" s="318"/>
      <c r="AC101" s="318"/>
      <c r="AD101" s="318"/>
      <c r="AE101" s="318"/>
      <c r="AF101" s="318"/>
      <c r="AG101" s="318"/>
      <c r="AH101" s="318"/>
      <c r="AI101" s="318"/>
      <c r="AJ101" s="318"/>
      <c r="AK101" s="318"/>
      <c r="AL101" s="318"/>
      <c r="AM101" s="318"/>
    </row>
    <row r="102" spans="1:39" s="323" customFormat="1" ht="33" customHeight="1" x14ac:dyDescent="0.25">
      <c r="A102" s="657" t="s">
        <v>293</v>
      </c>
      <c r="B102" s="648"/>
      <c r="C102" s="555"/>
      <c r="D102" s="548" t="s">
        <v>420</v>
      </c>
      <c r="E102" s="629">
        <f t="shared" si="3"/>
        <v>96</v>
      </c>
      <c r="F102" s="546">
        <v>15979.2</v>
      </c>
      <c r="G102" s="620"/>
      <c r="H102" s="620">
        <v>15979.2</v>
      </c>
      <c r="I102" s="550" t="s">
        <v>249</v>
      </c>
      <c r="J102" s="620" t="s">
        <v>462</v>
      </c>
      <c r="K102" s="620" t="s">
        <v>321</v>
      </c>
      <c r="L102" s="643" t="s">
        <v>427</v>
      </c>
      <c r="M102" s="533"/>
      <c r="N102" s="691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  <c r="AA102" s="318"/>
      <c r="AB102" s="318"/>
      <c r="AC102" s="318"/>
      <c r="AD102" s="318"/>
      <c r="AE102" s="318"/>
      <c r="AF102" s="318"/>
      <c r="AG102" s="318"/>
      <c r="AH102" s="318"/>
      <c r="AI102" s="318"/>
      <c r="AJ102" s="318"/>
      <c r="AK102" s="318"/>
      <c r="AL102" s="318"/>
      <c r="AM102" s="318"/>
    </row>
    <row r="103" spans="1:39" s="323" customFormat="1" ht="34.5" customHeight="1" x14ac:dyDescent="0.25">
      <c r="A103" s="657" t="s">
        <v>294</v>
      </c>
      <c r="B103" s="648"/>
      <c r="C103" s="555"/>
      <c r="D103" s="548" t="s">
        <v>421</v>
      </c>
      <c r="E103" s="629">
        <f t="shared" si="3"/>
        <v>97</v>
      </c>
      <c r="F103" s="546">
        <v>51616.44</v>
      </c>
      <c r="G103" s="620"/>
      <c r="H103" s="620">
        <v>51616.44</v>
      </c>
      <c r="I103" s="620" t="s">
        <v>202</v>
      </c>
      <c r="J103" s="646" t="s">
        <v>432</v>
      </c>
      <c r="K103" s="620" t="s">
        <v>321</v>
      </c>
      <c r="L103" s="643" t="s">
        <v>23</v>
      </c>
      <c r="M103" s="307"/>
      <c r="N103" s="318"/>
      <c r="O103" s="318"/>
      <c r="P103" s="318"/>
      <c r="Q103" s="318"/>
      <c r="R103" s="318"/>
      <c r="S103" s="318"/>
      <c r="T103" s="318"/>
      <c r="U103" s="318"/>
      <c r="V103" s="318"/>
      <c r="W103" s="318"/>
      <c r="X103" s="318"/>
      <c r="Y103" s="318"/>
      <c r="Z103" s="318"/>
      <c r="AA103" s="318"/>
      <c r="AB103" s="318"/>
      <c r="AC103" s="318"/>
      <c r="AD103" s="318"/>
      <c r="AE103" s="318"/>
      <c r="AF103" s="318"/>
      <c r="AG103" s="318"/>
      <c r="AH103" s="318"/>
      <c r="AI103" s="318"/>
      <c r="AJ103" s="318"/>
      <c r="AK103" s="318"/>
      <c r="AL103" s="318"/>
      <c r="AM103" s="318"/>
    </row>
    <row r="104" spans="1:39" s="323" customFormat="1" ht="36.6" customHeight="1" x14ac:dyDescent="0.25">
      <c r="A104" s="663" t="s">
        <v>295</v>
      </c>
      <c r="B104" s="647"/>
      <c r="C104" s="666"/>
      <c r="D104" s="664" t="s">
        <v>422</v>
      </c>
      <c r="E104" s="629">
        <f t="shared" si="3"/>
        <v>98</v>
      </c>
      <c r="F104" s="546">
        <v>57640.08</v>
      </c>
      <c r="G104" s="620"/>
      <c r="H104" s="620">
        <v>57640.08</v>
      </c>
      <c r="I104" s="620" t="s">
        <v>202</v>
      </c>
      <c r="J104" s="620" t="s">
        <v>432</v>
      </c>
      <c r="K104" s="620" t="s">
        <v>321</v>
      </c>
      <c r="L104" s="662" t="s">
        <v>23</v>
      </c>
      <c r="M104" s="318"/>
      <c r="N104" s="535"/>
      <c r="O104" s="318"/>
      <c r="P104" s="318"/>
      <c r="Q104" s="318"/>
      <c r="R104" s="318"/>
      <c r="S104" s="318"/>
      <c r="T104" s="318"/>
      <c r="U104" s="318"/>
      <c r="V104" s="318"/>
      <c r="W104" s="318"/>
      <c r="X104" s="318"/>
      <c r="Y104" s="318"/>
      <c r="Z104" s="318"/>
      <c r="AA104" s="318"/>
      <c r="AB104" s="318"/>
      <c r="AC104" s="318"/>
      <c r="AD104" s="318"/>
      <c r="AE104" s="318"/>
      <c r="AF104" s="318"/>
      <c r="AG104" s="318"/>
      <c r="AH104" s="318"/>
      <c r="AI104" s="318"/>
      <c r="AJ104" s="318"/>
      <c r="AK104" s="318"/>
      <c r="AL104" s="318"/>
      <c r="AM104" s="318"/>
    </row>
    <row r="105" spans="1:39" s="323" customFormat="1" ht="36.6" customHeight="1" x14ac:dyDescent="0.25">
      <c r="A105" s="730" t="s">
        <v>331</v>
      </c>
      <c r="B105" s="717" t="s">
        <v>386</v>
      </c>
      <c r="C105" s="710">
        <v>64000</v>
      </c>
      <c r="D105" s="664" t="s">
        <v>419</v>
      </c>
      <c r="E105" s="629">
        <f t="shared" si="3"/>
        <v>99</v>
      </c>
      <c r="F105" s="546">
        <v>63889.68</v>
      </c>
      <c r="G105" s="547"/>
      <c r="H105" s="620">
        <v>63889.68</v>
      </c>
      <c r="I105" s="620" t="s">
        <v>202</v>
      </c>
      <c r="J105" s="646" t="s">
        <v>432</v>
      </c>
      <c r="K105" s="646" t="s">
        <v>321</v>
      </c>
      <c r="L105" s="547"/>
      <c r="M105" s="534"/>
      <c r="N105" s="318"/>
      <c r="O105" s="318"/>
      <c r="P105" s="318"/>
      <c r="Q105" s="318"/>
      <c r="R105" s="318"/>
      <c r="S105" s="318"/>
      <c r="T105" s="318"/>
      <c r="U105" s="318"/>
      <c r="V105" s="318"/>
      <c r="W105" s="318"/>
      <c r="X105" s="318"/>
      <c r="Y105" s="318"/>
      <c r="Z105" s="318"/>
      <c r="AA105" s="318"/>
      <c r="AB105" s="318"/>
      <c r="AC105" s="318"/>
      <c r="AD105" s="318"/>
      <c r="AE105" s="318"/>
      <c r="AF105" s="318"/>
      <c r="AG105" s="318"/>
      <c r="AH105" s="318"/>
      <c r="AI105" s="318"/>
      <c r="AJ105" s="318"/>
      <c r="AK105" s="318"/>
      <c r="AL105" s="318"/>
    </row>
    <row r="106" spans="1:39" s="323" customFormat="1" ht="36.6" customHeight="1" x14ac:dyDescent="0.25">
      <c r="A106" s="687" t="s">
        <v>294</v>
      </c>
      <c r="B106" s="649"/>
      <c r="C106" s="670"/>
      <c r="D106" s="664" t="s">
        <v>426</v>
      </c>
      <c r="E106" s="629">
        <f t="shared" si="3"/>
        <v>100</v>
      </c>
      <c r="F106" s="546">
        <v>15979.8</v>
      </c>
      <c r="G106" s="620"/>
      <c r="H106" s="620">
        <v>15979.8</v>
      </c>
      <c r="I106" s="550" t="s">
        <v>249</v>
      </c>
      <c r="J106" s="646" t="s">
        <v>462</v>
      </c>
      <c r="K106" s="646" t="s">
        <v>321</v>
      </c>
      <c r="L106" s="643" t="s">
        <v>427</v>
      </c>
      <c r="M106" s="307"/>
      <c r="N106" s="318"/>
      <c r="O106" s="318"/>
      <c r="P106" s="318"/>
      <c r="Q106" s="318"/>
      <c r="R106" s="318"/>
      <c r="S106" s="318"/>
      <c r="T106" s="318"/>
      <c r="U106" s="318"/>
      <c r="V106" s="318"/>
      <c r="W106" s="318"/>
      <c r="X106" s="318"/>
      <c r="Y106" s="318"/>
      <c r="Z106" s="318"/>
      <c r="AA106" s="318"/>
      <c r="AB106" s="318"/>
      <c r="AC106" s="318"/>
      <c r="AD106" s="318"/>
      <c r="AE106" s="318"/>
      <c r="AF106" s="318"/>
      <c r="AG106" s="318"/>
      <c r="AH106" s="318"/>
      <c r="AI106" s="318"/>
      <c r="AJ106" s="318"/>
      <c r="AK106" s="318"/>
      <c r="AL106" s="318"/>
      <c r="AM106" s="318"/>
    </row>
    <row r="107" spans="1:39" s="323" customFormat="1" ht="43.2" customHeight="1" x14ac:dyDescent="0.25">
      <c r="A107" s="623" t="s">
        <v>295</v>
      </c>
      <c r="B107" s="647"/>
      <c r="C107" s="547"/>
      <c r="D107" s="548" t="s">
        <v>428</v>
      </c>
      <c r="E107" s="629">
        <f t="shared" si="3"/>
        <v>101</v>
      </c>
      <c r="F107" s="546">
        <v>15979.8</v>
      </c>
      <c r="G107" s="620"/>
      <c r="H107" s="620">
        <v>15979.8</v>
      </c>
      <c r="I107" s="550" t="s">
        <v>249</v>
      </c>
      <c r="J107" s="620" t="s">
        <v>462</v>
      </c>
      <c r="K107" s="620" t="s">
        <v>321</v>
      </c>
      <c r="L107" s="643" t="s">
        <v>427</v>
      </c>
      <c r="M107" s="307"/>
      <c r="N107" s="318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  <c r="Y107" s="318"/>
      <c r="Z107" s="318"/>
      <c r="AA107" s="318"/>
      <c r="AB107" s="318"/>
      <c r="AC107" s="318"/>
      <c r="AD107" s="318"/>
      <c r="AE107" s="318"/>
      <c r="AF107" s="318"/>
      <c r="AG107" s="318"/>
      <c r="AH107" s="318"/>
      <c r="AI107" s="318"/>
      <c r="AJ107" s="318"/>
      <c r="AK107" s="318"/>
      <c r="AL107" s="318"/>
      <c r="AM107" s="318"/>
    </row>
    <row r="108" spans="1:39" s="323" customFormat="1" ht="32.4" customHeight="1" x14ac:dyDescent="0.25">
      <c r="A108" s="635" t="s">
        <v>330</v>
      </c>
      <c r="B108" s="645"/>
      <c r="C108" s="620"/>
      <c r="D108" s="548" t="s">
        <v>431</v>
      </c>
      <c r="E108" s="629">
        <f t="shared" si="3"/>
        <v>102</v>
      </c>
      <c r="F108" s="546">
        <v>44001.440000000002</v>
      </c>
      <c r="G108" s="547"/>
      <c r="H108" s="620">
        <v>44001.440000000002</v>
      </c>
      <c r="I108" s="620" t="s">
        <v>202</v>
      </c>
      <c r="J108" s="646" t="s">
        <v>432</v>
      </c>
      <c r="K108" s="620" t="s">
        <v>321</v>
      </c>
      <c r="L108" s="547"/>
      <c r="M108" s="534"/>
      <c r="N108" s="318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  <c r="AA108" s="318"/>
      <c r="AB108" s="318"/>
      <c r="AC108" s="318"/>
      <c r="AD108" s="318"/>
      <c r="AE108" s="318"/>
      <c r="AF108" s="318"/>
      <c r="AG108" s="318"/>
      <c r="AH108" s="318"/>
      <c r="AI108" s="318"/>
      <c r="AJ108" s="318"/>
      <c r="AK108" s="318"/>
      <c r="AL108" s="318"/>
    </row>
    <row r="109" spans="1:39" s="323" customFormat="1" ht="32.4" customHeight="1" x14ac:dyDescent="0.25">
      <c r="A109" s="635" t="s">
        <v>335</v>
      </c>
      <c r="B109" s="645" t="s">
        <v>393</v>
      </c>
      <c r="C109" s="620">
        <v>17140.37</v>
      </c>
      <c r="D109" s="548" t="s">
        <v>423</v>
      </c>
      <c r="E109" s="629">
        <f t="shared" si="3"/>
        <v>103</v>
      </c>
      <c r="F109" s="546">
        <v>15762.599999999999</v>
      </c>
      <c r="G109" s="547"/>
      <c r="H109" s="620">
        <v>15762.599999999999</v>
      </c>
      <c r="I109" s="620" t="s">
        <v>202</v>
      </c>
      <c r="J109" s="646" t="s">
        <v>432</v>
      </c>
      <c r="K109" s="646" t="s">
        <v>321</v>
      </c>
      <c r="L109" s="547"/>
      <c r="M109" s="534"/>
      <c r="N109" s="318"/>
      <c r="O109" s="318"/>
      <c r="P109" s="318"/>
      <c r="Q109" s="318"/>
      <c r="R109" s="318"/>
      <c r="S109" s="318"/>
      <c r="T109" s="318"/>
      <c r="U109" s="318"/>
      <c r="V109" s="318"/>
      <c r="W109" s="318"/>
      <c r="X109" s="318"/>
      <c r="Y109" s="318"/>
      <c r="Z109" s="318"/>
      <c r="AA109" s="318"/>
      <c r="AB109" s="318"/>
      <c r="AC109" s="318"/>
      <c r="AD109" s="318"/>
      <c r="AE109" s="318"/>
      <c r="AF109" s="318"/>
      <c r="AG109" s="318"/>
      <c r="AH109" s="318"/>
      <c r="AI109" s="318"/>
      <c r="AJ109" s="318"/>
      <c r="AK109" s="318"/>
      <c r="AL109" s="318"/>
    </row>
    <row r="110" spans="1:39" s="323" customFormat="1" ht="32.4" customHeight="1" x14ac:dyDescent="0.25">
      <c r="A110" s="623" t="s">
        <v>78</v>
      </c>
      <c r="B110" s="647"/>
      <c r="C110" s="547"/>
      <c r="D110" s="620" t="s">
        <v>424</v>
      </c>
      <c r="E110" s="628">
        <f t="shared" si="3"/>
        <v>104</v>
      </c>
      <c r="F110" s="546">
        <v>86210</v>
      </c>
      <c r="G110" s="620"/>
      <c r="H110" s="557">
        <v>86210</v>
      </c>
      <c r="I110" s="620" t="s">
        <v>202</v>
      </c>
      <c r="J110" s="620" t="s">
        <v>432</v>
      </c>
      <c r="K110" s="620" t="s">
        <v>321</v>
      </c>
      <c r="L110" s="620"/>
      <c r="M110" s="536"/>
      <c r="N110" s="535"/>
      <c r="O110" s="318"/>
      <c r="P110" s="318"/>
      <c r="Q110" s="318"/>
      <c r="R110" s="318"/>
      <c r="S110" s="318"/>
      <c r="T110" s="318"/>
      <c r="U110" s="318"/>
      <c r="V110" s="318"/>
      <c r="W110" s="318"/>
      <c r="X110" s="318"/>
      <c r="Y110" s="318"/>
      <c r="Z110" s="318"/>
      <c r="AA110" s="318"/>
      <c r="AB110" s="318"/>
      <c r="AC110" s="318"/>
      <c r="AD110" s="318"/>
      <c r="AE110" s="318"/>
      <c r="AF110" s="318"/>
      <c r="AG110" s="318"/>
      <c r="AH110" s="318"/>
      <c r="AI110" s="318"/>
      <c r="AJ110" s="318"/>
      <c r="AK110" s="318"/>
      <c r="AL110" s="318"/>
      <c r="AM110" s="318"/>
    </row>
    <row r="111" spans="1:39" s="323" customFormat="1" ht="32.4" customHeight="1" x14ac:dyDescent="0.25">
      <c r="A111" s="635" t="s">
        <v>337</v>
      </c>
      <c r="B111" s="645" t="s">
        <v>400</v>
      </c>
      <c r="C111" s="620">
        <v>23023.89</v>
      </c>
      <c r="D111" s="548" t="s">
        <v>425</v>
      </c>
      <c r="E111" s="629">
        <f t="shared" si="3"/>
        <v>105</v>
      </c>
      <c r="F111" s="546">
        <v>23023.89</v>
      </c>
      <c r="G111" s="547"/>
      <c r="H111" s="620">
        <v>23023.89</v>
      </c>
      <c r="I111" s="620" t="s">
        <v>202</v>
      </c>
      <c r="J111" s="620" t="s">
        <v>432</v>
      </c>
      <c r="K111" s="620" t="s">
        <v>321</v>
      </c>
      <c r="L111" s="547"/>
      <c r="M111" s="534"/>
      <c r="N111" s="318"/>
      <c r="O111" s="318"/>
      <c r="P111" s="318"/>
      <c r="Q111" s="318"/>
      <c r="R111" s="318"/>
      <c r="S111" s="318"/>
      <c r="T111" s="318"/>
      <c r="U111" s="318"/>
      <c r="V111" s="318"/>
      <c r="W111" s="318"/>
      <c r="X111" s="318"/>
      <c r="Y111" s="318"/>
      <c r="Z111" s="318"/>
      <c r="AA111" s="318"/>
      <c r="AB111" s="318"/>
      <c r="AC111" s="318"/>
      <c r="AD111" s="318"/>
      <c r="AE111" s="318"/>
      <c r="AF111" s="318"/>
      <c r="AG111" s="318"/>
      <c r="AH111" s="318"/>
      <c r="AI111" s="318"/>
      <c r="AJ111" s="318"/>
      <c r="AK111" s="318"/>
      <c r="AL111" s="318"/>
    </row>
    <row r="112" spans="1:39" s="323" customFormat="1" ht="39.6" customHeight="1" x14ac:dyDescent="0.25">
      <c r="A112" s="623" t="s">
        <v>262</v>
      </c>
      <c r="B112" s="647"/>
      <c r="C112" s="547"/>
      <c r="D112" s="548" t="s">
        <v>430</v>
      </c>
      <c r="E112" s="629">
        <f t="shared" si="3"/>
        <v>106</v>
      </c>
      <c r="F112" s="558">
        <v>163000</v>
      </c>
      <c r="G112" s="547"/>
      <c r="H112" s="547">
        <v>163000</v>
      </c>
      <c r="I112" s="620" t="s">
        <v>202</v>
      </c>
      <c r="J112" s="620" t="s">
        <v>432</v>
      </c>
      <c r="K112" s="620" t="s">
        <v>321</v>
      </c>
      <c r="L112" s="644"/>
      <c r="M112" s="318"/>
      <c r="N112" s="534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  <c r="AA112" s="318"/>
      <c r="AB112" s="318"/>
      <c r="AC112" s="318"/>
      <c r="AD112" s="318"/>
      <c r="AE112" s="318"/>
      <c r="AF112" s="318"/>
      <c r="AG112" s="318"/>
      <c r="AH112" s="318"/>
      <c r="AI112" s="318"/>
      <c r="AJ112" s="318"/>
      <c r="AK112" s="318"/>
      <c r="AL112" s="318"/>
      <c r="AM112" s="318"/>
    </row>
    <row r="113" spans="1:39" s="323" customFormat="1" ht="39.6" customHeight="1" x14ac:dyDescent="0.25">
      <c r="A113" s="656" t="s">
        <v>245</v>
      </c>
      <c r="B113" s="647"/>
      <c r="C113" s="554"/>
      <c r="D113" s="548" t="s">
        <v>437</v>
      </c>
      <c r="E113" s="629">
        <f t="shared" si="3"/>
        <v>107</v>
      </c>
      <c r="F113" s="558">
        <v>511938.25680000003</v>
      </c>
      <c r="G113" s="547">
        <v>62419.356800000001</v>
      </c>
      <c r="H113" s="547">
        <v>449518.9</v>
      </c>
      <c r="I113" s="550" t="s">
        <v>249</v>
      </c>
      <c r="J113" s="620" t="s">
        <v>462</v>
      </c>
      <c r="K113" s="620" t="s">
        <v>321</v>
      </c>
      <c r="L113" s="638"/>
      <c r="M113" s="318"/>
      <c r="N113" s="534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  <c r="AA113" s="318"/>
      <c r="AB113" s="318"/>
      <c r="AC113" s="318"/>
      <c r="AD113" s="318"/>
      <c r="AE113" s="318"/>
      <c r="AF113" s="318"/>
      <c r="AG113" s="318"/>
      <c r="AH113" s="318"/>
      <c r="AI113" s="318"/>
      <c r="AJ113" s="318"/>
      <c r="AK113" s="318"/>
      <c r="AL113" s="318"/>
      <c r="AM113" s="318"/>
    </row>
    <row r="114" spans="1:39" s="323" customFormat="1" ht="39.6" customHeight="1" x14ac:dyDescent="0.25">
      <c r="A114" s="728" t="s">
        <v>169</v>
      </c>
      <c r="B114" s="717" t="s">
        <v>233</v>
      </c>
      <c r="C114" s="680">
        <v>5868795.1899999995</v>
      </c>
      <c r="D114" s="548" t="s">
        <v>438</v>
      </c>
      <c r="E114" s="629">
        <f t="shared" si="3"/>
        <v>108</v>
      </c>
      <c r="F114" s="558">
        <v>285228.46000000002</v>
      </c>
      <c r="G114" s="547">
        <v>52701.46</v>
      </c>
      <c r="H114" s="547">
        <v>232527</v>
      </c>
      <c r="I114" s="550" t="s">
        <v>249</v>
      </c>
      <c r="J114" s="646" t="s">
        <v>462</v>
      </c>
      <c r="K114" s="620" t="s">
        <v>321</v>
      </c>
      <c r="L114" s="638"/>
      <c r="M114" s="318"/>
      <c r="N114" s="534"/>
      <c r="O114" s="318"/>
      <c r="P114" s="318"/>
      <c r="Q114" s="318"/>
      <c r="R114" s="318"/>
      <c r="S114" s="318"/>
      <c r="T114" s="318"/>
      <c r="U114" s="318"/>
      <c r="V114" s="318"/>
      <c r="W114" s="318"/>
      <c r="X114" s="318"/>
      <c r="Y114" s="318"/>
      <c r="Z114" s="318"/>
      <c r="AA114" s="318"/>
      <c r="AB114" s="318"/>
      <c r="AC114" s="318"/>
      <c r="AD114" s="318"/>
      <c r="AE114" s="318"/>
      <c r="AF114" s="318"/>
      <c r="AG114" s="318"/>
      <c r="AH114" s="318"/>
      <c r="AI114" s="318"/>
      <c r="AJ114" s="318"/>
      <c r="AK114" s="318"/>
      <c r="AL114" s="318"/>
      <c r="AM114" s="318"/>
    </row>
    <row r="115" spans="1:39" s="323" customFormat="1" ht="39.6" customHeight="1" x14ac:dyDescent="0.25">
      <c r="A115" s="658" t="s">
        <v>77</v>
      </c>
      <c r="B115" s="648"/>
      <c r="C115" s="555"/>
      <c r="D115" s="548" t="s">
        <v>435</v>
      </c>
      <c r="E115" s="628">
        <f t="shared" ref="E115:E146" si="4">IFERROR(VALUE(MID(D115,2,LEN(D115)-1)),"")</f>
        <v>109</v>
      </c>
      <c r="F115" s="591">
        <v>173344.82</v>
      </c>
      <c r="G115" s="620">
        <v>32824.519999999997</v>
      </c>
      <c r="H115" s="557">
        <v>140520.29999999999</v>
      </c>
      <c r="I115" s="620" t="s">
        <v>202</v>
      </c>
      <c r="J115" s="620" t="s">
        <v>462</v>
      </c>
      <c r="K115" s="620" t="s">
        <v>321</v>
      </c>
      <c r="L115" s="547"/>
      <c r="M115" s="536"/>
      <c r="N115" s="318"/>
      <c r="O115" s="318"/>
      <c r="P115" s="318"/>
      <c r="Q115" s="318"/>
      <c r="R115" s="318"/>
      <c r="S115" s="318"/>
      <c r="T115" s="318"/>
      <c r="U115" s="318"/>
      <c r="V115" s="318"/>
      <c r="W115" s="318"/>
      <c r="X115" s="318"/>
      <c r="Y115" s="318"/>
      <c r="Z115" s="318"/>
      <c r="AA115" s="318"/>
      <c r="AB115" s="318"/>
      <c r="AC115" s="318"/>
      <c r="AD115" s="318"/>
      <c r="AE115" s="318"/>
      <c r="AF115" s="318"/>
      <c r="AG115" s="318"/>
      <c r="AH115" s="318"/>
      <c r="AI115" s="318"/>
      <c r="AJ115" s="318"/>
      <c r="AK115" s="318"/>
      <c r="AL115" s="318"/>
      <c r="AM115" s="318"/>
    </row>
    <row r="116" spans="1:39" s="323" customFormat="1" ht="36.6" customHeight="1" x14ac:dyDescent="0.25">
      <c r="A116" s="699" t="s">
        <v>78</v>
      </c>
      <c r="B116" s="665"/>
      <c r="C116" s="666"/>
      <c r="D116" s="702" t="s">
        <v>436</v>
      </c>
      <c r="E116" s="628">
        <f t="shared" si="4"/>
        <v>110</v>
      </c>
      <c r="F116" s="546">
        <v>59259.826000000001</v>
      </c>
      <c r="G116" s="620">
        <v>9655.93</v>
      </c>
      <c r="H116" s="557">
        <v>49603.896000000001</v>
      </c>
      <c r="I116" s="618" t="s">
        <v>188</v>
      </c>
      <c r="J116" s="646" t="s">
        <v>502</v>
      </c>
      <c r="K116" s="678"/>
      <c r="L116" s="547"/>
      <c r="M116" s="536"/>
      <c r="N116" s="535"/>
      <c r="O116" s="318"/>
      <c r="P116" s="318"/>
      <c r="Q116" s="318"/>
      <c r="R116" s="318"/>
      <c r="S116" s="318"/>
      <c r="T116" s="318"/>
      <c r="U116" s="318"/>
      <c r="V116" s="318"/>
      <c r="W116" s="318"/>
      <c r="X116" s="318"/>
      <c r="Y116" s="318"/>
      <c r="Z116" s="318"/>
      <c r="AA116" s="318"/>
      <c r="AB116" s="318"/>
      <c r="AC116" s="318"/>
      <c r="AD116" s="318"/>
      <c r="AE116" s="318"/>
      <c r="AF116" s="318"/>
      <c r="AG116" s="318"/>
      <c r="AH116" s="318"/>
      <c r="AI116" s="318"/>
      <c r="AJ116" s="318"/>
      <c r="AK116" s="318"/>
      <c r="AL116" s="318"/>
      <c r="AM116" s="318"/>
    </row>
    <row r="117" spans="1:39" s="323" customFormat="1" ht="36.6" customHeight="1" x14ac:dyDescent="0.25">
      <c r="A117" s="671" t="s">
        <v>235</v>
      </c>
      <c r="B117" s="723" t="s">
        <v>266</v>
      </c>
      <c r="C117" s="710">
        <v>48963.26</v>
      </c>
      <c r="D117" s="664" t="s">
        <v>439</v>
      </c>
      <c r="E117" s="629">
        <f t="shared" si="4"/>
        <v>111</v>
      </c>
      <c r="F117" s="558">
        <v>40868.340000000004</v>
      </c>
      <c r="G117" s="547"/>
      <c r="H117" s="547">
        <v>40868.340000000004</v>
      </c>
      <c r="I117" s="620" t="s">
        <v>202</v>
      </c>
      <c r="J117" s="646" t="s">
        <v>462</v>
      </c>
      <c r="K117" s="554" t="s">
        <v>321</v>
      </c>
      <c r="L117" s="644"/>
      <c r="M117" s="318"/>
      <c r="N117" s="534"/>
      <c r="O117" s="318"/>
      <c r="P117" s="318"/>
      <c r="Q117" s="318"/>
      <c r="R117" s="318"/>
      <c r="S117" s="318"/>
      <c r="T117" s="318"/>
      <c r="U117" s="318"/>
      <c r="V117" s="318"/>
      <c r="W117" s="318"/>
      <c r="X117" s="318"/>
      <c r="Y117" s="318"/>
      <c r="Z117" s="318"/>
      <c r="AA117" s="318"/>
      <c r="AB117" s="318"/>
      <c r="AC117" s="318"/>
      <c r="AD117" s="318"/>
      <c r="AE117" s="318"/>
      <c r="AF117" s="318"/>
      <c r="AG117" s="318"/>
      <c r="AH117" s="318"/>
      <c r="AI117" s="318"/>
      <c r="AJ117" s="318"/>
      <c r="AK117" s="318"/>
      <c r="AL117" s="318"/>
      <c r="AM117" s="318"/>
    </row>
    <row r="118" spans="1:39" s="323" customFormat="1" ht="36.6" customHeight="1" x14ac:dyDescent="0.25">
      <c r="A118" s="699" t="s">
        <v>262</v>
      </c>
      <c r="B118" s="667"/>
      <c r="C118" s="668"/>
      <c r="D118" s="664" t="s">
        <v>441</v>
      </c>
      <c r="E118" s="629">
        <f t="shared" si="4"/>
        <v>112</v>
      </c>
      <c r="F118" s="558">
        <v>262930</v>
      </c>
      <c r="G118" s="547"/>
      <c r="H118" s="547">
        <v>262930</v>
      </c>
      <c r="I118" s="620" t="s">
        <v>202</v>
      </c>
      <c r="J118" s="620" t="s">
        <v>443</v>
      </c>
      <c r="K118" s="646" t="s">
        <v>321</v>
      </c>
      <c r="L118" s="644"/>
      <c r="M118" s="318"/>
      <c r="N118" s="534"/>
      <c r="O118" s="318"/>
      <c r="P118" s="318"/>
      <c r="Q118" s="318"/>
      <c r="R118" s="318"/>
      <c r="S118" s="318"/>
      <c r="T118" s="318"/>
      <c r="U118" s="318"/>
      <c r="V118" s="318"/>
      <c r="W118" s="318"/>
      <c r="X118" s="318"/>
      <c r="Y118" s="318"/>
      <c r="Z118" s="318"/>
      <c r="AA118" s="318"/>
      <c r="AB118" s="318"/>
      <c r="AC118" s="318"/>
      <c r="AD118" s="318"/>
      <c r="AE118" s="318"/>
      <c r="AF118" s="318"/>
      <c r="AG118" s="318"/>
      <c r="AH118" s="318"/>
      <c r="AI118" s="318"/>
      <c r="AJ118" s="318"/>
      <c r="AK118" s="318"/>
      <c r="AL118" s="318"/>
      <c r="AM118" s="318"/>
    </row>
    <row r="119" spans="1:39" s="323" customFormat="1" ht="36.6" customHeight="1" x14ac:dyDescent="0.25">
      <c r="A119" s="671" t="s">
        <v>339</v>
      </c>
      <c r="B119" s="723" t="s">
        <v>402</v>
      </c>
      <c r="C119" s="710">
        <v>107483.784</v>
      </c>
      <c r="D119" s="664" t="s">
        <v>442</v>
      </c>
      <c r="E119" s="629">
        <f t="shared" si="4"/>
        <v>113</v>
      </c>
      <c r="F119" s="546">
        <v>110477.484</v>
      </c>
      <c r="G119" s="547"/>
      <c r="H119" s="620">
        <v>110477.484</v>
      </c>
      <c r="I119" s="620" t="s">
        <v>202</v>
      </c>
      <c r="J119" s="646" t="s">
        <v>445</v>
      </c>
      <c r="K119" s="646" t="s">
        <v>321</v>
      </c>
      <c r="L119" s="547"/>
      <c r="M119" s="534"/>
      <c r="N119" s="318"/>
      <c r="O119" s="318"/>
      <c r="P119" s="318"/>
      <c r="Q119" s="318"/>
      <c r="R119" s="318"/>
      <c r="S119" s="318"/>
      <c r="T119" s="318"/>
      <c r="U119" s="318"/>
      <c r="V119" s="318"/>
      <c r="W119" s="318"/>
      <c r="X119" s="318"/>
      <c r="Y119" s="318"/>
      <c r="Z119" s="318"/>
      <c r="AA119" s="318"/>
      <c r="AB119" s="318"/>
      <c r="AC119" s="318"/>
      <c r="AD119" s="318"/>
      <c r="AE119" s="318"/>
      <c r="AF119" s="318"/>
      <c r="AG119" s="318"/>
      <c r="AH119" s="318"/>
      <c r="AI119" s="318"/>
      <c r="AJ119" s="318"/>
      <c r="AK119" s="318"/>
      <c r="AL119" s="318"/>
    </row>
    <row r="120" spans="1:39" s="323" customFormat="1" ht="36.6" customHeight="1" x14ac:dyDescent="0.25">
      <c r="A120" s="699" t="s">
        <v>262</v>
      </c>
      <c r="B120" s="669"/>
      <c r="C120" s="670"/>
      <c r="D120" s="664" t="s">
        <v>444</v>
      </c>
      <c r="E120" s="629">
        <f t="shared" si="4"/>
        <v>114</v>
      </c>
      <c r="F120" s="558">
        <v>267630</v>
      </c>
      <c r="G120" s="547"/>
      <c r="H120" s="547">
        <v>262930</v>
      </c>
      <c r="I120" s="620" t="s">
        <v>202</v>
      </c>
      <c r="J120" s="646" t="s">
        <v>445</v>
      </c>
      <c r="K120" s="646" t="s">
        <v>321</v>
      </c>
      <c r="L120" s="644"/>
      <c r="M120" s="318"/>
      <c r="N120" s="534"/>
      <c r="O120" s="318"/>
      <c r="P120" s="318"/>
      <c r="Q120" s="318"/>
      <c r="R120" s="318"/>
      <c r="S120" s="318"/>
      <c r="T120" s="318"/>
      <c r="U120" s="318"/>
      <c r="V120" s="318"/>
      <c r="W120" s="318"/>
      <c r="X120" s="318"/>
      <c r="Y120" s="318"/>
      <c r="Z120" s="318"/>
      <c r="AA120" s="318"/>
      <c r="AB120" s="318"/>
      <c r="AC120" s="318"/>
      <c r="AD120" s="318"/>
      <c r="AE120" s="318"/>
      <c r="AF120" s="318"/>
      <c r="AG120" s="318"/>
      <c r="AH120" s="318"/>
      <c r="AI120" s="318"/>
      <c r="AJ120" s="318"/>
      <c r="AK120" s="318"/>
      <c r="AL120" s="318"/>
      <c r="AM120" s="318"/>
    </row>
    <row r="121" spans="1:39" s="323" customFormat="1" ht="32.4" customHeight="1" x14ac:dyDescent="0.25">
      <c r="A121" s="656" t="s">
        <v>75</v>
      </c>
      <c r="B121" s="648"/>
      <c r="C121" s="555"/>
      <c r="D121" s="688" t="s">
        <v>446</v>
      </c>
      <c r="E121" s="629">
        <f t="shared" si="4"/>
        <v>115</v>
      </c>
      <c r="F121" s="558">
        <v>22500</v>
      </c>
      <c r="G121" s="547">
        <v>0</v>
      </c>
      <c r="H121" s="547">
        <v>22500</v>
      </c>
      <c r="I121" s="550" t="s">
        <v>249</v>
      </c>
      <c r="J121" s="646" t="s">
        <v>462</v>
      </c>
      <c r="K121" s="620" t="s">
        <v>321</v>
      </c>
      <c r="L121" s="638" t="s">
        <v>449</v>
      </c>
      <c r="M121" s="318"/>
      <c r="N121" s="534"/>
      <c r="O121" s="318"/>
      <c r="P121" s="318"/>
      <c r="Q121" s="318"/>
      <c r="R121" s="318"/>
      <c r="S121" s="318"/>
      <c r="T121" s="318"/>
      <c r="U121" s="318"/>
      <c r="V121" s="318"/>
      <c r="W121" s="318"/>
      <c r="X121" s="318"/>
      <c r="Y121" s="318"/>
      <c r="Z121" s="318"/>
      <c r="AA121" s="318"/>
      <c r="AB121" s="318"/>
      <c r="AC121" s="318"/>
      <c r="AD121" s="318"/>
      <c r="AE121" s="318"/>
      <c r="AF121" s="318"/>
      <c r="AG121" s="318"/>
      <c r="AH121" s="318"/>
      <c r="AI121" s="318"/>
      <c r="AJ121" s="318"/>
      <c r="AK121" s="318"/>
      <c r="AL121" s="318"/>
      <c r="AM121" s="318"/>
    </row>
    <row r="122" spans="1:39" s="323" customFormat="1" ht="32.4" customHeight="1" x14ac:dyDescent="0.25">
      <c r="A122" s="663" t="s">
        <v>75</v>
      </c>
      <c r="B122" s="647"/>
      <c r="C122" s="666"/>
      <c r="D122" s="688" t="s">
        <v>447</v>
      </c>
      <c r="E122" s="629">
        <f t="shared" si="4"/>
        <v>116</v>
      </c>
      <c r="F122" s="558">
        <v>22500</v>
      </c>
      <c r="G122" s="547">
        <v>0</v>
      </c>
      <c r="H122" s="547">
        <v>22500</v>
      </c>
      <c r="I122" s="550" t="s">
        <v>249</v>
      </c>
      <c r="J122" s="620" t="s">
        <v>462</v>
      </c>
      <c r="K122" s="620" t="s">
        <v>321</v>
      </c>
      <c r="L122" s="638" t="s">
        <v>449</v>
      </c>
      <c r="M122" s="318"/>
      <c r="N122" s="534"/>
      <c r="O122" s="318"/>
      <c r="P122" s="318"/>
      <c r="Q122" s="318"/>
      <c r="R122" s="318"/>
      <c r="S122" s="318"/>
      <c r="T122" s="318"/>
      <c r="U122" s="318"/>
      <c r="V122" s="318"/>
      <c r="W122" s="318"/>
      <c r="X122" s="318"/>
      <c r="Y122" s="318"/>
      <c r="Z122" s="318"/>
      <c r="AA122" s="318"/>
      <c r="AB122" s="318"/>
      <c r="AC122" s="318"/>
      <c r="AD122" s="318"/>
      <c r="AE122" s="318"/>
      <c r="AF122" s="318"/>
      <c r="AG122" s="318"/>
      <c r="AH122" s="318"/>
      <c r="AI122" s="318"/>
      <c r="AJ122" s="318"/>
      <c r="AK122" s="318"/>
      <c r="AL122" s="318"/>
      <c r="AM122" s="318"/>
    </row>
    <row r="123" spans="1:39" s="323" customFormat="1" ht="32.4" customHeight="1" x14ac:dyDescent="0.25">
      <c r="A123" s="686" t="s">
        <v>75</v>
      </c>
      <c r="B123" s="648"/>
      <c r="C123" s="668"/>
      <c r="D123" s="688" t="s">
        <v>448</v>
      </c>
      <c r="E123" s="629">
        <f t="shared" si="4"/>
        <v>117</v>
      </c>
      <c r="F123" s="558">
        <v>22500</v>
      </c>
      <c r="G123" s="547">
        <v>0</v>
      </c>
      <c r="H123" s="547">
        <v>22500</v>
      </c>
      <c r="I123" s="550" t="s">
        <v>249</v>
      </c>
      <c r="J123" s="646" t="s">
        <v>462</v>
      </c>
      <c r="K123" s="620" t="s">
        <v>321</v>
      </c>
      <c r="L123" s="638" t="s">
        <v>449</v>
      </c>
      <c r="M123" s="318"/>
      <c r="N123" s="534"/>
      <c r="O123" s="318"/>
      <c r="P123" s="318"/>
      <c r="Q123" s="318"/>
      <c r="R123" s="318"/>
      <c r="S123" s="318"/>
      <c r="T123" s="318"/>
      <c r="U123" s="318"/>
      <c r="V123" s="318"/>
      <c r="W123" s="318"/>
      <c r="X123" s="318"/>
      <c r="Y123" s="318"/>
      <c r="Z123" s="318"/>
      <c r="AA123" s="318"/>
      <c r="AB123" s="318"/>
      <c r="AC123" s="318"/>
      <c r="AD123" s="318"/>
      <c r="AE123" s="318"/>
      <c r="AF123" s="318"/>
      <c r="AG123" s="318"/>
      <c r="AH123" s="318"/>
      <c r="AI123" s="318"/>
      <c r="AJ123" s="318"/>
      <c r="AK123" s="318"/>
      <c r="AL123" s="318"/>
      <c r="AM123" s="318"/>
    </row>
    <row r="124" spans="1:39" s="323" customFormat="1" ht="32.4" customHeight="1" x14ac:dyDescent="0.25">
      <c r="A124" s="729" t="s">
        <v>170</v>
      </c>
      <c r="B124" s="651"/>
      <c r="C124" s="694"/>
      <c r="D124" s="664" t="s">
        <v>450</v>
      </c>
      <c r="E124" s="629">
        <f t="shared" si="4"/>
        <v>118</v>
      </c>
      <c r="F124" s="558">
        <v>7729.53</v>
      </c>
      <c r="G124" s="547">
        <v>1463.66</v>
      </c>
      <c r="H124" s="547">
        <v>6265.87</v>
      </c>
      <c r="I124" s="550" t="s">
        <v>249</v>
      </c>
      <c r="J124" s="646" t="s">
        <v>462</v>
      </c>
      <c r="K124" s="646" t="s">
        <v>321</v>
      </c>
      <c r="L124" s="644"/>
      <c r="M124" s="318"/>
      <c r="N124" s="534"/>
      <c r="O124" s="318"/>
      <c r="P124" s="318"/>
      <c r="Q124" s="318"/>
      <c r="R124" s="318"/>
      <c r="S124" s="318"/>
      <c r="T124" s="318"/>
      <c r="U124" s="318"/>
      <c r="V124" s="318"/>
      <c r="W124" s="318"/>
      <c r="X124" s="318"/>
      <c r="Y124" s="318"/>
      <c r="Z124" s="318"/>
      <c r="AA124" s="318"/>
      <c r="AB124" s="318"/>
      <c r="AC124" s="318"/>
      <c r="AD124" s="318"/>
      <c r="AE124" s="318"/>
      <c r="AF124" s="318"/>
      <c r="AG124" s="318"/>
      <c r="AH124" s="318"/>
      <c r="AI124" s="318"/>
      <c r="AJ124" s="318"/>
      <c r="AK124" s="318"/>
      <c r="AL124" s="318"/>
      <c r="AM124" s="318"/>
    </row>
    <row r="125" spans="1:39" s="323" customFormat="1" ht="32.4" customHeight="1" x14ac:dyDescent="0.25">
      <c r="A125" s="686" t="s">
        <v>293</v>
      </c>
      <c r="B125" s="648"/>
      <c r="C125" s="668"/>
      <c r="D125" s="664" t="s">
        <v>451</v>
      </c>
      <c r="E125" s="629">
        <f t="shared" si="4"/>
        <v>119</v>
      </c>
      <c r="F125" s="546">
        <v>16533.150000000001</v>
      </c>
      <c r="G125" s="620">
        <v>3130.71</v>
      </c>
      <c r="H125" s="620">
        <v>13402.44</v>
      </c>
      <c r="I125" s="550" t="s">
        <v>249</v>
      </c>
      <c r="J125" s="646" t="s">
        <v>462</v>
      </c>
      <c r="K125" s="646" t="s">
        <v>321</v>
      </c>
      <c r="L125" s="643"/>
      <c r="M125" s="533"/>
      <c r="N125" s="691"/>
      <c r="O125" s="318"/>
      <c r="P125" s="318"/>
      <c r="Q125" s="318"/>
      <c r="R125" s="318"/>
      <c r="S125" s="318"/>
      <c r="T125" s="318"/>
      <c r="U125" s="318"/>
      <c r="V125" s="318"/>
      <c r="W125" s="318"/>
      <c r="X125" s="318"/>
      <c r="Y125" s="318"/>
      <c r="Z125" s="318"/>
      <c r="AA125" s="318"/>
      <c r="AB125" s="318"/>
      <c r="AC125" s="318"/>
      <c r="AD125" s="318"/>
      <c r="AE125" s="318"/>
      <c r="AF125" s="318"/>
      <c r="AG125" s="318"/>
      <c r="AH125" s="318"/>
      <c r="AI125" s="318"/>
      <c r="AJ125" s="318"/>
      <c r="AK125" s="318"/>
      <c r="AL125" s="318"/>
      <c r="AM125" s="318"/>
    </row>
    <row r="126" spans="1:39" s="323" customFormat="1" ht="36.6" customHeight="1" x14ac:dyDescent="0.25">
      <c r="A126" s="686" t="s">
        <v>294</v>
      </c>
      <c r="B126" s="648"/>
      <c r="C126" s="668"/>
      <c r="D126" s="664" t="s">
        <v>452</v>
      </c>
      <c r="E126" s="629">
        <f t="shared" si="4"/>
        <v>120</v>
      </c>
      <c r="F126" s="546">
        <v>16533.150000000001</v>
      </c>
      <c r="G126" s="620">
        <v>3130.71</v>
      </c>
      <c r="H126" s="620">
        <v>13402.44</v>
      </c>
      <c r="I126" s="550" t="s">
        <v>249</v>
      </c>
      <c r="J126" s="646" t="s">
        <v>462</v>
      </c>
      <c r="K126" s="646" t="s">
        <v>321</v>
      </c>
      <c r="L126" s="643"/>
      <c r="M126" s="533"/>
      <c r="N126" s="691"/>
      <c r="O126" s="318"/>
      <c r="P126" s="318"/>
      <c r="Q126" s="318"/>
      <c r="R126" s="318"/>
      <c r="S126" s="318"/>
      <c r="T126" s="318"/>
      <c r="U126" s="318"/>
      <c r="V126" s="318"/>
      <c r="W126" s="318"/>
      <c r="X126" s="318"/>
      <c r="Y126" s="318"/>
      <c r="Z126" s="318"/>
      <c r="AA126" s="318"/>
      <c r="AB126" s="318"/>
      <c r="AC126" s="318"/>
      <c r="AD126" s="318"/>
      <c r="AE126" s="318"/>
      <c r="AF126" s="318"/>
      <c r="AG126" s="318"/>
      <c r="AH126" s="318"/>
      <c r="AI126" s="318"/>
      <c r="AJ126" s="318"/>
      <c r="AK126" s="318"/>
      <c r="AL126" s="318"/>
      <c r="AM126" s="318"/>
    </row>
    <row r="127" spans="1:39" s="323" customFormat="1" ht="36.6" customHeight="1" x14ac:dyDescent="0.25">
      <c r="A127" s="686" t="s">
        <v>295</v>
      </c>
      <c r="B127" s="648"/>
      <c r="C127" s="668"/>
      <c r="D127" s="664" t="s">
        <v>453</v>
      </c>
      <c r="E127" s="629">
        <f t="shared" si="4"/>
        <v>121</v>
      </c>
      <c r="F127" s="546">
        <v>16533.150000000001</v>
      </c>
      <c r="G127" s="620">
        <v>3130.71</v>
      </c>
      <c r="H127" s="620">
        <v>13402.44</v>
      </c>
      <c r="I127" s="550" t="s">
        <v>249</v>
      </c>
      <c r="J127" s="646" t="s">
        <v>462</v>
      </c>
      <c r="K127" s="646" t="s">
        <v>321</v>
      </c>
      <c r="L127" s="643"/>
      <c r="M127" s="533"/>
      <c r="N127" s="691"/>
      <c r="O127" s="318"/>
      <c r="P127" s="318"/>
      <c r="Q127" s="318"/>
      <c r="R127" s="318"/>
      <c r="S127" s="318"/>
      <c r="T127" s="318"/>
      <c r="U127" s="318"/>
      <c r="V127" s="318"/>
      <c r="W127" s="318"/>
      <c r="X127" s="318"/>
      <c r="Y127" s="318"/>
      <c r="Z127" s="318"/>
      <c r="AA127" s="318"/>
      <c r="AB127" s="318"/>
      <c r="AC127" s="318"/>
      <c r="AD127" s="318"/>
      <c r="AE127" s="318"/>
      <c r="AF127" s="318"/>
      <c r="AG127" s="318"/>
      <c r="AH127" s="318"/>
      <c r="AI127" s="318"/>
      <c r="AJ127" s="318"/>
      <c r="AK127" s="318"/>
      <c r="AL127" s="318"/>
      <c r="AM127" s="318"/>
    </row>
    <row r="128" spans="1:39" s="323" customFormat="1" ht="36.6" customHeight="1" x14ac:dyDescent="0.25">
      <c r="A128" s="709" t="s">
        <v>80</v>
      </c>
      <c r="B128" s="672" t="s">
        <v>217</v>
      </c>
      <c r="C128" s="677">
        <v>658888.21000000008</v>
      </c>
      <c r="D128" s="688" t="s">
        <v>454</v>
      </c>
      <c r="E128" s="629">
        <f t="shared" si="4"/>
        <v>122</v>
      </c>
      <c r="F128" s="558">
        <v>240316.35</v>
      </c>
      <c r="G128" s="547"/>
      <c r="H128" s="547">
        <v>240316.35</v>
      </c>
      <c r="I128" s="620" t="s">
        <v>202</v>
      </c>
      <c r="J128" s="646" t="s">
        <v>461</v>
      </c>
      <c r="K128" s="646" t="s">
        <v>321</v>
      </c>
      <c r="L128" s="638"/>
      <c r="M128" s="318"/>
      <c r="N128" s="534"/>
      <c r="O128" s="318"/>
      <c r="P128" s="318"/>
      <c r="Q128" s="318"/>
      <c r="R128" s="318"/>
      <c r="S128" s="318"/>
      <c r="T128" s="318"/>
      <c r="U128" s="318"/>
      <c r="V128" s="318"/>
      <c r="W128" s="318"/>
      <c r="X128" s="318"/>
      <c r="Y128" s="318"/>
      <c r="Z128" s="318"/>
      <c r="AA128" s="318"/>
      <c r="AB128" s="318"/>
      <c r="AC128" s="318"/>
      <c r="AD128" s="318"/>
      <c r="AE128" s="318"/>
      <c r="AF128" s="318"/>
      <c r="AG128" s="318"/>
      <c r="AH128" s="318"/>
      <c r="AI128" s="318"/>
      <c r="AJ128" s="318"/>
      <c r="AK128" s="318"/>
      <c r="AL128" s="318"/>
      <c r="AM128" s="318"/>
    </row>
    <row r="129" spans="1:39" s="323" customFormat="1" ht="36.6" customHeight="1" x14ac:dyDescent="0.25">
      <c r="A129" s="709" t="s">
        <v>230</v>
      </c>
      <c r="B129" s="672" t="s">
        <v>216</v>
      </c>
      <c r="C129" s="677"/>
      <c r="D129" s="688" t="s">
        <v>456</v>
      </c>
      <c r="E129" s="629">
        <f t="shared" si="4"/>
        <v>123</v>
      </c>
      <c r="F129" s="558">
        <v>292822</v>
      </c>
      <c r="G129" s="547"/>
      <c r="H129" s="547">
        <v>292822</v>
      </c>
      <c r="I129" s="620" t="s">
        <v>202</v>
      </c>
      <c r="J129" s="646" t="s">
        <v>461</v>
      </c>
      <c r="K129" s="646" t="s">
        <v>321</v>
      </c>
      <c r="L129" s="638"/>
      <c r="M129" s="318"/>
      <c r="N129" s="534"/>
      <c r="O129" s="318"/>
      <c r="P129" s="318"/>
      <c r="Q129" s="318"/>
      <c r="R129" s="318"/>
      <c r="S129" s="318"/>
      <c r="T129" s="318"/>
      <c r="U129" s="318"/>
      <c r="V129" s="318"/>
      <c r="W129" s="318"/>
      <c r="X129" s="318"/>
      <c r="Y129" s="318"/>
      <c r="Z129" s="318"/>
      <c r="AA129" s="318"/>
      <c r="AB129" s="318"/>
      <c r="AC129" s="318"/>
      <c r="AD129" s="318"/>
      <c r="AE129" s="318"/>
      <c r="AF129" s="318"/>
      <c r="AG129" s="318"/>
      <c r="AH129" s="318"/>
      <c r="AI129" s="318"/>
      <c r="AJ129" s="318"/>
      <c r="AK129" s="318"/>
      <c r="AL129" s="318"/>
      <c r="AM129" s="318"/>
    </row>
    <row r="130" spans="1:39" s="323" customFormat="1" ht="36.6" customHeight="1" x14ac:dyDescent="0.25">
      <c r="A130" s="709" t="s">
        <v>80</v>
      </c>
      <c r="B130" s="717"/>
      <c r="C130" s="710"/>
      <c r="D130" s="688" t="s">
        <v>458</v>
      </c>
      <c r="E130" s="629">
        <f t="shared" si="4"/>
        <v>124</v>
      </c>
      <c r="F130" s="558">
        <v>178615.2</v>
      </c>
      <c r="G130" s="547"/>
      <c r="H130" s="547">
        <v>178615.2</v>
      </c>
      <c r="I130" s="620" t="s">
        <v>202</v>
      </c>
      <c r="J130" s="646" t="s">
        <v>474</v>
      </c>
      <c r="K130" s="646" t="s">
        <v>321</v>
      </c>
      <c r="L130" s="638"/>
      <c r="M130" s="318"/>
      <c r="N130" s="534"/>
      <c r="O130" s="318"/>
      <c r="P130" s="318"/>
      <c r="Q130" s="318"/>
      <c r="R130" s="318"/>
      <c r="S130" s="318"/>
      <c r="T130" s="318"/>
      <c r="U130" s="318"/>
      <c r="V130" s="318"/>
      <c r="W130" s="318"/>
      <c r="X130" s="318"/>
      <c r="Y130" s="318"/>
      <c r="Z130" s="318"/>
      <c r="AA130" s="318"/>
      <c r="AB130" s="318"/>
      <c r="AC130" s="318"/>
      <c r="AD130" s="318"/>
      <c r="AE130" s="318"/>
      <c r="AF130" s="318"/>
      <c r="AG130" s="318"/>
      <c r="AH130" s="318"/>
      <c r="AI130" s="318"/>
      <c r="AJ130" s="318"/>
      <c r="AK130" s="318"/>
      <c r="AL130" s="318"/>
      <c r="AM130" s="318"/>
    </row>
    <row r="131" spans="1:39" s="323" customFormat="1" ht="36.6" customHeight="1" x14ac:dyDescent="0.25">
      <c r="A131" s="709" t="s">
        <v>343</v>
      </c>
      <c r="B131" s="717" t="s">
        <v>455</v>
      </c>
      <c r="C131" s="710">
        <v>15510</v>
      </c>
      <c r="D131" s="664" t="s">
        <v>459</v>
      </c>
      <c r="E131" s="629">
        <f t="shared" si="4"/>
        <v>125</v>
      </c>
      <c r="F131" s="546">
        <v>15510</v>
      </c>
      <c r="G131" s="547"/>
      <c r="H131" s="620">
        <v>15510</v>
      </c>
      <c r="I131" s="550" t="s">
        <v>249</v>
      </c>
      <c r="J131" s="703">
        <v>45610</v>
      </c>
      <c r="K131" s="646" t="s">
        <v>321</v>
      </c>
      <c r="L131" s="547"/>
      <c r="M131" s="534"/>
      <c r="N131" s="318"/>
      <c r="O131" s="318"/>
      <c r="P131" s="318"/>
      <c r="Q131" s="318"/>
      <c r="R131" s="318"/>
      <c r="S131" s="318"/>
      <c r="T131" s="318"/>
      <c r="U131" s="318"/>
      <c r="V131" s="318"/>
      <c r="W131" s="318"/>
      <c r="X131" s="318"/>
      <c r="Y131" s="318"/>
      <c r="Z131" s="318"/>
      <c r="AA131" s="318"/>
      <c r="AB131" s="318"/>
      <c r="AC131" s="318"/>
      <c r="AD131" s="318"/>
      <c r="AE131" s="318"/>
      <c r="AF131" s="318"/>
      <c r="AG131" s="318"/>
      <c r="AH131" s="318"/>
      <c r="AI131" s="318"/>
      <c r="AJ131" s="318"/>
      <c r="AK131" s="318"/>
      <c r="AL131" s="318"/>
    </row>
    <row r="132" spans="1:39" s="323" customFormat="1" ht="36.6" customHeight="1" x14ac:dyDescent="0.25">
      <c r="A132" s="709" t="s">
        <v>169</v>
      </c>
      <c r="B132" s="648"/>
      <c r="C132" s="710"/>
      <c r="D132" s="664" t="s">
        <v>460</v>
      </c>
      <c r="E132" s="629">
        <f t="shared" si="4"/>
        <v>126</v>
      </c>
      <c r="F132" s="558">
        <v>116806.2066</v>
      </c>
      <c r="G132" s="547">
        <v>1956.6065999999998</v>
      </c>
      <c r="H132" s="547">
        <v>114849.60000000001</v>
      </c>
      <c r="I132" s="550" t="s">
        <v>249</v>
      </c>
      <c r="J132" s="646" t="s">
        <v>464</v>
      </c>
      <c r="K132" s="646" t="s">
        <v>321</v>
      </c>
      <c r="L132" s="638"/>
      <c r="M132" s="318"/>
      <c r="N132" s="534"/>
      <c r="O132" s="318"/>
      <c r="P132" s="318"/>
      <c r="Q132" s="318"/>
      <c r="R132" s="318"/>
      <c r="S132" s="318"/>
      <c r="T132" s="318"/>
      <c r="U132" s="318"/>
      <c r="V132" s="318"/>
      <c r="W132" s="318"/>
      <c r="X132" s="318"/>
      <c r="Y132" s="318"/>
      <c r="Z132" s="318"/>
      <c r="AA132" s="318"/>
      <c r="AB132" s="318"/>
      <c r="AC132" s="318"/>
      <c r="AD132" s="318"/>
      <c r="AE132" s="318"/>
      <c r="AF132" s="318"/>
      <c r="AG132" s="318"/>
      <c r="AH132" s="318"/>
      <c r="AI132" s="318"/>
      <c r="AJ132" s="318"/>
      <c r="AK132" s="318"/>
      <c r="AL132" s="318"/>
      <c r="AM132" s="318"/>
    </row>
    <row r="133" spans="1:39" s="323" customFormat="1" ht="36.6" customHeight="1" x14ac:dyDescent="0.25">
      <c r="A133" s="709" t="s">
        <v>344</v>
      </c>
      <c r="B133" s="723" t="s">
        <v>457</v>
      </c>
      <c r="C133" s="710"/>
      <c r="D133" s="664" t="s">
        <v>463</v>
      </c>
      <c r="E133" s="629">
        <f t="shared" si="4"/>
        <v>127</v>
      </c>
      <c r="F133" s="546">
        <v>113715</v>
      </c>
      <c r="G133" s="547"/>
      <c r="H133" s="620">
        <v>113715</v>
      </c>
      <c r="I133" s="550" t="s">
        <v>249</v>
      </c>
      <c r="J133" s="703">
        <v>45611</v>
      </c>
      <c r="K133" s="646" t="s">
        <v>321</v>
      </c>
      <c r="L133" s="700"/>
      <c r="M133" s="534"/>
      <c r="N133" s="318"/>
      <c r="O133" s="318"/>
      <c r="P133" s="318"/>
      <c r="Q133" s="318"/>
      <c r="R133" s="318"/>
      <c r="S133" s="318"/>
      <c r="T133" s="318"/>
      <c r="U133" s="318"/>
      <c r="V133" s="318"/>
      <c r="W133" s="318"/>
      <c r="X133" s="318"/>
      <c r="Y133" s="318"/>
      <c r="Z133" s="318"/>
      <c r="AA133" s="318"/>
      <c r="AB133" s="318"/>
      <c r="AC133" s="318"/>
      <c r="AD133" s="318"/>
      <c r="AE133" s="318"/>
      <c r="AF133" s="318"/>
      <c r="AG133" s="318"/>
      <c r="AH133" s="318"/>
      <c r="AI133" s="318"/>
      <c r="AJ133" s="318"/>
      <c r="AK133" s="318"/>
      <c r="AL133" s="318"/>
    </row>
    <row r="134" spans="1:39" s="323" customFormat="1" ht="32.4" customHeight="1" x14ac:dyDescent="0.25">
      <c r="A134" s="687" t="s">
        <v>75</v>
      </c>
      <c r="B134" s="665"/>
      <c r="C134" s="666"/>
      <c r="D134" s="688" t="s">
        <v>465</v>
      </c>
      <c r="E134" s="629">
        <f t="shared" si="4"/>
        <v>128</v>
      </c>
      <c r="F134" s="558">
        <v>75000</v>
      </c>
      <c r="G134" s="547"/>
      <c r="H134" s="547">
        <v>75000</v>
      </c>
      <c r="I134" s="620" t="s">
        <v>202</v>
      </c>
      <c r="J134" s="620" t="s">
        <v>474</v>
      </c>
      <c r="K134" s="620" t="s">
        <v>321</v>
      </c>
      <c r="L134" s="638" t="s">
        <v>469</v>
      </c>
      <c r="M134" s="318"/>
      <c r="N134" s="534"/>
      <c r="O134" s="318"/>
      <c r="P134" s="318"/>
      <c r="Q134" s="318"/>
      <c r="R134" s="318"/>
      <c r="S134" s="318"/>
      <c r="T134" s="318"/>
      <c r="U134" s="318"/>
      <c r="V134" s="318"/>
      <c r="W134" s="318"/>
      <c r="X134" s="318"/>
      <c r="Y134" s="318"/>
      <c r="Z134" s="318"/>
      <c r="AA134" s="318"/>
      <c r="AB134" s="318"/>
      <c r="AC134" s="318"/>
      <c r="AD134" s="318"/>
      <c r="AE134" s="318"/>
      <c r="AF134" s="318"/>
      <c r="AG134" s="318"/>
      <c r="AH134" s="318"/>
      <c r="AI134" s="318"/>
      <c r="AJ134" s="318"/>
      <c r="AK134" s="318"/>
      <c r="AL134" s="318"/>
      <c r="AM134" s="318"/>
    </row>
    <row r="135" spans="1:39" s="323" customFormat="1" ht="39.6" customHeight="1" x14ac:dyDescent="0.25">
      <c r="A135" s="687" t="s">
        <v>262</v>
      </c>
      <c r="B135" s="669"/>
      <c r="C135" s="670"/>
      <c r="D135" s="664" t="s">
        <v>466</v>
      </c>
      <c r="E135" s="629">
        <f t="shared" si="4"/>
        <v>129</v>
      </c>
      <c r="F135" s="558">
        <v>88000</v>
      </c>
      <c r="G135" s="547"/>
      <c r="H135" s="547">
        <v>88000</v>
      </c>
      <c r="I135" s="620" t="s">
        <v>202</v>
      </c>
      <c r="J135" s="620" t="s">
        <v>474</v>
      </c>
      <c r="K135" s="620" t="s">
        <v>321</v>
      </c>
      <c r="L135" s="638"/>
      <c r="M135" s="318"/>
      <c r="N135" s="534"/>
      <c r="O135" s="318"/>
      <c r="P135" s="318"/>
      <c r="Q135" s="318"/>
      <c r="R135" s="318"/>
      <c r="S135" s="318"/>
      <c r="T135" s="318"/>
      <c r="U135" s="318"/>
      <c r="V135" s="318"/>
      <c r="W135" s="318"/>
      <c r="X135" s="318"/>
      <c r="Y135" s="318"/>
      <c r="Z135" s="318"/>
      <c r="AA135" s="318"/>
      <c r="AB135" s="318"/>
      <c r="AC135" s="318"/>
      <c r="AD135" s="318"/>
      <c r="AE135" s="318"/>
      <c r="AF135" s="318"/>
      <c r="AG135" s="318"/>
      <c r="AH135" s="318"/>
      <c r="AI135" s="318"/>
      <c r="AJ135" s="318"/>
      <c r="AK135" s="318"/>
      <c r="AL135" s="318"/>
      <c r="AM135" s="318"/>
    </row>
    <row r="136" spans="1:39" s="323" customFormat="1" ht="39.6" customHeight="1" x14ac:dyDescent="0.25">
      <c r="A136" s="709" t="s">
        <v>169</v>
      </c>
      <c r="B136" s="739"/>
      <c r="C136" s="677"/>
      <c r="D136" s="664" t="s">
        <v>467</v>
      </c>
      <c r="E136" s="629">
        <f t="shared" si="4"/>
        <v>130</v>
      </c>
      <c r="F136" s="558">
        <v>72180</v>
      </c>
      <c r="G136" s="547"/>
      <c r="H136" s="547">
        <v>72180</v>
      </c>
      <c r="I136" s="550" t="s">
        <v>249</v>
      </c>
      <c r="J136" s="620" t="s">
        <v>474</v>
      </c>
      <c r="K136" s="620" t="s">
        <v>321</v>
      </c>
      <c r="L136" s="638" t="s">
        <v>468</v>
      </c>
      <c r="M136" s="318"/>
      <c r="N136" s="534"/>
      <c r="O136" s="318"/>
      <c r="P136" s="318"/>
      <c r="Q136" s="318"/>
      <c r="R136" s="318"/>
      <c r="S136" s="318"/>
      <c r="T136" s="318"/>
      <c r="U136" s="318"/>
      <c r="V136" s="318"/>
      <c r="W136" s="318"/>
      <c r="X136" s="318"/>
      <c r="Y136" s="318"/>
      <c r="Z136" s="318"/>
      <c r="AA136" s="318"/>
      <c r="AB136" s="318"/>
      <c r="AC136" s="318"/>
      <c r="AD136" s="318"/>
      <c r="AE136" s="318"/>
      <c r="AF136" s="318"/>
      <c r="AG136" s="318"/>
      <c r="AH136" s="318"/>
      <c r="AI136" s="318"/>
      <c r="AJ136" s="318"/>
      <c r="AK136" s="318"/>
      <c r="AL136" s="318"/>
      <c r="AM136" s="318"/>
    </row>
    <row r="137" spans="1:39" s="323" customFormat="1" ht="39.6" customHeight="1" x14ac:dyDescent="0.25">
      <c r="A137" s="709" t="s">
        <v>329</v>
      </c>
      <c r="B137" s="676" t="s">
        <v>373</v>
      </c>
      <c r="C137" s="677">
        <v>108679.85</v>
      </c>
      <c r="D137" s="664" t="s">
        <v>470</v>
      </c>
      <c r="E137" s="629">
        <f t="shared" si="4"/>
        <v>132</v>
      </c>
      <c r="F137" s="546">
        <v>116225.5</v>
      </c>
      <c r="G137" s="547"/>
      <c r="H137" s="620">
        <v>116225.5</v>
      </c>
      <c r="I137" s="550" t="s">
        <v>249</v>
      </c>
      <c r="J137" s="620" t="s">
        <v>481</v>
      </c>
      <c r="K137" s="620" t="s">
        <v>321</v>
      </c>
      <c r="L137" s="547"/>
      <c r="M137" s="534"/>
      <c r="N137" s="318"/>
      <c r="O137" s="318"/>
      <c r="P137" s="318"/>
      <c r="Q137" s="318"/>
      <c r="R137" s="318"/>
      <c r="S137" s="318"/>
      <c r="T137" s="318"/>
      <c r="U137" s="318"/>
      <c r="V137" s="318"/>
      <c r="W137" s="318"/>
      <c r="X137" s="318"/>
      <c r="Y137" s="318"/>
      <c r="Z137" s="318"/>
      <c r="AA137" s="318"/>
      <c r="AB137" s="318"/>
      <c r="AC137" s="318"/>
      <c r="AD137" s="318"/>
      <c r="AE137" s="318"/>
      <c r="AF137" s="318"/>
      <c r="AG137" s="318"/>
      <c r="AH137" s="318"/>
      <c r="AI137" s="318"/>
      <c r="AJ137" s="318"/>
      <c r="AK137" s="318"/>
      <c r="AL137" s="318"/>
    </row>
    <row r="138" spans="1:39" s="323" customFormat="1" ht="37.200000000000003" customHeight="1" x14ac:dyDescent="0.25">
      <c r="A138" s="623" t="s">
        <v>262</v>
      </c>
      <c r="B138" s="649"/>
      <c r="C138" s="650"/>
      <c r="D138" s="548" t="s">
        <v>471</v>
      </c>
      <c r="E138" s="629">
        <f t="shared" si="4"/>
        <v>133</v>
      </c>
      <c r="F138" s="558">
        <v>44000</v>
      </c>
      <c r="G138" s="547"/>
      <c r="H138" s="547">
        <v>44000</v>
      </c>
      <c r="I138" s="620" t="s">
        <v>202</v>
      </c>
      <c r="J138" s="752">
        <v>45623</v>
      </c>
      <c r="K138" s="620" t="s">
        <v>321</v>
      </c>
      <c r="L138" s="638"/>
      <c r="M138" s="318"/>
      <c r="N138" s="534"/>
      <c r="O138" s="318"/>
      <c r="P138" s="318"/>
      <c r="Q138" s="318"/>
      <c r="R138" s="318"/>
      <c r="S138" s="318"/>
      <c r="T138" s="318"/>
      <c r="U138" s="318"/>
      <c r="V138" s="318"/>
      <c r="W138" s="318"/>
      <c r="X138" s="318"/>
      <c r="Y138" s="318"/>
      <c r="Z138" s="318"/>
      <c r="AA138" s="318"/>
      <c r="AB138" s="318"/>
      <c r="AC138" s="318"/>
      <c r="AD138" s="318"/>
      <c r="AE138" s="318"/>
      <c r="AF138" s="318"/>
      <c r="AG138" s="318"/>
      <c r="AH138" s="318"/>
      <c r="AI138" s="318"/>
      <c r="AJ138" s="318"/>
      <c r="AK138" s="318"/>
      <c r="AL138" s="318"/>
      <c r="AM138" s="318"/>
    </row>
    <row r="139" spans="1:39" s="323" customFormat="1" ht="32.4" customHeight="1" x14ac:dyDescent="0.25">
      <c r="A139" s="635" t="s">
        <v>169</v>
      </c>
      <c r="B139" s="737"/>
      <c r="C139" s="620"/>
      <c r="D139" s="548" t="s">
        <v>473</v>
      </c>
      <c r="E139" s="629">
        <f t="shared" si="4"/>
        <v>134</v>
      </c>
      <c r="F139" s="558">
        <v>151884.95000000001</v>
      </c>
      <c r="G139" s="547">
        <v>3518.95</v>
      </c>
      <c r="H139" s="547">
        <v>148366</v>
      </c>
      <c r="I139" s="550" t="s">
        <v>249</v>
      </c>
      <c r="J139" s="620" t="s">
        <v>474</v>
      </c>
      <c r="K139" s="620" t="s">
        <v>321</v>
      </c>
      <c r="L139" s="638"/>
      <c r="M139" s="318"/>
      <c r="N139" s="534"/>
      <c r="O139" s="318"/>
      <c r="P139" s="318"/>
      <c r="Q139" s="318"/>
      <c r="R139" s="318"/>
      <c r="S139" s="318"/>
      <c r="T139" s="318"/>
      <c r="U139" s="318"/>
      <c r="V139" s="318"/>
      <c r="W139" s="318"/>
      <c r="X139" s="318"/>
      <c r="Y139" s="318"/>
      <c r="Z139" s="318"/>
      <c r="AA139" s="318"/>
      <c r="AB139" s="318"/>
      <c r="AC139" s="318"/>
      <c r="AD139" s="318"/>
      <c r="AE139" s="318"/>
      <c r="AF139" s="318"/>
      <c r="AG139" s="318"/>
      <c r="AH139" s="318"/>
      <c r="AI139" s="318"/>
      <c r="AJ139" s="318"/>
      <c r="AK139" s="318"/>
      <c r="AL139" s="318"/>
      <c r="AM139" s="318"/>
    </row>
    <row r="140" spans="1:39" s="323" customFormat="1" ht="43.95" customHeight="1" x14ac:dyDescent="0.25">
      <c r="A140" s="623" t="s">
        <v>75</v>
      </c>
      <c r="B140" s="559"/>
      <c r="C140" s="547"/>
      <c r="D140" s="620" t="s">
        <v>475</v>
      </c>
      <c r="E140" s="629">
        <f t="shared" si="4"/>
        <v>135</v>
      </c>
      <c r="F140" s="558">
        <v>106500</v>
      </c>
      <c r="G140" s="547"/>
      <c r="H140" s="547">
        <v>106500</v>
      </c>
      <c r="I140" s="620" t="s">
        <v>202</v>
      </c>
      <c r="J140" s="620" t="s">
        <v>481</v>
      </c>
      <c r="K140" s="646" t="s">
        <v>321</v>
      </c>
      <c r="L140" s="638" t="s">
        <v>469</v>
      </c>
      <c r="M140" s="318"/>
      <c r="N140" s="534"/>
      <c r="O140" s="318"/>
      <c r="P140" s="318"/>
      <c r="Q140" s="318"/>
      <c r="R140" s="318"/>
      <c r="S140" s="318"/>
      <c r="T140" s="318"/>
      <c r="U140" s="318"/>
      <c r="V140" s="318"/>
      <c r="W140" s="318"/>
      <c r="X140" s="318"/>
      <c r="Y140" s="318"/>
      <c r="Z140" s="318"/>
      <c r="AA140" s="318"/>
      <c r="AB140" s="318"/>
      <c r="AC140" s="318"/>
      <c r="AD140" s="318"/>
      <c r="AE140" s="318"/>
      <c r="AF140" s="318"/>
      <c r="AG140" s="318"/>
      <c r="AH140" s="318"/>
      <c r="AI140" s="318"/>
      <c r="AJ140" s="318"/>
      <c r="AK140" s="318"/>
      <c r="AL140" s="318"/>
      <c r="AM140" s="318"/>
    </row>
    <row r="141" spans="1:39" s="323" customFormat="1" ht="43.95" customHeight="1" x14ac:dyDescent="0.25">
      <c r="A141" s="635" t="s">
        <v>80</v>
      </c>
      <c r="B141" s="634"/>
      <c r="C141" s="620"/>
      <c r="D141" s="620" t="s">
        <v>478</v>
      </c>
      <c r="E141" s="629">
        <f t="shared" si="4"/>
        <v>136</v>
      </c>
      <c r="F141" s="558">
        <v>75530.399999999994</v>
      </c>
      <c r="G141" s="547"/>
      <c r="H141" s="547">
        <v>75530.399999999994</v>
      </c>
      <c r="I141" s="618" t="s">
        <v>203</v>
      </c>
      <c r="J141" s="620" t="s">
        <v>479</v>
      </c>
      <c r="K141" s="620"/>
      <c r="L141" s="638" t="s">
        <v>472</v>
      </c>
      <c r="M141" s="318"/>
      <c r="N141" s="534"/>
      <c r="O141" s="318"/>
      <c r="P141" s="318"/>
      <c r="Q141" s="318"/>
      <c r="R141" s="318"/>
      <c r="S141" s="318"/>
      <c r="T141" s="318"/>
      <c r="U141" s="318"/>
      <c r="V141" s="318"/>
      <c r="W141" s="318"/>
      <c r="X141" s="318"/>
      <c r="Y141" s="318"/>
      <c r="Z141" s="318"/>
      <c r="AA141" s="318"/>
      <c r="AB141" s="318"/>
      <c r="AC141" s="318"/>
      <c r="AD141" s="318"/>
      <c r="AE141" s="318"/>
      <c r="AF141" s="318"/>
      <c r="AG141" s="318"/>
      <c r="AH141" s="318"/>
      <c r="AI141" s="318"/>
      <c r="AJ141" s="318"/>
      <c r="AK141" s="318"/>
      <c r="AL141" s="318"/>
      <c r="AM141" s="318"/>
    </row>
    <row r="142" spans="1:39" s="323" customFormat="1" ht="43.95" customHeight="1" x14ac:dyDescent="0.25">
      <c r="A142" s="635" t="s">
        <v>169</v>
      </c>
      <c r="B142" s="734"/>
      <c r="C142" s="741"/>
      <c r="D142" s="548" t="s">
        <v>483</v>
      </c>
      <c r="E142" s="629">
        <f t="shared" si="4"/>
        <v>137</v>
      </c>
      <c r="F142" s="558">
        <v>242418.56400000001</v>
      </c>
      <c r="G142" s="547">
        <v>3996.5639999999994</v>
      </c>
      <c r="H142" s="547">
        <v>238422</v>
      </c>
      <c r="I142" s="639" t="s">
        <v>249</v>
      </c>
      <c r="J142" s="620" t="s">
        <v>496</v>
      </c>
      <c r="K142" s="547"/>
      <c r="L142" s="638"/>
      <c r="M142" s="318"/>
      <c r="N142" s="534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  <c r="AA142" s="318"/>
      <c r="AB142" s="318"/>
      <c r="AC142" s="318"/>
      <c r="AD142" s="318"/>
      <c r="AE142" s="318"/>
      <c r="AF142" s="318"/>
      <c r="AG142" s="318"/>
      <c r="AH142" s="318"/>
      <c r="AI142" s="318"/>
      <c r="AJ142" s="318"/>
      <c r="AK142" s="318"/>
      <c r="AL142" s="318"/>
      <c r="AM142" s="318"/>
    </row>
    <row r="143" spans="1:39" s="323" customFormat="1" ht="43.95" customHeight="1" x14ac:dyDescent="0.25">
      <c r="A143" s="635" t="s">
        <v>169</v>
      </c>
      <c r="B143" s="734"/>
      <c r="C143" s="741"/>
      <c r="D143" s="722" t="s">
        <v>497</v>
      </c>
      <c r="E143" s="629">
        <f t="shared" si="4"/>
        <v>138</v>
      </c>
      <c r="F143" s="558">
        <v>150507.42464000001</v>
      </c>
      <c r="G143" s="547">
        <v>36163.904640000001</v>
      </c>
      <c r="H143" s="547">
        <v>114343.52</v>
      </c>
      <c r="I143" s="618" t="s">
        <v>188</v>
      </c>
      <c r="J143" s="620" t="s">
        <v>522</v>
      </c>
      <c r="K143" s="547"/>
      <c r="L143" s="638" t="s">
        <v>516</v>
      </c>
      <c r="M143" s="318"/>
      <c r="N143" s="534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8"/>
      <c r="Z143" s="318"/>
      <c r="AA143" s="318"/>
      <c r="AB143" s="318"/>
      <c r="AC143" s="318"/>
      <c r="AD143" s="318"/>
      <c r="AE143" s="318"/>
      <c r="AF143" s="318"/>
      <c r="AG143" s="318"/>
      <c r="AH143" s="318"/>
      <c r="AI143" s="318"/>
      <c r="AJ143" s="318"/>
      <c r="AK143" s="318"/>
      <c r="AL143" s="318"/>
      <c r="AM143" s="318"/>
    </row>
    <row r="144" spans="1:39" s="323" customFormat="1" ht="43.95" customHeight="1" x14ac:dyDescent="0.25">
      <c r="A144" s="635" t="s">
        <v>225</v>
      </c>
      <c r="B144" s="634"/>
      <c r="C144" s="620"/>
      <c r="D144" s="620" t="s">
        <v>500</v>
      </c>
      <c r="E144" s="629">
        <f t="shared" si="4"/>
        <v>139</v>
      </c>
      <c r="F144" s="558">
        <v>174232.49999999997</v>
      </c>
      <c r="G144" s="547"/>
      <c r="H144" s="547">
        <v>174232.49999999997</v>
      </c>
      <c r="I144" s="550" t="s">
        <v>249</v>
      </c>
      <c r="J144" s="620" t="s">
        <v>520</v>
      </c>
      <c r="K144" s="620"/>
      <c r="L144" s="547"/>
      <c r="M144" s="318"/>
      <c r="N144" s="534"/>
      <c r="O144" s="318"/>
      <c r="P144" s="318"/>
      <c r="Q144" s="318"/>
      <c r="R144" s="318"/>
      <c r="S144" s="318"/>
      <c r="T144" s="318"/>
      <c r="U144" s="318"/>
      <c r="V144" s="318"/>
      <c r="W144" s="318"/>
      <c r="X144" s="318"/>
      <c r="Y144" s="318"/>
      <c r="Z144" s="318"/>
      <c r="AA144" s="318"/>
      <c r="AB144" s="318"/>
      <c r="AC144" s="318"/>
      <c r="AD144" s="318"/>
      <c r="AE144" s="318"/>
      <c r="AF144" s="318"/>
      <c r="AG144" s="318"/>
      <c r="AH144" s="318"/>
      <c r="AI144" s="318"/>
      <c r="AJ144" s="318"/>
      <c r="AK144" s="318"/>
      <c r="AL144" s="318"/>
      <c r="AM144" s="318"/>
    </row>
    <row r="145" spans="1:39" s="323" customFormat="1" ht="43.95" customHeight="1" x14ac:dyDescent="0.25">
      <c r="A145" s="623" t="s">
        <v>262</v>
      </c>
      <c r="B145" s="559"/>
      <c r="C145" s="547"/>
      <c r="D145" s="548" t="s">
        <v>484</v>
      </c>
      <c r="E145" s="629">
        <f t="shared" si="4"/>
        <v>140</v>
      </c>
      <c r="F145" s="558">
        <v>75140</v>
      </c>
      <c r="G145" s="547"/>
      <c r="H145" s="547">
        <v>75140</v>
      </c>
      <c r="I145" s="620" t="s">
        <v>202</v>
      </c>
      <c r="J145" s="752" t="s">
        <v>494</v>
      </c>
      <c r="K145" s="741"/>
      <c r="L145" s="716"/>
      <c r="M145" s="318"/>
      <c r="N145" s="534"/>
      <c r="O145" s="318"/>
      <c r="P145" s="318"/>
      <c r="Q145" s="318"/>
      <c r="R145" s="318"/>
      <c r="S145" s="318"/>
      <c r="T145" s="318"/>
      <c r="U145" s="318"/>
      <c r="V145" s="318"/>
      <c r="W145" s="318"/>
      <c r="X145" s="318"/>
      <c r="Y145" s="318"/>
      <c r="Z145" s="318"/>
      <c r="AA145" s="318"/>
      <c r="AB145" s="318"/>
      <c r="AC145" s="318"/>
      <c r="AD145" s="318"/>
      <c r="AE145" s="318"/>
      <c r="AF145" s="318"/>
      <c r="AG145" s="318"/>
      <c r="AH145" s="318"/>
      <c r="AI145" s="318"/>
      <c r="AJ145" s="318"/>
      <c r="AK145" s="318"/>
      <c r="AL145" s="318"/>
      <c r="AM145" s="318"/>
    </row>
    <row r="146" spans="1:39" s="323" customFormat="1" ht="37.950000000000003" customHeight="1" x14ac:dyDescent="0.25">
      <c r="A146" s="635" t="s">
        <v>351</v>
      </c>
      <c r="B146" s="634" t="s">
        <v>480</v>
      </c>
      <c r="C146" s="620">
        <v>31989</v>
      </c>
      <c r="D146" s="548" t="s">
        <v>485</v>
      </c>
      <c r="E146" s="629">
        <f t="shared" si="4"/>
        <v>141</v>
      </c>
      <c r="F146" s="546">
        <v>31989</v>
      </c>
      <c r="G146" s="547"/>
      <c r="H146" s="620">
        <v>31989</v>
      </c>
      <c r="I146" s="550" t="s">
        <v>249</v>
      </c>
      <c r="J146" s="620" t="s">
        <v>496</v>
      </c>
      <c r="K146" s="756"/>
      <c r="L146" s="714"/>
      <c r="M146" s="534"/>
      <c r="N146" s="318"/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  <c r="Z146" s="318"/>
      <c r="AA146" s="318"/>
      <c r="AB146" s="318"/>
      <c r="AC146" s="318"/>
      <c r="AD146" s="318"/>
      <c r="AE146" s="318"/>
      <c r="AF146" s="318"/>
      <c r="AG146" s="318"/>
      <c r="AH146" s="318"/>
      <c r="AI146" s="318"/>
      <c r="AJ146" s="318"/>
      <c r="AK146" s="318"/>
      <c r="AL146" s="318"/>
    </row>
    <row r="147" spans="1:39" s="323" customFormat="1" ht="31.8" customHeight="1" x14ac:dyDescent="0.25">
      <c r="A147" s="579" t="s">
        <v>225</v>
      </c>
      <c r="B147" s="645"/>
      <c r="C147" s="646"/>
      <c r="D147" s="620" t="s">
        <v>487</v>
      </c>
      <c r="E147" s="629">
        <f t="shared" ref="E147:E174" si="5">IFERROR(VALUE(MID(D147,2,LEN(D147)-1)),"")</f>
        <v>142</v>
      </c>
      <c r="F147" s="558">
        <v>198900</v>
      </c>
      <c r="G147" s="547"/>
      <c r="H147" s="547">
        <v>198900</v>
      </c>
      <c r="I147" s="550" t="s">
        <v>249</v>
      </c>
      <c r="J147" s="620" t="s">
        <v>496</v>
      </c>
      <c r="K147" s="741"/>
      <c r="L147" s="714"/>
      <c r="M147" s="318"/>
      <c r="N147" s="534"/>
      <c r="O147" s="318"/>
      <c r="P147" s="318"/>
      <c r="Q147" s="318"/>
      <c r="R147" s="318"/>
      <c r="S147" s="318"/>
      <c r="T147" s="318"/>
      <c r="U147" s="318"/>
      <c r="V147" s="318"/>
      <c r="W147" s="318"/>
      <c r="X147" s="318"/>
      <c r="Y147" s="318"/>
      <c r="Z147" s="318"/>
      <c r="AA147" s="318"/>
      <c r="AB147" s="318"/>
      <c r="AC147" s="318"/>
      <c r="AD147" s="318"/>
      <c r="AE147" s="318"/>
      <c r="AF147" s="318"/>
      <c r="AG147" s="318"/>
      <c r="AH147" s="318"/>
      <c r="AI147" s="318"/>
      <c r="AJ147" s="318"/>
      <c r="AK147" s="318"/>
      <c r="AL147" s="318"/>
      <c r="AM147" s="318"/>
    </row>
    <row r="148" spans="1:39" s="323" customFormat="1" ht="35.4" customHeight="1" x14ac:dyDescent="0.25">
      <c r="A148" s="679" t="s">
        <v>230</v>
      </c>
      <c r="B148" s="672"/>
      <c r="C148" s="674"/>
      <c r="D148" s="620" t="s">
        <v>491</v>
      </c>
      <c r="E148" s="629">
        <f t="shared" si="5"/>
        <v>143</v>
      </c>
      <c r="F148" s="558">
        <v>55035</v>
      </c>
      <c r="G148" s="547"/>
      <c r="H148" s="547">
        <v>55035</v>
      </c>
      <c r="I148" s="620" t="s">
        <v>202</v>
      </c>
      <c r="J148" s="646" t="s">
        <v>496</v>
      </c>
      <c r="K148" s="554"/>
      <c r="L148" s="638"/>
      <c r="M148" s="318"/>
      <c r="N148" s="534"/>
      <c r="O148" s="318"/>
      <c r="P148" s="318"/>
      <c r="Q148" s="318"/>
      <c r="R148" s="318"/>
      <c r="S148" s="318"/>
      <c r="T148" s="318"/>
      <c r="U148" s="318"/>
      <c r="V148" s="318"/>
      <c r="W148" s="318"/>
      <c r="X148" s="318"/>
      <c r="Y148" s="318"/>
      <c r="Z148" s="318"/>
      <c r="AA148" s="318"/>
      <c r="AB148" s="318"/>
      <c r="AC148" s="318"/>
      <c r="AD148" s="318"/>
      <c r="AE148" s="318"/>
      <c r="AF148" s="318"/>
      <c r="AG148" s="318"/>
      <c r="AH148" s="318"/>
      <c r="AI148" s="318"/>
      <c r="AJ148" s="318"/>
      <c r="AK148" s="318"/>
      <c r="AL148" s="318"/>
      <c r="AM148" s="318"/>
    </row>
    <row r="149" spans="1:39" s="323" customFormat="1" ht="37.950000000000003" customHeight="1" x14ac:dyDescent="0.25">
      <c r="A149" s="635" t="s">
        <v>230</v>
      </c>
      <c r="B149" s="634"/>
      <c r="C149" s="620"/>
      <c r="D149" s="620" t="s">
        <v>491</v>
      </c>
      <c r="E149" s="629">
        <f t="shared" si="5"/>
        <v>143</v>
      </c>
      <c r="F149" s="558">
        <v>55035</v>
      </c>
      <c r="G149" s="547"/>
      <c r="H149" s="547">
        <v>55035</v>
      </c>
      <c r="I149" s="620" t="s">
        <v>202</v>
      </c>
      <c r="J149" s="620" t="s">
        <v>496</v>
      </c>
      <c r="K149" s="547"/>
      <c r="L149" s="638"/>
      <c r="M149" s="318"/>
      <c r="N149" s="534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18"/>
      <c r="Z149" s="318"/>
      <c r="AA149" s="318"/>
      <c r="AB149" s="318"/>
      <c r="AC149" s="318"/>
      <c r="AD149" s="318"/>
      <c r="AE149" s="318"/>
      <c r="AF149" s="318"/>
      <c r="AG149" s="318"/>
      <c r="AH149" s="318"/>
      <c r="AI149" s="318"/>
      <c r="AJ149" s="318"/>
      <c r="AK149" s="318"/>
      <c r="AL149" s="318"/>
      <c r="AM149" s="318"/>
    </row>
    <row r="150" spans="1:39" s="323" customFormat="1" ht="37.950000000000003" customHeight="1" x14ac:dyDescent="0.25">
      <c r="A150" s="635" t="s">
        <v>353</v>
      </c>
      <c r="B150" s="634" t="s">
        <v>482</v>
      </c>
      <c r="C150" s="620">
        <v>207656.27999999997</v>
      </c>
      <c r="D150" s="548" t="s">
        <v>486</v>
      </c>
      <c r="E150" s="629">
        <f t="shared" si="5"/>
        <v>144</v>
      </c>
      <c r="F150" s="546">
        <v>212171.08</v>
      </c>
      <c r="G150" s="547">
        <v>675.1</v>
      </c>
      <c r="H150" s="620">
        <v>211495.98</v>
      </c>
      <c r="I150" s="550" t="s">
        <v>249</v>
      </c>
      <c r="J150" s="646" t="s">
        <v>520</v>
      </c>
      <c r="K150" s="701"/>
      <c r="L150" s="547"/>
      <c r="M150" s="534"/>
      <c r="N150" s="318"/>
      <c r="O150" s="318"/>
      <c r="P150" s="318"/>
      <c r="Q150" s="318"/>
      <c r="R150" s="318"/>
      <c r="S150" s="318"/>
      <c r="T150" s="318"/>
      <c r="U150" s="318"/>
      <c r="V150" s="318"/>
      <c r="W150" s="318"/>
      <c r="X150" s="318"/>
      <c r="Y150" s="318"/>
      <c r="Z150" s="318"/>
      <c r="AA150" s="318"/>
      <c r="AB150" s="318"/>
      <c r="AC150" s="318"/>
      <c r="AD150" s="318"/>
      <c r="AE150" s="318"/>
      <c r="AF150" s="318"/>
      <c r="AG150" s="318"/>
      <c r="AH150" s="318"/>
      <c r="AI150" s="318"/>
      <c r="AJ150" s="318"/>
      <c r="AK150" s="318"/>
      <c r="AL150" s="318"/>
    </row>
    <row r="151" spans="1:39" s="323" customFormat="1" ht="37.950000000000003" customHeight="1" x14ac:dyDescent="0.25">
      <c r="A151" s="623" t="s">
        <v>293</v>
      </c>
      <c r="B151" s="647"/>
      <c r="C151" s="554"/>
      <c r="D151" s="548" t="s">
        <v>488</v>
      </c>
      <c r="E151" s="629">
        <f t="shared" si="5"/>
        <v>145</v>
      </c>
      <c r="F151" s="546">
        <v>4785</v>
      </c>
      <c r="G151" s="620"/>
      <c r="H151" s="620">
        <v>4785</v>
      </c>
      <c r="I151" s="550" t="s">
        <v>249</v>
      </c>
      <c r="J151" s="646" t="s">
        <v>496</v>
      </c>
      <c r="K151" s="715"/>
      <c r="L151" s="721"/>
      <c r="M151" s="533"/>
      <c r="N151" s="691"/>
      <c r="O151" s="318"/>
      <c r="P151" s="318"/>
      <c r="Q151" s="318"/>
      <c r="R151" s="318"/>
      <c r="S151" s="318"/>
      <c r="T151" s="318"/>
      <c r="U151" s="318"/>
      <c r="V151" s="318"/>
      <c r="W151" s="318"/>
      <c r="X151" s="318"/>
      <c r="Y151" s="318"/>
      <c r="Z151" s="318"/>
      <c r="AA151" s="318"/>
      <c r="AB151" s="318"/>
      <c r="AC151" s="318"/>
      <c r="AD151" s="318"/>
      <c r="AE151" s="318"/>
      <c r="AF151" s="318"/>
      <c r="AG151" s="318"/>
      <c r="AH151" s="318"/>
      <c r="AI151" s="318"/>
      <c r="AJ151" s="318"/>
      <c r="AK151" s="318"/>
      <c r="AL151" s="318"/>
      <c r="AM151" s="318"/>
    </row>
    <row r="152" spans="1:39" s="323" customFormat="1" ht="37.950000000000003" customHeight="1" x14ac:dyDescent="0.25">
      <c r="A152" s="699" t="s">
        <v>294</v>
      </c>
      <c r="B152" s="665"/>
      <c r="C152" s="666"/>
      <c r="D152" s="664" t="s">
        <v>489</v>
      </c>
      <c r="E152" s="629">
        <f t="shared" si="5"/>
        <v>146</v>
      </c>
      <c r="F152" s="546">
        <v>5220</v>
      </c>
      <c r="G152" s="620"/>
      <c r="H152" s="620">
        <v>5220</v>
      </c>
      <c r="I152" s="550" t="s">
        <v>249</v>
      </c>
      <c r="J152" s="646" t="s">
        <v>496</v>
      </c>
      <c r="K152" s="715"/>
      <c r="L152" s="721"/>
      <c r="M152" s="533"/>
      <c r="N152" s="691"/>
      <c r="O152" s="318"/>
      <c r="P152" s="318"/>
      <c r="Q152" s="318"/>
      <c r="R152" s="318"/>
      <c r="S152" s="318"/>
      <c r="T152" s="318"/>
      <c r="U152" s="318"/>
      <c r="V152" s="318"/>
      <c r="W152" s="318"/>
      <c r="X152" s="318"/>
      <c r="Y152" s="318"/>
      <c r="Z152" s="318"/>
      <c r="AA152" s="318"/>
      <c r="AB152" s="318"/>
      <c r="AC152" s="318"/>
      <c r="AD152" s="318"/>
      <c r="AE152" s="318"/>
      <c r="AF152" s="318"/>
      <c r="AG152" s="318"/>
      <c r="AH152" s="318"/>
      <c r="AI152" s="318"/>
      <c r="AJ152" s="318"/>
      <c r="AK152" s="318"/>
      <c r="AL152" s="318"/>
      <c r="AM152" s="318"/>
    </row>
    <row r="153" spans="1:39" s="323" customFormat="1" ht="37.950000000000003" customHeight="1" x14ac:dyDescent="0.25">
      <c r="A153" s="699" t="s">
        <v>295</v>
      </c>
      <c r="B153" s="669"/>
      <c r="C153" s="670"/>
      <c r="D153" s="664" t="s">
        <v>490</v>
      </c>
      <c r="E153" s="629">
        <f t="shared" si="5"/>
        <v>147</v>
      </c>
      <c r="F153" s="546">
        <v>5220</v>
      </c>
      <c r="G153" s="620"/>
      <c r="H153" s="620">
        <v>5220</v>
      </c>
      <c r="I153" s="550" t="s">
        <v>249</v>
      </c>
      <c r="J153" s="646" t="s">
        <v>496</v>
      </c>
      <c r="K153" s="715"/>
      <c r="L153" s="721"/>
      <c r="M153" s="533"/>
      <c r="N153" s="691"/>
      <c r="O153" s="318"/>
      <c r="P153" s="318"/>
      <c r="Q153" s="318"/>
      <c r="R153" s="318"/>
      <c r="S153" s="318"/>
      <c r="T153" s="318"/>
      <c r="U153" s="318"/>
      <c r="V153" s="318"/>
      <c r="W153" s="318"/>
      <c r="X153" s="318"/>
      <c r="Y153" s="318"/>
      <c r="Z153" s="318"/>
      <c r="AA153" s="318"/>
      <c r="AB153" s="318"/>
      <c r="AC153" s="318"/>
      <c r="AD153" s="318"/>
      <c r="AE153" s="318"/>
      <c r="AF153" s="318"/>
      <c r="AG153" s="318"/>
      <c r="AH153" s="318"/>
      <c r="AI153" s="318"/>
      <c r="AJ153" s="318"/>
      <c r="AK153" s="318"/>
      <c r="AL153" s="318"/>
      <c r="AM153" s="318"/>
    </row>
    <row r="154" spans="1:39" s="323" customFormat="1" ht="37.950000000000003" customHeight="1" x14ac:dyDescent="0.25">
      <c r="A154" s="635" t="s">
        <v>225</v>
      </c>
      <c r="B154" s="672"/>
      <c r="C154" s="674"/>
      <c r="D154" s="620" t="s">
        <v>492</v>
      </c>
      <c r="E154" s="629">
        <f t="shared" si="5"/>
        <v>148</v>
      </c>
      <c r="F154" s="558">
        <v>81049.080000000016</v>
      </c>
      <c r="G154" s="547"/>
      <c r="H154" s="547">
        <v>81049.080000000016</v>
      </c>
      <c r="I154" s="550" t="s">
        <v>249</v>
      </c>
      <c r="J154" s="646" t="s">
        <v>520</v>
      </c>
      <c r="K154" s="741"/>
      <c r="L154" s="547"/>
      <c r="M154" s="318"/>
      <c r="N154" s="534"/>
      <c r="O154" s="318"/>
      <c r="P154" s="318"/>
      <c r="Q154" s="318"/>
      <c r="R154" s="318"/>
      <c r="S154" s="318"/>
      <c r="T154" s="318"/>
      <c r="U154" s="318"/>
      <c r="V154" s="318"/>
      <c r="W154" s="318"/>
      <c r="X154" s="318"/>
      <c r="Y154" s="318"/>
      <c r="Z154" s="318"/>
      <c r="AA154" s="318"/>
      <c r="AB154" s="318"/>
      <c r="AC154" s="318"/>
      <c r="AD154" s="318"/>
      <c r="AE154" s="318"/>
      <c r="AF154" s="318"/>
      <c r="AG154" s="318"/>
      <c r="AH154" s="318"/>
      <c r="AI154" s="318"/>
      <c r="AJ154" s="318"/>
      <c r="AK154" s="318"/>
      <c r="AL154" s="318"/>
      <c r="AM154" s="318"/>
    </row>
    <row r="155" spans="1:39" s="323" customFormat="1" ht="37.950000000000003" customHeight="1" x14ac:dyDescent="0.25">
      <c r="A155" s="635" t="s">
        <v>345</v>
      </c>
      <c r="B155" s="645" t="s">
        <v>476</v>
      </c>
      <c r="C155" s="646">
        <v>152188</v>
      </c>
      <c r="D155" s="548" t="s">
        <v>493</v>
      </c>
      <c r="E155" s="629">
        <f t="shared" si="5"/>
        <v>149</v>
      </c>
      <c r="F155" s="546">
        <v>138516</v>
      </c>
      <c r="G155" s="547"/>
      <c r="H155" s="620">
        <v>138516</v>
      </c>
      <c r="I155" s="550" t="s">
        <v>249</v>
      </c>
      <c r="J155" s="646" t="s">
        <v>520</v>
      </c>
      <c r="K155" s="701"/>
      <c r="L155" s="547"/>
      <c r="M155" s="534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18"/>
      <c r="Z155" s="318"/>
      <c r="AA155" s="318"/>
      <c r="AB155" s="318"/>
      <c r="AC155" s="318"/>
      <c r="AD155" s="318"/>
      <c r="AE155" s="318"/>
      <c r="AF155" s="318"/>
      <c r="AG155" s="318"/>
      <c r="AH155" s="318"/>
      <c r="AI155" s="318"/>
      <c r="AJ155" s="318"/>
      <c r="AK155" s="318"/>
      <c r="AL155" s="318"/>
    </row>
    <row r="156" spans="1:39" s="323" customFormat="1" ht="37.950000000000003" customHeight="1" x14ac:dyDescent="0.25">
      <c r="A156" s="671" t="s">
        <v>230</v>
      </c>
      <c r="B156" s="675"/>
      <c r="C156" s="673"/>
      <c r="D156" s="713" t="s">
        <v>501</v>
      </c>
      <c r="E156" s="629">
        <f t="shared" si="5"/>
        <v>150</v>
      </c>
      <c r="F156" s="558">
        <v>13926</v>
      </c>
      <c r="G156" s="547"/>
      <c r="H156" s="547">
        <v>13926</v>
      </c>
      <c r="I156" s="726" t="s">
        <v>188</v>
      </c>
      <c r="J156" s="646" t="s">
        <v>520</v>
      </c>
      <c r="K156" s="554"/>
      <c r="L156" s="638"/>
      <c r="M156" s="318"/>
      <c r="N156" s="534"/>
      <c r="O156" s="318"/>
      <c r="P156" s="318"/>
      <c r="Q156" s="318"/>
      <c r="R156" s="318"/>
      <c r="S156" s="318"/>
      <c r="T156" s="318"/>
      <c r="U156" s="318"/>
      <c r="V156" s="318"/>
      <c r="W156" s="318"/>
      <c r="X156" s="318"/>
      <c r="Y156" s="318"/>
      <c r="Z156" s="318"/>
      <c r="AA156" s="318"/>
      <c r="AB156" s="318"/>
      <c r="AC156" s="318"/>
      <c r="AD156" s="318"/>
      <c r="AE156" s="318"/>
      <c r="AF156" s="318"/>
      <c r="AG156" s="318"/>
      <c r="AH156" s="318"/>
      <c r="AI156" s="318"/>
      <c r="AJ156" s="318"/>
      <c r="AK156" s="318"/>
      <c r="AL156" s="318"/>
      <c r="AM156" s="318"/>
    </row>
    <row r="157" spans="1:39" s="323" customFormat="1" ht="37.950000000000003" customHeight="1" x14ac:dyDescent="0.25">
      <c r="A157" s="671" t="s">
        <v>344</v>
      </c>
      <c r="B157" s="676"/>
      <c r="C157" s="677"/>
      <c r="D157" s="713" t="s">
        <v>503</v>
      </c>
      <c r="E157" s="629">
        <f t="shared" si="5"/>
        <v>151</v>
      </c>
      <c r="F157" s="546">
        <v>9380.52</v>
      </c>
      <c r="G157" s="547"/>
      <c r="H157" s="620">
        <v>9380.52</v>
      </c>
      <c r="I157" s="550"/>
      <c r="J157" s="646" t="s">
        <v>504</v>
      </c>
      <c r="K157" s="646"/>
      <c r="L157" s="547" t="s">
        <v>498</v>
      </c>
      <c r="M157" s="534"/>
      <c r="N157" s="318"/>
      <c r="O157" s="318"/>
      <c r="P157" s="318"/>
      <c r="Q157" s="318"/>
      <c r="R157" s="318"/>
      <c r="S157" s="318"/>
      <c r="T157" s="318"/>
      <c r="U157" s="318"/>
      <c r="V157" s="318"/>
      <c r="W157" s="318"/>
      <c r="X157" s="318"/>
      <c r="Y157" s="318"/>
      <c r="Z157" s="318"/>
      <c r="AA157" s="318"/>
      <c r="AB157" s="318"/>
      <c r="AC157" s="318"/>
      <c r="AD157" s="318"/>
      <c r="AE157" s="318"/>
      <c r="AF157" s="318"/>
      <c r="AG157" s="318"/>
      <c r="AH157" s="318"/>
      <c r="AI157" s="318"/>
      <c r="AJ157" s="318"/>
      <c r="AK157" s="318"/>
      <c r="AL157" s="318"/>
    </row>
    <row r="158" spans="1:39" s="323" customFormat="1" ht="37.950000000000003" customHeight="1" x14ac:dyDescent="0.25">
      <c r="A158" s="635" t="s">
        <v>80</v>
      </c>
      <c r="B158" s="672"/>
      <c r="C158" s="674"/>
      <c r="D158" s="620" t="s">
        <v>505</v>
      </c>
      <c r="E158" s="629">
        <f t="shared" si="5"/>
        <v>152</v>
      </c>
      <c r="F158" s="558">
        <v>3900</v>
      </c>
      <c r="G158" s="547"/>
      <c r="H158" s="547">
        <v>3900</v>
      </c>
      <c r="I158" s="550"/>
      <c r="J158" s="646" t="s">
        <v>504</v>
      </c>
      <c r="K158" s="646"/>
      <c r="L158" s="638" t="s">
        <v>498</v>
      </c>
      <c r="M158" s="318"/>
      <c r="N158" s="534"/>
      <c r="O158" s="318"/>
      <c r="P158" s="318"/>
      <c r="Q158" s="318"/>
      <c r="R158" s="318"/>
      <c r="S158" s="318"/>
      <c r="T158" s="318"/>
      <c r="U158" s="318"/>
      <c r="V158" s="318"/>
      <c r="W158" s="318"/>
      <c r="X158" s="318"/>
      <c r="Y158" s="318"/>
      <c r="Z158" s="318"/>
      <c r="AA158" s="318"/>
      <c r="AB158" s="318"/>
      <c r="AC158" s="318"/>
      <c r="AD158" s="318"/>
      <c r="AE158" s="318"/>
      <c r="AF158" s="318"/>
      <c r="AG158" s="318"/>
      <c r="AH158" s="318"/>
      <c r="AI158" s="318"/>
      <c r="AJ158" s="318"/>
      <c r="AK158" s="318"/>
      <c r="AL158" s="318"/>
      <c r="AM158" s="318"/>
    </row>
    <row r="159" spans="1:39" s="323" customFormat="1" ht="37.950000000000003" customHeight="1" x14ac:dyDescent="0.25">
      <c r="A159" s="623" t="s">
        <v>262</v>
      </c>
      <c r="B159" s="559"/>
      <c r="C159" s="547"/>
      <c r="D159" s="548" t="s">
        <v>506</v>
      </c>
      <c r="E159" s="629">
        <f t="shared" si="5"/>
        <v>153</v>
      </c>
      <c r="F159" s="558">
        <v>121072</v>
      </c>
      <c r="G159" s="547"/>
      <c r="H159" s="547">
        <v>121072</v>
      </c>
      <c r="I159" s="620" t="s">
        <v>202</v>
      </c>
      <c r="J159" s="703" t="s">
        <v>523</v>
      </c>
      <c r="K159" s="741"/>
      <c r="L159" s="638"/>
      <c r="M159" s="318"/>
      <c r="N159" s="534"/>
      <c r="O159" s="318"/>
      <c r="P159" s="318"/>
      <c r="Q159" s="318"/>
      <c r="R159" s="318"/>
      <c r="S159" s="318"/>
      <c r="T159" s="318"/>
      <c r="U159" s="318"/>
      <c r="V159" s="318"/>
      <c r="W159" s="318"/>
      <c r="X159" s="318"/>
      <c r="Y159" s="318"/>
      <c r="Z159" s="318"/>
      <c r="AA159" s="318"/>
      <c r="AB159" s="318"/>
      <c r="AC159" s="318"/>
      <c r="AD159" s="318"/>
      <c r="AE159" s="318"/>
      <c r="AF159" s="318"/>
      <c r="AG159" s="318"/>
      <c r="AH159" s="318"/>
      <c r="AI159" s="318"/>
      <c r="AJ159" s="318"/>
      <c r="AK159" s="318"/>
      <c r="AL159" s="318"/>
      <c r="AM159" s="318"/>
    </row>
    <row r="160" spans="1:39" s="323" customFormat="1" ht="37.950000000000003" customHeight="1" x14ac:dyDescent="0.25">
      <c r="A160" s="635" t="s">
        <v>225</v>
      </c>
      <c r="B160" s="634"/>
      <c r="C160" s="620"/>
      <c r="D160" s="741" t="s">
        <v>507</v>
      </c>
      <c r="E160" s="629">
        <f t="shared" si="5"/>
        <v>154</v>
      </c>
      <c r="F160" s="558">
        <v>91149.840000000011</v>
      </c>
      <c r="G160" s="547">
        <v>20820.240000000002</v>
      </c>
      <c r="H160" s="547">
        <v>70329.600000000006</v>
      </c>
      <c r="I160" s="618"/>
      <c r="J160" s="646" t="s">
        <v>504</v>
      </c>
      <c r="K160" s="715"/>
      <c r="L160" s="547" t="s">
        <v>498</v>
      </c>
      <c r="M160" s="318"/>
      <c r="N160" s="534"/>
      <c r="O160" s="318"/>
      <c r="P160" s="318"/>
      <c r="Q160" s="318"/>
      <c r="R160" s="318"/>
      <c r="S160" s="318"/>
      <c r="T160" s="318"/>
      <c r="U160" s="318"/>
      <c r="V160" s="318"/>
      <c r="W160" s="318"/>
      <c r="X160" s="318"/>
      <c r="Y160" s="318"/>
      <c r="Z160" s="318"/>
      <c r="AA160" s="318"/>
      <c r="AB160" s="318"/>
      <c r="AC160" s="318"/>
      <c r="AD160" s="318"/>
      <c r="AE160" s="318"/>
      <c r="AF160" s="318"/>
      <c r="AG160" s="318"/>
      <c r="AH160" s="318"/>
      <c r="AI160" s="318"/>
      <c r="AJ160" s="318"/>
      <c r="AK160" s="318"/>
      <c r="AL160" s="318"/>
      <c r="AM160" s="318"/>
    </row>
    <row r="161" spans="1:39" s="323" customFormat="1" ht="37.950000000000003" customHeight="1" x14ac:dyDescent="0.25">
      <c r="A161" s="635" t="s">
        <v>327</v>
      </c>
      <c r="B161" s="634"/>
      <c r="C161" s="620"/>
      <c r="D161" s="722" t="s">
        <v>508</v>
      </c>
      <c r="E161" s="629">
        <f t="shared" si="5"/>
        <v>155</v>
      </c>
      <c r="F161" s="546">
        <v>4500</v>
      </c>
      <c r="G161" s="547"/>
      <c r="H161" s="620">
        <v>4500</v>
      </c>
      <c r="I161" s="550"/>
      <c r="J161" s="646"/>
      <c r="K161" s="646"/>
      <c r="L161" s="547" t="s">
        <v>498</v>
      </c>
      <c r="M161" s="534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18"/>
      <c r="Z161" s="318"/>
      <c r="AA161" s="318"/>
      <c r="AB161" s="318"/>
      <c r="AC161" s="318"/>
      <c r="AD161" s="318"/>
      <c r="AE161" s="318"/>
      <c r="AF161" s="318"/>
      <c r="AG161" s="318"/>
      <c r="AH161" s="318"/>
      <c r="AI161" s="318"/>
      <c r="AJ161" s="318"/>
      <c r="AK161" s="318"/>
      <c r="AL161" s="318"/>
    </row>
    <row r="162" spans="1:39" s="323" customFormat="1" ht="37.950000000000003" customHeight="1" x14ac:dyDescent="0.25">
      <c r="A162" s="695" t="s">
        <v>170</v>
      </c>
      <c r="B162" s="740"/>
      <c r="C162" s="744"/>
      <c r="D162" s="722" t="s">
        <v>509</v>
      </c>
      <c r="E162" s="629">
        <f t="shared" si="5"/>
        <v>157</v>
      </c>
      <c r="F162" s="558">
        <v>14506.56</v>
      </c>
      <c r="G162" s="547">
        <v>13880.16</v>
      </c>
      <c r="H162" s="547">
        <v>626.4</v>
      </c>
      <c r="I162" s="618" t="s">
        <v>188</v>
      </c>
      <c r="J162" s="646" t="s">
        <v>521</v>
      </c>
      <c r="K162" s="646"/>
      <c r="L162" s="644"/>
      <c r="M162" s="318"/>
      <c r="N162" s="534"/>
      <c r="O162" s="318"/>
      <c r="P162" s="318"/>
      <c r="Q162" s="318"/>
      <c r="R162" s="318"/>
      <c r="S162" s="318"/>
      <c r="T162" s="318"/>
      <c r="U162" s="318"/>
      <c r="V162" s="318"/>
      <c r="W162" s="318"/>
      <c r="X162" s="318"/>
      <c r="Y162" s="318"/>
      <c r="Z162" s="318"/>
      <c r="AA162" s="318"/>
      <c r="AB162" s="318"/>
      <c r="AC162" s="318"/>
      <c r="AD162" s="318"/>
      <c r="AE162" s="318"/>
      <c r="AF162" s="318"/>
      <c r="AG162" s="318"/>
      <c r="AH162" s="318"/>
      <c r="AI162" s="318"/>
      <c r="AJ162" s="318"/>
      <c r="AK162" s="318"/>
      <c r="AL162" s="318"/>
      <c r="AM162" s="318"/>
    </row>
    <row r="163" spans="1:39" s="323" customFormat="1" ht="37.950000000000003" customHeight="1" x14ac:dyDescent="0.25">
      <c r="A163" s="635" t="s">
        <v>72</v>
      </c>
      <c r="B163" s="634"/>
      <c r="C163" s="547"/>
      <c r="D163" s="741" t="s">
        <v>510</v>
      </c>
      <c r="E163" s="629">
        <f t="shared" si="5"/>
        <v>158</v>
      </c>
      <c r="F163" s="546">
        <v>7253.28</v>
      </c>
      <c r="G163" s="620">
        <v>6940.08</v>
      </c>
      <c r="H163" s="556">
        <v>313.2</v>
      </c>
      <c r="I163" s="726" t="s">
        <v>188</v>
      </c>
      <c r="J163" s="678" t="s">
        <v>520</v>
      </c>
      <c r="K163" s="678"/>
      <c r="L163" s="644"/>
      <c r="M163" s="539"/>
      <c r="N163" s="540"/>
      <c r="O163" s="537"/>
      <c r="P163" s="318"/>
      <c r="Q163" s="318"/>
      <c r="R163" s="318"/>
      <c r="S163" s="318"/>
      <c r="T163" s="318"/>
      <c r="U163" s="318"/>
      <c r="V163" s="318"/>
      <c r="W163" s="318"/>
      <c r="X163" s="318"/>
      <c r="Y163" s="318"/>
      <c r="Z163" s="318"/>
      <c r="AA163" s="318"/>
      <c r="AB163" s="318"/>
      <c r="AC163" s="318"/>
      <c r="AD163" s="318"/>
      <c r="AE163" s="318"/>
      <c r="AF163" s="318"/>
      <c r="AG163" s="318"/>
      <c r="AH163" s="318"/>
      <c r="AI163" s="318"/>
      <c r="AJ163" s="318"/>
      <c r="AK163" s="318"/>
      <c r="AL163" s="318"/>
      <c r="AM163" s="318"/>
    </row>
    <row r="164" spans="1:39" s="323" customFormat="1" ht="37.950000000000003" customHeight="1" x14ac:dyDescent="0.25">
      <c r="A164" s="635" t="s">
        <v>366</v>
      </c>
      <c r="B164" s="634" t="s">
        <v>499</v>
      </c>
      <c r="C164" s="620">
        <v>73800</v>
      </c>
      <c r="D164" s="713" t="s">
        <v>512</v>
      </c>
      <c r="E164" s="629">
        <f t="shared" si="5"/>
        <v>159</v>
      </c>
      <c r="F164" s="546">
        <v>45803.078200000004</v>
      </c>
      <c r="G164" s="547">
        <v>11043.0782</v>
      </c>
      <c r="H164" s="620">
        <v>34760</v>
      </c>
      <c r="I164" s="618"/>
      <c r="J164" s="646" t="s">
        <v>511</v>
      </c>
      <c r="K164" s="646"/>
      <c r="L164" s="547" t="s">
        <v>498</v>
      </c>
      <c r="M164" s="534"/>
      <c r="N164" s="318"/>
      <c r="O164" s="318"/>
      <c r="P164" s="318"/>
      <c r="Q164" s="318"/>
      <c r="R164" s="318"/>
      <c r="S164" s="318"/>
      <c r="T164" s="318"/>
      <c r="U164" s="318"/>
      <c r="V164" s="318"/>
      <c r="W164" s="318"/>
      <c r="X164" s="318"/>
      <c r="Y164" s="318"/>
      <c r="Z164" s="318"/>
      <c r="AA164" s="318"/>
      <c r="AB164" s="318"/>
      <c r="AC164" s="318"/>
      <c r="AD164" s="318"/>
      <c r="AE164" s="318"/>
      <c r="AF164" s="318"/>
      <c r="AG164" s="318"/>
      <c r="AH164" s="318"/>
      <c r="AI164" s="318"/>
      <c r="AJ164" s="318"/>
      <c r="AK164" s="318"/>
      <c r="AL164" s="318"/>
    </row>
    <row r="165" spans="1:39" s="323" customFormat="1" ht="37.950000000000003" customHeight="1" x14ac:dyDescent="0.25">
      <c r="A165" s="635" t="s">
        <v>286</v>
      </c>
      <c r="B165" s="634" t="s">
        <v>287</v>
      </c>
      <c r="C165" s="620"/>
      <c r="D165" s="620"/>
      <c r="E165" s="629" t="str">
        <f t="shared" si="5"/>
        <v/>
      </c>
      <c r="F165" s="546"/>
      <c r="G165" s="547"/>
      <c r="H165" s="550"/>
      <c r="I165" s="556"/>
      <c r="J165" s="753"/>
      <c r="K165" s="753"/>
      <c r="L165" s="550"/>
      <c r="M165" s="318"/>
      <c r="N165" s="534"/>
      <c r="O165" s="318"/>
      <c r="P165" s="318"/>
      <c r="Q165" s="318"/>
      <c r="R165" s="318"/>
      <c r="S165" s="318"/>
      <c r="T165" s="318"/>
      <c r="U165" s="318"/>
      <c r="V165" s="318"/>
      <c r="W165" s="318"/>
      <c r="X165" s="318"/>
      <c r="Y165" s="318"/>
      <c r="Z165" s="318"/>
      <c r="AA165" s="318"/>
      <c r="AB165" s="318"/>
      <c r="AC165" s="318"/>
      <c r="AD165" s="318"/>
      <c r="AE165" s="318"/>
      <c r="AF165" s="318"/>
      <c r="AG165" s="318"/>
      <c r="AH165" s="318"/>
      <c r="AI165" s="318"/>
      <c r="AJ165" s="318"/>
      <c r="AK165" s="318"/>
      <c r="AL165" s="318"/>
      <c r="AM165" s="318"/>
    </row>
    <row r="166" spans="1:39" s="323" customFormat="1" ht="37.950000000000003" customHeight="1" x14ac:dyDescent="0.25">
      <c r="A166" s="635" t="s">
        <v>237</v>
      </c>
      <c r="B166" s="634" t="s">
        <v>276</v>
      </c>
      <c r="C166" s="620"/>
      <c r="D166" s="620"/>
      <c r="E166" s="629" t="str">
        <f t="shared" si="5"/>
        <v/>
      </c>
      <c r="F166" s="558"/>
      <c r="G166" s="547"/>
      <c r="H166" s="547"/>
      <c r="I166" s="547"/>
      <c r="J166" s="554"/>
      <c r="K166" s="554"/>
      <c r="L166" s="547"/>
      <c r="M166" s="318"/>
      <c r="N166" s="534"/>
      <c r="O166" s="318"/>
      <c r="P166" s="318"/>
      <c r="Q166" s="318"/>
      <c r="R166" s="318"/>
      <c r="S166" s="318"/>
      <c r="T166" s="318"/>
      <c r="U166" s="318"/>
      <c r="V166" s="318"/>
      <c r="W166" s="318"/>
      <c r="X166" s="318"/>
      <c r="Y166" s="318"/>
      <c r="Z166" s="318"/>
      <c r="AA166" s="318"/>
      <c r="AB166" s="318"/>
      <c r="AC166" s="318"/>
      <c r="AD166" s="318"/>
      <c r="AE166" s="318"/>
      <c r="AF166" s="318"/>
      <c r="AG166" s="318"/>
      <c r="AH166" s="318"/>
      <c r="AI166" s="318"/>
      <c r="AJ166" s="318"/>
      <c r="AK166" s="318"/>
      <c r="AL166" s="318"/>
      <c r="AM166" s="318"/>
    </row>
    <row r="167" spans="1:39" s="323" customFormat="1" ht="37.950000000000003" customHeight="1" x14ac:dyDescent="0.25">
      <c r="A167" s="635" t="s">
        <v>239</v>
      </c>
      <c r="B167" s="634" t="s">
        <v>279</v>
      </c>
      <c r="C167" s="620">
        <v>5040</v>
      </c>
      <c r="D167" s="620"/>
      <c r="E167" s="629" t="str">
        <f t="shared" si="5"/>
        <v/>
      </c>
      <c r="F167" s="546"/>
      <c r="G167" s="547"/>
      <c r="H167" s="547"/>
      <c r="I167" s="550"/>
      <c r="J167" s="646"/>
      <c r="K167" s="646"/>
      <c r="L167" s="620"/>
      <c r="M167" s="534"/>
      <c r="N167" s="318"/>
      <c r="O167" s="318"/>
      <c r="P167" s="318"/>
      <c r="Q167" s="318"/>
      <c r="R167" s="318"/>
      <c r="S167" s="318"/>
      <c r="T167" s="318"/>
      <c r="U167" s="318"/>
      <c r="V167" s="318"/>
      <c r="W167" s="318"/>
      <c r="X167" s="318"/>
      <c r="Y167" s="318"/>
      <c r="Z167" s="318"/>
      <c r="AA167" s="318"/>
      <c r="AB167" s="318"/>
      <c r="AC167" s="318"/>
      <c r="AD167" s="318"/>
      <c r="AE167" s="318"/>
      <c r="AF167" s="318"/>
      <c r="AG167" s="318"/>
      <c r="AH167" s="318"/>
      <c r="AI167" s="318"/>
      <c r="AJ167" s="318"/>
      <c r="AK167" s="318"/>
      <c r="AL167" s="318"/>
    </row>
    <row r="168" spans="1:39" s="323" customFormat="1" ht="37.950000000000003" customHeight="1" x14ac:dyDescent="0.25">
      <c r="A168" s="635" t="s">
        <v>240</v>
      </c>
      <c r="B168" s="634" t="s">
        <v>275</v>
      </c>
      <c r="C168" s="620">
        <v>40920.067115384612</v>
      </c>
      <c r="D168" s="620"/>
      <c r="E168" s="629" t="str">
        <f t="shared" si="5"/>
        <v/>
      </c>
      <c r="F168" s="546"/>
      <c r="G168" s="547"/>
      <c r="H168" s="547"/>
      <c r="I168" s="550"/>
      <c r="J168" s="646"/>
      <c r="K168" s="646"/>
      <c r="L168" s="620"/>
      <c r="M168" s="534"/>
      <c r="N168" s="318"/>
      <c r="O168" s="318"/>
      <c r="P168" s="318"/>
      <c r="Q168" s="318"/>
      <c r="R168" s="318"/>
      <c r="S168" s="318"/>
      <c r="T168" s="318"/>
      <c r="U168" s="318"/>
      <c r="V168" s="318"/>
      <c r="W168" s="318"/>
      <c r="X168" s="318"/>
      <c r="Y168" s="318"/>
      <c r="Z168" s="318"/>
      <c r="AA168" s="318"/>
      <c r="AB168" s="318"/>
      <c r="AC168" s="318"/>
      <c r="AD168" s="318"/>
      <c r="AE168" s="318"/>
      <c r="AF168" s="318"/>
      <c r="AG168" s="318"/>
      <c r="AH168" s="318"/>
      <c r="AI168" s="318"/>
      <c r="AJ168" s="318"/>
      <c r="AK168" s="318"/>
      <c r="AL168" s="318"/>
    </row>
    <row r="169" spans="1:39" s="323" customFormat="1" ht="37.950000000000003" customHeight="1" x14ac:dyDescent="0.25">
      <c r="A169" s="635" t="s">
        <v>289</v>
      </c>
      <c r="B169" s="634" t="s">
        <v>300</v>
      </c>
      <c r="C169" s="620">
        <v>6116.26</v>
      </c>
      <c r="D169" s="620"/>
      <c r="E169" s="629" t="str">
        <f t="shared" si="5"/>
        <v/>
      </c>
      <c r="F169" s="546"/>
      <c r="G169" s="547"/>
      <c r="H169" s="547"/>
      <c r="I169" s="550"/>
      <c r="J169" s="646"/>
      <c r="K169" s="646"/>
      <c r="L169" s="620"/>
      <c r="M169" s="534"/>
      <c r="N169" s="318"/>
      <c r="O169" s="318"/>
      <c r="P169" s="318"/>
      <c r="Q169" s="318"/>
      <c r="R169" s="318"/>
      <c r="S169" s="318"/>
      <c r="T169" s="318"/>
      <c r="U169" s="318"/>
      <c r="V169" s="318"/>
      <c r="W169" s="318"/>
      <c r="X169" s="318"/>
      <c r="Y169" s="318"/>
      <c r="Z169" s="318"/>
      <c r="AA169" s="318"/>
      <c r="AB169" s="318"/>
      <c r="AC169" s="318"/>
      <c r="AD169" s="318"/>
      <c r="AE169" s="318"/>
      <c r="AF169" s="318"/>
      <c r="AG169" s="318"/>
      <c r="AH169" s="318"/>
      <c r="AI169" s="318"/>
      <c r="AJ169" s="318"/>
      <c r="AK169" s="318"/>
      <c r="AL169" s="318"/>
    </row>
    <row r="170" spans="1:39" s="323" customFormat="1" ht="37.950000000000003" customHeight="1" x14ac:dyDescent="0.25">
      <c r="A170" s="635" t="s">
        <v>302</v>
      </c>
      <c r="B170" s="634" t="s">
        <v>333</v>
      </c>
      <c r="C170" s="620">
        <v>142452.13</v>
      </c>
      <c r="D170" s="620"/>
      <c r="E170" s="629" t="str">
        <f t="shared" si="5"/>
        <v/>
      </c>
      <c r="F170" s="546"/>
      <c r="G170" s="547"/>
      <c r="H170" s="547"/>
      <c r="I170" s="550"/>
      <c r="J170" s="646"/>
      <c r="K170" s="646"/>
      <c r="L170" s="620"/>
      <c r="M170" s="534"/>
      <c r="N170" s="318"/>
      <c r="O170" s="318"/>
      <c r="P170" s="318"/>
      <c r="Q170" s="318"/>
      <c r="R170" s="318"/>
      <c r="S170" s="318"/>
      <c r="T170" s="318"/>
      <c r="U170" s="318"/>
      <c r="V170" s="318"/>
      <c r="W170" s="318"/>
      <c r="X170" s="318"/>
      <c r="Y170" s="318"/>
      <c r="Z170" s="318"/>
      <c r="AA170" s="318"/>
      <c r="AB170" s="318"/>
      <c r="AC170" s="318"/>
      <c r="AD170" s="318"/>
      <c r="AE170" s="318"/>
      <c r="AF170" s="318"/>
      <c r="AG170" s="318"/>
      <c r="AH170" s="318"/>
      <c r="AI170" s="318"/>
      <c r="AJ170" s="318"/>
      <c r="AK170" s="318"/>
      <c r="AL170" s="318"/>
    </row>
    <row r="171" spans="1:39" s="323" customFormat="1" ht="37.950000000000003" customHeight="1" x14ac:dyDescent="0.25">
      <c r="A171" s="635" t="s">
        <v>305</v>
      </c>
      <c r="B171" s="634" t="s">
        <v>352</v>
      </c>
      <c r="C171" s="620"/>
      <c r="D171" s="620"/>
      <c r="E171" s="629" t="str">
        <f t="shared" si="5"/>
        <v/>
      </c>
      <c r="F171" s="546"/>
      <c r="G171" s="547"/>
      <c r="H171" s="546"/>
      <c r="I171" s="639"/>
      <c r="J171" s="646"/>
      <c r="K171" s="646"/>
      <c r="L171" s="547"/>
      <c r="M171" s="534"/>
      <c r="N171" s="318"/>
      <c r="O171" s="318"/>
      <c r="P171" s="318"/>
      <c r="Q171" s="318"/>
      <c r="R171" s="318"/>
      <c r="S171" s="318"/>
      <c r="T171" s="318"/>
      <c r="U171" s="318"/>
      <c r="V171" s="318"/>
      <c r="W171" s="318"/>
      <c r="X171" s="318"/>
      <c r="Y171" s="318"/>
      <c r="Z171" s="318"/>
      <c r="AA171" s="318"/>
      <c r="AB171" s="318"/>
      <c r="AC171" s="318"/>
      <c r="AD171" s="318"/>
      <c r="AE171" s="318"/>
      <c r="AF171" s="318"/>
      <c r="AG171" s="318"/>
      <c r="AH171" s="318"/>
      <c r="AI171" s="318"/>
      <c r="AJ171" s="318"/>
      <c r="AK171" s="318"/>
      <c r="AL171" s="318"/>
    </row>
    <row r="172" spans="1:39" s="323" customFormat="1" ht="37.950000000000003" customHeight="1" x14ac:dyDescent="0.25">
      <c r="A172" s="635" t="s">
        <v>338</v>
      </c>
      <c r="B172" s="634" t="s">
        <v>401</v>
      </c>
      <c r="C172" s="620">
        <v>227922.04</v>
      </c>
      <c r="D172" s="620"/>
      <c r="E172" s="629" t="str">
        <f t="shared" si="5"/>
        <v/>
      </c>
      <c r="F172" s="546"/>
      <c r="G172" s="547"/>
      <c r="H172" s="546"/>
      <c r="I172" s="639"/>
      <c r="J172" s="620"/>
      <c r="K172" s="646"/>
      <c r="L172" s="547"/>
      <c r="M172" s="534"/>
      <c r="N172" s="318"/>
      <c r="O172" s="318"/>
      <c r="P172" s="318"/>
      <c r="Q172" s="318"/>
      <c r="R172" s="318"/>
      <c r="S172" s="318"/>
      <c r="T172" s="318"/>
      <c r="U172" s="318"/>
      <c r="V172" s="318"/>
      <c r="W172" s="318"/>
      <c r="X172" s="318"/>
      <c r="Y172" s="318"/>
      <c r="Z172" s="318"/>
      <c r="AA172" s="318"/>
      <c r="AB172" s="318"/>
      <c r="AC172" s="318"/>
      <c r="AD172" s="318"/>
      <c r="AE172" s="318"/>
      <c r="AF172" s="318"/>
      <c r="AG172" s="318"/>
      <c r="AH172" s="318"/>
      <c r="AI172" s="318"/>
      <c r="AJ172" s="318"/>
      <c r="AK172" s="318"/>
      <c r="AL172" s="318"/>
    </row>
    <row r="173" spans="1:39" s="323" customFormat="1" ht="37.950000000000003" customHeight="1" x14ac:dyDescent="0.25">
      <c r="A173" s="635" t="s">
        <v>341</v>
      </c>
      <c r="B173" s="634" t="s">
        <v>413</v>
      </c>
      <c r="C173" s="620">
        <v>82388</v>
      </c>
      <c r="D173" s="548"/>
      <c r="E173" s="629" t="str">
        <f t="shared" si="5"/>
        <v/>
      </c>
      <c r="F173" s="546"/>
      <c r="G173" s="547"/>
      <c r="H173" s="620"/>
      <c r="I173" s="550"/>
      <c r="J173" s="646"/>
      <c r="K173" s="646"/>
      <c r="L173" s="547"/>
      <c r="M173" s="534"/>
      <c r="N173" s="318"/>
      <c r="O173" s="318"/>
      <c r="P173" s="318"/>
      <c r="Q173" s="318"/>
      <c r="R173" s="318"/>
      <c r="S173" s="318"/>
      <c r="T173" s="318"/>
      <c r="U173" s="318"/>
      <c r="V173" s="318"/>
      <c r="W173" s="318"/>
      <c r="X173" s="318"/>
      <c r="Y173" s="318"/>
      <c r="Z173" s="318"/>
      <c r="AA173" s="318"/>
      <c r="AB173" s="318"/>
      <c r="AC173" s="318"/>
      <c r="AD173" s="318"/>
      <c r="AE173" s="318"/>
      <c r="AF173" s="318"/>
      <c r="AG173" s="318"/>
      <c r="AH173" s="318"/>
      <c r="AI173" s="318"/>
      <c r="AJ173" s="318"/>
      <c r="AK173" s="318"/>
      <c r="AL173" s="318"/>
    </row>
    <row r="174" spans="1:39" s="323" customFormat="1" ht="37.950000000000003" customHeight="1" x14ac:dyDescent="0.25">
      <c r="A174" s="635" t="s">
        <v>342</v>
      </c>
      <c r="B174" s="634" t="s">
        <v>418</v>
      </c>
      <c r="C174" s="620">
        <v>799800</v>
      </c>
      <c r="D174" s="548"/>
      <c r="E174" s="629" t="str">
        <f t="shared" si="5"/>
        <v/>
      </c>
      <c r="F174" s="546"/>
      <c r="G174" s="547"/>
      <c r="H174" s="620"/>
      <c r="I174" s="550"/>
      <c r="J174" s="646"/>
      <c r="K174" s="646"/>
      <c r="L174" s="547"/>
      <c r="M174" s="534"/>
      <c r="N174" s="318"/>
      <c r="O174" s="318"/>
      <c r="P174" s="318"/>
      <c r="Q174" s="318"/>
      <c r="R174" s="318"/>
      <c r="S174" s="318"/>
      <c r="T174" s="318"/>
      <c r="U174" s="318"/>
      <c r="V174" s="318"/>
      <c r="W174" s="318"/>
      <c r="X174" s="318"/>
      <c r="Y174" s="318"/>
      <c r="Z174" s="318"/>
      <c r="AA174" s="318"/>
      <c r="AB174" s="318"/>
      <c r="AC174" s="318"/>
      <c r="AD174" s="318"/>
      <c r="AE174" s="318"/>
      <c r="AF174" s="318"/>
      <c r="AG174" s="318"/>
      <c r="AH174" s="318"/>
      <c r="AI174" s="318"/>
      <c r="AJ174" s="318"/>
      <c r="AK174" s="318"/>
      <c r="AL174" s="318"/>
    </row>
    <row r="175" spans="1:39" s="324" customFormat="1" ht="22.95" customHeight="1" x14ac:dyDescent="0.25">
      <c r="A175" s="560"/>
      <c r="B175" s="560" t="s">
        <v>47</v>
      </c>
      <c r="C175" s="561">
        <f>SUM(C6:C174)</f>
        <v>45824386.248762779</v>
      </c>
      <c r="D175" s="661"/>
      <c r="E175" s="661"/>
      <c r="F175" s="561">
        <f>SUM(F6:F174)</f>
        <v>43376361.898024954</v>
      </c>
      <c r="G175" s="561">
        <f>SUM(G6:G174)</f>
        <v>11594375.477879364</v>
      </c>
      <c r="H175" s="561">
        <f>SUM(H6:H174)</f>
        <v>31777286.417647619</v>
      </c>
      <c r="I175" s="561"/>
      <c r="J175" s="561"/>
      <c r="K175" s="561"/>
      <c r="L175" s="561"/>
    </row>
    <row r="176" spans="1:39" ht="27" customHeight="1" x14ac:dyDescent="0.25"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</row>
    <row r="177" spans="2:12" ht="34.799999999999997" hidden="1" customHeight="1" x14ac:dyDescent="0.25">
      <c r="B177" s="848" t="s">
        <v>513</v>
      </c>
      <c r="C177" s="848"/>
      <c r="D177" s="848"/>
      <c r="E177" s="849"/>
      <c r="F177" s="561">
        <v>43213743.270000003</v>
      </c>
      <c r="G177" s="339"/>
      <c r="H177" s="339"/>
      <c r="I177" s="339"/>
      <c r="J177" s="339"/>
      <c r="K177" s="339"/>
      <c r="L177" s="339"/>
    </row>
    <row r="178" spans="2:12" ht="29.4" hidden="1" customHeight="1" x14ac:dyDescent="0.35">
      <c r="B178" s="848" t="s">
        <v>514</v>
      </c>
      <c r="C178" s="848"/>
      <c r="D178" s="848"/>
      <c r="E178" s="849"/>
      <c r="F178" s="724">
        <f>F175-F177</f>
        <v>162618.62802495062</v>
      </c>
      <c r="G178" s="339"/>
      <c r="H178" s="339"/>
      <c r="I178" s="339"/>
      <c r="J178" s="339"/>
      <c r="K178" s="339"/>
      <c r="L178" s="339"/>
    </row>
    <row r="179" spans="2:12" ht="19.8" hidden="1" customHeight="1" x14ac:dyDescent="0.25"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</row>
    <row r="180" spans="2:12" ht="42.6" hidden="1" customHeight="1" x14ac:dyDescent="0.3">
      <c r="C180" s="850" t="s">
        <v>517</v>
      </c>
      <c r="D180" s="850"/>
      <c r="E180" s="850"/>
      <c r="F180" s="725">
        <v>394922.76</v>
      </c>
    </row>
    <row r="181" spans="2:12" ht="22.8" hidden="1" customHeight="1" x14ac:dyDescent="0.25">
      <c r="B181" s="848" t="s">
        <v>515</v>
      </c>
      <c r="C181" s="848"/>
      <c r="D181" s="848"/>
      <c r="E181" s="848"/>
      <c r="F181" s="561">
        <v>263800</v>
      </c>
      <c r="G181" s="339"/>
      <c r="H181" s="339"/>
      <c r="I181" s="339"/>
      <c r="J181" s="339"/>
      <c r="K181" s="339"/>
      <c r="L181" s="339"/>
    </row>
    <row r="182" spans="2:12" ht="29.4" hidden="1" customHeight="1" x14ac:dyDescent="0.35">
      <c r="B182" s="848" t="s">
        <v>514</v>
      </c>
      <c r="C182" s="848"/>
      <c r="D182" s="848"/>
      <c r="E182" s="849"/>
      <c r="F182" s="724">
        <f>F180-F181</f>
        <v>131122.76</v>
      </c>
      <c r="G182" s="339"/>
      <c r="H182" s="339"/>
      <c r="I182" s="339"/>
      <c r="J182" s="339"/>
      <c r="K182" s="339"/>
      <c r="L182" s="339"/>
    </row>
    <row r="183" spans="2:12" ht="46.8" hidden="1" customHeight="1" x14ac:dyDescent="0.25">
      <c r="B183" s="851" t="s">
        <v>518</v>
      </c>
      <c r="C183" s="851"/>
      <c r="D183" s="851"/>
      <c r="E183" s="851"/>
    </row>
    <row r="184" spans="2:12" ht="28.8" hidden="1" customHeight="1" x14ac:dyDescent="0.3">
      <c r="B184" s="725">
        <f>98200+172000+15500</f>
        <v>285700</v>
      </c>
    </row>
    <row r="185" spans="2:12" hidden="1" x14ac:dyDescent="0.25"/>
    <row r="186" spans="2:12" ht="17.399999999999999" hidden="1" x14ac:dyDescent="0.25">
      <c r="B186" s="851" t="s">
        <v>519</v>
      </c>
      <c r="C186" s="851"/>
      <c r="D186" s="851"/>
      <c r="E186" s="851"/>
    </row>
    <row r="187" spans="2:12" ht="17.399999999999999" hidden="1" x14ac:dyDescent="0.3">
      <c r="B187" s="725">
        <v>54222.76</v>
      </c>
    </row>
    <row r="188" spans="2:12" hidden="1" x14ac:dyDescent="0.25"/>
  </sheetData>
  <autoFilter ref="A5:AM175">
    <sortState ref="A8:AM175">
      <sortCondition ref="E5:E175"/>
    </sortState>
  </autoFilter>
  <mergeCells count="14">
    <mergeCell ref="B186:E186"/>
    <mergeCell ref="B177:E177"/>
    <mergeCell ref="B178:E178"/>
    <mergeCell ref="C180:E180"/>
    <mergeCell ref="B181:E181"/>
    <mergeCell ref="B182:E182"/>
    <mergeCell ref="B183:E183"/>
    <mergeCell ref="A1:L2"/>
    <mergeCell ref="A3:A5"/>
    <mergeCell ref="B3:B5"/>
    <mergeCell ref="C3:C5"/>
    <mergeCell ref="D3:J4"/>
    <mergeCell ref="K3:K5"/>
    <mergeCell ref="L3:L5"/>
  </mergeCells>
  <pageMargins left="3.937007874015748E-2" right="0.23622047244094491" top="0.74803149606299213" bottom="0.74803149606299213" header="0.31496062992125984" footer="0.31496062992125984"/>
  <pageSetup paperSize="9" scale="47" fitToHeight="0" orientation="landscape" verticalDpi="300" r:id="rId1"/>
  <rowBreaks count="2" manualBreakCount="2">
    <brk id="28" max="11" man="1"/>
    <brk id="53" max="1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910" t="s">
        <v>149</v>
      </c>
      <c r="B2" s="910"/>
      <c r="C2" s="910"/>
      <c r="D2" s="910"/>
      <c r="E2" s="910"/>
      <c r="F2" s="910"/>
      <c r="G2" s="910"/>
      <c r="H2" s="910"/>
      <c r="I2" s="910"/>
      <c r="J2" s="910"/>
      <c r="K2" s="910"/>
      <c r="L2" s="910"/>
      <c r="M2" s="910"/>
      <c r="N2" s="910"/>
      <c r="O2" s="910"/>
      <c r="P2" s="910"/>
      <c r="Q2" s="910"/>
      <c r="R2" s="910"/>
      <c r="S2" s="910"/>
      <c r="T2" s="910"/>
      <c r="U2" s="910"/>
      <c r="V2" s="910"/>
      <c r="W2" s="910"/>
      <c r="X2" s="910"/>
      <c r="Y2" s="910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911" t="s">
        <v>118</v>
      </c>
      <c r="B4" s="914" t="s">
        <v>2</v>
      </c>
      <c r="C4" s="916" t="s">
        <v>119</v>
      </c>
      <c r="D4" s="917"/>
      <c r="E4" s="920" t="s">
        <v>120</v>
      </c>
      <c r="F4" s="908" t="s">
        <v>121</v>
      </c>
      <c r="G4" s="923"/>
      <c r="H4" s="923"/>
      <c r="I4" s="923"/>
      <c r="J4" s="923"/>
      <c r="K4" s="923"/>
      <c r="L4" s="923"/>
      <c r="M4" s="923"/>
      <c r="N4" s="923"/>
      <c r="O4" s="923"/>
      <c r="P4" s="923"/>
      <c r="Q4" s="923"/>
      <c r="R4" s="923"/>
      <c r="S4" s="923"/>
      <c r="T4" s="923"/>
      <c r="U4" s="923"/>
      <c r="V4" s="923"/>
      <c r="W4" s="909"/>
      <c r="X4" s="512"/>
      <c r="Y4" s="916" t="s">
        <v>122</v>
      </c>
      <c r="Z4" s="924"/>
      <c r="AA4" s="917"/>
      <c r="AB4" s="902" t="s">
        <v>123</v>
      </c>
      <c r="AC4" s="903"/>
      <c r="AD4" s="904"/>
    </row>
    <row r="5" spans="1:30" ht="15.45" customHeight="1" x14ac:dyDescent="0.25">
      <c r="A5" s="912"/>
      <c r="B5" s="894"/>
      <c r="C5" s="918"/>
      <c r="D5" s="919"/>
      <c r="E5" s="921"/>
      <c r="F5" s="908" t="s">
        <v>143</v>
      </c>
      <c r="G5" s="909"/>
      <c r="H5" s="908" t="s">
        <v>144</v>
      </c>
      <c r="I5" s="909"/>
      <c r="J5" s="908" t="s">
        <v>145</v>
      </c>
      <c r="K5" s="909"/>
      <c r="L5" s="908" t="s">
        <v>156</v>
      </c>
      <c r="M5" s="909"/>
      <c r="N5" s="908" t="s">
        <v>155</v>
      </c>
      <c r="O5" s="909"/>
      <c r="P5" s="908" t="s">
        <v>159</v>
      </c>
      <c r="Q5" s="909"/>
      <c r="R5" s="908" t="s">
        <v>166</v>
      </c>
      <c r="S5" s="909"/>
      <c r="T5" s="908"/>
      <c r="U5" s="909"/>
      <c r="V5" s="908"/>
      <c r="W5" s="909"/>
      <c r="X5" s="513"/>
      <c r="Y5" s="918"/>
      <c r="Z5" s="925"/>
      <c r="AA5" s="919"/>
      <c r="AB5" s="905"/>
      <c r="AC5" s="906"/>
      <c r="AD5" s="907"/>
    </row>
    <row r="6" spans="1:30" ht="27.75" customHeight="1" x14ac:dyDescent="0.25">
      <c r="A6" s="913"/>
      <c r="B6" s="915"/>
      <c r="C6" s="314" t="s">
        <v>124</v>
      </c>
      <c r="D6" s="315" t="s">
        <v>125</v>
      </c>
      <c r="E6" s="922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884">
        <v>1</v>
      </c>
      <c r="B8" s="899" t="s">
        <v>95</v>
      </c>
      <c r="C8" s="876" t="s">
        <v>53</v>
      </c>
      <c r="D8" s="878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881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897"/>
      <c r="B9" s="900"/>
      <c r="C9" s="877"/>
      <c r="D9" s="879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882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897"/>
      <c r="B10" s="900"/>
      <c r="C10" s="877"/>
      <c r="D10" s="879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882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897"/>
      <c r="B11" s="900"/>
      <c r="C11" s="877"/>
      <c r="D11" s="879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882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897"/>
      <c r="B12" s="900"/>
      <c r="C12" s="877"/>
      <c r="D12" s="879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882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897"/>
      <c r="B13" s="900"/>
      <c r="C13" s="877"/>
      <c r="D13" s="879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882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897"/>
      <c r="B14" s="900"/>
      <c r="C14" s="877"/>
      <c r="D14" s="879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882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897"/>
      <c r="B15" s="900"/>
      <c r="C15" s="877"/>
      <c r="D15" s="879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882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897"/>
      <c r="B16" s="900"/>
      <c r="C16" s="877"/>
      <c r="D16" s="879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882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897"/>
      <c r="B17" s="900"/>
      <c r="C17" s="877"/>
      <c r="D17" s="879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882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897"/>
      <c r="B18" s="900"/>
      <c r="C18" s="877"/>
      <c r="D18" s="879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882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897"/>
      <c r="B19" s="900"/>
      <c r="C19" s="877"/>
      <c r="D19" s="879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882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897"/>
      <c r="B20" s="900"/>
      <c r="C20" s="877"/>
      <c r="D20" s="879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882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897"/>
      <c r="B21" s="900"/>
      <c r="C21" s="855"/>
      <c r="D21" s="879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882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898"/>
      <c r="B22" s="901"/>
      <c r="C22" s="871"/>
      <c r="D22" s="880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883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891">
        <v>2</v>
      </c>
      <c r="B25" s="892" t="s">
        <v>157</v>
      </c>
      <c r="C25" s="894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895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873"/>
      <c r="B26" s="893"/>
      <c r="C26" s="871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896"/>
      <c r="AB26" s="418"/>
      <c r="AC26" s="418"/>
      <c r="AD26" s="419"/>
    </row>
    <row r="27" spans="1:30" s="323" customFormat="1" ht="12" customHeight="1" x14ac:dyDescent="0.25">
      <c r="A27" s="884">
        <v>3</v>
      </c>
      <c r="B27" s="885" t="s">
        <v>98</v>
      </c>
      <c r="C27" s="510"/>
      <c r="D27" s="888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872"/>
      <c r="B28" s="886"/>
      <c r="C28" s="511"/>
      <c r="D28" s="889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873"/>
      <c r="B29" s="887"/>
      <c r="C29" s="397"/>
      <c r="D29" s="890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856">
        <f>A8+1</f>
        <v>2</v>
      </c>
      <c r="B30" s="859" t="s">
        <v>152</v>
      </c>
      <c r="C30" s="862" t="s">
        <v>69</v>
      </c>
      <c r="D30" s="865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854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857"/>
      <c r="B31" s="860"/>
      <c r="C31" s="863"/>
      <c r="D31" s="866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855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857"/>
      <c r="B32" s="860"/>
      <c r="C32" s="855"/>
      <c r="D32" s="866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855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857"/>
      <c r="B33" s="860"/>
      <c r="C33" s="855"/>
      <c r="D33" s="866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855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857"/>
      <c r="B34" s="860"/>
      <c r="C34" s="855"/>
      <c r="D34" s="866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855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857"/>
      <c r="B35" s="860"/>
      <c r="C35" s="855"/>
      <c r="D35" s="866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855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857"/>
      <c r="B36" s="860"/>
      <c r="C36" s="855"/>
      <c r="D36" s="866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855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857"/>
      <c r="B37" s="860"/>
      <c r="C37" s="855"/>
      <c r="D37" s="866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855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857"/>
      <c r="B38" s="860"/>
      <c r="C38" s="855"/>
      <c r="D38" s="866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855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857"/>
      <c r="B39" s="860"/>
      <c r="C39" s="855"/>
      <c r="D39" s="866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855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857"/>
      <c r="B40" s="860"/>
      <c r="C40" s="855"/>
      <c r="D40" s="866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855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857"/>
      <c r="B41" s="860"/>
      <c r="C41" s="855"/>
      <c r="D41" s="866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855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857"/>
      <c r="B42" s="860"/>
      <c r="C42" s="855"/>
      <c r="D42" s="866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855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857"/>
      <c r="B43" s="860"/>
      <c r="C43" s="855"/>
      <c r="D43" s="866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855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857"/>
      <c r="B44" s="860"/>
      <c r="C44" s="855"/>
      <c r="D44" s="866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855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858"/>
      <c r="B45" s="861"/>
      <c r="C45" s="871"/>
      <c r="D45" s="867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856">
        <v>3</v>
      </c>
      <c r="B47" s="859" t="s">
        <v>146</v>
      </c>
      <c r="C47" s="862" t="s">
        <v>70</v>
      </c>
      <c r="D47" s="865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868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857"/>
      <c r="B48" s="860"/>
      <c r="C48" s="863"/>
      <c r="D48" s="866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869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857"/>
      <c r="B49" s="860"/>
      <c r="C49" s="863"/>
      <c r="D49" s="866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869"/>
      <c r="AB49" s="415">
        <f>Z49</f>
        <v>197627.09</v>
      </c>
      <c r="AC49" s="415"/>
      <c r="AD49" s="443"/>
    </row>
    <row r="50" spans="1:30" s="323" customFormat="1" ht="12" customHeight="1" x14ac:dyDescent="0.25">
      <c r="A50" s="857"/>
      <c r="B50" s="860"/>
      <c r="C50" s="863"/>
      <c r="D50" s="866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869"/>
      <c r="AB50" s="415"/>
      <c r="AC50" s="415"/>
      <c r="AD50" s="443"/>
    </row>
    <row r="51" spans="1:30" s="323" customFormat="1" ht="12" customHeight="1" thickBot="1" x14ac:dyDescent="0.3">
      <c r="A51" s="857"/>
      <c r="B51" s="860"/>
      <c r="C51" s="863"/>
      <c r="D51" s="866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870"/>
      <c r="AB51" s="415"/>
      <c r="AC51" s="415"/>
      <c r="AD51" s="444"/>
    </row>
    <row r="52" spans="1:30" s="323" customFormat="1" ht="12.6" customHeight="1" thickBot="1" x14ac:dyDescent="0.3">
      <c r="A52" s="858"/>
      <c r="B52" s="861"/>
      <c r="C52" s="864"/>
      <c r="D52" s="867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856">
        <v>4</v>
      </c>
      <c r="B53" s="859" t="s">
        <v>151</v>
      </c>
      <c r="C53" s="862" t="s">
        <v>71</v>
      </c>
      <c r="D53" s="865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852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872"/>
      <c r="B54" s="874"/>
      <c r="C54" s="855"/>
      <c r="D54" s="855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853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872"/>
      <c r="B55" s="874"/>
      <c r="C55" s="855"/>
      <c r="D55" s="855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853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872"/>
      <c r="B56" s="874"/>
      <c r="C56" s="855"/>
      <c r="D56" s="855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853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872"/>
      <c r="B57" s="874"/>
      <c r="C57" s="855"/>
      <c r="D57" s="855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853"/>
      <c r="AB57" s="370"/>
      <c r="AC57" s="370"/>
      <c r="AD57" s="446"/>
    </row>
    <row r="58" spans="1:30" s="323" customFormat="1" ht="13.2" customHeight="1" thickBot="1" x14ac:dyDescent="0.3">
      <c r="A58" s="873"/>
      <c r="B58" s="875"/>
      <c r="C58" s="871"/>
      <c r="D58" s="871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856">
        <v>5</v>
      </c>
      <c r="B59" s="859" t="s">
        <v>154</v>
      </c>
      <c r="C59" s="862" t="s">
        <v>72</v>
      </c>
      <c r="D59" s="865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872"/>
      <c r="B60" s="874"/>
      <c r="C60" s="855"/>
      <c r="D60" s="855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872"/>
      <c r="B61" s="874"/>
      <c r="C61" s="855"/>
      <c r="D61" s="855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872"/>
      <c r="B62" s="874"/>
      <c r="C62" s="855"/>
      <c r="D62" s="855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872"/>
      <c r="B63" s="874"/>
      <c r="C63" s="855"/>
      <c r="D63" s="855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873"/>
      <c r="B64" s="875"/>
      <c r="C64" s="871"/>
      <c r="D64" s="871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2:Y2"/>
    <mergeCell ref="A4:A6"/>
    <mergeCell ref="B4:B6"/>
    <mergeCell ref="C4:D5"/>
    <mergeCell ref="E4:E6"/>
    <mergeCell ref="F4:W4"/>
    <mergeCell ref="Y4:AA5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59:A64"/>
    <mergeCell ref="B59:B64"/>
    <mergeCell ref="C59:C64"/>
    <mergeCell ref="D59:D64"/>
    <mergeCell ref="A53:A58"/>
    <mergeCell ref="B53:B58"/>
    <mergeCell ref="C53:C58"/>
    <mergeCell ref="D53:D58"/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926" t="s">
        <v>181</v>
      </c>
      <c r="B2" s="926"/>
      <c r="C2" s="926"/>
      <c r="D2" s="927"/>
      <c r="E2" s="927"/>
    </row>
    <row r="3" spans="1:5" ht="15" customHeight="1" x14ac:dyDescent="0.25">
      <c r="A3" s="309"/>
      <c r="B3" s="309"/>
      <c r="C3" s="309"/>
      <c r="D3" s="906" t="s">
        <v>182</v>
      </c>
      <c r="E3" s="906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897">
        <v>1</v>
      </c>
      <c r="B5" s="900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897"/>
      <c r="B6" s="900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897"/>
      <c r="B7" s="900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897"/>
      <c r="B8" s="900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897"/>
      <c r="B9" s="900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897"/>
      <c r="B10" s="900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897"/>
      <c r="B11" s="900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897"/>
      <c r="B12" s="900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897"/>
      <c r="B13" s="900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897"/>
      <c r="B14" s="900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897"/>
      <c r="B15" s="900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897"/>
      <c r="B16" s="900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897"/>
      <c r="B17" s="900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897"/>
      <c r="B18" s="900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897"/>
      <c r="B19" s="900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857">
        <f>A5+1</f>
        <v>2</v>
      </c>
      <c r="B23" s="860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857"/>
      <c r="B24" s="860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857"/>
      <c r="B25" s="860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857"/>
      <c r="B26" s="860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857"/>
      <c r="B27" s="860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857"/>
      <c r="B28" s="860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857"/>
      <c r="B29" s="860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857"/>
      <c r="B30" s="860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857"/>
      <c r="B31" s="860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857"/>
      <c r="B32" s="860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857"/>
      <c r="B33" s="860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857"/>
      <c r="B34" s="860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857"/>
      <c r="B35" s="860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857"/>
      <c r="B36" s="860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857"/>
      <c r="B37" s="860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857"/>
      <c r="B38" s="860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857"/>
      <c r="B39" s="860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857"/>
      <c r="B40" s="860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857"/>
      <c r="B41" s="860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857"/>
      <c r="B42" s="860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856">
        <v>3</v>
      </c>
      <c r="B43" s="859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857"/>
      <c r="B44" s="860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857"/>
      <c r="B45" s="860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857"/>
      <c r="B46" s="860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858"/>
      <c r="B47" s="861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856">
        <v>4</v>
      </c>
      <c r="B48" s="859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872"/>
      <c r="B49" s="874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872"/>
      <c r="B50" s="874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872"/>
      <c r="B51" s="874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928" t="s">
        <v>6</v>
      </c>
      <c r="B1" s="928"/>
      <c r="C1" s="928"/>
      <c r="D1" s="928"/>
      <c r="E1" s="928"/>
      <c r="F1" s="928"/>
    </row>
    <row r="2" spans="1:8" s="91" customFormat="1" ht="12.75" customHeight="1" x14ac:dyDescent="0.25">
      <c r="A2" s="929"/>
      <c r="B2" s="929"/>
      <c r="C2" s="929"/>
      <c r="D2" s="929"/>
      <c r="E2" s="929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8</vt:i4>
      </vt:variant>
    </vt:vector>
  </HeadingPairs>
  <TitlesOfParts>
    <vt:vector size="18" baseType="lpstr">
      <vt:lpstr>ноябрь</vt:lpstr>
      <vt:lpstr>Реєстр ДЦ</vt:lpstr>
      <vt:lpstr>Реєстр АВР</vt:lpstr>
      <vt:lpstr>Реєстр ДЦ </vt:lpstr>
      <vt:lpstr>РеєстрАВР</vt:lpstr>
      <vt:lpstr>РеєстрАВР (2)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РеєстрАВР!Область_печати</vt:lpstr>
      <vt:lpstr>'РеєстрАВР (2)'!Область_печати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2024-12-16T07:52:57Z</cp:lastPrinted>
  <dcterms:created xsi:type="dcterms:W3CDTF">2016-07-15T13:11:41Z</dcterms:created>
  <dcterms:modified xsi:type="dcterms:W3CDTF">2025-01-14T14:40:59Z</dcterms:modified>
</cp:coreProperties>
</file>
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ТУРБИНА 3\Накопление\Реестр АВР\"/>
    </mc:Choice>
  </mc:AlternateContent>
  <bookViews>
    <workbookView xWindow="28680" yWindow="-120" windowWidth="29040" windowHeight="15840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 ДЦ 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'!$A$7:$I$7</definedName>
    <definedName name="_xlnm._FilterDatabase" localSheetId="5" hidden="1">'Реєстр ДЦ  (2)'!$A$6:$H$6</definedName>
    <definedName name="_xlnm._FilterDatabase" localSheetId="4" hidden="1">РеєстрАВР!$A$4:$AI$126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'!$A$2:$I$36</definedName>
    <definedName name="_xlnm.Print_Area" localSheetId="5">'Реєстр ДЦ  (2)'!$A$2:$J$35</definedName>
    <definedName name="_xlnm.Print_Area" localSheetId="4">РеєстрАВР!$A$1:$J$127</definedName>
  </definedNames>
  <calcPr calcId="152511"/>
</workbook>
</file>

<file path=xl/calcChain.xml><?xml version="1.0" encoding="utf-8"?>
<calcChain xmlns="http://schemas.openxmlformats.org/spreadsheetml/2006/main">
  <c r="G103" i="27" l="1"/>
  <c r="F103" i="27"/>
  <c r="G95" i="27"/>
  <c r="G40" i="27"/>
  <c r="F40" i="27"/>
  <c r="G33" i="27"/>
  <c r="F33" i="27"/>
  <c r="G30" i="27"/>
  <c r="F30" i="27"/>
  <c r="G10" i="27"/>
  <c r="F10" i="27"/>
  <c r="F70" i="27" l="1"/>
  <c r="G70" i="27" s="1"/>
  <c r="G62" i="27"/>
  <c r="F62" i="27"/>
  <c r="G29" i="27"/>
  <c r="G121" i="27" l="1"/>
  <c r="G120" i="27"/>
  <c r="G119" i="27"/>
  <c r="G107" i="27"/>
  <c r="G102" i="27"/>
  <c r="G117" i="27"/>
  <c r="F44" i="27"/>
  <c r="G44" i="27" s="1"/>
  <c r="F101" i="27" l="1"/>
  <c r="G101" i="27" s="1"/>
  <c r="F94" i="27"/>
  <c r="G94" i="27" s="1"/>
  <c r="F79" i="27"/>
  <c r="G79" i="27" s="1"/>
  <c r="G74" i="27"/>
  <c r="F69" i="27"/>
  <c r="G69" i="27" s="1"/>
  <c r="G61" i="27"/>
  <c r="G43" i="27"/>
  <c r="F43" i="27"/>
  <c r="G39" i="27"/>
  <c r="F39" i="27"/>
  <c r="F28" i="27"/>
  <c r="G28" i="27" s="1"/>
  <c r="G16" i="27"/>
  <c r="G27" i="27" l="1"/>
  <c r="G20" i="27"/>
  <c r="G118" i="27" l="1"/>
  <c r="G106" i="27"/>
  <c r="G100" i="27"/>
  <c r="G99" i="27"/>
  <c r="G78" i="27"/>
  <c r="G68" i="27"/>
  <c r="G65" i="27"/>
  <c r="G60" i="27"/>
  <c r="G54" i="27"/>
  <c r="G38" i="27"/>
  <c r="G32" i="27"/>
  <c r="G26" i="27"/>
  <c r="G19" i="27"/>
  <c r="F80" i="27" l="1"/>
  <c r="G9" i="27" l="1"/>
  <c r="D32" i="22" l="1"/>
  <c r="E32" i="22"/>
  <c r="F110" i="27" l="1"/>
  <c r="G110" i="27" s="1"/>
  <c r="G90" i="27"/>
  <c r="F86" i="27"/>
  <c r="F84" i="27"/>
  <c r="G84" i="27" s="1"/>
  <c r="F77" i="27"/>
  <c r="G77" i="27" s="1"/>
  <c r="F73" i="27"/>
  <c r="G73" i="27" s="1"/>
  <c r="F59" i="27" l="1"/>
  <c r="G59" i="27" s="1"/>
  <c r="G116" i="27"/>
  <c r="G115" i="27"/>
  <c r="G114" i="27"/>
  <c r="G113" i="27"/>
  <c r="G112" i="27"/>
  <c r="F36" i="27"/>
  <c r="G36" i="27" s="1"/>
  <c r="G45" i="27"/>
  <c r="G7" i="27"/>
  <c r="G8" i="27"/>
  <c r="G11" i="27"/>
  <c r="G12" i="27"/>
  <c r="G14" i="27"/>
  <c r="G15" i="27"/>
  <c r="G17" i="27"/>
  <c r="G25" i="27"/>
  <c r="G41" i="27"/>
  <c r="G42" i="27"/>
  <c r="G47" i="27"/>
  <c r="G48" i="27"/>
  <c r="G49" i="27"/>
  <c r="G51" i="27"/>
  <c r="G56" i="27"/>
  <c r="G58" i="27"/>
  <c r="G72" i="27"/>
  <c r="G81" i="27"/>
  <c r="G83" i="27"/>
  <c r="G87" i="27"/>
  <c r="G88" i="27"/>
  <c r="G91" i="27"/>
  <c r="G96" i="27"/>
  <c r="G105" i="27"/>
  <c r="G109" i="27"/>
  <c r="G111" i="27"/>
  <c r="G124" i="27"/>
  <c r="G125" i="27"/>
  <c r="G6" i="27"/>
  <c r="F36" i="22" l="1"/>
  <c r="F31" i="22" l="1"/>
  <c r="D31" i="22" l="1"/>
  <c r="D36" i="22" s="1"/>
  <c r="F98" i="27" l="1"/>
  <c r="G98" i="27" s="1"/>
  <c r="F93" i="27"/>
  <c r="G93" i="27" s="1"/>
  <c r="F89" i="27"/>
  <c r="G89" i="27" s="1"/>
  <c r="F76" i="27"/>
  <c r="G76" i="27" s="1"/>
  <c r="F64" i="27"/>
  <c r="G64" i="27" s="1"/>
  <c r="F22" i="27" l="1"/>
  <c r="G22" i="27" s="1"/>
  <c r="F53" i="27" l="1"/>
  <c r="G53" i="27" s="1"/>
  <c r="F35" i="27"/>
  <c r="G35" i="27" s="1"/>
  <c r="F24" i="27"/>
  <c r="G24" i="27" s="1"/>
  <c r="F21" i="27"/>
  <c r="G21" i="27" s="1"/>
  <c r="F123" i="27" l="1"/>
  <c r="G123" i="27" s="1"/>
  <c r="F108" i="27"/>
  <c r="G108" i="27" s="1"/>
  <c r="F104" i="27"/>
  <c r="G104" i="27" s="1"/>
  <c r="F97" i="27"/>
  <c r="G97" i="27" s="1"/>
  <c r="F92" i="27"/>
  <c r="G92" i="27" s="1"/>
  <c r="F85" i="27"/>
  <c r="G85" i="27" s="1"/>
  <c r="F82" i="27"/>
  <c r="G82" i="27" s="1"/>
  <c r="F75" i="27"/>
  <c r="G75" i="27" s="1"/>
  <c r="F71" i="27"/>
  <c r="G71" i="27" s="1"/>
  <c r="F67" i="27"/>
  <c r="E67" i="27" s="1"/>
  <c r="E126" i="27" s="1"/>
  <c r="H125" i="27" s="1"/>
  <c r="F63" i="27"/>
  <c r="F57" i="27"/>
  <c r="G57" i="27" s="1"/>
  <c r="G63" i="27" l="1"/>
  <c r="G67" i="27"/>
  <c r="F122" i="27"/>
  <c r="G122" i="27" s="1"/>
  <c r="F52" i="27"/>
  <c r="G52" i="27" s="1"/>
  <c r="K48" i="27"/>
  <c r="F50" i="27"/>
  <c r="G50" i="27" s="1"/>
  <c r="K45" i="27"/>
  <c r="F46" i="27"/>
  <c r="G46" i="27" s="1"/>
  <c r="F37" i="27"/>
  <c r="G37" i="27" s="1"/>
  <c r="F34" i="27"/>
  <c r="G34" i="27" s="1"/>
  <c r="K31" i="27"/>
  <c r="F31" i="27"/>
  <c r="G31" i="27" s="1"/>
  <c r="F23" i="27"/>
  <c r="G23" i="27" s="1"/>
  <c r="K17" i="27"/>
  <c r="F18" i="27"/>
  <c r="G18" i="27" s="1"/>
  <c r="K12" i="27"/>
  <c r="K11" i="27"/>
  <c r="K7" i="27"/>
  <c r="K6" i="27"/>
  <c r="F13" i="27"/>
  <c r="G13" i="27" l="1"/>
  <c r="E30" i="22"/>
  <c r="D29" i="22" l="1"/>
  <c r="F66" i="27" l="1"/>
  <c r="F126" i="27" s="1"/>
  <c r="G66" i="27" l="1"/>
  <c r="G126" i="27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7" i="22"/>
  <c r="E35" i="28"/>
  <c r="D35" i="28"/>
  <c r="C35" i="28"/>
  <c r="C126" i="27" l="1"/>
  <c r="E36" i="22"/>
  <c r="G127" i="27" l="1"/>
  <c r="F127" i="27"/>
  <c r="E127" i="27"/>
  <c r="C127" i="27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<sst xmlns="http://schemas.openxmlformats.org/spreadsheetml/2006/main" count="778" uniqueCount="389">
  <si>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</si>
  <si>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</si>
  <si>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</si>
  <si>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</si>
  <si>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</si>
  <si>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</si>
  <si>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</si>
  <si>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</si>
  <si>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</si>
  <si>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</si>
  <si>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</si>
  <si>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</si>
  <si>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</si>
  <si>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</si>
  <si>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</si>
  <si>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</si>
  <si>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</si>
  <si>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</si>
  <si>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</si>
  <si>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</si>
  <si>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</si>
  <si>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</si>
  <si>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</si>
  <si>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</si>
  <si>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</si>
  <si>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</si>
  <si>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</si>
  <si>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</si>
  <si>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</si>
  <si>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</si>
  <si>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</si>
  <si>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</si>
  <si>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</si>
  <si>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</si>
  <si>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</si>
  <si>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</si>
  <si>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</si>
  <si>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</si>
  <si>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</si>
  <si>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</si>
  <si>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</si>
  <si>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</si>
  <si>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</si>
  <si>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</si>
  <si>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</si>
  <si>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</si>
  <si>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</si>
  <si>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</si>
  <si>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</si>
  <si>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</si>
  <si>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</si>
  <si>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</si>
  <si>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</si>
  <si>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</si>
  <si>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</si>
  <si>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</si>
  <si>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</si>
  <si>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</si>
  <si>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</si>
  <si>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</si>
  <si>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</si>
  <si>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</si>
  <si>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</si>
  <si>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</si>
  <si>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</si>
  <si>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</si>
  <si>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</si>
  <si>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</si>
  <si>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</si>
  <si>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</si>
  <si>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</si>
  <si>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</si>
  <si>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</si>
  <si>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</si>
  <si>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</si>
  <si>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</si>
  <si>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</si>
  <si>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</si>
  <si>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</si>
  <si>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</si>
  <si>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</si>
  <si>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</si>
  <si>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</si>
  <si>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</si>
  <si>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</si>
  <si>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</si>
  <si>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</si>
  <si>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</si>
  <si>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</si>
  <si>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</si>
  <si>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</si>
  <si>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</si>
  <si>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</si>
  <si>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</si>
  <si>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</si>
  <si>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</si>
  <si>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</si>
  <si>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</si>
  <si>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</si>
  <si>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</si>
  <si>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</si>
  <si>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</si>
  <si>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</si>
  <si>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</si>
  <si>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</si>
  <si>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</si>
  <si>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</si>
  <si>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</si>
  <si>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</si>
  <si>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</si>
  <si>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</si>
  <si>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</si>
  <si>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</si>
  <si>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</si>
  <si>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</si>
  <si>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</si>
  <si>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</si>
  <si>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</si>
  <si>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</si>
  <si>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</si>
  <si>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</si>
  <si>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</si>
  <si>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</si>
  <si>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</si>
  <si>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</si>
  <si>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</si>
  <si>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</si>
  <si>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</si>
  <si>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</si>
  <si>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</si>
  <si>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</si>
  <si>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</si>
  <si>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</si>
  <si>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</si>
  <si>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</si>
  <si>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</si>
  <si>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</si>
  <si>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</si>
  <si>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</si>
  <si>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</si>
  <si>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</si>
  <si>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</si>
  <si>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</si>
  <si>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</si>
  <si>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</si>
  <si>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</si>
  <si>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</si>
  <si>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</si>
  <si>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</si>
  <si>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</si>
  <si>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</si>
  <si>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</si>
  <si>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</si>
  <si>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</si>
  <si>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</si>
  <si>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</si>
  <si>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</si>
  <si>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</si>
  <si>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</si>
  <si>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</si>
  <si>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</si>
  <si>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</si>
  <si>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</si>
  <si>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</si>
  <si>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</si>
  <si>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</si>
  <si>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</si>
  <si>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</si>
  <si>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</si>
  <si>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</si>
  <si>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</si>
  <si>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</si>
  <si>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</si>
  <si>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</si>
  <si>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</si>
  <si>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</si>
  <si>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</si>
  <si>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</si>
  <si>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</si>
  <si>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</si>
  <si>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</si>
  <si>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</si>
  <si>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</si>
  <si>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</si>
  <si>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</si>
  <si>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</si>
  <si>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</si>
  <si>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</si>
  <si>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</si>
  <si>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</si>
  <si>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</si>
  <si>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</si>
  <si>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</si>
  <si>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</si>
  <si>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</si>
  <si>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</si>
  <si>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</si>
  <si>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 xml:space="preserve"> Реєстр ДЦ  по об'єкту "_______________________________ "</t>
  </si>
  <si>
    <t xml:space="preserve"> Реєстр актів виконаних робіт по об'єкту "___________________________________________________"</t>
  </si>
  <si>
    <t>Варіанти статусу</t>
  </si>
  <si>
    <t>заповнюємо колонку коментарі з датою коли буде оригінал</t>
  </si>
  <si>
    <t>не заповнюємо колонку коментарі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</si>
  <si>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</si>
  <si>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</si>
  <si>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</si>
  <si>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</si>
  <si>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</si>
  <si>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</si>
  <si>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</si>
  <si>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</si>
  <si>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Влаштування фундамента під турбіну та кран-балку</t>
  </si>
  <si>
    <t>Влаштування металоконструкцій площадок, огорож та сходів в машинному залі</t>
  </si>
  <si>
    <t xml:space="preserve">Поставка та монтаж кран-балки вантажопідйомністю-10т
</t>
  </si>
  <si>
    <t xml:space="preserve">Монтаж системи масляного охолодження турбіни </t>
  </si>
  <si>
    <t xml:space="preserve">Монтаж і обв'язування турбіни та генератора </t>
  </si>
  <si>
    <t>Влаштування додаткової вентиляції операторської</t>
  </si>
  <si>
    <t xml:space="preserve">Монтаж та обв'язування конденсатора  </t>
  </si>
  <si>
    <t>Влаштування промислової підлоги</t>
  </si>
  <si>
    <t>Влаштування паропроводу.</t>
  </si>
  <si>
    <t xml:space="preserve">Влаштування дренажів. </t>
  </si>
  <si>
    <t>Влаштування конденсаторопровода</t>
  </si>
  <si>
    <t>Оздоблювальні роботи</t>
  </si>
  <si>
    <t>Влаштування благоустрою території</t>
  </si>
  <si>
    <t>Влаштування утеплення паропроводів</t>
  </si>
  <si>
    <t>Влаштування системи кондиціювання в ТП-2</t>
  </si>
  <si>
    <t>Загальнобудівельні роботи по влаштуванню приміщення ТП 2</t>
  </si>
  <si>
    <t>Влаштування зовнішніх мереж водопроводу  каналізації К 2</t>
  </si>
  <si>
    <t>Електромонтажні роботи п.2.1</t>
  </si>
  <si>
    <t>Пусконалагоджувальні роботи</t>
  </si>
  <si>
    <t>Випробування кабельних трас</t>
  </si>
  <si>
    <t>Випробування трубопроводів</t>
  </si>
  <si>
    <t>Перебазування дільниці</t>
  </si>
  <si>
    <t xml:space="preserve"> Реєстр ДЦ  по об'єкту "Комплекс будівельно-монтажних та пусконалагоджувальних робіт з монтажу та підключення турбогенераторної установки для виробництва електричної енергії на базі парової турбіни "</t>
  </si>
  <si>
    <t>Договір №З-12</t>
  </si>
  <si>
    <t>Договір</t>
  </si>
  <si>
    <t>№ З-12</t>
  </si>
  <si>
    <t>Піскоструменеве очищення металоконструкцій</t>
  </si>
  <si>
    <t>підписано. Оригінал договору в офісі</t>
  </si>
  <si>
    <t>Обслуговування (ревізія) Турбіни</t>
  </si>
  <si>
    <t>Машинний зал</t>
  </si>
  <si>
    <t>Щитова ГРП 6, трансформаторні підстанції ТП 2, ТП 3</t>
  </si>
  <si>
    <t>Зовнішні мережі та естакади</t>
  </si>
  <si>
    <t>Електропостачання (ЕП1). Реконструкція ГПП-35/6кВ</t>
  </si>
  <si>
    <t>Вартість  обладнання ГПП-35/6кВ ЕП1</t>
  </si>
  <si>
    <t>Електропостачання (ЕП2). ГРП-6кВ</t>
  </si>
  <si>
    <t>Обладнання ГРП-6кВ ЕП2</t>
  </si>
  <si>
    <t>Електропостачання (ЕП3). Кабельні мережі</t>
  </si>
  <si>
    <t>Силове електрообладнання (ЕМ1). Будівля котельної</t>
  </si>
  <si>
    <t>Придбання силового електрообладнання (ЕМ1). Будівля котельної</t>
  </si>
  <si>
    <t>Силове електрообладнання (ЕМ2). Реконструкція ТП-2</t>
  </si>
  <si>
    <t>Придбання силового електрообладнання (ЕМ2). Реконструкція ТП-2</t>
  </si>
  <si>
    <t>Електроосвітлення (ЕО)</t>
  </si>
  <si>
    <t>Релейний захист (РЗ1). Реконструкція ГПП-35/6кВ</t>
  </si>
  <si>
    <t>Автоматизована система технічного обліку (АСТОЕ)</t>
  </si>
  <si>
    <t>Устаткування автоматизованої системи технічного обліку (АСТОЕ)</t>
  </si>
  <si>
    <t xml:space="preserve">Автоматизація технологічних процесів АТХ </t>
  </si>
  <si>
    <t>Устаткування автоматизації технологічних процесів АТХ</t>
  </si>
  <si>
    <t>Захисне заземлення та зрівнювання потенціалів (ЗЗ)</t>
  </si>
  <si>
    <t>№2/1</t>
  </si>
  <si>
    <t>№2/2</t>
  </si>
  <si>
    <t>№2/3</t>
  </si>
  <si>
    <t>№2/4</t>
  </si>
  <si>
    <t>№2/5</t>
  </si>
  <si>
    <t>№2/6</t>
  </si>
  <si>
    <t>№2/7</t>
  </si>
  <si>
    <t>№2/8</t>
  </si>
  <si>
    <t>№2/9</t>
  </si>
  <si>
    <t>№2/10</t>
  </si>
  <si>
    <t>№2/11</t>
  </si>
  <si>
    <t>№2/12</t>
  </si>
  <si>
    <t>"2/13</t>
  </si>
  <si>
    <t>Релейний захист (РЗ2). Реконструкція ГПП-35/6кВ</t>
  </si>
  <si>
    <t>№2/14</t>
  </si>
  <si>
    <t>№2/15</t>
  </si>
  <si>
    <t>"2/16</t>
  </si>
  <si>
    <t>согласовано (ОК в почте от Резниченко)</t>
  </si>
  <si>
    <t>Дефектовка ГПП</t>
  </si>
  <si>
    <r>
      <t xml:space="preserve">после пересчета ДЦ, в новую редакцию будут включены данные работы. Объемы фактические подписаны Резниченко, </t>
    </r>
    <r>
      <rPr>
        <b/>
        <sz val="10"/>
        <rFont val="Times New Roman"/>
        <family val="1"/>
        <charset val="204"/>
      </rPr>
      <t>закрыто в АВР №3</t>
    </r>
  </si>
  <si>
    <t>№3/1</t>
  </si>
  <si>
    <t>№3/2</t>
  </si>
  <si>
    <t>№3/3</t>
  </si>
  <si>
    <t>Сумма по АВР</t>
  </si>
  <si>
    <t>№3/4</t>
  </si>
  <si>
    <t>закрыто 100%</t>
  </si>
  <si>
    <t>закрыто по факту</t>
  </si>
  <si>
    <t>№3/5</t>
  </si>
  <si>
    <t>№3/6</t>
  </si>
  <si>
    <t>№3/7</t>
  </si>
  <si>
    <t>№3/8</t>
  </si>
  <si>
    <t>№3/9</t>
  </si>
  <si>
    <t>№3/10</t>
  </si>
  <si>
    <t>№3/11</t>
  </si>
  <si>
    <t>№3/12</t>
  </si>
  <si>
    <t>закрыто  по факту</t>
  </si>
  <si>
    <r>
      <t xml:space="preserve">после пересчета ДЦ, в новую редакцию будут включены данные работы. Объемы фактические подписаны Резниченко, закрыто </t>
    </r>
    <r>
      <rPr>
        <b/>
        <sz val="11"/>
        <color theme="1"/>
        <rFont val="Times New Roman"/>
        <family val="1"/>
        <charset val="204"/>
      </rPr>
      <t>в АВР №4</t>
    </r>
  </si>
  <si>
    <t>№4/1</t>
  </si>
  <si>
    <t>№4/2</t>
  </si>
  <si>
    <t>№4/3</t>
  </si>
  <si>
    <t>№4/4</t>
  </si>
  <si>
    <t>закрито 100%</t>
  </si>
  <si>
    <t>№4/5</t>
  </si>
  <si>
    <t>№4/6</t>
  </si>
  <si>
    <t>№4/7</t>
  </si>
  <si>
    <t>№4/8</t>
  </si>
  <si>
    <t>№4/9</t>
  </si>
  <si>
    <t>№4/10</t>
  </si>
  <si>
    <t>№4/11</t>
  </si>
  <si>
    <t>№4/12</t>
  </si>
  <si>
    <t>№4/13</t>
  </si>
  <si>
    <t>Додаткові роботи ГПП</t>
  </si>
  <si>
    <t>№4/14</t>
  </si>
  <si>
    <t>№5/1</t>
  </si>
  <si>
    <t>№5/2</t>
  </si>
  <si>
    <t>№5/3</t>
  </si>
  <si>
    <t>№5/4</t>
  </si>
  <si>
    <t>№5/5</t>
  </si>
  <si>
    <t>№6/1</t>
  </si>
  <si>
    <t>№6/2</t>
  </si>
  <si>
    <t>№6/3</t>
  </si>
  <si>
    <t>№6.4</t>
  </si>
  <si>
    <t>№6/5</t>
  </si>
  <si>
    <t>№6/6</t>
  </si>
  <si>
    <t>№6/7</t>
  </si>
  <si>
    <t>№6/8</t>
  </si>
  <si>
    <t>№6/9</t>
  </si>
  <si>
    <t>№6/10</t>
  </si>
  <si>
    <t>подписан. Оригинал в офисе</t>
  </si>
  <si>
    <t>Технічне забезпечення шефмонтажних та пусконалагоджувальних робіт. Інжинірингові послуги (супровід та узгодження дозвільної документації в Запоріжжяобленерго)</t>
  </si>
  <si>
    <t>№ З-34</t>
  </si>
  <si>
    <t>№7/1</t>
  </si>
  <si>
    <t>№7/4</t>
  </si>
  <si>
    <t>№7/8</t>
  </si>
  <si>
    <t>№7/9</t>
  </si>
  <si>
    <t>№7/11</t>
  </si>
  <si>
    <t>№7/12</t>
  </si>
  <si>
    <t>№7/13</t>
  </si>
  <si>
    <t>№7/14</t>
  </si>
  <si>
    <t>№7/15</t>
  </si>
  <si>
    <r>
      <t xml:space="preserve">Оригинал на подписи у Закерничного </t>
    </r>
    <r>
      <rPr>
        <i/>
        <sz val="14"/>
        <rFont val="Times New Roman"/>
        <family val="1"/>
        <charset val="204"/>
      </rPr>
      <t>(ДЦ будет подписано директором после уточнения даты начала ПНР)</t>
    </r>
  </si>
  <si>
    <t>Доп. Работы (согласно подписанных дефектных актов)</t>
  </si>
  <si>
    <t>№7/2</t>
  </si>
  <si>
    <t>№7/3</t>
  </si>
  <si>
    <t>№7/5</t>
  </si>
  <si>
    <t>№7/6</t>
  </si>
  <si>
    <t>№7/7</t>
  </si>
  <si>
    <t>№7/10</t>
  </si>
  <si>
    <t>оплачено</t>
  </si>
  <si>
    <t>№8/1</t>
  </si>
  <si>
    <t>№8/2</t>
  </si>
  <si>
    <t>№8/3</t>
  </si>
  <si>
    <t>№8/4</t>
  </si>
  <si>
    <t>№8/5</t>
  </si>
  <si>
    <t>№8/6</t>
  </si>
  <si>
    <t>№8/7</t>
  </si>
  <si>
    <t>№8/8</t>
  </si>
  <si>
    <t>№8/9</t>
  </si>
  <si>
    <t>№8/10</t>
  </si>
  <si>
    <t>№8/11</t>
  </si>
  <si>
    <t>№8/12</t>
  </si>
  <si>
    <t>№8/13</t>
  </si>
  <si>
    <t>№9/1</t>
  </si>
  <si>
    <t>№9/2</t>
  </si>
  <si>
    <t>№10/1</t>
  </si>
  <si>
    <t>№10/2</t>
  </si>
  <si>
    <t>№10/3</t>
  </si>
  <si>
    <t>№10/4</t>
  </si>
  <si>
    <t>№10/5</t>
  </si>
  <si>
    <t>№10/6</t>
  </si>
  <si>
    <t>№10/7</t>
  </si>
  <si>
    <t>№10/8</t>
  </si>
  <si>
    <t>№10/9</t>
  </si>
  <si>
    <t>№10/10</t>
  </si>
  <si>
    <t>№11/1</t>
  </si>
  <si>
    <t>№11/2</t>
  </si>
  <si>
    <t>№11/3</t>
  </si>
  <si>
    <t>№11/4</t>
  </si>
  <si>
    <t>№11/5</t>
  </si>
  <si>
    <t>№11/6</t>
  </si>
  <si>
    <t>Послуги Обленерго</t>
  </si>
  <si>
    <t>№11/7</t>
  </si>
  <si>
    <t>№11/8</t>
  </si>
  <si>
    <t>№11/9</t>
  </si>
  <si>
    <t>№12/1</t>
  </si>
  <si>
    <t>№12/2</t>
  </si>
  <si>
    <t>№12/3</t>
  </si>
  <si>
    <t>№12/4</t>
  </si>
  <si>
    <t>№12/5</t>
  </si>
  <si>
    <t>№12/6</t>
  </si>
  <si>
    <t>оригинал в офисе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</si>
</sst>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5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4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955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0" fontId="49" fillId="12" borderId="2" xfId="20" applyFont="1" applyFill="1" applyBorder="1" applyAlignment="1">
      <alignment horizontal="center" vertical="center"/>
    </xf>
    <xf numFmtId="0" fontId="50" fillId="0" borderId="0" xfId="20" applyFont="1" applyAlignment="1">
      <alignment horizontal="center"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 wrapText="1"/>
    </xf>
    <xf numFmtId="0" fontId="49" fillId="0" borderId="2" xfId="20" applyFont="1" applyFill="1" applyBorder="1" applyAlignment="1">
      <alignment vertical="center" wrapText="1"/>
    </xf>
    <xf numFmtId="0" fontId="51" fillId="0" borderId="2" xfId="20" applyNumberFormat="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0" fontId="49" fillId="0" borderId="19" xfId="20" applyFont="1" applyFill="1" applyBorder="1" applyAlignment="1">
      <alignment horizontal="left" vertical="center" wrapText="1"/>
    </xf>
    <xf numFmtId="164" fontId="49" fillId="0" borderId="19" xfId="20" applyNumberFormat="1" applyFont="1" applyFill="1" applyBorder="1" applyAlignment="1">
      <alignment horizontal="center" vertical="center"/>
    </xf>
    <xf numFmtId="175" fontId="49" fillId="0" borderId="19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center"/>
    </xf>
    <xf numFmtId="164" fontId="49" fillId="0" borderId="20" xfId="20" applyNumberFormat="1" applyFont="1" applyFill="1" applyBorder="1" applyAlignment="1">
      <alignment vertical="center"/>
    </xf>
    <xf numFmtId="164" fontId="49" fillId="0" borderId="14" xfId="20" applyNumberFormat="1" applyFont="1" applyFill="1" applyBorder="1" applyAlignment="1">
      <alignment horizontal="center"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43" fontId="39" fillId="5" borderId="2" xfId="20" applyNumberFormat="1" applyFont="1" applyFill="1" applyBorder="1" applyAlignment="1">
      <alignment horizontal="center" vertical="center"/>
    </xf>
    <xf numFmtId="0" fontId="52" fillId="0" borderId="2" xfId="20" applyFont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vertical="center"/>
    </xf>
    <xf numFmtId="0" fontId="49" fillId="0" borderId="2" xfId="20" applyFont="1" applyFill="1" applyBorder="1" applyAlignment="1">
      <alignment vertical="top" wrapText="1"/>
    </xf>
    <xf numFmtId="0" fontId="49" fillId="13" borderId="19" xfId="20" applyFont="1" applyFill="1" applyBorder="1" applyAlignment="1">
      <alignment horizontal="center" vertical="center"/>
    </xf>
    <xf numFmtId="0" fontId="49" fillId="13" borderId="2" xfId="20" applyFont="1" applyFill="1" applyBorder="1" applyAlignment="1">
      <alignment horizontal="left" vertical="center" wrapText="1"/>
    </xf>
    <xf numFmtId="0" fontId="49" fillId="13" borderId="2" xfId="20" applyFont="1" applyFill="1" applyBorder="1" applyAlignment="1">
      <alignment horizontal="center" vertical="center" wrapText="1"/>
    </xf>
    <xf numFmtId="164" fontId="49" fillId="13" borderId="2" xfId="20" applyNumberFormat="1" applyFont="1" applyFill="1" applyBorder="1" applyAlignment="1">
      <alignment horizontal="center" vertical="center"/>
    </xf>
    <xf numFmtId="175" fontId="49" fillId="13" borderId="2" xfId="20" applyNumberFormat="1" applyFont="1" applyFill="1" applyBorder="1" applyAlignment="1">
      <alignment horizontal="center" vertical="center"/>
    </xf>
    <xf numFmtId="164" fontId="48" fillId="13" borderId="6" xfId="20" applyNumberFormat="1" applyFont="1" applyFill="1" applyBorder="1" applyAlignment="1">
      <alignment horizontal="center" vertical="center"/>
    </xf>
    <xf numFmtId="164" fontId="49" fillId="13" borderId="2" xfId="20" applyNumberFormat="1" applyFont="1" applyFill="1" applyBorder="1" applyAlignment="1">
      <alignment horizontal="center" vertical="center" wrapText="1"/>
    </xf>
    <xf numFmtId="14" fontId="49" fillId="13" borderId="6" xfId="20" applyNumberFormat="1" applyFont="1" applyFill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9" fillId="2" borderId="19" xfId="20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vertical="center" wrapText="1"/>
    </xf>
    <xf numFmtId="0" fontId="49" fillId="2" borderId="2" xfId="20" applyFont="1" applyFill="1" applyBorder="1" applyAlignment="1">
      <alignment horizontal="center" vertical="center" wrapText="1"/>
    </xf>
    <xf numFmtId="164" fontId="49" fillId="2" borderId="2" xfId="20" applyNumberFormat="1" applyFont="1" applyFill="1" applyBorder="1" applyAlignment="1">
      <alignment vertical="center"/>
    </xf>
    <xf numFmtId="164" fontId="49" fillId="2" borderId="2" xfId="20" applyNumberFormat="1" applyFont="1" applyFill="1" applyBorder="1" applyAlignment="1">
      <alignment horizontal="center" vertical="center"/>
    </xf>
    <xf numFmtId="164" fontId="48" fillId="2" borderId="2" xfId="20" applyNumberFormat="1" applyFont="1" applyFill="1" applyBorder="1" applyAlignment="1">
      <alignment horizontal="center" vertical="center"/>
    </xf>
    <xf numFmtId="164" fontId="49" fillId="2" borderId="2" xfId="20" applyNumberFormat="1" applyFont="1" applyFill="1" applyBorder="1" applyAlignment="1">
      <alignment horizontal="center" vertical="center" wrapText="1"/>
    </xf>
    <xf numFmtId="14" fontId="49" fillId="2" borderId="2" xfId="20" applyNumberFormat="1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horizontal="center" vertical="center" wrapText="1"/>
    </xf>
    <xf numFmtId="0" fontId="14" fillId="13" borderId="2" xfId="20" applyNumberFormat="1" applyFont="1" applyFill="1" applyBorder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49" fillId="14" borderId="2" xfId="20" applyFont="1" applyFill="1" applyBorder="1" applyAlignment="1">
      <alignment horizontal="center" vertical="center"/>
    </xf>
    <xf numFmtId="164" fontId="49" fillId="14" borderId="2" xfId="20" applyNumberFormat="1" applyFont="1" applyFill="1" applyBorder="1" applyAlignment="1">
      <alignment horizontal="center" vertical="center"/>
    </xf>
    <xf numFmtId="43" fontId="49" fillId="14" borderId="6" xfId="25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horizontal="center" vertical="center"/>
    </xf>
    <xf numFmtId="43" fontId="49" fillId="2" borderId="6" xfId="25" applyFont="1" applyFill="1" applyBorder="1" applyAlignment="1">
      <alignment horizontal="center" vertical="center"/>
    </xf>
    <xf numFmtId="1" fontId="49" fillId="14" borderId="2" xfId="20" applyNumberFormat="1" applyFont="1" applyFill="1" applyBorder="1" applyAlignment="1">
      <alignment horizontal="center" vertical="center"/>
    </xf>
    <xf numFmtId="164" fontId="48" fillId="14" borderId="2" xfId="20" applyNumberFormat="1" applyFont="1" applyFill="1" applyBorder="1" applyAlignment="1">
      <alignment horizontal="center" vertical="center"/>
    </xf>
    <xf numFmtId="43" fontId="49" fillId="0" borderId="0" xfId="25" applyFont="1" applyAlignment="1">
      <alignment horizontal="center"/>
    </xf>
    <xf numFmtId="43" fontId="49" fillId="0" borderId="0" xfId="25" applyFont="1" applyAlignment="1">
      <alignment horizontal="center" vertical="center"/>
    </xf>
    <xf numFmtId="43" fontId="48" fillId="0" borderId="0" xfId="25" applyFont="1" applyAlignment="1">
      <alignment horizontal="center" vertical="center"/>
    </xf>
    <xf numFmtId="43" fontId="49" fillId="2" borderId="0" xfId="25" applyFont="1" applyFill="1" applyAlignment="1">
      <alignment horizontal="center" vertical="center"/>
    </xf>
    <xf numFmtId="0" fontId="54" fillId="13" borderId="19" xfId="20" applyFont="1" applyFill="1" applyBorder="1" applyAlignment="1">
      <alignment horizontal="center" vertical="center"/>
    </xf>
    <xf numFmtId="0" fontId="54" fillId="13" borderId="2" xfId="20" applyFont="1" applyFill="1" applyBorder="1" applyAlignment="1">
      <alignment vertical="center" wrapText="1"/>
    </xf>
    <xf numFmtId="0" fontId="54" fillId="13" borderId="2" xfId="20" applyFont="1" applyFill="1" applyBorder="1" applyAlignment="1">
      <alignment horizontal="center" vertical="center" wrapText="1"/>
    </xf>
    <xf numFmtId="164" fontId="54" fillId="13" borderId="2" xfId="20" applyNumberFormat="1" applyFont="1" applyFill="1" applyBorder="1" applyAlignment="1">
      <alignment vertical="center"/>
    </xf>
    <xf numFmtId="164" fontId="54" fillId="13" borderId="2" xfId="20" applyNumberFormat="1" applyFont="1" applyFill="1" applyBorder="1" applyAlignment="1">
      <alignment horizontal="center" vertical="center"/>
    </xf>
    <xf numFmtId="164" fontId="55" fillId="13" borderId="2" xfId="20" applyNumberFormat="1" applyFont="1" applyFill="1" applyBorder="1" applyAlignment="1">
      <alignment horizontal="center" vertical="center"/>
    </xf>
    <xf numFmtId="0" fontId="54" fillId="13" borderId="2" xfId="20" applyNumberFormat="1" applyFont="1" applyFill="1" applyBorder="1" applyAlignment="1">
      <alignment horizontal="center" vertical="center" wrapText="1"/>
    </xf>
    <xf numFmtId="14" fontId="54" fillId="13" borderId="2" xfId="20" applyNumberFormat="1" applyFont="1" applyFill="1" applyBorder="1" applyAlignment="1">
      <alignment horizontal="center" vertical="center"/>
    </xf>
    <xf numFmtId="0" fontId="56" fillId="13" borderId="2" xfId="20" applyNumberFormat="1" applyFont="1" applyFill="1" applyBorder="1" applyAlignment="1">
      <alignment horizontal="center" vertical="center" wrapText="1"/>
    </xf>
    <xf numFmtId="0" fontId="39" fillId="14" borderId="2" xfId="20" applyNumberFormat="1" applyFont="1" applyFill="1" applyBorder="1" applyAlignment="1">
      <alignment horizontal="center" vertical="center" wrapText="1"/>
    </xf>
    <xf numFmtId="0" fontId="46" fillId="14" borderId="2" xfId="20" applyNumberFormat="1" applyFont="1" applyFill="1" applyBorder="1" applyAlignment="1">
      <alignment horizontal="center" vertical="center" wrapText="1"/>
    </xf>
    <xf numFmtId="164" fontId="49" fillId="0" borderId="19" xfId="20" applyNumberFormat="1" applyFont="1" applyFill="1" applyBorder="1" applyAlignment="1">
      <alignment horizontal="center" vertical="center" wrapText="1"/>
    </xf>
    <xf numFmtId="14" fontId="49" fillId="0" borderId="19" xfId="20" applyNumberFormat="1" applyFont="1" applyFill="1" applyBorder="1" applyAlignment="1">
      <alignment horizontal="center" vertical="center"/>
    </xf>
    <xf numFmtId="164" fontId="49" fillId="0" borderId="19" xfId="20" applyNumberFormat="1" applyFont="1" applyFill="1" applyBorder="1" applyAlignment="1">
      <alignment horizontal="center" vertical="center" wrapText="1"/>
    </xf>
    <xf numFmtId="0" fontId="46" fillId="0" borderId="2" xfId="20" applyNumberFormat="1" applyFont="1" applyFill="1" applyBorder="1" applyAlignment="1">
      <alignment horizontal="center" vertical="center" wrapText="1"/>
    </xf>
    <xf numFmtId="43" fontId="49" fillId="2" borderId="0" xfId="25" applyFont="1" applyFill="1" applyBorder="1" applyAlignment="1">
      <alignment horizontal="center" vertical="center"/>
    </xf>
    <xf numFmtId="0" fontId="46" fillId="2" borderId="2" xfId="20" applyNumberFormat="1" applyFont="1" applyFill="1" applyBorder="1" applyAlignment="1">
      <alignment horizontal="center" vertical="center" wrapText="1"/>
    </xf>
    <xf numFmtId="0" fontId="56" fillId="2" borderId="6" xfId="20" applyNumberFormat="1" applyFont="1" applyFill="1" applyBorder="1" applyAlignment="1">
      <alignment horizontal="center" vertical="center"/>
    </xf>
    <xf numFmtId="43" fontId="49" fillId="6" borderId="0" xfId="25" applyFont="1" applyFill="1" applyAlignment="1">
      <alignment horizontal="center" vertical="center"/>
    </xf>
    <xf numFmtId="0" fontId="37" fillId="6" borderId="0" xfId="20" applyFont="1" applyFill="1" applyAlignment="1">
      <alignment horizontal="center" vertical="center"/>
    </xf>
    <xf numFmtId="165" fontId="55" fillId="4" borderId="6" xfId="21" applyFont="1" applyFill="1" applyBorder="1" applyAlignment="1">
      <alignment horizontal="center" vertical="center" wrapText="1"/>
    </xf>
    <xf numFmtId="0" fontId="55" fillId="4" borderId="6" xfId="21" applyNumberFormat="1" applyFont="1" applyFill="1" applyBorder="1" applyAlignment="1">
      <alignment horizontal="center" vertical="center" wrapText="1"/>
    </xf>
    <xf numFmtId="0" fontId="55" fillId="0" borderId="2" xfId="20" applyFont="1" applyFill="1" applyBorder="1" applyAlignment="1">
      <alignment horizontal="left" vertical="center" wrapText="1"/>
    </xf>
    <xf numFmtId="164" fontId="54" fillId="0" borderId="2" xfId="20" applyNumberFormat="1" applyFont="1" applyFill="1" applyBorder="1" applyAlignment="1">
      <alignment horizontal="center" vertical="center"/>
    </xf>
    <xf numFmtId="1" fontId="54" fillId="0" borderId="2" xfId="20" applyNumberFormat="1" applyFont="1" applyFill="1" applyBorder="1" applyAlignment="1">
      <alignment horizontal="center" vertical="center"/>
    </xf>
    <xf numFmtId="164" fontId="55" fillId="0" borderId="2" xfId="20" applyNumberFormat="1" applyFont="1" applyFill="1" applyBorder="1" applyAlignment="1">
      <alignment horizontal="center" vertical="center"/>
    </xf>
    <xf numFmtId="43" fontId="54" fillId="0" borderId="2" xfId="25" applyFont="1" applyFill="1" applyBorder="1" applyAlignment="1">
      <alignment horizontal="center" vertical="center"/>
    </xf>
    <xf numFmtId="0" fontId="54" fillId="0" borderId="6" xfId="20" applyNumberFormat="1" applyFont="1" applyFill="1" applyBorder="1" applyAlignment="1">
      <alignment horizontal="center" vertical="center"/>
    </xf>
    <xf numFmtId="164" fontId="54" fillId="0" borderId="6" xfId="20" applyNumberFormat="1" applyFont="1" applyFill="1" applyBorder="1" applyAlignment="1">
      <alignment horizontal="center" vertical="center"/>
    </xf>
    <xf numFmtId="0" fontId="54" fillId="14" borderId="2" xfId="20" applyFont="1" applyFill="1" applyBorder="1" applyAlignment="1">
      <alignment horizontal="left" vertical="center" wrapText="1"/>
    </xf>
    <xf numFmtId="164" fontId="54" fillId="14" borderId="6" xfId="20" applyNumberFormat="1" applyFont="1" applyFill="1" applyBorder="1" applyAlignment="1">
      <alignment horizontal="center" vertical="center"/>
    </xf>
    <xf numFmtId="1" fontId="54" fillId="14" borderId="2" xfId="20" applyNumberFormat="1" applyFont="1" applyFill="1" applyBorder="1" applyAlignment="1">
      <alignment horizontal="center" vertical="center" wrapText="1"/>
    </xf>
    <xf numFmtId="164" fontId="55" fillId="14" borderId="6" xfId="20" applyNumberFormat="1" applyFont="1" applyFill="1" applyBorder="1" applyAlignment="1">
      <alignment horizontal="center" vertical="center"/>
    </xf>
    <xf numFmtId="164" fontId="54" fillId="14" borderId="2" xfId="20" applyNumberFormat="1" applyFont="1" applyFill="1" applyBorder="1" applyAlignment="1">
      <alignment horizontal="center" vertical="center"/>
    </xf>
    <xf numFmtId="43" fontId="54" fillId="14" borderId="6" xfId="25" applyFont="1" applyFill="1" applyBorder="1" applyAlignment="1">
      <alignment horizontal="center" vertical="center"/>
    </xf>
    <xf numFmtId="164" fontId="46" fillId="14" borderId="2" xfId="20" applyNumberFormat="1" applyFont="1" applyFill="1" applyBorder="1" applyAlignment="1">
      <alignment horizontal="center" vertical="center" wrapText="1"/>
    </xf>
    <xf numFmtId="0" fontId="54" fillId="14" borderId="6" xfId="20" applyNumberFormat="1" applyFont="1" applyFill="1" applyBorder="1" applyAlignment="1">
      <alignment horizontal="center" vertical="center"/>
    </xf>
    <xf numFmtId="0" fontId="54" fillId="14" borderId="2" xfId="20" applyNumberFormat="1" applyFont="1" applyFill="1" applyBorder="1" applyAlignment="1">
      <alignment horizontal="center" vertical="center" wrapText="1"/>
    </xf>
    <xf numFmtId="43" fontId="54" fillId="2" borderId="6" xfId="25" applyFont="1" applyFill="1" applyBorder="1" applyAlignment="1">
      <alignment horizontal="center" vertical="center"/>
    </xf>
    <xf numFmtId="0" fontId="54" fillId="0" borderId="2" xfId="20" applyNumberFormat="1" applyFont="1" applyFill="1" applyBorder="1" applyAlignment="1">
      <alignment horizontal="center" vertical="center"/>
    </xf>
    <xf numFmtId="1" fontId="54" fillId="2" borderId="2" xfId="20" applyNumberFormat="1" applyFont="1" applyFill="1" applyBorder="1" applyAlignment="1">
      <alignment horizontal="center" vertical="center"/>
    </xf>
    <xf numFmtId="164" fontId="55" fillId="2" borderId="2" xfId="20" applyNumberFormat="1" applyFont="1" applyFill="1" applyBorder="1" applyAlignment="1">
      <alignment horizontal="center" vertical="center"/>
    </xf>
    <xf numFmtId="164" fontId="54" fillId="2" borderId="2" xfId="20" applyNumberFormat="1" applyFont="1" applyFill="1" applyBorder="1" applyAlignment="1">
      <alignment horizontal="center" vertical="center"/>
    </xf>
    <xf numFmtId="0" fontId="54" fillId="2" borderId="6" xfId="20" applyNumberFormat="1" applyFont="1" applyFill="1" applyBorder="1" applyAlignment="1">
      <alignment horizontal="center" vertical="center"/>
    </xf>
    <xf numFmtId="1" fontId="54" fillId="14" borderId="2" xfId="20" applyNumberFormat="1" applyFont="1" applyFill="1" applyBorder="1" applyAlignment="1">
      <alignment horizontal="center" vertical="center"/>
    </xf>
    <xf numFmtId="164" fontId="55" fillId="14" borderId="2" xfId="20" applyNumberFormat="1" applyFont="1" applyFill="1" applyBorder="1" applyAlignment="1">
      <alignment horizontal="center" vertical="center"/>
    </xf>
    <xf numFmtId="1" fontId="54" fillId="0" borderId="2" xfId="20" applyNumberFormat="1" applyFont="1" applyFill="1" applyBorder="1" applyAlignment="1">
      <alignment horizontal="center" vertical="center" wrapText="1"/>
    </xf>
    <xf numFmtId="164" fontId="55" fillId="0" borderId="6" xfId="20" applyNumberFormat="1" applyFont="1" applyFill="1" applyBorder="1" applyAlignment="1">
      <alignment horizontal="center" vertical="center"/>
    </xf>
    <xf numFmtId="0" fontId="54" fillId="14" borderId="2" xfId="20" applyNumberFormat="1" applyFont="1" applyFill="1" applyBorder="1" applyAlignment="1">
      <alignment horizontal="center" vertical="center"/>
    </xf>
    <xf numFmtId="0" fontId="54" fillId="2" borderId="2" xfId="20" applyNumberFormat="1" applyFont="1" applyFill="1" applyBorder="1" applyAlignment="1">
      <alignment horizontal="center" vertical="center"/>
    </xf>
    <xf numFmtId="14" fontId="54" fillId="2" borderId="6" xfId="20" applyNumberFormat="1" applyFont="1" applyFill="1" applyBorder="1" applyAlignment="1">
      <alignment horizontal="center" vertical="center"/>
    </xf>
    <xf numFmtId="14" fontId="54" fillId="14" borderId="6" xfId="20" applyNumberFormat="1" applyFont="1" applyFill="1" applyBorder="1" applyAlignment="1">
      <alignment horizontal="center" vertical="center"/>
    </xf>
    <xf numFmtId="164" fontId="54" fillId="2" borderId="6" xfId="20" applyNumberFormat="1" applyFont="1" applyFill="1" applyBorder="1" applyAlignment="1">
      <alignment horizontal="center" vertical="center"/>
    </xf>
    <xf numFmtId="1" fontId="54" fillId="2" borderId="2" xfId="20" applyNumberFormat="1" applyFont="1" applyFill="1" applyBorder="1" applyAlignment="1">
      <alignment horizontal="center" vertical="center" wrapText="1"/>
    </xf>
    <xf numFmtId="164" fontId="55" fillId="2" borderId="6" xfId="20" applyNumberFormat="1" applyFont="1" applyFill="1" applyBorder="1" applyAlignment="1">
      <alignment horizontal="center" vertical="center"/>
    </xf>
    <xf numFmtId="164" fontId="46" fillId="2" borderId="2" xfId="20" applyNumberFormat="1" applyFont="1" applyFill="1" applyBorder="1" applyAlignment="1">
      <alignment horizontal="center" vertical="center" wrapText="1"/>
    </xf>
    <xf numFmtId="0" fontId="54" fillId="2" borderId="2" xfId="20" applyNumberFormat="1" applyFont="1" applyFill="1" applyBorder="1" applyAlignment="1">
      <alignment horizontal="center" vertical="center" wrapText="1"/>
    </xf>
    <xf numFmtId="0" fontId="54" fillId="0" borderId="2" xfId="20" applyFont="1" applyFill="1" applyBorder="1" applyAlignment="1">
      <alignment vertical="center" wrapText="1"/>
    </xf>
    <xf numFmtId="0" fontId="54" fillId="0" borderId="2" xfId="20" applyNumberFormat="1" applyFont="1" applyFill="1" applyBorder="1" applyAlignment="1">
      <alignment vertical="top" wrapText="1"/>
    </xf>
    <xf numFmtId="164" fontId="46" fillId="0" borderId="2" xfId="20" applyNumberFormat="1" applyFont="1" applyFill="1" applyBorder="1" applyAlignment="1">
      <alignment horizontal="center" vertical="center"/>
    </xf>
    <xf numFmtId="0" fontId="54" fillId="0" borderId="2" xfId="20" applyNumberFormat="1" applyFont="1" applyFill="1" applyBorder="1" applyAlignment="1">
      <alignment horizontal="center" vertical="center" wrapText="1"/>
    </xf>
    <xf numFmtId="0" fontId="55" fillId="0" borderId="2" xfId="20" applyFont="1" applyFill="1" applyBorder="1" applyAlignment="1">
      <alignment vertical="center" wrapText="1"/>
    </xf>
    <xf numFmtId="164" fontId="46" fillId="0" borderId="2" xfId="20" applyNumberFormat="1" applyFont="1" applyFill="1" applyBorder="1" applyAlignment="1">
      <alignment horizontal="center" vertical="center" wrapText="1"/>
    </xf>
    <xf numFmtId="14" fontId="54" fillId="0" borderId="6" xfId="20" applyNumberFormat="1" applyFont="1" applyFill="1" applyBorder="1" applyAlignment="1">
      <alignment horizontal="center" vertical="center"/>
    </xf>
    <xf numFmtId="0" fontId="54" fillId="14" borderId="2" xfId="20" applyFont="1" applyFill="1" applyBorder="1" applyAlignment="1">
      <alignment vertical="center" wrapText="1"/>
    </xf>
    <xf numFmtId="0" fontId="54" fillId="0" borderId="2" xfId="20" applyFont="1" applyFill="1" applyBorder="1" applyAlignment="1">
      <alignment horizontal="left" vertical="center" wrapText="1"/>
    </xf>
    <xf numFmtId="164" fontId="46" fillId="2" borderId="2" xfId="20" applyNumberFormat="1" applyFont="1" applyFill="1" applyBorder="1" applyAlignment="1">
      <alignment horizontal="center" vertical="center"/>
    </xf>
    <xf numFmtId="0" fontId="54" fillId="2" borderId="2" xfId="20" applyFont="1" applyFill="1" applyBorder="1" applyAlignment="1">
      <alignment vertical="center" wrapText="1"/>
    </xf>
    <xf numFmtId="0" fontId="55" fillId="0" borderId="2" xfId="20" applyFont="1" applyBorder="1" applyAlignment="1">
      <alignment vertical="center"/>
    </xf>
    <xf numFmtId="167" fontId="55" fillId="0" borderId="2" xfId="21" applyNumberFormat="1" applyFont="1" applyFill="1" applyBorder="1" applyAlignment="1">
      <alignment vertical="center"/>
    </xf>
    <xf numFmtId="0" fontId="55" fillId="0" borderId="2" xfId="21" applyNumberFormat="1" applyFont="1" applyFill="1" applyBorder="1" applyAlignment="1">
      <alignment vertical="center"/>
    </xf>
    <xf numFmtId="0" fontId="54" fillId="12" borderId="2" xfId="20" applyFont="1" applyFill="1" applyBorder="1" applyAlignment="1">
      <alignment horizontal="left" vertical="center" wrapText="1"/>
    </xf>
    <xf numFmtId="164" fontId="55" fillId="12" borderId="2" xfId="20" applyNumberFormat="1" applyFont="1" applyFill="1" applyBorder="1" applyAlignment="1">
      <alignment vertical="center" wrapText="1"/>
    </xf>
    <xf numFmtId="164" fontId="54" fillId="12" borderId="2" xfId="20" applyNumberFormat="1" applyFont="1" applyFill="1" applyBorder="1" applyAlignment="1">
      <alignment vertical="center"/>
    </xf>
    <xf numFmtId="164" fontId="54" fillId="12" borderId="2" xfId="20" applyNumberFormat="1" applyFont="1" applyFill="1" applyBorder="1" applyAlignment="1">
      <alignment horizontal="center" vertical="center"/>
    </xf>
    <xf numFmtId="0" fontId="54" fillId="12" borderId="2" xfId="20" applyNumberFormat="1" applyFont="1" applyFill="1" applyBorder="1" applyAlignment="1">
      <alignment horizontal="center" vertical="center"/>
    </xf>
    <xf numFmtId="0" fontId="43" fillId="0" borderId="0" xfId="20" applyFont="1"/>
    <xf numFmtId="167" fontId="43" fillId="0" borderId="0" xfId="21" applyNumberFormat="1" applyFont="1" applyFill="1" applyAlignment="1">
      <alignment horizontal="center"/>
    </xf>
    <xf numFmtId="0" fontId="43" fillId="0" borderId="0" xfId="21" applyNumberFormat="1" applyFont="1" applyFill="1" applyAlignment="1">
      <alignment horizontal="center"/>
    </xf>
    <xf numFmtId="0" fontId="43" fillId="0" borderId="0" xfId="20" applyFont="1" applyAlignment="1">
      <alignment vertical="center"/>
    </xf>
    <xf numFmtId="167" fontId="43" fillId="2" borderId="0" xfId="21" applyNumberFormat="1" applyFont="1" applyFill="1" applyAlignment="1">
      <alignment horizontal="center"/>
    </xf>
    <xf numFmtId="0" fontId="43" fillId="2" borderId="0" xfId="21" applyNumberFormat="1" applyFont="1" applyFill="1" applyAlignment="1">
      <alignment horizontal="center"/>
    </xf>
    <xf numFmtId="0" fontId="34" fillId="14" borderId="2" xfId="20" applyNumberFormat="1" applyFont="1" applyFill="1" applyBorder="1" applyAlignment="1">
      <alignment horizontal="center" vertical="center"/>
    </xf>
    <xf numFmtId="0" fontId="34" fillId="14" borderId="6" xfId="20" applyNumberFormat="1" applyFont="1" applyFill="1" applyBorder="1" applyAlignment="1">
      <alignment horizontal="center" vertical="center"/>
    </xf>
    <xf numFmtId="43" fontId="49" fillId="14" borderId="0" xfId="25" applyFont="1" applyFill="1" applyAlignment="1">
      <alignment horizontal="center" vertical="center"/>
    </xf>
    <xf numFmtId="0" fontId="37" fillId="14" borderId="0" xfId="20" applyFont="1" applyFill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164" fontId="54" fillId="5" borderId="2" xfId="20" applyNumberFormat="1" applyFont="1" applyFill="1" applyBorder="1" applyAlignment="1">
      <alignment horizontal="center" vertical="center"/>
    </xf>
    <xf numFmtId="164" fontId="54" fillId="14" borderId="20" xfId="20" applyNumberFormat="1" applyFont="1" applyFill="1" applyBorder="1" applyAlignment="1">
      <alignment horizontal="center" vertical="center"/>
    </xf>
    <xf numFmtId="0" fontId="54" fillId="2" borderId="19" xfId="20" applyNumberFormat="1" applyFont="1" applyFill="1" applyBorder="1" applyAlignment="1">
      <alignment horizontal="center" vertical="center" wrapText="1"/>
    </xf>
    <xf numFmtId="164" fontId="54" fillId="14" borderId="19" xfId="20" applyNumberFormat="1" applyFont="1" applyFill="1" applyBorder="1" applyAlignment="1">
      <alignment horizontal="center" vertical="center"/>
    </xf>
    <xf numFmtId="0" fontId="54" fillId="14" borderId="19" xfId="20" applyNumberFormat="1" applyFont="1" applyFill="1" applyBorder="1" applyAlignment="1">
      <alignment horizontal="center" vertical="center" wrapText="1"/>
    </xf>
    <xf numFmtId="164" fontId="54" fillId="14" borderId="20" xfId="20" applyNumberFormat="1" applyFont="1" applyFill="1" applyBorder="1" applyAlignment="1">
      <alignment horizontal="center" vertical="center"/>
    </xf>
    <xf numFmtId="164" fontId="54" fillId="2" borderId="6" xfId="20" applyNumberFormat="1" applyFont="1" applyFill="1" applyBorder="1" applyAlignment="1">
      <alignment horizontal="center" vertical="center"/>
    </xf>
    <xf numFmtId="0" fontId="54" fillId="2" borderId="2" xfId="20" applyNumberFormat="1" applyFont="1" applyFill="1" applyBorder="1" applyAlignment="1">
      <alignment vertical="top" wrapText="1"/>
    </xf>
    <xf numFmtId="0" fontId="49" fillId="3" borderId="2" xfId="20" applyFont="1" applyFill="1" applyBorder="1" applyAlignment="1">
      <alignment horizontal="center" vertical="center"/>
    </xf>
    <xf numFmtId="1" fontId="54" fillId="3" borderId="2" xfId="20" applyNumberFormat="1" applyFont="1" applyFill="1" applyBorder="1" applyAlignment="1">
      <alignment horizontal="center" vertical="center" wrapText="1"/>
    </xf>
    <xf numFmtId="164" fontId="55" fillId="3" borderId="6" xfId="20" applyNumberFormat="1" applyFont="1" applyFill="1" applyBorder="1" applyAlignment="1">
      <alignment horizontal="center" vertical="center"/>
    </xf>
    <xf numFmtId="164" fontId="54" fillId="3" borderId="2" xfId="20" applyNumberFormat="1" applyFont="1" applyFill="1" applyBorder="1" applyAlignment="1">
      <alignment horizontal="center" vertical="center"/>
    </xf>
    <xf numFmtId="43" fontId="54" fillId="3" borderId="6" xfId="25" applyFont="1" applyFill="1" applyBorder="1" applyAlignment="1">
      <alignment horizontal="center" vertical="center"/>
    </xf>
    <xf numFmtId="164" fontId="46" fillId="3" borderId="2" xfId="20" applyNumberFormat="1" applyFont="1" applyFill="1" applyBorder="1" applyAlignment="1">
      <alignment horizontal="center" vertical="center" wrapText="1"/>
    </xf>
    <xf numFmtId="0" fontId="54" fillId="3" borderId="6" xfId="20" applyNumberFormat="1" applyFont="1" applyFill="1" applyBorder="1" applyAlignment="1">
      <alignment horizontal="center" vertical="center"/>
    </xf>
    <xf numFmtId="0" fontId="54" fillId="3" borderId="2" xfId="20" applyNumberFormat="1" applyFont="1" applyFill="1" applyBorder="1" applyAlignment="1">
      <alignment horizontal="center" vertical="center" wrapText="1"/>
    </xf>
    <xf numFmtId="43" fontId="49" fillId="3" borderId="0" xfId="25" applyFont="1" applyFill="1" applyAlignment="1">
      <alignment horizontal="center" vertical="center"/>
    </xf>
    <xf numFmtId="0" fontId="37" fillId="3" borderId="0" xfId="20" applyFont="1" applyFill="1" applyAlignment="1">
      <alignment horizontal="center" vertical="center"/>
    </xf>
    <xf numFmtId="1" fontId="54" fillId="3" borderId="2" xfId="20" applyNumberFormat="1" applyFont="1" applyFill="1" applyBorder="1" applyAlignment="1">
      <alignment horizontal="center" vertical="center"/>
    </xf>
    <xf numFmtId="0" fontId="54" fillId="2" borderId="6" xfId="20" applyNumberFormat="1" applyFont="1" applyFill="1" applyBorder="1" applyAlignment="1">
      <alignment vertical="top" wrapText="1"/>
    </xf>
    <xf numFmtId="0" fontId="55" fillId="2" borderId="2" xfId="20" applyFont="1" applyFill="1" applyBorder="1" applyAlignment="1">
      <alignment horizontal="left" vertical="center" wrapText="1"/>
    </xf>
    <xf numFmtId="164" fontId="54" fillId="14" borderId="20" xfId="20" applyNumberFormat="1" applyFont="1" applyFill="1" applyBorder="1" applyAlignment="1">
      <alignment horizontal="center" vertical="center"/>
    </xf>
    <xf numFmtId="0" fontId="54" fillId="2" borderId="20" xfId="20" applyNumberFormat="1" applyFont="1" applyFill="1" applyBorder="1" applyAlignment="1">
      <alignment horizontal="center" vertical="center" wrapText="1"/>
    </xf>
    <xf numFmtId="0" fontId="54" fillId="0" borderId="20" xfId="20" applyNumberFormat="1" applyFont="1" applyFill="1" applyBorder="1" applyAlignment="1">
      <alignment horizontal="center" vertical="center" wrapText="1"/>
    </xf>
    <xf numFmtId="164" fontId="54" fillId="2" borderId="20" xfId="20" applyNumberFormat="1" applyFont="1" applyFill="1" applyBorder="1" applyAlignment="1">
      <alignment horizontal="center" vertical="center"/>
    </xf>
    <xf numFmtId="0" fontId="54" fillId="14" borderId="14" xfId="20" applyFont="1" applyFill="1" applyBorder="1" applyAlignment="1">
      <alignment horizontal="center" vertical="center" wrapText="1"/>
    </xf>
    <xf numFmtId="0" fontId="54" fillId="14" borderId="10" xfId="20" applyFont="1" applyFill="1" applyBorder="1" applyAlignment="1">
      <alignment horizontal="center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0" fontId="48" fillId="4" borderId="25" xfId="20" applyFont="1" applyFill="1" applyBorder="1" applyAlignment="1">
      <alignment horizontal="center" vertical="center"/>
    </xf>
    <xf numFmtId="0" fontId="48" fillId="4" borderId="20" xfId="20" applyFont="1" applyFill="1" applyBorder="1" applyAlignment="1">
      <alignment horizontal="center" vertical="center"/>
    </xf>
    <xf numFmtId="0" fontId="49" fillId="0" borderId="20" xfId="20" applyFont="1" applyFill="1" applyBorder="1" applyAlignment="1">
      <alignment horizontal="center" vertical="center" wrapText="1"/>
    </xf>
    <xf numFmtId="0" fontId="49" fillId="0" borderId="19" xfId="20" applyFont="1" applyFill="1" applyBorder="1" applyAlignment="1">
      <alignment horizontal="center" vertical="center" wrapText="1"/>
    </xf>
    <xf numFmtId="164" fontId="49" fillId="0" borderId="20" xfId="20" applyNumberFormat="1" applyFont="1" applyFill="1" applyBorder="1" applyAlignment="1">
      <alignment horizontal="center" vertical="center" wrapText="1"/>
    </xf>
    <xf numFmtId="164" fontId="49" fillId="0" borderId="19" xfId="20" applyNumberFormat="1" applyFont="1" applyFill="1" applyBorder="1" applyAlignment="1">
      <alignment horizontal="center" vertical="center" wrapText="1"/>
    </xf>
    <xf numFmtId="164" fontId="54" fillId="14" borderId="6" xfId="20" applyNumberFormat="1" applyFont="1" applyFill="1" applyBorder="1" applyAlignment="1">
      <alignment horizontal="center" vertical="center"/>
    </xf>
    <xf numFmtId="164" fontId="54" fillId="14" borderId="20" xfId="20" applyNumberFormat="1" applyFont="1" applyFill="1" applyBorder="1" applyAlignment="1">
      <alignment horizontal="center" vertical="center"/>
    </xf>
    <xf numFmtId="164" fontId="54" fillId="14" borderId="19" xfId="20" applyNumberFormat="1" applyFont="1" applyFill="1" applyBorder="1" applyAlignment="1">
      <alignment horizontal="center" vertical="center"/>
    </xf>
    <xf numFmtId="164" fontId="54" fillId="0" borderId="6" xfId="20" applyNumberFormat="1" applyFont="1" applyFill="1" applyBorder="1" applyAlignment="1">
      <alignment horizontal="center" vertical="center"/>
    </xf>
    <xf numFmtId="164" fontId="54" fillId="0" borderId="20" xfId="20" applyNumberFormat="1" applyFont="1" applyFill="1" applyBorder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0" fontId="54" fillId="14" borderId="12" xfId="20" applyFont="1" applyFill="1" applyBorder="1" applyAlignment="1">
      <alignment horizontal="left" vertical="center" wrapText="1"/>
    </xf>
    <xf numFmtId="0" fontId="54" fillId="14" borderId="11" xfId="20" applyFont="1" applyFill="1" applyBorder="1" applyAlignment="1">
      <alignment horizontal="left" vertical="center" wrapText="1"/>
    </xf>
    <xf numFmtId="0" fontId="54" fillId="14" borderId="15" xfId="20" applyFont="1" applyFill="1" applyBorder="1" applyAlignment="1">
      <alignment horizontal="left" vertical="center" wrapText="1"/>
    </xf>
    <xf numFmtId="0" fontId="54" fillId="14" borderId="9" xfId="20" applyFont="1" applyFill="1" applyBorder="1" applyAlignment="1">
      <alignment horizontal="left" vertical="center" wrapText="1"/>
    </xf>
    <xf numFmtId="0" fontId="54" fillId="14" borderId="14" xfId="20" applyFont="1" applyFill="1" applyBorder="1" applyAlignment="1">
      <alignment horizontal="left" vertical="center" wrapText="1"/>
    </xf>
    <xf numFmtId="0" fontId="54" fillId="14" borderId="10" xfId="20" applyFont="1" applyFill="1" applyBorder="1" applyAlignment="1">
      <alignment horizontal="left" vertical="center" wrapText="1"/>
    </xf>
    <xf numFmtId="0" fontId="54" fillId="2" borderId="6" xfId="20" applyNumberFormat="1" applyFont="1" applyFill="1" applyBorder="1" applyAlignment="1">
      <alignment horizontal="center" vertical="center" wrapText="1"/>
    </xf>
    <xf numFmtId="0" fontId="54" fillId="2" borderId="20" xfId="20" applyNumberFormat="1" applyFont="1" applyFill="1" applyBorder="1" applyAlignment="1">
      <alignment horizontal="center" vertical="center" wrapText="1"/>
    </xf>
    <xf numFmtId="0" fontId="54" fillId="2" borderId="19" xfId="20" applyNumberFormat="1" applyFont="1" applyFill="1" applyBorder="1" applyAlignment="1">
      <alignment horizontal="center" vertical="center" wrapText="1"/>
    </xf>
    <xf numFmtId="0" fontId="54" fillId="2" borderId="12" xfId="20" applyFont="1" applyFill="1" applyBorder="1" applyAlignment="1">
      <alignment horizontal="center" vertical="center" wrapText="1"/>
    </xf>
    <xf numFmtId="0" fontId="54" fillId="2" borderId="11" xfId="20" applyFont="1" applyFill="1" applyBorder="1" applyAlignment="1">
      <alignment horizontal="center" vertical="center" wrapText="1"/>
    </xf>
    <xf numFmtId="0" fontId="54" fillId="2" borderId="15" xfId="20" applyFont="1" applyFill="1" applyBorder="1" applyAlignment="1">
      <alignment horizontal="center" vertical="center" wrapText="1"/>
    </xf>
    <xf numFmtId="0" fontId="54" fillId="2" borderId="9" xfId="20" applyFont="1" applyFill="1" applyBorder="1" applyAlignment="1">
      <alignment horizontal="center" vertical="center" wrapText="1"/>
    </xf>
    <xf numFmtId="0" fontId="49" fillId="14" borderId="6" xfId="20" applyNumberFormat="1" applyFont="1" applyFill="1" applyBorder="1" applyAlignment="1">
      <alignment horizontal="center" vertical="center" wrapText="1"/>
    </xf>
    <xf numFmtId="0" fontId="49" fillId="14" borderId="20" xfId="20" applyNumberFormat="1" applyFont="1" applyFill="1" applyBorder="1" applyAlignment="1">
      <alignment horizontal="center" vertical="center" wrapText="1"/>
    </xf>
    <xf numFmtId="0" fontId="49" fillId="14" borderId="19" xfId="20" applyNumberFormat="1" applyFont="1" applyFill="1" applyBorder="1" applyAlignment="1">
      <alignment horizontal="center" vertical="center" wrapText="1"/>
    </xf>
    <xf numFmtId="0" fontId="54" fillId="14" borderId="6" xfId="20" applyNumberFormat="1" applyFont="1" applyFill="1" applyBorder="1" applyAlignment="1">
      <alignment horizontal="center" vertical="center" wrapText="1"/>
    </xf>
    <xf numFmtId="0" fontId="54" fillId="14" borderId="20" xfId="20" applyNumberFormat="1" applyFont="1" applyFill="1" applyBorder="1" applyAlignment="1">
      <alignment horizontal="center" vertical="center" wrapText="1"/>
    </xf>
    <xf numFmtId="0" fontId="54" fillId="14" borderId="19" xfId="20" applyNumberFormat="1" applyFont="1" applyFill="1" applyBorder="1" applyAlignment="1">
      <alignment horizontal="center" vertical="center" wrapText="1"/>
    </xf>
    <xf numFmtId="43" fontId="54" fillId="14" borderId="12" xfId="25" applyFont="1" applyFill="1" applyBorder="1" applyAlignment="1">
      <alignment horizontal="left" vertical="center" wrapText="1"/>
    </xf>
    <xf numFmtId="43" fontId="54" fillId="14" borderId="11" xfId="25" applyFont="1" applyFill="1" applyBorder="1" applyAlignment="1">
      <alignment horizontal="left" vertical="center" wrapText="1"/>
    </xf>
    <xf numFmtId="43" fontId="54" fillId="14" borderId="15" xfId="25" applyFont="1" applyFill="1" applyBorder="1" applyAlignment="1">
      <alignment horizontal="left" vertical="center" wrapText="1"/>
    </xf>
    <xf numFmtId="43" fontId="54" fillId="14" borderId="9" xfId="25" applyFont="1" applyFill="1" applyBorder="1" applyAlignment="1">
      <alignment horizontal="left" vertical="center" wrapText="1"/>
    </xf>
    <xf numFmtId="43" fontId="54" fillId="14" borderId="14" xfId="25" applyFont="1" applyFill="1" applyBorder="1" applyAlignment="1">
      <alignment horizontal="left" vertical="center" wrapText="1"/>
    </xf>
    <xf numFmtId="43" fontId="54" fillId="14" borderId="10" xfId="25" applyFont="1" applyFill="1" applyBorder="1" applyAlignment="1">
      <alignment horizontal="left" vertical="center" wrapText="1"/>
    </xf>
    <xf numFmtId="0" fontId="54" fillId="2" borderId="12" xfId="20" applyFont="1" applyFill="1" applyBorder="1" applyAlignment="1">
      <alignment horizontal="left" vertical="center" wrapText="1"/>
    </xf>
    <xf numFmtId="0" fontId="54" fillId="2" borderId="11" xfId="20" applyFont="1" applyFill="1" applyBorder="1" applyAlignment="1">
      <alignment horizontal="left" vertical="center" wrapText="1"/>
    </xf>
    <xf numFmtId="0" fontId="54" fillId="2" borderId="15" xfId="20" applyFont="1" applyFill="1" applyBorder="1" applyAlignment="1">
      <alignment horizontal="left" vertical="center" wrapText="1"/>
    </xf>
    <xf numFmtId="0" fontId="54" fillId="2" borderId="9" xfId="20" applyFont="1" applyFill="1" applyBorder="1" applyAlignment="1">
      <alignment horizontal="left" vertical="center" wrapText="1"/>
    </xf>
    <xf numFmtId="0" fontId="54" fillId="2" borderId="14" xfId="20" applyFont="1" applyFill="1" applyBorder="1" applyAlignment="1">
      <alignment horizontal="left" vertical="center" wrapText="1"/>
    </xf>
    <xf numFmtId="0" fontId="54" fillId="2" borderId="10" xfId="20" applyFont="1" applyFill="1" applyBorder="1" applyAlignment="1">
      <alignment horizontal="left" vertical="center" wrapText="1"/>
    </xf>
    <xf numFmtId="0" fontId="49" fillId="14" borderId="12" xfId="20" applyFont="1" applyFill="1" applyBorder="1" applyAlignment="1">
      <alignment horizontal="left" vertical="center" wrapText="1"/>
    </xf>
    <xf numFmtId="0" fontId="49" fillId="14" borderId="11" xfId="20" applyFont="1" applyFill="1" applyBorder="1" applyAlignment="1">
      <alignment horizontal="left" vertical="center" wrapText="1"/>
    </xf>
    <xf numFmtId="0" fontId="49" fillId="14" borderId="15" xfId="20" applyFont="1" applyFill="1" applyBorder="1" applyAlignment="1">
      <alignment horizontal="left" vertical="center" wrapText="1"/>
    </xf>
    <xf numFmtId="0" fontId="49" fillId="14" borderId="9" xfId="20" applyFont="1" applyFill="1" applyBorder="1" applyAlignment="1">
      <alignment horizontal="left" vertical="center" wrapText="1"/>
    </xf>
    <xf numFmtId="0" fontId="49" fillId="14" borderId="14" xfId="20" applyFont="1" applyFill="1" applyBorder="1" applyAlignment="1">
      <alignment horizontal="left" vertical="center" wrapText="1"/>
    </xf>
    <xf numFmtId="0" fontId="49" fillId="14" borderId="10" xfId="20" applyFont="1" applyFill="1" applyBorder="1" applyAlignment="1">
      <alignment horizontal="left" vertical="center" wrapText="1"/>
    </xf>
    <xf numFmtId="0" fontId="54" fillId="0" borderId="6" xfId="20" applyNumberFormat="1" applyFont="1" applyFill="1" applyBorder="1" applyAlignment="1">
      <alignment horizontal="center" vertical="center" wrapText="1"/>
    </xf>
    <xf numFmtId="0" fontId="54" fillId="0" borderId="20" xfId="20" applyNumberFormat="1" applyFont="1" applyFill="1" applyBorder="1" applyAlignment="1">
      <alignment horizontal="center" vertical="center" wrapText="1"/>
    </xf>
    <xf numFmtId="0" fontId="54" fillId="0" borderId="19" xfId="20" applyNumberFormat="1" applyFont="1" applyFill="1" applyBorder="1" applyAlignment="1">
      <alignment horizontal="center" vertical="center" wrapText="1"/>
    </xf>
    <xf numFmtId="0" fontId="54" fillId="0" borderId="12" xfId="20" applyFont="1" applyFill="1" applyBorder="1" applyAlignment="1">
      <alignment horizontal="left" vertical="center" wrapText="1"/>
    </xf>
    <xf numFmtId="0" fontId="54" fillId="0" borderId="11" xfId="20" applyFont="1" applyFill="1" applyBorder="1" applyAlignment="1">
      <alignment horizontal="left" vertical="center" wrapText="1"/>
    </xf>
    <xf numFmtId="0" fontId="54" fillId="0" borderId="15" xfId="20" applyFont="1" applyFill="1" applyBorder="1" applyAlignment="1">
      <alignment horizontal="left" vertical="center" wrapText="1"/>
    </xf>
    <xf numFmtId="0" fontId="54" fillId="0" borderId="9" xfId="20" applyFont="1" applyFill="1" applyBorder="1" applyAlignment="1">
      <alignment horizontal="left" vertical="center" wrapText="1"/>
    </xf>
    <xf numFmtId="0" fontId="54" fillId="0" borderId="14" xfId="20" applyFont="1" applyFill="1" applyBorder="1" applyAlignment="1">
      <alignment horizontal="left" vertical="center" wrapText="1"/>
    </xf>
    <xf numFmtId="0" fontId="54" fillId="0" borderId="10" xfId="20" applyFont="1" applyFill="1" applyBorder="1" applyAlignment="1">
      <alignment horizontal="left" vertical="center" wrapText="1"/>
    </xf>
    <xf numFmtId="164" fontId="54" fillId="2" borderId="6" xfId="20" applyNumberFormat="1" applyFont="1" applyFill="1" applyBorder="1" applyAlignment="1">
      <alignment horizontal="center" vertical="center"/>
    </xf>
    <xf numFmtId="164" fontId="54" fillId="2" borderId="20" xfId="20" applyNumberFormat="1" applyFont="1" applyFill="1" applyBorder="1" applyAlignment="1">
      <alignment horizontal="center" vertical="center"/>
    </xf>
    <xf numFmtId="164" fontId="54" fillId="2" borderId="19" xfId="20" applyNumberFormat="1" applyFont="1" applyFill="1" applyBorder="1" applyAlignment="1">
      <alignment horizontal="center" vertical="center"/>
    </xf>
    <xf numFmtId="43" fontId="49" fillId="0" borderId="15" xfId="25" applyFont="1" applyBorder="1" applyAlignment="1">
      <alignment horizontal="center" vertical="center"/>
    </xf>
    <xf numFmtId="0" fontId="50" fillId="0" borderId="16" xfId="20" applyFont="1" applyBorder="1" applyAlignment="1">
      <alignment horizontal="center" vertical="center" wrapText="1"/>
    </xf>
    <xf numFmtId="165" fontId="55" fillId="4" borderId="6" xfId="21" applyFont="1" applyFill="1" applyBorder="1" applyAlignment="1">
      <alignment horizontal="center" vertical="center" wrapText="1"/>
    </xf>
    <xf numFmtId="165" fontId="55" fillId="4" borderId="19" xfId="21" applyFont="1" applyFill="1" applyBorder="1" applyAlignment="1">
      <alignment horizontal="center" vertical="center" wrapText="1"/>
    </xf>
    <xf numFmtId="165" fontId="55" fillId="4" borderId="12" xfId="21" applyFont="1" applyFill="1" applyBorder="1" applyAlignment="1">
      <alignment horizontal="center" vertical="center" wrapText="1"/>
    </xf>
    <xf numFmtId="165" fontId="55" fillId="4" borderId="17" xfId="21" applyFont="1" applyFill="1" applyBorder="1" applyAlignment="1">
      <alignment horizontal="center" vertical="center" wrapText="1"/>
    </xf>
    <xf numFmtId="165" fontId="55" fillId="4" borderId="11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0" fontId="55" fillId="4" borderId="2" xfId="20" applyFont="1" applyFill="1" applyBorder="1" applyAlignment="1">
      <alignment horizontal="center" vertical="center"/>
    </xf>
    <xf numFmtId="167" fontId="55" fillId="4" borderId="6" xfId="21" applyNumberFormat="1" applyFont="1" applyFill="1" applyBorder="1" applyAlignment="1">
      <alignment horizontal="center" vertical="center" wrapText="1"/>
    </xf>
    <xf numFmtId="167" fontId="55" fillId="4" borderId="19" xfId="21" applyNumberFormat="1" applyFont="1" applyFill="1" applyBorder="1" applyAlignment="1">
      <alignment horizontal="center" vertical="center" wrapText="1"/>
    </xf>
    <xf numFmtId="1" fontId="54" fillId="2" borderId="6" xfId="20" applyNumberFormat="1" applyFont="1" applyFill="1" applyBorder="1" applyAlignment="1">
      <alignment horizontal="center" vertical="center"/>
    </xf>
    <xf numFmtId="1" fontId="54" fillId="2" borderId="19" xfId="20" applyNumberFormat="1" applyFont="1" applyFill="1" applyBorder="1" applyAlignment="1">
      <alignment horizontal="center" vertical="center"/>
    </xf>
    <xf numFmtId="0" fontId="55" fillId="0" borderId="12" xfId="20" applyFont="1" applyFill="1" applyBorder="1" applyAlignment="1">
      <alignment horizontal="center" vertical="center" wrapText="1"/>
    </xf>
    <xf numFmtId="0" fontId="55" fillId="0" borderId="11" xfId="20" applyFont="1" applyFill="1" applyBorder="1" applyAlignment="1">
      <alignment horizontal="center" vertical="center" wrapText="1"/>
    </xf>
    <xf numFmtId="0" fontId="55" fillId="0" borderId="15" xfId="20" applyFont="1" applyFill="1" applyBorder="1" applyAlignment="1">
      <alignment horizontal="center" vertical="center" wrapText="1"/>
    </xf>
    <xf numFmtId="0" fontId="55" fillId="0" borderId="9" xfId="20" applyFont="1" applyFill="1" applyBorder="1" applyAlignment="1">
      <alignment horizontal="center" vertical="center" wrapText="1"/>
    </xf>
    <xf numFmtId="0" fontId="55" fillId="0" borderId="14" xfId="20" applyFont="1" applyFill="1" applyBorder="1" applyAlignment="1">
      <alignment horizontal="center" vertical="center" wrapText="1"/>
    </xf>
    <xf numFmtId="0" fontId="55" fillId="0" borderId="10" xfId="20" applyFont="1" applyFill="1" applyBorder="1" applyAlignment="1">
      <alignment horizontal="center" vertical="center" wrapText="1"/>
    </xf>
    <xf numFmtId="0" fontId="54" fillId="14" borderId="12" xfId="20" applyFont="1" applyFill="1" applyBorder="1" applyAlignment="1">
      <alignment horizontal="center" vertical="center" wrapText="1"/>
    </xf>
    <xf numFmtId="0" fontId="54" fillId="14" borderId="11" xfId="20" applyFont="1" applyFill="1" applyBorder="1" applyAlignment="1">
      <alignment horizontal="center" vertical="center" wrapText="1"/>
    </xf>
    <xf numFmtId="0" fontId="54" fillId="14" borderId="15" xfId="20" applyFont="1" applyFill="1" applyBorder="1" applyAlignment="1">
      <alignment horizontal="center" vertical="center" wrapText="1"/>
    </xf>
    <xf numFmtId="0" fontId="54" fillId="14" borderId="9" xfId="20" applyFont="1" applyFill="1" applyBorder="1" applyAlignment="1">
      <alignment horizontal="center" vertical="center" wrapText="1"/>
    </xf>
    <xf numFmtId="0" fontId="54" fillId="14" borderId="14" xfId="20" applyFont="1" applyFill="1" applyBorder="1" applyAlignment="1">
      <alignment horizontal="center" vertical="center" wrapText="1"/>
    </xf>
    <xf numFmtId="0" fontId="54" fillId="14" borderId="10" xfId="20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E5F2B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26" t="s">
        <v>37</v>
      </c>
      <c r="B5" s="726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26" t="s">
        <v>24</v>
      </c>
      <c r="B6" s="726"/>
      <c r="C6" s="82"/>
      <c r="D6" s="727"/>
      <c r="E6" s="727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26" t="s">
        <v>38</v>
      </c>
      <c r="B7" s="726"/>
      <c r="C7" s="726"/>
      <c r="D7" s="726"/>
      <c r="E7" s="726"/>
      <c r="F7" s="726"/>
      <c r="G7" s="726"/>
      <c r="H7" s="726"/>
      <c r="I7" s="726"/>
      <c r="J7" s="82"/>
      <c r="L7" s="61"/>
      <c r="V7" s="62"/>
      <c r="W7" s="63"/>
    </row>
    <row r="8" spans="1:23" s="60" customFormat="1" ht="12.75" customHeight="1" x14ac:dyDescent="0.25">
      <c r="A8" s="726" t="s">
        <v>39</v>
      </c>
      <c r="B8" s="726"/>
      <c r="C8" s="726"/>
      <c r="D8" s="726"/>
      <c r="E8" s="726"/>
      <c r="F8" s="726"/>
      <c r="G8" s="726"/>
      <c r="H8" s="726"/>
      <c r="I8" s="726"/>
      <c r="J8" s="82"/>
      <c r="L8" s="61"/>
      <c r="V8" s="62"/>
      <c r="W8" s="63"/>
    </row>
    <row r="9" spans="1:23" s="60" customFormat="1" ht="12.75" customHeight="1" x14ac:dyDescent="0.25">
      <c r="A9" s="725" t="s">
        <v>40</v>
      </c>
      <c r="B9" s="725"/>
      <c r="C9" s="725"/>
      <c r="D9" s="725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28" t="s">
        <v>0</v>
      </c>
      <c r="B11" s="728"/>
      <c r="C11" s="728"/>
      <c r="D11" s="728"/>
      <c r="E11" s="728"/>
      <c r="F11" s="728"/>
      <c r="G11" s="728"/>
      <c r="H11" s="728"/>
      <c r="I11" s="728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29" t="s">
        <v>1</v>
      </c>
      <c r="B13" s="712" t="s">
        <v>2</v>
      </c>
      <c r="C13" s="729" t="s">
        <v>13</v>
      </c>
      <c r="D13" s="730" t="s">
        <v>3</v>
      </c>
      <c r="E13" s="731" t="s">
        <v>14</v>
      </c>
      <c r="F13" s="732" t="s">
        <v>27</v>
      </c>
      <c r="G13" s="732"/>
      <c r="H13" s="730" t="s">
        <v>17</v>
      </c>
      <c r="I13" s="730"/>
      <c r="J13" s="713" t="s">
        <v>30</v>
      </c>
      <c r="K13" s="714"/>
      <c r="L13" s="715"/>
      <c r="M13" s="712" t="s">
        <v>26</v>
      </c>
      <c r="N13" s="712"/>
      <c r="O13" s="712"/>
      <c r="P13" s="712"/>
      <c r="Q13" s="712" t="s">
        <v>29</v>
      </c>
      <c r="R13" s="712"/>
      <c r="S13" s="712"/>
      <c r="T13" s="712"/>
      <c r="U13" s="712"/>
      <c r="V13" s="719" t="s">
        <v>34</v>
      </c>
      <c r="W13" s="720"/>
    </row>
    <row r="14" spans="1:23" s="3" customFormat="1" ht="20.25" customHeight="1" x14ac:dyDescent="0.25">
      <c r="A14" s="729"/>
      <c r="B14" s="712"/>
      <c r="C14" s="729"/>
      <c r="D14" s="730"/>
      <c r="E14" s="731"/>
      <c r="F14" s="730" t="s">
        <v>41</v>
      </c>
      <c r="G14" s="730"/>
      <c r="H14" s="730"/>
      <c r="I14" s="730"/>
      <c r="J14" s="716"/>
      <c r="K14" s="717"/>
      <c r="L14" s="718"/>
      <c r="M14" s="712"/>
      <c r="N14" s="712"/>
      <c r="O14" s="712"/>
      <c r="P14" s="712"/>
      <c r="Q14" s="712"/>
      <c r="R14" s="712"/>
      <c r="S14" s="712"/>
      <c r="T14" s="712"/>
      <c r="U14" s="712"/>
      <c r="V14" s="721"/>
      <c r="W14" s="722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21"/>
      <c r="W15" s="722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11" t="s">
        <v>32</v>
      </c>
      <c r="U16" s="711"/>
      <c r="V16" s="723"/>
      <c r="W16" s="724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42" t="s">
        <v>93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</row>
    <row r="2" spans="1:13" ht="16.2" thickBot="1" x14ac:dyDescent="0.3">
      <c r="M2" s="216"/>
    </row>
    <row r="3" spans="1:13" ht="31.5" customHeight="1" x14ac:dyDescent="0.25">
      <c r="A3" s="752" t="s">
        <v>84</v>
      </c>
      <c r="B3" s="754" t="s">
        <v>82</v>
      </c>
      <c r="C3" s="754" t="s">
        <v>86</v>
      </c>
      <c r="D3" s="754" t="s">
        <v>85</v>
      </c>
      <c r="E3" s="743" t="s">
        <v>83</v>
      </c>
      <c r="F3" s="747" t="s">
        <v>90</v>
      </c>
      <c r="G3" s="748"/>
      <c r="H3" s="749"/>
      <c r="I3" s="745" t="s">
        <v>9</v>
      </c>
      <c r="J3" s="750" t="s">
        <v>91</v>
      </c>
      <c r="K3" s="750"/>
      <c r="L3" s="751"/>
      <c r="M3" s="745" t="s">
        <v>50</v>
      </c>
    </row>
    <row r="4" spans="1:13" x14ac:dyDescent="0.25">
      <c r="A4" s="753"/>
      <c r="B4" s="755"/>
      <c r="C4" s="755"/>
      <c r="D4" s="755"/>
      <c r="E4" s="744"/>
      <c r="F4" s="145" t="s">
        <v>87</v>
      </c>
      <c r="G4" s="135" t="s">
        <v>88</v>
      </c>
      <c r="H4" s="135" t="s">
        <v>89</v>
      </c>
      <c r="I4" s="746"/>
      <c r="J4" s="143" t="s">
        <v>87</v>
      </c>
      <c r="K4" s="135" t="s">
        <v>88</v>
      </c>
      <c r="L4" s="135" t="s">
        <v>89</v>
      </c>
      <c r="M4" s="746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36">
        <v>4</v>
      </c>
      <c r="B6" s="733" t="s">
        <v>97</v>
      </c>
      <c r="C6" s="739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37"/>
      <c r="B7" s="734"/>
      <c r="C7" s="740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37"/>
      <c r="B8" s="734"/>
      <c r="C8" s="740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38"/>
      <c r="B9" s="735"/>
      <c r="C9" s="741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62" t="s">
        <v>84</v>
      </c>
      <c r="B2" s="762" t="s">
        <v>99</v>
      </c>
      <c r="C2" s="762" t="s">
        <v>86</v>
      </c>
      <c r="D2" s="762" t="s">
        <v>51</v>
      </c>
      <c r="E2" s="756" t="s">
        <v>100</v>
      </c>
      <c r="F2" s="757"/>
      <c r="G2" s="758"/>
      <c r="H2" s="759" t="s">
        <v>101</v>
      </c>
      <c r="I2" s="760"/>
      <c r="J2" s="760"/>
      <c r="K2" s="760"/>
      <c r="L2" s="760"/>
      <c r="M2" s="761"/>
      <c r="N2" s="756" t="s">
        <v>102</v>
      </c>
      <c r="O2" s="757"/>
      <c r="P2" s="758"/>
    </row>
    <row r="3" spans="1:16" ht="16.2" thickBot="1" x14ac:dyDescent="0.3">
      <c r="A3" s="763"/>
      <c r="B3" s="763"/>
      <c r="C3" s="763"/>
      <c r="D3" s="763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64">
        <v>4</v>
      </c>
      <c r="B4" s="767" t="s">
        <v>109</v>
      </c>
      <c r="C4" s="767" t="s">
        <v>94</v>
      </c>
      <c r="D4" s="767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65"/>
      <c r="B5" s="768"/>
      <c r="C5" s="768"/>
      <c r="D5" s="768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65"/>
      <c r="B6" s="768"/>
      <c r="C6" s="768"/>
      <c r="D6" s="768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65"/>
      <c r="B7" s="768"/>
      <c r="C7" s="768"/>
      <c r="D7" s="768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65"/>
      <c r="B8" s="768"/>
      <c r="C8" s="768"/>
      <c r="D8" s="769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65"/>
      <c r="B9" s="768"/>
      <c r="C9" s="768"/>
      <c r="D9" s="770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65"/>
      <c r="B10" s="768"/>
      <c r="C10" s="768"/>
      <c r="D10" s="771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65"/>
      <c r="B11" s="768"/>
      <c r="C11" s="768"/>
      <c r="D11" s="772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65"/>
      <c r="B12" s="768"/>
      <c r="C12" s="768"/>
      <c r="D12" s="767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65"/>
      <c r="B13" s="768"/>
      <c r="C13" s="768"/>
      <c r="D13" s="768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65"/>
      <c r="B14" s="768"/>
      <c r="C14" s="768"/>
      <c r="D14" s="769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65"/>
      <c r="B15" s="768"/>
      <c r="C15" s="768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66"/>
      <c r="B16" s="769"/>
      <c r="C16" s="769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showWhiteSpace="0" zoomScale="70" zoomScaleNormal="70" zoomScaleSheetLayoutView="76" workbookViewId="0">
      <pane ySplit="5" topLeftCell="A30" activePane="bottomLeft" state="frozen"/>
      <selection pane="bottomLeft" activeCell="B31" sqref="B31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3" width="21" style="308" customWidth="1"/>
    <col min="4" max="5" width="20.6640625" style="342" customWidth="1"/>
    <col min="6" max="6" width="24.6640625" style="342" customWidth="1"/>
    <col min="7" max="7" width="30.88671875" style="342" customWidth="1"/>
    <col min="8" max="8" width="21.33203125" style="342" customWidth="1"/>
    <col min="9" max="9" width="29.77734375" style="342" customWidth="1"/>
    <col min="10" max="10" width="16.44140625" style="308" customWidth="1"/>
    <col min="11" max="16384" width="9.109375" style="308"/>
  </cols>
  <sheetData>
    <row r="1" spans="1:34" ht="16.95" customHeight="1" x14ac:dyDescent="0.25">
      <c r="A1" s="773" t="s">
        <v>232</v>
      </c>
      <c r="B1" s="773"/>
      <c r="C1" s="773"/>
      <c r="D1" s="773"/>
      <c r="E1" s="773"/>
      <c r="F1" s="773"/>
      <c r="G1" s="773"/>
      <c r="H1" s="773"/>
      <c r="I1" s="773"/>
    </row>
    <row r="2" spans="1:34" ht="59.4" customHeight="1" x14ac:dyDescent="0.25">
      <c r="A2" s="773"/>
      <c r="B2" s="773"/>
      <c r="C2" s="773"/>
      <c r="D2" s="773"/>
      <c r="E2" s="773"/>
      <c r="F2" s="773"/>
      <c r="G2" s="773"/>
      <c r="H2" s="773"/>
      <c r="I2" s="773"/>
    </row>
    <row r="3" spans="1:34" ht="34.799999999999997" customHeight="1" thickBot="1" x14ac:dyDescent="0.3">
      <c r="A3" s="536"/>
      <c r="B3" s="536"/>
      <c r="C3" s="536"/>
      <c r="D3" s="785" t="s">
        <v>233</v>
      </c>
      <c r="E3" s="785"/>
      <c r="F3" s="785"/>
      <c r="G3" s="536"/>
      <c r="H3" s="536"/>
      <c r="I3" s="536"/>
    </row>
    <row r="4" spans="1:34" ht="31.8" customHeight="1" x14ac:dyDescent="0.25">
      <c r="A4" s="774" t="s">
        <v>124</v>
      </c>
      <c r="B4" s="780" t="s">
        <v>185</v>
      </c>
      <c r="C4" s="786" t="s">
        <v>234</v>
      </c>
      <c r="D4" s="776" t="s">
        <v>190</v>
      </c>
      <c r="E4" s="776" t="s">
        <v>191</v>
      </c>
      <c r="F4" s="776" t="s">
        <v>193</v>
      </c>
      <c r="G4" s="778" t="s">
        <v>9</v>
      </c>
      <c r="H4" s="778" t="s">
        <v>188</v>
      </c>
      <c r="I4" s="778" t="s">
        <v>189</v>
      </c>
    </row>
    <row r="5" spans="1:34" ht="30.6" customHeight="1" x14ac:dyDescent="0.25">
      <c r="A5" s="775"/>
      <c r="B5" s="781"/>
      <c r="C5" s="787"/>
      <c r="D5" s="777"/>
      <c r="E5" s="777"/>
      <c r="F5" s="777"/>
      <c r="G5" s="782"/>
      <c r="H5" s="782"/>
      <c r="I5" s="779"/>
    </row>
    <row r="6" spans="1:34" s="323" customFormat="1" ht="40.200000000000003" customHeight="1" x14ac:dyDescent="0.25">
      <c r="A6" s="548">
        <v>1</v>
      </c>
      <c r="B6" s="549" t="s">
        <v>210</v>
      </c>
      <c r="C6" s="788" t="s">
        <v>235</v>
      </c>
      <c r="D6" s="550"/>
      <c r="E6" s="551"/>
      <c r="F6" s="552">
        <v>12434.74</v>
      </c>
      <c r="G6" s="790" t="s">
        <v>237</v>
      </c>
      <c r="H6" s="550"/>
      <c r="I6" s="550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</row>
    <row r="7" spans="1:34" s="323" customFormat="1" ht="43.8" customHeight="1" x14ac:dyDescent="0.25">
      <c r="A7" s="548">
        <f>A6+1</f>
        <v>2</v>
      </c>
      <c r="B7" s="538" t="s">
        <v>211</v>
      </c>
      <c r="C7" s="788"/>
      <c r="D7" s="539"/>
      <c r="E7" s="553"/>
      <c r="F7" s="542">
        <v>775924.93</v>
      </c>
      <c r="G7" s="790"/>
      <c r="H7" s="541"/>
      <c r="I7" s="554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</row>
    <row r="8" spans="1:34" s="323" customFormat="1" ht="47.4" customHeight="1" x14ac:dyDescent="0.25">
      <c r="A8" s="548">
        <f t="shared" ref="A8:A27" si="0">A7+1</f>
        <v>3</v>
      </c>
      <c r="B8" s="564" t="s">
        <v>212</v>
      </c>
      <c r="C8" s="788"/>
      <c r="D8" s="555"/>
      <c r="E8" s="539"/>
      <c r="F8" s="540">
        <v>1435680</v>
      </c>
      <c r="G8" s="790"/>
      <c r="H8" s="539"/>
      <c r="I8" s="554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</row>
    <row r="9" spans="1:34" s="323" customFormat="1" ht="33" customHeight="1" x14ac:dyDescent="0.25">
      <c r="A9" s="548">
        <f t="shared" si="0"/>
        <v>4</v>
      </c>
      <c r="B9" s="544" t="s">
        <v>213</v>
      </c>
      <c r="C9" s="788"/>
      <c r="D9" s="555"/>
      <c r="E9" s="539"/>
      <c r="F9" s="540">
        <v>117868.46</v>
      </c>
      <c r="G9" s="790"/>
      <c r="H9" s="539"/>
      <c r="I9" s="543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</row>
    <row r="10" spans="1:34" s="323" customFormat="1" ht="44.4" customHeight="1" x14ac:dyDescent="0.25">
      <c r="A10" s="548">
        <f t="shared" si="0"/>
        <v>5</v>
      </c>
      <c r="B10" s="549" t="s">
        <v>214</v>
      </c>
      <c r="C10" s="788"/>
      <c r="D10" s="550"/>
      <c r="E10" s="551"/>
      <c r="F10" s="552">
        <v>4049560.79</v>
      </c>
      <c r="G10" s="790"/>
      <c r="H10" s="550"/>
      <c r="I10" s="550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</row>
    <row r="11" spans="1:34" s="323" customFormat="1" ht="31.2" customHeight="1" x14ac:dyDescent="0.25">
      <c r="A11" s="548">
        <f t="shared" si="0"/>
        <v>6</v>
      </c>
      <c r="B11" s="538" t="s">
        <v>215</v>
      </c>
      <c r="C11" s="788"/>
      <c r="D11" s="539"/>
      <c r="E11" s="553"/>
      <c r="F11" s="542">
        <v>121951.34</v>
      </c>
      <c r="G11" s="790"/>
      <c r="H11" s="541"/>
      <c r="I11" s="554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</row>
    <row r="12" spans="1:34" s="323" customFormat="1" ht="33.6" customHeight="1" x14ac:dyDescent="0.25">
      <c r="A12" s="548">
        <f t="shared" si="0"/>
        <v>7</v>
      </c>
      <c r="B12" s="544" t="s">
        <v>216</v>
      </c>
      <c r="C12" s="788"/>
      <c r="D12" s="555"/>
      <c r="E12" s="539"/>
      <c r="F12" s="540">
        <v>585897.12</v>
      </c>
      <c r="G12" s="790"/>
      <c r="H12" s="539"/>
      <c r="I12" s="554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</row>
    <row r="13" spans="1:34" s="323" customFormat="1" ht="34.799999999999997" customHeight="1" x14ac:dyDescent="0.25">
      <c r="A13" s="548">
        <f t="shared" si="0"/>
        <v>8</v>
      </c>
      <c r="B13" s="549" t="s">
        <v>217</v>
      </c>
      <c r="C13" s="788"/>
      <c r="D13" s="550"/>
      <c r="E13" s="551"/>
      <c r="F13" s="552">
        <v>512538.17</v>
      </c>
      <c r="G13" s="790"/>
      <c r="H13" s="550"/>
      <c r="I13" s="550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</row>
    <row r="14" spans="1:34" s="323" customFormat="1" ht="37.799999999999997" customHeight="1" x14ac:dyDescent="0.25">
      <c r="A14" s="548">
        <f t="shared" si="0"/>
        <v>9</v>
      </c>
      <c r="B14" s="538" t="s">
        <v>218</v>
      </c>
      <c r="C14" s="788"/>
      <c r="D14" s="539"/>
      <c r="E14" s="553"/>
      <c r="F14" s="542">
        <v>5299206.9800000004</v>
      </c>
      <c r="G14" s="790"/>
      <c r="H14" s="541"/>
      <c r="I14" s="554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</row>
    <row r="15" spans="1:34" s="323" customFormat="1" ht="37.200000000000003" customHeight="1" x14ac:dyDescent="0.25">
      <c r="A15" s="548">
        <f t="shared" si="0"/>
        <v>10</v>
      </c>
      <c r="B15" s="544" t="s">
        <v>219</v>
      </c>
      <c r="C15" s="788"/>
      <c r="D15" s="555"/>
      <c r="E15" s="539"/>
      <c r="F15" s="540">
        <v>408096.48</v>
      </c>
      <c r="G15" s="790"/>
      <c r="H15" s="539"/>
      <c r="I15" s="554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</row>
    <row r="16" spans="1:34" s="323" customFormat="1" ht="33.6" customHeight="1" x14ac:dyDescent="0.25">
      <c r="A16" s="548">
        <f t="shared" si="0"/>
        <v>11</v>
      </c>
      <c r="B16" s="544" t="s">
        <v>220</v>
      </c>
      <c r="C16" s="788"/>
      <c r="D16" s="555"/>
      <c r="E16" s="539"/>
      <c r="F16" s="540">
        <v>702045.67</v>
      </c>
      <c r="G16" s="790"/>
      <c r="H16" s="539"/>
      <c r="I16" s="543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</row>
    <row r="17" spans="1:34" s="323" customFormat="1" ht="43.2" customHeight="1" x14ac:dyDescent="0.25">
      <c r="A17" s="548">
        <f t="shared" si="0"/>
        <v>12</v>
      </c>
      <c r="B17" s="549" t="s">
        <v>221</v>
      </c>
      <c r="C17" s="788"/>
      <c r="D17" s="550"/>
      <c r="E17" s="551"/>
      <c r="F17" s="552">
        <v>744021.82</v>
      </c>
      <c r="G17" s="790"/>
      <c r="H17" s="550"/>
      <c r="I17" s="550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</row>
    <row r="18" spans="1:34" s="323" customFormat="1" ht="31.8" customHeight="1" x14ac:dyDescent="0.25">
      <c r="A18" s="548">
        <f t="shared" si="0"/>
        <v>13</v>
      </c>
      <c r="B18" s="538" t="s">
        <v>222</v>
      </c>
      <c r="C18" s="788"/>
      <c r="D18" s="539"/>
      <c r="E18" s="553"/>
      <c r="F18" s="542">
        <v>2383935.7000000002</v>
      </c>
      <c r="G18" s="790"/>
      <c r="H18" s="541"/>
      <c r="I18" s="554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</row>
    <row r="19" spans="1:34" s="323" customFormat="1" ht="36.6" customHeight="1" x14ac:dyDescent="0.25">
      <c r="A19" s="548">
        <f t="shared" si="0"/>
        <v>14</v>
      </c>
      <c r="B19" s="544" t="s">
        <v>223</v>
      </c>
      <c r="C19" s="788"/>
      <c r="D19" s="555"/>
      <c r="E19" s="539"/>
      <c r="F19" s="540">
        <v>422734.58</v>
      </c>
      <c r="G19" s="790"/>
      <c r="H19" s="539"/>
      <c r="I19" s="554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</row>
    <row r="20" spans="1:34" s="323" customFormat="1" ht="44.4" customHeight="1" x14ac:dyDescent="0.25">
      <c r="A20" s="548">
        <f t="shared" si="0"/>
        <v>15</v>
      </c>
      <c r="B20" s="549" t="s">
        <v>224</v>
      </c>
      <c r="C20" s="788"/>
      <c r="D20" s="550"/>
      <c r="E20" s="551"/>
      <c r="F20" s="552">
        <v>165729.51</v>
      </c>
      <c r="G20" s="790"/>
      <c r="H20" s="550"/>
      <c r="I20" s="550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</row>
    <row r="21" spans="1:34" s="323" customFormat="1" ht="43.8" customHeight="1" x14ac:dyDescent="0.25">
      <c r="A21" s="548">
        <f t="shared" si="0"/>
        <v>16</v>
      </c>
      <c r="B21" s="538" t="s">
        <v>225</v>
      </c>
      <c r="C21" s="788"/>
      <c r="D21" s="539"/>
      <c r="E21" s="553"/>
      <c r="F21" s="542">
        <v>545571.43000000005</v>
      </c>
      <c r="G21" s="790"/>
      <c r="H21" s="541"/>
      <c r="I21" s="554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</row>
    <row r="22" spans="1:34" s="323" customFormat="1" ht="52.2" customHeight="1" x14ac:dyDescent="0.25">
      <c r="A22" s="548">
        <f t="shared" si="0"/>
        <v>17</v>
      </c>
      <c r="B22" s="544" t="s">
        <v>226</v>
      </c>
      <c r="C22" s="788"/>
      <c r="D22" s="555"/>
      <c r="E22" s="539"/>
      <c r="F22" s="540">
        <v>68093.440000000002</v>
      </c>
      <c r="G22" s="790"/>
      <c r="H22" s="539"/>
      <c r="I22" s="554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</row>
    <row r="23" spans="1:34" s="323" customFormat="1" ht="31.2" customHeight="1" x14ac:dyDescent="0.25">
      <c r="A23" s="548">
        <f t="shared" si="0"/>
        <v>18</v>
      </c>
      <c r="B23" s="544" t="s">
        <v>227</v>
      </c>
      <c r="C23" s="788"/>
      <c r="D23" s="555"/>
      <c r="E23" s="539"/>
      <c r="F23" s="540">
        <v>27263303.890000001</v>
      </c>
      <c r="G23" s="790"/>
      <c r="H23" s="539"/>
      <c r="I23" s="543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</row>
    <row r="24" spans="1:34" s="323" customFormat="1" ht="34.200000000000003" customHeight="1" x14ac:dyDescent="0.25">
      <c r="A24" s="548">
        <f t="shared" si="0"/>
        <v>19</v>
      </c>
      <c r="B24" s="549" t="s">
        <v>228</v>
      </c>
      <c r="C24" s="788"/>
      <c r="D24" s="550"/>
      <c r="E24" s="551"/>
      <c r="F24" s="783">
        <v>4885307.53</v>
      </c>
      <c r="G24" s="790"/>
      <c r="H24" s="550"/>
      <c r="I24" s="550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</row>
    <row r="25" spans="1:34" s="323" customFormat="1" ht="37.200000000000003" customHeight="1" x14ac:dyDescent="0.25">
      <c r="A25" s="548">
        <f t="shared" si="0"/>
        <v>20</v>
      </c>
      <c r="B25" s="538" t="s">
        <v>229</v>
      </c>
      <c r="C25" s="788"/>
      <c r="D25" s="539"/>
      <c r="E25" s="553"/>
      <c r="F25" s="784"/>
      <c r="G25" s="790"/>
      <c r="H25" s="541"/>
      <c r="I25" s="554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</row>
    <row r="26" spans="1:34" s="323" customFormat="1" ht="34.200000000000003" customHeight="1" x14ac:dyDescent="0.25">
      <c r="A26" s="548">
        <f t="shared" si="0"/>
        <v>21</v>
      </c>
      <c r="B26" s="544" t="s">
        <v>230</v>
      </c>
      <c r="C26" s="788"/>
      <c r="D26" s="555"/>
      <c r="E26" s="539"/>
      <c r="F26" s="540">
        <v>255500</v>
      </c>
      <c r="G26" s="790"/>
      <c r="H26" s="539"/>
      <c r="I26" s="554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</row>
    <row r="27" spans="1:34" s="323" customFormat="1" ht="39" customHeight="1" x14ac:dyDescent="0.25">
      <c r="A27" s="548">
        <f t="shared" si="0"/>
        <v>22</v>
      </c>
      <c r="B27" s="549" t="s">
        <v>231</v>
      </c>
      <c r="C27" s="789"/>
      <c r="D27" s="550"/>
      <c r="E27" s="551"/>
      <c r="F27" s="552">
        <v>220000</v>
      </c>
      <c r="G27" s="791"/>
      <c r="H27" s="550"/>
      <c r="I27" s="550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</row>
    <row r="28" spans="1:34" s="323" customFormat="1" ht="69.599999999999994" customHeight="1" x14ac:dyDescent="0.25">
      <c r="A28" s="565"/>
      <c r="B28" s="566" t="s">
        <v>236</v>
      </c>
      <c r="C28" s="567"/>
      <c r="D28" s="568">
        <v>457389.44999999995</v>
      </c>
      <c r="E28" s="569">
        <v>26059.840799999998</v>
      </c>
      <c r="F28" s="570">
        <v>481468.45</v>
      </c>
      <c r="G28" s="571" t="s">
        <v>275</v>
      </c>
      <c r="H28" s="572">
        <v>45468</v>
      </c>
      <c r="I28" s="583" t="s">
        <v>277</v>
      </c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</row>
    <row r="29" spans="1:34" s="307" customFormat="1" ht="57" customHeight="1" x14ac:dyDescent="0.25">
      <c r="A29" s="574"/>
      <c r="B29" s="575" t="s">
        <v>238</v>
      </c>
      <c r="C29" s="576" t="s">
        <v>328</v>
      </c>
      <c r="D29" s="577">
        <f>F29</f>
        <v>377607.41</v>
      </c>
      <c r="E29" s="578"/>
      <c r="F29" s="579">
        <v>377607.41</v>
      </c>
      <c r="G29" s="580" t="s">
        <v>326</v>
      </c>
      <c r="H29" s="581"/>
      <c r="I29" s="582"/>
    </row>
    <row r="30" spans="1:34" s="585" customFormat="1" ht="76.2" customHeight="1" x14ac:dyDescent="0.25">
      <c r="A30" s="597"/>
      <c r="B30" s="598" t="s">
        <v>276</v>
      </c>
      <c r="C30" s="599"/>
      <c r="D30" s="600">
        <v>114260</v>
      </c>
      <c r="E30" s="601">
        <f>F30-D30</f>
        <v>138118.65</v>
      </c>
      <c r="F30" s="602">
        <v>252378.65</v>
      </c>
      <c r="G30" s="603" t="s">
        <v>275</v>
      </c>
      <c r="H30" s="604">
        <v>45503</v>
      </c>
      <c r="I30" s="605" t="s">
        <v>294</v>
      </c>
      <c r="J30" s="584"/>
      <c r="K30" s="584"/>
      <c r="L30" s="584"/>
      <c r="M30" s="584"/>
      <c r="N30" s="584"/>
      <c r="O30" s="584"/>
      <c r="P30" s="584"/>
      <c r="Q30" s="584"/>
      <c r="R30" s="584"/>
      <c r="S30" s="584"/>
      <c r="T30" s="584"/>
      <c r="U30" s="584"/>
      <c r="V30" s="584"/>
      <c r="W30" s="584"/>
      <c r="X30" s="584"/>
      <c r="Y30" s="584"/>
      <c r="Z30" s="584"/>
      <c r="AA30" s="584"/>
      <c r="AB30" s="584"/>
      <c r="AC30" s="584"/>
      <c r="AD30" s="584"/>
      <c r="AE30" s="584"/>
      <c r="AF30" s="584"/>
      <c r="AG30" s="584"/>
      <c r="AH30" s="584"/>
    </row>
    <row r="31" spans="1:34" s="323" customFormat="1" ht="95.4" customHeight="1" x14ac:dyDescent="0.25">
      <c r="A31" s="548"/>
      <c r="B31" s="549" t="s">
        <v>327</v>
      </c>
      <c r="C31" s="549"/>
      <c r="D31" s="550">
        <f>F31</f>
        <v>3726000</v>
      </c>
      <c r="E31" s="551"/>
      <c r="F31" s="552">
        <f>3428000+298000</f>
        <v>3726000</v>
      </c>
      <c r="G31" s="608" t="s">
        <v>338</v>
      </c>
      <c r="H31" s="609"/>
      <c r="I31" s="550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</row>
    <row r="32" spans="1:34" s="323" customFormat="1" ht="48.6" customHeight="1" x14ac:dyDescent="0.25">
      <c r="A32" s="548"/>
      <c r="B32" s="538" t="s">
        <v>339</v>
      </c>
      <c r="C32" s="538"/>
      <c r="D32" s="539">
        <f>F32-E32</f>
        <v>2026266.6459999999</v>
      </c>
      <c r="E32" s="553">
        <f>554309.57*1.2</f>
        <v>665171.48399999994</v>
      </c>
      <c r="F32" s="542">
        <v>2691438.13</v>
      </c>
      <c r="G32" s="610" t="s">
        <v>275</v>
      </c>
      <c r="H32" s="573">
        <v>45573</v>
      </c>
      <c r="I32" s="554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</row>
    <row r="33" spans="1:34" s="323" customFormat="1" ht="52.2" customHeight="1" x14ac:dyDescent="0.25">
      <c r="A33" s="548"/>
      <c r="B33" s="544"/>
      <c r="C33" s="544"/>
      <c r="D33" s="555"/>
      <c r="E33" s="539"/>
      <c r="F33" s="540"/>
      <c r="G33" s="545"/>
      <c r="H33" s="539"/>
      <c r="I33" s="554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</row>
    <row r="34" spans="1:34" s="323" customFormat="1" ht="45" customHeight="1" x14ac:dyDescent="0.25">
      <c r="A34" s="548"/>
      <c r="B34" s="544"/>
      <c r="C34" s="544"/>
      <c r="D34" s="555"/>
      <c r="E34" s="539"/>
      <c r="F34" s="540"/>
      <c r="G34" s="545"/>
      <c r="H34" s="539"/>
      <c r="I34" s="543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</row>
    <row r="35" spans="1:34" s="323" customFormat="1" ht="39" customHeight="1" x14ac:dyDescent="0.25">
      <c r="A35" s="548"/>
      <c r="B35" s="544"/>
      <c r="C35" s="544"/>
      <c r="D35" s="555"/>
      <c r="E35" s="539"/>
      <c r="F35" s="540"/>
      <c r="G35" s="545"/>
      <c r="H35" s="539"/>
      <c r="I35" s="563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</row>
    <row r="36" spans="1:34" s="324" customFormat="1" ht="22.8" customHeight="1" x14ac:dyDescent="0.25">
      <c r="A36" s="533"/>
      <c r="B36" s="533" t="s">
        <v>47</v>
      </c>
      <c r="C36" s="533"/>
      <c r="D36" s="534">
        <f>SUM(D6:D35)</f>
        <v>6701523.5059999991</v>
      </c>
      <c r="E36" s="534">
        <f>SUM(E6:E35)</f>
        <v>829349.97479999997</v>
      </c>
      <c r="F36" s="534">
        <f>SUM(F6:F35)</f>
        <v>58504295.220000006</v>
      </c>
      <c r="G36" s="534"/>
      <c r="H36" s="534"/>
      <c r="I36" s="534"/>
    </row>
    <row r="37" spans="1:34" ht="19.8" customHeight="1" x14ac:dyDescent="0.25">
      <c r="D37" s="339"/>
      <c r="E37" s="339"/>
      <c r="F37" s="339"/>
      <c r="G37" s="339"/>
      <c r="H37" s="339"/>
      <c r="I37" s="339"/>
    </row>
    <row r="38" spans="1:34" x14ac:dyDescent="0.25">
      <c r="D38" s="339"/>
      <c r="E38" s="339"/>
      <c r="F38" s="339"/>
      <c r="G38" s="339"/>
      <c r="H38" s="339"/>
      <c r="I38" s="339"/>
    </row>
    <row r="39" spans="1:34" x14ac:dyDescent="0.25">
      <c r="D39" s="339"/>
      <c r="E39" s="339"/>
      <c r="F39" s="339"/>
      <c r="G39" s="339"/>
      <c r="H39" s="339"/>
      <c r="I39" s="339"/>
    </row>
    <row r="40" spans="1:34" x14ac:dyDescent="0.25">
      <c r="D40" s="339"/>
      <c r="E40" s="339"/>
      <c r="F40" s="339"/>
      <c r="G40" s="339"/>
      <c r="H40" s="339"/>
      <c r="I40" s="339"/>
    </row>
  </sheetData>
  <mergeCells count="14">
    <mergeCell ref="F24:F25"/>
    <mergeCell ref="D3:F3"/>
    <mergeCell ref="C4:C5"/>
    <mergeCell ref="C6:C27"/>
    <mergeCell ref="G6:G27"/>
    <mergeCell ref="A1:I2"/>
    <mergeCell ref="A4:A5"/>
    <mergeCell ref="D4:D5"/>
    <mergeCell ref="I4:I5"/>
    <mergeCell ref="B4:B5"/>
    <mergeCell ref="F4:F5"/>
    <mergeCell ref="E4:E5"/>
    <mergeCell ref="G4:G5"/>
    <mergeCell ref="H4:H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50"/>
  <sheetViews>
    <sheetView tabSelected="1" showWhiteSpace="0" view="pageBreakPreview" zoomScale="70" zoomScaleNormal="80" zoomScaleSheetLayoutView="70" workbookViewId="0">
      <pane xSplit="2" ySplit="4" topLeftCell="C122" activePane="bottomRight" state="frozen"/>
      <selection pane="topRight" activeCell="C1" sqref="C1"/>
      <selection pane="bottomLeft" activeCell="A6" sqref="A6"/>
      <selection pane="bottomRight" activeCell="H106" sqref="H106"/>
    </sheetView>
  </sheetViews>
  <sheetFormatPr defaultColWidth="9.109375" defaultRowHeight="18" outlineLevelRow="1" x14ac:dyDescent="0.35"/>
  <cols>
    <col min="1" max="1" width="10.44140625" style="308" customWidth="1"/>
    <col min="2" max="2" width="56.33203125" style="673" customWidth="1"/>
    <col min="3" max="3" width="18.6640625" style="677" customWidth="1"/>
    <col min="4" max="4" width="13.77734375" style="677" customWidth="1"/>
    <col min="5" max="5" width="21.6640625" style="677" customWidth="1"/>
    <col min="6" max="6" width="19.88671875" style="677" customWidth="1"/>
    <col min="7" max="7" width="22.33203125" style="677" customWidth="1"/>
    <col min="8" max="8" width="32.109375" style="677" customWidth="1"/>
    <col min="9" max="9" width="18.5546875" style="678" customWidth="1"/>
    <col min="10" max="10" width="30.6640625" style="677" customWidth="1"/>
    <col min="11" max="11" width="26.6640625" style="593" hidden="1" customWidth="1"/>
    <col min="12" max="16384" width="9.109375" style="308"/>
  </cols>
  <sheetData>
    <row r="1" spans="1:35" ht="16.95" customHeight="1" x14ac:dyDescent="0.35">
      <c r="A1" s="773" t="s">
        <v>198</v>
      </c>
      <c r="B1" s="773"/>
      <c r="C1" s="773"/>
      <c r="D1" s="773"/>
      <c r="E1" s="773"/>
      <c r="F1" s="773"/>
      <c r="G1" s="773"/>
      <c r="H1" s="773"/>
      <c r="I1" s="773"/>
      <c r="J1" s="773"/>
    </row>
    <row r="2" spans="1:35" ht="59.4" customHeight="1" x14ac:dyDescent="0.35">
      <c r="A2" s="848"/>
      <c r="B2" s="848"/>
      <c r="C2" s="848"/>
      <c r="D2" s="848"/>
      <c r="E2" s="848"/>
      <c r="F2" s="848"/>
      <c r="G2" s="848"/>
      <c r="H2" s="848"/>
      <c r="I2" s="848"/>
      <c r="J2" s="848"/>
    </row>
    <row r="3" spans="1:35" ht="24" customHeight="1" x14ac:dyDescent="0.35">
      <c r="A3" s="854" t="s">
        <v>124</v>
      </c>
      <c r="B3" s="856" t="s">
        <v>185</v>
      </c>
      <c r="C3" s="857" t="s">
        <v>193</v>
      </c>
      <c r="D3" s="851" t="s">
        <v>194</v>
      </c>
      <c r="E3" s="852"/>
      <c r="F3" s="852"/>
      <c r="G3" s="852"/>
      <c r="H3" s="852"/>
      <c r="I3" s="853"/>
      <c r="J3" s="849" t="s">
        <v>189</v>
      </c>
    </row>
    <row r="4" spans="1:35" ht="40.799999999999997" customHeight="1" x14ac:dyDescent="0.35">
      <c r="A4" s="855"/>
      <c r="B4" s="856"/>
      <c r="C4" s="858"/>
      <c r="D4" s="617" t="s">
        <v>126</v>
      </c>
      <c r="E4" s="617" t="s">
        <v>196</v>
      </c>
      <c r="F4" s="617" t="s">
        <v>191</v>
      </c>
      <c r="G4" s="617" t="s">
        <v>190</v>
      </c>
      <c r="H4" s="617" t="s">
        <v>9</v>
      </c>
      <c r="I4" s="618" t="s">
        <v>188</v>
      </c>
      <c r="J4" s="850"/>
      <c r="K4" s="593" t="s">
        <v>281</v>
      </c>
    </row>
    <row r="5" spans="1:35" s="323" customFormat="1" ht="31.2" customHeight="1" x14ac:dyDescent="0.25">
      <c r="A5" s="537"/>
      <c r="B5" s="619" t="s">
        <v>239</v>
      </c>
      <c r="C5" s="620"/>
      <c r="D5" s="621"/>
      <c r="E5" s="622"/>
      <c r="F5" s="620">
        <v>0</v>
      </c>
      <c r="G5" s="623"/>
      <c r="H5" s="620"/>
      <c r="I5" s="624"/>
      <c r="J5" s="625"/>
      <c r="K5" s="594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41.4" customHeight="1" outlineLevel="1" x14ac:dyDescent="0.25">
      <c r="A6" s="586"/>
      <c r="B6" s="626" t="s">
        <v>210</v>
      </c>
      <c r="C6" s="627"/>
      <c r="D6" s="628" t="s">
        <v>278</v>
      </c>
      <c r="E6" s="629">
        <v>12324.5</v>
      </c>
      <c r="F6" s="630">
        <v>5635.7519999999995</v>
      </c>
      <c r="G6" s="631">
        <f>E6-F6</f>
        <v>6688.7480000000005</v>
      </c>
      <c r="H6" s="632"/>
      <c r="I6" s="633"/>
      <c r="J6" s="634" t="s">
        <v>283</v>
      </c>
      <c r="K6" s="594">
        <f>E6</f>
        <v>12324.5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46.8" customHeight="1" outlineLevel="1" x14ac:dyDescent="0.25">
      <c r="A7" s="537"/>
      <c r="B7" s="838" t="s">
        <v>211</v>
      </c>
      <c r="C7" s="839"/>
      <c r="D7" s="621" t="s">
        <v>258</v>
      </c>
      <c r="E7" s="622">
        <v>270698.92</v>
      </c>
      <c r="F7" s="620">
        <v>9303.3959999999988</v>
      </c>
      <c r="G7" s="635">
        <f t="shared" ref="G7:G109" si="0">E7-F7</f>
        <v>261395.52399999998</v>
      </c>
      <c r="H7" s="611"/>
      <c r="I7" s="636"/>
      <c r="J7" s="835" t="s">
        <v>283</v>
      </c>
      <c r="K7" s="847">
        <f>E7+E8</f>
        <v>1149199.28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6.8" customHeight="1" outlineLevel="1" x14ac:dyDescent="0.25">
      <c r="A8" s="537"/>
      <c r="B8" s="840"/>
      <c r="C8" s="841"/>
      <c r="D8" s="621" t="s">
        <v>279</v>
      </c>
      <c r="E8" s="622">
        <v>878500.36</v>
      </c>
      <c r="F8" s="620">
        <v>297661.7</v>
      </c>
      <c r="G8" s="635">
        <f t="shared" si="0"/>
        <v>580838.65999999992</v>
      </c>
      <c r="H8" s="611"/>
      <c r="I8" s="624"/>
      <c r="J8" s="836"/>
      <c r="K8" s="847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07" customFormat="1" ht="46.8" customHeight="1" outlineLevel="1" x14ac:dyDescent="0.25">
      <c r="A9" s="589"/>
      <c r="B9" s="840"/>
      <c r="C9" s="841"/>
      <c r="D9" s="637" t="s">
        <v>329</v>
      </c>
      <c r="E9" s="638">
        <v>633942.19999999995</v>
      </c>
      <c r="F9" s="639">
        <v>356081.38799999998</v>
      </c>
      <c r="G9" s="635">
        <f>E9-F9</f>
        <v>277860.81199999998</v>
      </c>
      <c r="H9" s="613"/>
      <c r="I9" s="640"/>
      <c r="J9" s="837"/>
      <c r="K9" s="612"/>
    </row>
    <row r="10" spans="1:35" s="307" customFormat="1" ht="46.8" customHeight="1" outlineLevel="1" x14ac:dyDescent="0.25">
      <c r="A10" s="589"/>
      <c r="B10" s="842"/>
      <c r="C10" s="843"/>
      <c r="D10" s="637" t="s">
        <v>382</v>
      </c>
      <c r="E10" s="638">
        <v>451253.94</v>
      </c>
      <c r="F10" s="639">
        <f>1612.4*1.2</f>
        <v>1934.88</v>
      </c>
      <c r="G10" s="635">
        <f>E10-F10</f>
        <v>449319.06</v>
      </c>
      <c r="H10" s="613" t="s">
        <v>388</v>
      </c>
      <c r="I10" s="640"/>
      <c r="J10" s="707"/>
      <c r="K10" s="612"/>
    </row>
    <row r="11" spans="1:35" s="323" customFormat="1" ht="53.4" customHeight="1" outlineLevel="1" x14ac:dyDescent="0.25">
      <c r="A11" s="586"/>
      <c r="B11" s="626" t="s">
        <v>212</v>
      </c>
      <c r="C11" s="630"/>
      <c r="D11" s="641" t="s">
        <v>259</v>
      </c>
      <c r="E11" s="642">
        <v>1410108.04</v>
      </c>
      <c r="F11" s="630">
        <v>1203914.892</v>
      </c>
      <c r="G11" s="631">
        <f t="shared" si="0"/>
        <v>206193.14800000004</v>
      </c>
      <c r="H11" s="607"/>
      <c r="I11" s="633"/>
      <c r="J11" s="627" t="s">
        <v>283</v>
      </c>
      <c r="K11" s="594">
        <f>E11</f>
        <v>1410108.04</v>
      </c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40.200000000000003" customHeight="1" outlineLevel="1" x14ac:dyDescent="0.25">
      <c r="A12" s="537"/>
      <c r="B12" s="838" t="s">
        <v>213</v>
      </c>
      <c r="C12" s="839"/>
      <c r="D12" s="643" t="s">
        <v>260</v>
      </c>
      <c r="E12" s="644">
        <v>24870.04</v>
      </c>
      <c r="F12" s="620">
        <v>10154.412</v>
      </c>
      <c r="G12" s="635">
        <f t="shared" si="0"/>
        <v>14715.628000000001</v>
      </c>
      <c r="H12" s="611"/>
      <c r="I12" s="624"/>
      <c r="J12" s="835" t="s">
        <v>284</v>
      </c>
      <c r="K12" s="847">
        <f>E12+E13</f>
        <v>84548.68</v>
      </c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40.200000000000003" customHeight="1" outlineLevel="1" x14ac:dyDescent="0.25">
      <c r="A13" s="537"/>
      <c r="B13" s="842"/>
      <c r="C13" s="843"/>
      <c r="D13" s="643" t="s">
        <v>280</v>
      </c>
      <c r="E13" s="644">
        <v>59678.64</v>
      </c>
      <c r="F13" s="620">
        <f>9434.59*1.2</f>
        <v>11321.508</v>
      </c>
      <c r="G13" s="635">
        <f t="shared" si="0"/>
        <v>48357.131999999998</v>
      </c>
      <c r="H13" s="611"/>
      <c r="I13" s="624"/>
      <c r="J13" s="837"/>
      <c r="K13" s="847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34.200000000000003" customHeight="1" outlineLevel="1" x14ac:dyDescent="0.25">
      <c r="A14" s="586"/>
      <c r="B14" s="798" t="s">
        <v>214</v>
      </c>
      <c r="C14" s="799"/>
      <c r="D14" s="641" t="s">
        <v>261</v>
      </c>
      <c r="E14" s="642">
        <v>3500757.3840000001</v>
      </c>
      <c r="F14" s="630">
        <v>204032.856</v>
      </c>
      <c r="G14" s="631">
        <f t="shared" si="0"/>
        <v>3296724.5279999999</v>
      </c>
      <c r="H14" s="607"/>
      <c r="I14" s="645"/>
      <c r="J14" s="814" t="s">
        <v>283</v>
      </c>
      <c r="K14" s="594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34.200000000000003" customHeight="1" outlineLevel="1" x14ac:dyDescent="0.25">
      <c r="A15" s="586"/>
      <c r="B15" s="800"/>
      <c r="C15" s="801"/>
      <c r="D15" s="641" t="s">
        <v>311</v>
      </c>
      <c r="E15" s="642">
        <v>529231.07999999996</v>
      </c>
      <c r="F15" s="630"/>
      <c r="G15" s="631">
        <f t="shared" si="0"/>
        <v>529231.07999999996</v>
      </c>
      <c r="H15" s="607"/>
      <c r="I15" s="633"/>
      <c r="J15" s="815"/>
      <c r="K15" s="594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34.200000000000003" customHeight="1" outlineLevel="1" x14ac:dyDescent="0.25">
      <c r="A16" s="586"/>
      <c r="B16" s="802"/>
      <c r="C16" s="803"/>
      <c r="D16" s="641" t="s">
        <v>362</v>
      </c>
      <c r="E16" s="642">
        <v>164217.67000000001</v>
      </c>
      <c r="F16" s="630"/>
      <c r="G16" s="631">
        <f t="shared" si="0"/>
        <v>164217.67000000001</v>
      </c>
      <c r="H16" s="607"/>
      <c r="I16" s="633"/>
      <c r="J16" s="816"/>
      <c r="K16" s="594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23" customFormat="1" ht="44.4" customHeight="1" outlineLevel="1" x14ac:dyDescent="0.25">
      <c r="A17" s="537"/>
      <c r="B17" s="838" t="s">
        <v>215</v>
      </c>
      <c r="C17" s="839"/>
      <c r="D17" s="621" t="s">
        <v>262</v>
      </c>
      <c r="E17" s="622">
        <v>124618.82</v>
      </c>
      <c r="F17" s="620">
        <v>120493.224</v>
      </c>
      <c r="G17" s="635">
        <f t="shared" si="0"/>
        <v>4125.596000000005</v>
      </c>
      <c r="H17" s="611"/>
      <c r="I17" s="624"/>
      <c r="J17" s="795" t="s">
        <v>283</v>
      </c>
      <c r="K17" s="847">
        <f>E17+E18</f>
        <v>159521.14000000001</v>
      </c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23" customFormat="1" ht="44.4" customHeight="1" outlineLevel="1" x14ac:dyDescent="0.25">
      <c r="A18" s="537"/>
      <c r="B18" s="842"/>
      <c r="C18" s="843"/>
      <c r="D18" s="621" t="s">
        <v>282</v>
      </c>
      <c r="E18" s="644">
        <v>34902.32</v>
      </c>
      <c r="F18" s="620">
        <f>1167.21*1.2</f>
        <v>1400.652</v>
      </c>
      <c r="G18" s="635">
        <f t="shared" si="0"/>
        <v>33501.667999999998</v>
      </c>
      <c r="H18" s="611"/>
      <c r="I18" s="624"/>
      <c r="J18" s="797"/>
      <c r="K18" s="847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23" customFormat="1" ht="43.8" customHeight="1" outlineLevel="1" x14ac:dyDescent="0.25">
      <c r="A19" s="586"/>
      <c r="B19" s="798" t="s">
        <v>216</v>
      </c>
      <c r="C19" s="799"/>
      <c r="D19" s="628" t="s">
        <v>347</v>
      </c>
      <c r="E19" s="629">
        <v>398311.36</v>
      </c>
      <c r="F19" s="630">
        <v>9771.5759999999991</v>
      </c>
      <c r="G19" s="631">
        <f>E19-F19</f>
        <v>388539.78399999999</v>
      </c>
      <c r="H19" s="632"/>
      <c r="I19" s="633"/>
      <c r="J19" s="814" t="s">
        <v>283</v>
      </c>
      <c r="K19" s="594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23" customFormat="1" ht="43.8" customHeight="1" outlineLevel="1" x14ac:dyDescent="0.25">
      <c r="A20" s="586"/>
      <c r="B20" s="802"/>
      <c r="C20" s="803"/>
      <c r="D20" s="628" t="s">
        <v>360</v>
      </c>
      <c r="E20" s="629">
        <v>325074.25</v>
      </c>
      <c r="F20" s="630">
        <v>37459.800000000003</v>
      </c>
      <c r="G20" s="631">
        <f>E20-F20</f>
        <v>287614.45</v>
      </c>
      <c r="H20" s="632"/>
      <c r="I20" s="633"/>
      <c r="J20" s="816"/>
      <c r="K20" s="59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07" customFormat="1" ht="35.4" customHeight="1" outlineLevel="1" x14ac:dyDescent="0.25">
      <c r="A21" s="589"/>
      <c r="B21" s="823" t="s">
        <v>217</v>
      </c>
      <c r="C21" s="824"/>
      <c r="D21" s="637" t="s">
        <v>312</v>
      </c>
      <c r="E21" s="638">
        <v>342716.66</v>
      </c>
      <c r="F21" s="639">
        <f>173751.78*1.2</f>
        <v>208502.136</v>
      </c>
      <c r="G21" s="635">
        <f t="shared" si="0"/>
        <v>134214.52399999998</v>
      </c>
      <c r="H21" s="613"/>
      <c r="I21" s="646"/>
      <c r="J21" s="804" t="s">
        <v>283</v>
      </c>
      <c r="K21" s="596"/>
    </row>
    <row r="22" spans="1:35" s="307" customFormat="1" ht="35.4" customHeight="1" outlineLevel="1" x14ac:dyDescent="0.25">
      <c r="A22" s="589"/>
      <c r="B22" s="827"/>
      <c r="C22" s="828"/>
      <c r="D22" s="637" t="s">
        <v>316</v>
      </c>
      <c r="E22" s="638">
        <v>153264.70000000001</v>
      </c>
      <c r="F22" s="639">
        <f>103692.08*1.2</f>
        <v>124430.496</v>
      </c>
      <c r="G22" s="635">
        <f t="shared" si="0"/>
        <v>28834.204000000012</v>
      </c>
      <c r="H22" s="613"/>
      <c r="I22" s="647"/>
      <c r="J22" s="806"/>
      <c r="K22" s="596"/>
    </row>
    <row r="23" spans="1:35" s="323" customFormat="1" ht="31.2" customHeight="1" outlineLevel="1" x14ac:dyDescent="0.25">
      <c r="A23" s="586"/>
      <c r="B23" s="817" t="s">
        <v>218</v>
      </c>
      <c r="C23" s="818"/>
      <c r="D23" s="641" t="s">
        <v>285</v>
      </c>
      <c r="E23" s="642">
        <v>718425.36</v>
      </c>
      <c r="F23" s="630">
        <f>217956.39*1.2</f>
        <v>261547.66800000001</v>
      </c>
      <c r="G23" s="631">
        <f t="shared" si="0"/>
        <v>456877.69199999998</v>
      </c>
      <c r="H23" s="632"/>
      <c r="I23" s="633"/>
      <c r="J23" s="792"/>
      <c r="K23" s="59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31.2" customHeight="1" outlineLevel="1" x14ac:dyDescent="0.25">
      <c r="A24" s="586"/>
      <c r="B24" s="819"/>
      <c r="C24" s="820"/>
      <c r="D24" s="641" t="s">
        <v>313</v>
      </c>
      <c r="E24" s="629">
        <v>1241598.96</v>
      </c>
      <c r="F24" s="630">
        <f>687539.28*1.2</f>
        <v>825047.13600000006</v>
      </c>
      <c r="G24" s="631">
        <f t="shared" si="0"/>
        <v>416551.82399999991</v>
      </c>
      <c r="H24" s="632"/>
      <c r="I24" s="633"/>
      <c r="J24" s="793"/>
      <c r="K24" s="59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3" customFormat="1" ht="31.2" customHeight="1" outlineLevel="1" x14ac:dyDescent="0.25">
      <c r="A25" s="586"/>
      <c r="B25" s="819"/>
      <c r="C25" s="820"/>
      <c r="D25" s="641" t="s">
        <v>317</v>
      </c>
      <c r="E25" s="629">
        <v>29198.560000000001</v>
      </c>
      <c r="F25" s="630"/>
      <c r="G25" s="631">
        <f t="shared" si="0"/>
        <v>29198.560000000001</v>
      </c>
      <c r="H25" s="632"/>
      <c r="I25" s="648"/>
      <c r="J25" s="793"/>
      <c r="K25" s="59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</row>
    <row r="26" spans="1:35" s="323" customFormat="1" ht="31.2" customHeight="1" outlineLevel="1" x14ac:dyDescent="0.25">
      <c r="A26" s="586"/>
      <c r="B26" s="819"/>
      <c r="C26" s="820"/>
      <c r="D26" s="641" t="s">
        <v>348</v>
      </c>
      <c r="E26" s="629">
        <v>94069.87</v>
      </c>
      <c r="F26" s="630">
        <v>74841.923999999999</v>
      </c>
      <c r="G26" s="631">
        <f t="shared" si="0"/>
        <v>19227.945999999996</v>
      </c>
      <c r="H26" s="632"/>
      <c r="I26" s="648"/>
      <c r="J26" s="793"/>
      <c r="K26" s="59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</row>
    <row r="27" spans="1:35" s="323" customFormat="1" ht="33" customHeight="1" outlineLevel="1" x14ac:dyDescent="0.25">
      <c r="A27" s="586"/>
      <c r="B27" s="819"/>
      <c r="C27" s="820"/>
      <c r="D27" s="641" t="s">
        <v>361</v>
      </c>
      <c r="E27" s="629">
        <v>1846546.36</v>
      </c>
      <c r="F27" s="630">
        <v>1397310</v>
      </c>
      <c r="G27" s="631">
        <f>E27-F27</f>
        <v>449236.3600000001</v>
      </c>
      <c r="H27" s="632"/>
      <c r="I27" s="648"/>
      <c r="J27" s="793"/>
      <c r="K27" s="59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</row>
    <row r="28" spans="1:35" s="323" customFormat="1" ht="33" customHeight="1" outlineLevel="1" x14ac:dyDescent="0.25">
      <c r="A28" s="586"/>
      <c r="B28" s="819"/>
      <c r="C28" s="820"/>
      <c r="D28" s="641" t="s">
        <v>363</v>
      </c>
      <c r="E28" s="629">
        <v>655585.96</v>
      </c>
      <c r="F28" s="630">
        <f>342784.28*1.2</f>
        <v>411341.136</v>
      </c>
      <c r="G28" s="631">
        <f>E28-F28</f>
        <v>244244.82399999996</v>
      </c>
      <c r="H28" s="632"/>
      <c r="I28" s="648"/>
      <c r="J28" s="794"/>
      <c r="K28" s="59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23" customFormat="1" ht="33" customHeight="1" outlineLevel="1" x14ac:dyDescent="0.25">
      <c r="A29" s="586"/>
      <c r="B29" s="819"/>
      <c r="C29" s="820"/>
      <c r="D29" s="641" t="s">
        <v>372</v>
      </c>
      <c r="E29" s="629">
        <v>106612.76</v>
      </c>
      <c r="F29" s="630">
        <v>85840.79</v>
      </c>
      <c r="G29" s="631">
        <f>E29-F29</f>
        <v>20771.97</v>
      </c>
      <c r="H29" s="632"/>
      <c r="I29" s="648"/>
      <c r="J29" s="689"/>
      <c r="K29" s="59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</row>
    <row r="30" spans="1:35" s="323" customFormat="1" ht="33" customHeight="1" outlineLevel="1" x14ac:dyDescent="0.25">
      <c r="A30" s="586"/>
      <c r="B30" s="821"/>
      <c r="C30" s="822"/>
      <c r="D30" s="641" t="s">
        <v>383</v>
      </c>
      <c r="E30" s="629">
        <v>303289.33</v>
      </c>
      <c r="F30" s="630">
        <f>54549.55*1.2</f>
        <v>65459.46</v>
      </c>
      <c r="G30" s="631">
        <f>E30-F30</f>
        <v>237829.87000000002</v>
      </c>
      <c r="H30" s="632" t="s">
        <v>388</v>
      </c>
      <c r="I30" s="648"/>
      <c r="J30" s="705"/>
      <c r="K30" s="59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</row>
    <row r="31" spans="1:35" s="307" customFormat="1" ht="37.200000000000003" customHeight="1" outlineLevel="1" x14ac:dyDescent="0.25">
      <c r="A31" s="589"/>
      <c r="B31" s="823" t="s">
        <v>219</v>
      </c>
      <c r="C31" s="824"/>
      <c r="D31" s="650" t="s">
        <v>286</v>
      </c>
      <c r="E31" s="651">
        <v>383834.03</v>
      </c>
      <c r="F31" s="639">
        <f>53776.66*1.2</f>
        <v>64531.991999999998</v>
      </c>
      <c r="G31" s="590">
        <f t="shared" si="0"/>
        <v>319302.03800000006</v>
      </c>
      <c r="H31" s="652"/>
      <c r="I31" s="640"/>
      <c r="J31" s="804" t="s">
        <v>283</v>
      </c>
      <c r="K31" s="596">
        <f>E31</f>
        <v>383834.03</v>
      </c>
    </row>
    <row r="32" spans="1:35" s="307" customFormat="1" ht="37.200000000000003" customHeight="1" outlineLevel="1" x14ac:dyDescent="0.25">
      <c r="A32" s="589"/>
      <c r="B32" s="825"/>
      <c r="C32" s="826"/>
      <c r="D32" s="650" t="s">
        <v>349</v>
      </c>
      <c r="E32" s="651">
        <v>534342.43999999994</v>
      </c>
      <c r="F32" s="639">
        <v>143822.12400000001</v>
      </c>
      <c r="G32" s="590">
        <f>E32-F32</f>
        <v>390520.31599999993</v>
      </c>
      <c r="H32" s="652"/>
      <c r="I32" s="640"/>
      <c r="J32" s="806"/>
      <c r="K32" s="596"/>
    </row>
    <row r="33" spans="1:35" s="307" customFormat="1" ht="37.200000000000003" customHeight="1" outlineLevel="1" x14ac:dyDescent="0.25">
      <c r="A33" s="589"/>
      <c r="B33" s="827"/>
      <c r="C33" s="828"/>
      <c r="D33" s="650" t="s">
        <v>384</v>
      </c>
      <c r="E33" s="651">
        <v>4845.04</v>
      </c>
      <c r="F33" s="639">
        <f>2431.92*1.2</f>
        <v>2918.3040000000001</v>
      </c>
      <c r="G33" s="590">
        <f>E33-F33</f>
        <v>1926.7359999999999</v>
      </c>
      <c r="H33" s="652" t="s">
        <v>388</v>
      </c>
      <c r="I33" s="640"/>
      <c r="J33" s="706"/>
      <c r="K33" s="596"/>
    </row>
    <row r="34" spans="1:35" s="682" customFormat="1" ht="29.4" customHeight="1" outlineLevel="1" x14ac:dyDescent="0.25">
      <c r="A34" s="586"/>
      <c r="B34" s="829" t="s">
        <v>220</v>
      </c>
      <c r="C34" s="830"/>
      <c r="D34" s="591" t="s">
        <v>287</v>
      </c>
      <c r="E34" s="592">
        <v>611563.93000000005</v>
      </c>
      <c r="F34" s="587">
        <f>142784.19*1.2</f>
        <v>171341.02799999999</v>
      </c>
      <c r="G34" s="588">
        <f t="shared" si="0"/>
        <v>440222.90200000006</v>
      </c>
      <c r="H34" s="606"/>
      <c r="I34" s="679"/>
      <c r="J34" s="811" t="s">
        <v>283</v>
      </c>
      <c r="K34" s="681"/>
    </row>
    <row r="35" spans="1:35" s="682" customFormat="1" ht="29.4" customHeight="1" outlineLevel="1" x14ac:dyDescent="0.25">
      <c r="A35" s="586"/>
      <c r="B35" s="831"/>
      <c r="C35" s="832"/>
      <c r="D35" s="591" t="s">
        <v>314</v>
      </c>
      <c r="E35" s="592">
        <v>258127.72</v>
      </c>
      <c r="F35" s="587">
        <f>20576.74*1.2</f>
        <v>24692.088</v>
      </c>
      <c r="G35" s="588">
        <f t="shared" si="0"/>
        <v>233435.63200000001</v>
      </c>
      <c r="H35" s="606"/>
      <c r="I35" s="680"/>
      <c r="J35" s="812"/>
      <c r="K35" s="681"/>
    </row>
    <row r="36" spans="1:35" s="682" customFormat="1" ht="29.4" customHeight="1" outlineLevel="1" x14ac:dyDescent="0.25">
      <c r="A36" s="586"/>
      <c r="B36" s="833"/>
      <c r="C36" s="834"/>
      <c r="D36" s="591" t="s">
        <v>340</v>
      </c>
      <c r="E36" s="592">
        <v>37302.28</v>
      </c>
      <c r="F36" s="587">
        <f>25381.31*1.2</f>
        <v>30457.572</v>
      </c>
      <c r="G36" s="588">
        <f>E36-F36</f>
        <v>6844.7079999999987</v>
      </c>
      <c r="H36" s="606"/>
      <c r="I36" s="680"/>
      <c r="J36" s="813"/>
      <c r="K36" s="681"/>
    </row>
    <row r="37" spans="1:35" s="307" customFormat="1" ht="35.4" customHeight="1" outlineLevel="1" x14ac:dyDescent="0.25">
      <c r="A37" s="589"/>
      <c r="B37" s="823" t="s">
        <v>221</v>
      </c>
      <c r="C37" s="824"/>
      <c r="D37" s="637" t="s">
        <v>288</v>
      </c>
      <c r="E37" s="638">
        <v>86531.94</v>
      </c>
      <c r="F37" s="639">
        <f>52775*1.2</f>
        <v>63330</v>
      </c>
      <c r="G37" s="635">
        <f t="shared" si="0"/>
        <v>23201.940000000002</v>
      </c>
      <c r="H37" s="652"/>
      <c r="I37" s="614"/>
      <c r="J37" s="844" t="s">
        <v>283</v>
      </c>
      <c r="K37" s="596"/>
    </row>
    <row r="38" spans="1:35" s="307" customFormat="1" ht="35.4" customHeight="1" outlineLevel="1" x14ac:dyDescent="0.25">
      <c r="A38" s="589"/>
      <c r="B38" s="825"/>
      <c r="C38" s="826"/>
      <c r="D38" s="637" t="s">
        <v>350</v>
      </c>
      <c r="E38" s="651">
        <v>368527.66</v>
      </c>
      <c r="F38" s="639">
        <v>249730.068</v>
      </c>
      <c r="G38" s="635">
        <f>E38-F38</f>
        <v>118797.59199999998</v>
      </c>
      <c r="H38" s="652"/>
      <c r="I38" s="614"/>
      <c r="J38" s="845"/>
      <c r="K38" s="596"/>
    </row>
    <row r="39" spans="1:35" s="307" customFormat="1" ht="35.4" customHeight="1" outlineLevel="1" x14ac:dyDescent="0.25">
      <c r="A39" s="589"/>
      <c r="B39" s="825"/>
      <c r="C39" s="826"/>
      <c r="D39" s="637" t="s">
        <v>364</v>
      </c>
      <c r="E39" s="651">
        <v>77060.929999999993</v>
      </c>
      <c r="F39" s="639">
        <f>33242.18*1.2</f>
        <v>39890.616000000002</v>
      </c>
      <c r="G39" s="635">
        <f>E39-F39</f>
        <v>37170.313999999991</v>
      </c>
      <c r="H39" s="652"/>
      <c r="I39" s="614"/>
      <c r="J39" s="846"/>
      <c r="K39" s="596"/>
    </row>
    <row r="40" spans="1:35" s="307" customFormat="1" ht="35.4" customHeight="1" outlineLevel="1" x14ac:dyDescent="0.25">
      <c r="A40" s="589"/>
      <c r="B40" s="827"/>
      <c r="C40" s="828"/>
      <c r="D40" s="637" t="s">
        <v>385</v>
      </c>
      <c r="E40" s="651">
        <v>231879.02</v>
      </c>
      <c r="F40" s="639">
        <f>64512.12*1.2</f>
        <v>77414.543999999994</v>
      </c>
      <c r="G40" s="635">
        <f>E40-F40</f>
        <v>154464.476</v>
      </c>
      <c r="H40" s="652" t="s">
        <v>388</v>
      </c>
      <c r="I40" s="614"/>
      <c r="J40" s="708"/>
      <c r="K40" s="596"/>
    </row>
    <row r="41" spans="1:35" s="323" customFormat="1" ht="44.4" customHeight="1" outlineLevel="1" x14ac:dyDescent="0.25">
      <c r="A41" s="586"/>
      <c r="B41" s="798" t="s">
        <v>222</v>
      </c>
      <c r="C41" s="799"/>
      <c r="D41" s="628" t="s">
        <v>53</v>
      </c>
      <c r="E41" s="629">
        <v>783940.68</v>
      </c>
      <c r="F41" s="630">
        <v>407415</v>
      </c>
      <c r="G41" s="631">
        <f t="shared" si="0"/>
        <v>376525.68000000005</v>
      </c>
      <c r="H41" s="632"/>
      <c r="I41" s="633"/>
      <c r="J41" s="814" t="s">
        <v>283</v>
      </c>
      <c r="K41" s="59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</row>
    <row r="42" spans="1:35" s="323" customFormat="1" ht="44.4" customHeight="1" outlineLevel="1" x14ac:dyDescent="0.25">
      <c r="A42" s="586"/>
      <c r="B42" s="800"/>
      <c r="C42" s="801"/>
      <c r="D42" s="628" t="s">
        <v>263</v>
      </c>
      <c r="E42" s="629">
        <v>199344.06</v>
      </c>
      <c r="F42" s="630">
        <v>198485.65199999997</v>
      </c>
      <c r="G42" s="631">
        <f t="shared" si="0"/>
        <v>858.40800000002491</v>
      </c>
      <c r="H42" s="632"/>
      <c r="I42" s="633"/>
      <c r="J42" s="815"/>
      <c r="K42" s="59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</row>
    <row r="43" spans="1:35" s="323" customFormat="1" ht="44.4" customHeight="1" outlineLevel="1" x14ac:dyDescent="0.25">
      <c r="A43" s="586"/>
      <c r="B43" s="802"/>
      <c r="C43" s="803"/>
      <c r="D43" s="628" t="s">
        <v>365</v>
      </c>
      <c r="E43" s="629">
        <v>601427.88</v>
      </c>
      <c r="F43" s="630">
        <f>188119.99*1.2</f>
        <v>225743.98799999998</v>
      </c>
      <c r="G43" s="631">
        <f>E43-F43</f>
        <v>375683.89199999999</v>
      </c>
      <c r="H43" s="632"/>
      <c r="I43" s="633"/>
      <c r="J43" s="816"/>
      <c r="K43" s="59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</row>
    <row r="44" spans="1:35" s="307" customFormat="1" ht="34.200000000000003" customHeight="1" outlineLevel="1" x14ac:dyDescent="0.25">
      <c r="A44" s="589"/>
      <c r="B44" s="664" t="s">
        <v>223</v>
      </c>
      <c r="C44" s="639"/>
      <c r="D44" s="637" t="s">
        <v>373</v>
      </c>
      <c r="E44" s="638">
        <v>255358.87</v>
      </c>
      <c r="F44" s="639">
        <f>E44</f>
        <v>255358.87</v>
      </c>
      <c r="G44" s="635">
        <f>E44-F44</f>
        <v>0</v>
      </c>
      <c r="H44" s="613"/>
      <c r="I44" s="646"/>
      <c r="J44" s="691"/>
      <c r="K44" s="596"/>
    </row>
    <row r="45" spans="1:35" s="323" customFormat="1" ht="43.8" customHeight="1" outlineLevel="1" x14ac:dyDescent="0.25">
      <c r="A45" s="586"/>
      <c r="B45" s="798" t="s">
        <v>224</v>
      </c>
      <c r="C45" s="799"/>
      <c r="D45" s="641" t="s">
        <v>264</v>
      </c>
      <c r="E45" s="642">
        <v>178566.07</v>
      </c>
      <c r="F45" s="630">
        <v>178566.07199999999</v>
      </c>
      <c r="G45" s="631">
        <f>E45-F45</f>
        <v>-1.9999999785795808E-3</v>
      </c>
      <c r="H45" s="632"/>
      <c r="I45" s="633"/>
      <c r="J45" s="792" t="s">
        <v>283</v>
      </c>
      <c r="K45" s="594">
        <f>E45+E46</f>
        <v>215759.07</v>
      </c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</row>
    <row r="46" spans="1:35" s="323" customFormat="1" ht="43.8" customHeight="1" outlineLevel="1" x14ac:dyDescent="0.25">
      <c r="A46" s="586"/>
      <c r="B46" s="802"/>
      <c r="C46" s="803"/>
      <c r="D46" s="641" t="s">
        <v>289</v>
      </c>
      <c r="E46" s="629">
        <v>37193</v>
      </c>
      <c r="F46" s="630">
        <f>2050.98*1.2</f>
        <v>2461.1759999999999</v>
      </c>
      <c r="G46" s="631">
        <f t="shared" si="0"/>
        <v>34731.824000000001</v>
      </c>
      <c r="H46" s="632"/>
      <c r="I46" s="633"/>
      <c r="J46" s="794"/>
      <c r="K46" s="59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</row>
    <row r="47" spans="1:35" s="323" customFormat="1" ht="46.8" customHeight="1" x14ac:dyDescent="0.25">
      <c r="A47" s="537"/>
      <c r="B47" s="619" t="s">
        <v>240</v>
      </c>
      <c r="C47" s="625"/>
      <c r="D47" s="643"/>
      <c r="E47" s="644"/>
      <c r="F47" s="620">
        <v>0</v>
      </c>
      <c r="G47" s="635">
        <f t="shared" si="0"/>
        <v>0</v>
      </c>
      <c r="H47" s="656"/>
      <c r="I47" s="624"/>
      <c r="J47" s="657"/>
      <c r="K47" s="59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</row>
    <row r="48" spans="1:35" s="323" customFormat="1" ht="49.2" customHeight="1" x14ac:dyDescent="0.25">
      <c r="A48" s="586"/>
      <c r="B48" s="798" t="s">
        <v>225</v>
      </c>
      <c r="C48" s="799"/>
      <c r="D48" s="641" t="s">
        <v>53</v>
      </c>
      <c r="E48" s="642">
        <v>61034</v>
      </c>
      <c r="F48" s="630">
        <v>30763.7</v>
      </c>
      <c r="G48" s="631">
        <f t="shared" si="0"/>
        <v>30270.3</v>
      </c>
      <c r="H48" s="607"/>
      <c r="I48" s="645"/>
      <c r="J48" s="814" t="s">
        <v>283</v>
      </c>
      <c r="K48" s="594">
        <f>E48+E49+E50</f>
        <v>316265.55</v>
      </c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</row>
    <row r="49" spans="1:35" s="323" customFormat="1" ht="49.2" customHeight="1" x14ac:dyDescent="0.25">
      <c r="A49" s="586"/>
      <c r="B49" s="800"/>
      <c r="C49" s="801"/>
      <c r="D49" s="641" t="s">
        <v>265</v>
      </c>
      <c r="E49" s="642">
        <v>23226</v>
      </c>
      <c r="F49" s="630">
        <v>11699.651999999998</v>
      </c>
      <c r="G49" s="631">
        <f t="shared" si="0"/>
        <v>11526.348000000002</v>
      </c>
      <c r="H49" s="607"/>
      <c r="I49" s="633"/>
      <c r="J49" s="815"/>
      <c r="K49" s="59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</row>
    <row r="50" spans="1:35" s="323" customFormat="1" ht="49.2" customHeight="1" x14ac:dyDescent="0.25">
      <c r="A50" s="586"/>
      <c r="B50" s="802"/>
      <c r="C50" s="803"/>
      <c r="D50" s="641" t="s">
        <v>290</v>
      </c>
      <c r="E50" s="642">
        <v>232005.55</v>
      </c>
      <c r="F50" s="630">
        <f>122858.62*1.2</f>
        <v>147430.34399999998</v>
      </c>
      <c r="G50" s="631">
        <f t="shared" si="0"/>
        <v>84575.206000000006</v>
      </c>
      <c r="H50" s="607"/>
      <c r="I50" s="633"/>
      <c r="J50" s="816"/>
      <c r="K50" s="59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</row>
    <row r="51" spans="1:35" s="323" customFormat="1" ht="34.200000000000003" customHeight="1" x14ac:dyDescent="0.25">
      <c r="A51" s="537"/>
      <c r="B51" s="619" t="s">
        <v>241</v>
      </c>
      <c r="C51" s="620"/>
      <c r="D51" s="621"/>
      <c r="E51" s="622"/>
      <c r="F51" s="620">
        <v>0</v>
      </c>
      <c r="G51" s="635">
        <f t="shared" si="0"/>
        <v>0</v>
      </c>
      <c r="H51" s="656"/>
      <c r="I51" s="624"/>
      <c r="J51" s="625"/>
      <c r="K51" s="59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</row>
    <row r="52" spans="1:35" s="323" customFormat="1" ht="39" customHeight="1" x14ac:dyDescent="0.25">
      <c r="A52" s="586"/>
      <c r="B52" s="798" t="s">
        <v>226</v>
      </c>
      <c r="C52" s="799"/>
      <c r="D52" s="628" t="s">
        <v>291</v>
      </c>
      <c r="E52" s="629">
        <v>7303.6</v>
      </c>
      <c r="F52" s="630">
        <f>820.38*1.2</f>
        <v>984.4559999999999</v>
      </c>
      <c r="G52" s="631">
        <f t="shared" si="0"/>
        <v>6319.1440000000002</v>
      </c>
      <c r="H52" s="632"/>
      <c r="I52" s="633"/>
      <c r="J52" s="814" t="s">
        <v>283</v>
      </c>
      <c r="K52" s="59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</row>
    <row r="53" spans="1:35" s="323" customFormat="1" ht="39" customHeight="1" x14ac:dyDescent="0.25">
      <c r="A53" s="586"/>
      <c r="B53" s="800"/>
      <c r="C53" s="801"/>
      <c r="D53" s="628" t="s">
        <v>315</v>
      </c>
      <c r="E53" s="629">
        <v>14157.94</v>
      </c>
      <c r="F53" s="630">
        <f>9255.65*1.2</f>
        <v>11106.779999999999</v>
      </c>
      <c r="G53" s="631">
        <f t="shared" si="0"/>
        <v>3051.1600000000017</v>
      </c>
      <c r="H53" s="632"/>
      <c r="I53" s="633"/>
      <c r="J53" s="815"/>
      <c r="K53" s="59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</row>
    <row r="54" spans="1:35" s="323" customFormat="1" ht="39" customHeight="1" x14ac:dyDescent="0.25">
      <c r="A54" s="586"/>
      <c r="B54" s="802"/>
      <c r="C54" s="803"/>
      <c r="D54" s="628" t="s">
        <v>351</v>
      </c>
      <c r="E54" s="629">
        <v>29337.119999999999</v>
      </c>
      <c r="F54" s="630">
        <v>20271.096000000001</v>
      </c>
      <c r="G54" s="631">
        <f>E54-F54</f>
        <v>9066.0239999999976</v>
      </c>
      <c r="H54" s="632"/>
      <c r="I54" s="633"/>
      <c r="J54" s="816"/>
      <c r="K54" s="594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</row>
    <row r="55" spans="1:35" s="323" customFormat="1" ht="33.6" customHeight="1" x14ac:dyDescent="0.25">
      <c r="A55" s="537"/>
      <c r="B55" s="658" t="s">
        <v>227</v>
      </c>
      <c r="C55" s="620"/>
      <c r="D55" s="621"/>
      <c r="E55" s="622"/>
      <c r="F55" s="620" t="s">
        <v>153</v>
      </c>
      <c r="G55" s="635"/>
      <c r="H55" s="611"/>
      <c r="I55" s="636"/>
      <c r="J55" s="655"/>
      <c r="K55" s="594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</row>
    <row r="56" spans="1:35" s="323" customFormat="1" ht="39.6" customHeight="1" outlineLevel="1" x14ac:dyDescent="0.25">
      <c r="A56" s="586"/>
      <c r="B56" s="798" t="s">
        <v>242</v>
      </c>
      <c r="C56" s="799"/>
      <c r="D56" s="641" t="s">
        <v>266</v>
      </c>
      <c r="E56" s="642">
        <v>536061.1</v>
      </c>
      <c r="F56" s="630">
        <v>378313.17599999998</v>
      </c>
      <c r="G56" s="631">
        <f t="shared" si="0"/>
        <v>157747.924</v>
      </c>
      <c r="H56" s="632"/>
      <c r="I56" s="633"/>
      <c r="J56" s="792" t="s">
        <v>283</v>
      </c>
      <c r="K56" s="594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</row>
    <row r="57" spans="1:35" s="323" customFormat="1" ht="39.6" customHeight="1" outlineLevel="1" x14ac:dyDescent="0.25">
      <c r="A57" s="586"/>
      <c r="B57" s="800"/>
      <c r="C57" s="801"/>
      <c r="D57" s="641" t="s">
        <v>295</v>
      </c>
      <c r="E57" s="629">
        <v>198934.63</v>
      </c>
      <c r="F57" s="630">
        <f>1161.76*1.2</f>
        <v>1394.1119999999999</v>
      </c>
      <c r="G57" s="631">
        <f t="shared" si="0"/>
        <v>197540.51800000001</v>
      </c>
      <c r="H57" s="632"/>
      <c r="I57" s="633"/>
      <c r="J57" s="793"/>
      <c r="K57" s="594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</row>
    <row r="58" spans="1:35" s="323" customFormat="1" ht="39.6" customHeight="1" outlineLevel="1" x14ac:dyDescent="0.25">
      <c r="A58" s="586"/>
      <c r="B58" s="800"/>
      <c r="C58" s="801"/>
      <c r="D58" s="641" t="s">
        <v>318</v>
      </c>
      <c r="E58" s="629">
        <v>39278.89</v>
      </c>
      <c r="F58" s="630"/>
      <c r="G58" s="631">
        <f t="shared" si="0"/>
        <v>39278.89</v>
      </c>
      <c r="H58" s="632"/>
      <c r="I58" s="648"/>
      <c r="J58" s="793"/>
      <c r="K58" s="594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</row>
    <row r="59" spans="1:35" s="682" customFormat="1" ht="39.6" customHeight="1" outlineLevel="1" x14ac:dyDescent="0.25">
      <c r="A59" s="586"/>
      <c r="B59" s="800"/>
      <c r="C59" s="801"/>
      <c r="D59" s="641" t="s">
        <v>332</v>
      </c>
      <c r="E59" s="629">
        <v>339252.92</v>
      </c>
      <c r="F59" s="630">
        <f>6620.72*1.2</f>
        <v>7944.8639999999996</v>
      </c>
      <c r="G59" s="631">
        <f t="shared" si="0"/>
        <v>331308.05599999998</v>
      </c>
      <c r="H59" s="632"/>
      <c r="I59" s="648"/>
      <c r="J59" s="793"/>
      <c r="K59" s="681"/>
    </row>
    <row r="60" spans="1:35" s="682" customFormat="1" ht="39.6" customHeight="1" outlineLevel="1" x14ac:dyDescent="0.25">
      <c r="A60" s="586"/>
      <c r="B60" s="800"/>
      <c r="C60" s="801"/>
      <c r="D60" s="641" t="s">
        <v>352</v>
      </c>
      <c r="E60" s="629">
        <v>33365.29</v>
      </c>
      <c r="F60" s="630"/>
      <c r="G60" s="631">
        <f>E60</f>
        <v>33365.29</v>
      </c>
      <c r="H60" s="632"/>
      <c r="I60" s="648"/>
      <c r="J60" s="793"/>
      <c r="K60" s="681"/>
    </row>
    <row r="61" spans="1:35" s="682" customFormat="1" ht="39.6" customHeight="1" outlineLevel="1" x14ac:dyDescent="0.25">
      <c r="A61" s="586"/>
      <c r="B61" s="800"/>
      <c r="C61" s="801"/>
      <c r="D61" s="641" t="s">
        <v>366</v>
      </c>
      <c r="E61" s="629">
        <v>17857.32</v>
      </c>
      <c r="F61" s="630"/>
      <c r="G61" s="631">
        <f>E61</f>
        <v>17857.32</v>
      </c>
      <c r="H61" s="632"/>
      <c r="I61" s="648"/>
      <c r="J61" s="794"/>
      <c r="K61" s="681"/>
    </row>
    <row r="62" spans="1:35" s="682" customFormat="1" ht="39.6" customHeight="1" outlineLevel="1" x14ac:dyDescent="0.25">
      <c r="A62" s="586"/>
      <c r="B62" s="802"/>
      <c r="C62" s="803"/>
      <c r="D62" s="641" t="s">
        <v>375</v>
      </c>
      <c r="E62" s="629">
        <v>176356.6</v>
      </c>
      <c r="F62" s="630">
        <f>104655.9*1.2</f>
        <v>125587.07999999999</v>
      </c>
      <c r="G62" s="631">
        <f>E62-F62</f>
        <v>50769.520000000019</v>
      </c>
      <c r="H62" s="632"/>
      <c r="I62" s="648"/>
      <c r="J62" s="689"/>
      <c r="K62" s="681"/>
    </row>
    <row r="63" spans="1:35" s="323" customFormat="1" ht="35.4" customHeight="1" outlineLevel="1" x14ac:dyDescent="0.25">
      <c r="A63" s="537"/>
      <c r="B63" s="838" t="s">
        <v>243</v>
      </c>
      <c r="C63" s="839"/>
      <c r="D63" s="643" t="s">
        <v>296</v>
      </c>
      <c r="E63" s="644">
        <v>2341190.92</v>
      </c>
      <c r="F63" s="620">
        <f>E63</f>
        <v>2341190.92</v>
      </c>
      <c r="G63" s="635">
        <f t="shared" si="0"/>
        <v>0</v>
      </c>
      <c r="H63" s="659"/>
      <c r="I63" s="624"/>
      <c r="J63" s="835" t="s">
        <v>283</v>
      </c>
      <c r="K63" s="594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</row>
    <row r="64" spans="1:35" s="323" customFormat="1" ht="35.4" customHeight="1" outlineLevel="1" x14ac:dyDescent="0.25">
      <c r="A64" s="537"/>
      <c r="B64" s="840"/>
      <c r="C64" s="841"/>
      <c r="D64" s="643" t="s">
        <v>319</v>
      </c>
      <c r="E64" s="644">
        <v>687170.38</v>
      </c>
      <c r="F64" s="620">
        <f>E64</f>
        <v>687170.38</v>
      </c>
      <c r="G64" s="635">
        <f t="shared" si="0"/>
        <v>0</v>
      </c>
      <c r="H64" s="659"/>
      <c r="I64" s="660"/>
      <c r="J64" s="836"/>
      <c r="K64" s="594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</row>
    <row r="65" spans="1:35" s="323" customFormat="1" ht="35.4" customHeight="1" outlineLevel="1" x14ac:dyDescent="0.25">
      <c r="A65" s="537"/>
      <c r="B65" s="842"/>
      <c r="C65" s="843"/>
      <c r="D65" s="643" t="s">
        <v>353</v>
      </c>
      <c r="E65" s="644">
        <v>100172.22</v>
      </c>
      <c r="F65" s="620">
        <v>100172.22</v>
      </c>
      <c r="G65" s="635">
        <f>E65-F65</f>
        <v>0</v>
      </c>
      <c r="H65" s="659"/>
      <c r="I65" s="660"/>
      <c r="J65" s="837"/>
      <c r="K65" s="594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</row>
    <row r="66" spans="1:35" s="323" customFormat="1" ht="39.6" customHeight="1" outlineLevel="1" x14ac:dyDescent="0.25">
      <c r="A66" s="586"/>
      <c r="B66" s="798" t="s">
        <v>244</v>
      </c>
      <c r="C66" s="799"/>
      <c r="D66" s="628" t="s">
        <v>267</v>
      </c>
      <c r="E66" s="629">
        <v>7540.97</v>
      </c>
      <c r="F66" s="630">
        <f>E66</f>
        <v>7540.97</v>
      </c>
      <c r="G66" s="631">
        <f t="shared" si="0"/>
        <v>0</v>
      </c>
      <c r="H66" s="632"/>
      <c r="I66" s="633"/>
      <c r="J66" s="814" t="s">
        <v>283</v>
      </c>
      <c r="K66" s="594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</row>
    <row r="67" spans="1:35" s="323" customFormat="1" ht="39.6" customHeight="1" outlineLevel="1" x14ac:dyDescent="0.25">
      <c r="A67" s="586"/>
      <c r="B67" s="800"/>
      <c r="C67" s="801"/>
      <c r="D67" s="628" t="s">
        <v>297</v>
      </c>
      <c r="E67" s="629">
        <f>F67</f>
        <v>14204.291999999999</v>
      </c>
      <c r="F67" s="630">
        <f>11836.91*1.2</f>
        <v>14204.291999999999</v>
      </c>
      <c r="G67" s="631">
        <f t="shared" si="0"/>
        <v>0</v>
      </c>
      <c r="H67" s="632"/>
      <c r="I67" s="633"/>
      <c r="J67" s="815"/>
      <c r="K67" s="594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</row>
    <row r="68" spans="1:35" s="323" customFormat="1" ht="39.6" customHeight="1" outlineLevel="1" x14ac:dyDescent="0.25">
      <c r="A68" s="586"/>
      <c r="B68" s="800"/>
      <c r="C68" s="801"/>
      <c r="D68" s="628" t="s">
        <v>354</v>
      </c>
      <c r="E68" s="629">
        <v>156062.88</v>
      </c>
      <c r="F68" s="630">
        <v>25213.175999999999</v>
      </c>
      <c r="G68" s="631">
        <f>E68-F68</f>
        <v>130849.704</v>
      </c>
      <c r="H68" s="632"/>
      <c r="I68" s="633"/>
      <c r="J68" s="815"/>
      <c r="K68" s="594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</row>
    <row r="69" spans="1:35" s="323" customFormat="1" ht="39.6" customHeight="1" outlineLevel="1" x14ac:dyDescent="0.25">
      <c r="A69" s="586"/>
      <c r="B69" s="800"/>
      <c r="C69" s="801"/>
      <c r="D69" s="628" t="s">
        <v>367</v>
      </c>
      <c r="E69" s="629">
        <v>58953.26</v>
      </c>
      <c r="F69" s="630">
        <f>1011.57*1.2</f>
        <v>1213.884</v>
      </c>
      <c r="G69" s="631">
        <f>E69-F69</f>
        <v>57739.376000000004</v>
      </c>
      <c r="H69" s="632"/>
      <c r="I69" s="633"/>
      <c r="J69" s="816"/>
      <c r="K69" s="594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</row>
    <row r="70" spans="1:35" s="323" customFormat="1" ht="39.6" customHeight="1" outlineLevel="1" x14ac:dyDescent="0.25">
      <c r="A70" s="586"/>
      <c r="B70" s="802"/>
      <c r="C70" s="803"/>
      <c r="D70" s="628" t="s">
        <v>376</v>
      </c>
      <c r="E70" s="629">
        <v>137976.25</v>
      </c>
      <c r="F70" s="630">
        <f>97792.19*1.2</f>
        <v>117350.628</v>
      </c>
      <c r="G70" s="631">
        <f>E70-F70</f>
        <v>20625.622000000003</v>
      </c>
      <c r="H70" s="632"/>
      <c r="I70" s="633"/>
      <c r="J70" s="688"/>
      <c r="K70" s="594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</row>
    <row r="71" spans="1:35" s="323" customFormat="1" ht="32.4" customHeight="1" outlineLevel="1" x14ac:dyDescent="0.25">
      <c r="A71" s="537"/>
      <c r="B71" s="654" t="s">
        <v>245</v>
      </c>
      <c r="C71" s="620"/>
      <c r="D71" s="621" t="s">
        <v>298</v>
      </c>
      <c r="E71" s="622">
        <v>1108232.3400000001</v>
      </c>
      <c r="F71" s="620">
        <f>E71</f>
        <v>1108232.3400000001</v>
      </c>
      <c r="G71" s="635">
        <f t="shared" si="0"/>
        <v>0</v>
      </c>
      <c r="H71" s="611"/>
      <c r="I71" s="636"/>
      <c r="J71" s="657" t="s">
        <v>299</v>
      </c>
      <c r="K71" s="594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</row>
    <row r="72" spans="1:35" s="682" customFormat="1" ht="41.4" customHeight="1" outlineLevel="1" x14ac:dyDescent="0.25">
      <c r="A72" s="586"/>
      <c r="B72" s="798" t="s">
        <v>246</v>
      </c>
      <c r="C72" s="799"/>
      <c r="D72" s="641" t="s">
        <v>268</v>
      </c>
      <c r="E72" s="642">
        <v>256266.18</v>
      </c>
      <c r="F72" s="630">
        <v>255159.50400000002</v>
      </c>
      <c r="G72" s="631">
        <f t="shared" si="0"/>
        <v>1106.6759999999776</v>
      </c>
      <c r="H72" s="632"/>
      <c r="I72" s="633"/>
      <c r="J72" s="792" t="s">
        <v>283</v>
      </c>
      <c r="K72" s="681"/>
    </row>
    <row r="73" spans="1:35" s="682" customFormat="1" ht="41.4" customHeight="1" outlineLevel="1" x14ac:dyDescent="0.25">
      <c r="A73" s="586"/>
      <c r="B73" s="800"/>
      <c r="C73" s="801"/>
      <c r="D73" s="641" t="s">
        <v>345</v>
      </c>
      <c r="E73" s="629">
        <v>1118415.18</v>
      </c>
      <c r="F73" s="630">
        <f>32336.7*1.2</f>
        <v>38804.04</v>
      </c>
      <c r="G73" s="631">
        <f>E73-F73</f>
        <v>1079611.1399999999</v>
      </c>
      <c r="H73" s="632"/>
      <c r="I73" s="633"/>
      <c r="J73" s="793"/>
      <c r="K73" s="681"/>
    </row>
    <row r="74" spans="1:35" s="682" customFormat="1" ht="41.4" customHeight="1" outlineLevel="1" x14ac:dyDescent="0.25">
      <c r="A74" s="586"/>
      <c r="B74" s="802"/>
      <c r="C74" s="803"/>
      <c r="D74" s="641" t="s">
        <v>368</v>
      </c>
      <c r="E74" s="629">
        <v>1432.74</v>
      </c>
      <c r="F74" s="630"/>
      <c r="G74" s="631">
        <f>E74</f>
        <v>1432.74</v>
      </c>
      <c r="H74" s="632"/>
      <c r="I74" s="633"/>
      <c r="J74" s="794"/>
      <c r="K74" s="681"/>
    </row>
    <row r="75" spans="1:35" s="307" customFormat="1" ht="42" customHeight="1" outlineLevel="1" x14ac:dyDescent="0.25">
      <c r="A75" s="589"/>
      <c r="B75" s="807" t="s">
        <v>247</v>
      </c>
      <c r="C75" s="808"/>
      <c r="D75" s="650" t="s">
        <v>300</v>
      </c>
      <c r="E75" s="651">
        <v>290354.76</v>
      </c>
      <c r="F75" s="639">
        <f>138136.26*1.2</f>
        <v>165763.51200000002</v>
      </c>
      <c r="G75" s="635">
        <f t="shared" si="0"/>
        <v>124591.24799999999</v>
      </c>
      <c r="H75" s="652"/>
      <c r="I75" s="640"/>
      <c r="J75" s="804" t="s">
        <v>283</v>
      </c>
      <c r="K75" s="596"/>
    </row>
    <row r="76" spans="1:35" s="307" customFormat="1" ht="42" customHeight="1" outlineLevel="1" x14ac:dyDescent="0.25">
      <c r="A76" s="589"/>
      <c r="B76" s="809"/>
      <c r="C76" s="810"/>
      <c r="D76" s="650" t="s">
        <v>320</v>
      </c>
      <c r="E76" s="651">
        <v>56371.76</v>
      </c>
      <c r="F76" s="639">
        <f>1729.31*1.2</f>
        <v>2075.172</v>
      </c>
      <c r="G76" s="635">
        <f t="shared" si="0"/>
        <v>54296.588000000003</v>
      </c>
      <c r="H76" s="652"/>
      <c r="I76" s="647"/>
      <c r="J76" s="805"/>
      <c r="K76" s="596"/>
    </row>
    <row r="77" spans="1:35" s="307" customFormat="1" ht="42" customHeight="1" outlineLevel="1" x14ac:dyDescent="0.25">
      <c r="A77" s="589"/>
      <c r="B77" s="809"/>
      <c r="C77" s="810"/>
      <c r="D77" s="650" t="s">
        <v>333</v>
      </c>
      <c r="E77" s="651">
        <v>759081.32</v>
      </c>
      <c r="F77" s="639">
        <f>191038.3*1.2</f>
        <v>229245.96</v>
      </c>
      <c r="G77" s="635">
        <f>E77-F77</f>
        <v>529835.36</v>
      </c>
      <c r="H77" s="652"/>
      <c r="I77" s="647"/>
      <c r="J77" s="805"/>
      <c r="K77" s="596"/>
    </row>
    <row r="78" spans="1:35" s="307" customFormat="1" ht="42" customHeight="1" outlineLevel="1" x14ac:dyDescent="0.25">
      <c r="A78" s="589"/>
      <c r="B78" s="809"/>
      <c r="C78" s="810"/>
      <c r="D78" s="650" t="s">
        <v>355</v>
      </c>
      <c r="E78" s="651">
        <v>215752.97</v>
      </c>
      <c r="F78" s="639">
        <v>150368.28</v>
      </c>
      <c r="G78" s="635">
        <f>E78-F78</f>
        <v>65384.69</v>
      </c>
      <c r="H78" s="652"/>
      <c r="I78" s="647"/>
      <c r="J78" s="806"/>
      <c r="K78" s="596"/>
    </row>
    <row r="79" spans="1:35" s="307" customFormat="1" ht="42" customHeight="1" outlineLevel="1" x14ac:dyDescent="0.25">
      <c r="A79" s="589"/>
      <c r="B79" s="809"/>
      <c r="C79" s="810"/>
      <c r="D79" s="650" t="s">
        <v>369</v>
      </c>
      <c r="E79" s="651">
        <v>109922.44</v>
      </c>
      <c r="F79" s="639">
        <f>88743.33*1.2</f>
        <v>106491.996</v>
      </c>
      <c r="G79" s="635">
        <f>E79-F79</f>
        <v>3430.4440000000031</v>
      </c>
      <c r="H79" s="652"/>
      <c r="I79" s="647"/>
      <c r="J79" s="686"/>
      <c r="K79" s="596"/>
    </row>
    <row r="80" spans="1:35" s="323" customFormat="1" ht="49.2" customHeight="1" outlineLevel="1" x14ac:dyDescent="0.25">
      <c r="A80" s="586"/>
      <c r="B80" s="661" t="s">
        <v>248</v>
      </c>
      <c r="C80" s="630"/>
      <c r="D80" s="641" t="s">
        <v>301</v>
      </c>
      <c r="E80" s="642">
        <v>2259560.6</v>
      </c>
      <c r="F80" s="630">
        <f>E80</f>
        <v>2259560.6</v>
      </c>
      <c r="G80" s="631"/>
      <c r="H80" s="607"/>
      <c r="I80" s="645"/>
      <c r="J80" s="634" t="s">
        <v>299</v>
      </c>
      <c r="K80" s="594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</row>
    <row r="81" spans="1:35" s="323" customFormat="1" ht="44.4" customHeight="1" outlineLevel="1" x14ac:dyDescent="0.25">
      <c r="A81" s="537"/>
      <c r="B81" s="838" t="s">
        <v>249</v>
      </c>
      <c r="C81" s="839"/>
      <c r="D81" s="621" t="s">
        <v>269</v>
      </c>
      <c r="E81" s="622">
        <v>442946.84</v>
      </c>
      <c r="F81" s="620">
        <v>441155.43600000005</v>
      </c>
      <c r="G81" s="635">
        <f t="shared" si="0"/>
        <v>1791.4039999999804</v>
      </c>
      <c r="H81" s="659"/>
      <c r="I81" s="624"/>
      <c r="J81" s="795" t="s">
        <v>283</v>
      </c>
      <c r="K81" s="594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</row>
    <row r="82" spans="1:35" s="323" customFormat="1" ht="44.4" customHeight="1" outlineLevel="1" x14ac:dyDescent="0.25">
      <c r="A82" s="537"/>
      <c r="B82" s="840"/>
      <c r="C82" s="841"/>
      <c r="D82" s="621" t="s">
        <v>302</v>
      </c>
      <c r="E82" s="644">
        <v>125679.28</v>
      </c>
      <c r="F82" s="620">
        <f>50437.8*1.2</f>
        <v>60525.36</v>
      </c>
      <c r="G82" s="635">
        <f t="shared" si="0"/>
        <v>65153.919999999998</v>
      </c>
      <c r="H82" s="659"/>
      <c r="I82" s="624"/>
      <c r="J82" s="796"/>
      <c r="K82" s="594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</row>
    <row r="83" spans="1:35" s="323" customFormat="1" ht="44.4" customHeight="1" outlineLevel="1" x14ac:dyDescent="0.25">
      <c r="A83" s="537"/>
      <c r="B83" s="840"/>
      <c r="C83" s="841"/>
      <c r="D83" s="621" t="s">
        <v>321</v>
      </c>
      <c r="E83" s="644">
        <v>169283.78</v>
      </c>
      <c r="F83" s="620"/>
      <c r="G83" s="635">
        <f t="shared" si="0"/>
        <v>169283.78</v>
      </c>
      <c r="H83" s="659"/>
      <c r="I83" s="660"/>
      <c r="J83" s="796"/>
      <c r="K83" s="594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</row>
    <row r="84" spans="1:35" s="307" customFormat="1" ht="44.4" customHeight="1" outlineLevel="1" x14ac:dyDescent="0.25">
      <c r="A84" s="589"/>
      <c r="B84" s="842"/>
      <c r="C84" s="843"/>
      <c r="D84" s="637" t="s">
        <v>334</v>
      </c>
      <c r="E84" s="651">
        <v>496446.41</v>
      </c>
      <c r="F84" s="639">
        <f>17305.16*1.2</f>
        <v>20766.191999999999</v>
      </c>
      <c r="G84" s="635">
        <f>E84-F84</f>
        <v>475680.21799999999</v>
      </c>
      <c r="H84" s="652"/>
      <c r="I84" s="647"/>
      <c r="J84" s="797"/>
      <c r="K84" s="596"/>
    </row>
    <row r="85" spans="1:35" s="682" customFormat="1" ht="55.2" customHeight="1" outlineLevel="1" x14ac:dyDescent="0.25">
      <c r="A85" s="586"/>
      <c r="B85" s="798" t="s">
        <v>250</v>
      </c>
      <c r="C85" s="799"/>
      <c r="D85" s="628" t="s">
        <v>303</v>
      </c>
      <c r="E85" s="629">
        <v>4533614.66</v>
      </c>
      <c r="F85" s="630">
        <f>E85</f>
        <v>4533614.66</v>
      </c>
      <c r="G85" s="631">
        <f t="shared" si="0"/>
        <v>0</v>
      </c>
      <c r="H85" s="632"/>
      <c r="I85" s="633"/>
      <c r="J85" s="814" t="s">
        <v>299</v>
      </c>
      <c r="K85" s="681"/>
    </row>
    <row r="86" spans="1:35" s="682" customFormat="1" ht="55.2" customHeight="1" outlineLevel="1" x14ac:dyDescent="0.25">
      <c r="A86" s="586"/>
      <c r="B86" s="802"/>
      <c r="C86" s="803"/>
      <c r="D86" s="628" t="s">
        <v>335</v>
      </c>
      <c r="E86" s="629">
        <v>61366.124000000003</v>
      </c>
      <c r="F86" s="630">
        <f>E86</f>
        <v>61366.124000000003</v>
      </c>
      <c r="G86" s="631"/>
      <c r="H86" s="632"/>
      <c r="I86" s="633"/>
      <c r="J86" s="816"/>
      <c r="K86" s="681"/>
    </row>
    <row r="87" spans="1:35" s="323" customFormat="1" ht="29.4" customHeight="1" outlineLevel="1" x14ac:dyDescent="0.25">
      <c r="A87" s="537"/>
      <c r="B87" s="838" t="s">
        <v>251</v>
      </c>
      <c r="C87" s="839"/>
      <c r="D87" s="621" t="s">
        <v>270</v>
      </c>
      <c r="E87" s="622">
        <v>38798.660000000003</v>
      </c>
      <c r="F87" s="620">
        <v>37910.627999999997</v>
      </c>
      <c r="G87" s="635">
        <f t="shared" si="0"/>
        <v>888.03200000000652</v>
      </c>
      <c r="H87" s="611"/>
      <c r="I87" s="636"/>
      <c r="J87" s="835" t="s">
        <v>283</v>
      </c>
      <c r="K87" s="594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</row>
    <row r="88" spans="1:35" s="323" customFormat="1" ht="29.4" customHeight="1" outlineLevel="1" x14ac:dyDescent="0.25">
      <c r="A88" s="537"/>
      <c r="B88" s="840"/>
      <c r="C88" s="841"/>
      <c r="D88" s="621" t="s">
        <v>304</v>
      </c>
      <c r="E88" s="622">
        <v>417505.73</v>
      </c>
      <c r="F88" s="620">
        <v>235262.64</v>
      </c>
      <c r="G88" s="635">
        <f t="shared" si="0"/>
        <v>182243.08999999997</v>
      </c>
      <c r="H88" s="611"/>
      <c r="I88" s="624"/>
      <c r="J88" s="836"/>
      <c r="K88" s="594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</row>
    <row r="89" spans="1:35" s="323" customFormat="1" ht="29.4" customHeight="1" outlineLevel="1" x14ac:dyDescent="0.25">
      <c r="A89" s="537"/>
      <c r="B89" s="840"/>
      <c r="C89" s="841"/>
      <c r="D89" s="621" t="s">
        <v>322</v>
      </c>
      <c r="E89" s="622">
        <v>291576.06</v>
      </c>
      <c r="F89" s="620">
        <f>74906.83*1.2</f>
        <v>89888.195999999996</v>
      </c>
      <c r="G89" s="635">
        <f t="shared" si="0"/>
        <v>201687.864</v>
      </c>
      <c r="H89" s="611"/>
      <c r="I89" s="660"/>
      <c r="J89" s="836"/>
      <c r="K89" s="594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</row>
    <row r="90" spans="1:35" s="307" customFormat="1" ht="29.4" customHeight="1" outlineLevel="1" x14ac:dyDescent="0.25">
      <c r="A90" s="589"/>
      <c r="B90" s="842"/>
      <c r="C90" s="843"/>
      <c r="D90" s="637" t="s">
        <v>336</v>
      </c>
      <c r="E90" s="638">
        <v>186593.22</v>
      </c>
      <c r="F90" s="639"/>
      <c r="G90" s="635">
        <f>E90</f>
        <v>186593.22</v>
      </c>
      <c r="H90" s="613"/>
      <c r="I90" s="647"/>
      <c r="J90" s="837"/>
      <c r="K90" s="596"/>
    </row>
    <row r="91" spans="1:35" s="323" customFormat="1" ht="36" customHeight="1" outlineLevel="1" x14ac:dyDescent="0.25">
      <c r="A91" s="586"/>
      <c r="B91" s="798" t="s">
        <v>252</v>
      </c>
      <c r="C91" s="799"/>
      <c r="D91" s="641" t="s">
        <v>272</v>
      </c>
      <c r="E91" s="642">
        <v>905145.17</v>
      </c>
      <c r="F91" s="630">
        <v>904247.772</v>
      </c>
      <c r="G91" s="631">
        <f t="shared" si="0"/>
        <v>897.3980000000447</v>
      </c>
      <c r="H91" s="632"/>
      <c r="I91" s="633"/>
      <c r="J91" s="792"/>
      <c r="K91" s="594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</row>
    <row r="92" spans="1:35" s="323" customFormat="1" ht="36" customHeight="1" outlineLevel="1" x14ac:dyDescent="0.25">
      <c r="A92" s="586"/>
      <c r="B92" s="800"/>
      <c r="C92" s="801"/>
      <c r="D92" s="641" t="s">
        <v>305</v>
      </c>
      <c r="E92" s="629">
        <v>776112.92</v>
      </c>
      <c r="F92" s="630">
        <f>423484.79*1.2</f>
        <v>508181.74799999996</v>
      </c>
      <c r="G92" s="631">
        <f t="shared" si="0"/>
        <v>267931.17200000008</v>
      </c>
      <c r="H92" s="632"/>
      <c r="I92" s="633"/>
      <c r="J92" s="793"/>
      <c r="K92" s="594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</row>
    <row r="93" spans="1:35" s="323" customFormat="1" ht="36" customHeight="1" outlineLevel="1" x14ac:dyDescent="0.25">
      <c r="A93" s="586"/>
      <c r="B93" s="800"/>
      <c r="C93" s="801"/>
      <c r="D93" s="641" t="s">
        <v>323</v>
      </c>
      <c r="E93" s="629">
        <v>745662.28</v>
      </c>
      <c r="F93" s="630">
        <f>408343.74*1.2</f>
        <v>490012.48799999995</v>
      </c>
      <c r="G93" s="631">
        <f t="shared" si="0"/>
        <v>255649.79200000007</v>
      </c>
      <c r="H93" s="632"/>
      <c r="I93" s="648"/>
      <c r="J93" s="794"/>
      <c r="K93" s="594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</row>
    <row r="94" spans="1:35" s="323" customFormat="1" ht="36" customHeight="1" outlineLevel="1" x14ac:dyDescent="0.25">
      <c r="A94" s="586"/>
      <c r="B94" s="800"/>
      <c r="C94" s="801"/>
      <c r="D94" s="641" t="s">
        <v>370</v>
      </c>
      <c r="E94" s="629">
        <v>112330.6</v>
      </c>
      <c r="F94" s="630">
        <f>9018.47*1.2</f>
        <v>10822.163999999999</v>
      </c>
      <c r="G94" s="631">
        <f>E94-F94</f>
        <v>101508.436</v>
      </c>
      <c r="H94" s="632"/>
      <c r="I94" s="648"/>
      <c r="J94" s="685"/>
      <c r="K94" s="594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</row>
    <row r="95" spans="1:35" s="323" customFormat="1" ht="36" customHeight="1" outlineLevel="1" x14ac:dyDescent="0.25">
      <c r="A95" s="586"/>
      <c r="B95" s="802"/>
      <c r="C95" s="803"/>
      <c r="D95" s="641" t="s">
        <v>386</v>
      </c>
      <c r="E95" s="629">
        <v>39330.730000000003</v>
      </c>
      <c r="F95" s="630"/>
      <c r="G95" s="631">
        <f>E95</f>
        <v>39330.730000000003</v>
      </c>
      <c r="H95" s="632" t="s">
        <v>388</v>
      </c>
      <c r="I95" s="648"/>
      <c r="J95" s="705"/>
      <c r="K95" s="594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</row>
    <row r="96" spans="1:35" s="323" customFormat="1" ht="36" customHeight="1" outlineLevel="1" x14ac:dyDescent="0.25">
      <c r="A96" s="537"/>
      <c r="B96" s="838" t="s">
        <v>271</v>
      </c>
      <c r="C96" s="839"/>
      <c r="D96" s="621" t="s">
        <v>273</v>
      </c>
      <c r="E96" s="644">
        <v>47262.91</v>
      </c>
      <c r="F96" s="620">
        <v>46311.42</v>
      </c>
      <c r="G96" s="635">
        <f t="shared" si="0"/>
        <v>951.49000000000524</v>
      </c>
      <c r="H96" s="659"/>
      <c r="I96" s="624"/>
      <c r="J96" s="795"/>
      <c r="K96" s="594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</row>
    <row r="97" spans="1:35" s="323" customFormat="1" ht="36" customHeight="1" outlineLevel="1" x14ac:dyDescent="0.25">
      <c r="A97" s="537"/>
      <c r="B97" s="840"/>
      <c r="C97" s="841"/>
      <c r="D97" s="621" t="s">
        <v>306</v>
      </c>
      <c r="E97" s="644">
        <v>26074.79</v>
      </c>
      <c r="F97" s="620">
        <f>E97</f>
        <v>26074.79</v>
      </c>
      <c r="G97" s="635">
        <f t="shared" si="0"/>
        <v>0</v>
      </c>
      <c r="H97" s="659"/>
      <c r="I97" s="624"/>
      <c r="J97" s="796"/>
      <c r="K97" s="594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</row>
    <row r="98" spans="1:35" s="323" customFormat="1" ht="36" customHeight="1" outlineLevel="1" x14ac:dyDescent="0.25">
      <c r="A98" s="537"/>
      <c r="B98" s="840"/>
      <c r="C98" s="841"/>
      <c r="D98" s="621" t="s">
        <v>324</v>
      </c>
      <c r="E98" s="644">
        <v>676903.01</v>
      </c>
      <c r="F98" s="620">
        <f>E98</f>
        <v>676903.01</v>
      </c>
      <c r="G98" s="635">
        <f t="shared" si="0"/>
        <v>0</v>
      </c>
      <c r="H98" s="659"/>
      <c r="I98" s="660"/>
      <c r="J98" s="797"/>
      <c r="K98" s="594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</row>
    <row r="99" spans="1:35" s="323" customFormat="1" ht="36" customHeight="1" outlineLevel="1" x14ac:dyDescent="0.25">
      <c r="A99" s="537"/>
      <c r="B99" s="842"/>
      <c r="C99" s="843"/>
      <c r="D99" s="621" t="s">
        <v>356</v>
      </c>
      <c r="E99" s="644">
        <v>234906.16</v>
      </c>
      <c r="F99" s="620">
        <v>49407.432000000001</v>
      </c>
      <c r="G99" s="635">
        <f>E99-F99</f>
        <v>185498.728</v>
      </c>
      <c r="H99" s="659"/>
      <c r="I99" s="660"/>
      <c r="J99" s="683"/>
      <c r="K99" s="594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</row>
    <row r="100" spans="1:35" s="323" customFormat="1" ht="43.8" customHeight="1" outlineLevel="1" x14ac:dyDescent="0.25">
      <c r="A100" s="586"/>
      <c r="B100" s="867" t="s">
        <v>253</v>
      </c>
      <c r="C100" s="868"/>
      <c r="D100" s="628" t="s">
        <v>357</v>
      </c>
      <c r="E100" s="629">
        <v>232646.11</v>
      </c>
      <c r="F100" s="630">
        <v>62810.436000000002</v>
      </c>
      <c r="G100" s="631">
        <f>E100-F100</f>
        <v>169835.674</v>
      </c>
      <c r="H100" s="632"/>
      <c r="I100" s="633"/>
      <c r="J100" s="634"/>
      <c r="K100" s="594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</row>
    <row r="101" spans="1:35" s="323" customFormat="1" ht="43.8" customHeight="1" outlineLevel="1" x14ac:dyDescent="0.25">
      <c r="A101" s="586"/>
      <c r="B101" s="869"/>
      <c r="C101" s="870"/>
      <c r="D101" s="628" t="s">
        <v>371</v>
      </c>
      <c r="E101" s="629">
        <v>21312.65</v>
      </c>
      <c r="F101" s="630">
        <f>1470*1.2</f>
        <v>1764</v>
      </c>
      <c r="G101" s="631">
        <f>E101-F101</f>
        <v>19548.650000000001</v>
      </c>
      <c r="H101" s="632"/>
      <c r="I101" s="633"/>
      <c r="J101" s="634"/>
      <c r="K101" s="594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</row>
    <row r="102" spans="1:35" s="701" customFormat="1" ht="43.8" customHeight="1" outlineLevel="1" x14ac:dyDescent="0.25">
      <c r="A102" s="692"/>
      <c r="B102" s="871"/>
      <c r="C102" s="872"/>
      <c r="D102" s="693" t="s">
        <v>377</v>
      </c>
      <c r="E102" s="694">
        <v>299680.96999999997</v>
      </c>
      <c r="F102" s="695"/>
      <c r="G102" s="696">
        <f>E102</f>
        <v>299680.96999999997</v>
      </c>
      <c r="H102" s="697"/>
      <c r="I102" s="698"/>
      <c r="J102" s="699"/>
      <c r="K102" s="700"/>
    </row>
    <row r="103" spans="1:35" s="701" customFormat="1" ht="43.8" customHeight="1" outlineLevel="1" x14ac:dyDescent="0.25">
      <c r="A103" s="692"/>
      <c r="B103" s="709"/>
      <c r="C103" s="710"/>
      <c r="D103" s="693" t="s">
        <v>387</v>
      </c>
      <c r="E103" s="694">
        <v>164805.24</v>
      </c>
      <c r="F103" s="695">
        <f>95179.38*1.2</f>
        <v>114215.25600000001</v>
      </c>
      <c r="G103" s="696">
        <f>E103-F103</f>
        <v>50589.983999999982</v>
      </c>
      <c r="H103" s="697" t="s">
        <v>388</v>
      </c>
      <c r="I103" s="698"/>
      <c r="J103" s="699"/>
      <c r="K103" s="700"/>
    </row>
    <row r="104" spans="1:35" s="323" customFormat="1" ht="49.2" customHeight="1" outlineLevel="1" x14ac:dyDescent="0.25">
      <c r="A104" s="537"/>
      <c r="B104" s="654" t="s">
        <v>254</v>
      </c>
      <c r="C104" s="620"/>
      <c r="D104" s="621" t="s">
        <v>307</v>
      </c>
      <c r="E104" s="622">
        <v>490884.73</v>
      </c>
      <c r="F104" s="620">
        <f>E104</f>
        <v>490884.73</v>
      </c>
      <c r="G104" s="635">
        <f t="shared" si="0"/>
        <v>0</v>
      </c>
      <c r="H104" s="611"/>
      <c r="I104" s="636"/>
      <c r="J104" s="657" t="s">
        <v>299</v>
      </c>
      <c r="K104" s="594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</row>
    <row r="105" spans="1:35" s="323" customFormat="1" ht="36.6" customHeight="1" outlineLevel="1" x14ac:dyDescent="0.25">
      <c r="A105" s="586"/>
      <c r="B105" s="867" t="s">
        <v>255</v>
      </c>
      <c r="C105" s="868"/>
      <c r="D105" s="641" t="s">
        <v>325</v>
      </c>
      <c r="E105" s="642">
        <v>765372.02</v>
      </c>
      <c r="F105" s="630">
        <v>0</v>
      </c>
      <c r="G105" s="631">
        <f t="shared" si="0"/>
        <v>765372.02</v>
      </c>
      <c r="H105" s="632"/>
      <c r="I105" s="648"/>
      <c r="J105" s="792"/>
      <c r="K105" s="594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</row>
    <row r="106" spans="1:35" s="323" customFormat="1" ht="36.6" customHeight="1" outlineLevel="1" x14ac:dyDescent="0.25">
      <c r="A106" s="586"/>
      <c r="B106" s="869"/>
      <c r="C106" s="870"/>
      <c r="D106" s="641" t="s">
        <v>358</v>
      </c>
      <c r="E106" s="629">
        <v>143222.04</v>
      </c>
      <c r="F106" s="630">
        <v>98778.407999999996</v>
      </c>
      <c r="G106" s="631">
        <f t="shared" si="0"/>
        <v>44443.632000000012</v>
      </c>
      <c r="H106" s="632"/>
      <c r="I106" s="648"/>
      <c r="J106" s="794"/>
      <c r="K106" s="594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</row>
    <row r="107" spans="1:35" s="323" customFormat="1" ht="36.6" customHeight="1" outlineLevel="1" x14ac:dyDescent="0.25">
      <c r="A107" s="586"/>
      <c r="B107" s="871"/>
      <c r="C107" s="872"/>
      <c r="D107" s="702" t="s">
        <v>379</v>
      </c>
      <c r="E107" s="694">
        <v>1383342.13</v>
      </c>
      <c r="F107" s="695"/>
      <c r="G107" s="696">
        <f>E107</f>
        <v>1383342.13</v>
      </c>
      <c r="H107" s="632"/>
      <c r="I107" s="648"/>
      <c r="J107" s="687"/>
      <c r="K107" s="594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</row>
    <row r="108" spans="1:35" s="323" customFormat="1" ht="45.6" customHeight="1" outlineLevel="1" x14ac:dyDescent="0.25">
      <c r="A108" s="537"/>
      <c r="B108" s="662" t="s">
        <v>256</v>
      </c>
      <c r="C108" s="625"/>
      <c r="D108" s="643" t="s">
        <v>308</v>
      </c>
      <c r="E108" s="644">
        <v>309001.28000000003</v>
      </c>
      <c r="F108" s="620">
        <f>E108</f>
        <v>309001.28000000003</v>
      </c>
      <c r="G108" s="635">
        <f t="shared" si="0"/>
        <v>0</v>
      </c>
      <c r="H108" s="659"/>
      <c r="I108" s="624"/>
      <c r="J108" s="657" t="s">
        <v>299</v>
      </c>
      <c r="K108" s="594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</row>
    <row r="109" spans="1:35" s="323" customFormat="1" ht="49.2" customHeight="1" outlineLevel="1" x14ac:dyDescent="0.25">
      <c r="A109" s="586"/>
      <c r="B109" s="798" t="s">
        <v>257</v>
      </c>
      <c r="C109" s="799"/>
      <c r="D109" s="641" t="s">
        <v>274</v>
      </c>
      <c r="E109" s="642">
        <v>32678.62</v>
      </c>
      <c r="F109" s="630">
        <v>31579.223999999998</v>
      </c>
      <c r="G109" s="631">
        <f t="shared" si="0"/>
        <v>1099.3960000000006</v>
      </c>
      <c r="H109" s="607"/>
      <c r="I109" s="645"/>
      <c r="J109" s="814" t="s">
        <v>283</v>
      </c>
      <c r="K109" s="594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</row>
    <row r="110" spans="1:35" s="616" customFormat="1" ht="49.2" customHeight="1" outlineLevel="1" x14ac:dyDescent="0.25">
      <c r="A110" s="586"/>
      <c r="B110" s="802"/>
      <c r="C110" s="803"/>
      <c r="D110" s="641" t="s">
        <v>337</v>
      </c>
      <c r="E110" s="642">
        <v>194460.72</v>
      </c>
      <c r="F110" s="630">
        <f>4690.56*1.2</f>
        <v>5628.6720000000005</v>
      </c>
      <c r="G110" s="631">
        <f>E110-F110</f>
        <v>188832.04800000001</v>
      </c>
      <c r="H110" s="607"/>
      <c r="I110" s="633"/>
      <c r="J110" s="816"/>
      <c r="K110" s="615"/>
    </row>
    <row r="111" spans="1:35" s="307" customFormat="1" ht="39.6" customHeight="1" x14ac:dyDescent="0.25">
      <c r="A111" s="589"/>
      <c r="B111" s="861" t="s">
        <v>228</v>
      </c>
      <c r="C111" s="862"/>
      <c r="D111" s="637" t="s">
        <v>341</v>
      </c>
      <c r="E111" s="638">
        <v>296982.08</v>
      </c>
      <c r="F111" s="639">
        <v>0</v>
      </c>
      <c r="G111" s="635">
        <f t="shared" ref="G111:G125" si="1">E111-F111</f>
        <v>296982.08</v>
      </c>
      <c r="H111" s="663"/>
      <c r="I111" s="640"/>
      <c r="J111" s="649" t="s">
        <v>299</v>
      </c>
      <c r="K111" s="596"/>
    </row>
    <row r="112" spans="1:35" s="307" customFormat="1" ht="39.6" customHeight="1" x14ac:dyDescent="0.25">
      <c r="A112" s="589"/>
      <c r="B112" s="863"/>
      <c r="C112" s="864"/>
      <c r="D112" s="637" t="s">
        <v>330</v>
      </c>
      <c r="E112" s="651">
        <v>2113506.4</v>
      </c>
      <c r="F112" s="639"/>
      <c r="G112" s="635">
        <f t="shared" ref="G112:G121" si="2">E112</f>
        <v>2113506.4</v>
      </c>
      <c r="H112" s="663"/>
      <c r="I112" s="640"/>
      <c r="J112" s="649" t="s">
        <v>299</v>
      </c>
      <c r="K112" s="596"/>
    </row>
    <row r="113" spans="1:35" s="307" customFormat="1" ht="39.6" customHeight="1" x14ac:dyDescent="0.25">
      <c r="A113" s="589"/>
      <c r="B113" s="863"/>
      <c r="C113" s="864"/>
      <c r="D113" s="637" t="s">
        <v>342</v>
      </c>
      <c r="E113" s="651">
        <v>313602.15999999997</v>
      </c>
      <c r="F113" s="639"/>
      <c r="G113" s="635">
        <f t="shared" si="2"/>
        <v>313602.15999999997</v>
      </c>
      <c r="H113" s="663"/>
      <c r="I113" s="640"/>
      <c r="J113" s="649" t="s">
        <v>299</v>
      </c>
      <c r="K113" s="596"/>
    </row>
    <row r="114" spans="1:35" s="307" customFormat="1" ht="39.6" customHeight="1" x14ac:dyDescent="0.25">
      <c r="A114" s="589"/>
      <c r="B114" s="863"/>
      <c r="C114" s="864"/>
      <c r="D114" s="637" t="s">
        <v>343</v>
      </c>
      <c r="E114" s="651">
        <v>40987.85</v>
      </c>
      <c r="F114" s="639"/>
      <c r="G114" s="635">
        <f t="shared" si="2"/>
        <v>40987.85</v>
      </c>
      <c r="H114" s="663"/>
      <c r="I114" s="640"/>
      <c r="J114" s="649" t="s">
        <v>299</v>
      </c>
      <c r="K114" s="596"/>
    </row>
    <row r="115" spans="1:35" s="307" customFormat="1" ht="39.6" customHeight="1" x14ac:dyDescent="0.25">
      <c r="A115" s="589"/>
      <c r="B115" s="863"/>
      <c r="C115" s="864"/>
      <c r="D115" s="637" t="s">
        <v>344</v>
      </c>
      <c r="E115" s="651">
        <v>512689.22</v>
      </c>
      <c r="F115" s="639"/>
      <c r="G115" s="635">
        <f t="shared" si="2"/>
        <v>512689.22</v>
      </c>
      <c r="H115" s="663"/>
      <c r="I115" s="640"/>
      <c r="J115" s="649" t="s">
        <v>299</v>
      </c>
      <c r="K115" s="596"/>
    </row>
    <row r="116" spans="1:35" s="307" customFormat="1" ht="39.6" customHeight="1" x14ac:dyDescent="0.25">
      <c r="A116" s="589"/>
      <c r="B116" s="863"/>
      <c r="C116" s="864"/>
      <c r="D116" s="637" t="s">
        <v>331</v>
      </c>
      <c r="E116" s="651">
        <v>1169842.44</v>
      </c>
      <c r="F116" s="639"/>
      <c r="G116" s="635">
        <f t="shared" si="2"/>
        <v>1169842.44</v>
      </c>
      <c r="H116" s="663"/>
      <c r="I116" s="640"/>
      <c r="J116" s="649" t="s">
        <v>299</v>
      </c>
      <c r="K116" s="596"/>
    </row>
    <row r="117" spans="1:35" s="307" customFormat="1" ht="39.6" customHeight="1" x14ac:dyDescent="0.25">
      <c r="A117" s="589"/>
      <c r="B117" s="865"/>
      <c r="C117" s="866"/>
      <c r="D117" s="637" t="s">
        <v>374</v>
      </c>
      <c r="E117" s="651">
        <v>444876.74</v>
      </c>
      <c r="F117" s="639"/>
      <c r="G117" s="635">
        <f t="shared" si="2"/>
        <v>444876.74</v>
      </c>
      <c r="H117" s="652"/>
      <c r="I117" s="640"/>
      <c r="J117" s="690"/>
      <c r="K117" s="596"/>
    </row>
    <row r="118" spans="1:35" s="323" customFormat="1" ht="31.8" customHeight="1" x14ac:dyDescent="0.25">
      <c r="A118" s="537"/>
      <c r="B118" s="861" t="s">
        <v>230</v>
      </c>
      <c r="C118" s="862"/>
      <c r="D118" s="621" t="s">
        <v>359</v>
      </c>
      <c r="E118" s="622">
        <v>112823.74</v>
      </c>
      <c r="F118" s="620"/>
      <c r="G118" s="635">
        <f t="shared" si="2"/>
        <v>112823.74</v>
      </c>
      <c r="H118" s="611"/>
      <c r="I118" s="636"/>
      <c r="J118" s="655"/>
      <c r="K118" s="594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</row>
    <row r="119" spans="1:35" s="307" customFormat="1" ht="31.8" customHeight="1" x14ac:dyDescent="0.25">
      <c r="A119" s="589"/>
      <c r="B119" s="865"/>
      <c r="C119" s="866"/>
      <c r="D119" s="637" t="s">
        <v>380</v>
      </c>
      <c r="E119" s="638">
        <v>121976.3</v>
      </c>
      <c r="F119" s="639"/>
      <c r="G119" s="635">
        <f t="shared" si="2"/>
        <v>121976.3</v>
      </c>
      <c r="H119" s="613"/>
      <c r="I119" s="640"/>
      <c r="J119" s="703"/>
      <c r="K119" s="596"/>
    </row>
    <row r="120" spans="1:35" s="307" customFormat="1" ht="39" customHeight="1" x14ac:dyDescent="0.25">
      <c r="A120" s="589"/>
      <c r="B120" s="704" t="s">
        <v>231</v>
      </c>
      <c r="C120" s="639"/>
      <c r="D120" s="859" t="s">
        <v>381</v>
      </c>
      <c r="E120" s="638">
        <v>220000</v>
      </c>
      <c r="F120" s="639"/>
      <c r="G120" s="635">
        <f t="shared" si="2"/>
        <v>220000</v>
      </c>
      <c r="H120" s="613"/>
      <c r="I120" s="640"/>
      <c r="J120" s="690"/>
      <c r="K120" s="596"/>
    </row>
    <row r="121" spans="1:35" s="307" customFormat="1" ht="39" customHeight="1" x14ac:dyDescent="0.25">
      <c r="A121" s="589"/>
      <c r="B121" s="704" t="s">
        <v>378</v>
      </c>
      <c r="C121" s="690"/>
      <c r="D121" s="860"/>
      <c r="E121" s="651">
        <v>298000</v>
      </c>
      <c r="F121" s="639"/>
      <c r="G121" s="635">
        <f t="shared" si="2"/>
        <v>298000</v>
      </c>
      <c r="H121" s="613"/>
      <c r="I121" s="640"/>
      <c r="J121" s="690"/>
      <c r="K121" s="596"/>
    </row>
    <row r="122" spans="1:35" s="323" customFormat="1" ht="45" customHeight="1" x14ac:dyDescent="0.25">
      <c r="A122" s="586"/>
      <c r="B122" s="626" t="s">
        <v>236</v>
      </c>
      <c r="C122" s="627"/>
      <c r="D122" s="628" t="s">
        <v>292</v>
      </c>
      <c r="E122" s="629">
        <v>446264.9</v>
      </c>
      <c r="F122" s="630">
        <f>94375.3*1.2</f>
        <v>113250.36</v>
      </c>
      <c r="G122" s="631">
        <f t="shared" si="1"/>
        <v>333014.54000000004</v>
      </c>
      <c r="H122" s="632"/>
      <c r="I122" s="633"/>
      <c r="J122" s="634" t="s">
        <v>293</v>
      </c>
      <c r="K122" s="594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</row>
    <row r="123" spans="1:35" s="323" customFormat="1" ht="49.2" customHeight="1" x14ac:dyDescent="0.25">
      <c r="A123" s="537"/>
      <c r="B123" s="654" t="s">
        <v>309</v>
      </c>
      <c r="C123" s="620"/>
      <c r="D123" s="621" t="s">
        <v>310</v>
      </c>
      <c r="E123" s="622">
        <v>250793.71</v>
      </c>
      <c r="F123" s="620">
        <f>115000.13*1.2</f>
        <v>138000.15599999999</v>
      </c>
      <c r="G123" s="635">
        <f t="shared" si="1"/>
        <v>112793.554</v>
      </c>
      <c r="H123" s="657"/>
      <c r="I123" s="636"/>
      <c r="J123" s="657" t="s">
        <v>299</v>
      </c>
      <c r="K123" s="594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</row>
    <row r="124" spans="1:35" s="307" customFormat="1" ht="49.2" customHeight="1" x14ac:dyDescent="0.25">
      <c r="A124" s="589"/>
      <c r="B124" s="664" t="s">
        <v>238</v>
      </c>
      <c r="C124" s="639"/>
      <c r="D124" s="637" t="s">
        <v>53</v>
      </c>
      <c r="E124" s="638">
        <v>377607.41</v>
      </c>
      <c r="F124" s="639"/>
      <c r="G124" s="635">
        <f t="shared" si="1"/>
        <v>377607.41</v>
      </c>
      <c r="H124" s="653"/>
      <c r="I124" s="646"/>
      <c r="J124" s="653" t="s">
        <v>346</v>
      </c>
      <c r="K124" s="596"/>
    </row>
    <row r="125" spans="1:35" s="323" customFormat="1" ht="42.6" customHeight="1" x14ac:dyDescent="0.25">
      <c r="A125" s="537"/>
      <c r="B125" s="654"/>
      <c r="C125" s="620"/>
      <c r="D125" s="621"/>
      <c r="E125" s="622"/>
      <c r="F125" s="620">
        <v>0</v>
      </c>
      <c r="G125" s="635">
        <f t="shared" si="1"/>
        <v>0</v>
      </c>
      <c r="H125" s="684">
        <f>E126-E124</f>
        <v>51053767.399999984</v>
      </c>
      <c r="I125" s="636"/>
      <c r="J125" s="655"/>
      <c r="K125" s="594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</row>
    <row r="126" spans="1:35" s="324" customFormat="1" ht="22.95" customHeight="1" x14ac:dyDescent="0.25">
      <c r="A126" s="533"/>
      <c r="B126" s="665" t="s">
        <v>47</v>
      </c>
      <c r="C126" s="666">
        <f>SUM(C5:C125)</f>
        <v>0</v>
      </c>
      <c r="D126" s="666"/>
      <c r="E126" s="666">
        <f>SUM(E5:E125)</f>
        <v>51431374.80999998</v>
      </c>
      <c r="F126" s="666">
        <f>SUM(F5:F125)</f>
        <v>25763261.592000004</v>
      </c>
      <c r="G126" s="666">
        <f>SUM(G5:G125)</f>
        <v>25668113.217999995</v>
      </c>
      <c r="H126" s="666"/>
      <c r="I126" s="667"/>
      <c r="J126" s="666"/>
      <c r="K126" s="595"/>
    </row>
    <row r="127" spans="1:35" s="323" customFormat="1" ht="25.8" customHeight="1" x14ac:dyDescent="0.25">
      <c r="A127" s="535"/>
      <c r="B127" s="668"/>
      <c r="C127" s="669">
        <f>SUBTOTAL(9,C5:C125)</f>
        <v>0</v>
      </c>
      <c r="D127" s="670"/>
      <c r="E127" s="669">
        <f>SUBTOTAL(9,E5:E125)</f>
        <v>51431374.80999998</v>
      </c>
      <c r="F127" s="669">
        <f>SUBTOTAL(9,F5:F125)</f>
        <v>25763261.592000004</v>
      </c>
      <c r="G127" s="669">
        <f>SUBTOTAL(9,G5:G125)</f>
        <v>25668113.217999995</v>
      </c>
      <c r="H127" s="671"/>
      <c r="I127" s="672"/>
      <c r="J127" s="671"/>
      <c r="K127" s="594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</row>
    <row r="128" spans="1:35" x14ac:dyDescent="0.35">
      <c r="C128" s="674"/>
      <c r="D128" s="674"/>
      <c r="E128" s="674"/>
      <c r="F128" s="674"/>
      <c r="G128" s="674"/>
      <c r="H128" s="674"/>
      <c r="I128" s="675"/>
      <c r="J128" s="674"/>
    </row>
    <row r="129" spans="2:10" x14ac:dyDescent="0.35">
      <c r="C129" s="674"/>
      <c r="D129" s="674"/>
      <c r="E129" s="674"/>
      <c r="F129" s="674"/>
      <c r="G129" s="674"/>
      <c r="H129" s="674"/>
      <c r="I129" s="675"/>
      <c r="J129" s="674"/>
    </row>
    <row r="130" spans="2:10" ht="19.2" customHeight="1" x14ac:dyDescent="0.35">
      <c r="B130" s="676"/>
      <c r="C130" s="674"/>
      <c r="D130" s="674"/>
      <c r="E130" s="674"/>
      <c r="F130" s="674"/>
      <c r="G130" s="674"/>
      <c r="H130" s="674"/>
      <c r="I130" s="675"/>
      <c r="J130" s="674"/>
    </row>
    <row r="131" spans="2:10" x14ac:dyDescent="0.35">
      <c r="C131" s="674"/>
      <c r="D131" s="674"/>
      <c r="E131" s="674"/>
      <c r="F131" s="674"/>
      <c r="G131" s="674"/>
      <c r="H131" s="674"/>
      <c r="I131" s="675"/>
      <c r="J131" s="674"/>
    </row>
    <row r="132" spans="2:10" x14ac:dyDescent="0.35">
      <c r="C132" s="674"/>
      <c r="D132" s="674"/>
      <c r="E132" s="674"/>
      <c r="F132" s="674"/>
      <c r="G132" s="674"/>
      <c r="H132" s="674"/>
      <c r="I132" s="675"/>
      <c r="J132" s="674"/>
    </row>
    <row r="133" spans="2:10" x14ac:dyDescent="0.35">
      <c r="C133" s="674"/>
      <c r="D133" s="674"/>
      <c r="E133" s="674"/>
      <c r="F133" s="674"/>
      <c r="G133" s="674"/>
      <c r="H133" s="674"/>
      <c r="I133" s="675"/>
      <c r="J133" s="674"/>
    </row>
    <row r="134" spans="2:10" x14ac:dyDescent="0.35">
      <c r="C134" s="674"/>
      <c r="D134" s="674"/>
      <c r="E134" s="674"/>
      <c r="F134" s="674"/>
      <c r="G134" s="674"/>
      <c r="H134" s="674"/>
      <c r="I134" s="675"/>
      <c r="J134" s="674"/>
    </row>
    <row r="135" spans="2:10" x14ac:dyDescent="0.35">
      <c r="C135" s="674"/>
      <c r="D135" s="674"/>
      <c r="E135" s="674"/>
      <c r="F135" s="674"/>
      <c r="G135" s="674"/>
      <c r="H135" s="674"/>
      <c r="I135" s="675"/>
      <c r="J135" s="674"/>
    </row>
    <row r="136" spans="2:10" x14ac:dyDescent="0.35">
      <c r="C136" s="674"/>
      <c r="D136" s="674"/>
      <c r="E136" s="674"/>
      <c r="F136" s="674"/>
      <c r="G136" s="674"/>
      <c r="H136" s="674"/>
      <c r="I136" s="675"/>
      <c r="J136" s="674"/>
    </row>
    <row r="137" spans="2:10" x14ac:dyDescent="0.35">
      <c r="C137" s="674"/>
      <c r="D137" s="674"/>
      <c r="E137" s="674"/>
      <c r="F137" s="674"/>
      <c r="G137" s="674"/>
      <c r="H137" s="674"/>
      <c r="I137" s="675"/>
      <c r="J137" s="674"/>
    </row>
    <row r="138" spans="2:10" x14ac:dyDescent="0.35">
      <c r="C138" s="674"/>
      <c r="D138" s="674"/>
      <c r="E138" s="674"/>
      <c r="F138" s="674"/>
      <c r="G138" s="674"/>
      <c r="H138" s="674"/>
      <c r="I138" s="675"/>
      <c r="J138" s="674"/>
    </row>
    <row r="139" spans="2:10" x14ac:dyDescent="0.35">
      <c r="C139" s="674"/>
      <c r="D139" s="674"/>
      <c r="E139" s="674"/>
      <c r="F139" s="674"/>
      <c r="G139" s="674"/>
      <c r="H139" s="674"/>
      <c r="I139" s="675"/>
      <c r="J139" s="674"/>
    </row>
    <row r="140" spans="2:10" x14ac:dyDescent="0.35">
      <c r="C140" s="674"/>
      <c r="D140" s="674"/>
      <c r="E140" s="674"/>
      <c r="F140" s="674"/>
      <c r="G140" s="674"/>
      <c r="H140" s="674"/>
      <c r="I140" s="675"/>
      <c r="J140" s="674"/>
    </row>
    <row r="141" spans="2:10" x14ac:dyDescent="0.35">
      <c r="C141" s="674"/>
      <c r="D141" s="674"/>
      <c r="E141" s="674"/>
      <c r="F141" s="674"/>
      <c r="G141" s="674"/>
      <c r="H141" s="674"/>
      <c r="I141" s="675"/>
      <c r="J141" s="674"/>
    </row>
    <row r="142" spans="2:10" x14ac:dyDescent="0.35">
      <c r="C142" s="674"/>
      <c r="D142" s="674"/>
      <c r="E142" s="674"/>
      <c r="F142" s="674"/>
      <c r="G142" s="674"/>
      <c r="H142" s="674"/>
      <c r="I142" s="675"/>
      <c r="J142" s="674"/>
    </row>
    <row r="143" spans="2:10" x14ac:dyDescent="0.35">
      <c r="C143" s="674"/>
      <c r="D143" s="674"/>
      <c r="E143" s="674"/>
      <c r="F143" s="674"/>
      <c r="G143" s="674"/>
      <c r="H143" s="674"/>
      <c r="I143" s="675"/>
      <c r="J143" s="674"/>
    </row>
    <row r="144" spans="2:10" x14ac:dyDescent="0.35">
      <c r="C144" s="674"/>
      <c r="D144" s="674"/>
      <c r="E144" s="674"/>
      <c r="F144" s="674"/>
      <c r="G144" s="674"/>
      <c r="H144" s="674"/>
      <c r="I144" s="675"/>
      <c r="J144" s="674"/>
    </row>
    <row r="145" spans="3:10" x14ac:dyDescent="0.35">
      <c r="C145" s="674"/>
      <c r="D145" s="674"/>
      <c r="E145" s="674"/>
      <c r="F145" s="674"/>
      <c r="G145" s="674"/>
      <c r="H145" s="674"/>
      <c r="I145" s="675"/>
      <c r="J145" s="674"/>
    </row>
    <row r="146" spans="3:10" x14ac:dyDescent="0.35">
      <c r="C146" s="674"/>
      <c r="D146" s="674"/>
      <c r="E146" s="674"/>
      <c r="F146" s="674"/>
      <c r="G146" s="674"/>
      <c r="H146" s="674"/>
      <c r="I146" s="675"/>
      <c r="J146" s="674"/>
    </row>
    <row r="147" spans="3:10" x14ac:dyDescent="0.35">
      <c r="C147" s="674"/>
      <c r="D147" s="674"/>
      <c r="E147" s="674"/>
      <c r="F147" s="674"/>
      <c r="G147" s="674"/>
      <c r="H147" s="674"/>
      <c r="I147" s="675"/>
      <c r="J147" s="674"/>
    </row>
    <row r="148" spans="3:10" x14ac:dyDescent="0.35">
      <c r="C148" s="674"/>
      <c r="D148" s="674"/>
      <c r="E148" s="674"/>
      <c r="F148" s="674"/>
      <c r="G148" s="674"/>
      <c r="H148" s="674"/>
      <c r="I148" s="675"/>
      <c r="J148" s="674"/>
    </row>
    <row r="149" spans="3:10" x14ac:dyDescent="0.35">
      <c r="C149" s="674"/>
      <c r="D149" s="674"/>
      <c r="E149" s="674"/>
      <c r="F149" s="674"/>
      <c r="G149" s="674"/>
      <c r="H149" s="674"/>
      <c r="I149" s="675"/>
      <c r="J149" s="674"/>
    </row>
    <row r="150" spans="3:10" x14ac:dyDescent="0.35">
      <c r="C150" s="674"/>
      <c r="D150" s="674"/>
      <c r="E150" s="674"/>
      <c r="F150" s="674"/>
      <c r="G150" s="674"/>
      <c r="H150" s="674"/>
      <c r="I150" s="675"/>
      <c r="J150" s="674"/>
    </row>
  </sheetData>
  <autoFilter ref="A4:AI126"/>
  <mergeCells count="65">
    <mergeCell ref="D120:D121"/>
    <mergeCell ref="B111:C117"/>
    <mergeCell ref="B100:C102"/>
    <mergeCell ref="B105:C107"/>
    <mergeCell ref="B118:C119"/>
    <mergeCell ref="J109:J110"/>
    <mergeCell ref="J87:J90"/>
    <mergeCell ref="J85:J86"/>
    <mergeCell ref="B109:C110"/>
    <mergeCell ref="J45:J46"/>
    <mergeCell ref="B48:C50"/>
    <mergeCell ref="J48:J50"/>
    <mergeCell ref="B81:C84"/>
    <mergeCell ref="B85:C86"/>
    <mergeCell ref="B87:C90"/>
    <mergeCell ref="B45:C46"/>
    <mergeCell ref="B52:C54"/>
    <mergeCell ref="B96:C99"/>
    <mergeCell ref="J105:J106"/>
    <mergeCell ref="J81:J84"/>
    <mergeCell ref="J66:J69"/>
    <mergeCell ref="A1:J2"/>
    <mergeCell ref="J3:J4"/>
    <mergeCell ref="D3:I3"/>
    <mergeCell ref="A3:A4"/>
    <mergeCell ref="B3:B4"/>
    <mergeCell ref="C3:C4"/>
    <mergeCell ref="K7:K8"/>
    <mergeCell ref="K12:K13"/>
    <mergeCell ref="B17:C18"/>
    <mergeCell ref="K17:K18"/>
    <mergeCell ref="J12:J13"/>
    <mergeCell ref="J17:J18"/>
    <mergeCell ref="B12:C13"/>
    <mergeCell ref="B7:C10"/>
    <mergeCell ref="B21:C22"/>
    <mergeCell ref="B34:C36"/>
    <mergeCell ref="J7:J9"/>
    <mergeCell ref="J21:J22"/>
    <mergeCell ref="B63:C65"/>
    <mergeCell ref="B19:C20"/>
    <mergeCell ref="B56:C62"/>
    <mergeCell ref="J63:J65"/>
    <mergeCell ref="B14:C16"/>
    <mergeCell ref="J14:J16"/>
    <mergeCell ref="B41:C43"/>
    <mergeCell ref="J19:J20"/>
    <mergeCell ref="J41:J43"/>
    <mergeCell ref="J37:J39"/>
    <mergeCell ref="J23:J28"/>
    <mergeCell ref="J34:J36"/>
    <mergeCell ref="J52:J54"/>
    <mergeCell ref="J31:J32"/>
    <mergeCell ref="B23:C30"/>
    <mergeCell ref="B31:C33"/>
    <mergeCell ref="B37:C40"/>
    <mergeCell ref="J56:J61"/>
    <mergeCell ref="J96:J98"/>
    <mergeCell ref="B72:C74"/>
    <mergeCell ref="J72:J74"/>
    <mergeCell ref="J75:J78"/>
    <mergeCell ref="J91:J93"/>
    <mergeCell ref="B66:C70"/>
    <mergeCell ref="B75:C79"/>
    <mergeCell ref="B91:C9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1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9"/>
  <sheetViews>
    <sheetView showWhiteSpace="0" zoomScale="80" zoomScaleNormal="80" zoomScaleSheetLayoutView="76" workbookViewId="0">
      <pane ySplit="4" topLeftCell="A5" activePane="bottomLeft" state="frozen"/>
      <selection pane="bottomLeft" activeCell="C13" sqref="C13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4" width="20.6640625" style="342" customWidth="1"/>
    <col min="5" max="5" width="24.6640625" style="342" customWidth="1"/>
    <col min="6" max="6" width="20" style="342" customWidth="1"/>
    <col min="7" max="7" width="21.33203125" style="342" customWidth="1"/>
    <col min="8" max="8" width="29.77734375" style="342" customWidth="1"/>
    <col min="9" max="9" width="29.77734375" style="308" customWidth="1"/>
    <col min="10" max="10" width="35.88671875" style="308" customWidth="1"/>
    <col min="11" max="11" width="16.44140625" style="308" customWidth="1"/>
    <col min="12" max="16384" width="9.109375" style="308"/>
  </cols>
  <sheetData>
    <row r="1" spans="1:35" ht="16.95" customHeight="1" x14ac:dyDescent="0.25">
      <c r="A1" s="773" t="s">
        <v>197</v>
      </c>
      <c r="B1" s="773"/>
      <c r="C1" s="773"/>
      <c r="D1" s="773"/>
      <c r="E1" s="773"/>
      <c r="F1" s="773"/>
      <c r="G1" s="773"/>
      <c r="H1" s="773"/>
    </row>
    <row r="2" spans="1:35" ht="59.4" customHeight="1" thickBot="1" x14ac:dyDescent="0.3">
      <c r="A2" s="773"/>
      <c r="B2" s="773"/>
      <c r="C2" s="773"/>
      <c r="D2" s="773"/>
      <c r="E2" s="773"/>
      <c r="F2" s="773"/>
      <c r="G2" s="773"/>
      <c r="H2" s="773"/>
      <c r="I2" s="873" t="s">
        <v>206</v>
      </c>
      <c r="J2" s="874"/>
    </row>
    <row r="3" spans="1:35" ht="31.8" customHeight="1" x14ac:dyDescent="0.25">
      <c r="A3" s="774" t="s">
        <v>124</v>
      </c>
      <c r="B3" s="780" t="s">
        <v>185</v>
      </c>
      <c r="C3" s="776" t="s">
        <v>190</v>
      </c>
      <c r="D3" s="776" t="s">
        <v>191</v>
      </c>
      <c r="E3" s="776" t="s">
        <v>193</v>
      </c>
      <c r="F3" s="778" t="s">
        <v>9</v>
      </c>
      <c r="G3" s="778" t="s">
        <v>188</v>
      </c>
      <c r="H3" s="875" t="s">
        <v>189</v>
      </c>
      <c r="I3" s="562" t="s">
        <v>204</v>
      </c>
      <c r="J3" s="562" t="s">
        <v>205</v>
      </c>
    </row>
    <row r="4" spans="1:35" ht="30.6" customHeight="1" x14ac:dyDescent="0.25">
      <c r="A4" s="775"/>
      <c r="B4" s="781"/>
      <c r="C4" s="777"/>
      <c r="D4" s="777"/>
      <c r="E4" s="777"/>
      <c r="F4" s="782"/>
      <c r="G4" s="782"/>
      <c r="H4" s="876"/>
      <c r="I4" s="547" t="s">
        <v>199</v>
      </c>
      <c r="J4" s="547" t="s">
        <v>203</v>
      </c>
    </row>
    <row r="5" spans="1:35" s="323" customFormat="1" ht="85.8" customHeight="1" x14ac:dyDescent="0.25">
      <c r="A5" s="548" t="s">
        <v>53</v>
      </c>
      <c r="B5" s="549" t="s">
        <v>210</v>
      </c>
      <c r="C5" s="550"/>
      <c r="D5" s="551"/>
      <c r="E5" s="552"/>
      <c r="F5" s="550"/>
      <c r="G5" s="550"/>
      <c r="H5" s="557"/>
      <c r="I5" s="559" t="s">
        <v>207</v>
      </c>
      <c r="J5" s="546" t="s">
        <v>208</v>
      </c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52.8" customHeight="1" x14ac:dyDescent="0.25">
      <c r="A6" s="548" t="s">
        <v>69</v>
      </c>
      <c r="B6" s="538" t="s">
        <v>211</v>
      </c>
      <c r="C6" s="539"/>
      <c r="D6" s="553"/>
      <c r="E6" s="542"/>
      <c r="F6" s="539"/>
      <c r="G6" s="541"/>
      <c r="H6" s="554"/>
      <c r="I6" s="560" t="s">
        <v>187</v>
      </c>
      <c r="J6" s="546" t="s">
        <v>209</v>
      </c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52.2" customHeight="1" x14ac:dyDescent="0.25">
      <c r="A7" s="548" t="s">
        <v>70</v>
      </c>
      <c r="B7" s="544" t="s">
        <v>212</v>
      </c>
      <c r="C7" s="555"/>
      <c r="D7" s="539"/>
      <c r="E7" s="540"/>
      <c r="F7" s="545"/>
      <c r="G7" s="539"/>
      <c r="H7" s="554"/>
      <c r="I7" s="559" t="s">
        <v>192</v>
      </c>
      <c r="J7" s="546" t="s">
        <v>202</v>
      </c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5" customHeight="1" x14ac:dyDescent="0.25">
      <c r="A8" s="548" t="s">
        <v>71</v>
      </c>
      <c r="B8" s="544" t="s">
        <v>213</v>
      </c>
      <c r="C8" s="555"/>
      <c r="D8" s="539"/>
      <c r="E8" s="540"/>
      <c r="F8" s="545"/>
      <c r="G8" s="539"/>
      <c r="H8" s="543"/>
      <c r="I8" s="560" t="s">
        <v>186</v>
      </c>
      <c r="J8" s="546" t="s">
        <v>200</v>
      </c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85.8" customHeight="1" x14ac:dyDescent="0.25">
      <c r="A9" s="548" t="s">
        <v>53</v>
      </c>
      <c r="B9" s="549" t="s">
        <v>214</v>
      </c>
      <c r="C9" s="550"/>
      <c r="D9" s="551"/>
      <c r="E9" s="552"/>
      <c r="F9" s="550"/>
      <c r="G9" s="550"/>
      <c r="H9" s="557"/>
      <c r="I9" s="559" t="s">
        <v>207</v>
      </c>
      <c r="J9" s="546" t="s">
        <v>208</v>
      </c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52.8" customHeight="1" x14ac:dyDescent="0.25">
      <c r="A10" s="548" t="s">
        <v>69</v>
      </c>
      <c r="B10" s="538" t="s">
        <v>215</v>
      </c>
      <c r="C10" s="539"/>
      <c r="D10" s="553"/>
      <c r="E10" s="542"/>
      <c r="F10" s="539"/>
      <c r="G10" s="541"/>
      <c r="H10" s="554"/>
      <c r="I10" s="560" t="s">
        <v>187</v>
      </c>
      <c r="J10" s="546" t="s">
        <v>209</v>
      </c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52.2" customHeight="1" x14ac:dyDescent="0.25">
      <c r="A11" s="548" t="s">
        <v>70</v>
      </c>
      <c r="B11" s="544" t="s">
        <v>216</v>
      </c>
      <c r="C11" s="555"/>
      <c r="D11" s="539"/>
      <c r="E11" s="540"/>
      <c r="F11" s="545"/>
      <c r="G11" s="539"/>
      <c r="H11" s="554"/>
      <c r="I11" s="559" t="s">
        <v>192</v>
      </c>
      <c r="J11" s="546" t="s">
        <v>202</v>
      </c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85.8" customHeight="1" x14ac:dyDescent="0.25">
      <c r="A12" s="548" t="s">
        <v>53</v>
      </c>
      <c r="B12" s="549" t="s">
        <v>217</v>
      </c>
      <c r="C12" s="550"/>
      <c r="D12" s="551"/>
      <c r="E12" s="552"/>
      <c r="F12" s="550"/>
      <c r="G12" s="550"/>
      <c r="H12" s="557"/>
      <c r="I12" s="559" t="s">
        <v>207</v>
      </c>
      <c r="J12" s="546" t="s">
        <v>208</v>
      </c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52.8" customHeight="1" x14ac:dyDescent="0.25">
      <c r="A13" s="548" t="s">
        <v>69</v>
      </c>
      <c r="B13" s="538" t="s">
        <v>218</v>
      </c>
      <c r="C13" s="539"/>
      <c r="D13" s="553"/>
      <c r="E13" s="542"/>
      <c r="F13" s="539"/>
      <c r="G13" s="541"/>
      <c r="H13" s="554"/>
      <c r="I13" s="560" t="s">
        <v>187</v>
      </c>
      <c r="J13" s="546" t="s">
        <v>209</v>
      </c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52.2" customHeight="1" x14ac:dyDescent="0.25">
      <c r="A14" s="548" t="s">
        <v>70</v>
      </c>
      <c r="B14" s="544" t="s">
        <v>219</v>
      </c>
      <c r="C14" s="555"/>
      <c r="D14" s="539"/>
      <c r="E14" s="540"/>
      <c r="F14" s="545"/>
      <c r="G14" s="539"/>
      <c r="H14" s="554"/>
      <c r="I14" s="559" t="s">
        <v>192</v>
      </c>
      <c r="J14" s="546" t="s">
        <v>202</v>
      </c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45" customHeight="1" x14ac:dyDescent="0.25">
      <c r="A15" s="548" t="s">
        <v>71</v>
      </c>
      <c r="B15" s="544" t="s">
        <v>220</v>
      </c>
      <c r="C15" s="555"/>
      <c r="D15" s="539"/>
      <c r="E15" s="540"/>
      <c r="F15" s="545"/>
      <c r="G15" s="539"/>
      <c r="H15" s="543"/>
      <c r="I15" s="560" t="s">
        <v>186</v>
      </c>
      <c r="J15" s="546" t="s">
        <v>200</v>
      </c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85.8" customHeight="1" x14ac:dyDescent="0.25">
      <c r="A16" s="548" t="s">
        <v>53</v>
      </c>
      <c r="B16" s="549" t="s">
        <v>221</v>
      </c>
      <c r="C16" s="550"/>
      <c r="D16" s="551"/>
      <c r="E16" s="552"/>
      <c r="F16" s="550"/>
      <c r="G16" s="550"/>
      <c r="H16" s="557"/>
      <c r="I16" s="559" t="s">
        <v>207</v>
      </c>
      <c r="J16" s="546" t="s">
        <v>208</v>
      </c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23" customFormat="1" ht="52.8" customHeight="1" x14ac:dyDescent="0.25">
      <c r="A17" s="548" t="s">
        <v>69</v>
      </c>
      <c r="B17" s="538" t="s">
        <v>222</v>
      </c>
      <c r="C17" s="539"/>
      <c r="D17" s="553"/>
      <c r="E17" s="542"/>
      <c r="F17" s="539"/>
      <c r="G17" s="541"/>
      <c r="H17" s="554"/>
      <c r="I17" s="560" t="s">
        <v>187</v>
      </c>
      <c r="J17" s="546" t="s">
        <v>209</v>
      </c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23" customFormat="1" ht="52.2" customHeight="1" x14ac:dyDescent="0.25">
      <c r="A18" s="548" t="s">
        <v>70</v>
      </c>
      <c r="B18" s="544" t="s">
        <v>223</v>
      </c>
      <c r="C18" s="555"/>
      <c r="D18" s="539"/>
      <c r="E18" s="540"/>
      <c r="F18" s="545"/>
      <c r="G18" s="539"/>
      <c r="H18" s="554"/>
      <c r="I18" s="559" t="s">
        <v>192</v>
      </c>
      <c r="J18" s="546" t="s">
        <v>202</v>
      </c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23" customFormat="1" ht="85.8" customHeight="1" x14ac:dyDescent="0.25">
      <c r="A19" s="548" t="s">
        <v>53</v>
      </c>
      <c r="B19" s="549" t="s">
        <v>224</v>
      </c>
      <c r="C19" s="550"/>
      <c r="D19" s="551"/>
      <c r="E19" s="552"/>
      <c r="F19" s="550"/>
      <c r="G19" s="550"/>
      <c r="H19" s="557"/>
      <c r="I19" s="559" t="s">
        <v>207</v>
      </c>
      <c r="J19" s="546" t="s">
        <v>208</v>
      </c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23" customFormat="1" ht="52.8" customHeight="1" x14ac:dyDescent="0.25">
      <c r="A20" s="548" t="s">
        <v>69</v>
      </c>
      <c r="B20" s="538" t="s">
        <v>225</v>
      </c>
      <c r="C20" s="539"/>
      <c r="D20" s="553"/>
      <c r="E20" s="542"/>
      <c r="F20" s="539"/>
      <c r="G20" s="541"/>
      <c r="H20" s="554"/>
      <c r="I20" s="560" t="s">
        <v>187</v>
      </c>
      <c r="J20" s="546" t="s">
        <v>209</v>
      </c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23" customFormat="1" ht="52.2" customHeight="1" x14ac:dyDescent="0.25">
      <c r="A21" s="548" t="s">
        <v>70</v>
      </c>
      <c r="B21" s="544" t="s">
        <v>226</v>
      </c>
      <c r="C21" s="555"/>
      <c r="D21" s="539"/>
      <c r="E21" s="540"/>
      <c r="F21" s="545"/>
      <c r="G21" s="539"/>
      <c r="H21" s="554"/>
      <c r="I21" s="559" t="s">
        <v>192</v>
      </c>
      <c r="J21" s="546" t="s">
        <v>202</v>
      </c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45" customHeight="1" x14ac:dyDescent="0.25">
      <c r="A22" s="548" t="s">
        <v>71</v>
      </c>
      <c r="B22" s="544" t="s">
        <v>227</v>
      </c>
      <c r="C22" s="555"/>
      <c r="D22" s="539"/>
      <c r="E22" s="540"/>
      <c r="F22" s="545"/>
      <c r="G22" s="539"/>
      <c r="H22" s="543"/>
      <c r="I22" s="560" t="s">
        <v>186</v>
      </c>
      <c r="J22" s="546" t="s">
        <v>200</v>
      </c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85.8" customHeight="1" x14ac:dyDescent="0.25">
      <c r="A23" s="548" t="s">
        <v>53</v>
      </c>
      <c r="B23" s="549" t="s">
        <v>228</v>
      </c>
      <c r="C23" s="550"/>
      <c r="D23" s="551"/>
      <c r="E23" s="552"/>
      <c r="F23" s="550"/>
      <c r="G23" s="550"/>
      <c r="H23" s="557"/>
      <c r="I23" s="559" t="s">
        <v>207</v>
      </c>
      <c r="J23" s="546" t="s">
        <v>208</v>
      </c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52.8" customHeight="1" x14ac:dyDescent="0.25">
      <c r="A24" s="548" t="s">
        <v>69</v>
      </c>
      <c r="B24" s="538" t="s">
        <v>229</v>
      </c>
      <c r="C24" s="539"/>
      <c r="D24" s="553"/>
      <c r="E24" s="542"/>
      <c r="F24" s="539"/>
      <c r="G24" s="541"/>
      <c r="H24" s="554"/>
      <c r="I24" s="560" t="s">
        <v>187</v>
      </c>
      <c r="J24" s="546" t="s">
        <v>209</v>
      </c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3" customFormat="1" ht="52.2" customHeight="1" x14ac:dyDescent="0.25">
      <c r="A25" s="548" t="s">
        <v>70</v>
      </c>
      <c r="B25" s="544" t="s">
        <v>230</v>
      </c>
      <c r="C25" s="555"/>
      <c r="D25" s="539"/>
      <c r="E25" s="540"/>
      <c r="F25" s="545"/>
      <c r="G25" s="539"/>
      <c r="H25" s="554"/>
      <c r="I25" s="559" t="s">
        <v>192</v>
      </c>
      <c r="J25" s="546" t="s">
        <v>202</v>
      </c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</row>
    <row r="26" spans="1:35" s="323" customFormat="1" ht="85.8" customHeight="1" x14ac:dyDescent="0.25">
      <c r="A26" s="548" t="s">
        <v>53</v>
      </c>
      <c r="B26" s="549" t="s">
        <v>231</v>
      </c>
      <c r="C26" s="550"/>
      <c r="D26" s="551"/>
      <c r="E26" s="552"/>
      <c r="F26" s="550"/>
      <c r="G26" s="550"/>
      <c r="H26" s="557"/>
      <c r="I26" s="559" t="s">
        <v>207</v>
      </c>
      <c r="J26" s="546" t="s">
        <v>208</v>
      </c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</row>
    <row r="27" spans="1:35" s="323" customFormat="1" ht="52.8" customHeight="1" x14ac:dyDescent="0.25">
      <c r="A27" s="548" t="s">
        <v>69</v>
      </c>
      <c r="B27" s="538"/>
      <c r="C27" s="539"/>
      <c r="D27" s="553"/>
      <c r="E27" s="542"/>
      <c r="F27" s="539"/>
      <c r="G27" s="541"/>
      <c r="H27" s="554"/>
      <c r="I27" s="560" t="s">
        <v>187</v>
      </c>
      <c r="J27" s="546" t="s">
        <v>209</v>
      </c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</row>
    <row r="28" spans="1:35" s="323" customFormat="1" ht="52.2" customHeight="1" x14ac:dyDescent="0.25">
      <c r="A28" s="548" t="s">
        <v>70</v>
      </c>
      <c r="B28" s="544"/>
      <c r="C28" s="555"/>
      <c r="D28" s="539"/>
      <c r="E28" s="540"/>
      <c r="F28" s="545"/>
      <c r="G28" s="539"/>
      <c r="H28" s="554"/>
      <c r="I28" s="559" t="s">
        <v>192</v>
      </c>
      <c r="J28" s="546" t="s">
        <v>202</v>
      </c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23" customFormat="1" ht="45" customHeight="1" x14ac:dyDescent="0.25">
      <c r="A29" s="548" t="s">
        <v>71</v>
      </c>
      <c r="B29" s="544"/>
      <c r="C29" s="555"/>
      <c r="D29" s="539"/>
      <c r="E29" s="540"/>
      <c r="F29" s="545"/>
      <c r="G29" s="539"/>
      <c r="H29" s="543"/>
      <c r="I29" s="560" t="s">
        <v>186</v>
      </c>
      <c r="J29" s="546" t="s">
        <v>200</v>
      </c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</row>
    <row r="30" spans="1:35" s="323" customFormat="1" ht="85.8" customHeight="1" x14ac:dyDescent="0.25">
      <c r="A30" s="548" t="s">
        <v>53</v>
      </c>
      <c r="B30" s="549"/>
      <c r="C30" s="550"/>
      <c r="D30" s="551"/>
      <c r="E30" s="552"/>
      <c r="F30" s="550"/>
      <c r="G30" s="550"/>
      <c r="H30" s="557"/>
      <c r="I30" s="559" t="s">
        <v>207</v>
      </c>
      <c r="J30" s="546" t="s">
        <v>208</v>
      </c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</row>
    <row r="31" spans="1:35" s="323" customFormat="1" ht="52.8" customHeight="1" x14ac:dyDescent="0.25">
      <c r="A31" s="548" t="s">
        <v>69</v>
      </c>
      <c r="B31" s="538"/>
      <c r="C31" s="539"/>
      <c r="D31" s="553"/>
      <c r="E31" s="542"/>
      <c r="F31" s="539"/>
      <c r="G31" s="541"/>
      <c r="H31" s="554"/>
      <c r="I31" s="560" t="s">
        <v>187</v>
      </c>
      <c r="J31" s="546" t="s">
        <v>209</v>
      </c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</row>
    <row r="32" spans="1:35" s="323" customFormat="1" ht="52.2" customHeight="1" x14ac:dyDescent="0.25">
      <c r="A32" s="548" t="s">
        <v>70</v>
      </c>
      <c r="B32" s="544"/>
      <c r="C32" s="555"/>
      <c r="D32" s="539"/>
      <c r="E32" s="540"/>
      <c r="F32" s="545"/>
      <c r="G32" s="539"/>
      <c r="H32" s="554"/>
      <c r="I32" s="559" t="s">
        <v>192</v>
      </c>
      <c r="J32" s="546" t="s">
        <v>202</v>
      </c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</row>
    <row r="33" spans="1:35" s="323" customFormat="1" ht="45" customHeight="1" x14ac:dyDescent="0.25">
      <c r="A33" s="548" t="s">
        <v>71</v>
      </c>
      <c r="B33" s="544"/>
      <c r="C33" s="555"/>
      <c r="D33" s="539"/>
      <c r="E33" s="540"/>
      <c r="F33" s="545"/>
      <c r="G33" s="539"/>
      <c r="H33" s="543"/>
      <c r="I33" s="560" t="s">
        <v>186</v>
      </c>
      <c r="J33" s="546" t="s">
        <v>200</v>
      </c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</row>
    <row r="34" spans="1:35" s="323" customFormat="1" ht="39" customHeight="1" x14ac:dyDescent="0.25">
      <c r="A34" s="548" t="s">
        <v>72</v>
      </c>
      <c r="B34" s="544"/>
      <c r="C34" s="555"/>
      <c r="D34" s="539"/>
      <c r="E34" s="540"/>
      <c r="F34" s="545"/>
      <c r="G34" s="539"/>
      <c r="H34" s="556"/>
      <c r="I34" s="561" t="s">
        <v>195</v>
      </c>
      <c r="J34" s="546" t="s">
        <v>201</v>
      </c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</row>
    <row r="35" spans="1:35" s="324" customFormat="1" ht="22.8" customHeight="1" x14ac:dyDescent="0.25">
      <c r="A35" s="533"/>
      <c r="B35" s="533" t="s">
        <v>47</v>
      </c>
      <c r="C35" s="534">
        <f>SUM(C5:C34)</f>
        <v>0</v>
      </c>
      <c r="D35" s="534">
        <f>SUM(D5:D34)</f>
        <v>0</v>
      </c>
      <c r="E35" s="534">
        <f>SUM(E5:E34)</f>
        <v>0</v>
      </c>
      <c r="F35" s="534"/>
      <c r="G35" s="534"/>
      <c r="H35" s="534"/>
      <c r="I35" s="558"/>
      <c r="J35" s="498"/>
    </row>
    <row r="36" spans="1:35" ht="19.8" customHeight="1" x14ac:dyDescent="0.25">
      <c r="C36" s="339"/>
      <c r="D36" s="339"/>
      <c r="E36" s="339"/>
      <c r="F36" s="339"/>
      <c r="G36" s="339"/>
      <c r="H36" s="339"/>
    </row>
    <row r="37" spans="1:35" x14ac:dyDescent="0.25">
      <c r="C37" s="339"/>
      <c r="D37" s="339"/>
      <c r="E37" s="339"/>
      <c r="F37" s="339"/>
      <c r="G37" s="339"/>
      <c r="H37" s="339"/>
    </row>
    <row r="38" spans="1:35" x14ac:dyDescent="0.25">
      <c r="C38" s="339"/>
      <c r="D38" s="339"/>
      <c r="E38" s="339"/>
      <c r="F38" s="339"/>
      <c r="G38" s="339"/>
      <c r="H38" s="339"/>
    </row>
    <row r="39" spans="1:35" x14ac:dyDescent="0.25">
      <c r="C39" s="339"/>
      <c r="D39" s="339"/>
      <c r="E39" s="339"/>
      <c r="F39" s="339"/>
      <c r="G39" s="339"/>
      <c r="H39" s="339"/>
    </row>
  </sheetData>
  <mergeCells count="10">
    <mergeCell ref="A1:H2"/>
    <mergeCell ref="I2:J2"/>
    <mergeCell ref="A3:A4"/>
    <mergeCell ref="B3:B4"/>
    <mergeCell ref="C3:C4"/>
    <mergeCell ref="D3:D4"/>
    <mergeCell ref="E3:E4"/>
    <mergeCell ref="F3:F4"/>
    <mergeCell ref="G3:G4"/>
    <mergeCell ref="H3:H4"/>
  </mergeCells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935" t="s">
        <v>149</v>
      </c>
      <c r="B2" s="935"/>
      <c r="C2" s="935"/>
      <c r="D2" s="935"/>
      <c r="E2" s="935"/>
      <c r="F2" s="935"/>
      <c r="G2" s="935"/>
      <c r="H2" s="935"/>
      <c r="I2" s="935"/>
      <c r="J2" s="935"/>
      <c r="K2" s="935"/>
      <c r="L2" s="935"/>
      <c r="M2" s="935"/>
      <c r="N2" s="935"/>
      <c r="O2" s="935"/>
      <c r="P2" s="935"/>
      <c r="Q2" s="935"/>
      <c r="R2" s="935"/>
      <c r="S2" s="935"/>
      <c r="T2" s="935"/>
      <c r="U2" s="935"/>
      <c r="V2" s="935"/>
      <c r="W2" s="935"/>
      <c r="X2" s="935"/>
      <c r="Y2" s="935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936" t="s">
        <v>118</v>
      </c>
      <c r="B4" s="939" t="s">
        <v>2</v>
      </c>
      <c r="C4" s="941" t="s">
        <v>119</v>
      </c>
      <c r="D4" s="942"/>
      <c r="E4" s="945" t="s">
        <v>120</v>
      </c>
      <c r="F4" s="933" t="s">
        <v>121</v>
      </c>
      <c r="G4" s="948"/>
      <c r="H4" s="948"/>
      <c r="I4" s="948"/>
      <c r="J4" s="948"/>
      <c r="K4" s="948"/>
      <c r="L4" s="948"/>
      <c r="M4" s="948"/>
      <c r="N4" s="948"/>
      <c r="O4" s="948"/>
      <c r="P4" s="948"/>
      <c r="Q4" s="948"/>
      <c r="R4" s="948"/>
      <c r="S4" s="948"/>
      <c r="T4" s="948"/>
      <c r="U4" s="948"/>
      <c r="V4" s="948"/>
      <c r="W4" s="934"/>
      <c r="X4" s="512"/>
      <c r="Y4" s="941" t="s">
        <v>122</v>
      </c>
      <c r="Z4" s="949"/>
      <c r="AA4" s="942"/>
      <c r="AB4" s="927" t="s">
        <v>123</v>
      </c>
      <c r="AC4" s="928"/>
      <c r="AD4" s="929"/>
    </row>
    <row r="5" spans="1:30" ht="15.45" customHeight="1" x14ac:dyDescent="0.25">
      <c r="A5" s="937"/>
      <c r="B5" s="919"/>
      <c r="C5" s="943"/>
      <c r="D5" s="944"/>
      <c r="E5" s="946"/>
      <c r="F5" s="933" t="s">
        <v>143</v>
      </c>
      <c r="G5" s="934"/>
      <c r="H5" s="933" t="s">
        <v>144</v>
      </c>
      <c r="I5" s="934"/>
      <c r="J5" s="933" t="s">
        <v>145</v>
      </c>
      <c r="K5" s="934"/>
      <c r="L5" s="933" t="s">
        <v>156</v>
      </c>
      <c r="M5" s="934"/>
      <c r="N5" s="933" t="s">
        <v>155</v>
      </c>
      <c r="O5" s="934"/>
      <c r="P5" s="933" t="s">
        <v>159</v>
      </c>
      <c r="Q5" s="934"/>
      <c r="R5" s="933" t="s">
        <v>166</v>
      </c>
      <c r="S5" s="934"/>
      <c r="T5" s="933"/>
      <c r="U5" s="934"/>
      <c r="V5" s="933"/>
      <c r="W5" s="934"/>
      <c r="X5" s="513"/>
      <c r="Y5" s="943"/>
      <c r="Z5" s="950"/>
      <c r="AA5" s="944"/>
      <c r="AB5" s="930"/>
      <c r="AC5" s="931"/>
      <c r="AD5" s="932"/>
    </row>
    <row r="6" spans="1:30" ht="27.75" customHeight="1" x14ac:dyDescent="0.25">
      <c r="A6" s="938"/>
      <c r="B6" s="940"/>
      <c r="C6" s="314" t="s">
        <v>124</v>
      </c>
      <c r="D6" s="315" t="s">
        <v>125</v>
      </c>
      <c r="E6" s="947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909">
        <v>1</v>
      </c>
      <c r="B8" s="924" t="s">
        <v>95</v>
      </c>
      <c r="C8" s="901" t="s">
        <v>53</v>
      </c>
      <c r="D8" s="903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906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922"/>
      <c r="B9" s="925"/>
      <c r="C9" s="902"/>
      <c r="D9" s="904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907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922"/>
      <c r="B10" s="925"/>
      <c r="C10" s="902"/>
      <c r="D10" s="904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907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922"/>
      <c r="B11" s="925"/>
      <c r="C11" s="902"/>
      <c r="D11" s="904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907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922"/>
      <c r="B12" s="925"/>
      <c r="C12" s="902"/>
      <c r="D12" s="904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907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922"/>
      <c r="B13" s="925"/>
      <c r="C13" s="902"/>
      <c r="D13" s="904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907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922"/>
      <c r="B14" s="925"/>
      <c r="C14" s="902"/>
      <c r="D14" s="904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907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922"/>
      <c r="B15" s="925"/>
      <c r="C15" s="902"/>
      <c r="D15" s="904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907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922"/>
      <c r="B16" s="925"/>
      <c r="C16" s="902"/>
      <c r="D16" s="904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907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922"/>
      <c r="B17" s="925"/>
      <c r="C17" s="902"/>
      <c r="D17" s="904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907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922"/>
      <c r="B18" s="925"/>
      <c r="C18" s="902"/>
      <c r="D18" s="904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907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922"/>
      <c r="B19" s="925"/>
      <c r="C19" s="902"/>
      <c r="D19" s="904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907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922"/>
      <c r="B20" s="925"/>
      <c r="C20" s="902"/>
      <c r="D20" s="904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907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922"/>
      <c r="B21" s="925"/>
      <c r="C21" s="880"/>
      <c r="D21" s="904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907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923"/>
      <c r="B22" s="926"/>
      <c r="C22" s="896"/>
      <c r="D22" s="905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908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916">
        <v>2</v>
      </c>
      <c r="B25" s="917" t="s">
        <v>157</v>
      </c>
      <c r="C25" s="919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920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98"/>
      <c r="B26" s="918"/>
      <c r="C26" s="896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921"/>
      <c r="AB26" s="418"/>
      <c r="AC26" s="418"/>
      <c r="AD26" s="419"/>
    </row>
    <row r="27" spans="1:30" s="323" customFormat="1" ht="12" customHeight="1" x14ac:dyDescent="0.25">
      <c r="A27" s="909">
        <v>3</v>
      </c>
      <c r="B27" s="910" t="s">
        <v>98</v>
      </c>
      <c r="C27" s="510"/>
      <c r="D27" s="913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97"/>
      <c r="B28" s="911"/>
      <c r="C28" s="511"/>
      <c r="D28" s="914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98"/>
      <c r="B29" s="912"/>
      <c r="C29" s="397"/>
      <c r="D29" s="915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81">
        <f>A8+1</f>
        <v>2</v>
      </c>
      <c r="B30" s="884" t="s">
        <v>152</v>
      </c>
      <c r="C30" s="887" t="s">
        <v>69</v>
      </c>
      <c r="D30" s="890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79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82"/>
      <c r="B31" s="885"/>
      <c r="C31" s="888"/>
      <c r="D31" s="891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880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82"/>
      <c r="B32" s="885"/>
      <c r="C32" s="880"/>
      <c r="D32" s="891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880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82"/>
      <c r="B33" s="885"/>
      <c r="C33" s="880"/>
      <c r="D33" s="891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880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82"/>
      <c r="B34" s="885"/>
      <c r="C34" s="880"/>
      <c r="D34" s="891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880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82"/>
      <c r="B35" s="885"/>
      <c r="C35" s="880"/>
      <c r="D35" s="891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880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82"/>
      <c r="B36" s="885"/>
      <c r="C36" s="880"/>
      <c r="D36" s="891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880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82"/>
      <c r="B37" s="885"/>
      <c r="C37" s="880"/>
      <c r="D37" s="891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880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82"/>
      <c r="B38" s="885"/>
      <c r="C38" s="880"/>
      <c r="D38" s="891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880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82"/>
      <c r="B39" s="885"/>
      <c r="C39" s="880"/>
      <c r="D39" s="891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880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82"/>
      <c r="B40" s="885"/>
      <c r="C40" s="880"/>
      <c r="D40" s="891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880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82"/>
      <c r="B41" s="885"/>
      <c r="C41" s="880"/>
      <c r="D41" s="891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880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82"/>
      <c r="B42" s="885"/>
      <c r="C42" s="880"/>
      <c r="D42" s="891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880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82"/>
      <c r="B43" s="885"/>
      <c r="C43" s="880"/>
      <c r="D43" s="891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880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82"/>
      <c r="B44" s="885"/>
      <c r="C44" s="880"/>
      <c r="D44" s="891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880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83"/>
      <c r="B45" s="886"/>
      <c r="C45" s="896"/>
      <c r="D45" s="892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81">
        <v>3</v>
      </c>
      <c r="B47" s="884" t="s">
        <v>146</v>
      </c>
      <c r="C47" s="887" t="s">
        <v>70</v>
      </c>
      <c r="D47" s="890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93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82"/>
      <c r="B48" s="885"/>
      <c r="C48" s="888"/>
      <c r="D48" s="891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94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82"/>
      <c r="B49" s="885"/>
      <c r="C49" s="888"/>
      <c r="D49" s="891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94"/>
      <c r="AB49" s="415">
        <f>Z49</f>
        <v>197627.09</v>
      </c>
      <c r="AC49" s="415"/>
      <c r="AD49" s="443"/>
    </row>
    <row r="50" spans="1:30" s="323" customFormat="1" ht="12" customHeight="1" x14ac:dyDescent="0.25">
      <c r="A50" s="882"/>
      <c r="B50" s="885"/>
      <c r="C50" s="888"/>
      <c r="D50" s="891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94"/>
      <c r="AB50" s="415"/>
      <c r="AC50" s="415"/>
      <c r="AD50" s="443"/>
    </row>
    <row r="51" spans="1:30" s="323" customFormat="1" ht="12" customHeight="1" thickBot="1" x14ac:dyDescent="0.3">
      <c r="A51" s="882"/>
      <c r="B51" s="885"/>
      <c r="C51" s="888"/>
      <c r="D51" s="891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95"/>
      <c r="AB51" s="415"/>
      <c r="AC51" s="415"/>
      <c r="AD51" s="444"/>
    </row>
    <row r="52" spans="1:30" s="323" customFormat="1" ht="12.6" customHeight="1" thickBot="1" x14ac:dyDescent="0.3">
      <c r="A52" s="883"/>
      <c r="B52" s="886"/>
      <c r="C52" s="889"/>
      <c r="D52" s="892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81">
        <v>4</v>
      </c>
      <c r="B53" s="884" t="s">
        <v>151</v>
      </c>
      <c r="C53" s="887" t="s">
        <v>71</v>
      </c>
      <c r="D53" s="890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77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97"/>
      <c r="B54" s="899"/>
      <c r="C54" s="880"/>
      <c r="D54" s="880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78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97"/>
      <c r="B55" s="899"/>
      <c r="C55" s="880"/>
      <c r="D55" s="880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78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97"/>
      <c r="B56" s="899"/>
      <c r="C56" s="880"/>
      <c r="D56" s="880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78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97"/>
      <c r="B57" s="899"/>
      <c r="C57" s="880"/>
      <c r="D57" s="880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78"/>
      <c r="AB57" s="370"/>
      <c r="AC57" s="370"/>
      <c r="AD57" s="446"/>
    </row>
    <row r="58" spans="1:30" s="323" customFormat="1" ht="13.2" customHeight="1" thickBot="1" x14ac:dyDescent="0.3">
      <c r="A58" s="898"/>
      <c r="B58" s="900"/>
      <c r="C58" s="896"/>
      <c r="D58" s="896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81">
        <v>5</v>
      </c>
      <c r="B59" s="884" t="s">
        <v>154</v>
      </c>
      <c r="C59" s="887" t="s">
        <v>72</v>
      </c>
      <c r="D59" s="890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97"/>
      <c r="B60" s="899"/>
      <c r="C60" s="880"/>
      <c r="D60" s="880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97"/>
      <c r="B61" s="899"/>
      <c r="C61" s="880"/>
      <c r="D61" s="880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97"/>
      <c r="B62" s="899"/>
      <c r="C62" s="880"/>
      <c r="D62" s="880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97"/>
      <c r="B63" s="899"/>
      <c r="C63" s="880"/>
      <c r="D63" s="880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98"/>
      <c r="B64" s="900"/>
      <c r="C64" s="896"/>
      <c r="D64" s="896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951" t="s">
        <v>181</v>
      </c>
      <c r="B2" s="951"/>
      <c r="C2" s="951"/>
      <c r="D2" s="952"/>
      <c r="E2" s="952"/>
    </row>
    <row r="3" spans="1:5" ht="15" customHeight="1" x14ac:dyDescent="0.25">
      <c r="A3" s="309"/>
      <c r="B3" s="309"/>
      <c r="C3" s="309"/>
      <c r="D3" s="931" t="s">
        <v>182</v>
      </c>
      <c r="E3" s="931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922">
        <v>1</v>
      </c>
      <c r="B5" s="925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922"/>
      <c r="B6" s="925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922"/>
      <c r="B7" s="925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922"/>
      <c r="B8" s="925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922"/>
      <c r="B9" s="925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922"/>
      <c r="B10" s="925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922"/>
      <c r="B11" s="925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922"/>
      <c r="B12" s="925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922"/>
      <c r="B13" s="925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922"/>
      <c r="B14" s="925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922"/>
      <c r="B15" s="925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922"/>
      <c r="B16" s="925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922"/>
      <c r="B17" s="925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922"/>
      <c r="B18" s="925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922"/>
      <c r="B19" s="925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82">
        <f>A5+1</f>
        <v>2</v>
      </c>
      <c r="B23" s="885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82"/>
      <c r="B24" s="885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82"/>
      <c r="B25" s="885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82"/>
      <c r="B26" s="885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82"/>
      <c r="B27" s="885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82"/>
      <c r="B28" s="885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82"/>
      <c r="B29" s="885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82"/>
      <c r="B30" s="885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82"/>
      <c r="B31" s="885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82"/>
      <c r="B32" s="885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82"/>
      <c r="B33" s="885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82"/>
      <c r="B34" s="885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82"/>
      <c r="B35" s="885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82"/>
      <c r="B36" s="885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82"/>
      <c r="B37" s="885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82"/>
      <c r="B38" s="885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82"/>
      <c r="B39" s="885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82"/>
      <c r="B40" s="885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82"/>
      <c r="B41" s="885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82"/>
      <c r="B42" s="885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81">
        <v>3</v>
      </c>
      <c r="B43" s="884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82"/>
      <c r="B44" s="885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82"/>
      <c r="B45" s="885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82"/>
      <c r="B46" s="885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83"/>
      <c r="B47" s="886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81">
        <v>4</v>
      </c>
      <c r="B48" s="884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97"/>
      <c r="B49" s="899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97"/>
      <c r="B50" s="899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97"/>
      <c r="B51" s="899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953" t="s">
        <v>6</v>
      </c>
      <c r="B1" s="953"/>
      <c r="C1" s="953"/>
      <c r="D1" s="953"/>
      <c r="E1" s="953"/>
      <c r="F1" s="953"/>
    </row>
    <row r="2" spans="1:8" s="91" customFormat="1" ht="12.75" customHeight="1" x14ac:dyDescent="0.25">
      <c r="A2" s="954"/>
      <c r="B2" s="954"/>
      <c r="C2" s="954"/>
      <c r="D2" s="954"/>
      <c r="E2" s="954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 ДЦ 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'Реєстр ДЦ  (2)'!Область_печати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2024-08-07T07:28:34Z</cp:lastPrinted>
  <dcterms:created xsi:type="dcterms:W3CDTF">2016-07-15T13:11:41Z</dcterms:created>
  <dcterms:modified xsi:type="dcterms:W3CDTF">2025-01-10T09:02:05Z</dcterms:modified>
</cp:coreProperties>
</file>
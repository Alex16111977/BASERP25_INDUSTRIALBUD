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11.09.2023" sheetId="2" r:id="rId1"/>
  </sheets>
  <definedNames>
    <definedName name="_xlnm.Print_Area" localSheetId="0">'11.09.2023'!$A$1:$F$16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2" l="1"/>
  <c r="E15" i="2"/>
  <c r="E14" i="2" l="1"/>
  <c r="E16" i="2" l="1"/>
  <c r="E13" i="2" l="1"/>
  <c r="E12" i="2"/>
  <c r="E11" i="2" l="1"/>
  <c r="G16" i="2" l="1"/>
  <c r="F16" i="2" l="1"/>
</calcChain>
</file>

<file path=xl/sharedStrings.xml><?xml version="1.0" encoding="utf-8"?>
<sst xmlns="http://schemas.openxmlformats.org/spreadsheetml/2006/main" count="49" uniqueCount="26">
  <si>
    <t>№</t>
  </si>
  <si>
    <t>Найменування ТЗ</t>
  </si>
  <si>
    <t>Всього, грн</t>
  </si>
  <si>
    <t>Сума ТЗ в новой редакции, грн</t>
  </si>
  <si>
    <t>АР внутрішне оздоблення станція очистки</t>
  </si>
  <si>
    <t>подписан</t>
  </si>
  <si>
    <t>АР Станция Водоподготовка</t>
  </si>
  <si>
    <t>КБ Благоустройство ЦПП</t>
  </si>
  <si>
    <t>КБ Благоустройство ЦПП+цех экстракции</t>
  </si>
  <si>
    <t>подписано</t>
  </si>
  <si>
    <t>оплачено</t>
  </si>
  <si>
    <t>Подписано и оплачено</t>
  </si>
  <si>
    <t>Статус</t>
  </si>
  <si>
    <t>Оплата</t>
  </si>
  <si>
    <t>Сумма к оплате</t>
  </si>
  <si>
    <t xml:space="preserve">Улаштування додаткових люків поз. 4.12.6, 4.12.2, 4.12.3, 4.12.7, 4.12.4 </t>
  </si>
  <si>
    <t>«Виготовлення та монтаж  опор металевих ОМ-1 під труби В1 та В1.1 поз.4.12.6 згідно ГП</t>
  </si>
  <si>
    <t>АР Станція очистки. Приміщення електрощитової</t>
  </si>
  <si>
    <t>КМ Навес узла очистки жд и авто цистерн</t>
  </si>
  <si>
    <t>КМР Шрот</t>
  </si>
  <si>
    <t>Станция очистки Вимощення</t>
  </si>
  <si>
    <t>АР Шрот 18.12.2023-3.3.3-АР</t>
  </si>
  <si>
    <t>АР Станция наливу 13.12.2023-3.4.5-АР</t>
  </si>
  <si>
    <t>АР Будівля для резервуарів (пропарка)</t>
  </si>
  <si>
    <t>Будівля резервуарів Секційні ворота</t>
  </si>
  <si>
    <t>после подписания будет отправен на Заказчика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</si>
</sst>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name val="Times New Roman"/>
      <family val="1"/>
      <charset val="204"/>
    </font>
    <font>
      <sz val="11"/>
      <name val="Times New Roman"/>
      <family val="1"/>
      <charset val="204"/>
    </font>
    <font>
      <i/>
      <sz val="9"/>
      <color theme="1"/>
      <name val="Calibri"/>
      <family val="2"/>
      <charset val="204"/>
      <scheme val="minor"/>
    </font>
    <font>
      <i/>
      <sz val="1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2" fillId="0" borderId="0" xfId="0" applyFont="1" applyFill="1" applyBorder="1"/>
    <xf numFmtId="4" fontId="1" fillId="0" borderId="0" xfId="0" applyNumberFormat="1" applyFont="1" applyBorder="1" applyAlignment="1">
      <alignment horizontal="center"/>
    </xf>
    <xf numFmtId="4" fontId="0" fillId="0" borderId="0" xfId="0" applyNumberFormat="1"/>
    <xf numFmtId="10" fontId="0" fillId="0" borderId="0" xfId="0" applyNumberFormat="1"/>
    <xf numFmtId="43" fontId="0" fillId="0" borderId="0" xfId="1" applyFont="1"/>
    <xf numFmtId="43" fontId="0" fillId="0" borderId="0" xfId="0" applyNumberFormat="1"/>
    <xf numFmtId="43" fontId="1" fillId="2" borderId="0" xfId="1" applyFont="1" applyFill="1"/>
    <xf numFmtId="43" fontId="1" fillId="0" borderId="0" xfId="1" applyFont="1"/>
    <xf numFmtId="0" fontId="0" fillId="0" borderId="0" xfId="0" applyFont="1"/>
    <xf numFmtId="0" fontId="0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3" fontId="5" fillId="2" borderId="3" xfId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43" fontId="1" fillId="0" borderId="0" xfId="0" applyNumberFormat="1" applyFont="1" applyBorder="1"/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left" vertical="center" wrapText="1"/>
    </xf>
    <xf numFmtId="43" fontId="7" fillId="3" borderId="9" xfId="1" applyFont="1" applyFill="1" applyBorder="1" applyAlignment="1">
      <alignment horizontal="center" vertical="center" wrapText="1"/>
    </xf>
    <xf numFmtId="43" fontId="7" fillId="3" borderId="12" xfId="1" applyFont="1" applyFill="1" applyBorder="1" applyAlignment="1">
      <alignment horizontal="center" vertical="center" wrapText="1"/>
    </xf>
    <xf numFmtId="43" fontId="7" fillId="2" borderId="1" xfId="1" applyFont="1" applyFill="1" applyBorder="1" applyAlignment="1">
      <alignment horizontal="right" vertical="center" wrapText="1"/>
    </xf>
    <xf numFmtId="43" fontId="7" fillId="2" borderId="3" xfId="1" applyFont="1" applyFill="1" applyBorder="1" applyAlignment="1">
      <alignment horizontal="right" vertical="center" wrapText="1"/>
    </xf>
    <xf numFmtId="0" fontId="7" fillId="3" borderId="10" xfId="0" applyFont="1" applyFill="1" applyBorder="1" applyAlignment="1">
      <alignment horizontal="center"/>
    </xf>
    <xf numFmtId="43" fontId="7" fillId="3" borderId="1" xfId="1" applyFont="1" applyFill="1" applyBorder="1" applyAlignment="1">
      <alignment horizontal="center" vertical="center" wrapText="1"/>
    </xf>
    <xf numFmtId="43" fontId="7" fillId="3" borderId="11" xfId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43" fontId="7" fillId="2" borderId="3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43" fontId="7" fillId="2" borderId="5" xfId="1" applyFont="1" applyFill="1" applyBorder="1" applyAlignment="1">
      <alignment horizontal="right" vertical="center" wrapText="1"/>
    </xf>
    <xf numFmtId="0" fontId="4" fillId="3" borderId="10" xfId="0" applyFont="1" applyFill="1" applyBorder="1" applyAlignment="1">
      <alignment horizontal="center" vertical="center"/>
    </xf>
    <xf numFmtId="43" fontId="4" fillId="3" borderId="1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43" fontId="4" fillId="3" borderId="1" xfId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wrapText="1"/>
    </xf>
    <xf numFmtId="43" fontId="5" fillId="3" borderId="4" xfId="1" applyFont="1" applyFill="1" applyBorder="1" applyAlignment="1">
      <alignment horizontal="center" vertical="center" wrapText="1"/>
    </xf>
    <xf numFmtId="43" fontId="4" fillId="3" borderId="4" xfId="1" applyFont="1" applyFill="1" applyBorder="1" applyAlignment="1">
      <alignment horizontal="center" vertical="center" wrapText="1"/>
    </xf>
    <xf numFmtId="43" fontId="4" fillId="3" borderId="14" xfId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 vertical="center" wrapText="1"/>
    </xf>
    <xf numFmtId="43" fontId="5" fillId="2" borderId="7" xfId="1" applyFont="1" applyFill="1" applyBorder="1" applyAlignment="1">
      <alignment horizontal="center" vertical="center" wrapText="1"/>
    </xf>
    <xf numFmtId="43" fontId="5" fillId="2" borderId="1" xfId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43" fontId="4" fillId="2" borderId="1" xfId="1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topLeftCell="A7" zoomScale="80" zoomScaleNormal="80" workbookViewId="0">
      <selection activeCell="H16" sqref="H16"/>
    </sheetView>
  </sheetViews>
  <sheetFormatPr defaultRowHeight="14.4" x14ac:dyDescent="0.3"/>
  <cols>
    <col min="1" max="1" width="5.109375" customWidth="1"/>
    <col min="2" max="2" width="40.21875" customWidth="1"/>
    <col min="3" max="3" width="17.109375" customWidth="1"/>
    <col min="4" max="4" width="14.77734375" customWidth="1"/>
    <col min="5" max="5" width="15.88671875" customWidth="1"/>
    <col min="6" max="6" width="23.109375" customWidth="1"/>
    <col min="7" max="7" width="18.33203125" customWidth="1"/>
    <col min="8" max="8" width="34.77734375" customWidth="1"/>
    <col min="9" max="9" width="23.88671875" customWidth="1"/>
  </cols>
  <sheetData>
    <row r="1" spans="1:10" ht="37.799999999999997" customHeight="1" thickBot="1" x14ac:dyDescent="0.35">
      <c r="A1" s="17" t="s">
        <v>0</v>
      </c>
      <c r="B1" s="17" t="s">
        <v>1</v>
      </c>
      <c r="C1" s="18" t="s">
        <v>3</v>
      </c>
      <c r="D1" s="54" t="s">
        <v>11</v>
      </c>
      <c r="E1" s="55"/>
      <c r="F1" s="15" t="s">
        <v>12</v>
      </c>
      <c r="G1" s="15" t="s">
        <v>14</v>
      </c>
      <c r="H1" s="20" t="s">
        <v>13</v>
      </c>
    </row>
    <row r="2" spans="1:10" ht="30.6" customHeight="1" x14ac:dyDescent="0.3">
      <c r="A2" s="22"/>
      <c r="B2" s="23" t="s">
        <v>6</v>
      </c>
      <c r="C2" s="24">
        <v>5115345.5599999996</v>
      </c>
      <c r="D2" s="24" t="s">
        <v>9</v>
      </c>
      <c r="E2" s="25">
        <v>511534.55599999998</v>
      </c>
      <c r="F2" s="26"/>
      <c r="G2" s="27"/>
      <c r="H2" s="49" t="s">
        <v>10</v>
      </c>
      <c r="I2" s="12"/>
    </row>
    <row r="3" spans="1:10" ht="39.6" customHeight="1" x14ac:dyDescent="0.3">
      <c r="A3" s="28"/>
      <c r="B3" s="33" t="s">
        <v>7</v>
      </c>
      <c r="C3" s="29">
        <v>3387668.88</v>
      </c>
      <c r="D3" s="29" t="s">
        <v>9</v>
      </c>
      <c r="E3" s="30">
        <v>338766.88800000004</v>
      </c>
      <c r="F3" s="34"/>
      <c r="G3" s="34"/>
      <c r="H3" s="50" t="s">
        <v>10</v>
      </c>
      <c r="I3" s="12"/>
    </row>
    <row r="4" spans="1:10" ht="36.6" customHeight="1" x14ac:dyDescent="0.3">
      <c r="A4" s="31"/>
      <c r="B4" s="33" t="s">
        <v>8</v>
      </c>
      <c r="C4" s="29">
        <v>1354183.89</v>
      </c>
      <c r="D4" s="29" t="s">
        <v>9</v>
      </c>
      <c r="E4" s="30">
        <v>135418.389</v>
      </c>
      <c r="F4" s="32"/>
      <c r="G4" s="32"/>
      <c r="H4" s="50" t="s">
        <v>10</v>
      </c>
      <c r="I4" s="13"/>
    </row>
    <row r="5" spans="1:10" s="10" customFormat="1" ht="31.2" customHeight="1" x14ac:dyDescent="0.3">
      <c r="A5" s="28"/>
      <c r="B5" s="33" t="s">
        <v>15</v>
      </c>
      <c r="C5" s="29">
        <v>316521.03000000003</v>
      </c>
      <c r="D5" s="29" t="s">
        <v>5</v>
      </c>
      <c r="E5" s="30">
        <v>31652.1</v>
      </c>
      <c r="F5" s="32"/>
      <c r="G5" s="32"/>
      <c r="H5" s="50" t="s">
        <v>10</v>
      </c>
      <c r="I5" s="12"/>
      <c r="J5" s="11"/>
    </row>
    <row r="6" spans="1:10" s="10" customFormat="1" ht="31.2" customHeight="1" x14ac:dyDescent="0.3">
      <c r="A6" s="28"/>
      <c r="B6" s="33" t="s">
        <v>17</v>
      </c>
      <c r="C6" s="29">
        <v>366549.55</v>
      </c>
      <c r="D6" s="29" t="s">
        <v>5</v>
      </c>
      <c r="E6" s="30">
        <v>36654.959999999999</v>
      </c>
      <c r="F6" s="32"/>
      <c r="G6" s="32"/>
      <c r="H6" s="50" t="s">
        <v>10</v>
      </c>
      <c r="I6" s="12"/>
      <c r="J6" s="11"/>
    </row>
    <row r="7" spans="1:10" s="10" customFormat="1" ht="47.4" customHeight="1" x14ac:dyDescent="0.3">
      <c r="A7" s="28"/>
      <c r="B7" s="33" t="s">
        <v>16</v>
      </c>
      <c r="C7" s="29">
        <v>823179.79</v>
      </c>
      <c r="D7" s="29" t="s">
        <v>5</v>
      </c>
      <c r="E7" s="30">
        <v>82317.98</v>
      </c>
      <c r="F7" s="32"/>
      <c r="G7" s="32"/>
      <c r="H7" s="50" t="s">
        <v>10</v>
      </c>
      <c r="I7" s="12"/>
      <c r="J7" s="11"/>
    </row>
    <row r="8" spans="1:10" ht="30.6" customHeight="1" x14ac:dyDescent="0.3">
      <c r="A8" s="28"/>
      <c r="B8" s="33" t="s">
        <v>4</v>
      </c>
      <c r="C8" s="29">
        <v>2110399.17</v>
      </c>
      <c r="D8" s="29" t="s">
        <v>5</v>
      </c>
      <c r="E8" s="30">
        <v>211039.92</v>
      </c>
      <c r="F8" s="32"/>
      <c r="G8" s="32"/>
      <c r="H8" s="50" t="s">
        <v>10</v>
      </c>
      <c r="I8" s="14"/>
      <c r="J8" s="1"/>
    </row>
    <row r="9" spans="1:10" ht="31.2" customHeight="1" x14ac:dyDescent="0.3">
      <c r="A9" s="35"/>
      <c r="B9" s="37" t="s">
        <v>18</v>
      </c>
      <c r="C9" s="38">
        <v>446107.94</v>
      </c>
      <c r="D9" s="38" t="s">
        <v>5</v>
      </c>
      <c r="E9" s="36">
        <v>44610.79</v>
      </c>
      <c r="F9" s="16"/>
      <c r="G9" s="16"/>
      <c r="H9" s="50" t="s">
        <v>10</v>
      </c>
      <c r="I9" s="13"/>
    </row>
    <row r="10" spans="1:10" ht="42" customHeight="1" x14ac:dyDescent="0.3">
      <c r="A10" s="39"/>
      <c r="B10" s="40" t="s">
        <v>20</v>
      </c>
      <c r="C10" s="41">
        <v>283726.07</v>
      </c>
      <c r="D10" s="42" t="s">
        <v>5</v>
      </c>
      <c r="E10" s="43">
        <v>28372.61</v>
      </c>
      <c r="F10" s="16"/>
      <c r="G10" s="16"/>
      <c r="H10" s="50" t="s">
        <v>10</v>
      </c>
      <c r="I10" s="13"/>
    </row>
    <row r="11" spans="1:10" s="10" customFormat="1" ht="37.799999999999997" customHeight="1" x14ac:dyDescent="0.3">
      <c r="A11" s="44"/>
      <c r="B11" s="45" t="s">
        <v>19</v>
      </c>
      <c r="C11" s="42">
        <v>743172.12</v>
      </c>
      <c r="D11" s="42" t="s">
        <v>5</v>
      </c>
      <c r="E11" s="43">
        <f>C11*0.1</f>
        <v>74317.212</v>
      </c>
      <c r="F11" s="46"/>
      <c r="G11" s="46"/>
      <c r="H11" s="51" t="s">
        <v>10</v>
      </c>
      <c r="I11" s="12"/>
      <c r="J11" s="11"/>
    </row>
    <row r="12" spans="1:10" s="10" customFormat="1" ht="37.799999999999997" customHeight="1" x14ac:dyDescent="0.3">
      <c r="A12" s="48"/>
      <c r="B12" s="37" t="s">
        <v>21</v>
      </c>
      <c r="C12" s="38">
        <v>8732637.8399999999</v>
      </c>
      <c r="D12" s="38" t="s">
        <v>9</v>
      </c>
      <c r="E12" s="38">
        <f>C12*0.1</f>
        <v>873263.78399999999</v>
      </c>
      <c r="F12" s="47"/>
      <c r="G12" s="47"/>
      <c r="H12" s="51" t="s">
        <v>10</v>
      </c>
      <c r="I12" s="53"/>
      <c r="J12" s="11"/>
    </row>
    <row r="13" spans="1:10" s="10" customFormat="1" ht="43.8" customHeight="1" x14ac:dyDescent="0.3">
      <c r="A13" s="48"/>
      <c r="B13" s="37" t="s">
        <v>22</v>
      </c>
      <c r="C13" s="38">
        <v>5944792.1399999997</v>
      </c>
      <c r="D13" s="38" t="s">
        <v>9</v>
      </c>
      <c r="E13" s="38">
        <f>C13*0.1</f>
        <v>594479.21400000004</v>
      </c>
      <c r="F13" s="47"/>
      <c r="G13" s="47"/>
      <c r="H13" s="52" t="s">
        <v>10</v>
      </c>
      <c r="I13" s="12"/>
      <c r="J13" s="11"/>
    </row>
    <row r="14" spans="1:10" s="10" customFormat="1" ht="43.8" customHeight="1" x14ac:dyDescent="0.3">
      <c r="A14" s="48"/>
      <c r="B14" s="37" t="s">
        <v>23</v>
      </c>
      <c r="C14" s="38">
        <v>1989570.5600000001</v>
      </c>
      <c r="D14" s="38" t="s">
        <v>9</v>
      </c>
      <c r="E14" s="38">
        <f>C14*0.1</f>
        <v>198957.05600000001</v>
      </c>
      <c r="F14" s="47"/>
      <c r="G14" s="47"/>
      <c r="H14" s="52" t="s">
        <v>10</v>
      </c>
      <c r="I14" s="12"/>
      <c r="J14" s="11"/>
    </row>
    <row r="15" spans="1:10" s="10" customFormat="1" ht="43.8" customHeight="1" x14ac:dyDescent="0.3">
      <c r="A15" s="56"/>
      <c r="B15" s="57" t="s">
        <v>24</v>
      </c>
      <c r="C15" s="58">
        <v>179740.16</v>
      </c>
      <c r="D15" s="58"/>
      <c r="E15" s="58">
        <f>C15*0.1</f>
        <v>17974.016</v>
      </c>
      <c r="F15" s="47"/>
      <c r="G15" s="47"/>
      <c r="H15" s="52" t="s">
        <v>25</v>
      </c>
      <c r="I15" s="12"/>
      <c r="J15" s="11"/>
    </row>
    <row r="16" spans="1:10" ht="15.6" x14ac:dyDescent="0.3">
      <c r="A16" s="1"/>
      <c r="B16" s="2" t="s">
        <v>2</v>
      </c>
      <c r="C16" s="3">
        <f>SUM(C2:C15)</f>
        <v>31793594.699999996</v>
      </c>
      <c r="D16" s="1"/>
      <c r="E16" s="21">
        <f>SUM(E2:E13)</f>
        <v>2962428.4030000004</v>
      </c>
      <c r="F16" s="9">
        <f>SUM(F2:F4)</f>
        <v>0</v>
      </c>
      <c r="G16" s="9">
        <f>SUM(G2:G11)</f>
        <v>0</v>
      </c>
    </row>
    <row r="17" spans="3:7" x14ac:dyDescent="0.3">
      <c r="F17" s="8"/>
      <c r="G17" s="8"/>
    </row>
    <row r="19" spans="3:7" x14ac:dyDescent="0.3">
      <c r="C19" s="5"/>
      <c r="F19" s="19"/>
      <c r="G19" s="1"/>
    </row>
    <row r="20" spans="3:7" x14ac:dyDescent="0.3">
      <c r="C20" s="4"/>
    </row>
    <row r="21" spans="3:7" x14ac:dyDescent="0.3">
      <c r="F21" s="7"/>
      <c r="G21" s="7"/>
    </row>
    <row r="23" spans="3:7" x14ac:dyDescent="0.3">
      <c r="C23" s="6"/>
    </row>
    <row r="24" spans="3:7" x14ac:dyDescent="0.3">
      <c r="E24" s="7"/>
    </row>
    <row r="26" spans="3:7" x14ac:dyDescent="0.3">
      <c r="C26" s="7"/>
    </row>
  </sheetData>
  <mergeCells count="1">
    <mergeCell ref="D1:E1"/>
  </mergeCells>
  <pageMargins left="0.7" right="0.7" top="0.75" bottom="0.75" header="0.3" footer="0.3"/>
  <pageSetup paperSize="9" scale="91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11.09.2023</vt:lpstr>
      <vt:lpstr>'11.09.2023'!Область_печати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2025-01-15T08:31:38Z</dcterms:modified>
</cp:coreProperties>
</file>
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cfo\Desktop\"/>
    </mc:Choice>
  </mc:AlternateContent>
  <xr:revisionPtr revIDLastSave="0" documentId="13_ncr:1_{28E6B119-3819-49CB-BEC6-DEDE7DB1CDE5}" xr6:coauthVersionLast="45" xr6:coauthVersionMax="45" xr10:uidLastSave="{00000000-0000-0000-0000-000000000000}"/>
  <bookViews>
    <workbookView xWindow="-120" yWindow="-120" windowWidth="29040" windowHeight="15990" xr2:uid="{2B239888-8985-4985-A8B3-648BDF7645B6}"/>
  </bookViews>
  <sheets>
    <sheet name="Глобино-2" sheetId="1" r:id="rId1"/>
  </sheets>
  <externalReferences>
    <externalReference r:id="rId2"/>
  </externalReferences>
  <definedNames>
    <definedName name="Excel_BuiltIn_Print_Area_4">"#REF!"</definedName>
    <definedName name="Excel_BuiltIn_Print_Area_4_1">"#REF!"</definedName>
    <definedName name="Excel_BuiltIn_Print_Area_7">"#REF!"</definedName>
    <definedName name="Excel_BuiltIn_Print_Area_7_1">"#REF!"</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96" i="1" l="1"/>
  <c r="C94" i="1"/>
  <c r="C80" i="1"/>
  <c r="CF130" i="1" l="1"/>
  <c r="CF129" i="1"/>
  <c r="CF128" i="1"/>
  <c r="CF126" i="1"/>
  <c r="CF125" i="1"/>
  <c r="CF124" i="1"/>
  <c r="CF123" i="1"/>
  <c r="CF122" i="1"/>
  <c r="CF120" i="1"/>
  <c r="CF102" i="1"/>
  <c r="CE102" i="1"/>
  <c r="CB102" i="1"/>
  <c r="BW102" i="1"/>
  <c r="BR102" i="1"/>
  <c r="BM102" i="1"/>
  <c r="BH102" i="1"/>
  <c r="BC102" i="1"/>
  <c r="AX102" i="1"/>
  <c r="AS102" i="1"/>
  <c r="AN102" i="1"/>
  <c r="AI102" i="1"/>
  <c r="AD102" i="1"/>
  <c r="Y102" i="1"/>
  <c r="R102" i="1"/>
  <c r="Q102" i="1"/>
  <c r="S102" i="1" s="1"/>
  <c r="N102" i="1"/>
  <c r="I102" i="1"/>
  <c r="E102" i="1"/>
  <c r="CF95" i="1"/>
  <c r="CE95" i="1"/>
  <c r="CG95" i="1" s="1"/>
  <c r="CB95" i="1"/>
  <c r="BW95" i="1"/>
  <c r="BR95" i="1"/>
  <c r="BM95" i="1"/>
  <c r="BH95" i="1"/>
  <c r="BC95" i="1"/>
  <c r="AX95" i="1"/>
  <c r="AS95" i="1"/>
  <c r="AN95" i="1"/>
  <c r="AI95" i="1"/>
  <c r="AD95" i="1"/>
  <c r="Y95" i="1"/>
  <c r="R95" i="1"/>
  <c r="Q95" i="1"/>
  <c r="S95" i="1" s="1"/>
  <c r="N95" i="1"/>
  <c r="I95" i="1"/>
  <c r="E95" i="1"/>
  <c r="CB88" i="1"/>
  <c r="BW88" i="1"/>
  <c r="BR88" i="1"/>
  <c r="BM88" i="1"/>
  <c r="BH88" i="1"/>
  <c r="BC88" i="1"/>
  <c r="R88" i="1"/>
  <c r="CF88" i="1" s="1"/>
  <c r="CF83" i="1" s="1"/>
  <c r="N88" i="1"/>
  <c r="N83" i="1" s="1"/>
  <c r="I88" i="1"/>
  <c r="E88" i="1"/>
  <c r="CF84" i="1"/>
  <c r="CE84" i="1"/>
  <c r="CB84" i="1"/>
  <c r="BW84" i="1"/>
  <c r="BR84" i="1"/>
  <c r="BR83" i="1" s="1"/>
  <c r="BM84" i="1"/>
  <c r="BH84" i="1"/>
  <c r="BC84" i="1"/>
  <c r="AX84" i="1"/>
  <c r="AS84" i="1"/>
  <c r="AN84" i="1"/>
  <c r="AI84" i="1"/>
  <c r="AD84" i="1"/>
  <c r="Y84" i="1"/>
  <c r="R84" i="1"/>
  <c r="Q84" i="1"/>
  <c r="N84" i="1"/>
  <c r="I84" i="1"/>
  <c r="I83" i="1" s="1"/>
  <c r="E84" i="1"/>
  <c r="CB83" i="1"/>
  <c r="CA83" i="1"/>
  <c r="BZ83" i="1"/>
  <c r="BV83" i="1"/>
  <c r="BU83" i="1"/>
  <c r="BQ83" i="1"/>
  <c r="BP83" i="1"/>
  <c r="BL83" i="1"/>
  <c r="BK83" i="1"/>
  <c r="BG83" i="1"/>
  <c r="BF83" i="1"/>
  <c r="BB83" i="1"/>
  <c r="BA83" i="1"/>
  <c r="AW83" i="1"/>
  <c r="AR83" i="1"/>
  <c r="AM83" i="1"/>
  <c r="AH83" i="1"/>
  <c r="AC83" i="1"/>
  <c r="X83" i="1"/>
  <c r="M83" i="1"/>
  <c r="L83" i="1"/>
  <c r="H83" i="1"/>
  <c r="G83" i="1"/>
  <c r="E83" i="1"/>
  <c r="D83" i="1"/>
  <c r="C83" i="1"/>
  <c r="H75" i="1"/>
  <c r="CB74" i="1"/>
  <c r="BW74" i="1"/>
  <c r="BR74" i="1"/>
  <c r="BM74" i="1"/>
  <c r="BM73" i="1" s="1"/>
  <c r="BH74" i="1"/>
  <c r="BC74" i="1"/>
  <c r="AX74" i="1"/>
  <c r="AX73" i="1" s="1"/>
  <c r="AS74" i="1"/>
  <c r="AN74" i="1"/>
  <c r="AI74" i="1"/>
  <c r="AD74" i="1"/>
  <c r="Y74" i="1"/>
  <c r="S74" i="1"/>
  <c r="R74" i="1"/>
  <c r="Q74" i="1"/>
  <c r="CE74" i="1" s="1"/>
  <c r="L74" i="1"/>
  <c r="L73" i="1" s="1"/>
  <c r="I74" i="1"/>
  <c r="E74" i="1"/>
  <c r="E73" i="1" s="1"/>
  <c r="CE73" i="1"/>
  <c r="CA73" i="1"/>
  <c r="BZ73" i="1"/>
  <c r="BV73" i="1"/>
  <c r="BU73" i="1"/>
  <c r="BR73" i="1"/>
  <c r="BQ73" i="1"/>
  <c r="BP73" i="1"/>
  <c r="BL73" i="1"/>
  <c r="BK73" i="1"/>
  <c r="BG73" i="1"/>
  <c r="BF73" i="1"/>
  <c r="BC73" i="1"/>
  <c r="BB73" i="1"/>
  <c r="BA73" i="1"/>
  <c r="AW73" i="1"/>
  <c r="AV73" i="1"/>
  <c r="AS73" i="1"/>
  <c r="AR73" i="1"/>
  <c r="AQ73" i="1"/>
  <c r="AN73" i="1"/>
  <c r="AM73" i="1"/>
  <c r="AL73" i="1"/>
  <c r="AI73" i="1"/>
  <c r="AH73" i="1"/>
  <c r="AG73" i="1"/>
  <c r="AD73" i="1"/>
  <c r="AC73" i="1"/>
  <c r="AB73" i="1"/>
  <c r="X73" i="1"/>
  <c r="W73" i="1"/>
  <c r="R73" i="1"/>
  <c r="Q73" i="1"/>
  <c r="I73" i="1"/>
  <c r="H73" i="1"/>
  <c r="G73" i="1"/>
  <c r="D73" i="1"/>
  <c r="C73" i="1"/>
  <c r="CB71" i="1"/>
  <c r="BW71" i="1"/>
  <c r="BR71" i="1"/>
  <c r="BM71" i="1"/>
  <c r="BH71" i="1"/>
  <c r="BC71" i="1"/>
  <c r="AW71" i="1"/>
  <c r="R71" i="1" s="1"/>
  <c r="CF71" i="1" s="1"/>
  <c r="AS71" i="1"/>
  <c r="AN71" i="1"/>
  <c r="AI71" i="1"/>
  <c r="AD71" i="1"/>
  <c r="Y71" i="1"/>
  <c r="Q71" i="1"/>
  <c r="N71" i="1"/>
  <c r="I71" i="1"/>
  <c r="E71" i="1"/>
  <c r="CB70" i="1"/>
  <c r="BW70" i="1"/>
  <c r="BR70" i="1"/>
  <c r="BM70" i="1"/>
  <c r="BH70" i="1"/>
  <c r="BC70" i="1"/>
  <c r="AX70" i="1"/>
  <c r="AW70" i="1"/>
  <c r="AR70" i="1"/>
  <c r="AS70" i="1" s="1"/>
  <c r="AN70" i="1"/>
  <c r="AH70" i="1"/>
  <c r="AD70" i="1"/>
  <c r="Y70" i="1"/>
  <c r="Q70" i="1"/>
  <c r="CE70" i="1" s="1"/>
  <c r="N70" i="1"/>
  <c r="I70" i="1"/>
  <c r="E70" i="1"/>
  <c r="CB69" i="1"/>
  <c r="BW69" i="1"/>
  <c r="BR69" i="1"/>
  <c r="BM69" i="1"/>
  <c r="BH69" i="1"/>
  <c r="BC69" i="1"/>
  <c r="AX69" i="1"/>
  <c r="AS69" i="1"/>
  <c r="AN69" i="1"/>
  <c r="AG69" i="1"/>
  <c r="AI69" i="1" s="1"/>
  <c r="AD69" i="1"/>
  <c r="Y69" i="1"/>
  <c r="W69" i="1"/>
  <c r="R69" i="1"/>
  <c r="CF69" i="1" s="1"/>
  <c r="N69" i="1"/>
  <c r="I69" i="1"/>
  <c r="E69" i="1"/>
  <c r="CB68" i="1"/>
  <c r="BW68" i="1"/>
  <c r="BR68" i="1"/>
  <c r="BM68" i="1"/>
  <c r="BH68" i="1"/>
  <c r="BC68" i="1"/>
  <c r="AX68" i="1"/>
  <c r="AW68" i="1"/>
  <c r="AS68" i="1"/>
  <c r="AM68" i="1"/>
  <c r="AN68" i="1" s="1"/>
  <c r="AI68" i="1"/>
  <c r="AH68" i="1"/>
  <c r="AD68" i="1"/>
  <c r="AC68" i="1"/>
  <c r="X68" i="1"/>
  <c r="R68" i="1" s="1"/>
  <c r="Q68" i="1"/>
  <c r="CE68" i="1" s="1"/>
  <c r="N68" i="1"/>
  <c r="I68" i="1"/>
  <c r="E68" i="1"/>
  <c r="CB67" i="1"/>
  <c r="BW67" i="1"/>
  <c r="BR67" i="1"/>
  <c r="BM67" i="1"/>
  <c r="BH67" i="1"/>
  <c r="BC67" i="1"/>
  <c r="AW67" i="1"/>
  <c r="AV67" i="1"/>
  <c r="AR67" i="1"/>
  <c r="AS67" i="1" s="1"/>
  <c r="AM67" i="1"/>
  <c r="AM54" i="1" s="1"/>
  <c r="AL67" i="1"/>
  <c r="AI67" i="1"/>
  <c r="AH67" i="1"/>
  <c r="AG67" i="1"/>
  <c r="AC67" i="1"/>
  <c r="AB67" i="1"/>
  <c r="X67" i="1"/>
  <c r="Y67" i="1" s="1"/>
  <c r="W67" i="1"/>
  <c r="N67" i="1"/>
  <c r="I67" i="1"/>
  <c r="E67" i="1"/>
  <c r="CF66" i="1"/>
  <c r="CE66" i="1"/>
  <c r="CG66" i="1" s="1"/>
  <c r="CB66" i="1"/>
  <c r="BW66" i="1"/>
  <c r="BR66" i="1"/>
  <c r="BM66" i="1"/>
  <c r="BH66" i="1"/>
  <c r="BC66" i="1"/>
  <c r="AX66" i="1"/>
  <c r="AS66" i="1"/>
  <c r="AN66" i="1"/>
  <c r="AI66" i="1"/>
  <c r="AD66" i="1"/>
  <c r="Y66" i="1"/>
  <c r="R66" i="1"/>
  <c r="Q66" i="1"/>
  <c r="N66" i="1"/>
  <c r="I66" i="1"/>
  <c r="E66" i="1"/>
  <c r="CB65" i="1"/>
  <c r="BW65" i="1"/>
  <c r="BR65" i="1"/>
  <c r="BM65" i="1"/>
  <c r="BH65" i="1"/>
  <c r="BC65" i="1"/>
  <c r="AX65" i="1"/>
  <c r="AS65" i="1"/>
  <c r="AN65" i="1"/>
  <c r="AL65" i="1"/>
  <c r="AG65" i="1"/>
  <c r="AB65" i="1"/>
  <c r="Y65" i="1"/>
  <c r="W65" i="1"/>
  <c r="R65" i="1"/>
  <c r="CF65" i="1" s="1"/>
  <c r="Q65" i="1"/>
  <c r="N65" i="1"/>
  <c r="I65" i="1"/>
  <c r="E65" i="1"/>
  <c r="CB64" i="1"/>
  <c r="BW64" i="1"/>
  <c r="BR64" i="1"/>
  <c r="BM64" i="1"/>
  <c r="BH64" i="1"/>
  <c r="BC64" i="1"/>
  <c r="AX64" i="1"/>
  <c r="AS64" i="1"/>
  <c r="AN64" i="1"/>
  <c r="AI64" i="1"/>
  <c r="AD64" i="1"/>
  <c r="Y64" i="1"/>
  <c r="R64" i="1"/>
  <c r="CF64" i="1" s="1"/>
  <c r="Q64" i="1"/>
  <c r="N64" i="1"/>
  <c r="I64" i="1"/>
  <c r="E64" i="1"/>
  <c r="CB63" i="1"/>
  <c r="BW63" i="1"/>
  <c r="BR63" i="1"/>
  <c r="BM63" i="1"/>
  <c r="BH63" i="1"/>
  <c r="BC63" i="1"/>
  <c r="AX63" i="1"/>
  <c r="AS63" i="1"/>
  <c r="AN63" i="1"/>
  <c r="AL63" i="1"/>
  <c r="AI63" i="1"/>
  <c r="AD63" i="1"/>
  <c r="W63" i="1"/>
  <c r="Y63" i="1" s="1"/>
  <c r="R63" i="1"/>
  <c r="CF63" i="1" s="1"/>
  <c r="Q63" i="1"/>
  <c r="N63" i="1"/>
  <c r="I63" i="1"/>
  <c r="E63" i="1"/>
  <c r="CB62" i="1"/>
  <c r="BW62" i="1"/>
  <c r="BR62" i="1"/>
  <c r="BM62" i="1"/>
  <c r="BH62" i="1"/>
  <c r="BC62" i="1"/>
  <c r="AX62" i="1"/>
  <c r="AS62" i="1"/>
  <c r="AN62" i="1"/>
  <c r="AI62" i="1"/>
  <c r="AD62" i="1"/>
  <c r="Y62" i="1"/>
  <c r="R62" i="1"/>
  <c r="CF62" i="1" s="1"/>
  <c r="Q62" i="1"/>
  <c r="CE62" i="1" s="1"/>
  <c r="N62" i="1"/>
  <c r="I62" i="1"/>
  <c r="E62" i="1"/>
  <c r="CB61" i="1"/>
  <c r="BW61" i="1"/>
  <c r="BR61" i="1"/>
  <c r="BM61" i="1"/>
  <c r="BH61" i="1"/>
  <c r="BC61" i="1"/>
  <c r="AX61" i="1"/>
  <c r="AS61" i="1"/>
  <c r="AN61" i="1"/>
  <c r="AI61" i="1"/>
  <c r="AD61" i="1"/>
  <c r="Y61" i="1"/>
  <c r="R61" i="1"/>
  <c r="CF61" i="1" s="1"/>
  <c r="Q61" i="1"/>
  <c r="CE61" i="1" s="1"/>
  <c r="N61" i="1"/>
  <c r="I61" i="1"/>
  <c r="E61" i="1"/>
  <c r="CB60" i="1"/>
  <c r="BW60" i="1"/>
  <c r="BR60" i="1"/>
  <c r="BM60" i="1"/>
  <c r="BH60" i="1"/>
  <c r="BC60" i="1"/>
  <c r="AX60" i="1"/>
  <c r="AS60" i="1"/>
  <c r="AN60" i="1"/>
  <c r="AI60" i="1"/>
  <c r="AD60" i="1"/>
  <c r="Y60" i="1"/>
  <c r="R60" i="1"/>
  <c r="CF60" i="1" s="1"/>
  <c r="Q60" i="1"/>
  <c r="N60" i="1"/>
  <c r="I60" i="1"/>
  <c r="E60" i="1"/>
  <c r="CB59" i="1"/>
  <c r="BW59" i="1"/>
  <c r="BR59" i="1"/>
  <c r="BM59" i="1"/>
  <c r="BH59" i="1"/>
  <c r="BC59" i="1"/>
  <c r="AX59" i="1"/>
  <c r="AS59" i="1"/>
  <c r="AN59" i="1"/>
  <c r="AI59" i="1"/>
  <c r="AD59" i="1"/>
  <c r="Y59" i="1"/>
  <c r="R59" i="1"/>
  <c r="CF59" i="1" s="1"/>
  <c r="Q59" i="1"/>
  <c r="CE59" i="1" s="1"/>
  <c r="N59" i="1"/>
  <c r="I59" i="1"/>
  <c r="E59" i="1"/>
  <c r="CJ58" i="1"/>
  <c r="CB58" i="1"/>
  <c r="BW58" i="1"/>
  <c r="BR58" i="1"/>
  <c r="BM58" i="1"/>
  <c r="BH58" i="1"/>
  <c r="BC58" i="1"/>
  <c r="AX58" i="1"/>
  <c r="AS58" i="1"/>
  <c r="AN58" i="1"/>
  <c r="AI58" i="1"/>
  <c r="AD58" i="1"/>
  <c r="Y58" i="1"/>
  <c r="R58" i="1"/>
  <c r="CF58" i="1" s="1"/>
  <c r="Q58" i="1"/>
  <c r="N58" i="1"/>
  <c r="I58" i="1"/>
  <c r="E58" i="1"/>
  <c r="CF57" i="1"/>
  <c r="CB57" i="1"/>
  <c r="BW57" i="1"/>
  <c r="BR57" i="1"/>
  <c r="BM57" i="1"/>
  <c r="BH57" i="1"/>
  <c r="BC57" i="1"/>
  <c r="AX57" i="1"/>
  <c r="AS57" i="1"/>
  <c r="AN57" i="1"/>
  <c r="AI57" i="1"/>
  <c r="AD57" i="1"/>
  <c r="Y57" i="1"/>
  <c r="R57" i="1"/>
  <c r="Q57" i="1"/>
  <c r="N57" i="1"/>
  <c r="I57" i="1"/>
  <c r="E57" i="1"/>
  <c r="CB56" i="1"/>
  <c r="BW56" i="1"/>
  <c r="BR56" i="1"/>
  <c r="BM56" i="1"/>
  <c r="BH56" i="1"/>
  <c r="BC56" i="1"/>
  <c r="AX56" i="1"/>
  <c r="AS56" i="1"/>
  <c r="AN56" i="1"/>
  <c r="AI56" i="1"/>
  <c r="AD56" i="1"/>
  <c r="Y56" i="1"/>
  <c r="R56" i="1"/>
  <c r="CF56" i="1" s="1"/>
  <c r="Q56" i="1"/>
  <c r="CE56" i="1" s="1"/>
  <c r="N56" i="1"/>
  <c r="I56" i="1"/>
  <c r="E56" i="1"/>
  <c r="CJ55" i="1"/>
  <c r="CB55" i="1"/>
  <c r="BW55" i="1"/>
  <c r="BR55" i="1"/>
  <c r="BM55" i="1"/>
  <c r="BH55" i="1"/>
  <c r="BC55" i="1"/>
  <c r="AX55" i="1"/>
  <c r="AS55" i="1"/>
  <c r="AN55" i="1"/>
  <c r="AI55" i="1"/>
  <c r="AC55" i="1"/>
  <c r="Y55" i="1"/>
  <c r="R55" i="1"/>
  <c r="CF55" i="1" s="1"/>
  <c r="Q55" i="1"/>
  <c r="N55" i="1"/>
  <c r="I55" i="1"/>
  <c r="E55" i="1"/>
  <c r="CA54" i="1"/>
  <c r="BZ54" i="1"/>
  <c r="BV54" i="1"/>
  <c r="BU54" i="1"/>
  <c r="BQ54" i="1"/>
  <c r="BP54" i="1"/>
  <c r="BL54" i="1"/>
  <c r="BK54" i="1"/>
  <c r="BG54" i="1"/>
  <c r="BF54" i="1"/>
  <c r="BB54" i="1"/>
  <c r="BA54" i="1"/>
  <c r="AV54" i="1"/>
  <c r="AR54" i="1"/>
  <c r="AQ54" i="1"/>
  <c r="W54" i="1"/>
  <c r="M54" i="1"/>
  <c r="L54" i="1"/>
  <c r="H54" i="1"/>
  <c r="G54" i="1"/>
  <c r="D54" i="1"/>
  <c r="C54" i="1"/>
  <c r="CB52" i="1"/>
  <c r="BW52" i="1"/>
  <c r="BR52" i="1"/>
  <c r="BM52" i="1"/>
  <c r="BM50" i="1" s="1"/>
  <c r="BH52" i="1"/>
  <c r="BC52" i="1"/>
  <c r="AX52" i="1"/>
  <c r="AS52" i="1"/>
  <c r="AN52" i="1"/>
  <c r="AN50" i="1" s="1"/>
  <c r="AI52" i="1"/>
  <c r="AI50" i="1" s="1"/>
  <c r="AD52" i="1"/>
  <c r="Y52" i="1"/>
  <c r="S52" i="1"/>
  <c r="R52" i="1"/>
  <c r="Q52" i="1"/>
  <c r="CE52" i="1" s="1"/>
  <c r="N52" i="1"/>
  <c r="I52" i="1"/>
  <c r="E52" i="1"/>
  <c r="CB51" i="1"/>
  <c r="BW51" i="1"/>
  <c r="BR51" i="1"/>
  <c r="BM51" i="1"/>
  <c r="BH51" i="1"/>
  <c r="BC51" i="1"/>
  <c r="AX51" i="1"/>
  <c r="AS51" i="1"/>
  <c r="AN51" i="1"/>
  <c r="AI51" i="1"/>
  <c r="AD51" i="1"/>
  <c r="Y51" i="1"/>
  <c r="S51" i="1"/>
  <c r="R51" i="1"/>
  <c r="CF51" i="1" s="1"/>
  <c r="Q51" i="1"/>
  <c r="CE51" i="1" s="1"/>
  <c r="CG51" i="1" s="1"/>
  <c r="N51" i="1"/>
  <c r="I51" i="1"/>
  <c r="I50" i="1" s="1"/>
  <c r="E51" i="1"/>
  <c r="CB50" i="1"/>
  <c r="CA50" i="1"/>
  <c r="BZ50" i="1"/>
  <c r="BV50" i="1"/>
  <c r="BU50" i="1"/>
  <c r="BQ50" i="1"/>
  <c r="BP50" i="1"/>
  <c r="BL50" i="1"/>
  <c r="BK50" i="1"/>
  <c r="BG50" i="1"/>
  <c r="BF50" i="1"/>
  <c r="BB50" i="1"/>
  <c r="BA50" i="1"/>
  <c r="AW50" i="1"/>
  <c r="AV50" i="1"/>
  <c r="AS50" i="1"/>
  <c r="AR50" i="1"/>
  <c r="AQ50" i="1"/>
  <c r="AM50" i="1"/>
  <c r="AL50" i="1"/>
  <c r="AH50" i="1"/>
  <c r="AG50" i="1"/>
  <c r="AC50" i="1"/>
  <c r="AB50" i="1"/>
  <c r="X50" i="1"/>
  <c r="W50" i="1"/>
  <c r="M50" i="1"/>
  <c r="L50" i="1"/>
  <c r="H50" i="1"/>
  <c r="G50" i="1"/>
  <c r="E50" i="1"/>
  <c r="D50" i="1"/>
  <c r="C50" i="1"/>
  <c r="CB48" i="1"/>
  <c r="BW48" i="1"/>
  <c r="BR48" i="1"/>
  <c r="BM48" i="1"/>
  <c r="BH48" i="1"/>
  <c r="BC48" i="1"/>
  <c r="AX48" i="1"/>
  <c r="AV48" i="1"/>
  <c r="AV41" i="1" s="1"/>
  <c r="AQ48" i="1"/>
  <c r="AS48" i="1" s="1"/>
  <c r="AL48" i="1"/>
  <c r="AN48" i="1" s="1"/>
  <c r="AI48" i="1"/>
  <c r="AD48" i="1"/>
  <c r="AB48" i="1"/>
  <c r="Y48" i="1"/>
  <c r="W48" i="1"/>
  <c r="R48" i="1"/>
  <c r="CF48" i="1" s="1"/>
  <c r="Q48" i="1"/>
  <c r="N48" i="1"/>
  <c r="I48" i="1"/>
  <c r="E48" i="1"/>
  <c r="CB47" i="1"/>
  <c r="BW47" i="1"/>
  <c r="BR47" i="1"/>
  <c r="BM47" i="1"/>
  <c r="BH47" i="1"/>
  <c r="BC47" i="1"/>
  <c r="AX47" i="1"/>
  <c r="AS47" i="1"/>
  <c r="AQ47" i="1"/>
  <c r="AL47" i="1"/>
  <c r="AN47" i="1" s="1"/>
  <c r="AI47" i="1"/>
  <c r="AG47" i="1"/>
  <c r="AD47" i="1"/>
  <c r="AB47" i="1"/>
  <c r="W47" i="1"/>
  <c r="R47" i="1"/>
  <c r="CF47" i="1" s="1"/>
  <c r="N47" i="1"/>
  <c r="I47" i="1"/>
  <c r="E47" i="1"/>
  <c r="CB46" i="1"/>
  <c r="BW46" i="1"/>
  <c r="BR46" i="1"/>
  <c r="BM46" i="1"/>
  <c r="BH46" i="1"/>
  <c r="BC46" i="1"/>
  <c r="AX46" i="1"/>
  <c r="AS46" i="1"/>
  <c r="AN46" i="1"/>
  <c r="AI46" i="1"/>
  <c r="AD46" i="1"/>
  <c r="Y46" i="1"/>
  <c r="R46" i="1"/>
  <c r="CF46" i="1" s="1"/>
  <c r="Q46" i="1"/>
  <c r="CE46" i="1" s="1"/>
  <c r="N46" i="1"/>
  <c r="I46" i="1"/>
  <c r="E46" i="1"/>
  <c r="CB45" i="1"/>
  <c r="BW45" i="1"/>
  <c r="BR45" i="1"/>
  <c r="BM45" i="1"/>
  <c r="BH45" i="1"/>
  <c r="BC45" i="1"/>
  <c r="AX45" i="1"/>
  <c r="AS45" i="1"/>
  <c r="AN45" i="1"/>
  <c r="AI45" i="1"/>
  <c r="AD45" i="1"/>
  <c r="Y45" i="1"/>
  <c r="R45" i="1"/>
  <c r="CF45" i="1" s="1"/>
  <c r="Q45" i="1"/>
  <c r="CE45" i="1" s="1"/>
  <c r="N45" i="1"/>
  <c r="I45" i="1"/>
  <c r="E45" i="1"/>
  <c r="CB44" i="1"/>
  <c r="BW44" i="1"/>
  <c r="BR44" i="1"/>
  <c r="BM44" i="1"/>
  <c r="BH44" i="1"/>
  <c r="BC44" i="1"/>
  <c r="AX44" i="1"/>
  <c r="AS44" i="1"/>
  <c r="AQ44" i="1"/>
  <c r="AN44" i="1"/>
  <c r="AL44" i="1"/>
  <c r="AI44" i="1"/>
  <c r="AG44" i="1"/>
  <c r="AB44" i="1"/>
  <c r="AD44" i="1" s="1"/>
  <c r="Y44" i="1"/>
  <c r="W44" i="1"/>
  <c r="Q44" i="1" s="1"/>
  <c r="CE44" i="1" s="1"/>
  <c r="R44" i="1"/>
  <c r="CF44" i="1" s="1"/>
  <c r="N44" i="1"/>
  <c r="I44" i="1"/>
  <c r="E44" i="1"/>
  <c r="CB43" i="1"/>
  <c r="BW43" i="1"/>
  <c r="BR43" i="1"/>
  <c r="BM43" i="1"/>
  <c r="BH43" i="1"/>
  <c r="BC43" i="1"/>
  <c r="AX43" i="1"/>
  <c r="AS43" i="1"/>
  <c r="AN43" i="1"/>
  <c r="AM43" i="1"/>
  <c r="AI43" i="1"/>
  <c r="AD43" i="1"/>
  <c r="AB43" i="1"/>
  <c r="Y43" i="1"/>
  <c r="R43" i="1"/>
  <c r="Q43" i="1"/>
  <c r="N43" i="1"/>
  <c r="I43" i="1"/>
  <c r="E43" i="1"/>
  <c r="CB42" i="1"/>
  <c r="BW42" i="1"/>
  <c r="BR42" i="1"/>
  <c r="BM42" i="1"/>
  <c r="BH42" i="1"/>
  <c r="BC42" i="1"/>
  <c r="AX42" i="1"/>
  <c r="AS42" i="1"/>
  <c r="AN42" i="1"/>
  <c r="AI42" i="1"/>
  <c r="AD42" i="1"/>
  <c r="Y42" i="1"/>
  <c r="R42" i="1"/>
  <c r="Q42" i="1"/>
  <c r="CE42" i="1" s="1"/>
  <c r="N42" i="1"/>
  <c r="I42" i="1"/>
  <c r="E42" i="1"/>
  <c r="CA41" i="1"/>
  <c r="BZ41" i="1"/>
  <c r="BV41" i="1"/>
  <c r="BU41" i="1"/>
  <c r="BQ41" i="1"/>
  <c r="BP41" i="1"/>
  <c r="BL41" i="1"/>
  <c r="BK41" i="1"/>
  <c r="BG41" i="1"/>
  <c r="BF41" i="1"/>
  <c r="BB41" i="1"/>
  <c r="BA41" i="1"/>
  <c r="AW41" i="1"/>
  <c r="AR41" i="1"/>
  <c r="AM41" i="1"/>
  <c r="AL41" i="1"/>
  <c r="AH41" i="1"/>
  <c r="AG41" i="1"/>
  <c r="AC41" i="1"/>
  <c r="X41" i="1"/>
  <c r="W41" i="1"/>
  <c r="M41" i="1"/>
  <c r="L41" i="1"/>
  <c r="H41" i="1"/>
  <c r="G41" i="1"/>
  <c r="D41" i="1"/>
  <c r="C41" i="1"/>
  <c r="AC39" i="1"/>
  <c r="H39" i="1"/>
  <c r="BL38" i="1"/>
  <c r="BK38" i="1"/>
  <c r="H38" i="1"/>
  <c r="G38" i="1"/>
  <c r="G39" i="1" s="1"/>
  <c r="D38" i="1"/>
  <c r="CE36" i="1"/>
  <c r="CE35" i="1" s="1"/>
  <c r="CB36" i="1"/>
  <c r="BW36" i="1"/>
  <c r="BR36" i="1"/>
  <c r="BM36" i="1"/>
  <c r="BH36" i="1"/>
  <c r="BC36" i="1"/>
  <c r="AX36" i="1"/>
  <c r="AX35" i="1" s="1"/>
  <c r="AS36" i="1"/>
  <c r="AN36" i="1"/>
  <c r="AI36" i="1"/>
  <c r="AI35" i="1" s="1"/>
  <c r="AB36" i="1"/>
  <c r="AD36" i="1" s="1"/>
  <c r="Y36" i="1"/>
  <c r="Y35" i="1" s="1"/>
  <c r="R36" i="1"/>
  <c r="CF36" i="1" s="1"/>
  <c r="Q36" i="1"/>
  <c r="S36" i="1" s="1"/>
  <c r="N36" i="1"/>
  <c r="I36" i="1"/>
  <c r="E36" i="1"/>
  <c r="CF35" i="1"/>
  <c r="BW35" i="1"/>
  <c r="BR35" i="1"/>
  <c r="BM35" i="1"/>
  <c r="BH35" i="1"/>
  <c r="BC35" i="1"/>
  <c r="AN35" i="1"/>
  <c r="R35" i="1"/>
  <c r="Q35" i="1"/>
  <c r="L35" i="1"/>
  <c r="I35" i="1"/>
  <c r="E35" i="1"/>
  <c r="D35" i="1"/>
  <c r="C35" i="1"/>
  <c r="CB33" i="1"/>
  <c r="BW33" i="1"/>
  <c r="BR33" i="1"/>
  <c r="BM33" i="1"/>
  <c r="BH33" i="1"/>
  <c r="BC33" i="1"/>
  <c r="AW33" i="1"/>
  <c r="AS33" i="1"/>
  <c r="AR33" i="1"/>
  <c r="AN33" i="1"/>
  <c r="AM33" i="1"/>
  <c r="AI33" i="1"/>
  <c r="AH33" i="1"/>
  <c r="AD33" i="1"/>
  <c r="AC33" i="1"/>
  <c r="X33" i="1"/>
  <c r="Y33" i="1" s="1"/>
  <c r="Q33" i="1"/>
  <c r="CE33" i="1" s="1"/>
  <c r="N33" i="1"/>
  <c r="I33" i="1"/>
  <c r="E33" i="1"/>
  <c r="CB32" i="1"/>
  <c r="BW32" i="1"/>
  <c r="BR32" i="1"/>
  <c r="BM32" i="1"/>
  <c r="BH32" i="1"/>
  <c r="BC32" i="1"/>
  <c r="AX32" i="1"/>
  <c r="AS32" i="1"/>
  <c r="AN32" i="1"/>
  <c r="AI32" i="1"/>
  <c r="AD32" i="1"/>
  <c r="Y32" i="1"/>
  <c r="R32" i="1"/>
  <c r="CF32" i="1" s="1"/>
  <c r="Q32" i="1"/>
  <c r="N32" i="1"/>
  <c r="I32" i="1"/>
  <c r="E32" i="1"/>
  <c r="CB31" i="1"/>
  <c r="BW31" i="1"/>
  <c r="BR31" i="1"/>
  <c r="BM31" i="1"/>
  <c r="BH31" i="1"/>
  <c r="BC31" i="1"/>
  <c r="AX31" i="1"/>
  <c r="AR31" i="1"/>
  <c r="AS31" i="1" s="1"/>
  <c r="AN31" i="1"/>
  <c r="AI31" i="1"/>
  <c r="AD31" i="1"/>
  <c r="X31" i="1"/>
  <c r="Q31" i="1"/>
  <c r="N31" i="1"/>
  <c r="I31" i="1"/>
  <c r="E31" i="1"/>
  <c r="CB30" i="1"/>
  <c r="BW30" i="1"/>
  <c r="BR30" i="1"/>
  <c r="BM30" i="1"/>
  <c r="BH30" i="1"/>
  <c r="BC30" i="1"/>
  <c r="AW30" i="1"/>
  <c r="R30" i="1" s="1"/>
  <c r="CF30" i="1" s="1"/>
  <c r="AV30" i="1"/>
  <c r="AX30" i="1" s="1"/>
  <c r="AS30" i="1"/>
  <c r="AR30" i="1"/>
  <c r="AQ30" i="1"/>
  <c r="AN30" i="1"/>
  <c r="AM30" i="1"/>
  <c r="AL30" i="1"/>
  <c r="AH30" i="1"/>
  <c r="AI30" i="1" s="1"/>
  <c r="AD30" i="1"/>
  <c r="AC30" i="1"/>
  <c r="AB30" i="1"/>
  <c r="X30" i="1"/>
  <c r="Y30" i="1" s="1"/>
  <c r="W30" i="1"/>
  <c r="N30" i="1"/>
  <c r="I30" i="1"/>
  <c r="E30" i="1"/>
  <c r="CB29" i="1"/>
  <c r="BW29" i="1"/>
  <c r="BR29" i="1"/>
  <c r="BM29" i="1"/>
  <c r="BH29" i="1"/>
  <c r="BC29" i="1"/>
  <c r="AX29" i="1"/>
  <c r="AS29" i="1"/>
  <c r="AN29" i="1"/>
  <c r="AL29" i="1"/>
  <c r="AI29" i="1"/>
  <c r="AG29" i="1"/>
  <c r="AD29" i="1"/>
  <c r="AB29" i="1"/>
  <c r="Y29" i="1"/>
  <c r="W29" i="1"/>
  <c r="R29" i="1"/>
  <c r="CF29" i="1" s="1"/>
  <c r="Q29" i="1"/>
  <c r="CE29" i="1" s="1"/>
  <c r="N29" i="1"/>
  <c r="I29" i="1"/>
  <c r="E29" i="1"/>
  <c r="CB28" i="1"/>
  <c r="BW28" i="1"/>
  <c r="BR28" i="1"/>
  <c r="BM28" i="1"/>
  <c r="BH28" i="1"/>
  <c r="BC28" i="1"/>
  <c r="AX28" i="1"/>
  <c r="AW28" i="1"/>
  <c r="AS28" i="1"/>
  <c r="AR28" i="1"/>
  <c r="AM28" i="1"/>
  <c r="AN28" i="1" s="1"/>
  <c r="AH28" i="1"/>
  <c r="AG28" i="1"/>
  <c r="AC28" i="1"/>
  <c r="AD28" i="1" s="1"/>
  <c r="AB28" i="1"/>
  <c r="X28" i="1"/>
  <c r="N28" i="1"/>
  <c r="I28" i="1"/>
  <c r="E28" i="1"/>
  <c r="CB27" i="1"/>
  <c r="BW27" i="1"/>
  <c r="BR27" i="1"/>
  <c r="BM27" i="1"/>
  <c r="BH27" i="1"/>
  <c r="BC27" i="1"/>
  <c r="AX27" i="1"/>
  <c r="AS27" i="1"/>
  <c r="AQ27" i="1"/>
  <c r="AN27" i="1"/>
  <c r="AL27" i="1"/>
  <c r="AI27" i="1"/>
  <c r="AG27" i="1"/>
  <c r="AD27" i="1"/>
  <c r="AB27" i="1"/>
  <c r="Q27" i="1" s="1"/>
  <c r="S27" i="1" s="1"/>
  <c r="Y27" i="1"/>
  <c r="W27" i="1"/>
  <c r="R27" i="1"/>
  <c r="CF27" i="1" s="1"/>
  <c r="N27" i="1"/>
  <c r="I27" i="1"/>
  <c r="E27" i="1"/>
  <c r="CB26" i="1"/>
  <c r="BW26" i="1"/>
  <c r="BR26" i="1"/>
  <c r="BM26" i="1"/>
  <c r="BH26" i="1"/>
  <c r="BC26" i="1"/>
  <c r="AX26" i="1"/>
  <c r="AV26" i="1"/>
  <c r="AQ26" i="1"/>
  <c r="AS26" i="1" s="1"/>
  <c r="AL26" i="1"/>
  <c r="AN26" i="1" s="1"/>
  <c r="AG26" i="1"/>
  <c r="AI26" i="1" s="1"/>
  <c r="AB26" i="1"/>
  <c r="AD26" i="1" s="1"/>
  <c r="W26" i="1"/>
  <c r="Q26" i="1" s="1"/>
  <c r="CE26" i="1" s="1"/>
  <c r="R26" i="1"/>
  <c r="N26" i="1"/>
  <c r="I26" i="1"/>
  <c r="E26" i="1"/>
  <c r="CB25" i="1"/>
  <c r="BW25" i="1"/>
  <c r="BR25" i="1"/>
  <c r="BM25" i="1"/>
  <c r="BH25" i="1"/>
  <c r="BC25" i="1"/>
  <c r="AX25" i="1"/>
  <c r="AS25" i="1"/>
  <c r="AN25" i="1"/>
  <c r="AL25" i="1"/>
  <c r="AI25" i="1"/>
  <c r="AD25" i="1"/>
  <c r="Y25" i="1"/>
  <c r="W25" i="1"/>
  <c r="R25" i="1"/>
  <c r="Q25" i="1"/>
  <c r="CE25" i="1" s="1"/>
  <c r="N25" i="1"/>
  <c r="I25" i="1"/>
  <c r="E25" i="1"/>
  <c r="CB24" i="1"/>
  <c r="BW24" i="1"/>
  <c r="BR24" i="1"/>
  <c r="BM24" i="1"/>
  <c r="BH24" i="1"/>
  <c r="BC24" i="1"/>
  <c r="AX24" i="1"/>
  <c r="AV24" i="1"/>
  <c r="AQ24" i="1"/>
  <c r="AS24" i="1" s="1"/>
  <c r="AN24" i="1"/>
  <c r="AL24" i="1"/>
  <c r="AG24" i="1"/>
  <c r="AI24" i="1" s="1"/>
  <c r="AB24" i="1"/>
  <c r="AD24" i="1" s="1"/>
  <c r="Y24" i="1"/>
  <c r="W24" i="1"/>
  <c r="R24" i="1"/>
  <c r="CF24" i="1" s="1"/>
  <c r="Q24" i="1"/>
  <c r="CE24" i="1" s="1"/>
  <c r="CG24" i="1" s="1"/>
  <c r="N24" i="1"/>
  <c r="I24" i="1"/>
  <c r="E24" i="1"/>
  <c r="CB23" i="1"/>
  <c r="BW23" i="1"/>
  <c r="BR23" i="1"/>
  <c r="BM23" i="1"/>
  <c r="BH23" i="1"/>
  <c r="BC23" i="1"/>
  <c r="AV23" i="1"/>
  <c r="AX23" i="1" s="1"/>
  <c r="AS23" i="1"/>
  <c r="AQ23" i="1"/>
  <c r="AN23" i="1"/>
  <c r="AL23" i="1"/>
  <c r="AI23" i="1"/>
  <c r="AG23" i="1"/>
  <c r="AD23" i="1"/>
  <c r="AB23" i="1"/>
  <c r="W23" i="1"/>
  <c r="R23" i="1"/>
  <c r="CF23" i="1" s="1"/>
  <c r="N23" i="1"/>
  <c r="I23" i="1"/>
  <c r="E23" i="1"/>
  <c r="CB22" i="1"/>
  <c r="BW22" i="1"/>
  <c r="BR22" i="1"/>
  <c r="BM22" i="1"/>
  <c r="BH22" i="1"/>
  <c r="BC22" i="1"/>
  <c r="AV22" i="1"/>
  <c r="AV8" i="1" s="1"/>
  <c r="AQ22" i="1"/>
  <c r="AS22" i="1" s="1"/>
  <c r="AL22" i="1"/>
  <c r="AN22" i="1" s="1"/>
  <c r="AG22" i="1"/>
  <c r="AI22" i="1" s="1"/>
  <c r="AD22" i="1"/>
  <c r="AB22" i="1"/>
  <c r="W22" i="1"/>
  <c r="Y22" i="1" s="1"/>
  <c r="R22" i="1"/>
  <c r="CF22" i="1" s="1"/>
  <c r="N22" i="1"/>
  <c r="I22" i="1"/>
  <c r="E22" i="1"/>
  <c r="CB21" i="1"/>
  <c r="BW21" i="1"/>
  <c r="BR21" i="1"/>
  <c r="BM21" i="1"/>
  <c r="BH21" i="1"/>
  <c r="BC21" i="1"/>
  <c r="AX21" i="1"/>
  <c r="AS21" i="1"/>
  <c r="AN21" i="1"/>
  <c r="AI21" i="1"/>
  <c r="AD21" i="1"/>
  <c r="Y21" i="1"/>
  <c r="R21" i="1"/>
  <c r="CF21" i="1" s="1"/>
  <c r="Q21" i="1"/>
  <c r="CE21" i="1" s="1"/>
  <c r="N21" i="1"/>
  <c r="I21" i="1"/>
  <c r="E21" i="1"/>
  <c r="CB20" i="1"/>
  <c r="BW20" i="1"/>
  <c r="BR20" i="1"/>
  <c r="BM20" i="1"/>
  <c r="BH20" i="1"/>
  <c r="BC20" i="1"/>
  <c r="AX20" i="1"/>
  <c r="AV20" i="1"/>
  <c r="AQ20" i="1"/>
  <c r="AS20" i="1" s="1"/>
  <c r="AN20" i="1"/>
  <c r="AL20" i="1"/>
  <c r="AI20" i="1"/>
  <c r="AG20" i="1"/>
  <c r="AB20" i="1"/>
  <c r="AD20" i="1" s="1"/>
  <c r="W20" i="1"/>
  <c r="Q20" i="1" s="1"/>
  <c r="CE20" i="1" s="1"/>
  <c r="R20" i="1"/>
  <c r="CF20" i="1" s="1"/>
  <c r="N20" i="1"/>
  <c r="I20" i="1"/>
  <c r="E20" i="1"/>
  <c r="CB19" i="1"/>
  <c r="BW19" i="1"/>
  <c r="BR19" i="1"/>
  <c r="BM19" i="1"/>
  <c r="BH19" i="1"/>
  <c r="BC19" i="1"/>
  <c r="AX19" i="1"/>
  <c r="AV19" i="1"/>
  <c r="AS19" i="1"/>
  <c r="AL19" i="1"/>
  <c r="AN19" i="1" s="1"/>
  <c r="AG19" i="1"/>
  <c r="AI19" i="1" s="1"/>
  <c r="AB19" i="1"/>
  <c r="AD19" i="1" s="1"/>
  <c r="W19" i="1"/>
  <c r="R19" i="1"/>
  <c r="CF19" i="1" s="1"/>
  <c r="Q19" i="1"/>
  <c r="CE19" i="1" s="1"/>
  <c r="N19" i="1"/>
  <c r="I19" i="1"/>
  <c r="E19" i="1"/>
  <c r="CB18" i="1"/>
  <c r="BW18" i="1"/>
  <c r="BR18" i="1"/>
  <c r="BM18" i="1"/>
  <c r="BH18" i="1"/>
  <c r="BC18" i="1"/>
  <c r="AX18" i="1"/>
  <c r="AV18" i="1"/>
  <c r="AS18" i="1"/>
  <c r="AQ18" i="1"/>
  <c r="AN18" i="1"/>
  <c r="AL18" i="1"/>
  <c r="AI18" i="1"/>
  <c r="AG18" i="1"/>
  <c r="AD18" i="1"/>
  <c r="AB18" i="1"/>
  <c r="Y18" i="1"/>
  <c r="W18" i="1"/>
  <c r="R18" i="1"/>
  <c r="CF18" i="1" s="1"/>
  <c r="Q18" i="1"/>
  <c r="CE18" i="1" s="1"/>
  <c r="N18" i="1"/>
  <c r="I18" i="1"/>
  <c r="E18" i="1"/>
  <c r="CB17" i="1"/>
  <c r="BW17" i="1"/>
  <c r="BR17" i="1"/>
  <c r="BM17" i="1"/>
  <c r="BH17" i="1"/>
  <c r="BC17" i="1"/>
  <c r="AX17" i="1"/>
  <c r="AS17" i="1"/>
  <c r="AN17" i="1"/>
  <c r="AI17" i="1"/>
  <c r="AD17" i="1"/>
  <c r="Y17" i="1"/>
  <c r="R17" i="1"/>
  <c r="CF17" i="1" s="1"/>
  <c r="Q17" i="1"/>
  <c r="CE17" i="1" s="1"/>
  <c r="CG17" i="1" s="1"/>
  <c r="CK17" i="1" s="1"/>
  <c r="N17" i="1"/>
  <c r="I17" i="1"/>
  <c r="E17" i="1"/>
  <c r="CB16" i="1"/>
  <c r="BW16" i="1"/>
  <c r="BR16" i="1"/>
  <c r="BM16" i="1"/>
  <c r="BH16" i="1"/>
  <c r="BC16" i="1"/>
  <c r="AW16" i="1"/>
  <c r="R16" i="1" s="1"/>
  <c r="AS16" i="1"/>
  <c r="AR16" i="1"/>
  <c r="AN16" i="1"/>
  <c r="AM16" i="1"/>
  <c r="AH16" i="1"/>
  <c r="AI16" i="1" s="1"/>
  <c r="AD16" i="1"/>
  <c r="AC16" i="1"/>
  <c r="X16" i="1"/>
  <c r="Y16" i="1" s="1"/>
  <c r="Q16" i="1"/>
  <c r="CE16" i="1" s="1"/>
  <c r="N16" i="1"/>
  <c r="I16" i="1"/>
  <c r="E16" i="1"/>
  <c r="CB15" i="1"/>
  <c r="BW15" i="1"/>
  <c r="BR15" i="1"/>
  <c r="BM15" i="1"/>
  <c r="BH15" i="1"/>
  <c r="BC15" i="1"/>
  <c r="AX15" i="1"/>
  <c r="AS15" i="1"/>
  <c r="AN15" i="1"/>
  <c r="AI15" i="1"/>
  <c r="AD15" i="1"/>
  <c r="Y15" i="1"/>
  <c r="R15" i="1"/>
  <c r="CF15" i="1" s="1"/>
  <c r="Q15" i="1"/>
  <c r="CE15" i="1" s="1"/>
  <c r="N15" i="1"/>
  <c r="H15" i="1"/>
  <c r="I15" i="1" s="1"/>
  <c r="E15" i="1"/>
  <c r="CB14" i="1"/>
  <c r="BW14" i="1"/>
  <c r="BR14" i="1"/>
  <c r="BM14" i="1"/>
  <c r="BH14" i="1"/>
  <c r="BC14" i="1"/>
  <c r="AX14" i="1"/>
  <c r="AS14" i="1"/>
  <c r="AN14" i="1"/>
  <c r="AI14" i="1"/>
  <c r="AD14" i="1"/>
  <c r="Y14" i="1"/>
  <c r="R14" i="1"/>
  <c r="CF14" i="1" s="1"/>
  <c r="Q14" i="1"/>
  <c r="N14" i="1"/>
  <c r="I14" i="1"/>
  <c r="E14" i="1"/>
  <c r="CB13" i="1"/>
  <c r="BW13" i="1"/>
  <c r="BR13" i="1"/>
  <c r="BM13" i="1"/>
  <c r="BH13" i="1"/>
  <c r="BC13" i="1"/>
  <c r="AX13" i="1"/>
  <c r="AS13" i="1"/>
  <c r="AN13" i="1"/>
  <c r="AI13" i="1"/>
  <c r="AD13" i="1"/>
  <c r="Y13" i="1"/>
  <c r="R13" i="1"/>
  <c r="CF13" i="1" s="1"/>
  <c r="Q13" i="1"/>
  <c r="N13" i="1"/>
  <c r="I13" i="1"/>
  <c r="E13" i="1"/>
  <c r="CJ12" i="1"/>
  <c r="CB12" i="1"/>
  <c r="BW12" i="1"/>
  <c r="BR12" i="1"/>
  <c r="BM12" i="1"/>
  <c r="BH12" i="1"/>
  <c r="BC12" i="1"/>
  <c r="AX12" i="1"/>
  <c r="AS12" i="1"/>
  <c r="AN12" i="1"/>
  <c r="AI12" i="1"/>
  <c r="AB12" i="1"/>
  <c r="Q12" i="1" s="1"/>
  <c r="CE12" i="1" s="1"/>
  <c r="Y12" i="1"/>
  <c r="R12" i="1"/>
  <c r="CF12" i="1" s="1"/>
  <c r="N12" i="1"/>
  <c r="I12" i="1"/>
  <c r="E12" i="1"/>
  <c r="CB11" i="1"/>
  <c r="BW11" i="1"/>
  <c r="BR11" i="1"/>
  <c r="BM11" i="1"/>
  <c r="BH11" i="1"/>
  <c r="BC11" i="1"/>
  <c r="AX11" i="1"/>
  <c r="AS11" i="1"/>
  <c r="AN11" i="1"/>
  <c r="AI11" i="1"/>
  <c r="AB11" i="1"/>
  <c r="AD11" i="1" s="1"/>
  <c r="Y11" i="1"/>
  <c r="R11" i="1"/>
  <c r="CF11" i="1" s="1"/>
  <c r="Q11" i="1"/>
  <c r="N11" i="1"/>
  <c r="I11" i="1"/>
  <c r="E11" i="1"/>
  <c r="CB10" i="1"/>
  <c r="BW10" i="1"/>
  <c r="BR10" i="1"/>
  <c r="BM10" i="1"/>
  <c r="BH10" i="1"/>
  <c r="BC10" i="1"/>
  <c r="AX10" i="1"/>
  <c r="AS10" i="1"/>
  <c r="AN10" i="1"/>
  <c r="AI10" i="1"/>
  <c r="AD10" i="1"/>
  <c r="AB10" i="1"/>
  <c r="Y10" i="1"/>
  <c r="R10" i="1"/>
  <c r="CF10" i="1" s="1"/>
  <c r="Q10" i="1"/>
  <c r="S10" i="1" s="1"/>
  <c r="N10" i="1"/>
  <c r="I10" i="1"/>
  <c r="E10" i="1"/>
  <c r="CJ9" i="1"/>
  <c r="CB9" i="1"/>
  <c r="BW9" i="1"/>
  <c r="BR9" i="1"/>
  <c r="BM9" i="1"/>
  <c r="BH9" i="1"/>
  <c r="BC9" i="1"/>
  <c r="AW9" i="1"/>
  <c r="AV9" i="1"/>
  <c r="AX9" i="1" s="1"/>
  <c r="AS9" i="1"/>
  <c r="AR9" i="1"/>
  <c r="AQ9" i="1"/>
  <c r="AN9" i="1"/>
  <c r="AM9" i="1"/>
  <c r="AL9" i="1"/>
  <c r="AH9" i="1"/>
  <c r="AG9" i="1"/>
  <c r="AG8" i="1" s="1"/>
  <c r="AC9" i="1"/>
  <c r="AB9" i="1"/>
  <c r="X9" i="1"/>
  <c r="W9" i="1"/>
  <c r="Y9" i="1" s="1"/>
  <c r="N9" i="1"/>
  <c r="I9" i="1"/>
  <c r="E9" i="1"/>
  <c r="CA8" i="1"/>
  <c r="BZ8" i="1"/>
  <c r="BV8" i="1"/>
  <c r="BU8" i="1"/>
  <c r="BQ8" i="1"/>
  <c r="BQ38" i="1" s="1"/>
  <c r="BP8" i="1"/>
  <c r="BL8" i="1"/>
  <c r="BK8" i="1"/>
  <c r="BG8" i="1"/>
  <c r="BF8" i="1"/>
  <c r="BB8" i="1"/>
  <c r="BA8" i="1"/>
  <c r="BA38" i="1" s="1"/>
  <c r="AQ8" i="1"/>
  <c r="AM8" i="1"/>
  <c r="AC8" i="1"/>
  <c r="X8" i="1"/>
  <c r="M8" i="1"/>
  <c r="L8" i="1"/>
  <c r="H8" i="1"/>
  <c r="G8" i="1"/>
  <c r="D8" i="1"/>
  <c r="C8" i="1"/>
  <c r="CG7" i="1"/>
  <c r="CF7" i="1"/>
  <c r="CB7" i="1"/>
  <c r="BW7" i="1"/>
  <c r="BR7" i="1"/>
  <c r="BM7" i="1"/>
  <c r="BH7" i="1"/>
  <c r="BH5" i="1" s="1"/>
  <c r="BC7" i="1"/>
  <c r="AV7" i="1"/>
  <c r="AX7" i="1" s="1"/>
  <c r="AQ7" i="1"/>
  <c r="AS7" i="1" s="1"/>
  <c r="AN7" i="1"/>
  <c r="AL7" i="1"/>
  <c r="AG7" i="1"/>
  <c r="AI7" i="1" s="1"/>
  <c r="AB7" i="1"/>
  <c r="AD7" i="1" s="1"/>
  <c r="W7" i="1"/>
  <c r="R7" i="1"/>
  <c r="Q7" i="1"/>
  <c r="CE7" i="1" s="1"/>
  <c r="N7" i="1"/>
  <c r="I7" i="1"/>
  <c r="E7" i="1"/>
  <c r="CB6" i="1"/>
  <c r="BW6" i="1"/>
  <c r="BR6" i="1"/>
  <c r="BM6" i="1"/>
  <c r="BH6" i="1"/>
  <c r="BC6" i="1"/>
  <c r="AX6" i="1"/>
  <c r="AV6" i="1"/>
  <c r="AQ6" i="1"/>
  <c r="AQ5" i="1" s="1"/>
  <c r="AQ38" i="1" s="1"/>
  <c r="AL6" i="1"/>
  <c r="AL5" i="1" s="1"/>
  <c r="AG6" i="1"/>
  <c r="AG5" i="1" s="1"/>
  <c r="AB6" i="1"/>
  <c r="Q6" i="1" s="1"/>
  <c r="W6" i="1"/>
  <c r="Y6" i="1" s="1"/>
  <c r="R6" i="1"/>
  <c r="CF6" i="1" s="1"/>
  <c r="CF5" i="1" s="1"/>
  <c r="N6" i="1"/>
  <c r="N5" i="1" s="1"/>
  <c r="I6" i="1"/>
  <c r="E6" i="1"/>
  <c r="CB5" i="1"/>
  <c r="CA5" i="1"/>
  <c r="CA38" i="1" s="1"/>
  <c r="CA39" i="1" s="1"/>
  <c r="BZ5" i="1"/>
  <c r="BZ38" i="1" s="1"/>
  <c r="BW5" i="1"/>
  <c r="BV5" i="1"/>
  <c r="BU5" i="1"/>
  <c r="BU38" i="1" s="1"/>
  <c r="BQ5" i="1"/>
  <c r="BP5" i="1"/>
  <c r="BP38" i="1" s="1"/>
  <c r="BL5" i="1"/>
  <c r="BK5" i="1"/>
  <c r="BG5" i="1"/>
  <c r="BG38" i="1" s="1"/>
  <c r="BF5" i="1"/>
  <c r="BF38" i="1" s="1"/>
  <c r="BB5" i="1"/>
  <c r="BA5" i="1"/>
  <c r="AW5" i="1"/>
  <c r="AR5" i="1"/>
  <c r="AM5" i="1"/>
  <c r="AH5" i="1"/>
  <c r="AC5" i="1"/>
  <c r="AC38" i="1" s="1"/>
  <c r="X5" i="1"/>
  <c r="X38" i="1" s="1"/>
  <c r="R5" i="1"/>
  <c r="M5" i="1"/>
  <c r="L5" i="1"/>
  <c r="L38" i="1" s="1"/>
  <c r="L75" i="1" s="1"/>
  <c r="I5" i="1"/>
  <c r="H5" i="1"/>
  <c r="G5" i="1"/>
  <c r="E5" i="1"/>
  <c r="D5" i="1"/>
  <c r="C5" i="1"/>
  <c r="C38" i="1" s="1"/>
  <c r="CG62" i="1" l="1"/>
  <c r="CG29" i="1"/>
  <c r="CK29" i="1" s="1"/>
  <c r="BC83" i="1"/>
  <c r="S65" i="1"/>
  <c r="BM41" i="1"/>
  <c r="CE65" i="1"/>
  <c r="BC5" i="1"/>
  <c r="AX5" i="1"/>
  <c r="BC50" i="1"/>
  <c r="BR5" i="1"/>
  <c r="S55" i="1"/>
  <c r="CG21" i="1"/>
  <c r="CK21" i="1" s="1"/>
  <c r="CG120" i="1" s="1"/>
  <c r="AD50" i="1"/>
  <c r="BM5" i="1"/>
  <c r="S26" i="1"/>
  <c r="CG18" i="1"/>
  <c r="CK18" i="1" s="1"/>
  <c r="CG118" i="1" s="1"/>
  <c r="S13" i="1"/>
  <c r="CG19" i="1"/>
  <c r="CG15" i="1"/>
  <c r="CK15" i="1" s="1"/>
  <c r="S46" i="1"/>
  <c r="CE50" i="1"/>
  <c r="S64" i="1"/>
  <c r="CG59" i="1"/>
  <c r="CK59" i="1" s="1"/>
  <c r="CE13" i="1"/>
  <c r="CG13" i="1" s="1"/>
  <c r="CK13" i="1" s="1"/>
  <c r="CG45" i="1"/>
  <c r="S20" i="1"/>
  <c r="AX50" i="1"/>
  <c r="CG65" i="1"/>
  <c r="CK65" i="1" s="1"/>
  <c r="I41" i="1"/>
  <c r="CG56" i="1"/>
  <c r="CK56" i="1" s="1"/>
  <c r="CE64" i="1"/>
  <c r="CG64" i="1" s="1"/>
  <c r="S61" i="1"/>
  <c r="S32" i="1"/>
  <c r="CG61" i="1"/>
  <c r="CG12" i="1"/>
  <c r="CK12" i="1" s="1"/>
  <c r="CG46" i="1"/>
  <c r="S45" i="1"/>
  <c r="S12" i="1"/>
  <c r="CG44" i="1"/>
  <c r="S11" i="1"/>
  <c r="S17" i="1"/>
  <c r="CE32" i="1"/>
  <c r="CG32" i="1" s="1"/>
  <c r="R83" i="1"/>
  <c r="S15" i="1"/>
  <c r="BC8" i="1"/>
  <c r="CE11" i="1"/>
  <c r="CG11" i="1" s="1"/>
  <c r="CK11" i="1" s="1"/>
  <c r="BW8" i="1"/>
  <c r="BW38" i="1" s="1"/>
  <c r="S43" i="1"/>
  <c r="AX41" i="1"/>
  <c r="BR50" i="1"/>
  <c r="CE27" i="1"/>
  <c r="CG27" i="1" s="1"/>
  <c r="BM83" i="1"/>
  <c r="L76" i="1"/>
  <c r="L94" i="1"/>
  <c r="L100" i="1" s="1"/>
  <c r="L101" i="1" s="1"/>
  <c r="L103" i="1" s="1"/>
  <c r="L104" i="1" s="1"/>
  <c r="S6" i="1"/>
  <c r="S5" i="1" s="1"/>
  <c r="CE6" i="1"/>
  <c r="Q5" i="1"/>
  <c r="BQ75" i="1"/>
  <c r="BQ39" i="1"/>
  <c r="Y68" i="1"/>
  <c r="Y54" i="1" s="1"/>
  <c r="S7" i="1"/>
  <c r="CF26" i="1"/>
  <c r="CG26" i="1" s="1"/>
  <c r="G75" i="1"/>
  <c r="CB35" i="1"/>
  <c r="E8" i="1"/>
  <c r="E38" i="1" s="1"/>
  <c r="N35" i="1"/>
  <c r="X54" i="1"/>
  <c r="X75" i="1" s="1"/>
  <c r="W5" i="1"/>
  <c r="Y7" i="1"/>
  <c r="Y5" i="1" s="1"/>
  <c r="H94" i="1"/>
  <c r="H100" i="1" s="1"/>
  <c r="H101" i="1" s="1"/>
  <c r="H103" i="1" s="1"/>
  <c r="H104" i="1" s="1"/>
  <c r="H76" i="1"/>
  <c r="S84" i="1"/>
  <c r="CG36" i="1"/>
  <c r="D75" i="1"/>
  <c r="D39" i="1"/>
  <c r="E54" i="1"/>
  <c r="L39" i="1"/>
  <c r="BC41" i="1"/>
  <c r="E41" i="1"/>
  <c r="S21" i="1"/>
  <c r="BH41" i="1"/>
  <c r="AL54" i="1"/>
  <c r="Q67" i="1"/>
  <c r="AD6" i="1"/>
  <c r="AD5" i="1" s="1"/>
  <c r="AB5" i="1"/>
  <c r="AB38" i="1" s="1"/>
  <c r="AL88" i="1"/>
  <c r="CG20" i="1"/>
  <c r="AN67" i="1"/>
  <c r="BA75" i="1"/>
  <c r="BA39" i="1"/>
  <c r="BC54" i="1"/>
  <c r="AI9" i="1"/>
  <c r="CE55" i="1"/>
  <c r="BW54" i="1"/>
  <c r="CK24" i="1"/>
  <c r="CG122" i="1" s="1"/>
  <c r="BF75" i="1"/>
  <c r="BF39" i="1"/>
  <c r="AI6" i="1"/>
  <c r="AI5" i="1" s="1"/>
  <c r="AN8" i="1"/>
  <c r="BR8" i="1"/>
  <c r="BR38" i="1" s="1"/>
  <c r="W8" i="1"/>
  <c r="Y26" i="1"/>
  <c r="BZ39" i="1"/>
  <c r="BZ75" i="1"/>
  <c r="S35" i="1"/>
  <c r="Y23" i="1"/>
  <c r="Q23" i="1"/>
  <c r="BG75" i="1"/>
  <c r="BG39" i="1"/>
  <c r="AL38" i="1"/>
  <c r="CF16" i="1"/>
  <c r="CG16" i="1" s="1"/>
  <c r="S16" i="1"/>
  <c r="BU75" i="1"/>
  <c r="BU39" i="1"/>
  <c r="AQ39" i="1"/>
  <c r="AQ75" i="1"/>
  <c r="AR8" i="1"/>
  <c r="AQ88" i="1" s="1"/>
  <c r="CB8" i="1"/>
  <c r="CB38" i="1" s="1"/>
  <c r="AX16" i="1"/>
  <c r="BH50" i="1"/>
  <c r="BP75" i="1"/>
  <c r="BP39" i="1"/>
  <c r="AX22" i="1"/>
  <c r="AH8" i="1"/>
  <c r="AG88" i="1" s="1"/>
  <c r="R9" i="1"/>
  <c r="CF68" i="1"/>
  <c r="CG68" i="1" s="1"/>
  <c r="S68" i="1"/>
  <c r="S19" i="1"/>
  <c r="AG38" i="1"/>
  <c r="AS8" i="1"/>
  <c r="AB8" i="1"/>
  <c r="AD9" i="1"/>
  <c r="Q9" i="1"/>
  <c r="AI28" i="1"/>
  <c r="Q28" i="1"/>
  <c r="AX67" i="1"/>
  <c r="AW54" i="1"/>
  <c r="S18" i="1"/>
  <c r="CE60" i="1"/>
  <c r="CG60" i="1" s="1"/>
  <c r="S60" i="1"/>
  <c r="AH38" i="1"/>
  <c r="BV38" i="1"/>
  <c r="N8" i="1"/>
  <c r="N38" i="1" s="1"/>
  <c r="S24" i="1"/>
  <c r="CF43" i="1"/>
  <c r="S59" i="1"/>
  <c r="CB41" i="1"/>
  <c r="I8" i="1"/>
  <c r="I38" i="1" s="1"/>
  <c r="CE14" i="1"/>
  <c r="CG14" i="1" s="1"/>
  <c r="S14" i="1"/>
  <c r="CE43" i="1"/>
  <c r="CA75" i="1"/>
  <c r="Y19" i="1"/>
  <c r="CE57" i="1"/>
  <c r="CG57" i="1" s="1"/>
  <c r="S57" i="1"/>
  <c r="AN6" i="1"/>
  <c r="AN5" i="1" s="1"/>
  <c r="AD35" i="1"/>
  <c r="AS6" i="1"/>
  <c r="AS5" i="1" s="1"/>
  <c r="AX33" i="1"/>
  <c r="R33" i="1"/>
  <c r="CF33" i="1" s="1"/>
  <c r="CG33" i="1" s="1"/>
  <c r="AS35" i="1"/>
  <c r="N41" i="1"/>
  <c r="AM38" i="1"/>
  <c r="BK39" i="1"/>
  <c r="BK75" i="1"/>
  <c r="N50" i="1"/>
  <c r="BW83" i="1"/>
  <c r="Y20" i="1"/>
  <c r="N54" i="1"/>
  <c r="AD65" i="1"/>
  <c r="AB54" i="1"/>
  <c r="AX71" i="1"/>
  <c r="CE48" i="1"/>
  <c r="CG48" i="1" s="1"/>
  <c r="S48" i="1"/>
  <c r="AW8" i="1"/>
  <c r="AR38" i="1"/>
  <c r="AD12" i="1"/>
  <c r="C75" i="1"/>
  <c r="C39" i="1"/>
  <c r="AV5" i="1"/>
  <c r="AV38" i="1" s="1"/>
  <c r="CF25" i="1"/>
  <c r="CG25" i="1" s="1"/>
  <c r="S25" i="1"/>
  <c r="CE31" i="1"/>
  <c r="AI41" i="1"/>
  <c r="CG84" i="1"/>
  <c r="X39" i="1"/>
  <c r="AC54" i="1"/>
  <c r="AC75" i="1" s="1"/>
  <c r="AD55" i="1"/>
  <c r="W88" i="1"/>
  <c r="AW38" i="1"/>
  <c r="Y31" i="1"/>
  <c r="R31" i="1"/>
  <c r="CF31" i="1" s="1"/>
  <c r="AN41" i="1"/>
  <c r="BH8" i="1"/>
  <c r="S73" i="1"/>
  <c r="M74" i="1"/>
  <c r="M73" i="1" s="1"/>
  <c r="BW41" i="1"/>
  <c r="Y73" i="1"/>
  <c r="CE10" i="1"/>
  <c r="CG10" i="1" s="1"/>
  <c r="BL75" i="1"/>
  <c r="BL39" i="1"/>
  <c r="BH54" i="1"/>
  <c r="R28" i="1"/>
  <c r="CF28" i="1" s="1"/>
  <c r="Y28" i="1"/>
  <c r="AS41" i="1"/>
  <c r="CG102" i="1"/>
  <c r="M38" i="1"/>
  <c r="AD41" i="1"/>
  <c r="BB38" i="1"/>
  <c r="BM8" i="1"/>
  <c r="BM38" i="1" s="1"/>
  <c r="Q22" i="1"/>
  <c r="S44" i="1"/>
  <c r="BW50" i="1"/>
  <c r="BR54" i="1"/>
  <c r="AS54" i="1"/>
  <c r="CE58" i="1"/>
  <c r="CG58" i="1" s="1"/>
  <c r="CK58" i="1" s="1"/>
  <c r="S58" i="1"/>
  <c r="AL8" i="1"/>
  <c r="Q47" i="1"/>
  <c r="Q41" i="1" s="1"/>
  <c r="Y50" i="1"/>
  <c r="I54" i="1"/>
  <c r="CE63" i="1"/>
  <c r="CG63" i="1" s="1"/>
  <c r="S63" i="1"/>
  <c r="S29" i="1"/>
  <c r="Y47" i="1"/>
  <c r="S50" i="1"/>
  <c r="R67" i="1"/>
  <c r="CF67" i="1" s="1"/>
  <c r="AD67" i="1"/>
  <c r="BH73" i="1"/>
  <c r="CB54" i="1"/>
  <c r="CE71" i="1"/>
  <c r="CG71" i="1" s="1"/>
  <c r="S71" i="1"/>
  <c r="Q30" i="1"/>
  <c r="R70" i="1"/>
  <c r="CF70" i="1" s="1"/>
  <c r="CG70" i="1" s="1"/>
  <c r="AI70" i="1"/>
  <c r="BR41" i="1"/>
  <c r="R50" i="1"/>
  <c r="CF52" i="1"/>
  <c r="BH83" i="1"/>
  <c r="AB41" i="1"/>
  <c r="Q50" i="1"/>
  <c r="CF42" i="1"/>
  <c r="CG42" i="1" s="1"/>
  <c r="R41" i="1"/>
  <c r="S56" i="1"/>
  <c r="AG54" i="1"/>
  <c r="N74" i="1"/>
  <c r="BW73" i="1"/>
  <c r="AQ41" i="1"/>
  <c r="AI65" i="1"/>
  <c r="AH54" i="1"/>
  <c r="CB73" i="1"/>
  <c r="BM54" i="1"/>
  <c r="S66" i="1"/>
  <c r="Q69" i="1"/>
  <c r="CF74" i="1"/>
  <c r="CF73" i="1" s="1"/>
  <c r="S42" i="1"/>
  <c r="S62" i="1"/>
  <c r="AS38" i="1" l="1"/>
  <c r="BW106" i="1"/>
  <c r="BX18" i="1" s="1"/>
  <c r="S31" i="1"/>
  <c r="CG31" i="1"/>
  <c r="CG127" i="1"/>
  <c r="Y8" i="1"/>
  <c r="BC106" i="1"/>
  <c r="BD55" i="1" s="1"/>
  <c r="BC38" i="1"/>
  <c r="BC75" i="1" s="1"/>
  <c r="Y38" i="1"/>
  <c r="Y39" i="1" s="1"/>
  <c r="CF41" i="1"/>
  <c r="N39" i="1"/>
  <c r="N75" i="1"/>
  <c r="CK33" i="1"/>
  <c r="CB39" i="1"/>
  <c r="CB75" i="1"/>
  <c r="BR75" i="1"/>
  <c r="BR39" i="1"/>
  <c r="AC94" i="1"/>
  <c r="AC100" i="1" s="1"/>
  <c r="AC101" i="1" s="1"/>
  <c r="AC103" i="1" s="1"/>
  <c r="AC104" i="1" s="1"/>
  <c r="AC76" i="1"/>
  <c r="X76" i="1"/>
  <c r="X94" i="1"/>
  <c r="X100" i="1" s="1"/>
  <c r="X101" i="1" s="1"/>
  <c r="X103" i="1" s="1"/>
  <c r="X104" i="1" s="1"/>
  <c r="BX57" i="1"/>
  <c r="BX28" i="1"/>
  <c r="BX66" i="1"/>
  <c r="BX59" i="1"/>
  <c r="BX22" i="1"/>
  <c r="BX25" i="1"/>
  <c r="BX44" i="1"/>
  <c r="BX62" i="1"/>
  <c r="BX68" i="1"/>
  <c r="BX14" i="1"/>
  <c r="BX12" i="1"/>
  <c r="BX58" i="1"/>
  <c r="BX21" i="1"/>
  <c r="BX30" i="1"/>
  <c r="BX20" i="1"/>
  <c r="BX61" i="1"/>
  <c r="BX33" i="1"/>
  <c r="BX35" i="1"/>
  <c r="BX55" i="1"/>
  <c r="BX51" i="1"/>
  <c r="BX27" i="1"/>
  <c r="BX71" i="1"/>
  <c r="BX70" i="1"/>
  <c r="BX52" i="1"/>
  <c r="BX9" i="1"/>
  <c r="CK26" i="1"/>
  <c r="CG124" i="1" s="1"/>
  <c r="CK68" i="1"/>
  <c r="AW75" i="1"/>
  <c r="AW39" i="1"/>
  <c r="AL39" i="1"/>
  <c r="AL75" i="1"/>
  <c r="CJ63" i="1"/>
  <c r="AV88" i="1"/>
  <c r="AQ94" i="1"/>
  <c r="AQ100" i="1" s="1"/>
  <c r="AQ101" i="1" s="1"/>
  <c r="AQ103" i="1" s="1"/>
  <c r="AQ104" i="1" s="1"/>
  <c r="AQ76" i="1"/>
  <c r="CK14" i="1"/>
  <c r="CE23" i="1"/>
  <c r="CG23" i="1" s="1"/>
  <c r="S23" i="1"/>
  <c r="AH75" i="1"/>
  <c r="AH39" i="1"/>
  <c r="BL76" i="1"/>
  <c r="BL94" i="1"/>
  <c r="BL100" i="1" s="1"/>
  <c r="BL101" i="1" s="1"/>
  <c r="BL103" i="1" s="1"/>
  <c r="BL104" i="1" s="1"/>
  <c r="CF9" i="1"/>
  <c r="CF8" i="1" s="1"/>
  <c r="CF38" i="1" s="1"/>
  <c r="R8" i="1"/>
  <c r="R38" i="1" s="1"/>
  <c r="M35" i="1"/>
  <c r="M39" i="1"/>
  <c r="M75" i="1"/>
  <c r="AM75" i="1"/>
  <c r="AM39" i="1"/>
  <c r="AN38" i="1"/>
  <c r="I106" i="1"/>
  <c r="J8" i="1" s="1"/>
  <c r="AI8" i="1"/>
  <c r="AI38" i="1" s="1"/>
  <c r="BW75" i="1"/>
  <c r="BW39" i="1"/>
  <c r="BU76" i="1"/>
  <c r="BU94" i="1"/>
  <c r="BU100" i="1" s="1"/>
  <c r="BU101" i="1" s="1"/>
  <c r="BU103" i="1" s="1"/>
  <c r="BU104" i="1" s="1"/>
  <c r="BZ76" i="1"/>
  <c r="BZ94" i="1"/>
  <c r="BZ100" i="1" s="1"/>
  <c r="BZ101" i="1" s="1"/>
  <c r="BZ103" i="1" s="1"/>
  <c r="BZ104" i="1" s="1"/>
  <c r="BD58" i="1"/>
  <c r="CG35" i="1"/>
  <c r="CK36" i="1"/>
  <c r="BQ76" i="1"/>
  <c r="BQ94" i="1"/>
  <c r="BQ100" i="1" s="1"/>
  <c r="BQ101" i="1" s="1"/>
  <c r="BQ103" i="1" s="1"/>
  <c r="BQ104" i="1" s="1"/>
  <c r="CE5" i="1"/>
  <c r="CG6" i="1"/>
  <c r="AS88" i="1"/>
  <c r="AS106" i="1" s="1"/>
  <c r="AQ83" i="1"/>
  <c r="AG83" i="1"/>
  <c r="AI88" i="1"/>
  <c r="BF76" i="1"/>
  <c r="BF94" i="1"/>
  <c r="BF100" i="1" s="1"/>
  <c r="BF101" i="1" s="1"/>
  <c r="BF103" i="1" s="1"/>
  <c r="BF104" i="1" s="1"/>
  <c r="AB75" i="1"/>
  <c r="AB39" i="1"/>
  <c r="CG52" i="1"/>
  <c r="CF50" i="1"/>
  <c r="CK10" i="1"/>
  <c r="CK57" i="1"/>
  <c r="BD42" i="1"/>
  <c r="E39" i="1"/>
  <c r="E75" i="1"/>
  <c r="AV75" i="1"/>
  <c r="AV39" i="1"/>
  <c r="CK16" i="1"/>
  <c r="CG117" i="1" s="1"/>
  <c r="R54" i="1"/>
  <c r="G76" i="1"/>
  <c r="G94" i="1"/>
  <c r="G100" i="1" s="1"/>
  <c r="G101" i="1" s="1"/>
  <c r="G103" i="1" s="1"/>
  <c r="G104" i="1" s="1"/>
  <c r="N73" i="1"/>
  <c r="CK70" i="1"/>
  <c r="W38" i="1"/>
  <c r="AS75" i="1"/>
  <c r="AS39" i="1"/>
  <c r="C76" i="1"/>
  <c r="C100" i="1"/>
  <c r="C101" i="1" s="1"/>
  <c r="C103" i="1" s="1"/>
  <c r="C104" i="1" s="1"/>
  <c r="CE28" i="1"/>
  <c r="CG28" i="1" s="1"/>
  <c r="S28" i="1"/>
  <c r="Y41" i="1"/>
  <c r="BX50" i="1"/>
  <c r="BM75" i="1"/>
  <c r="BM39" i="1"/>
  <c r="S30" i="1"/>
  <c r="CE30" i="1"/>
  <c r="CG30" i="1" s="1"/>
  <c r="BD43" i="1"/>
  <c r="BD47" i="1"/>
  <c r="S9" i="1"/>
  <c r="Q8" i="1"/>
  <c r="Q38" i="1" s="1"/>
  <c r="CE9" i="1"/>
  <c r="CE69" i="1"/>
  <c r="CG69" i="1" s="1"/>
  <c r="S69" i="1"/>
  <c r="AR75" i="1"/>
  <c r="AR39" i="1"/>
  <c r="CB106" i="1"/>
  <c r="CC73" i="1" s="1"/>
  <c r="BK94" i="1"/>
  <c r="BK100" i="1" s="1"/>
  <c r="BK101" i="1" s="1"/>
  <c r="BK103" i="1" s="1"/>
  <c r="BK104" i="1" s="1"/>
  <c r="BK76" i="1"/>
  <c r="BG76" i="1"/>
  <c r="BG94" i="1"/>
  <c r="BG100" i="1" s="1"/>
  <c r="BG101" i="1" s="1"/>
  <c r="BG103" i="1" s="1"/>
  <c r="BG104" i="1" s="1"/>
  <c r="AD54" i="1"/>
  <c r="CF54" i="1"/>
  <c r="S47" i="1"/>
  <c r="CE47" i="1"/>
  <c r="CG47" i="1" s="1"/>
  <c r="AX8" i="1"/>
  <c r="AI54" i="1"/>
  <c r="CK60" i="1"/>
  <c r="AD8" i="1"/>
  <c r="AD38" i="1" s="1"/>
  <c r="BD65" i="1"/>
  <c r="BD31" i="1"/>
  <c r="BD30" i="1"/>
  <c r="BD57" i="1"/>
  <c r="BD20" i="1"/>
  <c r="BD26" i="1"/>
  <c r="BD25" i="1"/>
  <c r="BD22" i="1"/>
  <c r="BD16" i="1"/>
  <c r="BX54" i="1"/>
  <c r="CE67" i="1"/>
  <c r="CG67" i="1" s="1"/>
  <c r="S67" i="1"/>
  <c r="E106" i="1"/>
  <c r="F54" i="1" s="1"/>
  <c r="CK27" i="1"/>
  <c r="CG125" i="1" s="1"/>
  <c r="CA76" i="1"/>
  <c r="CA94" i="1"/>
  <c r="CA100" i="1" s="1"/>
  <c r="CA101" i="1" s="1"/>
  <c r="CA103" i="1" s="1"/>
  <c r="CA104" i="1" s="1"/>
  <c r="BX41" i="1"/>
  <c r="S33" i="1"/>
  <c r="CK25" i="1"/>
  <c r="CG123" i="1" s="1"/>
  <c r="BR106" i="1"/>
  <c r="BS8" i="1" s="1"/>
  <c r="BP76" i="1"/>
  <c r="BP94" i="1"/>
  <c r="BP100" i="1" s="1"/>
  <c r="BP101" i="1" s="1"/>
  <c r="BP103" i="1" s="1"/>
  <c r="BP104" i="1" s="1"/>
  <c r="S22" i="1"/>
  <c r="CE22" i="1"/>
  <c r="CG22" i="1" s="1"/>
  <c r="AX54" i="1"/>
  <c r="Q54" i="1"/>
  <c r="Y88" i="1"/>
  <c r="W83" i="1"/>
  <c r="BX73" i="1"/>
  <c r="CK20" i="1"/>
  <c r="CG119" i="1" s="1"/>
  <c r="N106" i="1"/>
  <c r="O41" i="1" s="1"/>
  <c r="I39" i="1"/>
  <c r="I75" i="1"/>
  <c r="D76" i="1"/>
  <c r="D94" i="1"/>
  <c r="D100" i="1" s="1"/>
  <c r="D101" i="1" s="1"/>
  <c r="D103" i="1" s="1"/>
  <c r="D104" i="1" s="1"/>
  <c r="BM106" i="1"/>
  <c r="BN54" i="1" s="1"/>
  <c r="BN8" i="1"/>
  <c r="BH106" i="1"/>
  <c r="BI54" i="1" s="1"/>
  <c r="BH38" i="1"/>
  <c r="CG55" i="1"/>
  <c r="BD44" i="1"/>
  <c r="AL83" i="1"/>
  <c r="AN88" i="1"/>
  <c r="BB75" i="1"/>
  <c r="BB39" i="1"/>
  <c r="AN54" i="1"/>
  <c r="AG75" i="1"/>
  <c r="AG39" i="1"/>
  <c r="BA76" i="1"/>
  <c r="BA94" i="1"/>
  <c r="BA100" i="1" s="1"/>
  <c r="BA101" i="1" s="1"/>
  <c r="BA103" i="1" s="1"/>
  <c r="BA104" i="1" s="1"/>
  <c r="CG43" i="1"/>
  <c r="BV39" i="1"/>
  <c r="BV75" i="1"/>
  <c r="AB88" i="1"/>
  <c r="Q88" i="1" s="1"/>
  <c r="S70" i="1"/>
  <c r="CG74" i="1"/>
  <c r="BX42" i="1" l="1"/>
  <c r="BD10" i="1"/>
  <c r="BD19" i="1"/>
  <c r="BD51" i="1"/>
  <c r="BD69" i="1"/>
  <c r="BX64" i="1"/>
  <c r="BX65" i="1"/>
  <c r="BD66" i="1"/>
  <c r="BD24" i="1"/>
  <c r="BD9" i="1"/>
  <c r="BX45" i="1"/>
  <c r="BX69" i="1"/>
  <c r="BD48" i="1"/>
  <c r="BD8" i="1"/>
  <c r="BX84" i="1"/>
  <c r="BX48" i="1"/>
  <c r="BX60" i="1"/>
  <c r="BX47" i="1"/>
  <c r="BD62" i="1"/>
  <c r="BX32" i="1"/>
  <c r="BX43" i="1"/>
  <c r="BD67" i="1"/>
  <c r="BD50" i="1"/>
  <c r="BD13" i="1"/>
  <c r="BD73" i="1"/>
  <c r="BX23" i="1"/>
  <c r="BD15" i="1"/>
  <c r="BX29" i="1"/>
  <c r="BX26" i="1"/>
  <c r="BD17" i="1"/>
  <c r="BX24" i="1"/>
  <c r="BX13" i="1"/>
  <c r="BD54" i="1"/>
  <c r="BD71" i="1"/>
  <c r="BX74" i="1"/>
  <c r="BX11" i="1"/>
  <c r="BD52" i="1"/>
  <c r="BD41" i="1"/>
  <c r="BD46" i="1"/>
  <c r="BX83" i="1"/>
  <c r="BD28" i="1"/>
  <c r="BX31" i="1"/>
  <c r="BX36" i="1"/>
  <c r="BD35" i="1"/>
  <c r="BD29" i="1"/>
  <c r="BD88" i="1"/>
  <c r="BD59" i="1"/>
  <c r="BD33" i="1"/>
  <c r="BX88" i="1"/>
  <c r="BD14" i="1"/>
  <c r="BD21" i="1"/>
  <c r="BX63" i="1"/>
  <c r="BX46" i="1"/>
  <c r="BD11" i="1"/>
  <c r="BX10" i="1"/>
  <c r="BX15" i="1"/>
  <c r="BD32" i="1"/>
  <c r="BD64" i="1"/>
  <c r="BD83" i="1"/>
  <c r="BD84" i="1"/>
  <c r="BX17" i="1"/>
  <c r="BX56" i="1"/>
  <c r="BD23" i="1"/>
  <c r="BD63" i="1"/>
  <c r="BD56" i="1"/>
  <c r="BD18" i="1"/>
  <c r="BX19" i="1"/>
  <c r="BX67" i="1"/>
  <c r="BD27" i="1"/>
  <c r="BD61" i="1"/>
  <c r="BD12" i="1"/>
  <c r="BD74" i="1"/>
  <c r="BX8" i="1"/>
  <c r="BX16" i="1"/>
  <c r="BD36" i="1"/>
  <c r="BS41" i="1"/>
  <c r="BD45" i="1"/>
  <c r="BD68" i="1"/>
  <c r="BD60" i="1"/>
  <c r="BC39" i="1"/>
  <c r="BD70" i="1"/>
  <c r="CG41" i="1"/>
  <c r="CC8" i="1"/>
  <c r="S54" i="1"/>
  <c r="BI50" i="1"/>
  <c r="O8" i="1"/>
  <c r="Y106" i="1"/>
  <c r="Z45" i="1" s="1"/>
  <c r="BI83" i="1"/>
  <c r="AT8" i="1"/>
  <c r="AT54" i="1"/>
  <c r="F8" i="1"/>
  <c r="BI8" i="1"/>
  <c r="CE41" i="1"/>
  <c r="BI41" i="1"/>
  <c r="Q83" i="1"/>
  <c r="CE88" i="1"/>
  <c r="AI75" i="1"/>
  <c r="AI39" i="1"/>
  <c r="AD75" i="1"/>
  <c r="AD39" i="1"/>
  <c r="AR94" i="1"/>
  <c r="AR100" i="1" s="1"/>
  <c r="AR101" i="1" s="1"/>
  <c r="AR103" i="1" s="1"/>
  <c r="AR104" i="1" s="1"/>
  <c r="AR76" i="1"/>
  <c r="Q39" i="1"/>
  <c r="Q75" i="1"/>
  <c r="CC35" i="1"/>
  <c r="AT35" i="1"/>
  <c r="R39" i="1"/>
  <c r="R75" i="1"/>
  <c r="O74" i="1"/>
  <c r="CK55" i="1"/>
  <c r="CG54" i="1"/>
  <c r="BH75" i="1"/>
  <c r="BH39" i="1"/>
  <c r="CG50" i="1"/>
  <c r="CG73" i="1"/>
  <c r="BI57" i="1"/>
  <c r="BI48" i="1"/>
  <c r="BI84" i="1"/>
  <c r="BI15" i="1"/>
  <c r="BI21" i="1"/>
  <c r="BI68" i="1"/>
  <c r="BI64" i="1"/>
  <c r="BI45" i="1"/>
  <c r="BI22" i="1"/>
  <c r="BI47" i="1"/>
  <c r="BI32" i="1"/>
  <c r="BI61" i="1"/>
  <c r="BI60" i="1"/>
  <c r="BI19" i="1"/>
  <c r="BI70" i="1"/>
  <c r="BI23" i="1"/>
  <c r="BI36" i="1"/>
  <c r="BI35" i="1"/>
  <c r="BI29" i="1"/>
  <c r="BI16" i="1"/>
  <c r="BI26" i="1"/>
  <c r="BI11" i="1"/>
  <c r="BI31" i="1"/>
  <c r="BI44" i="1"/>
  <c r="BI28" i="1"/>
  <c r="BI20" i="1"/>
  <c r="BI14" i="1"/>
  <c r="BI27" i="1"/>
  <c r="BI62" i="1"/>
  <c r="BI42" i="1"/>
  <c r="BI12" i="1"/>
  <c r="BI56" i="1"/>
  <c r="BI59" i="1"/>
  <c r="BI55" i="1"/>
  <c r="BI52" i="1"/>
  <c r="BI9" i="1"/>
  <c r="BI51" i="1"/>
  <c r="BI58" i="1"/>
  <c r="BI30" i="1"/>
  <c r="BI43" i="1"/>
  <c r="BI25" i="1"/>
  <c r="BI63" i="1"/>
  <c r="BI46" i="1"/>
  <c r="BI74" i="1"/>
  <c r="BI88" i="1"/>
  <c r="BI69" i="1"/>
  <c r="BI18" i="1"/>
  <c r="BI24" i="1"/>
  <c r="BI17" i="1"/>
  <c r="BI67" i="1"/>
  <c r="BI66" i="1"/>
  <c r="BI33" i="1"/>
  <c r="BI71" i="1"/>
  <c r="BI10" i="1"/>
  <c r="BI13" i="1"/>
  <c r="BI65" i="1"/>
  <c r="Y83" i="1"/>
  <c r="CK28" i="1"/>
  <c r="CG126" i="1" s="1"/>
  <c r="CF39" i="1"/>
  <c r="CF75" i="1"/>
  <c r="CK30" i="1"/>
  <c r="CG128" i="1" s="1"/>
  <c r="CG115" i="1"/>
  <c r="CG5" i="1"/>
  <c r="J36" i="1"/>
  <c r="J57" i="1"/>
  <c r="J71" i="1"/>
  <c r="J61" i="1"/>
  <c r="J69" i="1"/>
  <c r="J63" i="1"/>
  <c r="J58" i="1"/>
  <c r="J68" i="1"/>
  <c r="J59" i="1"/>
  <c r="J55" i="1"/>
  <c r="J45" i="1"/>
  <c r="J27" i="1"/>
  <c r="J33" i="1"/>
  <c r="J25" i="1"/>
  <c r="J19" i="1"/>
  <c r="J30" i="1"/>
  <c r="J26" i="1"/>
  <c r="J23" i="1"/>
  <c r="J60" i="1"/>
  <c r="J28" i="1"/>
  <c r="J42" i="1"/>
  <c r="J10" i="1"/>
  <c r="J84" i="1"/>
  <c r="J47" i="1"/>
  <c r="J35" i="1"/>
  <c r="J74" i="1"/>
  <c r="J21" i="1"/>
  <c r="J11" i="1"/>
  <c r="J52" i="1"/>
  <c r="J66" i="1"/>
  <c r="J17" i="1"/>
  <c r="J70" i="1"/>
  <c r="J41" i="1"/>
  <c r="J62" i="1"/>
  <c r="J13" i="1"/>
  <c r="J18" i="1"/>
  <c r="J24" i="1"/>
  <c r="J50" i="1"/>
  <c r="J43" i="1"/>
  <c r="J64" i="1"/>
  <c r="J16" i="1"/>
  <c r="J9" i="1"/>
  <c r="J20" i="1"/>
  <c r="J65" i="1"/>
  <c r="J46" i="1"/>
  <c r="J14" i="1"/>
  <c r="J31" i="1"/>
  <c r="J44" i="1"/>
  <c r="J15" i="1"/>
  <c r="J83" i="1"/>
  <c r="J22" i="1"/>
  <c r="J73" i="1"/>
  <c r="J67" i="1"/>
  <c r="J48" i="1"/>
  <c r="J56" i="1"/>
  <c r="J29" i="1"/>
  <c r="J51" i="1"/>
  <c r="J32" i="1"/>
  <c r="J88" i="1"/>
  <c r="J12" i="1"/>
  <c r="F44" i="1"/>
  <c r="F60" i="1"/>
  <c r="F55" i="1"/>
  <c r="F45" i="1"/>
  <c r="F33" i="1"/>
  <c r="F28" i="1"/>
  <c r="F27" i="1"/>
  <c r="F46" i="1"/>
  <c r="F95" i="1"/>
  <c r="F59" i="1"/>
  <c r="F61" i="1"/>
  <c r="F23" i="1"/>
  <c r="F65" i="1"/>
  <c r="F68" i="1"/>
  <c r="F11" i="1"/>
  <c r="F9" i="1"/>
  <c r="F52" i="1"/>
  <c r="F21" i="1"/>
  <c r="F62" i="1"/>
  <c r="F19" i="1"/>
  <c r="F25" i="1"/>
  <c r="F12" i="1"/>
  <c r="F15" i="1"/>
  <c r="F63" i="1"/>
  <c r="F14" i="1"/>
  <c r="F67" i="1"/>
  <c r="F42" i="1"/>
  <c r="F48" i="1"/>
  <c r="F18" i="1"/>
  <c r="F102" i="1"/>
  <c r="F56" i="1"/>
  <c r="F30" i="1"/>
  <c r="F69" i="1"/>
  <c r="F24" i="1"/>
  <c r="F51" i="1"/>
  <c r="F29" i="1"/>
  <c r="F26" i="1"/>
  <c r="F47" i="1"/>
  <c r="F70" i="1"/>
  <c r="F13" i="1"/>
  <c r="F20" i="1"/>
  <c r="F71" i="1"/>
  <c r="F64" i="1"/>
  <c r="F31" i="1"/>
  <c r="F58" i="1"/>
  <c r="F32" i="1"/>
  <c r="F17" i="1"/>
  <c r="F50" i="1"/>
  <c r="F35" i="1"/>
  <c r="F88" i="1"/>
  <c r="F16" i="1"/>
  <c r="F66" i="1"/>
  <c r="F73" i="1"/>
  <c r="F22" i="1"/>
  <c r="F43" i="1"/>
  <c r="F57" i="1"/>
  <c r="F10" i="1"/>
  <c r="F36" i="1"/>
  <c r="M94" i="1"/>
  <c r="M100" i="1" s="1"/>
  <c r="M101" i="1" s="1"/>
  <c r="M103" i="1" s="1"/>
  <c r="M104" i="1" s="1"/>
  <c r="M76" i="1"/>
  <c r="CK69" i="1"/>
  <c r="CG9" i="1"/>
  <c r="CE8" i="1"/>
  <c r="CE38" i="1" s="1"/>
  <c r="AW76" i="1"/>
  <c r="AW94" i="1"/>
  <c r="AW100" i="1" s="1"/>
  <c r="AW101" i="1" s="1"/>
  <c r="AW103" i="1" s="1"/>
  <c r="AW104" i="1" s="1"/>
  <c r="BV76" i="1"/>
  <c r="BV94" i="1"/>
  <c r="BV100" i="1" s="1"/>
  <c r="BV101" i="1" s="1"/>
  <c r="BV103" i="1" s="1"/>
  <c r="BV104" i="1" s="1"/>
  <c r="CC30" i="1"/>
  <c r="CC44" i="1"/>
  <c r="CC33" i="1"/>
  <c r="CC32" i="1"/>
  <c r="CC46" i="1"/>
  <c r="CC52" i="1"/>
  <c r="CC9" i="1"/>
  <c r="CC25" i="1"/>
  <c r="CC19" i="1"/>
  <c r="CC69" i="1"/>
  <c r="CC24" i="1"/>
  <c r="CC48" i="1"/>
  <c r="CC20" i="1"/>
  <c r="CC45" i="1"/>
  <c r="CC10" i="1"/>
  <c r="CC31" i="1"/>
  <c r="CC12" i="1"/>
  <c r="CC14" i="1"/>
  <c r="CC88" i="1"/>
  <c r="CC43" i="1"/>
  <c r="CC63" i="1"/>
  <c r="CC58" i="1"/>
  <c r="CC57" i="1"/>
  <c r="CC15" i="1"/>
  <c r="CC29" i="1"/>
  <c r="CC61" i="1"/>
  <c r="CC23" i="1"/>
  <c r="CC13" i="1"/>
  <c r="CC60" i="1"/>
  <c r="CC36" i="1"/>
  <c r="CC71" i="1"/>
  <c r="CC28" i="1"/>
  <c r="CC50" i="1"/>
  <c r="CC84" i="1"/>
  <c r="CC17" i="1"/>
  <c r="CC22" i="1"/>
  <c r="CC42" i="1"/>
  <c r="CC67" i="1"/>
  <c r="CC47" i="1"/>
  <c r="CC26" i="1"/>
  <c r="CC27" i="1"/>
  <c r="CC70" i="1"/>
  <c r="CC51" i="1"/>
  <c r="CC66" i="1"/>
  <c r="CC64" i="1"/>
  <c r="CC83" i="1"/>
  <c r="CC11" i="1"/>
  <c r="CC56" i="1"/>
  <c r="CC65" i="1"/>
  <c r="CC62" i="1"/>
  <c r="CC21" i="1"/>
  <c r="CC74" i="1"/>
  <c r="CC16" i="1"/>
  <c r="CC18" i="1"/>
  <c r="CC55" i="1"/>
  <c r="CC59" i="1"/>
  <c r="CC68" i="1"/>
  <c r="CC54" i="1"/>
  <c r="O73" i="1"/>
  <c r="O35" i="1"/>
  <c r="CE54" i="1"/>
  <c r="BR76" i="1"/>
  <c r="BR94" i="1"/>
  <c r="BR100" i="1" s="1"/>
  <c r="BR101" i="1" s="1"/>
  <c r="BR103" i="1" s="1"/>
  <c r="BR104" i="1" s="1"/>
  <c r="BI73" i="1"/>
  <c r="S8" i="1"/>
  <c r="Y75" i="1"/>
  <c r="AX88" i="1"/>
  <c r="AX106" i="1" s="1"/>
  <c r="AY8" i="1" s="1"/>
  <c r="AV83" i="1"/>
  <c r="AN75" i="1"/>
  <c r="AN39" i="1"/>
  <c r="AM94" i="1"/>
  <c r="AM100" i="1" s="1"/>
  <c r="AM101" i="1" s="1"/>
  <c r="AM103" i="1" s="1"/>
  <c r="AM104" i="1" s="1"/>
  <c r="AM76" i="1"/>
  <c r="AD88" i="1"/>
  <c r="AD106" i="1" s="1"/>
  <c r="AE8" i="1" s="1"/>
  <c r="AB83" i="1"/>
  <c r="BN56" i="1"/>
  <c r="BN66" i="1"/>
  <c r="BN59" i="1"/>
  <c r="BN71" i="1"/>
  <c r="BN46" i="1"/>
  <c r="BN44" i="1"/>
  <c r="BN36" i="1"/>
  <c r="BN68" i="1"/>
  <c r="BN21" i="1"/>
  <c r="BN60" i="1"/>
  <c r="BN45" i="1"/>
  <c r="BN22" i="1"/>
  <c r="BN47" i="1"/>
  <c r="BN25" i="1"/>
  <c r="BN30" i="1"/>
  <c r="BN23" i="1"/>
  <c r="BN29" i="1"/>
  <c r="BN33" i="1"/>
  <c r="BN26" i="1"/>
  <c r="BN11" i="1"/>
  <c r="BN55" i="1"/>
  <c r="BN15" i="1"/>
  <c r="BN73" i="1"/>
  <c r="BN28" i="1"/>
  <c r="BN20" i="1"/>
  <c r="BN32" i="1"/>
  <c r="BN9" i="1"/>
  <c r="BN19" i="1"/>
  <c r="BN12" i="1"/>
  <c r="BN74" i="1"/>
  <c r="BN84" i="1"/>
  <c r="BN62" i="1"/>
  <c r="BN61" i="1"/>
  <c r="BN42" i="1"/>
  <c r="BN13" i="1"/>
  <c r="BN48" i="1"/>
  <c r="BN16" i="1"/>
  <c r="BN57" i="1"/>
  <c r="BN63" i="1"/>
  <c r="BN69" i="1"/>
  <c r="BN52" i="1"/>
  <c r="BN88" i="1"/>
  <c r="BN24" i="1"/>
  <c r="BN18" i="1"/>
  <c r="BN31" i="1"/>
  <c r="BN58" i="1"/>
  <c r="BN83" i="1"/>
  <c r="BN17" i="1"/>
  <c r="BN10" i="1"/>
  <c r="BN50" i="1"/>
  <c r="BN51" i="1"/>
  <c r="BN27" i="1"/>
  <c r="BN43" i="1"/>
  <c r="BN65" i="1"/>
  <c r="BN41" i="1"/>
  <c r="BN14" i="1"/>
  <c r="BN35" i="1"/>
  <c r="BN67" i="1"/>
  <c r="BN64" i="1"/>
  <c r="BN70" i="1"/>
  <c r="J54" i="1"/>
  <c r="CC41" i="1"/>
  <c r="AN106" i="1"/>
  <c r="AO54" i="1" s="1"/>
  <c r="AI83" i="1"/>
  <c r="BW76" i="1"/>
  <c r="BW94" i="1"/>
  <c r="BW100" i="1" s="1"/>
  <c r="BW101" i="1" s="1"/>
  <c r="BW103" i="1" s="1"/>
  <c r="BW104" i="1" s="1"/>
  <c r="AH94" i="1"/>
  <c r="AH100" i="1" s="1"/>
  <c r="AH101" i="1" s="1"/>
  <c r="AH103" i="1" s="1"/>
  <c r="AH104" i="1" s="1"/>
  <c r="AH76" i="1"/>
  <c r="CB94" i="1"/>
  <c r="CB100" i="1" s="1"/>
  <c r="CB101" i="1" s="1"/>
  <c r="CB103" i="1" s="1"/>
  <c r="CB104" i="1" s="1"/>
  <c r="CB76" i="1"/>
  <c r="CJ31" i="1"/>
  <c r="CK31" i="1" s="1"/>
  <c r="CK63" i="1"/>
  <c r="BM94" i="1"/>
  <c r="BM100" i="1" s="1"/>
  <c r="BM101" i="1" s="1"/>
  <c r="BM103" i="1" s="1"/>
  <c r="BM104" i="1" s="1"/>
  <c r="BM76" i="1"/>
  <c r="AL94" i="1"/>
  <c r="AL100" i="1" s="1"/>
  <c r="AL101" i="1" s="1"/>
  <c r="AL103" i="1" s="1"/>
  <c r="AL104" i="1" s="1"/>
  <c r="AL76" i="1"/>
  <c r="AX38" i="1"/>
  <c r="O50" i="1"/>
  <c r="AB76" i="1"/>
  <c r="AB94" i="1"/>
  <c r="AB100" i="1" s="1"/>
  <c r="AB101" i="1" s="1"/>
  <c r="AB103" i="1" s="1"/>
  <c r="AB104" i="1" s="1"/>
  <c r="AT41" i="1"/>
  <c r="O65" i="1"/>
  <c r="O56" i="1"/>
  <c r="O66" i="1"/>
  <c r="O33" i="1"/>
  <c r="O59" i="1"/>
  <c r="O55" i="1"/>
  <c r="O45" i="1"/>
  <c r="O21" i="1"/>
  <c r="O12" i="1"/>
  <c r="O27" i="1"/>
  <c r="O60" i="1"/>
  <c r="O23" i="1"/>
  <c r="O15" i="1"/>
  <c r="O24" i="1"/>
  <c r="O16" i="1"/>
  <c r="O28" i="1"/>
  <c r="O25" i="1"/>
  <c r="O9" i="1"/>
  <c r="O47" i="1"/>
  <c r="O20" i="1"/>
  <c r="O19" i="1"/>
  <c r="O64" i="1"/>
  <c r="O46" i="1"/>
  <c r="O51" i="1"/>
  <c r="O48" i="1"/>
  <c r="O13" i="1"/>
  <c r="O42" i="1"/>
  <c r="O52" i="1"/>
  <c r="O58" i="1"/>
  <c r="O84" i="1"/>
  <c r="O32" i="1"/>
  <c r="O61" i="1"/>
  <c r="O30" i="1"/>
  <c r="O70" i="1"/>
  <c r="O17" i="1"/>
  <c r="O44" i="1"/>
  <c r="O29" i="1"/>
  <c r="O83" i="1"/>
  <c r="O71" i="1"/>
  <c r="O31" i="1"/>
  <c r="O36" i="1"/>
  <c r="O10" i="1"/>
  <c r="O69" i="1"/>
  <c r="O63" i="1"/>
  <c r="O14" i="1"/>
  <c r="O11" i="1"/>
  <c r="O62" i="1"/>
  <c r="O88" i="1"/>
  <c r="O57" i="1"/>
  <c r="O67" i="1"/>
  <c r="O22" i="1"/>
  <c r="O43" i="1"/>
  <c r="O18" i="1"/>
  <c r="O68" i="1"/>
  <c r="O26" i="1"/>
  <c r="O54" i="1"/>
  <c r="BS88" i="1"/>
  <c r="BS46" i="1"/>
  <c r="BS51" i="1"/>
  <c r="BS31" i="1"/>
  <c r="BS71" i="1"/>
  <c r="BS66" i="1"/>
  <c r="BS63" i="1"/>
  <c r="BS68" i="1"/>
  <c r="BS42" i="1"/>
  <c r="BS12" i="1"/>
  <c r="BS59" i="1"/>
  <c r="BS30" i="1"/>
  <c r="BS17" i="1"/>
  <c r="BS23" i="1"/>
  <c r="BS21" i="1"/>
  <c r="BS11" i="1"/>
  <c r="BS36" i="1"/>
  <c r="BS26" i="1"/>
  <c r="BS15" i="1"/>
  <c r="BS44" i="1"/>
  <c r="BS18" i="1"/>
  <c r="BS67" i="1"/>
  <c r="BS83" i="1"/>
  <c r="BS32" i="1"/>
  <c r="BS9" i="1"/>
  <c r="BS50" i="1"/>
  <c r="BS62" i="1"/>
  <c r="BS70" i="1"/>
  <c r="BS58" i="1"/>
  <c r="BS24" i="1"/>
  <c r="BS13" i="1"/>
  <c r="BS10" i="1"/>
  <c r="BS73" i="1"/>
  <c r="BS47" i="1"/>
  <c r="BS35" i="1"/>
  <c r="BS61" i="1"/>
  <c r="BS56" i="1"/>
  <c r="BS29" i="1"/>
  <c r="BS28" i="1"/>
  <c r="BS74" i="1"/>
  <c r="BS55" i="1"/>
  <c r="BS64" i="1"/>
  <c r="BS69" i="1"/>
  <c r="BS48" i="1"/>
  <c r="BS33" i="1"/>
  <c r="BS19" i="1"/>
  <c r="BS14" i="1"/>
  <c r="BS16" i="1"/>
  <c r="BS45" i="1"/>
  <c r="BS22" i="1"/>
  <c r="BS57" i="1"/>
  <c r="BS27" i="1"/>
  <c r="BS65" i="1"/>
  <c r="BS25" i="1"/>
  <c r="BS43" i="1"/>
  <c r="BS84" i="1"/>
  <c r="BS52" i="1"/>
  <c r="BS20" i="1"/>
  <c r="BS60" i="1"/>
  <c r="AG76" i="1"/>
  <c r="AG94" i="1"/>
  <c r="AG100" i="1" s="1"/>
  <c r="AG101" i="1" s="1"/>
  <c r="AG103" i="1" s="1"/>
  <c r="AG104" i="1" s="1"/>
  <c r="S41" i="1"/>
  <c r="AS76" i="1"/>
  <c r="AS94" i="1"/>
  <c r="AS100" i="1" s="1"/>
  <c r="AS101" i="1" s="1"/>
  <c r="AS103" i="1" s="1"/>
  <c r="AS104" i="1" s="1"/>
  <c r="AV76" i="1"/>
  <c r="AV94" i="1"/>
  <c r="AV100" i="1" s="1"/>
  <c r="AV101" i="1" s="1"/>
  <c r="AV103" i="1" s="1"/>
  <c r="AV104" i="1" s="1"/>
  <c r="BC76" i="1"/>
  <c r="BC94" i="1"/>
  <c r="BC100" i="1" s="1"/>
  <c r="BC101" i="1" s="1"/>
  <c r="BC103" i="1" s="1"/>
  <c r="BC104" i="1" s="1"/>
  <c r="BB94" i="1"/>
  <c r="BB100" i="1" s="1"/>
  <c r="BB101" i="1" s="1"/>
  <c r="BB103" i="1" s="1"/>
  <c r="BB104" i="1" s="1"/>
  <c r="BB76" i="1"/>
  <c r="CK22" i="1"/>
  <c r="CG121" i="1" s="1"/>
  <c r="AT59" i="1"/>
  <c r="AT33" i="1"/>
  <c r="AT27" i="1"/>
  <c r="AT52" i="1"/>
  <c r="AT68" i="1"/>
  <c r="AT55" i="1"/>
  <c r="AT65" i="1"/>
  <c r="AT32" i="1"/>
  <c r="AT15" i="1"/>
  <c r="AT21" i="1"/>
  <c r="AT44" i="1"/>
  <c r="AT9" i="1"/>
  <c r="AT74" i="1"/>
  <c r="AT58" i="1"/>
  <c r="AT70" i="1"/>
  <c r="AT23" i="1"/>
  <c r="AT13" i="1"/>
  <c r="AT11" i="1"/>
  <c r="AT20" i="1"/>
  <c r="AT51" i="1"/>
  <c r="AT42" i="1"/>
  <c r="AT25" i="1"/>
  <c r="AT36" i="1"/>
  <c r="AT29" i="1"/>
  <c r="AT69" i="1"/>
  <c r="AT17" i="1"/>
  <c r="AT56" i="1"/>
  <c r="AT12" i="1"/>
  <c r="AT50" i="1"/>
  <c r="AT64" i="1"/>
  <c r="AT10" i="1"/>
  <c r="AT73" i="1"/>
  <c r="AT14" i="1"/>
  <c r="AT43" i="1"/>
  <c r="AT67" i="1"/>
  <c r="AT62" i="1"/>
  <c r="AT48" i="1"/>
  <c r="AT26" i="1"/>
  <c r="AT71" i="1"/>
  <c r="AT24" i="1"/>
  <c r="AT84" i="1"/>
  <c r="AT63" i="1"/>
  <c r="AT57" i="1"/>
  <c r="AT30" i="1"/>
  <c r="AT19" i="1"/>
  <c r="AT61" i="1"/>
  <c r="AT66" i="1"/>
  <c r="AT45" i="1"/>
  <c r="AT22" i="1"/>
  <c r="AT31" i="1"/>
  <c r="AT16" i="1"/>
  <c r="AT28" i="1"/>
  <c r="AT18" i="1"/>
  <c r="AT47" i="1"/>
  <c r="AT60" i="1"/>
  <c r="AT46" i="1"/>
  <c r="W75" i="1"/>
  <c r="W39" i="1"/>
  <c r="F41" i="1"/>
  <c r="CK23" i="1"/>
  <c r="BS54" i="1"/>
  <c r="E94" i="1"/>
  <c r="E100" i="1" s="1"/>
  <c r="E101" i="1" s="1"/>
  <c r="E103" i="1" s="1"/>
  <c r="E104" i="1" s="1"/>
  <c r="E76" i="1"/>
  <c r="AI106" i="1"/>
  <c r="AJ88" i="1" s="1"/>
  <c r="N76" i="1"/>
  <c r="N94" i="1"/>
  <c r="N100" i="1" s="1"/>
  <c r="N101" i="1" s="1"/>
  <c r="N103" i="1" s="1"/>
  <c r="N104" i="1" s="1"/>
  <c r="AN83" i="1"/>
  <c r="I76" i="1"/>
  <c r="I94" i="1"/>
  <c r="I100" i="1" s="1"/>
  <c r="I101" i="1" s="1"/>
  <c r="I103" i="1" s="1"/>
  <c r="I104" i="1" s="1"/>
  <c r="AT88" i="1"/>
  <c r="AS83" i="1"/>
  <c r="AT83" i="1" s="1"/>
  <c r="Z58" i="1" l="1"/>
  <c r="Z88" i="1"/>
  <c r="Z55" i="1"/>
  <c r="Z48" i="1"/>
  <c r="Z84" i="1"/>
  <c r="Z17" i="1"/>
  <c r="Z15" i="1"/>
  <c r="Z32" i="1"/>
  <c r="Z54" i="1"/>
  <c r="Z63" i="1"/>
  <c r="Z25" i="1"/>
  <c r="Z35" i="1"/>
  <c r="Z22" i="1"/>
  <c r="Z10" i="1"/>
  <c r="Z69" i="1"/>
  <c r="Z68" i="1"/>
  <c r="Z64" i="1"/>
  <c r="Z46" i="1"/>
  <c r="Z47" i="1"/>
  <c r="Z57" i="1"/>
  <c r="Z67" i="1"/>
  <c r="Z20" i="1"/>
  <c r="Z70" i="1"/>
  <c r="Z83" i="1"/>
  <c r="Z13" i="1"/>
  <c r="Z33" i="1"/>
  <c r="Z41" i="1"/>
  <c r="Z30" i="1"/>
  <c r="Z52" i="1"/>
  <c r="Z14" i="1"/>
  <c r="Z73" i="1"/>
  <c r="Z27" i="1"/>
  <c r="Z23" i="1"/>
  <c r="Z62" i="1"/>
  <c r="Z28" i="1"/>
  <c r="Z74" i="1"/>
  <c r="Z51" i="1"/>
  <c r="Z8" i="1"/>
  <c r="Z61" i="1"/>
  <c r="Z65" i="1"/>
  <c r="Z16" i="1"/>
  <c r="Z29" i="1"/>
  <c r="Z36" i="1"/>
  <c r="Z12" i="1"/>
  <c r="AO83" i="1"/>
  <c r="AO88" i="1"/>
  <c r="Z60" i="1"/>
  <c r="Z56" i="1"/>
  <c r="Z11" i="1"/>
  <c r="Z66" i="1"/>
  <c r="Z71" i="1"/>
  <c r="Z9" i="1"/>
  <c r="Z31" i="1"/>
  <c r="Z19" i="1"/>
  <c r="Z44" i="1"/>
  <c r="Z18" i="1"/>
  <c r="Z26" i="1"/>
  <c r="Z42" i="1"/>
  <c r="Z43" i="1"/>
  <c r="Z24" i="1"/>
  <c r="Z21" i="1"/>
  <c r="Z50" i="1"/>
  <c r="Z59" i="1"/>
  <c r="CL5" i="1"/>
  <c r="CK5" i="1"/>
  <c r="R76" i="1"/>
  <c r="R94" i="1"/>
  <c r="R100" i="1" s="1"/>
  <c r="R101" i="1" s="1"/>
  <c r="R103" i="1" s="1"/>
  <c r="R104" i="1" s="1"/>
  <c r="CE39" i="1"/>
  <c r="CE75" i="1"/>
  <c r="AJ58" i="1"/>
  <c r="AJ31" i="1"/>
  <c r="AJ60" i="1"/>
  <c r="AJ57" i="1"/>
  <c r="AJ10" i="1"/>
  <c r="AJ84" i="1"/>
  <c r="AJ11" i="1"/>
  <c r="AJ74" i="1"/>
  <c r="AJ51" i="1"/>
  <c r="AJ43" i="1"/>
  <c r="AJ18" i="1"/>
  <c r="AJ12" i="1"/>
  <c r="AJ66" i="1"/>
  <c r="AJ14" i="1"/>
  <c r="AJ64" i="1"/>
  <c r="AJ16" i="1"/>
  <c r="AJ59" i="1"/>
  <c r="AJ33" i="1"/>
  <c r="AJ47" i="1"/>
  <c r="AJ45" i="1"/>
  <c r="AJ36" i="1"/>
  <c r="AJ71" i="1"/>
  <c r="AJ46" i="1"/>
  <c r="AJ17" i="1"/>
  <c r="AJ42" i="1"/>
  <c r="AJ35" i="1"/>
  <c r="AJ48" i="1"/>
  <c r="AJ23" i="1"/>
  <c r="AJ21" i="1"/>
  <c r="AJ30" i="1"/>
  <c r="AJ63" i="1"/>
  <c r="AJ22" i="1"/>
  <c r="AJ56" i="1"/>
  <c r="AJ62" i="1"/>
  <c r="AJ26" i="1"/>
  <c r="AJ13" i="1"/>
  <c r="AJ19" i="1"/>
  <c r="AJ61" i="1"/>
  <c r="AJ25" i="1"/>
  <c r="AJ20" i="1"/>
  <c r="AJ32" i="1"/>
  <c r="AJ55" i="1"/>
  <c r="AJ67" i="1"/>
  <c r="AJ44" i="1"/>
  <c r="AJ50" i="1"/>
  <c r="AJ29" i="1"/>
  <c r="AJ27" i="1"/>
  <c r="AJ68" i="1"/>
  <c r="AJ52" i="1"/>
  <c r="AJ15" i="1"/>
  <c r="AJ24" i="1"/>
  <c r="AJ69" i="1"/>
  <c r="AJ73" i="1"/>
  <c r="AJ9" i="1"/>
  <c r="AJ70" i="1"/>
  <c r="AJ41" i="1"/>
  <c r="AJ65" i="1"/>
  <c r="AJ28" i="1"/>
  <c r="AJ8" i="1"/>
  <c r="AY54" i="1"/>
  <c r="Q94" i="1"/>
  <c r="Q100" i="1" s="1"/>
  <c r="Q101" i="1" s="1"/>
  <c r="Q103" i="1" s="1"/>
  <c r="Q104" i="1" s="1"/>
  <c r="Q76" i="1"/>
  <c r="AE48" i="1"/>
  <c r="AE42" i="1"/>
  <c r="AE74" i="1"/>
  <c r="AE51" i="1"/>
  <c r="AE52" i="1"/>
  <c r="AE70" i="1"/>
  <c r="AE47" i="1"/>
  <c r="AE29" i="1"/>
  <c r="AE57" i="1"/>
  <c r="AE17" i="1"/>
  <c r="AE61" i="1"/>
  <c r="AE56" i="1"/>
  <c r="AE14" i="1"/>
  <c r="AE69" i="1"/>
  <c r="AE27" i="1"/>
  <c r="AE59" i="1"/>
  <c r="AE66" i="1"/>
  <c r="AE18" i="1"/>
  <c r="AE71" i="1"/>
  <c r="AE46" i="1"/>
  <c r="AE73" i="1"/>
  <c r="AE15" i="1"/>
  <c r="AE50" i="1"/>
  <c r="AE64" i="1"/>
  <c r="AE22" i="1"/>
  <c r="AE30" i="1"/>
  <c r="AE44" i="1"/>
  <c r="AE23" i="1"/>
  <c r="AE28" i="1"/>
  <c r="AE84" i="1"/>
  <c r="AE21" i="1"/>
  <c r="AE13" i="1"/>
  <c r="AE31" i="1"/>
  <c r="AE63" i="1"/>
  <c r="AE26" i="1"/>
  <c r="AE25" i="1"/>
  <c r="AE36" i="1"/>
  <c r="AE68" i="1"/>
  <c r="AE45" i="1"/>
  <c r="AE32" i="1"/>
  <c r="AE33" i="1"/>
  <c r="AE60" i="1"/>
  <c r="AE16" i="1"/>
  <c r="AE10" i="1"/>
  <c r="AE62" i="1"/>
  <c r="AE43" i="1"/>
  <c r="AE11" i="1"/>
  <c r="AE19" i="1"/>
  <c r="AE24" i="1"/>
  <c r="AE58" i="1"/>
  <c r="AE20" i="1"/>
  <c r="AE9" i="1"/>
  <c r="AE55" i="1"/>
  <c r="AE65" i="1"/>
  <c r="AE12" i="1"/>
  <c r="AE67" i="1"/>
  <c r="AE35" i="1"/>
  <c r="AE41" i="1"/>
  <c r="AJ83" i="1"/>
  <c r="AE88" i="1"/>
  <c r="AD83" i="1"/>
  <c r="AE83" i="1" s="1"/>
  <c r="CG8" i="1"/>
  <c r="CK9" i="1"/>
  <c r="CG116" i="1" s="1"/>
  <c r="AO63" i="1"/>
  <c r="AO43" i="1"/>
  <c r="AO29" i="1"/>
  <c r="AO32" i="1"/>
  <c r="AO60" i="1"/>
  <c r="AO45" i="1"/>
  <c r="AO36" i="1"/>
  <c r="AO51" i="1"/>
  <c r="AO69" i="1"/>
  <c r="AO84" i="1"/>
  <c r="AO65" i="1"/>
  <c r="AO14" i="1"/>
  <c r="AO15" i="1"/>
  <c r="AO64" i="1"/>
  <c r="AO42" i="1"/>
  <c r="AO17" i="1"/>
  <c r="AO62" i="1"/>
  <c r="AO21" i="1"/>
  <c r="AO23" i="1"/>
  <c r="AO74" i="1"/>
  <c r="AO71" i="1"/>
  <c r="AO26" i="1"/>
  <c r="AO55" i="1"/>
  <c r="AO50" i="1"/>
  <c r="AO25" i="1"/>
  <c r="AO52" i="1"/>
  <c r="AO12" i="1"/>
  <c r="AO16" i="1"/>
  <c r="AO10" i="1"/>
  <c r="AO70" i="1"/>
  <c r="AO68" i="1"/>
  <c r="AO47" i="1"/>
  <c r="AO30" i="1"/>
  <c r="AO73" i="1"/>
  <c r="AO35" i="1"/>
  <c r="AO31" i="1"/>
  <c r="AO57" i="1"/>
  <c r="AO46" i="1"/>
  <c r="AO56" i="1"/>
  <c r="AO48" i="1"/>
  <c r="AO19" i="1"/>
  <c r="AO44" i="1"/>
  <c r="AO58" i="1"/>
  <c r="AO24" i="1"/>
  <c r="AO18" i="1"/>
  <c r="AO22" i="1"/>
  <c r="AO59" i="1"/>
  <c r="AO9" i="1"/>
  <c r="AO33" i="1"/>
  <c r="AO61" i="1"/>
  <c r="AO27" i="1"/>
  <c r="AO11" i="1"/>
  <c r="AO28" i="1"/>
  <c r="AO13" i="1"/>
  <c r="AO66" i="1"/>
  <c r="AO20" i="1"/>
  <c r="AO8" i="1"/>
  <c r="AO41" i="1"/>
  <c r="AO67" i="1"/>
  <c r="AE54" i="1"/>
  <c r="CF76" i="1"/>
  <c r="CF94" i="1"/>
  <c r="CF100" i="1" s="1"/>
  <c r="CF101" i="1" s="1"/>
  <c r="CF103" i="1" s="1"/>
  <c r="CF104" i="1" s="1"/>
  <c r="AN94" i="1"/>
  <c r="AN100" i="1" s="1"/>
  <c r="AN101" i="1" s="1"/>
  <c r="AN103" i="1" s="1"/>
  <c r="AN104" i="1" s="1"/>
  <c r="AN76" i="1"/>
  <c r="AD94" i="1"/>
  <c r="AD100" i="1" s="1"/>
  <c r="AD101" i="1" s="1"/>
  <c r="AD103" i="1" s="1"/>
  <c r="AD104" i="1" s="1"/>
  <c r="AD76" i="1"/>
  <c r="AY64" i="1"/>
  <c r="AY66" i="1"/>
  <c r="AY57" i="1"/>
  <c r="AY69" i="1"/>
  <c r="AY56" i="1"/>
  <c r="AY24" i="1"/>
  <c r="AY20" i="1"/>
  <c r="AY32" i="1"/>
  <c r="AY42" i="1"/>
  <c r="AY21" i="1"/>
  <c r="AY58" i="1"/>
  <c r="AY63" i="1"/>
  <c r="AY44" i="1"/>
  <c r="AY47" i="1"/>
  <c r="AY19" i="1"/>
  <c r="AY17" i="1"/>
  <c r="AY51" i="1"/>
  <c r="AY52" i="1"/>
  <c r="AY61" i="1"/>
  <c r="AY11" i="1"/>
  <c r="AY10" i="1"/>
  <c r="AY23" i="1"/>
  <c r="AY74" i="1"/>
  <c r="AY14" i="1"/>
  <c r="AY60" i="1"/>
  <c r="AY25" i="1"/>
  <c r="AY46" i="1"/>
  <c r="AY84" i="1"/>
  <c r="AY41" i="1"/>
  <c r="AY65" i="1"/>
  <c r="AY45" i="1"/>
  <c r="AY43" i="1"/>
  <c r="AY70" i="1"/>
  <c r="AY9" i="1"/>
  <c r="AY31" i="1"/>
  <c r="AY35" i="1"/>
  <c r="AY48" i="1"/>
  <c r="AY73" i="1"/>
  <c r="AY18" i="1"/>
  <c r="AY26" i="1"/>
  <c r="AY12" i="1"/>
  <c r="AY30" i="1"/>
  <c r="AY27" i="1"/>
  <c r="AY28" i="1"/>
  <c r="AY59" i="1"/>
  <c r="AY29" i="1"/>
  <c r="AY13" i="1"/>
  <c r="AY68" i="1"/>
  <c r="AY62" i="1"/>
  <c r="AY36" i="1"/>
  <c r="AY55" i="1"/>
  <c r="AY15" i="1"/>
  <c r="AY50" i="1"/>
  <c r="AY71" i="1"/>
  <c r="AY22" i="1"/>
  <c r="AY67" i="1"/>
  <c r="AY33" i="1"/>
  <c r="AY16" i="1"/>
  <c r="AY88" i="1"/>
  <c r="AX83" i="1"/>
  <c r="AY83" i="1" s="1"/>
  <c r="S88" i="1"/>
  <c r="CG129" i="1"/>
  <c r="CG131" i="1"/>
  <c r="BH76" i="1"/>
  <c r="BH94" i="1"/>
  <c r="BH100" i="1" s="1"/>
  <c r="BH101" i="1" s="1"/>
  <c r="BH103" i="1" s="1"/>
  <c r="BH104" i="1" s="1"/>
  <c r="W76" i="1"/>
  <c r="W94" i="1"/>
  <c r="W100" i="1" s="1"/>
  <c r="W101" i="1" s="1"/>
  <c r="W103" i="1" s="1"/>
  <c r="W104" i="1" s="1"/>
  <c r="Y94" i="1"/>
  <c r="Y100" i="1" s="1"/>
  <c r="Y101" i="1" s="1"/>
  <c r="Y103" i="1" s="1"/>
  <c r="Y104" i="1" s="1"/>
  <c r="Y76" i="1"/>
  <c r="AI94" i="1"/>
  <c r="AI100" i="1" s="1"/>
  <c r="AI101" i="1" s="1"/>
  <c r="AI103" i="1" s="1"/>
  <c r="AI104" i="1" s="1"/>
  <c r="AI76" i="1"/>
  <c r="AX75" i="1"/>
  <c r="AX39" i="1"/>
  <c r="CG88" i="1"/>
  <c r="CE83" i="1"/>
  <c r="AJ54" i="1"/>
  <c r="S38" i="1"/>
  <c r="S83" i="1" l="1"/>
  <c r="S39" i="1"/>
  <c r="S75" i="1"/>
  <c r="CK88" i="1"/>
  <c r="CG130" i="1" s="1"/>
  <c r="CG83" i="1"/>
  <c r="AX94" i="1"/>
  <c r="AX100" i="1" s="1"/>
  <c r="AX101" i="1" s="1"/>
  <c r="AX103" i="1" s="1"/>
  <c r="AX104" i="1" s="1"/>
  <c r="AX76" i="1"/>
  <c r="CE76" i="1"/>
  <c r="CE94" i="1"/>
  <c r="CE100" i="1" s="1"/>
  <c r="CE101" i="1" s="1"/>
  <c r="CE103" i="1" s="1"/>
  <c r="CE104" i="1" s="1"/>
  <c r="S106" i="1"/>
  <c r="CG106" i="1"/>
  <c r="CG114" i="1"/>
  <c r="CM5" i="1"/>
  <c r="CK4" i="1"/>
  <c r="CG38" i="1"/>
  <c r="CH72" i="1" l="1"/>
  <c r="CH51" i="1"/>
  <c r="CH49" i="1"/>
  <c r="CH17" i="1"/>
  <c r="CH45" i="1"/>
  <c r="CH21" i="1"/>
  <c r="CH15" i="1"/>
  <c r="CH46" i="1"/>
  <c r="CH18" i="1"/>
  <c r="CH61" i="1"/>
  <c r="CH12" i="1"/>
  <c r="CH44" i="1"/>
  <c r="CH11" i="1"/>
  <c r="CH19" i="1"/>
  <c r="CH24" i="1"/>
  <c r="CH56" i="1"/>
  <c r="CH62" i="1"/>
  <c r="CH32" i="1"/>
  <c r="CH65" i="1"/>
  <c r="CH29" i="1"/>
  <c r="CH66" i="1"/>
  <c r="CH59" i="1"/>
  <c r="CH13" i="1"/>
  <c r="CH14" i="1"/>
  <c r="CH70" i="1"/>
  <c r="CH48" i="1"/>
  <c r="CH58" i="1"/>
  <c r="CH33" i="1"/>
  <c r="CH26" i="1"/>
  <c r="CH68" i="1"/>
  <c r="CH16" i="1"/>
  <c r="CH42" i="1"/>
  <c r="CH27" i="1"/>
  <c r="CH10" i="1"/>
  <c r="CH71" i="1"/>
  <c r="CH36" i="1"/>
  <c r="CH35" i="1" s="1"/>
  <c r="CH25" i="1"/>
  <c r="CH31" i="1"/>
  <c r="CH63" i="1"/>
  <c r="CH57" i="1"/>
  <c r="CH64" i="1"/>
  <c r="CH20" i="1"/>
  <c r="CH60" i="1"/>
  <c r="CH55" i="1"/>
  <c r="CH43" i="1"/>
  <c r="CH23" i="1"/>
  <c r="CH47" i="1"/>
  <c r="CH28" i="1"/>
  <c r="CH69" i="1"/>
  <c r="CH52" i="1"/>
  <c r="CH67" i="1"/>
  <c r="CH30" i="1"/>
  <c r="CH41" i="1"/>
  <c r="CH74" i="1"/>
  <c r="CH22" i="1"/>
  <c r="CG107" i="1"/>
  <c r="CH54" i="1"/>
  <c r="CH9" i="1"/>
  <c r="CG39" i="1"/>
  <c r="CG75" i="1"/>
  <c r="T46" i="1"/>
  <c r="T64" i="1"/>
  <c r="T45" i="1"/>
  <c r="T13" i="1"/>
  <c r="T32" i="1"/>
  <c r="T55" i="1"/>
  <c r="T52" i="1"/>
  <c r="T15" i="1"/>
  <c r="T43" i="1"/>
  <c r="T17" i="1"/>
  <c r="T74" i="1"/>
  <c r="T61" i="1"/>
  <c r="T20" i="1"/>
  <c r="T12" i="1"/>
  <c r="T10" i="1"/>
  <c r="T27" i="1"/>
  <c r="T26" i="1"/>
  <c r="T65" i="1"/>
  <c r="T51" i="1"/>
  <c r="T36" i="1"/>
  <c r="T11" i="1"/>
  <c r="T48" i="1"/>
  <c r="T44" i="1"/>
  <c r="T56" i="1"/>
  <c r="T62" i="1"/>
  <c r="T57" i="1"/>
  <c r="T42" i="1"/>
  <c r="T71" i="1"/>
  <c r="T14" i="1"/>
  <c r="T16" i="1"/>
  <c r="T63" i="1"/>
  <c r="T18" i="1"/>
  <c r="T60" i="1"/>
  <c r="T24" i="1"/>
  <c r="T29" i="1"/>
  <c r="T68" i="1"/>
  <c r="T58" i="1"/>
  <c r="T50" i="1"/>
  <c r="T84" i="1"/>
  <c r="T19" i="1"/>
  <c r="T66" i="1"/>
  <c r="T21" i="1"/>
  <c r="T35" i="1"/>
  <c r="T73" i="1"/>
  <c r="T59" i="1"/>
  <c r="T25" i="1"/>
  <c r="T31" i="1"/>
  <c r="T9" i="1"/>
  <c r="T67" i="1"/>
  <c r="T70" i="1"/>
  <c r="T69" i="1"/>
  <c r="T54" i="1"/>
  <c r="T30" i="1"/>
  <c r="T47" i="1"/>
  <c r="T33" i="1"/>
  <c r="T23" i="1"/>
  <c r="T22" i="1"/>
  <c r="T28" i="1"/>
  <c r="T8" i="1"/>
  <c r="T41" i="1"/>
  <c r="S76" i="1"/>
  <c r="S94" i="1"/>
  <c r="S100" i="1" s="1"/>
  <c r="S101" i="1" s="1"/>
  <c r="S103" i="1" s="1"/>
  <c r="S104" i="1" s="1"/>
  <c r="CH8" i="1"/>
  <c r="T83" i="1"/>
  <c r="T88" i="1"/>
  <c r="CG76" i="1" l="1"/>
  <c r="CG94" i="1"/>
  <c r="CG100" i="1" s="1"/>
  <c r="CG101" i="1" s="1"/>
  <c r="CG103" i="1" s="1"/>
  <c r="CG104" i="1" l="1"/>
  <c r="CI103" i="1"/>
  <c r="CG110" i="1"/>
  <c r="CG135" i="1" s="1"/>
</calcChain>
</file>

<file path=xl/sharedStrings.xml><?xml version="1.0" encoding="utf-8"?>
<sst xmlns="http://schemas.openxmlformats.org/spreadsheetml/2006/main" count="364" uniqueCount="246">
  <si>
    <t>PL Глобино-2</t>
  </si>
  <si>
    <t>2024 PL</t>
  </si>
  <si>
    <t>2025 PL</t>
  </si>
  <si>
    <t>2026 PL</t>
  </si>
  <si>
    <t xml:space="preserve">Накопительный PL </t>
  </si>
  <si>
    <t>План итого</t>
  </si>
  <si>
    <t>Статья</t>
  </si>
  <si>
    <r>
      <t xml:space="preserve">Сумма по Ф1, грн </t>
    </r>
    <r>
      <rPr>
        <b/>
        <i/>
        <sz val="10"/>
        <color indexed="18"/>
        <rFont val="Times New Roman"/>
        <family val="1"/>
        <charset val="204"/>
      </rPr>
      <t xml:space="preserve"> </t>
    </r>
  </si>
  <si>
    <t xml:space="preserve">Сумма по Ф2, грн </t>
  </si>
  <si>
    <t>Сумма итого, грн</t>
  </si>
  <si>
    <t>% суммы затрат в общем объеме</t>
  </si>
  <si>
    <t>Комментарии</t>
  </si>
  <si>
    <t>3 % гарантийные</t>
  </si>
  <si>
    <t>*долг который оплатят</t>
  </si>
  <si>
    <t>Операционный доход</t>
  </si>
  <si>
    <t>Выручка от продаж (товаров, работ, услуг)</t>
  </si>
  <si>
    <t>Акт 16/ГПЗ перепідписати
 Акт 4/1.10-АР
 Акт 23/1.10-КБ
 Акт 4/1.10-КМ
Акт 17/ГПЗ
 Акт 24/1.10-КБ
Акт 103/1.3-КМ(Цех екстракції поз. 3 ГБ) 0.01 коп
 Акт 21/1.1-АР
Акт 47/1.3-ТХ (Цех екстракції поз. 3 ГБ)
 Акт 24/1.14-КМ (Котельня)
 Акт 32/1.14-АР (Котельня)
Акт 104/1.3-КМ(Цех екстракції поз. 3 ГБ) 
 Акт 33/1.14-АР (Котельня)
 Акт 5/1.10-КМ
Акт 50/1.3-ТХ (Цех екстракції поз. 3 ГБ)
 Акт 5/1.10-АР
Акт 18/ГПЗ
 Акт 1/1.9-ТХ (СПК) перероблений
 Акт 34/1.9-КМ (СПК)
 Акт 23/1.1-АР
Акт 48/1.3-ТХ (Цех екстракції поз. 3 ГБ)
 Акт 22/1.1-АР
 Акт 2/1.16-АР (Пожежний резервуар) 
 Акт 1/1.1-ВК (АПК)</t>
  </si>
  <si>
    <t xml:space="preserve"> Акт 22/1.26_Б
 Акт 8/1.3-АР
 Акт 35/1.9-КМ (СПК)
Акт 7/1.5-ТХ (Насосна пожежогасіння поз.7 по ГП)
Акт 3/1.6-КМ (транспортна галерея)
Акт 49/1.3-ТХ (Цех екстракції поз. 3 ГБ) (була сума 543 625,25)
Акт 105/1.3-КМ(Цех екстракції поз. 3 ГБ)
 Акт 2/1.18-АР ГРП (Газорегуляторний пункт)
 Акт 6/1.10-АР
 Акт 6/1.10-КМ
Акт 51/1.3-ТХ (Цех екстракції поз. 3 ГБ)
 Акт 23/1.26_Б
Акт 39/1.3-КБ(Цех екстракції поз. 3 ГБ)
 Акт 36/1.9-КМ (СПК)
Акт 4/1.6-КМ (транспортна галерея)
 Акт 7/1.10-АР
 Акт 4/1.12-КМ меляса
 Акт 9/1.3-АР
Акт 52/1.3-ТХ (Цех екстракції поз. 3 ГБ)
Акт 19/ГПЗ
 Акт 8/1.10-АР
Акт 108/1.3-КМ(Цех екстракції поз. 3 ГБ)
Акт 53/1.3-ТХ (Цех екстракції поз. 3 ГБ)
 Акт 24/1.1-АР
 Акт 25/1.1-АР
 Акт 26/1.1-АР
Акт 106/1.3-КМ(Цех екстракції поз. 3 ГБ)
 Акт 34/1.14-АР (Котельня)
Акт 107/1.3-КМ(Цех екстракції поз. 3 ГБ)
Акт 20/ГПЗ
Акт 54/1.3-ТХ (Цех екстракції поз. 3 ГБ)
 Акт 1/1.14-ВК (Котельня)
 Акт 27/1.1-АР
 Акт 37/1.9-КМ (СПК)
 Акт 9/1.10-АР
 Акт 10/1.3-АР
Акт 109/1.3-КМ(Цех екстракції поз. 3 ГБ)
Акт 110/1.3-КМ(Цех екстракції поз. 3 ГБ)
 Акт 31/1.14-АР (Котельня)
Акт 21/ГПЗ
 Акт 24/1.26_Б
 Акт 25/1.26_Б
 Акт 10/1.10-АР
 Акт 38/1.9-КМ (СПК)
Акт 112/1.3-КМ(Цех екстракції поз. 3 ГБ)
Акт 111/1.3-КМ(Цех екстракції поз. 3 ГБ)
Акт 55/1.3-ТХ(Цех екстракції поз. 3 ГБ)
 Акт 2/1.14-ВК (Котельня)
 Акт 5/1.12-КМ меляса
 Акт 11/1.3-АР
 Акт 28/1.1-АР</t>
  </si>
  <si>
    <t>Акт 113/1.3-КМ(Цех екстракції поз. 3 ГБ)
 Акт 26/1.26_Б
 Акт 27/1.9-ЗБ
 Акт 11/1.10-АР
 Акт 12/1.3-АР
Акт 114/1.3-КМ(Цех екстракції поз. 3 ГБ)
 Акт 35/1.14-АР (Котельня)
 Акт 29/1.1-АР
 Акт 3/1.16-АР (Пожежний резервуар) 
Акт 57/1.3-ТХ(Цех екстракції поз. 3 ГБ)
 Акт 39/1.9-КМ (СПК)
Акт 22/ГПЗ
Акт 58/1.3-ТХ(Цех екстракції поз. 3 ГБ)
Акт 115/1.3-КМ(Цех екстракції поз. 3 ГБ)
Акт 116/1.3-КМ(Цех екстракції поз. 3 ГБ)
Акт 5/1.6-КМ (транспортна галерея)
 Акт 12/1.10-АР
 Акт 13/1.3-АР
 Акт 40/1.9-КМ (СПК)
 Акт 10/1.17-КБ Очисні Споруди Дніпроаквабуд
Акт 8/1.5-ТХ (Насосна пожежогасіння поз.7 по ГП)
Акт 1/1.28-КМ (Естакада інженерних комунікацій)
 Акт 31/1.1-АР
 Акт 14/1.3-АР
 Акт 27/1.14-КБ (Котельня)
 Акт 27/1.26_Б робота техніки
Акт 118/1.3-КМ(Цех екстракції поз. 3 ГБ)
Акт 117/1.3-КМ(Цех екстракції поз. 3 ГБ)
Акт 59/1.3-ТХ(Цех екстракції поз. 3 ГБ)
 Акт 3/1.12-АР меляса
Акт 40/1.3-КБ(Цех екстракції поз. 3 ГБ)
 Акт 41/1.9-КМ (СПК)
 Акт 8/1.10-КМ
Акт 64/1.3-ТХ(Цех екстракції поз. 3 ГБ)  Ютем
Акт 63/1.3-ТХ(Цех екстракції поз. 3 ГБ)  Ютем
Акт 62/1.3-ТХ(Цех екстракції поз. 3 ГБ)  Ютем
Акт 60/1.3-ТХ(Цех екстракції поз. 3 ГБ) Південьмонтаж
 Акт 2/1.1-ВК (АПК)
 Акт 4/1.16-АР (Пожежний резервуар) 
Акт 5/1.5-АР (насосна,градирня)
Акт 61/1.3-ТХ (Цех екстракції поз. 3 ГБ)
 Акт 1/1.12-ТХ меляса Акім
Акт 56/1.3-ТХ(Цех екстракції поз. 3 ГБ) Котлогаз
 Акт 30/1.1-АР
Акт 23/ГПЗ
 Акт 3/1.14-ВК (Котельня)
 Акт 26/1.14-КБ (Котельня)
 Акт 42/1.9-КМ (СПК)
 Акт 32/1.1-АР
 Акт 15/1.3-АР
 Акт 36/1.14-АР (Котельня)
Акт 1/1.4-КМ (резервуар для зберігання розчинника)
Акт 2/1.28-КМ (Естакада інженерних комунікацій)
Акт 65/1.3-ТХ(Цех екстракції поз. 3 ГБ)
Акт 119/1.3-КМ(Цех екстракції поз. 3 ГБ)
 Акт 43/1.9-КМ (СПК)
 Акт 28/1.26_Б
Акт 66/1.3-ТХ(Цех екстракції поз. 3 ГБ)
Акт 120/1.3-КМ(Цех екстракції поз. 3 ГБ)
Акт 24/ГПЗ
Акт 67/1.3-ТХ(Цех екстракції поз. 3 ГБ)
 Акт 44/1.9-КМ (СПК)
 Акт 33/1.1-АР
Акт 68/1.3-ТХ(Цех екстракції поз. 3 ГБ)
Акт 69/1.3-ТХ(Цех екстракції поз. 3 ГБ)
 Акт 37/1.14-АР (Котельня)
 Акт 1/1.11-КБ 
Акт 121/1.3-КМ(Цех екстракції поз. 3 ГБ)
Акт 122/1.3-КМ(Цех екстракції поз. 3 ГБ)
 Акт 29/1.26_Б
 Акт 16/1.3-АР
 Акт 13/1.10-АР
Акт 25/ГПЗ</t>
  </si>
  <si>
    <t>Акт 125/1.3-КМ(Цех екстракції поз. 3 ГБ)
 Акт 17/1.3-АР
 Акт 5/1.16-АР (Пожежний резервуар) 
 Акт 4/1.12-АР меляса
 Акт 2/1.11-КБ (земляні роботи)
 Акт 25/1.10-КБ
 Акт 45/1.9-КМ (СПК)
Акт 72/1.3-ТХ(Цех екстракції поз. 3 ГБ)
Акт 70/1.3-ТХ(Цех екстракції поз. 3 ГБ)
Акт 71/1.3-ТХ(Цех екстракції поз. 3 ГБ)
Акт 123/1.3-КМ(Цех екстракції поз. 3 ГБ) (ЦКС)
Акт 26/ГПЗ
 Акт 38/1.14-АР (Котельня)
Акт 124/1.3-КМ(Цех екстракції поз. 3 ГБ)
 Акт 11/1.17-КБ Очисні Споруди (Дніпроаквабуд без списання)
Акт 27/ГПЗ (БЕЗ СПИСАННЯ МАТЕРІАЛІВ – разгрузка/погрузка)
 Акт 6/1.16-АР (Пожежний резервуар) 
Акт 1/1.27-КБ (Естакада інженерних комунікацій)
 Акт 34/1.1-АР
Акт 41/1.3-КБ(Цех екстракції поз. 3 ГБ)
Акт 126/1.3-КМ(Цех екстракції поз. 3 ГБ)
 Акт 1/1.8-КМ
Акт 73/1.3-ТХ(Цех екстракції поз. 3 ГБ) (шеф - монтаж)
 Акт 46/1.9-КМ (СПК)
 Акт 18/1.3-АР
Акт 28/ГПЗ
Акт 29/ГПЗ
 Акт 39/1.14-АР (Котельня)
 Акт 7/1.7-КМ
 Акт 3/1.11-КБ 
Акт 74/1.3-ТХ(Цех екстракції поз. 3 ГБ)
 Акт 2/1.22-ЗВК 
Акт 9/1.5-ТХ (Насосна пожежогасіння поз.7 по ГП)
 Акт 31/1.26_Б
 Акт 5/1.12-АР меляса
 Акт 47/1.9-КМ (СПК)
 Акт 7/1.16-АР (Пожежний резервуар) 
 Акт 1/1.30-КМ
 Акт 19/1.3-АР
 Акт 7/1.10-КМ
Акт 80/1.3-ТХ(Цех екстракції поз. 3 ГБ)
 Акт 14/1.10-АР
Акт 76/1.3-ТХ(Цех екстракції поз. 3 ГБ)
Акт 75/1.3-ТХ(Цех екстракції поз. 3 ГБ)
Акт 79/1.3-ТХ(Цех екстракції поз. 3 ГБ)
Акт 78/1.3-ТХ(Цех екстракції поз. 3 ГБ)
Акт 77/1.3-ТХ(Цех екстракції поз. 3 ГБ)
 Акт 1/1.8-КБ 
 Акт 4/1.11-КБ 
 Акт 26/1.10-КБ
 Акт 15/1.10-АР
 Акт 6/1.12-АР меляса
 Акт 7/1.12-АР меляса
 Акт 3/1.18-АР ГРП (Газорегуляторний пункт)
 Акт 8/1.16-АР (Пожежний резервуар) 
 Акт 40/1.14-АР (Котельня)
 Акт 2/1.8-КБ 
 Акт 5/1.11-КБ 
 Акт 20/1.3-АР
Акт 2/1.4-КМ (резервуар для зберігання розчинника)
 Акт 1/1.2-КМ
Акт 30/ГПЗ
Акт 2/1.27-КБ (Естакада інженерних комунікацій)</t>
  </si>
  <si>
    <t xml:space="preserve"> Акт 3/1.1-ВК (АПК)
Акт 42/1.3-КБ(Цех екстракції поз. 3 ГБ)
 Акт 16/1.10-АР
 Акт 42/1.14-АР (Котельня)
Акт 82/1.3-ТХ(Цех екстракції поз. 3 ГБ)
Акт 83/1.3-ТХ(Цех екстракції поз. 3 ГБ)
Акт 85/1.3-ТХ(Цех екстракції поз. 3 ГБ)
Акт 127/1.3-КМ(Цех екстракції поз. 3 ГБ)
 Акт 34/1.26_Б
 Акт 35/1.26_Б
Акт 84/1.3-ТХ(Цех екстракції поз. 3 ГБ)
Акт 129/1.3-КМ(Цех екстракції поз. 3 ГБ)
 Акт 49/1.9-КМ (СПК)
 Акт 32/1.26_Б
 Акт 30/1.26_Б
Акт 128/1.3-КМ(Цех екстракції поз. 3 ГБ)
Акт 81/1.3-ТХ(Цех екстракції поз. 3 ГБ)
 Акт 1/1.9-АР
Акт 86/1.3-ТХ(Цех екстракції поз. 3 ГБ)
Акт 130/1.3-КМ(Цех екстракції поз. 3 ГБ)
 Акт 36/1.26_Б
 Акт 27/1.10-КБ 
 Акт 12/1.17-КБ Очисні Споруди (Дніпроаквабуд без списання)
Акт 131/1.3-КМ(Цех екстракції поз. 3 ГБ)
 Акт 51/1.9-КМ (СПК)
Акт 31/ГПЗ
 Акт 7/1.11-КБ 
 Акт 6/1.11-КБ 
 Акт 48/1.9-КМ (СПК)
Акт 10/1.5-ТХ (Насосна пожежогасіння поз.7 по ГП)
 Акт 17/1.10-АР
 Акт 52/1.9-КМ (СПК)
 Акт 2/1.12-ТХ меляса Акім
 Акт 2/1.9-АР
 Акт 8/1.11-КБ 
 Акт 53/1.9-КМ (СПК)
Акт 132/1.3-КМ(Цех екстракції поз. 3 ГБ)
Акт 87/1.3-ТХ(Цех екстракції поз. 3 ГБ)
Акт 44/1.3-КБ(Цех екстракції поз. 3 ГБ)
 Акт 21/1.3-АР
 Акт 3/1.8-КБ 
Акт 43/1.3-КБ(Цех екстракції поз. 3 ГБ)
Акт 3/1.27-КБ (Естакада інженерних комунікацій)
 Акт 35/1.1-АР
Акт 4/1.27-КБ (Естакада інженерних комунікацій)
 Акт 3/1.22-ЗВК 
Акт 21/1.4-КБ (резервуар для зберігання розчинника)
 Акт 33/1.26_Б
 Акт 4/1.18-АР ГРП (Газорегуляторний пункт)
Акт 32/ГПЗ
 Акт 4/1.8-КБ 
Акт 133/1.3-КМ(Цех екстракції поз. 3 ГБ)
Акт 134/1.3-КМ(Цех екстракції поз. 3 ГБ)
Акт 6/1.6-КМ (транспортна галерея)
 Акт 4/1.22-ЗВК 
 Акт 55/1.9-КМ (СПК)
 Акт 36/1.1-АР
 Акт 38/1.26_Б
Акт 1/1.28-КБ (Естакада інженерних комунікацій)
 Акт 18/1.10-АР
 Акт 9/1.11-КБ 
 Акт 3/1.9-АР
Акт 136/1.3-КМ(Цех екстракції поз. 3 ГБ)
 Акт 5/1.8-КБ 
 Акт 9/1.16-АР (Пожежний резервуар) 
 Акт 39/1.26_Б
 Акт 19/1.10-АР
 Акт 37/1.1-АР
Акт 137/1.3-КМ(Цех екстракції поз. 3 ГБ)
 Акт 4/1.9-АР
 Акт 56/1.9-КМ (СПК)
Акт 135/1.3-КМ(Цех екстракції поз. 3 ГБ)
 Акт 37/1.26_Б
Акт 45/1.3-КБ(Цех екстракції поз. 3 ГБ)</t>
  </si>
  <si>
    <t>Акт 91/1.3-ТХ(Цех екстракції поз. 3 ГБ)
 Акт 50/1.9-КМ (СПК)
 Акт 13/1.17-КБ Очисні Споруди (Дніпроаквабуд без списання)
 Акт 5/1.22-ЗВК 
 Акт 44/1.14-АР (Котельня)
Акт 88/1.3-ТХ(Цех екстракції поз. 3 ГБ)
Акт 90/1.3-ТХ(Цех екстракції поз. 3 ГБ)
 Акт 1/1.32-КМ
 Акт 54/1.9-КМ (СПК)
 Акт 43/1.14-АР (Котельня)
 Акт 22/1.3-АР
 Акт 26/1.1-КБ (АПК)
Акт 92/1.3-ТХ(Цех екстракції поз. 3 ГБ)
 Акт 10/1.11-КБ 
Акт 46/1.3-КБ(Цех екстракції поз. 3 ГБ)
 Акт 20/1.10-АР
 Акт 9/1.10-КМ
Акт 11/1.5-ТХ (Насосна пожежогасіння поз.7 по ГП)
 Акт 57/1.9-КМ (СПК)
Акт 95/1.3-ТХ(Цех екстракції поз. 3 ГБ)
Акт 94/1.3-ТХ(Цех екстракції поз. 3 ГБ)
 Акт 6/1.22-ЗВК 
 Акт 15/1.17-КБ Очисні Споруди (Дніпроаквабуд без списання)
 Акт 14/1.17-КБ Очисні Споруди (Дніпроаквабуд без списання)
 Акт 23/1.3-АР
Акт 138/1.3-КМ(Цех екстракції поз. 3 ГБ)
Акт 1/1.27-КМ (Естакада інженерних комунікацій)
 Акт 4/1.14-ВК (Котельня)
 Акт 3/1.12-ТХ меляса Акім
 Акт 38/1.1-АР
 Акт 40/1.26_Б
 Акт 4/1.1-ВК (АПК)
Акт 93/1.3-ТХ(Цех екстракції поз. 3 ГБ)
 Акт 58/1.9-КМ (СПК)
 Акт 39/1.1-АР
Акт 3/1.4-КМ (резервуар для зберігання розчинника)
 Акт 45/1.14-АР (Котельня)
 Акт 5/1.9-АР
Акт 33/ГПЗ
 Акт 41/1.26_Б
 Акт 8/1.12-АР меляса
Акт 97/1.3-ТХ(Цех екстракції поз. 3 ГБ)
Акт 139/1.3-КМ(Цех екстракції поз. 3 ГБ)
 Акт 24/1.3-АР
 Акт 21/1.10-АР
 Акт 10/1.16-АР (Пожежний резервуар) 
 Акт 7/1.22-ЗВК 
 Акт 8/1.16-КМ (Пожежний резервуар)
 Акт 5/1.18-АР ГРП (Газорегуляторний пункт)
 Акт 1/1.2-КБ 
 Акт 1/1.11-КМ 
 Акт 6/1.9-АР
 Акт 2/1.9-ТХ (СПК)
 Акт 59/1.9-КМ (СПК)
 Акт 60/1.9-КМ (СПК)
 Акт 8/1.22-ЗВК 
Акт 4/1.4-КМ (резервуар для зберігання розчинника)
Акт 2/1.28-КБ (Естакада інженерних комунікацій)
Акт 1/1.4-ТХ (резервуар для зберігання розчинника)
Акт 22/1.4-КБ (резервуар для зберігання розчинника)
 Акт 2/1.2-КБ 
 Акт 22/1.10-АР
 Акт 25/1.3-АР
Акт 5/1.4-КМ (резервуар для зберігання розчинника)
Акт 98/1.3-ТХ(Цех екстракції поз. 3 ГБ)
Акт 13/1.5-ТХ (Насосна пожежогасіння поз.7 по ГП)
Акт 3/1.28-КМ (Естакада інженерних комунікацій)
Акт 34/ГПЗ
 Акт 3/1.9-ТХ (СПК)
 Акт 4/1.9-ТХ (СПК)
 Акт 61/1.9-КМ (СПК)
 Немає скану Акт 62/1.9-КМ (СПК)
 Акт 7/1.9-АР
Акт 140/1.3-КМ(Цех екстракції поз. 3 ГБ)
 Акт 11/1.11-КБ 
 Акт 8/1.8-КБ 
Акт 7/1.6-КМ (транспортна галерея)
 Акт 8/1.7-КМ
Немає скану Акт 102/1.3-ТХ(Цех екстракції поз. 3 ГБ)
Акт 100/1.3-ТХ(Цех екстракції поз. 3 ГБ) 1 564 048,08
Акт 4/1.28-КМ (Естакада інженерних комунікацій)</t>
  </si>
  <si>
    <t>Доход от прочей операционной деятельности</t>
  </si>
  <si>
    <t>ТМЦ</t>
  </si>
  <si>
    <t>ТМЦ
сп 36
сп 31/1
сп 24</t>
  </si>
  <si>
    <t>Себестоимость проданой продукции (переменные производственные затраты)</t>
  </si>
  <si>
    <t xml:space="preserve">ЗП производственного персонала </t>
  </si>
  <si>
    <t>Котляр Наталія Олегівна	17 710,00
Білик Володимир Андрійович	17 710,00
Дреманович Олег Станіславович	
Дубінько Сергій Володимирович	18 480,00
Зеленський Володимир Володимирович	17 710,00
Іванюк Олексій Ігорович	17 710,00
Козєєв Роман Сергійович	17 710,00
Лобанов Віталій Юрійович	17 710,00
Матвіюк Вадим Анатолійович	17 710,00
Олійник Платон Андрійович	16 940,00
Сухін Олександр Олександрович	16 940,00
Шепіда Сергій Іванович	16 940,00
Ямковой Володимир Юрійович	5 202,45</t>
  </si>
  <si>
    <t>Котляр Наталія Олегівна	16 413,66
Білик Володимир Андрійович	19 250,00
Бойко Дмитро Володимирович	17 055,50
Дубінько Сергій Володимирович	14 630,00
Зеленський Володимир Володимирович	17 429,91
Іванюк Олексій Ігорович	17 710,00
Козєєв Роман Сергійович	18 239,11
Краснопер Олександр Сергійович	17 055,50
Матвіюк Вадим Анатолійович	17 710,00
Мудрагель Ігор Валентинович	0,02
Олійник Платон Андрійович	16 940,00
Сухін Олександр Олександрович	16 940,00
Шепіда Сергій Іванович	13 660,95
Якимець Сергій Васильович	13 860,00
Ямковой Володимир Юрійович	13 436,88</t>
  </si>
  <si>
    <t>Котляр Наталія Олегівна
Білик Володимир Андрійович
Бойко Дмитро Володимирович
Дубінько Сергій Володимирович
Заяць Василь Миколайович
Зеленський Володимир Володимирович
Іванюк Олексій Ігорович
Козєєв Роман Сергійович
Краснопер Олександр Сергійович
Матвіюк Вадим Анатолійович
Носков Дмитро Олександрович
Олійник Платон Андрійович
Сухін Олександр Олександрович
Шепіда Сергій Іванович
Якимець Сергій Васильович
Ямковой Володимир Юрійович</t>
  </si>
  <si>
    <t>Котляр Наталія Олегівна	16 940,00
Білик Володимир Андрійович	17 710,00
Бойко Дмитро Володимирович	16 170,00
Дубінько Сергій Володимирович	16 170,00
Заяць Василь Миколайович	9 047,50
Зеленський Володимир Володимирович	20 790,00
Іванюк Олексій Ігорович	20 790,00
Козєєв Роман Сергійович	20 790,00
Матвіюк Вадим Анатолійович	20 790,00
Носков Дмитро Олександрович	3 465,00
Пилипенко Олександр Володимирович	16 170,00
Скалозуб Геннадій Анатолійович	15 400,00
Сухін Олександр Олександрович	16 170,00
Ховайло Сергій Олександрович	15 400,00
Ямковой Володимир Юрійович	15 400,00</t>
  </si>
  <si>
    <t>Котляр - 23 369,14
Білик Володимир Андрійович
Бойко Дмитро Володимирович
Дубінько Сергій Володимирович
Заяць Василь Миколайович
Зеленський Володимир Володимирович
Іванюк Олексій Ігорович
Козєєв Роман Сергійович
Коцур Роман Олегович
Краснопер Олександр Сергійович
Кручан Євгеній Сергійович
Матвіюк Вадим Анатолійович
Носков Дмитро Олександрович
Олійник Платон Андрійович
Пилипчук Олександр Володимирович
Сухін Олександр Олександрович
Ховайло Сергій Олександрович
Ямковий Володимир Юрійович</t>
  </si>
  <si>
    <t>Котляр - 22 710,00
Бойко Дмитро Володимирович
Дубінько Сергій Володимирович
Заяць Василь Миколайович
Зеленський Володимир Володимирович
Зубов Олександр В'ячеславович
Іванюк Олексій Ігорович
Козєєв Роман Сергійович
Коцур Роман Олегович
Краснопер Олександр Сергійович
Кручан Євгеній Сергійович
Матвіюк Вадим Анатолійович
Носков Дмитро Олександрович
Олійник Платон Андрійович
Пилипчук Олександр Володимирович
Скалозуб Геннадій Анатолійович
Ховайло Сергій Олександрович
Ямковий Володимир Юрійович</t>
  </si>
  <si>
    <t>Удержание с зарплаты производственного персонала</t>
  </si>
  <si>
    <t>Начисления на зарплату производственного персонала</t>
  </si>
  <si>
    <t xml:space="preserve">Зарплата ИТР </t>
  </si>
  <si>
    <t>Балашов Володимир Вікторович	16 763,54
Буша Володимир Володимирович	17 423,42
Задригун Іван Іванович	21 175,00
Коваль Олеся Іванівна	17 710,00
Кравцов Володимир Леонідович	19 790,47
Міщенко Анатолій Анатолійович	18 930,35
Ореховська Марина Вікторівна	17 710,00
Палун Олександр Петрович	5 700,27
Присада Дмитро Васильович	20 405,00
Присада Максим Васильович	18 095,00
Сидоренко Володимир Миколайович	18 006,09
Харченко Руслан Олександрович	21 175,00
Хурсін Тарас Євгенійович	22 137,50</t>
  </si>
  <si>
    <t>Балашов Володимир Вікторович	20 563,38
Буравченков Ярослав Вікторович	16 940,00
Буша Володимир Володимирович	21 590,19
Задригун Іван Іванович	22 118,10
Коваль Олеся Іванівна	17 710,00
Кравцов Володимир Леонідович	21 175,00
Міщенко Анатолій Анатолійович	21 175,00
Ореховська Марина Вікторівна	17 710,00
Присада Дмитро Васильович	20 716,89
Присада Максим Васильович	19 090,95
Сидоренко Володимир Миколайович	17 902,50
Харченко Руслан Олександрович	21 175,00
Хурсін Тарас Євгенійович	25 183,22</t>
  </si>
  <si>
    <t>Балашов Володимир Вікторович
Буравченков Ярослав Вікторович
Буша Володимир Володимирович
Задригун Іван Іванович
Коваль Олеся Іванівна
Кравцов Володимир Леонідович
Міщенко Анатолій Анатолійович
Ореховська Марина Вікторівна
Присада Максим Васильович
Сидоренко Володимир Миколайович
Харченко Руслан Олександрович
Хурсін Тарас Євгенійович</t>
  </si>
  <si>
    <t>Буравченков Ярослав Вікторович	17 832,50
Буша Володимир Володимирович	17 812,31
Задригун Іван Іванович	24 255,00
Коваль Олеся Іванівна	17 119,98
Кравцов Володимир Леонідович	20 405,00
Міщенко Анатолій Анатолійович	21 945,00
Ореховська Марина Вікторівна	15 315,62
Присада Максим Васильович	21 175,00
Сидоренко Володимир Миколайович	20 009,54
Харченко Руслан Олександрович	22 262,69</t>
  </si>
  <si>
    <t>Буравченков Ярослав Вікторович
Буша Володимир Володимирович
Задригун Іван Іванович
Коваль Олеся Іванівна
Кравцов Володимир Леонідович
Міщенко Анатолій Анатолійович
Ореховська Марина Вікторівна
Присада Максим Васильович
Сидоренко Володимир Миколайович
Харченко Руслан Олександрович</t>
  </si>
  <si>
    <t>Удержание с зарплаты ИТР</t>
  </si>
  <si>
    <t>Начисления на зарплату ИТР</t>
  </si>
  <si>
    <t>ЗП подсобников</t>
  </si>
  <si>
    <t>Оплата за выполненные работы</t>
  </si>
  <si>
    <t>Сантехники (Якубенко)	22 270,00
Ховайло	11 440,00
Мулярів (Зубарев)	15 226,00
Шпаклювальники (Дятел)	37 906,00
Сухин	24 000,00
Шпаклювальники (Дятел)	15 540,00
Сухин	4 719,00
Олексюк	123 344,00
Гипсокартонщики	57 202,00
Омельченко	5 620,00
Прокопець	5 551,80
Козеев Р.	80 500,00
Прокопець	51 800,60
Козеев Р.	3 000,00
Козеев Р.	45 015,00
Чурилович	22 500,00
Матвиюк	19 172,23
Снитка	80 066,21
Юсупов	37 385,55
Коноплев	107 550,00
Ховайло	22 220,00
Фасадчиков (Кичатый)	17 181,90
Мулярів (Зубарев)	36 880,00
Шпаклювальники (Дятел)	30 184,00
Олексюк	62 178,00
Гипсокартонщики	13 706,20
Омельченко	51 444,06
Прокопець	27 789,00
Козеев Р.	164 270,00
Юсупов	34 096,05
Коноплев	59 175,00
Ховайло	9 592,00
Фасадчиков (Кичатый)	11 985,00
Фасадчиков (Кичатый)	17 707,20
Мулярів (Зубарев)	69 030,00
Шпаклювальники (Дятел)	34 628,00
Снитка	37 023,00
Сухин	3 675,00
Олексюк	50 503,20
Гипсокартонщики	19 564,00
Чурилович	20 700,00
Козеев Р.	51 332,85
Латюк	186 384,00
Юсупов	79 289,70
Ховайло	14 432,00
Фасадчиков (Кичатый)	16 337,85
Мулярів (Зубарев)	57 150,00
Шпаклювальники (Дятел)	29 810,00
Снитка	44 793,00
Сухин	9 968,00
Гипсокартонщики	27 818,00
Дробат	7 721,00
Прокопець	24 027,88
Козеев Р.	30 750,00
Козеев Р.	72 520,00
Козеев Р.	19 035,00
Латюк	5 000,00
Сухин	72 000,00
Козеев Р.	5 000,00
Латюк	84 300,00
Латюк	45 300,00
Юсупов	34 617,60
Латюк	9 000,00
Мулярів (Зубарев)	23 859,00</t>
  </si>
  <si>
    <t>Олексюк	35 112,00
Гипсокартонщики	9 520,00
Омельченко	6 737,00
Козеев Р.	47 071,35
Киринос, Снитко, Котлогаз	97 800,00
Матвиюк	11 127,90
Сантехники (Якубеков)	23 640,00
Матвиюк	52 915,00
Юсупов	155 394,45
Ховайло	25 058,00
Латюк	8 000,00
Фасадчиков (Кичатый)	97 958,25
Мулярів (Зубарев)	21 000,00
Шпаклювальники (Дятел)	13 200,00
Снитка	99 144,24
Сухин	11 945,00
Олексюк	52 896,00
Гипсокартонщики	42 504,00
Сергиенко (Кирнос)	1 453,50
Матвиюк	19 110,00
Сантехники (Якубеков)	16 650,00
Юсупов	121 685,60
Латюк	17 750,00
Латюк	116 400,00
Фасадчиков (Кичатый)	49 082,40
Мулярів (Зубарев)	22 595,00
Шпаклювальники (Дятел)	48 554,00
Снитка	17 226,00
Сухин	33 000,00
Гипсокартонщики	33 800,00
Прокопець	9 570,00
Козеев Р.	28 550,00
Коноплев	72 415,00
Юсупов	68 092,65
Латюк	63 000,00
Фасадчиков (Кичатый)	41 304,90
Мулярів (Зубарев)	18 141,00
Шпаклювальники (Дятел)	18 986,00
Снитка	189 364,00
Сухин	32 000,00
Олексюк	18 000,00
Олексюк	8 000,00
Гипсокартонщики	4 200,00
Дробат	805,00
Прокопець	24 310,00
Козеев Р.	57 886,50
Переделка	19 200,00
Козеев Р.	11 790,90
Сантехники (Якубеков)	18 150,00
Сантехники (Якубеков)	17 680,00</t>
  </si>
  <si>
    <t>Юсупов	63 655,65
Юсупов	73 700,00
Латюк	57 600,00
Фасадчиков (Кичатый)	78 700,65
Мулярів (Зубарев)	25 585,00
Снитка	95 568,84
Сухин	9 810,00
Олексюк	353 376,00
Гипсокартонщики	4 704,00
Дробат	5 782,00
Дробат	19 255,00
Прокопець	4 200,00
Козеев Р.	22 800,00
Козеев Р.	9 372,59
Матвиюк	24 045,00
Матвиюк	29 955,00
Юсупов	109 837,00
Латюк	6 000,00
Юсупов	50 324,25
Фасадчиков (Кичатый)	76 102,20
Фасадчиков (Кичатый)	7 200,00
Мусиенко / Мусийченко	3 090,60
Мулярів (Зубарев)	31 755,00
Фасадчиков (Кичатый)	19 910,40
Снитка	75 293,00
Сухин	43 000,00
Сухин	55 000,00
Дробат	23 125,45
Дробат	2 082,33
Прокопець	1 996,40
Прокопець	2 590,00
Козеев Р.	320
Козеев Р.	73 270,50
Борисовец	28 000,00
Матвиюк	2 632,50
Ховайло	1 584,00
Матвиюк	18 000,00
Латюк	6 000,00
Юсупов	87 990,30
Юсупов	133 300,00
Мулярів (Зубарев)	1 845,00
Фасадчиков (Кичатый)	32 354,40
Снитка	6 415,20
Снитка	4 865,00
Снитка	120 068,00
Сухин	39 875,00
Сухин	22 198,50
Олексюк	31 842,00
Гипсокартонщики	18 880,00
Прокопець	36 000,00
Козеев Р.	60 380,00
Юсупов	75 454,00
Борисовец	31 500,00
Борисовец	19 000,00
Ховайло	19 096,00
Юсупов	122 279,00
Мулярів (Зубарев)	10 720,00
Шпаклювальники (Дятел)	6 050,00
Снитка	123 503,64
Сухин	19 397,00
Сухин	8 473,00
Олексюк	22 284,00
Сухин	3 519,00
Гипсокартонщики	5 360,00
Гипсокартонщики	5 000,00
Гипсокартонщики	9 000,00
Дробат	2 310,90
Прокопець	16 000,00
Козеев Р.	1 464,00
Юсупов	78 070,80
Борисовец	7 500,00
Матвиюк	49 285,00
Матвиюк	5 750,00
Мулярів (Зубарев)	17 230,00
Шпаклювальники (Дятел)	5 700,00
Снитка	80 218,60
Олексюк	75 669,60
Сухин	36 000,00
Сухин	8 164,50
Сухин	9 126,00
Гипсокартонщики	26 460,00
Дробат	7 896,60
Козеев Р.	12 280,00
Козеев Р.	28 192,50</t>
  </si>
  <si>
    <t>Юсупов	14 994,00
Юсупов	26 365,00
Журавель	78 000,00
Сантехники (Якубеков)	10 860,00
Мулярів (Зубарев)	5 540,00
Шпаклювальники (Дятел)	5 600,00
Шпаклювальники (Дятел)	30 400,00
Снитка	42 168,00
Снитка	216 224,00
Олексюк	104 553,00
Сухин	24 000,00
Сухин	13 491,00
Гипсокартонщики	8 460,00
Чурилович	30 625,00
Чурилович	57 125,00
Дробат	14 418,00
Дробат	3 286,25
Козеев Р.	37 107,00
Козеев Р.	27 396,00
Юсупов	20 481,60
Авраменко	14 500,00
Остапенко	102 500,00
Поляцькового	121 582,80
Остапенко	3 124,00
Мулярів (Зубарев)	18 600,00
Мулярів (Зубарев)	4 790,00
Шпаклювальники (Дятел)	33 536,00
Снитка	147 960,00
Сухин	11 745,00
Дробат	98 966,00
Прокопець	21 925,00
Гипсокартонщики	20 240,00
Снитка	19 527,90
Юсупов	31 043,70
Авраменко	32 000,00
Поляцькового	8 625,00
Остапенко	111 970,00
Ховайло	12 864,00
Ховайло	1 024,00
Матвиюк	6 000,00
Мулярів (Зубарев)	2 600,00
Мулярів (Зубарев)	930,00
Мулярів (Зубарев)	1 860,00
Шпаклювальники (Дятел)	22 400,00
Мулярів (Зубарев)	5 940,00
Снитка	35 916,00
Снитка	49 100,40
Снитка	4 000,00
Олексюк	19 248,00
Гипсокартонщики	19 760,00
Дробат	7 036,00
Дробат	13 860,00
Прокопець	42 560,00
Прокопець	3 400,00
Журавель	36 465,00
Авраменко	18 125,00
Поляцькового	20 250,00
Журавель	32 496,00
Журавель	16 653,60
Авраменко	4 625,00
Журавель	11 328,00
Журавель	24 372,00
Журавель	43 080,00</t>
  </si>
  <si>
    <t>Ховайло	22 201,60
Мулярів (Зубарев)	8 820,00
Снитка	277 128,00
Сухин	43 047,50
Сухин	27 500,00
Дробат	12 161,00
Прокопець	45 902,27
Прокопець	2 706,00
Юсупов	328 950,00
Остапенко	9 085,00
Матвиюк	11 600,00
Матвиюк	2 250,00
Матвиюк	9 018,00
Снитка	78 900,00
Снитка	227 200,00
Сухин	40 825,60
Дробат	73 311,00
Дробат	2 450,00
Дробат	900,00
Дробат	120,00
Прокопець	63 347,44
Прокопець	24 750,85
Прокопець	4 800,00
Козеев Р.	119 390,40
Юсупов	52 616,70
Юсупов	65 991,30
Коноплев	5 500,00
Авраменко	56 402,80
Ховайло	19 152,00
Коханов	55 900,00
Коханов	43 750,00
Матвиюк	36 119,20
Коханов	53 575,00
Мулярів (Зубарев)	2 400,00
Снитка	109 694,50
Гипсокартонщики	15 750,00
Сухин	7 905,00
Дробат	3 222,00
Дробат	23 826,00
Дробат	774,00
Прокопець	17 500,00
Прокопець	17 250,00
Прокопець	4 200,00
Прокопець	8 060,00
Козеев Р.	25 573,30
Олексюк	14 400,00
Юсупов	148 851,15
Юсупов	199 797,60
Авраменко	8 500,00
Ховайло	29 462,00
Коханов	26 730,00
Шпаклювальники (Дятел)	19 559,00
Матвиюк	9 654,00
Шпаклювальники (Дятел)	53 346,00
Мулярів (Зубарев)	1 400,00
Снитка	126 112,20
Снитка	14 872,00
Сухин	4 000,00
Сухин	8 549,00
Дробат	15 750,00
Дробат	6 090,00
Дробат	10 124,00
Прокопець	7 660,00
Прокопець	8 821,00
Прокопець	15 480,00
Козеев Р.	3 000,00
Юсупов	110 371,65
Остапенко	10 175,00
Журавель	10 320,00
Ховайло	21 368,00
Коханов	6 300,00
Матвиюк	32 648,00
Шпаклювальники (Дятел)	62 170,00
Матвиюк	15 000,00
Снитка	108 086,20
Гипсокартонщики	63 924,00
Сухин	34 500,00
Дробат	10 848,00
Прокопець	2 167,00
Прокопець	55 368,00
Козеев Р.	21 230,00
Сантехники (Якубеков)	10 860,00
Сантехники (Якубеков)	2 820,00</t>
  </si>
  <si>
    <t>Юсупов	135 405,00
Ховайло	51 492,00
Шпаклювальники (Дятел)	118 078,00
Матвиюк	64 104,00
Олексюк	81 120,00
Снитка	77 124,00
Дробат	24 540,00
Дробат	23 722,00
Прокопець	25 867,00
Козеев Р.	21 450,00
Козеев Р.	10 200,00
Юсупов	127 708,80
Юсупов	4 700,00
Юсупов	900,00
Юсупов	3 525,00
Юсупов	5 250,00
Авраменко	21 625,00
Коханов	44 280,00
Шпаклювальники (Дятел)	139 896,00
Шпаклювальники (Дятел)	2 170,00
Матвиюк	13 249,00
Снитка	54 402,90
Гипсокартонщики	29 980,00
Сухин	27 250,00
Дробат	29 190,00
Дробат	31 125,00
Прокопець	10 000,00
Прокопець	3 275,00
Козеев Р.	16 050,00
Юсупов	41 300,00
Авраменко	27 805,00
Ховайло	3 163,00
Коханов	48 220,00
Шпаклювальники (Дятел)	30 912,00
Матвиюк	11 340,00
Снитка	52 885,00
Снитка	169 931,20
Гипсокартонщики	29 484,00
Дробат	2 814,00
Дробат	31 560,00
Дробат	11 446,00
Прокопець	95 936,00
Прокопець	3 120,00
Авраменко	87 452,00
Авраменко	228 535,00
Козеев Р.	36 750,00
Юсупов	29 819,70
Юсупов	39 846,30
Журавель	10 320,00
Авраменко	27 875,00
Коханов	45 810,00
Матвиюк	11 350,00
Матвиюк	13 650,00
Снитка	204 672,00
Снитка	31 756,40
Снитка	6 543,00
Олексюк	68 040,00
Дробат	63 291,72
Прокопець	40 080,00
Гипсокартонщики	8 800,00
Снитка	29 000,00
Сантехники (Якубеков)	27 800,00
Прокопець	18 170,00
Юсупов	71 535,15
Шпаклювальники (Дятел)	12 401,85
Шпаклювальники (Дятел)	2 688,00
Шпаклювальники (Дятел)	47 070,00
Матвиюк	40 936,00
Матвиюк	8 850,00
Семенченко	1 080,00
Дробат	3 632,00
Прокопець	3 060,00
Козеев Р.	35 850,00
Дробат	4 800,00
Поляцькового	8 135,28
Прокопець	21 423,00
Прокопець	37 750,00
Снитка	64 814,80</t>
  </si>
  <si>
    <t>Премия производственного персонала</t>
  </si>
  <si>
    <t>Услуги сторонних организаций</t>
  </si>
  <si>
    <t>ЯРЕМЕНКО ВОЛОДИМИР МИХАЙЛОВИЧ ФОП (Виготовлення  перильних огорож (м/п)) - 115 000,0; Європейський стандарт норми ТОВ - 62 040,0; ЦКС ТРЕЙД ТОВ - 29 539,99</t>
  </si>
  <si>
    <t>ІНДЕПТ СТІЛ ТОВ - 268 640,0; Рулет ПП - 22 660,10; КОТЛОГАЗ ВКП ТОВ - 2 665 000,0</t>
  </si>
  <si>
    <t>ІНДЕПТ СТІЛ ТОВ - 1 084 300,99; АКІМ ТОВ - 1 078 436,40; ПЕРША ПОКРІВЕЛЬНА ГІЛЬДІЯ ТОВ - 17 350,0; ДНІПРО АКВАБУД ІНВЕСТ - 307 688,58; ЦКС ТРЕЙД ТОВ - 153 635,98; ВЕСТА КМД ТОВ - 205 958,23; ЮТЕМ-ІНЖИНІРИНГ ТОВ - 3 102 015,36</t>
  </si>
  <si>
    <t>ДНІПРО АКВАБУД ІНВЕСТ - 434 478,42; Європейський стандарт норми ТОВ - 56 520,0; ІНДЕПТ СТІЛ ТОВ - 872 554,19; ПРОФІНСТАЛ ТОВ - 269 779,56; Рулет ПП - 7 404,01; ШМ Груп - 523 485,23; ЮТЕМ-ІНЖИНІРИНГ ТОВ - 11 036 682,84</t>
  </si>
  <si>
    <t>Алова - 137 844,09; ВДМ ТОВ - 335 635,10; ДНІПРО АКВАБУД ІНВЕСТ - 313 920,37; ІНДЕПТ СТІЛ ТОВ - 10 692,0; Капіталбудмонтаж ТОВ - 169 263,66; КОТЛОГАЗ ВКП ТОВ - 1 523 636,34; ПІВДЕНННИЙ ЕНЕРГОТЕХНІЧНИЙ ЗАВОД ТОВ - 2 073 168,0; Український Центр Гідроізоляції - 500 000,0; ЯРЕМЕНКО ВОЛОДИМИР МИХАЙЛОВИЧ ФОП - 78 000,0</t>
  </si>
  <si>
    <t>Бутенко Анатолій Анатолійович ФОП - 50 000,0; ВЕСТА КМД ТОВ - 3 604 830,0; ДНІПРО АКВАБУД ІНВЕСТ - 595 779,91; ІНДЕПТ СТІЛ ТОВ - 384 864,20; ПІВДЕНННИЙ ЕНЕРГОТЕХНІЧНИЙ ЗАВОД ТОВ - 3 103 476,0; ПРОФІНСТАЛ ТОВ - 453 884,22; Рулет ПП - 18 824,96; ЮТЕМ-ІНЖИНІРИНГ ТОВ - 6 364 690,34</t>
  </si>
  <si>
    <t>Аренда строительного оборудования</t>
  </si>
  <si>
    <t>БУДПРОКАТ-УКРАЇНА ТОВ - 18 600,0 + 10 540,00</t>
  </si>
  <si>
    <t>Кійко Олег Володимирович ФОП - 123 420,0; БУДПРОКАТ-УКРАЇНА ТОВ - 12 220,0; ПЕККАНІСКА ТОВ - 107 799,91</t>
  </si>
  <si>
    <t>ПЕККАНІСКА ТОВ - 19 599,98; Кійко Олег Володимирович ФОП - 26 620,0</t>
  </si>
  <si>
    <t>ПРОМО ТРАНС ТОВ - 139 000,12</t>
  </si>
  <si>
    <t>ПЕККАНІСКА ТОВ - 147 399,90</t>
  </si>
  <si>
    <t>Аренда опалубки</t>
  </si>
  <si>
    <t>Пері Україна ТОВ</t>
  </si>
  <si>
    <t>Пери Украина</t>
  </si>
  <si>
    <t>Арена техники</t>
  </si>
  <si>
    <t>Аренда сторонней техники</t>
  </si>
  <si>
    <t>Глобинське КП - 9 525,60; ЕНЕРГОСВІТ-МОНТАЖ ПП - 216 000,0; Європабуд ТОВ - 1 251 520,0; Терещенко Т.В. ФОП - 317 200,0</t>
  </si>
  <si>
    <t>ЕНЕРГОСВІТ-МОНТАЖ ПП - 250 200,0; Терещенко Т.В. ФОП - 306 800,0; Глобинське КП - 9 525,60; Європабуд ТОВ - 1 178 440,0</t>
  </si>
  <si>
    <t>ЕНЕРГОСВІТ-МОНТАЖ ПП - 72 000,0; Європабуд ТОВ - 1 561 600,0; ІННОВАЦІЯ-БУД ТОВ - 852 831,72; ПЕККАНІСКА ТОВ - 78 799,96; Терещенко Т.В. ФОП - 36 100,0; ТРАФІК-АВТО-ТРАНС ТОВ - 24 000,0</t>
  </si>
  <si>
    <t>Європабуд ТОВ - 1 695 600,0; ІННОВАЦІЯ-БУД ТОВ - 426 415,86; Терещенко Т.В. ФОП - 442 000,0</t>
  </si>
  <si>
    <t>Європабуд ТОВ - 2 019 600,0; ІННОВАЦІЯ-БУД ТОВ - 482 035,32; Терещенко Т.В. ФОП - 203 350,0</t>
  </si>
  <si>
    <t>Європабуд ТОВ - 1 710 000,0; ІННОВАЦІЯ-БУД ТОВ - 463 495,50; КреБуд ТОВ - 100 848,0; Терещенко Т.В. ФОП - 313 500,0</t>
  </si>
  <si>
    <t>Аренда вагончика</t>
  </si>
  <si>
    <t>Шепель О.О. ФОП - 59 200,0; РЕФОРД - 7 680,0</t>
  </si>
  <si>
    <t>РЕФОРД - 35 280,0; Шепель О.О. ФОП - 29 600,0</t>
  </si>
  <si>
    <t>РЕФОРД - 7 680,0; Шепель О.О. ФОП - 29 600,0</t>
  </si>
  <si>
    <t>Шепель О.О. ФОП - 29 600,0; РЕФОРД - 7 680,0</t>
  </si>
  <si>
    <t xml:space="preserve">РЕФОРД - 7 680,00; </t>
  </si>
  <si>
    <t>Логистические затраты</t>
  </si>
  <si>
    <t>Экспедирование (ТОВ "НІКСА ЛТД" - 19 800,0; АВТОСВІФТ ТОВ - 14 300,0; Приватний Двір ТОВ - 14 300,0); НП - 200,0 + 38 453,16+4 871,1</t>
  </si>
  <si>
    <t>Приватний Двір ТОВ - 19 800,0; КОРУСАНД ТОВ - 16 500,0; НП - 589,57+1583,63</t>
  </si>
  <si>
    <t>АВТОСВІФТ ТОВ - 2 400,0; Ендор Логістик ТОВ - 20 900,0; НП - 556,2+6182,46</t>
  </si>
  <si>
    <t>КОРУСАНД ТОВ - 28 000,0; ПРИВАТНИЙ ДВІР ТОВ - 19 000,0; НП - 1483,01+4167,91</t>
  </si>
  <si>
    <t>НП</t>
  </si>
  <si>
    <t>НІКСА ЛТД ТОВ - 28 000,00; Шепель О.О. ФОП - 29 600,00 + НП 15 621,04</t>
  </si>
  <si>
    <t>МШП</t>
  </si>
  <si>
    <t>Строительные материалы</t>
  </si>
  <si>
    <t>НП - 181,31+126,60</t>
  </si>
  <si>
    <t>НП - 9 912,4</t>
  </si>
  <si>
    <t>Ремонты</t>
  </si>
  <si>
    <t>Білоус Володимир Володимирович ФОП (Рено Кенго АІ7263МР) - 5 460,0; ГЕОСЕРВІС УКРАЇНА ТОВ (компенсат нівеліра) - 1 960,80; УКРСЕРВІС КОМПАНІЯ ТОВ - 48 804,0</t>
  </si>
  <si>
    <t>ГЕОСЕРВІС УКРАЇНА ТОВ (тахеометр) - 2 400,0; Пелипенко Ю.П. ФОП (принтер) - 1 200,0</t>
  </si>
  <si>
    <t>КАРПЕНКО ОЛЕГ ВАСИЛЬОВИЧ ФОП (РЕНО КЕНГО КА2044ВС) - 6 440,0</t>
  </si>
  <si>
    <t>УКРСЕРВІС КОМПАНІЯ ТОВ - 17 469,0; Білоус Володимир Володимирович ФОП - 13 483,0</t>
  </si>
  <si>
    <t>ОЙЛЕР"ТОВ (ТО РЕНО ДАСТЕР КА0541МТ) - 12 376,00; УКРСЕРВІС КОМПАНІЯ ТОВ - 8 772,0</t>
  </si>
  <si>
    <t>ОЙЛЕР"ТОВ (ТО РЕНО ДАСТЕР КА0541МТ) - 52 964,0</t>
  </si>
  <si>
    <t>Прочие производственные затраты</t>
  </si>
  <si>
    <t>Охр труда(Балась) - 15 000,0;</t>
  </si>
  <si>
    <t>Охр труда(Балась) - 15 000,0; Тімекс ПП(аренда баллонов) - 4 800,0</t>
  </si>
  <si>
    <t>Охр труда(Балась) - 15 000,0; ГРАВ Торговий дім ТОВ (мойка авто) - 900,0</t>
  </si>
  <si>
    <t>Командировочные производственного персонала</t>
  </si>
  <si>
    <t>Балашов Володимир Вікторович		-4 200,00
Буша Володимир Володимирович		-3 400,00
Задригун Іван Іванович		-5 600,00
Міщенко Анатолій Анатолійович		-4 200,00
Присада Дмитро Васильович		-5 600,00
Присада Максим Васильович		-5 600,00
Сидоренко Володимир Миколайович		-4 200,00
Хурсін Тарас Євгенійович		-4 200,00</t>
  </si>
  <si>
    <t>Балашов Володимир Вікторович		-5 600,00
Буравченко Ярослав Вікторович		-2 600,00
Буша Володимир Володимирович		-4 000,00
Задригун Іван Іванович		-5 000,00
Міщенко Анатолій Анатолійович		-5 200,00
Присада Дмитро Васильович		-2 800,00
Присада Максим Васильович		-4 400,00
Сидоренко Володимир Миколайович		-4 200,00
Хурсін Тарас Євгенійович		-5 000,00</t>
  </si>
  <si>
    <t>Балашов Володимир Вікторович		-4 200,00
Буравченко Ярослав Вікторович		-5 600,00
Буша Володимир Володимирович		-5 400,00
Задригун Іван Іванович		-6 200,00
Міщенко Анатолій Анатолійович		-5 400,00
Присада Максим Васильович		-7 000,00
Сидоренко Володимир Миколайович		-6 600,00
Хурсін Тарас Євгенійович		-4 800,00</t>
  </si>
  <si>
    <t>Балашов Володимир Вікторович		-2 400,00
Буравченко Ярослав Вікторович		-5 600,00
Буша Володимир Володимирович		-1 400,00
Задригун Іван Іванович		-5 600,00
Міщенко Анатолій Анатолійович		-5 400,00
Присада Максим Васильович		-5 400,00
Сидоренко Володимир Миколайович		-4 000,00</t>
  </si>
  <si>
    <t>Буравченко Ярослав Вікторович		-2 800,00
Буша Володимир Володимирович		-1 400,00
Задригун Іван Іванович		-3 600,00
Міщенко Анатолій Анатолійович		-4 200,00
Присада Максим Васильович		-3 000,00
Сидоренко Володимир Миколайович		-4 200,00</t>
  </si>
  <si>
    <t>Буравченко Ярослав Вікторович		-15 000,00
Задригун Іван Іванович		-15 000,00
Міщенко Анатолій Анатолійович		-9 200,00
Присада Максим Васильович		-15 000,00
Сидоренко Володимир Миколайович		-12 600,00</t>
  </si>
  <si>
    <t>* РМ</t>
  </si>
  <si>
    <t>Аренда квартиры с коммунальными платежами</t>
  </si>
  <si>
    <t>Бугаєць Я.С. ФОП - 89 266,24
Оплата аренды дом Глобино ул.Пушкина 42. (с 25.12.25 по 25.01.26) - 31 000,0; Оплата аренды дом Глобино пер. Степной 2 (с 03.01.26.по 03.02.26) - 10 000,0 (списывали 15 тыс, но согласовано только 10 тыс).; Оплата аренди житла Глобино ул. Набережная д.12 - 12 000,0; Оплата аренды дом Глобино пер. Степной 2 (с 03.01.26.по 03.02.26)  - доплата по согласованию от 14.01.26 - 5 000,0; Оплата комуналка (ноябрь) Глобино ул. Михайловская д.102 кв.16 - 1 137,0; Оплата комунальних послуг Глобино пер. Степной д.2 - 5 447,0; Оплата комунальные услуги Глобино ул. Набережная д.12 - 3 988,0; Коммунальные платежи жилья Глобино ул. Центральная д.6 кв.7 - 2 854,00; Доп.согласование - Хостел №2. Проживание бр.Плиточників 3 чел. С 09.01.26 по 18.01.26г. (200гр/сут) - 6 000,0; Доп.согласование - Хостел №3. Проживание бр.Латюк 8 чел. С 09.01.26 по 18.01.26 (150гр/сут) - 12 000,0; Оплата комуналки Глобино ул.Чайковского 25. (декабрь) - 5 400,0; Оплата жилья Глобино. Пер. Південний д.5  - 12 500,00; Оплата жилья Семеновка - 8 000,0; Оплата жилья Семеновка (хостел) 19.01.-25.01. - 7*8*150 = 8 400,0; Оплата жилья Глобино ул.Чайковского 25 с 23.01.-23.02 - 15 000,0; Оплата аренды Глобино. Ул. Центральная д.6 кв7 (21.01.-21.02) - 7 000,0; Оплата аренды Глобино ул. Михайловская д.102 кв.16 (21.01.-21.02) - 15 000,0; Оплата хостел Глобино ул.Центральная д.50 с 19.01. по 25.01 4 чел. - как получилась сумма 5 400,0 непонятно. Согласованное кол-во = 3 чел по 200 грн. Списано =7*3*200 = 4 200,0; Оплата аренды Глобино Заводская 19 кв.2 (Крановщики) - 6 000,0; Оплата комунальные услуги Глобино ул. Темерязева д.15 - 5 400,0</t>
  </si>
  <si>
    <t>Бугаєць Я.С. ФОП - 118 800,0; Аренда жилья Глобино ул. Набережная д.12 - 12 000,0; Оплата аренды Глобино ул.Пушкина д.42 с 25.01. по 25.02. - 31 000,0; Оплата жилья Глобино Ул. Темерязева д.15 с 01.02.26г.- 01.03.26г. - 10 000,0; Оплата жилья Глобино Ул. Первомайская д.27 с 01.02.26 по 10.02.26г. - 3 000,0; Оплата жилья Глобино ул.Пушкина 40 с 01.02.-01.03.- 31 000,0; Аренда жилья Глобино ул.Первомайская 27(крановой РДК) - 19.01 по 31.01.26 - 13 дн * 300 = 3 900,0; Оплата хостел Глобино ул.Центральная д.50    (2 человек) с 26.01.26. по 11.02.26г.; 1 чел с 26.01-31.01 - 7 200,0; Оплата аренды жилья Глобино Заводская д.19 кв.2 с 01.02.-01.03.26г. 6 000,0 (по расчету списано = 28 * 2 * 100 = 5 600 (перелимит 400 грн); Оплата аренды жилья Глобино пер. Степной д.2  с 03.02. по 03.03.26г. - 15 000,0; Оплата комуналка Глобино ул.Набережная 12 (январь) - 4 093,0; Оплата комуналки Глобино пер. Степной д.2 январь - 6 920,00; Оплата комуналки Глобино ул. Центральная д.6 кв.7 январь - 3 198,00; Оплата жилья крановой СКГ г.Глобино ул.Первомайская д.27 с 10.02.по 20.02. - 3 000,0; Оплата жилья Глобино ул.Центральная д.50 (хостел) 2чел.(бр.Плиточников) с 17.02.-22.02.26 =200*2*6 = 2 400,0; Оплата хостел Семеновка (расшифровка во вложении) = 15 750,0; Оплата жилья Глобино ул.Центральная д.6 кв.7 с 21.02.26 по 21.03.26 - 7 000,0; Оплата комунальных услуг (за январь) г.Глобино ул.Чайкоаского д.25 - 7 571,0; Оплата комунальных услуг Глобино ул.Темерязева д.15 (январь) - 4 175,0; Оплата жилья Глобино ул.Чайковского д.25 с 23.02.26 по 23.03.26  - 15 000,0; Оплата жилья Глобино ул.Михайловская д.102 кв.16 с 21.02.26г.-21.03.26г. - 15 000,0; Оплата жилья Глобино пер. Пивдневый д.5 - 15 000,0; Оплата жилья Глобино ул.Первомайская 27 крановщик СКГ с 20.02.26г. По 02.03.26г. - 3 000,00; Оплата жилья (хостел)Глобино ул.Центральная д.50 (2чел. С 23.02.26 по 01.03.26г.) - 2 800,0</t>
  </si>
  <si>
    <t>Бугаєць Я.С. ФОП - 123 200,0; Оплата жилья Глобино ул.Набережная д.12  (списали 2 раза в феврале. Одна сумма за март) - 12 000,0; Оплата жилья Глобино ул.Пушкина д.40 (с 01.03.26г.- 01.04.26г.) - 30 000,0; Оплата жилья Глобино ул.Пушкина д.42 (с 25.02.26г.- 25.03.26г.) - 30 000,0; Оплата комуналки г.Глобино ул.Центральная д.6 кв.7 - 2 700,0; Оплата жилья г.Глобино пер. Степной д.2 с 03.03.- по 03.04. - 15 000,00; Оплата жилья г.Глобино ул.Темерязева д.15 с 01.03. по 01.04. - 10 000,0; Оплата жилья г.Глобино ул.Первомайская д.27 с 02.03. по 12.03. Крановщик СКГ - 3 000,0; оплата жилья Глобино ул.Первомайская д.27 (крановщик РДК) с 12.03.26г. по 22.03.26г. - 3 000,0; оплата жилья Глобино ул.Центральная д.6 кв.7 с 21.03.26 по 21.04.26г. - 7 000,0; Оплата комуналки г.Глобино ул.Темерязева д.15 - 5 087,0; Оплата комуналки г.Глобино ул. Набережная д.12 - 4 066,0; Оплата жилья г.Глобино ул. Заводская д.19 кв.2 с 01.03. по 01.04. - 6 000,0; Оплата жилья г.Глобино ул. Чайковского д.25 с 23.03. по 23.04. - 15 000,0; Оплата жилья г.Глобино ул.Михайловская д.102 кв.16 - 15 000,0; Оплата жилья г.Глобино ул.Пушкина 42 (апрель) - 30 000,0; Оплата комуналки .Глобино ул. Чайковского д.25 (февраль) - 8 584,0; Оплата комуналки Глобино ул. Михайловская д.102 кв. 16 - 2 398,0</t>
  </si>
  <si>
    <t>Бугаєць Я.С. ФОП - 136 400,0; оплата жилья г.Глобино ул.Пушкина д.40 (апрель) - 30 000,0; Оплата жилья г.Глобино ул.Первомайская 27 (крановщик СКГ) 22.03. - 02.04. - 3 000,0; оплата жилья г.Глобино пер.Південний д.5 (по 15.03.26р.) - 15 000,0; оплата аренды жилья г.Глобино ул.Промыслова д.14 кв.24 ( с 01.04.26г. -по 01.05.26г.) - 15 000,0; оплата жилья г.Глобино ул.Темерязева д.15 (с 01.04. по 01.05) - 10 000,0; оплата жилья г.Глобино Заводская 19 кв.2 (с 01.04. по 01.05) Крановые - 6 000,0; Оплата жилья г.Глобино ул.Первомайская 27 (крановщик СКГ) (с 02.04. по 12.04.) - 3 000,0; оплата жилья г.Глобино ул.Набережная д.12 (с 04.04. по 04.05)  - 12 000,0; Оплата комунальных услуг г.Глобино ул. Чайковского д.25 (март) - 7 780,0; Оплата жилья г. Глобино ул.Центральная д.6 кв7 с21.04. по 21.05.-7000; Оплата жилья г. Глобино ул. Михайловская д.102 кв.16 с 21.04. по 21.05.-15 000,0; Оплата жилья г. Глобино ул.Первомайская 27 Крановщик СКГ с 12.04. по 22.04. - 3 000,0; Оплата комунальных услуг г. Глобино ул.Центральная д.6 кв7 (март) - 2 640,0; Оплата комунальных услуг г. Глобино ул.Набережная д.12 (март) - 4 066,0; Оплата комунальных услуг г. Глобино ул. Михайловская д.102 кв.16 (март) - 2 286,00; Оплата комунальных услуг г. Глобино ул. Темерязева д.15 (март) - 4 120,00; Оплата квартиры с 15.03. по 15.04 Олексюка (г.Глобино ул.Пивденный д5)  - 15 000,0; Оплата жилья крановщик СКГ (с 22.04. по 02.05.) - 3 000,0; Оплата комунальных услуг г.Глобино пер.Степной д.2 (март) - 2 035,0</t>
  </si>
  <si>
    <t>Бугаєць Я.С. ФОП - 132 000,00; Оплата жильня г.Глобино ул.Набережная д.12 - 12 000,0; Оплата жильня г.Глобино ул.Темерязева д.15 - 10 000,0; Оплата жилья г.Глобино ул. Чайковского д.25 (с 23.04. по 23.05.26) - 15 000,0; оплата жилья г.Глобино  ул.Первомайская 27 (Крановой РДК с 02.05.26 по 12.05.26) - 3 000,0; оплата жилья г.Глобино ул.Пушкина д.40 с 25.04.26 по 25.05.26 - 30 000,0; оплата жилья г.Глобино ул.Пушкина д.42 с 25.04.26 по 25.05.26 - 30 000,0; оплата жилья г.Глобино ул.Промыслова д.14 кв.24 с 01.06.26 по 01.06.26 - 15 000,0; оплата жилья г.Глобино Заводская 19 кв.2 с 01.05.26 по 01.06.26г. - 2 чел * 30 * 100 = 6 000,0; комунальные г.Глобино ул.Темерязева д.15 апрель - 3 710,0; комунальные г.Глобино ул.Набережная  д.12 апрель - 2 570,0; комунальные г.Глобино ул.Центральная  д.6 кв.7 апрель - 978,0; комунальные г.Глобино ул.Чайковского  д.25 апрель - 2 602,0</t>
  </si>
  <si>
    <t>Бугаєць Я.С. ФОП - 70 600,0; Оплата аренды квартиры (м. Глобино вул. Темирязева, 15 - 10 000,00(Снитко); Оплата аренды квартиры  Глобино. Ул. Центральная д.6 кв7 - 10000(Снитко); Оплата аренды квартиры крановщик СКГ 63/100 - 9 000,0; Оренда хостелу №2 (бюджет 50 000,0 - 19 200 = остаток 30 800,0); Оренда квартири ІТР Глобино ул.Пушкина д.44 - 30 000,0; Оренда квартири Глобино ул. Михайловская д.102 кв.16- 15 000,0; Оренда квартири Глобино ул. Набережная д.12  - 12 000,0; Оренда квартири  Глобино Заводская 19 кв.2 с 01.06.2026 по 14.06.2026 - 2 человека с 15.06.2026 по 01.07.2026 - 3 человека - 7 500,0; Оплата жилья (бр.Маляров) с 19.03.по 28.03 (31ч/сут) - 7 000,0; Компенсация за топливо бр.Коханов 3чел*11дн.*100грн.=3300грн. Враховано замість оренди квартири; Компенсация Коханов бензин (Вместо аренды квартиры) 5чел.х4дн+2чел.х4дн х 100грн. - 2 800,0; Оплата проживания в Хостел №2 с 03.04.26 по 10.05.26 (60чел/дней по 200грн.) - 12 000,0; Оплата оренди квартир - 75 000,0; Аренда хостела №2 Олексюк - 9 000,0</t>
  </si>
  <si>
    <t>Транспортные затраты производственного персонала</t>
  </si>
  <si>
    <t>Проживание в гостинице бр. Латюк (чек) - 3 500,0; Компенсация за дорогу бр.Павленко  5 чел (Павленко В.Ф., Рыбкин А.С., Будник Е.К., Черненко Д.В.; Чернецкий А.Л.) - 5 *500 = 2 500,0</t>
  </si>
  <si>
    <t>Приезд бр. Поляцковой (компенсация топлива по доставке бригады монтажников трубопроводов по чекам) - 2 749,0</t>
  </si>
  <si>
    <t>Приезд бр.Юсупова 6 чел *500 = 3 000,0; Приїзд  бр.Журавля 2 чел - приезд/уезд  4 *500 = 2 000,0</t>
  </si>
  <si>
    <t>Разрешительная документация</t>
  </si>
  <si>
    <t xml:space="preserve">Представительские затраты </t>
  </si>
  <si>
    <t>ЗС - 2 300,0; ужин - 5 000,0</t>
  </si>
  <si>
    <t>Москалев - 150 000,0; Глобино 2" Виски Кадиков " - 2 200,0</t>
  </si>
  <si>
    <t>ТМЦ - 1 104 493,00; Москалев - 100 000,0; ужин - 4 500,0</t>
  </si>
  <si>
    <t>Эллойз - 2 900,0; Москалев - 100 000,0; ужин Москалев - 10 800,0; виски Технадзор - 2 400,0</t>
  </si>
  <si>
    <t>Попов</t>
  </si>
  <si>
    <t>* по Ф1</t>
  </si>
  <si>
    <t>Дополнительные  расходы</t>
  </si>
  <si>
    <t>Расход от ивест. Деятельности (ОС)</t>
  </si>
  <si>
    <t>покупка 7 вишок - 124 000,0; Гайковерти - 21 894,04 + 5 731,20</t>
  </si>
  <si>
    <t>Гайковерт ОС - 5 473,51</t>
  </si>
  <si>
    <t>Мотопомпа с Авроры.Стоянки</t>
  </si>
  <si>
    <t>Маржинальный доход, грн</t>
  </si>
  <si>
    <t>Маржинальный доход, %</t>
  </si>
  <si>
    <t>Общепроизводственные затраты</t>
  </si>
  <si>
    <t>Благоустройство офиса</t>
  </si>
  <si>
    <t>Хозтовары и материалы</t>
  </si>
  <si>
    <t>Бытовая химия, Хоз товары (чеки); Стаканы - 30</t>
  </si>
  <si>
    <t>Кофе, чай, хоз.товары</t>
  </si>
  <si>
    <t>Кофе, чай - 528,0</t>
  </si>
  <si>
    <t>ИТ расходы</t>
  </si>
  <si>
    <t>Евронет ПП - 1 100,0</t>
  </si>
  <si>
    <t>Евронет ПП</t>
  </si>
  <si>
    <t>Питьевая вода</t>
  </si>
  <si>
    <t>Охрана офиса и пожарная сигнализация</t>
  </si>
  <si>
    <t>Курьерские и почтовые</t>
  </si>
  <si>
    <t>Канцтовары</t>
  </si>
  <si>
    <t>Маркетинговые затраты</t>
  </si>
  <si>
    <t>Реклама</t>
  </si>
  <si>
    <t>Прочие маркетинговые затраты</t>
  </si>
  <si>
    <t>Административные затраты</t>
  </si>
  <si>
    <t>ЗП управленческого персонала</t>
  </si>
  <si>
    <t>Дігтяр Ярослав Олександрович	18 865,00
Жердецький Віктор Володимирович	18 865,00
Федорова Анна Олександрівна	21 175,00</t>
  </si>
  <si>
    <t>Дігтяр Ярослав Олександрович	21 945,00
Жердецький Віктор Володимирович	21 945,00
Лезновський Андрій Володимирович	21 945,00
Федорова Анна Олександрівна	21 270,99</t>
  </si>
  <si>
    <t>Дігтяр Ярослав Олександрович
Жердецький Віктор Володимирович
Лезновський Андрій Володимирович
Федорова Анна Олександрівна</t>
  </si>
  <si>
    <t>Дігтяр Ярослав Олександрович	18 865,00
Лезновський Андрій Володимирович	21 945,00
Федорова Анна Олександрівна	20 405,00</t>
  </si>
  <si>
    <t xml:space="preserve">Дігтяр Ярослав Олександрович	
Лезновський Андрій Володимирович
Федорова Анна Олександрівна	</t>
  </si>
  <si>
    <t>Дігтяр Ярослав Олександрович
Лезновський Андрій Володимирович
Федорова Анна Олександрівна</t>
  </si>
  <si>
    <t xml:space="preserve">Начисления на управленчискую зарплату </t>
  </si>
  <si>
    <t>Удержание с зарплаты управленческого персонала</t>
  </si>
  <si>
    <t xml:space="preserve">ЗП РМ </t>
  </si>
  <si>
    <t>Старіков Сергій Вікторович
Шевченко Євген Анатолійович</t>
  </si>
  <si>
    <t>Старіков Сергій Вікторович	33 880,00
Шевченко Євген Анатолійович	28 105,00</t>
  </si>
  <si>
    <t>Старіков Сергій Вікторович	
Шевченко Євген Анатолійович</t>
  </si>
  <si>
    <t>Удержание с зарплаты РМ</t>
  </si>
  <si>
    <t>Начисления на зарплату PM</t>
  </si>
  <si>
    <t>Премия управленческого персонала</t>
  </si>
  <si>
    <t>Телекомуникационные услуги</t>
  </si>
  <si>
    <t>Транспортные затраты управленческого персонала</t>
  </si>
  <si>
    <t>Стариков - 10 306,88</t>
  </si>
  <si>
    <t>Стариков - 11 412,19</t>
  </si>
  <si>
    <t>Стариков - 15 613,0</t>
  </si>
  <si>
    <t>Шевченко - 4 510,02; Стариков - 21 955,7</t>
  </si>
  <si>
    <t>Стариков,Шевченко</t>
  </si>
  <si>
    <t>Аренда офиса с коммунальными платежами</t>
  </si>
  <si>
    <t>Затраты на коммандировки управленческого персонала</t>
  </si>
  <si>
    <t>Старіков Сергій Вікторович		-1 800,00
Шевченко Євген Анатолійович		-3 000,00</t>
  </si>
  <si>
    <t>Старіков Сергій Вікторович		-1 800,00
Шевченко Євген Анатолійович		-5 600,00</t>
  </si>
  <si>
    <t>Старіков Сергій Вікторович		-1 800,00
Шевченко Євген Анатолійович		-5 400,00</t>
  </si>
  <si>
    <t>Старіков Сергій Вікторович		-2 400,00
Шевченко Євген Анатолійович		-5 000,00
ТЕЛЯТНИК РОСТИСЛАВ ОЛЕГОВИЧ ФОП - 2 290,0(Воронцов, Шкурат проживание Кременчуг)</t>
  </si>
  <si>
    <t>Гриценко Сергій Миколайович		-600,00
Старіков Сергій Вікторович		-1 800,00
Шевченко Євген Анатолійович		-4 200,00</t>
  </si>
  <si>
    <t>Старіков Сергій Вікторович		-3 600,00
Шевченко Євген Анатолійович		-10 600,00</t>
  </si>
  <si>
    <t>Юридические услуги</t>
  </si>
  <si>
    <t>Услуги</t>
  </si>
  <si>
    <t>Уборка - 6 000,0; Глобинське КП (вывоз мусора) - 3 877,86; Трофімов Євген Аркадійович ФОП - 28 952,0</t>
  </si>
  <si>
    <t>Уборка - 6 000,0; Глобинське КП - 3 620,82; Трофімов Євген Аркадійович ФОП - 24 458,0 + 8 560,0</t>
  </si>
  <si>
    <t>Уборка - 6 000,0; Трофімов Євген Аркадійович ФОП - 28 952,0</t>
  </si>
  <si>
    <t>Уборка - 6 000,0; Трофімов Євген Аркадійович ФОП - 7 980,0</t>
  </si>
  <si>
    <t xml:space="preserve">Уборка - 6 000,0; </t>
  </si>
  <si>
    <t xml:space="preserve">Трофімов Євген Аркадійович ФОП(биотуалеты) 2 мес май+июнь - 57 904,0; Уборка - 6 000,0; </t>
  </si>
  <si>
    <t>Услуги банков</t>
  </si>
  <si>
    <t>%% за кредит в январе 2026 - 82 125,0; передача 1 000 000,0 на Кременчуг через Европочту - 0,5% - 5 000,0; передача 700 000,0 на Кременчуг через Европочту - 0,5% - 3 500,0</t>
  </si>
  <si>
    <t>%% за кредит в январе 2026 - 82 125,0; передача 700 000,0 на Кременчуг через Европочту - 0,5% - 3 500,0; передача 868 100,0 (388 100 ЗП ИТР; 480 000,0 подотчет), на Кременчуг через Европочту - 0,5% - 4 340,0</t>
  </si>
  <si>
    <t>%% за февраль - 19 977,0; передача 1 500 000,0 на Кременчуг через Европочту - 0,5% - 7 500,0; для выплаты заработных плат - 800 000,0 + РКО - 4 020 (0,5%)</t>
  </si>
  <si>
    <t>%% за использование кредита - 49 490,0; комиссия при передаче 500 000,0 на Кременчуг - 500 000,0 (0,5%); комиссия Европочты (0,5 %) передача 1 180 503,00 - 5 903,0; комиссия Европочты (0,5%) при передаче на Кременчуг 750 000,0</t>
  </si>
  <si>
    <t>%% за использование кредита - 22 339,0;Оплата за виконані роботи 840 000,0 + РКО 4 221,0; Передача в Кременчуг - 900 000,0 - комиссия 0,5% = 4 500,0</t>
  </si>
  <si>
    <t>%% за использование кредита - 25 825,0;ЗП ИТР Глобино-2 = 419 000,0 + РКО - 2 530,0 = 421 530,0; Комиссия Европочты за передачу 1 200 000,0 грн. (0,6%) = 7 200,0; Передача через Европочту = 962 653,0 (0,6%) = 5 776,0</t>
  </si>
  <si>
    <t>Затраты на обучение персонала</t>
  </si>
  <si>
    <t>СИСОЛЯТИН АРТЕМ ІГОРОВИЧ ФОП - 62 250,0</t>
  </si>
  <si>
    <t>СИСОЛЯТИН АРТЕМ ІГОРОВИЧ ФОП</t>
  </si>
  <si>
    <t>Затраты по корпоративной культуре</t>
  </si>
  <si>
    <t>8 марта - 3 чел * 5 000,0 = 15 000,0</t>
  </si>
  <si>
    <t>корп.культура - ДР Мищенко 5 000,0</t>
  </si>
  <si>
    <t>ДР Дигтяр Я - 5 000,0; ДР Стариков - 5 000,0</t>
  </si>
  <si>
    <t>ДР Шевченко - 5 000,0; Подарок Старикова С - 20 000,0</t>
  </si>
  <si>
    <t xml:space="preserve">Штраф/ мат помощь </t>
  </si>
  <si>
    <t>Витрати на чп Мусийченко</t>
  </si>
  <si>
    <t>Налоги и сборы</t>
  </si>
  <si>
    <t>НДС/ Прочие налоги</t>
  </si>
  <si>
    <t>Финансовая деятельность</t>
  </si>
  <si>
    <t xml:space="preserve">Финансовый доход </t>
  </si>
  <si>
    <t>Затраты на налог на прибыль</t>
  </si>
  <si>
    <t>Прибыль до вычета налогов</t>
  </si>
  <si>
    <t xml:space="preserve">Чистый доход </t>
  </si>
  <si>
    <t>Дивиденды</t>
  </si>
  <si>
    <t>Прибыль в распоряжении компании (нераспределенная прибыль), грн</t>
  </si>
  <si>
    <t>Рентабельность продукции, %</t>
  </si>
  <si>
    <t>Итого затрат</t>
  </si>
  <si>
    <t xml:space="preserve">Jgthfw ghb, </t>
  </si>
  <si>
    <t>CF</t>
  </si>
  <si>
    <t>Разница</t>
  </si>
  <si>
    <t xml:space="preserve">Опреац прибыль ( ЕБИДА) </t>
  </si>
  <si>
    <t xml:space="preserve">Амортизация </t>
  </si>
  <si>
    <t xml:space="preserve">ЕБИД </t>
  </si>
  <si>
    <t xml:space="preserve">Налоги </t>
  </si>
  <si>
    <t>Долг заказчика</t>
  </si>
  <si>
    <t xml:space="preserve">ФИН затраты %% банка , и свыои </t>
  </si>
  <si>
    <t>Налог 3%</t>
  </si>
  <si>
    <t xml:space="preserve">Чистая прибыль </t>
  </si>
  <si>
    <t>Зарплата ИТР + кладовщика + РМ</t>
  </si>
  <si>
    <t>Командировочные</t>
  </si>
  <si>
    <t>Возврат фин.помощи</t>
  </si>
  <si>
    <t>разница</t>
  </si>
  <si>
    <t>EBITDA</t>
  </si>
  <si>
    <t>EBITDA %</t>
  </si>
  <si>
    <t>АМОРТИЗАЦИЯ</t>
  </si>
  <si>
    <t xml:space="preserve">                             АМОРТИЗАЦИЯ</t>
  </si>
  <si>
    <t>EBIT/ Операционная прибыль, грн</t>
  </si>
  <si>
    <t>EBIT/ Операционная прибыль,, %</t>
  </si>
  <si>
    <t>Финансовые расходы  комиссии</t>
  </si>
  <si>
    <t>Финансовые расходы %%</t>
  </si>
  <si>
    <t>Курсовые разницы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</si>
</sst>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19]mmmm\ yyyy;@"/>
    <numFmt numFmtId="165" formatCode="_-* #,##0.00_₴_-;\-* #,##0.00_₴_-;_-* &quot;-&quot;??_₴_-;_-@_-"/>
    <numFmt numFmtId="166" formatCode="#,##0.0"/>
  </numFmts>
  <fonts count="41" x14ac:knownFonts="1">
    <font>
      <sz val="11"/>
      <color theme="1"/>
      <name val="Calibri"/>
      <family val="2"/>
      <scheme val="minor"/>
    </font>
    <font>
      <sz val="10"/>
      <name val="Tahoma"/>
      <family val="2"/>
      <charset val="204"/>
    </font>
    <font>
      <b/>
      <sz val="11"/>
      <color theme="1"/>
      <name val="Times New Roman"/>
      <family val="1"/>
      <charset val="204"/>
    </font>
    <font>
      <sz val="11"/>
      <color theme="1"/>
      <name val="Calibri"/>
      <family val="2"/>
      <scheme val="minor"/>
    </font>
    <font>
      <b/>
      <sz val="10"/>
      <color indexed="43"/>
      <name val="Times New Roman"/>
      <family val="1"/>
      <charset val="204"/>
    </font>
    <font>
      <b/>
      <sz val="10"/>
      <color indexed="18"/>
      <name val="Times New Roman"/>
      <family val="1"/>
      <charset val="204"/>
    </font>
    <font>
      <b/>
      <i/>
      <sz val="10"/>
      <color indexed="18"/>
      <name val="Times New Roman"/>
      <family val="1"/>
      <charset val="204"/>
    </font>
    <font>
      <b/>
      <sz val="8"/>
      <color indexed="18"/>
      <name val="Times New Roman"/>
      <family val="1"/>
      <charset val="204"/>
    </font>
    <font>
      <b/>
      <sz val="11"/>
      <color indexed="18"/>
      <name val="Times New Roman"/>
      <family val="1"/>
      <charset val="204"/>
    </font>
    <font>
      <b/>
      <sz val="10"/>
      <color indexed="18"/>
      <name val="Tahoma"/>
      <family val="2"/>
      <charset val="204"/>
    </font>
    <font>
      <sz val="11"/>
      <name val="Times New Roman"/>
      <family val="1"/>
      <charset val="204"/>
    </font>
    <font>
      <sz val="11"/>
      <color indexed="18"/>
      <name val="Times New Roman"/>
      <family val="1"/>
      <charset val="204"/>
    </font>
    <font>
      <sz val="11"/>
      <color theme="3" tint="-0.499984740745262"/>
      <name val="Times New Roman"/>
      <family val="1"/>
      <charset val="204"/>
    </font>
    <font>
      <b/>
      <i/>
      <sz val="9"/>
      <color theme="3" tint="-0.499984740745262"/>
      <name val="Times New Roman"/>
      <family val="1"/>
      <charset val="204"/>
    </font>
    <font>
      <b/>
      <sz val="11"/>
      <color rgb="FFFF0000"/>
      <name val="Times New Roman"/>
      <family val="1"/>
      <charset val="204"/>
    </font>
    <font>
      <sz val="9"/>
      <color theme="3" tint="-0.499984740745262"/>
      <name val="Times New Roman"/>
      <family val="1"/>
      <charset val="204"/>
    </font>
    <font>
      <sz val="9"/>
      <color rgb="FFFF0000"/>
      <name val="Times New Roman"/>
      <family val="1"/>
      <charset val="204"/>
    </font>
    <font>
      <sz val="9"/>
      <name val="Times New Roman"/>
      <family val="1"/>
      <charset val="204"/>
    </font>
    <font>
      <sz val="11"/>
      <color rgb="FFFF0000"/>
      <name val="Times New Roman"/>
      <family val="1"/>
      <charset val="204"/>
    </font>
    <font>
      <b/>
      <i/>
      <sz val="9"/>
      <color rgb="FFFF0000"/>
      <name val="Times New Roman"/>
      <family val="1"/>
      <charset val="204"/>
    </font>
    <font>
      <b/>
      <i/>
      <sz val="9"/>
      <color indexed="18"/>
      <name val="Times New Roman"/>
      <family val="1"/>
      <charset val="204"/>
    </font>
    <font>
      <b/>
      <sz val="11"/>
      <color theme="4" tint="-0.499984740745262"/>
      <name val="Times New Roman"/>
      <family val="1"/>
      <charset val="204"/>
    </font>
    <font>
      <b/>
      <i/>
      <sz val="9"/>
      <color indexed="18"/>
      <name val="Tahoma"/>
      <family val="2"/>
      <charset val="204"/>
    </font>
    <font>
      <b/>
      <sz val="10"/>
      <color rgb="FFFF0000"/>
      <name val="Tahoma"/>
      <family val="2"/>
      <charset val="204"/>
    </font>
    <font>
      <sz val="11"/>
      <color indexed="8"/>
      <name val="Times New Roman"/>
      <family val="1"/>
      <charset val="204"/>
    </font>
    <font>
      <b/>
      <sz val="9"/>
      <color rgb="FFFF0000"/>
      <name val="Times New Roman"/>
      <family val="1"/>
      <charset val="204"/>
    </font>
    <font>
      <sz val="11"/>
      <color theme="1"/>
      <name val="Times New Roman"/>
      <family val="1"/>
      <charset val="204"/>
    </font>
    <font>
      <sz val="9"/>
      <color theme="0"/>
      <name val="Times New Roman"/>
      <family val="1"/>
      <charset val="204"/>
    </font>
    <font>
      <b/>
      <sz val="11"/>
      <color indexed="56"/>
      <name val="Times New Roman"/>
      <family val="1"/>
      <charset val="204"/>
    </font>
    <font>
      <b/>
      <i/>
      <sz val="9"/>
      <color indexed="56"/>
      <name val="Times New Roman"/>
      <family val="1"/>
      <charset val="204"/>
    </font>
    <font>
      <b/>
      <i/>
      <sz val="9"/>
      <name val="Times New Roman"/>
      <family val="1"/>
      <charset val="204"/>
    </font>
    <font>
      <sz val="9"/>
      <color rgb="FFFF0000"/>
      <name val="Tahoma"/>
      <family val="2"/>
      <charset val="204"/>
    </font>
    <font>
      <b/>
      <i/>
      <sz val="9"/>
      <name val="Tahoma"/>
      <family val="2"/>
      <charset val="204"/>
    </font>
    <font>
      <sz val="10"/>
      <color theme="0"/>
      <name val="Tahoma"/>
      <family val="2"/>
      <charset val="204"/>
    </font>
    <font>
      <sz val="9"/>
      <color theme="0"/>
      <name val="Tahoma"/>
      <family val="2"/>
      <charset val="204"/>
    </font>
    <font>
      <sz val="10"/>
      <color rgb="FFFF0000"/>
      <name val="Tahoma"/>
      <family val="2"/>
      <charset val="204"/>
    </font>
    <font>
      <b/>
      <sz val="10"/>
      <name val="Tahoma"/>
      <family val="2"/>
      <charset val="204"/>
    </font>
    <font>
      <b/>
      <sz val="10"/>
      <color theme="0"/>
      <name val="Tahoma"/>
      <family val="2"/>
      <charset val="204"/>
    </font>
    <font>
      <sz val="9"/>
      <name val="Tahoma"/>
      <family val="2"/>
      <charset val="204"/>
    </font>
    <font>
      <b/>
      <sz val="11"/>
      <name val="Tahoma"/>
      <family val="2"/>
      <charset val="204"/>
    </font>
    <font>
      <sz val="10"/>
      <color rgb="FF7030A0"/>
      <name val="Tahoma"/>
      <family val="2"/>
      <charset val="204"/>
    </font>
  </fonts>
  <fills count="15">
    <fill>
      <patternFill patternType="none"/>
    </fill>
    <fill>
      <patternFill patternType="gray125"/>
    </fill>
    <fill>
      <patternFill patternType="solid">
        <fgColor theme="3"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rgb="FFCCFF99"/>
        <bgColor indexed="64"/>
      </patternFill>
    </fill>
    <fill>
      <patternFill patternType="solid">
        <fgColor theme="0" tint="-0.249977111117893"/>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style="medium">
        <color indexed="64"/>
      </right>
      <top/>
      <bottom/>
      <diagonal/>
    </border>
    <border>
      <left style="medium">
        <color indexed="64"/>
      </left>
      <right style="medium">
        <color indexed="64"/>
      </right>
      <top/>
      <bottom style="thin">
        <color auto="1"/>
      </bottom>
      <diagonal/>
    </border>
    <border>
      <left style="medium">
        <color indexed="64"/>
      </left>
      <right/>
      <top/>
      <bottom style="thin">
        <color indexed="64"/>
      </bottom>
      <diagonal/>
    </border>
    <border>
      <left/>
      <right style="medium">
        <color auto="1"/>
      </right>
      <top/>
      <bottom style="thin">
        <color auto="1"/>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top/>
      <bottom style="thin">
        <color indexed="64"/>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medium">
        <color indexed="64"/>
      </right>
      <top/>
      <bottom/>
      <diagonal/>
    </border>
    <border>
      <left style="medium">
        <color auto="1"/>
      </left>
      <right/>
      <top/>
      <bottom/>
      <diagonal/>
    </border>
  </borders>
  <cellStyleXfs count="4">
    <xf numFmtId="0" fontId="0" fillId="0" borderId="0"/>
    <xf numFmtId="9" fontId="3" fillId="0" borderId="0" applyFont="0" applyFill="0" applyBorder="0" applyAlignment="0" applyProtection="0"/>
    <xf numFmtId="0" fontId="1" fillId="0" borderId="0"/>
    <xf numFmtId="165" fontId="3" fillId="0" borderId="0" applyFont="0" applyFill="0" applyBorder="0" applyAlignment="0" applyProtection="0"/>
  </cellStyleXfs>
  <cellXfs count="349">
    <xf numFmtId="0" fontId="0" fillId="0" borderId="0" xfId="0"/>
    <xf numFmtId="0" fontId="1" fillId="0" borderId="0" xfId="2" applyAlignment="1">
      <alignment vertical="center"/>
    </xf>
    <xf numFmtId="4" fontId="1" fillId="0" borderId="0" xfId="2" applyNumberFormat="1" applyAlignment="1">
      <alignment horizontal="center" vertical="center"/>
    </xf>
    <xf numFmtId="0" fontId="1" fillId="0" borderId="0" xfId="2"/>
    <xf numFmtId="0" fontId="2" fillId="2" borderId="1"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2" fillId="2" borderId="3" xfId="2"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49" fontId="2" fillId="2" borderId="3" xfId="0" applyNumberFormat="1" applyFont="1" applyFill="1" applyBorder="1" applyAlignment="1">
      <alignment horizontal="center" vertical="center"/>
    </xf>
    <xf numFmtId="0" fontId="2" fillId="3" borderId="4" xfId="2" applyFont="1" applyFill="1" applyBorder="1" applyAlignment="1">
      <alignment horizontal="center" vertical="center" wrapText="1"/>
    </xf>
    <xf numFmtId="164" fontId="2" fillId="4" borderId="1" xfId="0" applyNumberFormat="1" applyFont="1" applyFill="1" applyBorder="1" applyAlignment="1">
      <alignment horizontal="center" vertical="center"/>
    </xf>
    <xf numFmtId="164" fontId="2" fillId="4" borderId="2" xfId="0" applyNumberFormat="1" applyFont="1" applyFill="1" applyBorder="1" applyAlignment="1">
      <alignment horizontal="center" vertical="center"/>
    </xf>
    <xf numFmtId="164" fontId="2" fillId="4" borderId="3" xfId="0" applyNumberFormat="1" applyFont="1" applyFill="1" applyBorder="1" applyAlignment="1">
      <alignment horizontal="center" vertical="center"/>
    </xf>
    <xf numFmtId="164" fontId="2" fillId="5" borderId="1" xfId="0" applyNumberFormat="1" applyFont="1" applyFill="1" applyBorder="1" applyAlignment="1">
      <alignment horizontal="center" vertical="center"/>
    </xf>
    <xf numFmtId="164" fontId="2" fillId="5" borderId="2" xfId="0" applyNumberFormat="1" applyFont="1" applyFill="1" applyBorder="1" applyAlignment="1">
      <alignment horizontal="center" vertical="center"/>
    </xf>
    <xf numFmtId="164" fontId="2" fillId="5" borderId="3" xfId="0" applyNumberFormat="1" applyFont="1" applyFill="1" applyBorder="1" applyAlignment="1">
      <alignment horizontal="center" vertical="center"/>
    </xf>
    <xf numFmtId="49" fontId="2" fillId="6" borderId="1" xfId="0" applyNumberFormat="1"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6" borderId="3" xfId="0" applyNumberFormat="1" applyFont="1" applyFill="1" applyBorder="1" applyAlignment="1">
      <alignment horizontal="center" vertical="center"/>
    </xf>
    <xf numFmtId="49" fontId="2" fillId="2" borderId="5" xfId="0" applyNumberFormat="1" applyFont="1" applyFill="1" applyBorder="1" applyAlignment="1">
      <alignment horizontal="center" vertical="center"/>
    </xf>
    <xf numFmtId="49" fontId="2" fillId="2" borderId="6" xfId="0" applyNumberFormat="1" applyFont="1" applyFill="1" applyBorder="1" applyAlignment="1">
      <alignment horizontal="center" vertical="center"/>
    </xf>
    <xf numFmtId="49" fontId="2" fillId="2" borderId="7" xfId="0" applyNumberFormat="1" applyFont="1" applyFill="1" applyBorder="1" applyAlignment="1">
      <alignment horizontal="center" vertical="center"/>
    </xf>
    <xf numFmtId="0" fontId="2" fillId="3" borderId="8" xfId="0" applyFont="1" applyFill="1" applyBorder="1" applyAlignment="1">
      <alignment horizontal="center" vertical="center"/>
    </xf>
    <xf numFmtId="164" fontId="2" fillId="4" borderId="5" xfId="0" applyNumberFormat="1" applyFont="1" applyFill="1" applyBorder="1" applyAlignment="1">
      <alignment horizontal="center" vertical="center"/>
    </xf>
    <xf numFmtId="164" fontId="2" fillId="4" borderId="6" xfId="0" applyNumberFormat="1" applyFont="1" applyFill="1" applyBorder="1" applyAlignment="1">
      <alignment horizontal="center" vertical="center"/>
    </xf>
    <xf numFmtId="164" fontId="2" fillId="4" borderId="7" xfId="0" applyNumberFormat="1" applyFont="1" applyFill="1" applyBorder="1" applyAlignment="1">
      <alignment horizontal="center" vertical="center"/>
    </xf>
    <xf numFmtId="164" fontId="2" fillId="5" borderId="5" xfId="0" applyNumberFormat="1" applyFont="1" applyFill="1" applyBorder="1" applyAlignment="1">
      <alignment horizontal="center" vertical="center"/>
    </xf>
    <xf numFmtId="164" fontId="2" fillId="5" borderId="6" xfId="0" applyNumberFormat="1" applyFont="1" applyFill="1" applyBorder="1" applyAlignment="1">
      <alignment horizontal="center" vertical="center"/>
    </xf>
    <xf numFmtId="164" fontId="2" fillId="5" borderId="7" xfId="0" applyNumberFormat="1" applyFont="1" applyFill="1" applyBorder="1" applyAlignment="1">
      <alignment horizontal="center" vertical="center"/>
    </xf>
    <xf numFmtId="49" fontId="2" fillId="6" borderId="5" xfId="0" applyNumberFormat="1" applyFont="1" applyFill="1" applyBorder="1" applyAlignment="1">
      <alignment horizontal="center" vertical="center"/>
    </xf>
    <xf numFmtId="49" fontId="2" fillId="6" borderId="6" xfId="0" applyNumberFormat="1" applyFont="1" applyFill="1" applyBorder="1" applyAlignment="1">
      <alignment horizontal="center" vertical="center"/>
    </xf>
    <xf numFmtId="49" fontId="2" fillId="6" borderId="7" xfId="0" applyNumberFormat="1" applyFont="1" applyFill="1" applyBorder="1" applyAlignment="1">
      <alignment horizontal="center" vertical="center"/>
    </xf>
    <xf numFmtId="0" fontId="4" fillId="7" borderId="9" xfId="2" applyFont="1" applyFill="1" applyBorder="1" applyAlignment="1">
      <alignment horizontal="center" vertical="center"/>
    </xf>
    <xf numFmtId="0" fontId="5" fillId="7" borderId="9" xfId="2" applyFont="1" applyFill="1" applyBorder="1" applyAlignment="1">
      <alignment horizontal="center" vertical="center" wrapText="1"/>
    </xf>
    <xf numFmtId="0" fontId="5" fillId="8" borderId="10" xfId="2" applyFont="1" applyFill="1" applyBorder="1" applyAlignment="1">
      <alignment horizontal="center" vertical="center" wrapText="1"/>
    </xf>
    <xf numFmtId="0" fontId="5" fillId="8" borderId="9" xfId="2" applyFont="1" applyFill="1" applyBorder="1" applyAlignment="1">
      <alignment horizontal="center" vertical="center" wrapText="1"/>
    </xf>
    <xf numFmtId="0" fontId="7" fillId="7" borderId="9" xfId="2" applyFont="1" applyFill="1" applyBorder="1" applyAlignment="1">
      <alignment horizontal="center" vertical="center" wrapText="1"/>
    </xf>
    <xf numFmtId="0" fontId="5" fillId="7" borderId="10" xfId="2" applyFont="1" applyFill="1" applyBorder="1" applyAlignment="1">
      <alignment horizontal="center" vertical="center" wrapText="1"/>
    </xf>
    <xf numFmtId="0" fontId="8" fillId="8" borderId="4" xfId="2" applyFont="1" applyFill="1" applyBorder="1" applyAlignment="1">
      <alignment horizontal="center" vertical="center"/>
    </xf>
    <xf numFmtId="0" fontId="8" fillId="8" borderId="9" xfId="2" applyFont="1" applyFill="1" applyBorder="1" applyAlignment="1">
      <alignment vertical="center"/>
    </xf>
    <xf numFmtId="4" fontId="8" fillId="8" borderId="10" xfId="2" applyNumberFormat="1" applyFont="1" applyFill="1" applyBorder="1" applyAlignment="1">
      <alignment horizontal="center" vertical="center"/>
    </xf>
    <xf numFmtId="4" fontId="8" fillId="8" borderId="9" xfId="2" applyNumberFormat="1" applyFont="1" applyFill="1" applyBorder="1" applyAlignment="1">
      <alignment horizontal="center" vertical="center"/>
    </xf>
    <xf numFmtId="4" fontId="8" fillId="8" borderId="11" xfId="2" applyNumberFormat="1" applyFont="1" applyFill="1" applyBorder="1" applyAlignment="1">
      <alignment horizontal="center" vertical="center"/>
    </xf>
    <xf numFmtId="4" fontId="9" fillId="8" borderId="0" xfId="2" applyNumberFormat="1" applyFont="1" applyFill="1" applyAlignment="1">
      <alignment horizontal="center" vertical="center"/>
    </xf>
    <xf numFmtId="4" fontId="9" fillId="8" borderId="0" xfId="2" applyNumberFormat="1" applyFont="1" applyFill="1"/>
    <xf numFmtId="0" fontId="9" fillId="8" borderId="0" xfId="2" applyFont="1" applyFill="1"/>
    <xf numFmtId="0" fontId="8" fillId="0" borderId="12" xfId="2" applyFont="1" applyBorder="1" applyAlignment="1">
      <alignment vertical="center"/>
    </xf>
    <xf numFmtId="0" fontId="10" fillId="0" borderId="13" xfId="2" applyFont="1" applyBorder="1" applyAlignment="1">
      <alignment vertical="center"/>
    </xf>
    <xf numFmtId="3" fontId="11" fillId="0" borderId="14" xfId="2" applyNumberFormat="1" applyFont="1" applyBorder="1" applyAlignment="1">
      <alignment horizontal="center" vertical="center"/>
    </xf>
    <xf numFmtId="3" fontId="11" fillId="0" borderId="13" xfId="2" applyNumberFormat="1" applyFont="1" applyBorder="1" applyAlignment="1">
      <alignment horizontal="center" vertical="center"/>
    </xf>
    <xf numFmtId="3" fontId="12" fillId="0" borderId="13" xfId="3" applyNumberFormat="1" applyFont="1" applyFill="1" applyBorder="1" applyAlignment="1">
      <alignment horizontal="center" vertical="center"/>
    </xf>
    <xf numFmtId="4" fontId="11" fillId="0" borderId="15" xfId="2" applyNumberFormat="1" applyFont="1" applyBorder="1" applyAlignment="1">
      <alignment horizontal="center" vertical="center"/>
    </xf>
    <xf numFmtId="4" fontId="11" fillId="0" borderId="13" xfId="2" applyNumberFormat="1" applyFont="1" applyBorder="1" applyAlignment="1">
      <alignment horizontal="center" vertical="center"/>
    </xf>
    <xf numFmtId="4" fontId="11" fillId="0" borderId="15" xfId="2" applyNumberFormat="1" applyFont="1" applyBorder="1" applyAlignment="1">
      <alignment horizontal="center" vertical="center" wrapText="1"/>
    </xf>
    <xf numFmtId="4" fontId="11" fillId="0" borderId="13" xfId="2" applyNumberFormat="1" applyFont="1" applyBorder="1" applyAlignment="1">
      <alignment horizontal="center" vertical="center" wrapText="1"/>
    </xf>
    <xf numFmtId="4" fontId="9" fillId="0" borderId="0" xfId="2" applyNumberFormat="1" applyFont="1" applyAlignment="1">
      <alignment horizontal="center" vertical="center"/>
    </xf>
    <xf numFmtId="0" fontId="9" fillId="0" borderId="0" xfId="2" applyFont="1"/>
    <xf numFmtId="0" fontId="10" fillId="0" borderId="16" xfId="2" applyFont="1" applyBorder="1" applyAlignment="1">
      <alignment horizontal="left" vertical="center"/>
    </xf>
    <xf numFmtId="3" fontId="11" fillId="0" borderId="17" xfId="2" applyNumberFormat="1" applyFont="1" applyBorder="1" applyAlignment="1">
      <alignment horizontal="center" vertical="center"/>
    </xf>
    <xf numFmtId="3" fontId="11" fillId="0" borderId="16" xfId="2" applyNumberFormat="1" applyFont="1" applyBorder="1" applyAlignment="1">
      <alignment horizontal="center" vertical="center"/>
    </xf>
    <xf numFmtId="4" fontId="11" fillId="0" borderId="18" xfId="2" applyNumberFormat="1" applyFont="1" applyBorder="1" applyAlignment="1">
      <alignment horizontal="center" vertical="center"/>
    </xf>
    <xf numFmtId="4" fontId="10" fillId="0" borderId="18" xfId="2" applyNumberFormat="1" applyFont="1" applyBorder="1" applyAlignment="1">
      <alignment horizontal="center" vertical="center"/>
    </xf>
    <xf numFmtId="4" fontId="11" fillId="0" borderId="12" xfId="2" applyNumberFormat="1" applyFont="1" applyBorder="1" applyAlignment="1">
      <alignment horizontal="center" vertical="center"/>
    </xf>
    <xf numFmtId="4" fontId="10" fillId="0" borderId="15" xfId="2" applyNumberFormat="1" applyFont="1" applyBorder="1" applyAlignment="1">
      <alignment horizontal="center" vertical="center" wrapText="1"/>
    </xf>
    <xf numFmtId="3" fontId="8" fillId="8" borderId="10" xfId="2" applyNumberFormat="1" applyFont="1" applyFill="1" applyBorder="1" applyAlignment="1">
      <alignment horizontal="center" vertical="center"/>
    </xf>
    <xf numFmtId="3" fontId="8" fillId="8" borderId="9" xfId="2" applyNumberFormat="1" applyFont="1" applyFill="1" applyBorder="1" applyAlignment="1">
      <alignment horizontal="center" vertical="center"/>
    </xf>
    <xf numFmtId="9" fontId="13" fillId="8" borderId="11" xfId="1" applyFont="1" applyFill="1" applyBorder="1" applyAlignment="1">
      <alignment horizontal="center" vertical="center"/>
    </xf>
    <xf numFmtId="4" fontId="14" fillId="8" borderId="11" xfId="2" applyNumberFormat="1" applyFont="1" applyFill="1" applyBorder="1" applyAlignment="1">
      <alignment horizontal="center" vertical="center"/>
    </xf>
    <xf numFmtId="9" fontId="13" fillId="8" borderId="9" xfId="1" applyFont="1" applyFill="1" applyBorder="1" applyAlignment="1">
      <alignment horizontal="center" vertical="center"/>
    </xf>
    <xf numFmtId="3" fontId="12" fillId="0" borderId="19" xfId="2" applyNumberFormat="1" applyFont="1" applyBorder="1" applyAlignment="1">
      <alignment horizontal="center" vertical="center"/>
    </xf>
    <xf numFmtId="3" fontId="12" fillId="0" borderId="14" xfId="2" applyNumberFormat="1" applyFont="1" applyBorder="1" applyAlignment="1">
      <alignment horizontal="center" vertical="center"/>
    </xf>
    <xf numFmtId="3" fontId="12" fillId="0" borderId="20" xfId="3" applyNumberFormat="1" applyFont="1" applyFill="1" applyBorder="1" applyAlignment="1">
      <alignment horizontal="center" vertical="center"/>
    </xf>
    <xf numFmtId="9" fontId="13" fillId="0" borderId="15" xfId="1" applyFont="1" applyFill="1" applyBorder="1" applyAlignment="1">
      <alignment horizontal="center" vertical="center"/>
    </xf>
    <xf numFmtId="3" fontId="11" fillId="0" borderId="15" xfId="2" applyNumberFormat="1" applyFont="1" applyBorder="1" applyAlignment="1">
      <alignment horizontal="center" vertical="center"/>
    </xf>
    <xf numFmtId="9" fontId="13" fillId="0" borderId="21" xfId="1" applyFont="1" applyFill="1" applyBorder="1" applyAlignment="1">
      <alignment horizontal="center" vertical="center"/>
    </xf>
    <xf numFmtId="9" fontId="12" fillId="0" borderId="15" xfId="1" applyFont="1" applyFill="1" applyBorder="1" applyAlignment="1">
      <alignment horizontal="center" vertical="center"/>
    </xf>
    <xf numFmtId="9" fontId="13" fillId="0" borderId="22" xfId="1" applyFont="1" applyFill="1" applyBorder="1" applyAlignment="1">
      <alignment horizontal="center" vertical="center"/>
    </xf>
    <xf numFmtId="3" fontId="11" fillId="0" borderId="23" xfId="2" applyNumberFormat="1" applyFont="1" applyBorder="1" applyAlignment="1">
      <alignment horizontal="center" vertical="center"/>
    </xf>
    <xf numFmtId="9" fontId="13" fillId="0" borderId="23" xfId="1" applyFont="1" applyFill="1" applyBorder="1" applyAlignment="1">
      <alignment horizontal="center" vertical="center"/>
    </xf>
    <xf numFmtId="9" fontId="12" fillId="0" borderId="23" xfId="1" applyFont="1" applyFill="1" applyBorder="1" applyAlignment="1">
      <alignment horizontal="center" vertical="center" wrapText="1"/>
    </xf>
    <xf numFmtId="9" fontId="15" fillId="0" borderId="15" xfId="1" applyFont="1" applyFill="1" applyBorder="1" applyAlignment="1">
      <alignment horizontal="center" vertical="center" wrapText="1"/>
    </xf>
    <xf numFmtId="9" fontId="13" fillId="0" borderId="13" xfId="1" applyFont="1" applyFill="1" applyBorder="1" applyAlignment="1">
      <alignment horizontal="center" vertical="center"/>
    </xf>
    <xf numFmtId="9" fontId="16" fillId="0" borderId="15" xfId="1" applyFont="1" applyFill="1" applyBorder="1" applyAlignment="1">
      <alignment horizontal="center" vertical="center"/>
    </xf>
    <xf numFmtId="0" fontId="10" fillId="0" borderId="20" xfId="2" applyFont="1" applyBorder="1" applyAlignment="1">
      <alignment vertical="center"/>
    </xf>
    <xf numFmtId="3" fontId="12" fillId="0" borderId="24" xfId="2" applyNumberFormat="1" applyFont="1" applyBorder="1" applyAlignment="1">
      <alignment horizontal="center" vertical="center"/>
    </xf>
    <xf numFmtId="9" fontId="17" fillId="0" borderId="15" xfId="1" applyFont="1" applyFill="1" applyBorder="1" applyAlignment="1">
      <alignment horizontal="center" vertical="center" wrapText="1"/>
    </xf>
    <xf numFmtId="3" fontId="12" fillId="0" borderId="25" xfId="2" applyNumberFormat="1" applyFont="1" applyBorder="1" applyAlignment="1">
      <alignment horizontal="center" vertical="center"/>
    </xf>
    <xf numFmtId="9" fontId="12" fillId="0" borderId="21" xfId="1" applyFont="1" applyFill="1" applyBorder="1" applyAlignment="1">
      <alignment horizontal="center" vertical="center"/>
    </xf>
    <xf numFmtId="0" fontId="10" fillId="0" borderId="16" xfId="2" applyFont="1" applyBorder="1" applyAlignment="1">
      <alignment vertical="center"/>
    </xf>
    <xf numFmtId="3" fontId="12" fillId="0" borderId="26" xfId="2" applyNumberFormat="1" applyFont="1" applyBorder="1" applyAlignment="1">
      <alignment horizontal="center" vertical="center"/>
    </xf>
    <xf numFmtId="0" fontId="10" fillId="0" borderId="27" xfId="2" applyFont="1" applyBorder="1" applyAlignment="1">
      <alignment vertical="center"/>
    </xf>
    <xf numFmtId="3" fontId="12" fillId="0" borderId="28" xfId="2" applyNumberFormat="1" applyFont="1" applyBorder="1" applyAlignment="1">
      <alignment horizontal="center" vertical="center"/>
    </xf>
    <xf numFmtId="3" fontId="12" fillId="0" borderId="29" xfId="2" applyNumberFormat="1" applyFont="1" applyBorder="1" applyAlignment="1">
      <alignment horizontal="center" vertical="center"/>
    </xf>
    <xf numFmtId="3" fontId="12" fillId="0" borderId="27" xfId="3" applyNumberFormat="1" applyFont="1" applyFill="1" applyBorder="1" applyAlignment="1">
      <alignment horizontal="center" vertical="center"/>
    </xf>
    <xf numFmtId="9" fontId="13" fillId="0" borderId="30" xfId="1" applyFont="1" applyFill="1" applyBorder="1" applyAlignment="1">
      <alignment horizontal="center" vertical="center"/>
    </xf>
    <xf numFmtId="4" fontId="11" fillId="0" borderId="8" xfId="2" applyNumberFormat="1" applyFont="1" applyBorder="1" applyAlignment="1">
      <alignment horizontal="center" vertical="center"/>
    </xf>
    <xf numFmtId="4" fontId="11" fillId="0" borderId="7" xfId="2" applyNumberFormat="1" applyFont="1" applyBorder="1" applyAlignment="1">
      <alignment horizontal="center" vertical="center"/>
    </xf>
    <xf numFmtId="3" fontId="11" fillId="0" borderId="7" xfId="2" applyNumberFormat="1" applyFont="1" applyBorder="1" applyAlignment="1">
      <alignment horizontal="center" vertical="center"/>
    </xf>
    <xf numFmtId="9" fontId="18" fillId="0" borderId="30" xfId="1" applyFont="1" applyFill="1" applyBorder="1" applyAlignment="1">
      <alignment horizontal="center" vertical="center"/>
    </xf>
    <xf numFmtId="9" fontId="13" fillId="0" borderId="8" xfId="1" applyFont="1" applyFill="1" applyBorder="1" applyAlignment="1">
      <alignment horizontal="center" vertical="center"/>
    </xf>
    <xf numFmtId="4" fontId="11" fillId="0" borderId="7" xfId="2" applyNumberFormat="1" applyFont="1" applyBorder="1" applyAlignment="1">
      <alignment horizontal="center" vertical="center" wrapText="1"/>
    </xf>
    <xf numFmtId="4" fontId="11" fillId="0" borderId="27" xfId="2" applyNumberFormat="1" applyFont="1" applyBorder="1" applyAlignment="1">
      <alignment horizontal="center" vertical="center"/>
    </xf>
    <xf numFmtId="4" fontId="11" fillId="0" borderId="30" xfId="2" applyNumberFormat="1" applyFont="1" applyBorder="1" applyAlignment="1">
      <alignment horizontal="center" vertical="center"/>
    </xf>
    <xf numFmtId="3" fontId="11" fillId="0" borderId="30" xfId="2" applyNumberFormat="1" applyFont="1" applyBorder="1" applyAlignment="1">
      <alignment horizontal="center" vertical="center"/>
    </xf>
    <xf numFmtId="9" fontId="12" fillId="0" borderId="30" xfId="1" applyFont="1" applyFill="1" applyBorder="1" applyAlignment="1">
      <alignment horizontal="center" vertical="center"/>
    </xf>
    <xf numFmtId="0" fontId="10" fillId="0" borderId="13" xfId="2" applyFont="1" applyBorder="1" applyAlignment="1">
      <alignment horizontal="left" vertical="center"/>
    </xf>
    <xf numFmtId="4" fontId="18" fillId="0" borderId="14" xfId="2" applyNumberFormat="1" applyFont="1" applyBorder="1" applyAlignment="1">
      <alignment horizontal="center" vertical="center"/>
    </xf>
    <xf numFmtId="4" fontId="18" fillId="0" borderId="13" xfId="2" applyNumberFormat="1" applyFont="1" applyBorder="1" applyAlignment="1">
      <alignment horizontal="center" vertical="center"/>
    </xf>
    <xf numFmtId="10" fontId="18" fillId="0" borderId="15" xfId="2" applyNumberFormat="1" applyFont="1" applyBorder="1" applyAlignment="1">
      <alignment horizontal="center" vertical="center"/>
    </xf>
    <xf numFmtId="10" fontId="19" fillId="0" borderId="15" xfId="2" applyNumberFormat="1" applyFont="1" applyBorder="1" applyAlignment="1">
      <alignment horizontal="center" vertical="center"/>
    </xf>
    <xf numFmtId="10" fontId="19" fillId="0" borderId="13" xfId="2" applyNumberFormat="1" applyFont="1" applyBorder="1" applyAlignment="1">
      <alignment horizontal="center" vertical="center"/>
    </xf>
    <xf numFmtId="0" fontId="8" fillId="8" borderId="20" xfId="2" applyFont="1" applyFill="1" applyBorder="1" applyAlignment="1">
      <alignment vertical="center"/>
    </xf>
    <xf numFmtId="4" fontId="8" fillId="8" borderId="24" xfId="2" applyNumberFormat="1" applyFont="1" applyFill="1" applyBorder="1" applyAlignment="1">
      <alignment horizontal="center" vertical="center"/>
    </xf>
    <xf numFmtId="4" fontId="8" fillId="8" borderId="20" xfId="2" applyNumberFormat="1" applyFont="1" applyFill="1" applyBorder="1" applyAlignment="1">
      <alignment horizontal="center" vertical="center"/>
    </xf>
    <xf numFmtId="4" fontId="20" fillId="8" borderId="20" xfId="2" applyNumberFormat="1" applyFont="1" applyFill="1" applyBorder="1" applyAlignment="1">
      <alignment horizontal="center" vertical="center"/>
    </xf>
    <xf numFmtId="4" fontId="14" fillId="8" borderId="20" xfId="2" applyNumberFormat="1" applyFont="1" applyFill="1" applyBorder="1" applyAlignment="1">
      <alignment horizontal="center" vertical="center"/>
    </xf>
    <xf numFmtId="0" fontId="10" fillId="0" borderId="20" xfId="2" applyFont="1" applyBorder="1" applyAlignment="1">
      <alignment horizontal="left" vertical="center"/>
    </xf>
    <xf numFmtId="4" fontId="12" fillId="0" borderId="24" xfId="2" applyNumberFormat="1" applyFont="1" applyBorder="1" applyAlignment="1">
      <alignment horizontal="center" vertical="center"/>
    </xf>
    <xf numFmtId="4" fontId="12" fillId="0" borderId="20" xfId="2" applyNumberFormat="1" applyFont="1" applyBorder="1" applyAlignment="1">
      <alignment horizontal="center" vertical="center"/>
    </xf>
    <xf numFmtId="0" fontId="13" fillId="0" borderId="21" xfId="2" applyFont="1" applyBorder="1" applyAlignment="1">
      <alignment horizontal="center" vertical="center"/>
    </xf>
    <xf numFmtId="0" fontId="12" fillId="0" borderId="21" xfId="2" applyFont="1" applyBorder="1" applyAlignment="1">
      <alignment horizontal="center" vertical="center"/>
    </xf>
    <xf numFmtId="0" fontId="21" fillId="0" borderId="8" xfId="0" applyFont="1" applyBorder="1" applyAlignment="1">
      <alignment horizontal="center" vertical="center" textRotation="90"/>
    </xf>
    <xf numFmtId="0" fontId="10" fillId="0" borderId="27" xfId="2" applyFont="1" applyBorder="1" applyAlignment="1">
      <alignment horizontal="left" vertical="center"/>
    </xf>
    <xf numFmtId="4" fontId="12" fillId="0" borderId="29" xfId="2" applyNumberFormat="1" applyFont="1" applyBorder="1" applyAlignment="1">
      <alignment horizontal="center" vertical="center"/>
    </xf>
    <xf numFmtId="4" fontId="12" fillId="0" borderId="27" xfId="2" applyNumberFormat="1" applyFont="1" applyBorder="1" applyAlignment="1">
      <alignment horizontal="center" vertical="center"/>
    </xf>
    <xf numFmtId="10" fontId="12" fillId="0" borderId="30" xfId="2" applyNumberFormat="1" applyFont="1" applyBorder="1" applyAlignment="1">
      <alignment horizontal="center" vertical="center"/>
    </xf>
    <xf numFmtId="10" fontId="13" fillId="0" borderId="30" xfId="2" applyNumberFormat="1" applyFont="1" applyBorder="1" applyAlignment="1">
      <alignment horizontal="center" vertical="center"/>
    </xf>
    <xf numFmtId="10" fontId="18" fillId="0" borderId="30" xfId="2" applyNumberFormat="1" applyFont="1" applyBorder="1" applyAlignment="1">
      <alignment horizontal="center" vertical="center"/>
    </xf>
    <xf numFmtId="10" fontId="13" fillId="0" borderId="12" xfId="2" applyNumberFormat="1" applyFont="1" applyBorder="1" applyAlignment="1">
      <alignment horizontal="center" vertical="center"/>
    </xf>
    <xf numFmtId="0" fontId="8" fillId="0" borderId="9" xfId="2" applyFont="1" applyBorder="1" applyAlignment="1">
      <alignment horizontal="center" vertical="center"/>
    </xf>
    <xf numFmtId="0" fontId="8" fillId="9" borderId="9" xfId="2" applyFont="1" applyFill="1" applyBorder="1" applyAlignment="1">
      <alignment vertical="center"/>
    </xf>
    <xf numFmtId="4" fontId="9" fillId="9" borderId="9" xfId="2" applyNumberFormat="1" applyFont="1" applyFill="1" applyBorder="1" applyAlignment="1">
      <alignment horizontal="center" vertical="center"/>
    </xf>
    <xf numFmtId="4" fontId="22" fillId="9" borderId="9" xfId="2" applyNumberFormat="1" applyFont="1" applyFill="1" applyBorder="1" applyAlignment="1">
      <alignment horizontal="center" vertical="center"/>
    </xf>
    <xf numFmtId="4" fontId="23" fillId="9" borderId="9" xfId="2" applyNumberFormat="1" applyFont="1" applyFill="1" applyBorder="1" applyAlignment="1">
      <alignment horizontal="center" vertical="center"/>
    </xf>
    <xf numFmtId="0" fontId="8" fillId="0" borderId="4" xfId="2" applyFont="1" applyBorder="1" applyAlignment="1">
      <alignment horizontal="center" vertical="center"/>
    </xf>
    <xf numFmtId="0" fontId="8" fillId="10" borderId="22" xfId="2" applyFont="1" applyFill="1" applyBorder="1" applyAlignment="1">
      <alignment vertical="center"/>
    </xf>
    <xf numFmtId="9" fontId="8" fillId="10" borderId="31" xfId="1" applyFont="1" applyFill="1" applyBorder="1" applyAlignment="1">
      <alignment horizontal="center" vertical="center"/>
    </xf>
    <xf numFmtId="9" fontId="8" fillId="10" borderId="22" xfId="1" applyFont="1" applyFill="1" applyBorder="1" applyAlignment="1">
      <alignment horizontal="center" vertical="center"/>
    </xf>
    <xf numFmtId="10" fontId="20" fillId="10" borderId="22" xfId="2" applyNumberFormat="1" applyFont="1" applyFill="1" applyBorder="1" applyAlignment="1">
      <alignment horizontal="center" vertical="center"/>
    </xf>
    <xf numFmtId="10" fontId="8" fillId="10" borderId="31" xfId="2" applyNumberFormat="1" applyFont="1" applyFill="1" applyBorder="1" applyAlignment="1">
      <alignment horizontal="center" vertical="center"/>
    </xf>
    <xf numFmtId="10" fontId="8" fillId="10" borderId="22" xfId="2" applyNumberFormat="1" applyFont="1" applyFill="1" applyBorder="1" applyAlignment="1">
      <alignment horizontal="center" vertical="center"/>
    </xf>
    <xf numFmtId="10" fontId="14" fillId="10" borderId="22" xfId="2" applyNumberFormat="1" applyFont="1" applyFill="1" applyBorder="1" applyAlignment="1">
      <alignment horizontal="center" vertical="center"/>
    </xf>
    <xf numFmtId="0" fontId="8" fillId="0" borderId="8" xfId="2" applyFont="1" applyBorder="1" applyAlignment="1">
      <alignment horizontal="center" vertical="center"/>
    </xf>
    <xf numFmtId="0" fontId="8" fillId="0" borderId="16" xfId="2" applyFont="1" applyBorder="1" applyAlignment="1">
      <alignment vertical="center"/>
    </xf>
    <xf numFmtId="10" fontId="8" fillId="0" borderId="17" xfId="2" applyNumberFormat="1" applyFont="1" applyBorder="1" applyAlignment="1">
      <alignment horizontal="center" vertical="center"/>
    </xf>
    <xf numFmtId="10" fontId="8" fillId="0" borderId="16" xfId="2" applyNumberFormat="1" applyFont="1" applyBorder="1" applyAlignment="1">
      <alignment horizontal="center" vertical="center"/>
    </xf>
    <xf numFmtId="10" fontId="8" fillId="0" borderId="18" xfId="2" applyNumberFormat="1" applyFont="1" applyBorder="1" applyAlignment="1">
      <alignment horizontal="center" vertical="center"/>
    </xf>
    <xf numFmtId="10" fontId="20" fillId="0" borderId="18" xfId="2" applyNumberFormat="1" applyFont="1" applyBorder="1" applyAlignment="1">
      <alignment horizontal="center" vertical="center"/>
    </xf>
    <xf numFmtId="10" fontId="8" fillId="0" borderId="27" xfId="2" applyNumberFormat="1" applyFont="1" applyBorder="1" applyAlignment="1">
      <alignment horizontal="center" vertical="center"/>
    </xf>
    <xf numFmtId="10" fontId="8" fillId="0" borderId="30" xfId="2" applyNumberFormat="1" applyFont="1" applyBorder="1" applyAlignment="1">
      <alignment horizontal="center" vertical="center"/>
    </xf>
    <xf numFmtId="10" fontId="14" fillId="0" borderId="30" xfId="2" applyNumberFormat="1" applyFont="1" applyBorder="1" applyAlignment="1">
      <alignment horizontal="center" vertical="center"/>
    </xf>
    <xf numFmtId="10" fontId="20" fillId="0" borderId="27" xfId="2" applyNumberFormat="1" applyFont="1" applyBorder="1" applyAlignment="1">
      <alignment horizontal="center" vertical="center"/>
    </xf>
    <xf numFmtId="0" fontId="24" fillId="0" borderId="12" xfId="2" applyFont="1" applyBorder="1" applyAlignment="1">
      <alignment horizontal="center" vertical="center"/>
    </xf>
    <xf numFmtId="0" fontId="8" fillId="11" borderId="20" xfId="2" applyFont="1" applyFill="1" applyBorder="1" applyAlignment="1">
      <alignment vertical="center"/>
    </xf>
    <xf numFmtId="3" fontId="8" fillId="11" borderId="24" xfId="2" applyNumberFormat="1" applyFont="1" applyFill="1" applyBorder="1" applyAlignment="1">
      <alignment horizontal="center" vertical="center"/>
    </xf>
    <xf numFmtId="3" fontId="8" fillId="11" borderId="20" xfId="2" applyNumberFormat="1" applyFont="1" applyFill="1" applyBorder="1" applyAlignment="1">
      <alignment horizontal="center" vertical="center"/>
    </xf>
    <xf numFmtId="9" fontId="13" fillId="11" borderId="21" xfId="1" applyFont="1" applyFill="1" applyBorder="1" applyAlignment="1">
      <alignment horizontal="center" vertical="center"/>
    </xf>
    <xf numFmtId="3" fontId="8" fillId="11" borderId="14" xfId="2" applyNumberFormat="1" applyFont="1" applyFill="1" applyBorder="1" applyAlignment="1">
      <alignment horizontal="center" vertical="center"/>
    </xf>
    <xf numFmtId="3" fontId="8" fillId="11" borderId="13" xfId="2" applyNumberFormat="1" applyFont="1" applyFill="1" applyBorder="1" applyAlignment="1">
      <alignment horizontal="center" vertical="center"/>
    </xf>
    <xf numFmtId="4" fontId="14" fillId="11" borderId="22" xfId="2" applyNumberFormat="1" applyFont="1" applyFill="1" applyBorder="1" applyAlignment="1">
      <alignment horizontal="center" vertical="center"/>
    </xf>
    <xf numFmtId="9" fontId="13" fillId="11" borderId="13" xfId="1" applyFont="1" applyFill="1" applyBorder="1" applyAlignment="1">
      <alignment horizontal="center" vertical="center"/>
    </xf>
    <xf numFmtId="4" fontId="8" fillId="11" borderId="22" xfId="2" applyNumberFormat="1" applyFont="1" applyFill="1" applyBorder="1" applyAlignment="1">
      <alignment horizontal="center" vertical="center"/>
    </xf>
    <xf numFmtId="0" fontId="21" fillId="0" borderId="12" xfId="2" applyFont="1" applyBorder="1" applyAlignment="1">
      <alignment horizontal="center" vertical="center" textRotation="90"/>
    </xf>
    <xf numFmtId="3" fontId="12" fillId="0" borderId="20" xfId="2" applyNumberFormat="1" applyFont="1" applyBorder="1" applyAlignment="1">
      <alignment horizontal="center" vertical="center"/>
    </xf>
    <xf numFmtId="9" fontId="16" fillId="0" borderId="21" xfId="1" applyFont="1" applyFill="1" applyBorder="1" applyAlignment="1">
      <alignment horizontal="center" vertical="center"/>
    </xf>
    <xf numFmtId="3" fontId="12" fillId="0" borderId="17" xfId="2" applyNumberFormat="1" applyFont="1" applyBorder="1" applyAlignment="1">
      <alignment horizontal="center" vertical="center"/>
    </xf>
    <xf numFmtId="3" fontId="12" fillId="0" borderId="16" xfId="2" applyNumberFormat="1" applyFont="1" applyBorder="1" applyAlignment="1">
      <alignment horizontal="center" vertical="center"/>
    </xf>
    <xf numFmtId="3" fontId="12" fillId="0" borderId="18" xfId="2" applyNumberFormat="1" applyFont="1" applyBorder="1" applyAlignment="1">
      <alignment horizontal="center" vertical="center"/>
    </xf>
    <xf numFmtId="10" fontId="13" fillId="0" borderId="18" xfId="2" applyNumberFormat="1" applyFont="1" applyBorder="1" applyAlignment="1">
      <alignment horizontal="center" vertical="center"/>
    </xf>
    <xf numFmtId="10" fontId="16" fillId="0" borderId="30" xfId="2" applyNumberFormat="1" applyFont="1" applyBorder="1" applyAlignment="1">
      <alignment horizontal="center" vertical="center"/>
    </xf>
    <xf numFmtId="0" fontId="8" fillId="11" borderId="22" xfId="2" applyFont="1" applyFill="1" applyBorder="1" applyAlignment="1">
      <alignment vertical="center"/>
    </xf>
    <xf numFmtId="3" fontId="8" fillId="11" borderId="31" xfId="2" applyNumberFormat="1" applyFont="1" applyFill="1" applyBorder="1" applyAlignment="1">
      <alignment horizontal="center" vertical="center"/>
    </xf>
    <xf numFmtId="9" fontId="13" fillId="11" borderId="23" xfId="1" applyFont="1" applyFill="1" applyBorder="1" applyAlignment="1">
      <alignment horizontal="center" vertical="center"/>
    </xf>
    <xf numFmtId="4" fontId="25" fillId="11" borderId="22" xfId="2" applyNumberFormat="1" applyFont="1" applyFill="1" applyBorder="1" applyAlignment="1">
      <alignment horizontal="center" vertical="center"/>
    </xf>
    <xf numFmtId="9" fontId="13" fillId="11" borderId="22" xfId="1" applyFont="1" applyFill="1" applyBorder="1" applyAlignment="1">
      <alignment horizontal="center" vertical="center"/>
    </xf>
    <xf numFmtId="0" fontId="8" fillId="0" borderId="12" xfId="2" applyFont="1" applyBorder="1" applyAlignment="1">
      <alignment horizontal="center" vertical="center"/>
    </xf>
    <xf numFmtId="0" fontId="16" fillId="0" borderId="21" xfId="2" applyFont="1" applyBorder="1" applyAlignment="1">
      <alignment horizontal="center" vertical="center"/>
    </xf>
    <xf numFmtId="0" fontId="13" fillId="0" borderId="13" xfId="2" applyFont="1" applyBorder="1" applyAlignment="1">
      <alignment horizontal="center" vertical="center"/>
    </xf>
    <xf numFmtId="0" fontId="8" fillId="0" borderId="8" xfId="2" applyFont="1" applyBorder="1" applyAlignment="1">
      <alignment vertical="center"/>
    </xf>
    <xf numFmtId="3" fontId="18" fillId="12" borderId="29" xfId="2" applyNumberFormat="1" applyFont="1" applyFill="1" applyBorder="1" applyAlignment="1">
      <alignment horizontal="center" vertical="center"/>
    </xf>
    <xf numFmtId="3" fontId="18" fillId="12" borderId="27" xfId="2" applyNumberFormat="1" applyFont="1" applyFill="1" applyBorder="1" applyAlignment="1">
      <alignment horizontal="center" vertical="center"/>
    </xf>
    <xf numFmtId="3" fontId="18" fillId="12" borderId="30" xfId="2" applyNumberFormat="1" applyFont="1" applyFill="1" applyBorder="1" applyAlignment="1">
      <alignment horizontal="center" vertical="center"/>
    </xf>
    <xf numFmtId="10" fontId="19" fillId="12" borderId="30" xfId="2" applyNumberFormat="1" applyFont="1" applyFill="1" applyBorder="1" applyAlignment="1">
      <alignment horizontal="center" vertical="center"/>
    </xf>
    <xf numFmtId="10" fontId="18" fillId="12" borderId="30" xfId="2" applyNumberFormat="1" applyFont="1" applyFill="1" applyBorder="1" applyAlignment="1">
      <alignment horizontal="center" vertical="center"/>
    </xf>
    <xf numFmtId="10" fontId="16" fillId="12" borderId="30" xfId="2" applyNumberFormat="1" applyFont="1" applyFill="1" applyBorder="1" applyAlignment="1">
      <alignment horizontal="center" vertical="center"/>
    </xf>
    <xf numFmtId="10" fontId="19" fillId="12" borderId="12" xfId="2" applyNumberFormat="1" applyFont="1" applyFill="1" applyBorder="1" applyAlignment="1">
      <alignment horizontal="center" vertical="center"/>
    </xf>
    <xf numFmtId="0" fontId="8" fillId="0" borderId="4" xfId="2" applyFont="1" applyBorder="1" applyAlignment="1">
      <alignment vertical="center"/>
    </xf>
    <xf numFmtId="3" fontId="8" fillId="11" borderId="22" xfId="2" applyNumberFormat="1" applyFont="1" applyFill="1" applyBorder="1" applyAlignment="1">
      <alignment horizontal="center" vertical="center"/>
    </xf>
    <xf numFmtId="3" fontId="12" fillId="12" borderId="20" xfId="2" applyNumberFormat="1" applyFont="1" applyFill="1" applyBorder="1" applyAlignment="1">
      <alignment horizontal="center" vertical="center"/>
    </xf>
    <xf numFmtId="9" fontId="12" fillId="0" borderId="21" xfId="1" applyFont="1" applyFill="1" applyBorder="1" applyAlignment="1">
      <alignment horizontal="center" vertical="center" wrapText="1"/>
    </xf>
    <xf numFmtId="3" fontId="12" fillId="12" borderId="24" xfId="2" applyNumberFormat="1" applyFont="1" applyFill="1" applyBorder="1" applyAlignment="1">
      <alignment horizontal="center" vertical="center"/>
    </xf>
    <xf numFmtId="9" fontId="13" fillId="0" borderId="18" xfId="1" applyFont="1" applyFill="1" applyBorder="1" applyAlignment="1">
      <alignment horizontal="center" vertical="center"/>
    </xf>
    <xf numFmtId="9" fontId="13" fillId="0" borderId="12" xfId="1" applyFont="1" applyFill="1" applyBorder="1" applyAlignment="1">
      <alignment horizontal="center" vertical="center"/>
    </xf>
    <xf numFmtId="3" fontId="18" fillId="12" borderId="17" xfId="2" applyNumberFormat="1" applyFont="1" applyFill="1" applyBorder="1" applyAlignment="1">
      <alignment horizontal="center" vertical="center"/>
    </xf>
    <xf numFmtId="3" fontId="18" fillId="12" borderId="16" xfId="2" applyNumberFormat="1" applyFont="1" applyFill="1" applyBorder="1" applyAlignment="1">
      <alignment horizontal="center" vertical="center"/>
    </xf>
    <xf numFmtId="4" fontId="11" fillId="0" borderId="32" xfId="2" applyNumberFormat="1" applyFont="1" applyBorder="1" applyAlignment="1">
      <alignment horizontal="center" vertical="center"/>
    </xf>
    <xf numFmtId="3" fontId="12" fillId="0" borderId="12" xfId="3" applyNumberFormat="1" applyFont="1" applyFill="1" applyBorder="1" applyAlignment="1">
      <alignment horizontal="center" vertical="center"/>
    </xf>
    <xf numFmtId="9" fontId="16" fillId="0" borderId="18" xfId="1" applyFont="1" applyFill="1" applyBorder="1" applyAlignment="1">
      <alignment horizontal="center" vertical="center"/>
    </xf>
    <xf numFmtId="9" fontId="12" fillId="0" borderId="18" xfId="1" applyFont="1" applyFill="1" applyBorder="1" applyAlignment="1">
      <alignment horizontal="center" vertical="center"/>
    </xf>
    <xf numFmtId="0" fontId="8" fillId="11" borderId="9" xfId="2" applyFont="1" applyFill="1" applyBorder="1" applyAlignment="1">
      <alignment vertical="center"/>
    </xf>
    <xf numFmtId="3" fontId="8" fillId="11" borderId="10" xfId="2" applyNumberFormat="1" applyFont="1" applyFill="1" applyBorder="1" applyAlignment="1">
      <alignment horizontal="center" vertical="center"/>
    </xf>
    <xf numFmtId="3" fontId="8" fillId="11" borderId="9" xfId="2" applyNumberFormat="1" applyFont="1" applyFill="1" applyBorder="1" applyAlignment="1">
      <alignment horizontal="center" vertical="center"/>
    </xf>
    <xf numFmtId="9" fontId="13" fillId="11" borderId="11" xfId="1" applyFont="1" applyFill="1" applyBorder="1" applyAlignment="1">
      <alignment horizontal="center" vertical="center"/>
    </xf>
    <xf numFmtId="4" fontId="8" fillId="11" borderId="9" xfId="2" applyNumberFormat="1" applyFont="1" applyFill="1" applyBorder="1" applyAlignment="1">
      <alignment horizontal="center" vertical="center"/>
    </xf>
    <xf numFmtId="10" fontId="8" fillId="11" borderId="11" xfId="2" applyNumberFormat="1" applyFont="1" applyFill="1" applyBorder="1" applyAlignment="1">
      <alignment horizontal="center" vertical="center"/>
    </xf>
    <xf numFmtId="10" fontId="25" fillId="11" borderId="11" xfId="2" applyNumberFormat="1" applyFont="1" applyFill="1" applyBorder="1" applyAlignment="1">
      <alignment horizontal="center" vertical="center"/>
    </xf>
    <xf numFmtId="9" fontId="13" fillId="11" borderId="9" xfId="1" applyFont="1" applyFill="1" applyBorder="1" applyAlignment="1">
      <alignment horizontal="center" vertical="center"/>
    </xf>
    <xf numFmtId="0" fontId="10" fillId="0" borderId="8" xfId="2" applyFont="1" applyBorder="1" applyAlignment="1">
      <alignment vertical="center"/>
    </xf>
    <xf numFmtId="3" fontId="10" fillId="0" borderId="5" xfId="2" applyNumberFormat="1" applyFont="1" applyBorder="1" applyAlignment="1">
      <alignment horizontal="center" vertical="center"/>
    </xf>
    <xf numFmtId="3" fontId="18" fillId="0" borderId="8" xfId="2" applyNumberFormat="1" applyFont="1" applyBorder="1" applyAlignment="1">
      <alignment horizontal="center" vertical="center"/>
    </xf>
    <xf numFmtId="3" fontId="10" fillId="0" borderId="7" xfId="2" applyNumberFormat="1" applyFont="1" applyBorder="1" applyAlignment="1">
      <alignment horizontal="center" vertical="center"/>
    </xf>
    <xf numFmtId="10" fontId="19" fillId="0" borderId="7" xfId="2" applyNumberFormat="1" applyFont="1" applyBorder="1" applyAlignment="1">
      <alignment horizontal="center" vertical="center"/>
    </xf>
    <xf numFmtId="3" fontId="12" fillId="0" borderId="8" xfId="3" applyNumberFormat="1" applyFont="1" applyFill="1" applyBorder="1" applyAlignment="1">
      <alignment horizontal="center" vertical="center"/>
    </xf>
    <xf numFmtId="10" fontId="19" fillId="0" borderId="12" xfId="2" applyNumberFormat="1" applyFont="1" applyBorder="1" applyAlignment="1">
      <alignment horizontal="center" vertical="center"/>
    </xf>
    <xf numFmtId="9" fontId="13" fillId="0" borderId="7" xfId="1" applyFont="1" applyFill="1" applyBorder="1" applyAlignment="1">
      <alignment horizontal="center" vertical="center"/>
    </xf>
    <xf numFmtId="10" fontId="18" fillId="0" borderId="7" xfId="2" applyNumberFormat="1" applyFont="1" applyBorder="1" applyAlignment="1">
      <alignment horizontal="center" vertical="center"/>
    </xf>
    <xf numFmtId="0" fontId="26" fillId="0" borderId="9" xfId="0" applyFont="1" applyBorder="1" applyAlignment="1">
      <alignment horizontal="center" vertical="center"/>
    </xf>
    <xf numFmtId="3" fontId="8" fillId="9" borderId="10" xfId="2" applyNumberFormat="1" applyFont="1" applyFill="1" applyBorder="1" applyAlignment="1">
      <alignment horizontal="center" vertical="center"/>
    </xf>
    <xf numFmtId="3" fontId="8" fillId="9" borderId="9" xfId="2" applyNumberFormat="1" applyFont="1" applyFill="1" applyBorder="1" applyAlignment="1">
      <alignment horizontal="center" vertical="center"/>
    </xf>
    <xf numFmtId="4" fontId="20" fillId="9" borderId="9" xfId="2" applyNumberFormat="1" applyFont="1" applyFill="1" applyBorder="1" applyAlignment="1">
      <alignment horizontal="center" vertical="center"/>
    </xf>
    <xf numFmtId="4" fontId="8" fillId="9" borderId="10" xfId="2" applyNumberFormat="1" applyFont="1" applyFill="1" applyBorder="1" applyAlignment="1">
      <alignment horizontal="center" vertical="center"/>
    </xf>
    <xf numFmtId="4" fontId="8" fillId="9" borderId="9" xfId="2" applyNumberFormat="1" applyFont="1" applyFill="1" applyBorder="1" applyAlignment="1">
      <alignment horizontal="center" vertical="center"/>
    </xf>
    <xf numFmtId="4" fontId="25" fillId="9" borderId="9" xfId="2" applyNumberFormat="1" applyFont="1" applyFill="1" applyBorder="1" applyAlignment="1">
      <alignment horizontal="center" vertical="center"/>
    </xf>
    <xf numFmtId="10" fontId="25" fillId="10" borderId="22" xfId="2" applyNumberFormat="1" applyFont="1" applyFill="1" applyBorder="1" applyAlignment="1">
      <alignment horizontal="center" vertical="center"/>
    </xf>
    <xf numFmtId="0" fontId="8" fillId="11" borderId="27" xfId="2" applyFont="1" applyFill="1" applyBorder="1" applyAlignment="1">
      <alignment vertical="center"/>
    </xf>
    <xf numFmtId="3" fontId="8" fillId="11" borderId="29" xfId="2" applyNumberFormat="1" applyFont="1" applyFill="1" applyBorder="1" applyAlignment="1">
      <alignment horizontal="center" vertical="center"/>
    </xf>
    <xf numFmtId="3" fontId="8" fillId="11" borderId="27" xfId="2" applyNumberFormat="1" applyFont="1" applyFill="1" applyBorder="1" applyAlignment="1">
      <alignment horizontal="center" vertical="center"/>
    </xf>
    <xf numFmtId="4" fontId="20" fillId="11" borderId="27" xfId="2" applyNumberFormat="1" applyFont="1" applyFill="1" applyBorder="1" applyAlignment="1">
      <alignment horizontal="center" vertical="center"/>
    </xf>
    <xf numFmtId="4" fontId="8" fillId="11" borderId="27" xfId="2" applyNumberFormat="1" applyFont="1" applyFill="1" applyBorder="1" applyAlignment="1">
      <alignment horizontal="center" vertical="center"/>
    </xf>
    <xf numFmtId="4" fontId="25" fillId="11" borderId="27" xfId="2" applyNumberFormat="1" applyFont="1" applyFill="1" applyBorder="1" applyAlignment="1">
      <alignment horizontal="center" vertical="center"/>
    </xf>
    <xf numFmtId="0" fontId="10" fillId="0" borderId="22" xfId="2" applyFont="1" applyBorder="1" applyAlignment="1">
      <alignment vertical="center"/>
    </xf>
    <xf numFmtId="3" fontId="12" fillId="0" borderId="31" xfId="2" applyNumberFormat="1" applyFont="1" applyBorder="1" applyAlignment="1">
      <alignment horizontal="center" vertical="center"/>
    </xf>
    <xf numFmtId="3" fontId="12" fillId="0" borderId="22" xfId="2" applyNumberFormat="1" applyFont="1" applyBorder="1" applyAlignment="1">
      <alignment horizontal="center" vertical="center"/>
    </xf>
    <xf numFmtId="10" fontId="13" fillId="0" borderId="23" xfId="2" applyNumberFormat="1" applyFont="1" applyBorder="1" applyAlignment="1">
      <alignment horizontal="center" vertical="center"/>
    </xf>
    <xf numFmtId="10" fontId="16" fillId="0" borderId="23" xfId="2" applyNumberFormat="1" applyFont="1" applyBorder="1" applyAlignment="1">
      <alignment horizontal="center" vertical="center"/>
    </xf>
    <xf numFmtId="10" fontId="13" fillId="0" borderId="13" xfId="2" applyNumberFormat="1" applyFont="1" applyBorder="1" applyAlignment="1">
      <alignment horizontal="center" vertical="center"/>
    </xf>
    <xf numFmtId="10" fontId="12" fillId="0" borderId="23" xfId="2" applyNumberFormat="1" applyFont="1" applyBorder="1" applyAlignment="1">
      <alignment horizontal="center" vertical="center"/>
    </xf>
    <xf numFmtId="0" fontId="27" fillId="0" borderId="21" xfId="2" applyFont="1" applyBorder="1" applyAlignment="1">
      <alignment horizontal="center" vertical="center"/>
    </xf>
    <xf numFmtId="0" fontId="21" fillId="0" borderId="12" xfId="0" applyFont="1" applyBorder="1" applyAlignment="1">
      <alignment horizontal="center" vertical="center" textRotation="90"/>
    </xf>
    <xf numFmtId="3" fontId="18" fillId="0" borderId="24" xfId="2" applyNumberFormat="1" applyFont="1" applyBorder="1" applyAlignment="1">
      <alignment horizontal="center" vertical="center"/>
    </xf>
    <xf numFmtId="3" fontId="18" fillId="0" borderId="20" xfId="2" applyNumberFormat="1" applyFont="1" applyBorder="1" applyAlignment="1">
      <alignment horizontal="center" vertical="center"/>
    </xf>
    <xf numFmtId="3" fontId="18" fillId="0" borderId="21" xfId="2" applyNumberFormat="1" applyFont="1" applyBorder="1" applyAlignment="1">
      <alignment horizontal="center" vertical="center"/>
    </xf>
    <xf numFmtId="10" fontId="19" fillId="0" borderId="21" xfId="2" applyNumberFormat="1" applyFont="1" applyBorder="1" applyAlignment="1">
      <alignment horizontal="center" vertical="center"/>
    </xf>
    <xf numFmtId="10" fontId="18" fillId="0" borderId="21" xfId="2" applyNumberFormat="1" applyFont="1" applyBorder="1" applyAlignment="1">
      <alignment horizontal="center" vertical="center"/>
    </xf>
    <xf numFmtId="10" fontId="16" fillId="0" borderId="21" xfId="2" applyNumberFormat="1" applyFont="1" applyBorder="1" applyAlignment="1">
      <alignment horizontal="center" vertical="center"/>
    </xf>
    <xf numFmtId="4" fontId="18" fillId="0" borderId="15" xfId="2" applyNumberFormat="1" applyFont="1" applyBorder="1" applyAlignment="1">
      <alignment horizontal="center" vertical="center"/>
    </xf>
    <xf numFmtId="0" fontId="21" fillId="0" borderId="8" xfId="2" applyFont="1" applyBorder="1" applyAlignment="1">
      <alignment horizontal="center" vertical="center"/>
    </xf>
    <xf numFmtId="3" fontId="12" fillId="0" borderId="23" xfId="2" applyNumberFormat="1" applyFont="1" applyBorder="1" applyAlignment="1">
      <alignment horizontal="center" vertical="center"/>
    </xf>
    <xf numFmtId="0" fontId="12" fillId="0" borderId="15" xfId="2" applyFont="1" applyBorder="1" applyAlignment="1">
      <alignment horizontal="center" vertical="center"/>
    </xf>
    <xf numFmtId="0" fontId="16" fillId="0" borderId="15" xfId="2" applyFont="1" applyBorder="1" applyAlignment="1">
      <alignment horizontal="center" vertical="center"/>
    </xf>
    <xf numFmtId="0" fontId="8" fillId="9" borderId="20" xfId="2" applyFont="1" applyFill="1" applyBorder="1" applyAlignment="1">
      <alignment vertical="center"/>
    </xf>
    <xf numFmtId="3" fontId="28" fillId="9" borderId="24" xfId="2" applyNumberFormat="1" applyFont="1" applyFill="1" applyBorder="1" applyAlignment="1">
      <alignment horizontal="center" vertical="center"/>
    </xf>
    <xf numFmtId="4" fontId="29" fillId="9" borderId="20" xfId="2" applyNumberFormat="1" applyFont="1" applyFill="1" applyBorder="1" applyAlignment="1">
      <alignment horizontal="center" vertical="center"/>
    </xf>
    <xf numFmtId="3" fontId="28" fillId="9" borderId="20" xfId="2" applyNumberFormat="1" applyFont="1" applyFill="1" applyBorder="1" applyAlignment="1">
      <alignment horizontal="center" vertical="center"/>
    </xf>
    <xf numFmtId="4" fontId="28" fillId="9" borderId="20" xfId="2" applyNumberFormat="1" applyFont="1" applyFill="1" applyBorder="1" applyAlignment="1">
      <alignment horizontal="center" vertical="center"/>
    </xf>
    <xf numFmtId="4" fontId="25" fillId="9" borderId="20" xfId="2" applyNumberFormat="1" applyFont="1" applyFill="1" applyBorder="1" applyAlignment="1">
      <alignment horizontal="center" vertical="center"/>
    </xf>
    <xf numFmtId="0" fontId="8" fillId="13" borderId="27" xfId="2" applyFont="1" applyFill="1" applyBorder="1" applyAlignment="1">
      <alignment vertical="center"/>
    </xf>
    <xf numFmtId="3" fontId="8" fillId="13" borderId="29" xfId="2" applyNumberFormat="1" applyFont="1" applyFill="1" applyBorder="1" applyAlignment="1">
      <alignment horizontal="center" vertical="center"/>
    </xf>
    <xf numFmtId="4" fontId="20" fillId="13" borderId="27" xfId="2" applyNumberFormat="1" applyFont="1" applyFill="1" applyBorder="1" applyAlignment="1">
      <alignment horizontal="center" vertical="center"/>
    </xf>
    <xf numFmtId="3" fontId="8" fillId="13" borderId="27" xfId="2" applyNumberFormat="1" applyFont="1" applyFill="1" applyBorder="1" applyAlignment="1">
      <alignment horizontal="center" vertical="center"/>
    </xf>
    <xf numFmtId="4" fontId="8" fillId="13" borderId="27" xfId="2" applyNumberFormat="1" applyFont="1" applyFill="1" applyBorder="1" applyAlignment="1">
      <alignment horizontal="center" vertical="center"/>
    </xf>
    <xf numFmtId="4" fontId="25" fillId="13" borderId="27" xfId="2" applyNumberFormat="1" applyFont="1" applyFill="1" applyBorder="1" applyAlignment="1">
      <alignment horizontal="center" vertical="center"/>
    </xf>
    <xf numFmtId="3" fontId="12" fillId="0" borderId="13" xfId="2" applyNumberFormat="1" applyFont="1" applyBorder="1" applyAlignment="1">
      <alignment horizontal="center" vertical="center"/>
    </xf>
    <xf numFmtId="3" fontId="12" fillId="0" borderId="15" xfId="2" applyNumberFormat="1" applyFont="1" applyBorder="1" applyAlignment="1">
      <alignment horizontal="center" vertical="center"/>
    </xf>
    <xf numFmtId="0" fontId="13" fillId="0" borderId="15" xfId="2" applyFont="1" applyBorder="1" applyAlignment="1">
      <alignment horizontal="center" vertical="center"/>
    </xf>
    <xf numFmtId="0" fontId="8" fillId="9" borderId="20" xfId="2" applyFont="1" applyFill="1" applyBorder="1" applyAlignment="1">
      <alignment vertical="center" wrapText="1"/>
    </xf>
    <xf numFmtId="3" fontId="8" fillId="9" borderId="24" xfId="2" applyNumberFormat="1" applyFont="1" applyFill="1" applyBorder="1" applyAlignment="1">
      <alignment horizontal="center" vertical="center"/>
    </xf>
    <xf numFmtId="3" fontId="8" fillId="9" borderId="20" xfId="2" applyNumberFormat="1" applyFont="1" applyFill="1" applyBorder="1" applyAlignment="1">
      <alignment horizontal="center" vertical="center"/>
    </xf>
    <xf numFmtId="4" fontId="20" fillId="9" borderId="20" xfId="2" applyNumberFormat="1" applyFont="1" applyFill="1" applyBorder="1" applyAlignment="1">
      <alignment horizontal="center" vertical="center"/>
    </xf>
    <xf numFmtId="4" fontId="8" fillId="9" borderId="20" xfId="2" applyNumberFormat="1" applyFont="1" applyFill="1" applyBorder="1" applyAlignment="1">
      <alignment horizontal="center" vertical="center"/>
    </xf>
    <xf numFmtId="0" fontId="8" fillId="10" borderId="27" xfId="2" applyFont="1" applyFill="1" applyBorder="1" applyAlignment="1">
      <alignment vertical="center"/>
    </xf>
    <xf numFmtId="9" fontId="8" fillId="10" borderId="29" xfId="1" applyFont="1" applyFill="1" applyBorder="1" applyAlignment="1">
      <alignment horizontal="center" vertical="center"/>
    </xf>
    <xf numFmtId="3" fontId="8" fillId="10" borderId="29" xfId="2" applyNumberFormat="1" applyFont="1" applyFill="1" applyBorder="1" applyAlignment="1">
      <alignment horizontal="center" vertical="center"/>
    </xf>
    <xf numFmtId="9" fontId="8" fillId="10" borderId="27" xfId="1" applyFont="1" applyFill="1" applyBorder="1" applyAlignment="1">
      <alignment horizontal="center" vertical="center"/>
    </xf>
    <xf numFmtId="10" fontId="20" fillId="10" borderId="27" xfId="2" applyNumberFormat="1" applyFont="1" applyFill="1" applyBorder="1" applyAlignment="1">
      <alignment horizontal="center" vertical="center"/>
    </xf>
    <xf numFmtId="10" fontId="8" fillId="10" borderId="27" xfId="2" applyNumberFormat="1" applyFont="1" applyFill="1" applyBorder="1" applyAlignment="1">
      <alignment horizontal="center" vertical="center"/>
    </xf>
    <xf numFmtId="10" fontId="25" fillId="10" borderId="27" xfId="2" applyNumberFormat="1" applyFont="1" applyFill="1" applyBorder="1" applyAlignment="1">
      <alignment horizontal="center" vertical="center"/>
    </xf>
    <xf numFmtId="0" fontId="10" fillId="0" borderId="0" xfId="2" applyFont="1" applyAlignment="1">
      <alignment vertical="center"/>
    </xf>
    <xf numFmtId="3" fontId="10" fillId="0" borderId="0" xfId="2" applyNumberFormat="1" applyFont="1" applyAlignment="1">
      <alignment horizontal="center" vertical="center"/>
    </xf>
    <xf numFmtId="4" fontId="30" fillId="0" borderId="0" xfId="2" applyNumberFormat="1" applyFont="1" applyAlignment="1">
      <alignment horizontal="center" vertical="center"/>
    </xf>
    <xf numFmtId="4" fontId="10" fillId="0" borderId="0" xfId="2" applyNumberFormat="1" applyFont="1" applyAlignment="1">
      <alignment horizontal="center" vertical="center"/>
    </xf>
    <xf numFmtId="4" fontId="16" fillId="0" borderId="0" xfId="2" applyNumberFormat="1" applyFont="1" applyAlignment="1">
      <alignment horizontal="center" vertical="center"/>
    </xf>
    <xf numFmtId="0" fontId="23" fillId="0" borderId="0" xfId="2" applyFont="1" applyAlignment="1">
      <alignment horizontal="center" vertical="center"/>
    </xf>
    <xf numFmtId="3" fontId="1" fillId="0" borderId="0" xfId="2" applyNumberFormat="1" applyAlignment="1">
      <alignment horizontal="center" vertical="center"/>
    </xf>
    <xf numFmtId="3" fontId="31" fillId="7" borderId="0" xfId="3" applyNumberFormat="1" applyFont="1" applyFill="1" applyAlignment="1">
      <alignment horizontal="center" vertical="center"/>
    </xf>
    <xf numFmtId="4" fontId="32" fillId="0" borderId="0" xfId="2" applyNumberFormat="1" applyFont="1" applyAlignment="1">
      <alignment horizontal="center" vertical="center"/>
    </xf>
    <xf numFmtId="4" fontId="31" fillId="0" borderId="0" xfId="2" applyNumberFormat="1" applyFont="1" applyAlignment="1">
      <alignment horizontal="center" vertical="center"/>
    </xf>
    <xf numFmtId="0" fontId="33" fillId="0" borderId="0" xfId="2" applyFont="1" applyAlignment="1">
      <alignment vertical="center"/>
    </xf>
    <xf numFmtId="3" fontId="33" fillId="0" borderId="0" xfId="2" applyNumberFormat="1" applyFont="1" applyAlignment="1">
      <alignment horizontal="center" vertical="center"/>
    </xf>
    <xf numFmtId="4" fontId="33" fillId="0" borderId="0" xfId="2" applyNumberFormat="1" applyFont="1" applyAlignment="1">
      <alignment horizontal="center" vertical="center"/>
    </xf>
    <xf numFmtId="4" fontId="34" fillId="0" borderId="0" xfId="2" applyNumberFormat="1" applyFont="1" applyAlignment="1">
      <alignment horizontal="center" vertical="center"/>
    </xf>
    <xf numFmtId="166" fontId="35" fillId="0" borderId="0" xfId="2" applyNumberFormat="1" applyFont="1" applyAlignment="1">
      <alignment horizontal="center" vertical="center"/>
    </xf>
    <xf numFmtId="0" fontId="33" fillId="0" borderId="0" xfId="2" applyFont="1"/>
    <xf numFmtId="0" fontId="36" fillId="0" borderId="0" xfId="2" applyFont="1"/>
    <xf numFmtId="0" fontId="37" fillId="0" borderId="0" xfId="2" applyFont="1"/>
    <xf numFmtId="4" fontId="38" fillId="0" borderId="0" xfId="2" applyNumberFormat="1" applyFont="1" applyAlignment="1">
      <alignment horizontal="center" vertical="center"/>
    </xf>
    <xf numFmtId="4" fontId="1" fillId="0" borderId="0" xfId="2" applyNumberFormat="1" applyAlignment="1">
      <alignment horizontal="right" vertical="center"/>
    </xf>
    <xf numFmtId="4" fontId="1" fillId="0" borderId="0" xfId="2" applyNumberFormat="1" applyAlignment="1">
      <alignment horizontal="left" vertical="center"/>
    </xf>
    <xf numFmtId="0" fontId="1" fillId="14" borderId="0" xfId="2" applyFill="1" applyAlignment="1">
      <alignment vertical="center"/>
    </xf>
    <xf numFmtId="0" fontId="1" fillId="14" borderId="0" xfId="2" applyFill="1"/>
    <xf numFmtId="0" fontId="1" fillId="0" borderId="0" xfId="2" applyAlignment="1">
      <alignment horizontal="center" vertical="center"/>
    </xf>
    <xf numFmtId="4" fontId="1" fillId="0" borderId="0" xfId="2" applyNumberFormat="1"/>
    <xf numFmtId="4" fontId="36" fillId="0" borderId="0" xfId="2" applyNumberFormat="1" applyFont="1" applyAlignment="1">
      <alignment horizontal="center" vertical="center"/>
    </xf>
    <xf numFmtId="4" fontId="39" fillId="0" borderId="0" xfId="2" applyNumberFormat="1" applyFont="1" applyAlignment="1">
      <alignment horizontal="center" vertical="center"/>
    </xf>
    <xf numFmtId="4" fontId="40" fillId="0" borderId="0" xfId="2" applyNumberFormat="1" applyFont="1" applyAlignment="1">
      <alignment horizontal="center" vertical="center"/>
    </xf>
    <xf numFmtId="0" fontId="1" fillId="0" borderId="0" xfId="2" applyAlignment="1">
      <alignment horizontal="right"/>
    </xf>
    <xf numFmtId="0" fontId="1" fillId="0" borderId="0" xfId="2" applyAlignment="1">
      <alignment horizontal="left" vertical="center"/>
    </xf>
    <xf numFmtId="4" fontId="11" fillId="0" borderId="14" xfId="2" applyNumberFormat="1" applyFont="1" applyBorder="1" applyAlignment="1">
      <alignment horizontal="center" vertical="center"/>
    </xf>
    <xf numFmtId="4" fontId="11" fillId="0" borderId="19" xfId="2" applyNumberFormat="1" applyFont="1" applyBorder="1" applyAlignment="1">
      <alignment horizontal="center" vertical="center"/>
    </xf>
    <xf numFmtId="0" fontId="18" fillId="14" borderId="8" xfId="2" applyFont="1" applyFill="1" applyBorder="1" applyAlignment="1">
      <alignment vertical="center"/>
    </xf>
    <xf numFmtId="0" fontId="10" fillId="14" borderId="22" xfId="2" applyFont="1" applyFill="1" applyBorder="1" applyAlignment="1">
      <alignment vertical="center"/>
    </xf>
    <xf numFmtId="0" fontId="8" fillId="10" borderId="12" xfId="2" applyFont="1" applyFill="1" applyBorder="1" applyAlignment="1">
      <alignment vertical="center"/>
    </xf>
    <xf numFmtId="9" fontId="8" fillId="10" borderId="33" xfId="1" applyFont="1" applyFill="1" applyBorder="1" applyAlignment="1">
      <alignment horizontal="center" vertical="center"/>
    </xf>
    <xf numFmtId="9" fontId="8" fillId="10" borderId="12" xfId="1" applyFont="1" applyFill="1" applyBorder="1" applyAlignment="1">
      <alignment horizontal="center" vertical="center"/>
    </xf>
    <xf numFmtId="10" fontId="20" fillId="10" borderId="12" xfId="2" applyNumberFormat="1" applyFont="1" applyFill="1" applyBorder="1" applyAlignment="1">
      <alignment horizontal="center" vertical="center"/>
    </xf>
    <xf numFmtId="10" fontId="8" fillId="10" borderId="33" xfId="2" applyNumberFormat="1" applyFont="1" applyFill="1" applyBorder="1" applyAlignment="1">
      <alignment horizontal="center" vertical="center"/>
    </xf>
    <xf numFmtId="10" fontId="8" fillId="10" borderId="12" xfId="2" applyNumberFormat="1" applyFont="1" applyFill="1" applyBorder="1" applyAlignment="1">
      <alignment horizontal="center" vertical="center"/>
    </xf>
    <xf numFmtId="10" fontId="25" fillId="10" borderId="12" xfId="2" applyNumberFormat="1" applyFont="1" applyFill="1" applyBorder="1" applyAlignment="1">
      <alignment horizontal="center" vertical="center"/>
    </xf>
    <xf numFmtId="9" fontId="8" fillId="14" borderId="33" xfId="1" applyFont="1" applyFill="1" applyBorder="1" applyAlignment="1">
      <alignment horizontal="center" vertical="center"/>
    </xf>
    <xf numFmtId="9" fontId="8" fillId="14" borderId="12" xfId="1" applyFont="1" applyFill="1" applyBorder="1" applyAlignment="1">
      <alignment horizontal="center" vertical="center"/>
    </xf>
    <xf numFmtId="10" fontId="20" fillId="14" borderId="12" xfId="2" applyNumberFormat="1" applyFont="1" applyFill="1" applyBorder="1" applyAlignment="1">
      <alignment horizontal="center" vertical="center"/>
    </xf>
    <xf numFmtId="10" fontId="8" fillId="14" borderId="33" xfId="2" applyNumberFormat="1" applyFont="1" applyFill="1" applyBorder="1" applyAlignment="1">
      <alignment horizontal="center" vertical="center"/>
    </xf>
    <xf numFmtId="10" fontId="8" fillId="14" borderId="12" xfId="2" applyNumberFormat="1" applyFont="1" applyFill="1" applyBorder="1" applyAlignment="1">
      <alignment horizontal="center" vertical="center"/>
    </xf>
    <xf numFmtId="10" fontId="25" fillId="14" borderId="12" xfId="2" applyNumberFormat="1" applyFont="1" applyFill="1" applyBorder="1" applyAlignment="1">
      <alignment horizontal="center" vertical="center"/>
    </xf>
    <xf numFmtId="4" fontId="9" fillId="14" borderId="0" xfId="2" applyNumberFormat="1" applyFont="1" applyFill="1" applyAlignment="1">
      <alignment horizontal="center" vertical="center"/>
    </xf>
    <xf numFmtId="0" fontId="9" fillId="14" borderId="0" xfId="2" applyFont="1" applyFill="1"/>
    <xf numFmtId="0" fontId="18" fillId="14" borderId="12" xfId="2" applyFont="1" applyFill="1" applyBorder="1" applyAlignment="1">
      <alignment vertical="center"/>
    </xf>
    <xf numFmtId="3" fontId="8" fillId="11" borderId="5" xfId="2" applyNumberFormat="1" applyFont="1" applyFill="1" applyBorder="1" applyAlignment="1">
      <alignment horizontal="center" vertical="center"/>
    </xf>
    <xf numFmtId="0" fontId="8" fillId="14" borderId="22" xfId="2" applyFont="1" applyFill="1" applyBorder="1" applyAlignment="1">
      <alignment vertical="center"/>
    </xf>
    <xf numFmtId="0" fontId="8" fillId="14" borderId="12" xfId="2" applyFont="1" applyFill="1" applyBorder="1" applyAlignment="1">
      <alignment vertical="center"/>
    </xf>
    <xf numFmtId="10" fontId="13" fillId="0" borderId="15" xfId="2" applyNumberFormat="1" applyFont="1" applyBorder="1" applyAlignment="1">
      <alignment horizontal="center" vertical="center"/>
    </xf>
    <xf numFmtId="10" fontId="16" fillId="0" borderId="15" xfId="2" applyNumberFormat="1" applyFont="1" applyBorder="1" applyAlignment="1">
      <alignment horizontal="center" vertical="center"/>
    </xf>
    <xf numFmtId="3" fontId="12" fillId="0" borderId="15" xfId="3" applyNumberFormat="1" applyFont="1" applyFill="1" applyBorder="1" applyAlignment="1">
      <alignment horizontal="center" vertical="center"/>
    </xf>
    <xf numFmtId="10" fontId="12" fillId="0" borderId="15" xfId="2" applyNumberFormat="1" applyFont="1" applyBorder="1" applyAlignment="1">
      <alignment horizontal="center" vertical="center"/>
    </xf>
    <xf numFmtId="0" fontId="10" fillId="14" borderId="20" xfId="2" applyFont="1" applyFill="1" applyBorder="1" applyAlignment="1">
      <alignment vertical="center"/>
    </xf>
    <xf numFmtId="0" fontId="10" fillId="14" borderId="16" xfId="2" applyFont="1" applyFill="1" applyBorder="1" applyAlignment="1">
      <alignment vertical="center"/>
    </xf>
    <xf numFmtId="3" fontId="18" fillId="0" borderId="17" xfId="2" applyNumberFormat="1" applyFont="1" applyBorder="1" applyAlignment="1">
      <alignment horizontal="center" vertical="center"/>
    </xf>
    <xf numFmtId="3" fontId="18" fillId="0" borderId="18" xfId="2" applyNumberFormat="1" applyFont="1" applyBorder="1" applyAlignment="1">
      <alignment horizontal="center" vertical="center"/>
    </xf>
    <xf numFmtId="10" fontId="19" fillId="0" borderId="18" xfId="2" applyNumberFormat="1" applyFont="1" applyBorder="1" applyAlignment="1">
      <alignment horizontal="center" vertical="center"/>
    </xf>
    <xf numFmtId="4" fontId="11" fillId="0" borderId="33" xfId="2" applyNumberFormat="1" applyFont="1" applyBorder="1" applyAlignment="1">
      <alignment horizontal="center" vertical="center"/>
    </xf>
    <xf numFmtId="4" fontId="11" fillId="0" borderId="0" xfId="2" applyNumberFormat="1" applyFont="1" applyBorder="1" applyAlignment="1">
      <alignment horizontal="center" vertical="center"/>
    </xf>
    <xf numFmtId="10" fontId="18" fillId="0" borderId="18" xfId="2" applyNumberFormat="1" applyFont="1" applyBorder="1" applyAlignment="1">
      <alignment horizontal="center" vertical="center"/>
    </xf>
    <xf numFmtId="10" fontId="16" fillId="0" borderId="18" xfId="2" applyNumberFormat="1" applyFont="1" applyBorder="1" applyAlignment="1">
      <alignment horizontal="center" vertical="center"/>
    </xf>
    <xf numFmtId="4" fontId="18" fillId="0" borderId="33" xfId="2" applyNumberFormat="1" applyFont="1" applyBorder="1" applyAlignment="1">
      <alignment horizontal="center" vertical="center"/>
    </xf>
    <xf numFmtId="4" fontId="18" fillId="0" borderId="0" xfId="2" applyNumberFormat="1" applyFont="1" applyBorder="1" applyAlignment="1">
      <alignment horizontal="center" vertical="center"/>
    </xf>
    <xf numFmtId="0" fontId="8" fillId="14" borderId="9" xfId="2" applyFont="1" applyFill="1" applyBorder="1" applyAlignment="1">
      <alignment vertical="center"/>
    </xf>
    <xf numFmtId="0" fontId="10" fillId="14" borderId="12" xfId="2" applyFont="1" applyFill="1" applyBorder="1" applyAlignment="1">
      <alignment vertical="center"/>
    </xf>
    <xf numFmtId="0" fontId="8" fillId="14" borderId="27" xfId="2" applyFont="1" applyFill="1" applyBorder="1" applyAlignment="1">
      <alignment vertical="center"/>
    </xf>
  </cellXfs>
  <cellStyles count="4">
    <cellStyle name="Обычный" xfId="0" builtinId="0"/>
    <cellStyle name="Обычный 2" xfId="2" xr:uid="{AA9C92B3-AE39-4E64-8120-0BC774E4D9C3}"/>
    <cellStyle name="Процентный" xfId="1" builtinId="5"/>
    <cellStyle name="Финансовый 2" xfId="3" xr:uid="{88AA171F-8E4F-4980-98BD-EB443DB90B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blic/&#1060;&#1110;&#1085;&#1072;&#1085;&#1089;&#1086;&#1074;&#1080;&#1081;%20&#1074;&#1110;&#1076;&#1076;&#1110;&#1083;/!%20PnL/PL%20&#1087;&#1086;%20&#1082;&#1086;&#1084;&#1087;&#1072;&#1085;&#1080;&#1080;/2026/&#1063;&#1077;&#1088;&#1074;&#1077;&#1085;&#1100;_26/!PL%20&#1087;&#1086;%20&#1082;&#1086;&#1084;&#1087;&#1072;&#1085;&#1080;&#1080;%20&#1063;&#1077;&#1088;&#1074;&#1077;&#1085;&#1100;%202026%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счет 2020"/>
      <sheetName val="ОС"/>
      <sheetName val="PL_Сватово очередь 2"/>
      <sheetName val="2026 Анализ"/>
      <sheetName val="Данные"/>
      <sheetName val="Метрики"/>
      <sheetName val="PL_ЦО_Производство"/>
      <sheetName val="расчет 2026"/>
      <sheetName val="PL_И.П.С."/>
      <sheetName val="РАЗНИЦА"/>
      <sheetName val="РАЗНИЦА (2)"/>
      <sheetName val="PL_Производство"/>
      <sheetName val="PL_Свод"/>
      <sheetName val="PL_ЦО"/>
      <sheetName val="PL Строительство Свод"/>
      <sheetName val="PL_Козин"/>
      <sheetName val="Лист1"/>
      <sheetName val="Цех ЗП"/>
      <sheetName val="PL_Пуща-Водица"/>
      <sheetName val="PL_Староконстантинов"/>
      <sheetName val="PL_ЦО_Строительство"/>
      <sheetName val="Крушинка"/>
      <sheetName val="Печановка-2"/>
      <sheetName val="PL_Ретал"/>
      <sheetName val="Глухов"/>
      <sheetName val="PL_МХП3"/>
      <sheetName val="PL_Ладыжин-2"/>
      <sheetName val="Олияр"/>
      <sheetName val="Беловоды"/>
      <sheetName val="Мексика"/>
      <sheetName val="Печановка"/>
      <sheetName val="PL_Нежин"/>
      <sheetName val="PL_Королевка"/>
      <sheetName val="Яр Вал"/>
      <sheetName val="PL_Пологи"/>
      <sheetName val="Славута"/>
      <sheetName val="PL_Волчанск"/>
      <sheetName val="Молоко Вітчизни"/>
      <sheetName val="КМД Путровка"/>
      <sheetName val="Ретал.ГПУ"/>
      <sheetName val="МХП Катеринополь"/>
      <sheetName val="Астарта. Тищенки"/>
      <sheetName val="Турбина-3"/>
      <sheetName val="Нежин 3"/>
      <sheetName val="ООН_Черниговская_обл"/>
      <sheetName val="Щедро_лапша"/>
      <sheetName val="МЭЗ СЕТИ"/>
      <sheetName val="Приднепровский МЄЗ 2"/>
      <sheetName val="Старкон Убежище"/>
      <sheetName val="Турбина"/>
      <sheetName val="Турбина-2"/>
      <sheetName val="Черноморск"/>
      <sheetName val="Каменец Цемент"/>
      <sheetName val="Орлан"/>
      <sheetName val="АВРОРА. СТОЯНКА"/>
      <sheetName val="КРИВОЙ РОГ ЦЕМЕНТ-2"/>
      <sheetName val="КМД-2"/>
      <sheetName val="Нежин 4"/>
      <sheetName val="Глобино"/>
      <sheetName val="Глобино-2"/>
      <sheetName val="Приднепровский_металл"/>
      <sheetName val="Солома_Элеватор"/>
      <sheetName val="Подгорцы"/>
      <sheetName val="Щедро. Флекситанки"/>
      <sheetName val="Ладыжин 3"/>
      <sheetName val="ООН_Киевская_обл"/>
      <sheetName val="PL_БИОГАЗ"/>
      <sheetName val="PL_Производство_СВОД"/>
      <sheetName val="МД Первомайск ПА"/>
      <sheetName val="МК Ладыжин-3"/>
      <sheetName val="МК Староконстантинов"/>
      <sheetName val="МК Армокаркасы"/>
      <sheetName val="МК Щедро. Флекситанки"/>
      <sheetName val="МК ЛифтМаркет"/>
      <sheetName val="МК Укркотлопром"/>
      <sheetName val="МД Бытовка ИТР Нежин"/>
      <sheetName val="МК _Шаблон"/>
      <sheetName val="МК Металургбуд.поддоны"/>
      <sheetName val="МК Нежин-3"/>
      <sheetName val="МК Подгорцы.Забор"/>
      <sheetName val="PL_Металлизация"/>
      <sheetName val="МК РДК.Кран"/>
      <sheetName val="МК Ворота.Запорожье"/>
      <sheetName val="МД Нежин"/>
      <sheetName val="МД Казарма.Рекламация"/>
      <sheetName val="НГУ"/>
      <sheetName val="МК Чорноморск"/>
      <sheetName val="МД МХП ОРІЛЬ"/>
      <sheetName val="Кернел Кухня"/>
      <sheetName val="МК Кривий ріг"/>
      <sheetName val="МКБориспільська"/>
      <sheetName val="МК Астарта.Тищенки"/>
      <sheetName val="МК МХП Катеринополь"/>
      <sheetName val="МД ООН_2(4 буд)"/>
      <sheetName val="МД ООН"/>
      <sheetName val="МД ВООЗ"/>
      <sheetName val="ЕМС"/>
      <sheetName val="МД ІОМ"/>
      <sheetName val="МД ВООЗ ЕМС"/>
      <sheetName val="МД Укрнафта контейнер 3 на 4"/>
      <sheetName val="МД IRS"/>
      <sheetName val="МД МХП Франковск"/>
      <sheetName val="МД МХП Лазня"/>
      <sheetName val="МД Укрнафта Львов"/>
      <sheetName val="МД МХП Туалетний блок"/>
      <sheetName val="МК Нежин 2025"/>
      <sheetName val="МК Глобино"/>
      <sheetName val="ПРОООН Черкаси ДСНС"/>
      <sheetName val="МД Вооз ЕМS Мала 2026"/>
      <sheetName val="МД ВООЗ 2025"/>
      <sheetName val="МД ООН 2025"/>
      <sheetName val="Укрнафта1модуль"/>
      <sheetName val="КПП Червоний хрест "/>
      <sheetName val="МД Червоний хрест"/>
      <sheetName val="Техника"/>
      <sheetName val="PL_Логистика"/>
      <sheetName val="ЦО_логистика"/>
      <sheetName val="Форд Тягач"/>
      <sheetName val="MAN Blue KA1783HI"/>
      <sheetName val="MAN green KA2790IE"/>
      <sheetName val="MAN №3 white KA7837HO"/>
      <sheetName val="MAN №4 white KA3597HO"/>
      <sheetName val="MAN №5 Тент МД"/>
      <sheetName val="Экспедирование"/>
      <sheetName val="PL_Щедро"/>
      <sheetName val="Кривой Рог"/>
      <sheetName val="Нежин-2"/>
      <sheetName val="Красноармейская"/>
      <sheetName val="PL_Приднепровский МЭЗ"/>
      <sheetName val="Харьков"/>
      <sheetName val="Лист2"/>
      <sheetName val="Лист4"/>
    </sheetNames>
    <sheetDataSet>
      <sheetData sheetId="0"/>
      <sheetData sheetId="1"/>
      <sheetData sheetId="2"/>
      <sheetData sheetId="3"/>
      <sheetData sheetId="4"/>
      <sheetData sheetId="5"/>
      <sheetData sheetId="6"/>
      <sheetData sheetId="7">
        <row r="48">
          <cell r="E48">
            <v>0.1435617799543332</v>
          </cell>
        </row>
        <row r="49">
          <cell r="E49">
            <v>0.14264408408950338</v>
          </cell>
        </row>
        <row r="50">
          <cell r="E50">
            <v>0.14658337046392669</v>
          </cell>
        </row>
        <row r="51">
          <cell r="E51">
            <v>0.14719044771464809</v>
          </cell>
        </row>
        <row r="52">
          <cell r="E52">
            <v>0.14690525872599092</v>
          </cell>
        </row>
        <row r="53">
          <cell r="E53">
            <v>0.15316666958883124</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CC18C-409E-432E-A313-350968A7A5A5}">
  <sheetPr>
    <tabColor rgb="FFF177D7"/>
  </sheetPr>
  <dimension ref="A1:CU156"/>
  <sheetViews>
    <sheetView tabSelected="1" zoomScaleNormal="100" workbookViewId="0">
      <pane xSplit="6" ySplit="4" topLeftCell="G77" activePane="bottomRight" state="frozen"/>
      <selection pane="topRight" activeCell="G1" sqref="G1"/>
      <selection pane="bottomLeft" activeCell="A5" sqref="A5"/>
      <selection pane="bottomRight" activeCell="E97" sqref="E97"/>
    </sheetView>
  </sheetViews>
  <sheetFormatPr defaultColWidth="7.42578125" defaultRowHeight="12.75" outlineLevelRow="3" outlineLevelCol="1" x14ac:dyDescent="0.2"/>
  <cols>
    <col min="1" max="1" width="4.42578125" style="1" customWidth="1"/>
    <col min="2" max="2" width="55" style="1" customWidth="1"/>
    <col min="3" max="3" width="17.42578125" style="301" bestFit="1" customWidth="1"/>
    <col min="4" max="4" width="16.7109375" style="301" bestFit="1" customWidth="1"/>
    <col min="5" max="5" width="17.42578125" style="2" bestFit="1" customWidth="1"/>
    <col min="6" max="6" width="11" style="2" hidden="1" customWidth="1" outlineLevel="1"/>
    <col min="7" max="11" width="16.7109375" style="2" hidden="1" customWidth="1" outlineLevel="1"/>
    <col min="12" max="12" width="19.140625" style="2" hidden="1" customWidth="1" outlineLevel="1"/>
    <col min="13" max="13" width="18.42578125" style="2" hidden="1" customWidth="1" outlineLevel="1"/>
    <col min="14" max="14" width="19.140625" style="2" hidden="1" customWidth="1" outlineLevel="1"/>
    <col min="15" max="16" width="16.7109375" style="2" hidden="1" customWidth="1" outlineLevel="1"/>
    <col min="17" max="17" width="19.140625" style="2" hidden="1" customWidth="1" outlineLevel="1"/>
    <col min="18" max="18" width="18.42578125" style="2" hidden="1" customWidth="1" outlineLevel="1"/>
    <col min="19" max="19" width="19.140625" style="2" hidden="1" customWidth="1" outlineLevel="1"/>
    <col min="20" max="21" width="16.7109375" style="2" hidden="1" customWidth="1" outlineLevel="1"/>
    <col min="22" max="22" width="3.7109375" style="2" customWidth="1" collapsed="1"/>
    <col min="23" max="26" width="16.7109375" style="2" hidden="1" customWidth="1" outlineLevel="1"/>
    <col min="27" max="27" width="17.85546875" style="2" hidden="1" customWidth="1" outlineLevel="1"/>
    <col min="28" max="28" width="17.85546875" style="2" hidden="1" customWidth="1" outlineLevel="1" collapsed="1"/>
    <col min="29" max="32" width="17.85546875" style="2" hidden="1" customWidth="1" outlineLevel="1"/>
    <col min="33" max="33" width="16.7109375" style="2" hidden="1" customWidth="1" outlineLevel="1" collapsed="1"/>
    <col min="34" max="36" width="16.7109375" style="2" hidden="1" customWidth="1" outlineLevel="1"/>
    <col min="37" max="37" width="17.85546875" style="2" hidden="1" customWidth="1" outlineLevel="1"/>
    <col min="38" max="38" width="16.7109375" style="2" hidden="1" customWidth="1" outlineLevel="1" collapsed="1"/>
    <col min="39" max="41" width="16.7109375" style="2" hidden="1" customWidth="1" outlineLevel="1"/>
    <col min="42" max="42" width="17.85546875" style="2" hidden="1" customWidth="1" outlineLevel="1"/>
    <col min="43" max="43" width="16.7109375" style="2" customWidth="1" collapsed="1"/>
    <col min="44" max="46" width="16.7109375" style="2" customWidth="1"/>
    <col min="47" max="47" width="17.85546875" style="2" customWidth="1"/>
    <col min="48" max="48" width="18.28515625" style="2" customWidth="1" collapsed="1"/>
    <col min="49" max="51" width="16.7109375" style="2" customWidth="1"/>
    <col min="52" max="52" width="17.85546875" style="2" customWidth="1"/>
    <col min="53" max="56" width="16.7109375" style="2" customWidth="1" outlineLevel="1"/>
    <col min="57" max="57" width="17.85546875" style="2" customWidth="1" outlineLevel="1"/>
    <col min="58" max="58" width="16.7109375" style="2" customWidth="1" outlineLevel="1" collapsed="1"/>
    <col min="59" max="61" width="16.7109375" style="2" customWidth="1" outlineLevel="1"/>
    <col min="62" max="62" width="17.85546875" style="2" customWidth="1" outlineLevel="1"/>
    <col min="63" max="63" width="16.7109375" style="2" customWidth="1" outlineLevel="1" collapsed="1"/>
    <col min="64" max="66" width="16.7109375" style="2" customWidth="1" outlineLevel="1"/>
    <col min="67" max="67" width="17.85546875" style="2" customWidth="1" outlineLevel="1"/>
    <col min="68" max="68" width="16.7109375" style="2" customWidth="1" outlineLevel="1" collapsed="1"/>
    <col min="69" max="71" width="16.7109375" style="2" customWidth="1" outlineLevel="1"/>
    <col min="72" max="72" width="17.85546875" style="2" customWidth="1" outlineLevel="1"/>
    <col min="73" max="76" width="16.7109375" style="2" customWidth="1" outlineLevel="1"/>
    <col min="77" max="77" width="17.85546875" style="2" customWidth="1" outlineLevel="1"/>
    <col min="78" max="81" width="16.7109375" style="2" customWidth="1" outlineLevel="1"/>
    <col min="82" max="82" width="17.85546875" style="2" customWidth="1" outlineLevel="1"/>
    <col min="83" max="87" width="16.7109375" style="2" customWidth="1"/>
    <col min="88" max="88" width="17.42578125" style="2" bestFit="1" customWidth="1"/>
    <col min="89" max="89" width="16.7109375" style="2" bestFit="1" customWidth="1"/>
    <col min="90" max="90" width="19.42578125" style="3" bestFit="1" customWidth="1"/>
    <col min="91" max="91" width="22.7109375" style="3" bestFit="1" customWidth="1"/>
    <col min="92" max="16384" width="7.42578125" style="3"/>
  </cols>
  <sheetData>
    <row r="1" spans="1:91" ht="13.5" thickBot="1" x14ac:dyDescent="0.25">
      <c r="C1" s="2"/>
      <c r="D1" s="2"/>
    </row>
    <row r="2" spans="1:91" ht="22.15" customHeight="1" thickBot="1" x14ac:dyDescent="0.25">
      <c r="A2" s="4" t="s">
        <v>0</v>
      </c>
      <c r="B2" s="5"/>
      <c r="C2" s="5"/>
      <c r="D2" s="5"/>
      <c r="E2" s="5"/>
      <c r="F2" s="6"/>
      <c r="G2" s="7" t="s">
        <v>1</v>
      </c>
      <c r="H2" s="8"/>
      <c r="I2" s="8"/>
      <c r="J2" s="8"/>
      <c r="K2" s="9"/>
      <c r="L2" s="7" t="s">
        <v>2</v>
      </c>
      <c r="M2" s="8"/>
      <c r="N2" s="8"/>
      <c r="O2" s="8"/>
      <c r="P2" s="9"/>
      <c r="Q2" s="7" t="s">
        <v>3</v>
      </c>
      <c r="R2" s="8"/>
      <c r="S2" s="8"/>
      <c r="T2" s="8"/>
      <c r="U2" s="9"/>
      <c r="V2" s="10"/>
      <c r="W2" s="11">
        <v>46023</v>
      </c>
      <c r="X2" s="12"/>
      <c r="Y2" s="12"/>
      <c r="Z2" s="12"/>
      <c r="AA2" s="13"/>
      <c r="AB2" s="14">
        <v>46054</v>
      </c>
      <c r="AC2" s="15"/>
      <c r="AD2" s="15"/>
      <c r="AE2" s="15"/>
      <c r="AF2" s="16"/>
      <c r="AG2" s="11">
        <v>46082</v>
      </c>
      <c r="AH2" s="12"/>
      <c r="AI2" s="12"/>
      <c r="AJ2" s="12"/>
      <c r="AK2" s="13"/>
      <c r="AL2" s="14">
        <v>46113</v>
      </c>
      <c r="AM2" s="15"/>
      <c r="AN2" s="15"/>
      <c r="AO2" s="15"/>
      <c r="AP2" s="16"/>
      <c r="AQ2" s="11">
        <v>46143</v>
      </c>
      <c r="AR2" s="12"/>
      <c r="AS2" s="12"/>
      <c r="AT2" s="12"/>
      <c r="AU2" s="13"/>
      <c r="AV2" s="14">
        <v>46174</v>
      </c>
      <c r="AW2" s="15"/>
      <c r="AX2" s="15"/>
      <c r="AY2" s="15"/>
      <c r="AZ2" s="16"/>
      <c r="BA2" s="11">
        <v>46204</v>
      </c>
      <c r="BB2" s="12"/>
      <c r="BC2" s="12"/>
      <c r="BD2" s="12"/>
      <c r="BE2" s="13"/>
      <c r="BF2" s="14">
        <v>46235</v>
      </c>
      <c r="BG2" s="15"/>
      <c r="BH2" s="15"/>
      <c r="BI2" s="15"/>
      <c r="BJ2" s="16"/>
      <c r="BK2" s="11">
        <v>46266</v>
      </c>
      <c r="BL2" s="12"/>
      <c r="BM2" s="12"/>
      <c r="BN2" s="12"/>
      <c r="BO2" s="13"/>
      <c r="BP2" s="14">
        <v>46296</v>
      </c>
      <c r="BQ2" s="15"/>
      <c r="BR2" s="15"/>
      <c r="BS2" s="15"/>
      <c r="BT2" s="16"/>
      <c r="BU2" s="11">
        <v>46327</v>
      </c>
      <c r="BV2" s="12"/>
      <c r="BW2" s="12"/>
      <c r="BX2" s="12"/>
      <c r="BY2" s="13"/>
      <c r="BZ2" s="14">
        <v>46357</v>
      </c>
      <c r="CA2" s="15"/>
      <c r="CB2" s="15"/>
      <c r="CC2" s="15"/>
      <c r="CD2" s="16"/>
      <c r="CE2" s="17" t="s">
        <v>4</v>
      </c>
      <c r="CF2" s="18"/>
      <c r="CG2" s="18"/>
      <c r="CH2" s="18"/>
      <c r="CI2" s="19"/>
    </row>
    <row r="3" spans="1:91" ht="14.45" customHeight="1" thickBot="1" x14ac:dyDescent="0.25">
      <c r="A3" s="4" t="s">
        <v>5</v>
      </c>
      <c r="B3" s="5"/>
      <c r="C3" s="5"/>
      <c r="D3" s="5"/>
      <c r="E3" s="5"/>
      <c r="F3" s="6"/>
      <c r="G3" s="20"/>
      <c r="H3" s="21"/>
      <c r="I3" s="21"/>
      <c r="J3" s="21"/>
      <c r="K3" s="22"/>
      <c r="L3" s="20"/>
      <c r="M3" s="21"/>
      <c r="N3" s="21"/>
      <c r="O3" s="21"/>
      <c r="P3" s="22"/>
      <c r="Q3" s="20"/>
      <c r="R3" s="21"/>
      <c r="S3" s="21"/>
      <c r="T3" s="21"/>
      <c r="U3" s="22"/>
      <c r="V3" s="23"/>
      <c r="W3" s="24"/>
      <c r="X3" s="25"/>
      <c r="Y3" s="25"/>
      <c r="Z3" s="25"/>
      <c r="AA3" s="26"/>
      <c r="AB3" s="27"/>
      <c r="AC3" s="28"/>
      <c r="AD3" s="28"/>
      <c r="AE3" s="28"/>
      <c r="AF3" s="29"/>
      <c r="AG3" s="24"/>
      <c r="AH3" s="25"/>
      <c r="AI3" s="25"/>
      <c r="AJ3" s="25"/>
      <c r="AK3" s="26"/>
      <c r="AL3" s="27"/>
      <c r="AM3" s="28"/>
      <c r="AN3" s="28"/>
      <c r="AO3" s="28"/>
      <c r="AP3" s="29"/>
      <c r="AQ3" s="24"/>
      <c r="AR3" s="25"/>
      <c r="AS3" s="25"/>
      <c r="AT3" s="25"/>
      <c r="AU3" s="26"/>
      <c r="AV3" s="27"/>
      <c r="AW3" s="28"/>
      <c r="AX3" s="28"/>
      <c r="AY3" s="28"/>
      <c r="AZ3" s="29"/>
      <c r="BA3" s="24"/>
      <c r="BB3" s="25"/>
      <c r="BC3" s="25"/>
      <c r="BD3" s="25"/>
      <c r="BE3" s="26"/>
      <c r="BF3" s="27"/>
      <c r="BG3" s="28"/>
      <c r="BH3" s="28"/>
      <c r="BI3" s="28"/>
      <c r="BJ3" s="29"/>
      <c r="BK3" s="24"/>
      <c r="BL3" s="25"/>
      <c r="BM3" s="25"/>
      <c r="BN3" s="25"/>
      <c r="BO3" s="26"/>
      <c r="BP3" s="27"/>
      <c r="BQ3" s="28"/>
      <c r="BR3" s="28"/>
      <c r="BS3" s="28"/>
      <c r="BT3" s="29"/>
      <c r="BU3" s="24"/>
      <c r="BV3" s="25"/>
      <c r="BW3" s="25"/>
      <c r="BX3" s="25"/>
      <c r="BY3" s="26"/>
      <c r="BZ3" s="27"/>
      <c r="CA3" s="28"/>
      <c r="CB3" s="28"/>
      <c r="CC3" s="28"/>
      <c r="CD3" s="29"/>
      <c r="CE3" s="30"/>
      <c r="CF3" s="31"/>
      <c r="CG3" s="31"/>
      <c r="CH3" s="31"/>
      <c r="CI3" s="32"/>
    </row>
    <row r="4" spans="1:91" ht="42.75" thickBot="1" x14ac:dyDescent="0.25">
      <c r="A4" s="33"/>
      <c r="B4" s="34" t="s">
        <v>6</v>
      </c>
      <c r="C4" s="35" t="s">
        <v>7</v>
      </c>
      <c r="D4" s="35" t="s">
        <v>8</v>
      </c>
      <c r="E4" s="36" t="s">
        <v>9</v>
      </c>
      <c r="F4" s="37" t="s">
        <v>10</v>
      </c>
      <c r="G4" s="38" t="s">
        <v>7</v>
      </c>
      <c r="H4" s="38" t="s">
        <v>8</v>
      </c>
      <c r="I4" s="34" t="s">
        <v>9</v>
      </c>
      <c r="J4" s="37" t="s">
        <v>10</v>
      </c>
      <c r="K4" s="34" t="s">
        <v>11</v>
      </c>
      <c r="L4" s="38" t="s">
        <v>7</v>
      </c>
      <c r="M4" s="38" t="s">
        <v>8</v>
      </c>
      <c r="N4" s="34" t="s">
        <v>9</v>
      </c>
      <c r="O4" s="37" t="s">
        <v>10</v>
      </c>
      <c r="P4" s="34" t="s">
        <v>11</v>
      </c>
      <c r="Q4" s="38" t="s">
        <v>7</v>
      </c>
      <c r="R4" s="38" t="s">
        <v>8</v>
      </c>
      <c r="S4" s="34" t="s">
        <v>9</v>
      </c>
      <c r="T4" s="37" t="s">
        <v>10</v>
      </c>
      <c r="U4" s="34" t="s">
        <v>11</v>
      </c>
      <c r="V4" s="37"/>
      <c r="W4" s="38" t="s">
        <v>7</v>
      </c>
      <c r="X4" s="38" t="s">
        <v>8</v>
      </c>
      <c r="Y4" s="34" t="s">
        <v>9</v>
      </c>
      <c r="Z4" s="37" t="s">
        <v>10</v>
      </c>
      <c r="AA4" s="34" t="s">
        <v>11</v>
      </c>
      <c r="AB4" s="38" t="s">
        <v>7</v>
      </c>
      <c r="AC4" s="38" t="s">
        <v>8</v>
      </c>
      <c r="AD4" s="34" t="s">
        <v>9</v>
      </c>
      <c r="AE4" s="37" t="s">
        <v>10</v>
      </c>
      <c r="AF4" s="34" t="s">
        <v>11</v>
      </c>
      <c r="AG4" s="38" t="s">
        <v>7</v>
      </c>
      <c r="AH4" s="38" t="s">
        <v>8</v>
      </c>
      <c r="AI4" s="34" t="s">
        <v>9</v>
      </c>
      <c r="AJ4" s="37" t="s">
        <v>10</v>
      </c>
      <c r="AK4" s="34" t="s">
        <v>11</v>
      </c>
      <c r="AL4" s="38" t="s">
        <v>7</v>
      </c>
      <c r="AM4" s="38" t="s">
        <v>8</v>
      </c>
      <c r="AN4" s="34" t="s">
        <v>9</v>
      </c>
      <c r="AO4" s="37" t="s">
        <v>10</v>
      </c>
      <c r="AP4" s="34" t="s">
        <v>11</v>
      </c>
      <c r="AQ4" s="38" t="s">
        <v>7</v>
      </c>
      <c r="AR4" s="38" t="s">
        <v>8</v>
      </c>
      <c r="AS4" s="34" t="s">
        <v>9</v>
      </c>
      <c r="AT4" s="37" t="s">
        <v>10</v>
      </c>
      <c r="AU4" s="34" t="s">
        <v>11</v>
      </c>
      <c r="AV4" s="38" t="s">
        <v>7</v>
      </c>
      <c r="AW4" s="38" t="s">
        <v>8</v>
      </c>
      <c r="AX4" s="34" t="s">
        <v>9</v>
      </c>
      <c r="AY4" s="37" t="s">
        <v>10</v>
      </c>
      <c r="AZ4" s="34" t="s">
        <v>11</v>
      </c>
      <c r="BA4" s="38" t="s">
        <v>7</v>
      </c>
      <c r="BB4" s="38" t="s">
        <v>8</v>
      </c>
      <c r="BC4" s="34" t="s">
        <v>9</v>
      </c>
      <c r="BD4" s="37" t="s">
        <v>10</v>
      </c>
      <c r="BE4" s="34" t="s">
        <v>11</v>
      </c>
      <c r="BF4" s="38" t="s">
        <v>7</v>
      </c>
      <c r="BG4" s="38" t="s">
        <v>8</v>
      </c>
      <c r="BH4" s="34" t="s">
        <v>9</v>
      </c>
      <c r="BI4" s="37" t="s">
        <v>10</v>
      </c>
      <c r="BJ4" s="34" t="s">
        <v>11</v>
      </c>
      <c r="BK4" s="38" t="s">
        <v>7</v>
      </c>
      <c r="BL4" s="38" t="s">
        <v>8</v>
      </c>
      <c r="BM4" s="34" t="s">
        <v>9</v>
      </c>
      <c r="BN4" s="37" t="s">
        <v>10</v>
      </c>
      <c r="BO4" s="34" t="s">
        <v>11</v>
      </c>
      <c r="BP4" s="38" t="s">
        <v>7</v>
      </c>
      <c r="BQ4" s="38" t="s">
        <v>8</v>
      </c>
      <c r="BR4" s="34" t="s">
        <v>9</v>
      </c>
      <c r="BS4" s="37" t="s">
        <v>10</v>
      </c>
      <c r="BT4" s="34" t="s">
        <v>11</v>
      </c>
      <c r="BU4" s="38" t="s">
        <v>7</v>
      </c>
      <c r="BV4" s="38" t="s">
        <v>8</v>
      </c>
      <c r="BW4" s="34" t="s">
        <v>9</v>
      </c>
      <c r="BX4" s="37" t="s">
        <v>10</v>
      </c>
      <c r="BY4" s="34" t="s">
        <v>11</v>
      </c>
      <c r="BZ4" s="38" t="s">
        <v>7</v>
      </c>
      <c r="CA4" s="38" t="s">
        <v>8</v>
      </c>
      <c r="CB4" s="34" t="s">
        <v>9</v>
      </c>
      <c r="CC4" s="37" t="s">
        <v>10</v>
      </c>
      <c r="CD4" s="34" t="s">
        <v>11</v>
      </c>
      <c r="CE4" s="38" t="s">
        <v>7</v>
      </c>
      <c r="CF4" s="38" t="s">
        <v>8</v>
      </c>
      <c r="CG4" s="34" t="s">
        <v>9</v>
      </c>
      <c r="CH4" s="37" t="s">
        <v>10</v>
      </c>
      <c r="CI4" s="34" t="s">
        <v>11</v>
      </c>
      <c r="CK4" s="2">
        <f>CK3-CK5</f>
        <v>-87095609.620000124</v>
      </c>
      <c r="CL4" s="3" t="s">
        <v>12</v>
      </c>
      <c r="CM4" s="3" t="s">
        <v>13</v>
      </c>
    </row>
    <row r="5" spans="1:91" s="46" customFormat="1" ht="24.6" customHeight="1" thickBot="1" x14ac:dyDescent="0.25">
      <c r="A5" s="39"/>
      <c r="B5" s="40" t="s">
        <v>14</v>
      </c>
      <c r="C5" s="41">
        <f>C6</f>
        <v>0</v>
      </c>
      <c r="D5" s="41">
        <f>D6</f>
        <v>0</v>
      </c>
      <c r="E5" s="42">
        <f>E6</f>
        <v>0</v>
      </c>
      <c r="F5" s="43"/>
      <c r="G5" s="42">
        <f>SUM(G6:G7)</f>
        <v>58184387.609999999</v>
      </c>
      <c r="H5" s="43">
        <f>SUM(H6:H7)</f>
        <v>0</v>
      </c>
      <c r="I5" s="43">
        <f>SUM(I6:I7)</f>
        <v>58184387.609999999</v>
      </c>
      <c r="J5" s="43"/>
      <c r="K5" s="43"/>
      <c r="L5" s="42">
        <f>SUM(L6:L7)</f>
        <v>555109963.8499999</v>
      </c>
      <c r="M5" s="43">
        <f>SUM(M6:M7)</f>
        <v>0</v>
      </c>
      <c r="N5" s="43">
        <f>SUM(N6:N7)</f>
        <v>555109963.8499999</v>
      </c>
      <c r="O5" s="43"/>
      <c r="P5" s="43"/>
      <c r="Q5" s="42">
        <f>SUM(Q6:Q7)</f>
        <v>275776758.70000005</v>
      </c>
      <c r="R5" s="43">
        <f>SUM(R6:R7)</f>
        <v>0</v>
      </c>
      <c r="S5" s="43">
        <f>SUM(S6:S7)</f>
        <v>275776758.70000005</v>
      </c>
      <c r="T5" s="43"/>
      <c r="U5" s="43"/>
      <c r="V5" s="42"/>
      <c r="W5" s="42">
        <f t="shared" ref="W5:Y5" si="0">SUM(W6:W7)</f>
        <v>52674592.140000008</v>
      </c>
      <c r="X5" s="42">
        <f t="shared" si="0"/>
        <v>0</v>
      </c>
      <c r="Y5" s="42">
        <f t="shared" si="0"/>
        <v>52674592.140000008</v>
      </c>
      <c r="Z5" s="43"/>
      <c r="AA5" s="43"/>
      <c r="AB5" s="42">
        <f t="shared" ref="AB5:AD5" si="1">SUM(AB6:AB7)</f>
        <v>38432968.660000004</v>
      </c>
      <c r="AC5" s="42">
        <f t="shared" si="1"/>
        <v>0</v>
      </c>
      <c r="AD5" s="42">
        <f t="shared" si="1"/>
        <v>38432968.660000004</v>
      </c>
      <c r="AE5" s="43"/>
      <c r="AF5" s="43"/>
      <c r="AG5" s="42">
        <f t="shared" ref="AG5:AI5" si="2">SUM(AG6:AG7)</f>
        <v>47650990.650000006</v>
      </c>
      <c r="AH5" s="42">
        <f t="shared" si="2"/>
        <v>0</v>
      </c>
      <c r="AI5" s="42">
        <f t="shared" si="2"/>
        <v>47650990.650000006</v>
      </c>
      <c r="AJ5" s="43"/>
      <c r="AK5" s="43"/>
      <c r="AL5" s="42">
        <f t="shared" ref="AL5:AN5" si="3">SUM(AL6:AL7)</f>
        <v>43532957.869999997</v>
      </c>
      <c r="AM5" s="42">
        <f t="shared" si="3"/>
        <v>0</v>
      </c>
      <c r="AN5" s="42">
        <f t="shared" si="3"/>
        <v>43532957.869999997</v>
      </c>
      <c r="AO5" s="43"/>
      <c r="AP5" s="43"/>
      <c r="AQ5" s="42">
        <f t="shared" ref="AQ5:AS5" si="4">SUM(AQ6:AQ7)</f>
        <v>43605205.859999992</v>
      </c>
      <c r="AR5" s="42">
        <f t="shared" si="4"/>
        <v>0</v>
      </c>
      <c r="AS5" s="42">
        <f t="shared" si="4"/>
        <v>43605205.859999992</v>
      </c>
      <c r="AT5" s="43"/>
      <c r="AU5" s="43"/>
      <c r="AV5" s="42">
        <f t="shared" ref="AV5:AX5" si="5">SUM(AV6:AV7)</f>
        <v>49880043.520000011</v>
      </c>
      <c r="AW5" s="42">
        <f t="shared" si="5"/>
        <v>0</v>
      </c>
      <c r="AX5" s="42">
        <f t="shared" si="5"/>
        <v>49880043.520000011</v>
      </c>
      <c r="AY5" s="43"/>
      <c r="AZ5" s="43"/>
      <c r="BA5" s="42">
        <f t="shared" ref="BA5:BC5" si="6">SUM(BA6:BA7)</f>
        <v>0</v>
      </c>
      <c r="BB5" s="42">
        <f t="shared" si="6"/>
        <v>0</v>
      </c>
      <c r="BC5" s="42">
        <f t="shared" si="6"/>
        <v>0</v>
      </c>
      <c r="BD5" s="43"/>
      <c r="BE5" s="43"/>
      <c r="BF5" s="42">
        <f t="shared" ref="BF5:BH5" si="7">SUM(BF6:BF7)</f>
        <v>0</v>
      </c>
      <c r="BG5" s="42">
        <f t="shared" si="7"/>
        <v>0</v>
      </c>
      <c r="BH5" s="42">
        <f t="shared" si="7"/>
        <v>0</v>
      </c>
      <c r="BI5" s="43"/>
      <c r="BJ5" s="43"/>
      <c r="BK5" s="42">
        <f t="shared" ref="BK5:BM5" si="8">SUM(BK6:BK7)</f>
        <v>0</v>
      </c>
      <c r="BL5" s="42">
        <f t="shared" si="8"/>
        <v>0</v>
      </c>
      <c r="BM5" s="42">
        <f t="shared" si="8"/>
        <v>0</v>
      </c>
      <c r="BN5" s="43"/>
      <c r="BO5" s="43"/>
      <c r="BP5" s="42">
        <f t="shared" ref="BP5:BR5" si="9">SUM(BP6:BP7)</f>
        <v>0</v>
      </c>
      <c r="BQ5" s="42">
        <f t="shared" si="9"/>
        <v>0</v>
      </c>
      <c r="BR5" s="42">
        <f t="shared" si="9"/>
        <v>0</v>
      </c>
      <c r="BS5" s="43"/>
      <c r="BT5" s="43"/>
      <c r="BU5" s="42">
        <f>SUM(BU6:BU7)</f>
        <v>0</v>
      </c>
      <c r="BV5" s="42">
        <f>SUM(BV6:BV7)</f>
        <v>0</v>
      </c>
      <c r="BW5" s="42">
        <f>SUM(BW6:BW7)</f>
        <v>0</v>
      </c>
      <c r="BX5" s="43"/>
      <c r="BY5" s="43"/>
      <c r="BZ5" s="42">
        <f>SUM(BZ6:BZ7)</f>
        <v>0</v>
      </c>
      <c r="CA5" s="42">
        <f>SUM(CA6:CA7)</f>
        <v>0</v>
      </c>
      <c r="CB5" s="42">
        <f>SUM(CB6:CB7)</f>
        <v>0</v>
      </c>
      <c r="CC5" s="43"/>
      <c r="CD5" s="43"/>
      <c r="CE5" s="43">
        <f>CE6+CE7</f>
        <v>889071110.16000009</v>
      </c>
      <c r="CF5" s="43">
        <f>CF6+CF7</f>
        <v>0</v>
      </c>
      <c r="CG5" s="43">
        <f>CG6+CG7</f>
        <v>889071110.16000009</v>
      </c>
      <c r="CH5" s="43"/>
      <c r="CI5" s="43"/>
      <c r="CJ5" s="44">
        <v>801975500.53999996</v>
      </c>
      <c r="CK5" s="44">
        <f>CG5-CJ5</f>
        <v>87095609.620000124</v>
      </c>
      <c r="CL5" s="45">
        <f>CG5*3%</f>
        <v>26672133.3048</v>
      </c>
      <c r="CM5" s="45">
        <f>CK5-CL5</f>
        <v>60423476.31520012</v>
      </c>
    </row>
    <row r="6" spans="1:91" s="57" customFormat="1" ht="24.6" customHeight="1" outlineLevel="1" x14ac:dyDescent="0.2">
      <c r="A6" s="47"/>
      <c r="B6" s="48" t="s">
        <v>15</v>
      </c>
      <c r="C6" s="49"/>
      <c r="D6" s="50"/>
      <c r="E6" s="51">
        <f>C6+D6</f>
        <v>0</v>
      </c>
      <c r="F6" s="52"/>
      <c r="G6" s="53">
        <v>58184387.609999999</v>
      </c>
      <c r="H6" s="53">
        <v>0</v>
      </c>
      <c r="I6" s="51">
        <f>G6+H6</f>
        <v>58184387.609999999</v>
      </c>
      <c r="J6" s="52"/>
      <c r="K6" s="54"/>
      <c r="L6" s="53">
        <v>458367925.56999993</v>
      </c>
      <c r="M6" s="53">
        <v>0</v>
      </c>
      <c r="N6" s="51">
        <f>L6+M6</f>
        <v>458367925.56999993</v>
      </c>
      <c r="O6" s="52"/>
      <c r="P6" s="54"/>
      <c r="Q6" s="53">
        <f>W6+AB6+AG6+AL6+AQ6+AV6+BA6+BF6+BK6+BP6+BU6+BZ6</f>
        <v>170807741.31</v>
      </c>
      <c r="R6" s="53">
        <f>X6+AC6+AH6+AM6+AR6+AW6+BB6+BG6+BL6+BQ6+BV6+CA6</f>
        <v>0</v>
      </c>
      <c r="S6" s="51">
        <f>Q6+R6</f>
        <v>170807741.31</v>
      </c>
      <c r="T6" s="52"/>
      <c r="U6" s="54"/>
      <c r="V6" s="53"/>
      <c r="W6" s="55">
        <f>381680.3+87001.1+41320.87+180060.3+49362+110000+152391.37+332607.32+564645.9+254435.71+140655.14+665529.82+605141.41+97101.22+439624.62+456704.41+628066.08+871429.49+806601.32+3244411.07+3777061.62+717104.94+1044259.58+136696.62</f>
        <v>15783892.209999999</v>
      </c>
      <c r="X6" s="52"/>
      <c r="Y6" s="51">
        <f t="shared" ref="Y6:Y7" si="10">W6+X6</f>
        <v>15783892.209999999</v>
      </c>
      <c r="Z6" s="52"/>
      <c r="AA6" s="54" t="s">
        <v>16</v>
      </c>
      <c r="AB6" s="55">
        <f>70158+204642.04+880665.66+215055.07+358441.6+554317.25+77133.91+174172.31+421404.47+84784.27+2798739.08+256651.32+175474.19+262338.24+28687.16+936063.55+315589.72+183899.95+136482.98+72883.7+273650.86+128481.95+533235.67+649054.58+454552.82+116725.38+652230.06+179400+365374.43+198829.25+295498.93+157601.62+381376.4+648454.67+1846254.92+1080140.02+230343.42+194130.37+33414.16+88801.27+191714.78+36000+1067993.64+96657.19+214864.4+238885.1+74210.24+84556.54+79626.8+570623.57+312843.78</f>
        <v>19683111.290000003</v>
      </c>
      <c r="AC6" s="52"/>
      <c r="AD6" s="51">
        <f t="shared" ref="AD6:AD7" si="11">AB6+AC6</f>
        <v>19683111.290000003</v>
      </c>
      <c r="AE6" s="52"/>
      <c r="AF6" s="54" t="s">
        <v>17</v>
      </c>
      <c r="AG6" s="55">
        <f>205838.58+281034+51610.49+147034.2+514812+357320.6+61961.2+243451.85+250218.16+156397.2+1535663.28+98917.08+55744.38+329869.1+59328.44+180538.54+116890.07+669912+451751.08+368985.04+86467.2+728882.51+853025.42+644436+10318.03+74346+502126.09+308369.77+16799.9+749478.4+13754.4+1318137.42+809124.43+572762.53+1608885.34+1570087.76+414457.91+83262.74+357200+61439.83+1616403.76+1229269.72+1285936.31+788093.65+593244.1+58505.68+109707.16+725868.96+621709.44+838488+204518.68+361798.74+261965.95+22101.85+216563.92+730384.02+38064.72+16799.9+199912.91+53456.03+183903.23+904583.17+1020692.75+271471.31+276237.77+47853.95+719844.28+248812.91+346259.05+75649.92+610098.32+269491.58+37410.16</f>
        <v>31905740.870000001</v>
      </c>
      <c r="AH6" s="52"/>
      <c r="AI6" s="51">
        <f t="shared" ref="AI6:AI7" si="12">AG6+AH6</f>
        <v>31905740.870000001</v>
      </c>
      <c r="AJ6" s="52"/>
      <c r="AK6" s="54" t="s">
        <v>18</v>
      </c>
      <c r="AL6" s="55">
        <f>26456.36+434577.17+49314.84+375095.6+851089.31+227494.68+853147.67+408210.05+154440.95+533638.78+401218.12+127037.4+237511.98+280948.86+799651.64+72883.7+45518.92+105411.36+82849.44+169576.32+60194.7+271218.83+297973.03+1246281.43+137772.5+175523.54+56199.84+397135.2+10538.17+808209.43+191087.3+13751.6+318540.46+50000+54829.74+1045265.59+15119.44+128493.23+223589.52+2377.76+71272.42+1107426.83+802163.52+647448.01+6399243.31+3433573.94+1076174.72+289016.33+1849771.74+1735437.84+65508.6+496451.05+7155.04+8324.8+3430.06+49437.98+642475.19+100787.09+148799.88+567296.83+1018327.01+152904.19+158957.32</f>
        <v>32571558.16</v>
      </c>
      <c r="AM6" s="52"/>
      <c r="AN6" s="51">
        <f t="shared" ref="AN6:AN7" si="13">AL6+AM6</f>
        <v>32571558.16</v>
      </c>
      <c r="AO6" s="52"/>
      <c r="AP6" s="54" t="s">
        <v>19</v>
      </c>
      <c r="AQ6" s="55">
        <f>68588.5+29830.68+41084.41+31851.2+370284.19+321484.08+99764.04+172405.02+273661.75+111636+218429.27+74373.19+1909138.04+54600+226458+124890.6+90055.12+1718618.65+616801.86+46737.52+8400+37212.86+839864.7+15655.32+901012.72+822133.99+508016.8+109105.22+1126402.87+51793.46+265993.4+1196282.02+202232.24+625248.82+20523.89+195937.62+122806.85+94985.36+66061.25+252486.14+42500.42+419281.03+117231.07+667236.62+208511.11+78238.14+208564.56+181816.84+41716.93+53815.04+63911.57+197224.25+78862.58+17526.56+3287158.13+1581808.81+289758.56+15975.48+74945.09+793279.18+89330.09+1690923.24+58416.24+324728.3+127410.23+26690.4+280720.9+229447.86+165877.88+838341.37+1322260.03+279748.38+243566.52+48501.68</f>
        <v>28208172.739999991</v>
      </c>
      <c r="AR6" s="52"/>
      <c r="AS6" s="51">
        <f t="shared" ref="AS6:AS7" si="14">AQ6+AR6</f>
        <v>28208172.739999991</v>
      </c>
      <c r="AT6" s="52"/>
      <c r="AU6" s="54" t="s">
        <v>20</v>
      </c>
      <c r="AV6" s="55">
        <f>1330245.34+78575.28+258930.48+195453.67+198825.89+1075246.39+3010223.3+174753.67+671338.49+48734.35+716284.8+550001.21+1383312.11+157649.92+160505.1+961432.9+80877.5+185386.79+1121219.47+643939+50049.72+2836155.66+1077716.98+210671.35+675489.78+161425.73+971795.18+45569.16+160145.82+453410.2+145307.04+175058.24+72763.2+427657.08+141275.98+61393.78+94476.34+199063.01+454712.71+56118+11703.7+37449.79+218135.26+619574.16+129846.52+6191.53+3564345.7+113011.03+1541.23+158300.92+591362.65+167901.42+924560.09+487361.81+3225993.95+29347.84+154589.58+153028.93+531515.42+54972.53+852635.48+1066826.12+85646.66+114713.36+85749.52+26899.87+32635.68+149372.27+1117530.3+123000+2078176.46+1134604.38+376545.59+45730.24+432599.2+214038.31+57034.4+223864.16+164380.94+1547970.7+71387.72</f>
        <v>42655266.040000007</v>
      </c>
      <c r="AW6" s="52"/>
      <c r="AX6" s="51">
        <f t="shared" ref="AX6:AX7" si="15">AV6+AW6</f>
        <v>42655266.040000007</v>
      </c>
      <c r="AY6" s="52"/>
      <c r="AZ6" s="54" t="s">
        <v>21</v>
      </c>
      <c r="BA6" s="55"/>
      <c r="BB6" s="52"/>
      <c r="BC6" s="51">
        <f t="shared" ref="BC6:BC7" si="16">BA6+BB6</f>
        <v>0</v>
      </c>
      <c r="BD6" s="52"/>
      <c r="BE6" s="54"/>
      <c r="BF6" s="55"/>
      <c r="BG6" s="52"/>
      <c r="BH6" s="51">
        <f t="shared" ref="BH6:BH7" si="17">BF6+BG6</f>
        <v>0</v>
      </c>
      <c r="BI6" s="52"/>
      <c r="BJ6" s="54"/>
      <c r="BK6" s="55"/>
      <c r="BL6" s="52"/>
      <c r="BM6" s="51">
        <f t="shared" ref="BM6:BM7" si="18">BK6+BL6</f>
        <v>0</v>
      </c>
      <c r="BN6" s="52"/>
      <c r="BO6" s="54"/>
      <c r="BP6" s="55"/>
      <c r="BQ6" s="52"/>
      <c r="BR6" s="51">
        <f t="shared" ref="BR6:BR7" si="19">BP6+BQ6</f>
        <v>0</v>
      </c>
      <c r="BS6" s="52"/>
      <c r="BT6" s="54"/>
      <c r="BU6" s="55"/>
      <c r="BV6" s="52"/>
      <c r="BW6" s="51">
        <f>BU6+BV6</f>
        <v>0</v>
      </c>
      <c r="BX6" s="52"/>
      <c r="BY6" s="54"/>
      <c r="BZ6" s="55"/>
      <c r="CA6" s="52"/>
      <c r="CB6" s="51">
        <f>BZ6+CA6</f>
        <v>0</v>
      </c>
      <c r="CC6" s="52"/>
      <c r="CD6" s="54"/>
      <c r="CE6" s="52">
        <f>G6+Q6+L6</f>
        <v>687360054.49000001</v>
      </c>
      <c r="CF6" s="52">
        <f>H6+R6+M6</f>
        <v>0</v>
      </c>
      <c r="CG6" s="51">
        <f>CE6+CF6</f>
        <v>687360054.49000001</v>
      </c>
      <c r="CH6" s="52"/>
      <c r="CI6" s="52"/>
      <c r="CJ6" s="56"/>
      <c r="CK6" s="56"/>
    </row>
    <row r="7" spans="1:91" s="57" customFormat="1" ht="24.6" customHeight="1" outlineLevel="1" collapsed="1" thickBot="1" x14ac:dyDescent="0.25">
      <c r="A7" s="47"/>
      <c r="B7" s="58" t="s">
        <v>22</v>
      </c>
      <c r="C7" s="59"/>
      <c r="D7" s="60"/>
      <c r="E7" s="51">
        <f>C7+D7</f>
        <v>0</v>
      </c>
      <c r="F7" s="61"/>
      <c r="G7" s="53">
        <v>0</v>
      </c>
      <c r="H7" s="52">
        <v>0</v>
      </c>
      <c r="I7" s="51">
        <f>G7+H7</f>
        <v>0</v>
      </c>
      <c r="J7" s="61"/>
      <c r="K7" s="62"/>
      <c r="L7" s="53">
        <v>96742038.280000001</v>
      </c>
      <c r="M7" s="52">
        <v>0</v>
      </c>
      <c r="N7" s="51">
        <f>L7+M7</f>
        <v>96742038.280000001</v>
      </c>
      <c r="O7" s="61"/>
      <c r="P7" s="62"/>
      <c r="Q7" s="53">
        <f>W7+AB7+AG7+AL7+AQ7+AV7+BA7+BF7+BK7+BP7+BU7+BZ7</f>
        <v>104969017.39000002</v>
      </c>
      <c r="R7" s="52">
        <f>X7+AC7+AH7+AM7+AR7+AW7+BB7+BG7+BL7+BQ7+BV7+CA7</f>
        <v>0</v>
      </c>
      <c r="S7" s="51">
        <f>Q7+R7</f>
        <v>104969017.39000002</v>
      </c>
      <c r="T7" s="61"/>
      <c r="U7" s="62"/>
      <c r="V7" s="63"/>
      <c r="W7" s="53">
        <f>173750.8+624736.36+216788.78+142472.23+340540.87+113080.73+472859.69+11218.7+127756.67+16105321.8+12271303.48+4775741.94+680533.06+834594.82</f>
        <v>36890699.930000007</v>
      </c>
      <c r="X7" s="52"/>
      <c r="Y7" s="51">
        <f t="shared" si="10"/>
        <v>36890699.930000007</v>
      </c>
      <c r="Z7" s="61"/>
      <c r="AA7" s="64" t="s">
        <v>23</v>
      </c>
      <c r="AB7" s="53">
        <f>760933.1+101323.01+175248.68+6064291.52+2025186.88+948000.72+128778.91+4877249.58+263397.67+3405447.3</f>
        <v>18749857.370000001</v>
      </c>
      <c r="AC7" s="52"/>
      <c r="AD7" s="51">
        <f t="shared" si="11"/>
        <v>18749857.370000001</v>
      </c>
      <c r="AE7" s="61"/>
      <c r="AF7" s="64" t="s">
        <v>23</v>
      </c>
      <c r="AG7" s="53">
        <f>757911.43+534487.27+66816.5+316021.19+473985.84+1858544.16+1903252.08+558791.04+786642.5+1287089.9+810456.9+2261017+159181.98+9341.91+91264.2+385.3+249155.48+211890.76+665070.24+850416.58+188494.61+747135.24+957897.67</f>
        <v>15745249.780000001</v>
      </c>
      <c r="AH7" s="52"/>
      <c r="AI7" s="51">
        <f t="shared" si="12"/>
        <v>15745249.780000001</v>
      </c>
      <c r="AJ7" s="61"/>
      <c r="AK7" s="64" t="s">
        <v>23</v>
      </c>
      <c r="AL7" s="53">
        <f>369351.26+592976.74+1453541.26+522986.47+187333.69+2300166+3066281.3+2126372.27+342390.72</f>
        <v>10961399.709999999</v>
      </c>
      <c r="AM7" s="52"/>
      <c r="AN7" s="51">
        <f t="shared" si="13"/>
        <v>10961399.709999999</v>
      </c>
      <c r="AO7" s="61"/>
      <c r="AP7" s="64" t="s">
        <v>23</v>
      </c>
      <c r="AQ7" s="53">
        <f>1079319+7843.2+25484.82+2349.06+416557.1+564059.3+567424.72+8952631.25+190096.46+164770.84+459590.47+257199.62+202858.79+700848.73+869690.9+197995.75+179102.99+148107+411103.12</f>
        <v>15397033.119999999</v>
      </c>
      <c r="AR7" s="52"/>
      <c r="AS7" s="51">
        <f t="shared" si="14"/>
        <v>15397033.119999999</v>
      </c>
      <c r="AT7" s="61"/>
      <c r="AU7" s="64" t="s">
        <v>23</v>
      </c>
      <c r="AV7" s="53">
        <f>1689637.55+4885505.48+649634.45</f>
        <v>7224777.4800000004</v>
      </c>
      <c r="AW7" s="52"/>
      <c r="AX7" s="51">
        <f t="shared" si="15"/>
        <v>7224777.4800000004</v>
      </c>
      <c r="AY7" s="61"/>
      <c r="AZ7" s="64" t="s">
        <v>24</v>
      </c>
      <c r="BA7" s="53"/>
      <c r="BB7" s="52"/>
      <c r="BC7" s="51">
        <f t="shared" si="16"/>
        <v>0</v>
      </c>
      <c r="BD7" s="61"/>
      <c r="BE7" s="64"/>
      <c r="BF7" s="53"/>
      <c r="BG7" s="52"/>
      <c r="BH7" s="51">
        <f t="shared" si="17"/>
        <v>0</v>
      </c>
      <c r="BI7" s="61"/>
      <c r="BJ7" s="64"/>
      <c r="BK7" s="53"/>
      <c r="BL7" s="52"/>
      <c r="BM7" s="51">
        <f t="shared" si="18"/>
        <v>0</v>
      </c>
      <c r="BN7" s="61"/>
      <c r="BO7" s="64"/>
      <c r="BP7" s="53"/>
      <c r="BQ7" s="52"/>
      <c r="BR7" s="51">
        <f t="shared" si="19"/>
        <v>0</v>
      </c>
      <c r="BS7" s="61"/>
      <c r="BT7" s="64"/>
      <c r="BU7" s="53"/>
      <c r="BV7" s="52"/>
      <c r="BW7" s="51">
        <f>BU7+BV7</f>
        <v>0</v>
      </c>
      <c r="BX7" s="61"/>
      <c r="BY7" s="64"/>
      <c r="BZ7" s="53"/>
      <c r="CA7" s="52"/>
      <c r="CB7" s="51">
        <f>BZ7+CA7</f>
        <v>0</v>
      </c>
      <c r="CC7" s="61"/>
      <c r="CD7" s="64"/>
      <c r="CE7" s="52">
        <f>G7+Q7+L7</f>
        <v>201711055.67000002</v>
      </c>
      <c r="CF7" s="52">
        <f>H7+R7+M7</f>
        <v>0</v>
      </c>
      <c r="CG7" s="51">
        <f>CE7+CF7</f>
        <v>201711055.67000002</v>
      </c>
      <c r="CH7" s="61"/>
      <c r="CI7" s="61"/>
      <c r="CJ7" s="56"/>
      <c r="CK7" s="56"/>
    </row>
    <row r="8" spans="1:91" s="46" customFormat="1" ht="24.6" customHeight="1" thickBot="1" x14ac:dyDescent="0.25">
      <c r="A8" s="47"/>
      <c r="B8" s="40" t="s">
        <v>25</v>
      </c>
      <c r="C8" s="65">
        <f>SUM(C9:C33)</f>
        <v>0</v>
      </c>
      <c r="D8" s="65">
        <f>SUM(D9:D33)</f>
        <v>0</v>
      </c>
      <c r="E8" s="66">
        <f>SUM(E9:E33)</f>
        <v>0</v>
      </c>
      <c r="F8" s="67">
        <f>E8/$E$106</f>
        <v>0</v>
      </c>
      <c r="G8" s="65">
        <f>SUM(G9:G33)</f>
        <v>43791032.954000004</v>
      </c>
      <c r="H8" s="65">
        <f>SUM(H9:H33)</f>
        <v>4070966.56</v>
      </c>
      <c r="I8" s="66">
        <f>SUM(I9:I33)</f>
        <v>47861999.513999999</v>
      </c>
      <c r="J8" s="67">
        <f>I8/I$106</f>
        <v>0.9661185117838923</v>
      </c>
      <c r="K8" s="68"/>
      <c r="L8" s="65">
        <f>SUM(L9:L33)</f>
        <v>377788018.86289996</v>
      </c>
      <c r="M8" s="65">
        <f>SUM(M9:M33)</f>
        <v>36093692.25</v>
      </c>
      <c r="N8" s="66">
        <f>SUM(N9:N33)</f>
        <v>413881711.11289996</v>
      </c>
      <c r="O8" s="67">
        <f>N8/N$106</f>
        <v>0.97136246676028792</v>
      </c>
      <c r="P8" s="68"/>
      <c r="Q8" s="65">
        <f>SUM(Q9:Q33)</f>
        <v>187160840.51199999</v>
      </c>
      <c r="R8" s="65">
        <f>SUM(R9:R33)</f>
        <v>25824840.509999998</v>
      </c>
      <c r="S8" s="66">
        <f>SUM(S9:S33)</f>
        <v>212985681.02199998</v>
      </c>
      <c r="T8" s="67">
        <f>S8/S$106</f>
        <v>0.96231962429018691</v>
      </c>
      <c r="U8" s="68"/>
      <c r="V8" s="69"/>
      <c r="W8" s="65">
        <f t="shared" ref="W8:Y8" si="20">SUM(W9:W33)</f>
        <v>33333692.408</v>
      </c>
      <c r="X8" s="65">
        <f t="shared" si="20"/>
        <v>3287495.21</v>
      </c>
      <c r="Y8" s="66">
        <f t="shared" si="20"/>
        <v>36621187.618000001</v>
      </c>
      <c r="Z8" s="67">
        <f>Y8/Y$106</f>
        <v>0.96976186536806774</v>
      </c>
      <c r="AA8" s="68"/>
      <c r="AB8" s="65">
        <f t="shared" ref="AB8:AD8" si="21">SUM(AB9:AB33)</f>
        <v>28728789.127999999</v>
      </c>
      <c r="AC8" s="65">
        <f t="shared" si="21"/>
        <v>2963922.6399999997</v>
      </c>
      <c r="AD8" s="66">
        <f t="shared" si="21"/>
        <v>31692711.767999999</v>
      </c>
      <c r="AE8" s="67">
        <f>AD8/AD$106</f>
        <v>0.96083755692812867</v>
      </c>
      <c r="AF8" s="68"/>
      <c r="AG8" s="65">
        <f t="shared" ref="AG8:AI8" si="22">SUM(AG9:AG33)</f>
        <v>32263878.745999999</v>
      </c>
      <c r="AH8" s="65">
        <f t="shared" si="22"/>
        <v>5049711.34</v>
      </c>
      <c r="AI8" s="66">
        <f t="shared" si="22"/>
        <v>37313590.085999995</v>
      </c>
      <c r="AJ8" s="67">
        <f>AI8/AI$106</f>
        <v>0.96186940453685388</v>
      </c>
      <c r="AK8" s="68"/>
      <c r="AL8" s="65">
        <f t="shared" ref="AL8:AN8" si="23">SUM(AL9:AL33)</f>
        <v>31829068.666000001</v>
      </c>
      <c r="AM8" s="65">
        <f t="shared" si="23"/>
        <v>2900149.25</v>
      </c>
      <c r="AN8" s="66">
        <f t="shared" si="23"/>
        <v>34729217.916000001</v>
      </c>
      <c r="AO8" s="67">
        <f>AN8/AN$106</f>
        <v>0.96914686594003852</v>
      </c>
      <c r="AP8" s="68"/>
      <c r="AQ8" s="65">
        <f t="shared" ref="AQ8:AS8" si="24">SUM(AQ9:AQ33)</f>
        <v>28601964.600000001</v>
      </c>
      <c r="AR8" s="65">
        <f t="shared" si="24"/>
        <v>6147460.2600000007</v>
      </c>
      <c r="AS8" s="66">
        <f t="shared" si="24"/>
        <v>34749424.859999999</v>
      </c>
      <c r="AT8" s="67">
        <f>AS8/AS$106</f>
        <v>0.95456031672248876</v>
      </c>
      <c r="AU8" s="68"/>
      <c r="AV8" s="65">
        <f t="shared" ref="AV8:AX8" si="25">SUM(AV9:AV33)</f>
        <v>32403446.964000002</v>
      </c>
      <c r="AW8" s="65">
        <f t="shared" si="25"/>
        <v>5476101.8099999996</v>
      </c>
      <c r="AX8" s="66">
        <f t="shared" si="25"/>
        <v>37879548.773999996</v>
      </c>
      <c r="AY8" s="67">
        <f>AX8/AX$106</f>
        <v>0.95784697634598881</v>
      </c>
      <c r="AZ8" s="68"/>
      <c r="BA8" s="65">
        <f t="shared" ref="BA8:BC8" si="26">SUM(BA9:BA33)</f>
        <v>0</v>
      </c>
      <c r="BB8" s="65">
        <f t="shared" si="26"/>
        <v>0</v>
      </c>
      <c r="BC8" s="66">
        <f t="shared" si="26"/>
        <v>0</v>
      </c>
      <c r="BD8" s="67" t="e">
        <f>BC8/BC$106</f>
        <v>#DIV/0!</v>
      </c>
      <c r="BE8" s="68"/>
      <c r="BF8" s="65">
        <f t="shared" ref="BF8:BH8" si="27">SUM(BF9:BF33)</f>
        <v>0</v>
      </c>
      <c r="BG8" s="65">
        <f t="shared" si="27"/>
        <v>0</v>
      </c>
      <c r="BH8" s="66">
        <f t="shared" si="27"/>
        <v>0</v>
      </c>
      <c r="BI8" s="67" t="e">
        <f>BH8/BH$106</f>
        <v>#DIV/0!</v>
      </c>
      <c r="BJ8" s="68"/>
      <c r="BK8" s="65">
        <f t="shared" ref="BK8:BM8" si="28">SUM(BK9:BK33)</f>
        <v>0</v>
      </c>
      <c r="BL8" s="65">
        <f t="shared" si="28"/>
        <v>0</v>
      </c>
      <c r="BM8" s="66">
        <f t="shared" si="28"/>
        <v>0</v>
      </c>
      <c r="BN8" s="67" t="e">
        <f>BM8/BM$106</f>
        <v>#DIV/0!</v>
      </c>
      <c r="BO8" s="68"/>
      <c r="BP8" s="65">
        <f t="shared" ref="BP8:BR8" si="29">SUM(BP9:BP33)</f>
        <v>0</v>
      </c>
      <c r="BQ8" s="65">
        <f t="shared" si="29"/>
        <v>0</v>
      </c>
      <c r="BR8" s="66">
        <f t="shared" si="29"/>
        <v>0</v>
      </c>
      <c r="BS8" s="67" t="e">
        <f>BR8/BR$106</f>
        <v>#DIV/0!</v>
      </c>
      <c r="BT8" s="68"/>
      <c r="BU8" s="65">
        <f>SUM(BU9:BU33)</f>
        <v>0</v>
      </c>
      <c r="BV8" s="65">
        <f>SUM(BV9:BV33)</f>
        <v>0</v>
      </c>
      <c r="BW8" s="66">
        <f>SUM(BW9:BW33)</f>
        <v>0</v>
      </c>
      <c r="BX8" s="67" t="e">
        <f>BW8/BW$106</f>
        <v>#DIV/0!</v>
      </c>
      <c r="BY8" s="68"/>
      <c r="BZ8" s="65">
        <f>SUM(BZ9:BZ33)</f>
        <v>0</v>
      </c>
      <c r="CA8" s="65">
        <f>SUM(CA9:CA33)</f>
        <v>0</v>
      </c>
      <c r="CB8" s="66">
        <f>SUM(CB9:CB33)</f>
        <v>0</v>
      </c>
      <c r="CC8" s="67" t="e">
        <f>CB8/CB$106</f>
        <v>#DIV/0!</v>
      </c>
      <c r="CD8" s="68"/>
      <c r="CE8" s="65">
        <f>SUM(CE9:CE33)</f>
        <v>608739892.32889998</v>
      </c>
      <c r="CF8" s="65">
        <f>SUM(CF9:CF33)</f>
        <v>65989499.32</v>
      </c>
      <c r="CG8" s="66">
        <f>SUM(CG9:CG33)</f>
        <v>674729391.64890015</v>
      </c>
      <c r="CH8" s="67">
        <f>CG8/$CG$106</f>
        <v>0.96811804517257205</v>
      </c>
      <c r="CI8" s="43"/>
      <c r="CJ8" s="44"/>
      <c r="CK8" s="44"/>
    </row>
    <row r="9" spans="1:91" s="57" customFormat="1" ht="24.6" customHeight="1" x14ac:dyDescent="0.2">
      <c r="A9" s="47"/>
      <c r="B9" s="48" t="s">
        <v>26</v>
      </c>
      <c r="C9" s="70"/>
      <c r="D9" s="71"/>
      <c r="E9" s="72">
        <f t="shared" ref="E9:E33" si="30">C9+D9</f>
        <v>0</v>
      </c>
      <c r="F9" s="73">
        <f>E9/$E$106</f>
        <v>0</v>
      </c>
      <c r="G9" s="53">
        <v>184459.49</v>
      </c>
      <c r="H9" s="52">
        <v>91335</v>
      </c>
      <c r="I9" s="74">
        <f>G9+H9*1</f>
        <v>275794.49</v>
      </c>
      <c r="J9" s="75">
        <f>I9/I$106</f>
        <v>5.5670503727922793E-3</v>
      </c>
      <c r="K9" s="76"/>
      <c r="L9" s="53">
        <v>1477016.0299999998</v>
      </c>
      <c r="M9" s="52">
        <v>486725</v>
      </c>
      <c r="N9" s="74">
        <f>L9+M9*1</f>
        <v>1963741.0299999998</v>
      </c>
      <c r="O9" s="75">
        <f>N9/N$106</f>
        <v>4.608815223678374E-3</v>
      </c>
      <c r="P9" s="76"/>
      <c r="Q9" s="53">
        <f t="shared" ref="Q9:R33" si="31">W9+AB9+AG9+AL9+AQ9+AV9+BA9+BF9+BK9+BP9+BU9+BZ9</f>
        <v>1556604.86</v>
      </c>
      <c r="R9" s="52">
        <f t="shared" si="31"/>
        <v>147100</v>
      </c>
      <c r="S9" s="74">
        <f>Q9+R9*1</f>
        <v>1703704.86</v>
      </c>
      <c r="T9" s="75">
        <f>S9/S$106</f>
        <v>7.6977410542787396E-3</v>
      </c>
      <c r="U9" s="76"/>
      <c r="V9" s="77"/>
      <c r="W9" s="53">
        <f>17710+180762.45</f>
        <v>198472.45</v>
      </c>
      <c r="X9" s="52">
        <f>12300+11500</f>
        <v>23800</v>
      </c>
      <c r="Y9" s="78">
        <f t="shared" ref="Y9:Y33" si="32">W9+X9*1</f>
        <v>222272.45</v>
      </c>
      <c r="Z9" s="79">
        <f>Y9/Y$106</f>
        <v>5.885973660394974E-3</v>
      </c>
      <c r="AA9" s="80" t="s">
        <v>27</v>
      </c>
      <c r="AB9" s="53">
        <f>16413.66+230862.56</f>
        <v>247276.22</v>
      </c>
      <c r="AC9" s="52">
        <f>13600+15400</f>
        <v>29000</v>
      </c>
      <c r="AD9" s="78">
        <f t="shared" ref="AD9:AD33" si="33">AB9+AC9*1</f>
        <v>276276.21999999997</v>
      </c>
      <c r="AE9" s="79">
        <f>AD9/AD$106</f>
        <v>8.3759499725160336E-3</v>
      </c>
      <c r="AF9" s="54" t="s">
        <v>28</v>
      </c>
      <c r="AG9" s="53">
        <f>17094+215807.37</f>
        <v>232901.37</v>
      </c>
      <c r="AH9" s="52">
        <f>12900+13600</f>
        <v>26500</v>
      </c>
      <c r="AI9" s="78">
        <f t="shared" ref="AI9:AI33" si="34">AG9+AH9*1</f>
        <v>259401.37</v>
      </c>
      <c r="AJ9" s="79">
        <f>AI9/AI$106</f>
        <v>6.6868462863765013E-3</v>
      </c>
      <c r="AK9" s="80" t="s">
        <v>29</v>
      </c>
      <c r="AL9" s="53">
        <f>16940+224262.5</f>
        <v>241202.5</v>
      </c>
      <c r="AM9" s="52">
        <f>16100+13900</f>
        <v>30000</v>
      </c>
      <c r="AN9" s="78">
        <f t="shared" ref="AN9:AN33" si="35">AL9+AM9*1</f>
        <v>271202.5</v>
      </c>
      <c r="AO9" s="79">
        <f>AN9/AN$106</f>
        <v>7.5681247284584913E-3</v>
      </c>
      <c r="AP9" s="80" t="s">
        <v>30</v>
      </c>
      <c r="AQ9" s="53">
        <f>23369.14+312583.13</f>
        <v>335952.27</v>
      </c>
      <c r="AR9" s="52">
        <f>15000+13000</f>
        <v>28000</v>
      </c>
      <c r="AS9" s="78">
        <f t="shared" ref="AS9:AS33" si="36">AQ9+AR9*1</f>
        <v>363952.27</v>
      </c>
      <c r="AT9" s="79">
        <f>AS9/AS$106</f>
        <v>9.9977019914069664E-3</v>
      </c>
      <c r="AU9" s="54" t="s">
        <v>31</v>
      </c>
      <c r="AV9" s="53">
        <f>22710+278090.05</f>
        <v>300800.05</v>
      </c>
      <c r="AW9" s="52">
        <f>6000+3800</f>
        <v>9800</v>
      </c>
      <c r="AX9" s="78">
        <f t="shared" ref="AX9:AX33" si="37">AV9+AW9*1</f>
        <v>310600.05</v>
      </c>
      <c r="AY9" s="79">
        <f>AX9/AX$106</f>
        <v>7.8540354458925838E-3</v>
      </c>
      <c r="AZ9" s="54" t="s">
        <v>32</v>
      </c>
      <c r="BA9" s="53"/>
      <c r="BB9" s="52"/>
      <c r="BC9" s="78">
        <f t="shared" ref="BC9:BC33" si="38">BA9+BB9*1</f>
        <v>0</v>
      </c>
      <c r="BD9" s="79" t="e">
        <f>BC9/BC$106</f>
        <v>#DIV/0!</v>
      </c>
      <c r="BE9" s="80"/>
      <c r="BF9" s="53"/>
      <c r="BG9" s="52"/>
      <c r="BH9" s="78">
        <f t="shared" ref="BH9:BH33" si="39">BF9+BG9*1</f>
        <v>0</v>
      </c>
      <c r="BI9" s="79" t="e">
        <f>BH9/BH$106</f>
        <v>#DIV/0!</v>
      </c>
      <c r="BJ9" s="80"/>
      <c r="BK9" s="53"/>
      <c r="BL9" s="52"/>
      <c r="BM9" s="78">
        <f t="shared" ref="BM9:BM33" si="40">BK9+BL9*1</f>
        <v>0</v>
      </c>
      <c r="BN9" s="79" t="e">
        <f>BM9/BM$106</f>
        <v>#DIV/0!</v>
      </c>
      <c r="BO9" s="80"/>
      <c r="BP9" s="53"/>
      <c r="BQ9" s="52"/>
      <c r="BR9" s="78">
        <f t="shared" ref="BR9:BR33" si="41">BP9+BQ9*1</f>
        <v>0</v>
      </c>
      <c r="BS9" s="79" t="e">
        <f>BR9/BR$106</f>
        <v>#DIV/0!</v>
      </c>
      <c r="BT9" s="80"/>
      <c r="BU9" s="53"/>
      <c r="BV9" s="52"/>
      <c r="BW9" s="78">
        <f t="shared" ref="BW9:BW33" si="42">BU9+BV9*1</f>
        <v>0</v>
      </c>
      <c r="BX9" s="79" t="e">
        <f>BW9/BW$106</f>
        <v>#DIV/0!</v>
      </c>
      <c r="BY9" s="80"/>
      <c r="BZ9" s="53"/>
      <c r="CA9" s="52"/>
      <c r="CB9" s="78">
        <f t="shared" ref="CB9:CB33" si="43">BZ9+CA9*1</f>
        <v>0</v>
      </c>
      <c r="CC9" s="79" t="e">
        <f>CB9/CB$106</f>
        <v>#DIV/0!</v>
      </c>
      <c r="CD9" s="80"/>
      <c r="CE9" s="52">
        <f t="shared" ref="CE9:CF33" si="44">G9+Q9+L9</f>
        <v>3218080.38</v>
      </c>
      <c r="CF9" s="52">
        <f t="shared" si="44"/>
        <v>725160</v>
      </c>
      <c r="CG9" s="74">
        <f t="shared" ref="CG9:CG33" si="45">CE9+CF9*1</f>
        <v>3943240.38</v>
      </c>
      <c r="CH9" s="75">
        <f>CG9/$CG$106</f>
        <v>5.6578566393882881E-3</v>
      </c>
      <c r="CI9" s="76"/>
      <c r="CJ9" s="56">
        <f>3632640.33-28000</f>
        <v>3604640.33</v>
      </c>
      <c r="CK9" s="2">
        <f t="shared" ref="CK9:CK20" si="46">CJ9-CG9</f>
        <v>-338600.04999999981</v>
      </c>
    </row>
    <row r="10" spans="1:91" s="57" customFormat="1" ht="24.6" customHeight="1" x14ac:dyDescent="0.2">
      <c r="A10" s="47"/>
      <c r="B10" s="48" t="s">
        <v>33</v>
      </c>
      <c r="C10" s="70"/>
      <c r="D10" s="71"/>
      <c r="E10" s="72">
        <f t="shared" si="30"/>
        <v>0</v>
      </c>
      <c r="F10" s="73">
        <f>E10/$E$106</f>
        <v>0</v>
      </c>
      <c r="G10" s="53">
        <v>59542.020000000004</v>
      </c>
      <c r="H10" s="52">
        <v>0</v>
      </c>
      <c r="I10" s="74">
        <f t="shared" ref="I10:I33" si="47">G10+H10*1</f>
        <v>59542.020000000004</v>
      </c>
      <c r="J10" s="75">
        <f>I10/I$106</f>
        <v>1.2018855947332572E-3</v>
      </c>
      <c r="K10" s="81"/>
      <c r="L10" s="53">
        <v>454737.75</v>
      </c>
      <c r="M10" s="52">
        <v>0</v>
      </c>
      <c r="N10" s="74">
        <f t="shared" ref="N10:N33" si="48">L10+M10*1</f>
        <v>454737.75</v>
      </c>
      <c r="O10" s="75">
        <f>N10/N$106</f>
        <v>1.0672498221322242E-3</v>
      </c>
      <c r="P10" s="81"/>
      <c r="Q10" s="53">
        <f t="shared" si="31"/>
        <v>453683.61</v>
      </c>
      <c r="R10" s="52">
        <f t="shared" si="31"/>
        <v>0</v>
      </c>
      <c r="S10" s="74">
        <f t="shared" ref="S10:S33" si="49">Q10+R10*1</f>
        <v>453683.61</v>
      </c>
      <c r="T10" s="75">
        <f>S10/S$106</f>
        <v>2.0498497318076465E-3</v>
      </c>
      <c r="U10" s="81"/>
      <c r="V10" s="82"/>
      <c r="W10" s="53">
        <v>62488.69</v>
      </c>
      <c r="X10" s="52"/>
      <c r="Y10" s="74">
        <f t="shared" si="32"/>
        <v>62488.69</v>
      </c>
      <c r="Z10" s="75">
        <f>Y10/Y$106</f>
        <v>1.6547565090166902E-3</v>
      </c>
      <c r="AA10" s="81"/>
      <c r="AB10" s="53">
        <f>74483.96</f>
        <v>74483.960000000006</v>
      </c>
      <c r="AC10" s="52"/>
      <c r="AD10" s="74">
        <f t="shared" si="33"/>
        <v>74483.960000000006</v>
      </c>
      <c r="AE10" s="75">
        <f>AD10/AD$106</f>
        <v>2.2581528106721798E-3</v>
      </c>
      <c r="AF10" s="81"/>
      <c r="AG10" s="53">
        <v>69567.929999999993</v>
      </c>
      <c r="AH10" s="52"/>
      <c r="AI10" s="74">
        <f t="shared" si="34"/>
        <v>69567.929999999993</v>
      </c>
      <c r="AJ10" s="75">
        <f>AI10/AI$106</f>
        <v>1.7933215016227571E-3</v>
      </c>
      <c r="AK10" s="81"/>
      <c r="AL10" s="53">
        <v>67217.5</v>
      </c>
      <c r="AM10" s="52"/>
      <c r="AN10" s="74">
        <f t="shared" si="35"/>
        <v>67217.5</v>
      </c>
      <c r="AO10" s="75">
        <f>AN10/AN$106</f>
        <v>1.8757586081808194E-3</v>
      </c>
      <c r="AP10" s="81"/>
      <c r="AQ10" s="53">
        <v>104737.86</v>
      </c>
      <c r="AR10" s="52"/>
      <c r="AS10" s="74">
        <f t="shared" si="36"/>
        <v>104737.86</v>
      </c>
      <c r="AT10" s="75">
        <f>AS10/AS$106</f>
        <v>2.8771297717079883E-3</v>
      </c>
      <c r="AU10" s="54"/>
      <c r="AV10" s="53">
        <v>75187.67</v>
      </c>
      <c r="AW10" s="52"/>
      <c r="AX10" s="74">
        <f t="shared" si="37"/>
        <v>75187.67</v>
      </c>
      <c r="AY10" s="75">
        <f>AX10/AX$106</f>
        <v>1.9012444630130436E-3</v>
      </c>
      <c r="AZ10" s="54"/>
      <c r="BA10" s="53"/>
      <c r="BB10" s="52"/>
      <c r="BC10" s="74">
        <f t="shared" si="38"/>
        <v>0</v>
      </c>
      <c r="BD10" s="75" t="e">
        <f>BC10/BC$106</f>
        <v>#DIV/0!</v>
      </c>
      <c r="BE10" s="81"/>
      <c r="BF10" s="53"/>
      <c r="BG10" s="52"/>
      <c r="BH10" s="74">
        <f t="shared" si="39"/>
        <v>0</v>
      </c>
      <c r="BI10" s="75" t="e">
        <f>BH10/BH$106</f>
        <v>#DIV/0!</v>
      </c>
      <c r="BJ10" s="81"/>
      <c r="BK10" s="53"/>
      <c r="BL10" s="52"/>
      <c r="BM10" s="74">
        <f t="shared" si="40"/>
        <v>0</v>
      </c>
      <c r="BN10" s="75" t="e">
        <f>BM10/BM$106</f>
        <v>#DIV/0!</v>
      </c>
      <c r="BO10" s="81"/>
      <c r="BP10" s="53"/>
      <c r="BQ10" s="52"/>
      <c r="BR10" s="74">
        <f t="shared" si="41"/>
        <v>0</v>
      </c>
      <c r="BS10" s="75" t="e">
        <f>BR10/BR$106</f>
        <v>#DIV/0!</v>
      </c>
      <c r="BT10" s="81"/>
      <c r="BU10" s="53"/>
      <c r="BV10" s="52"/>
      <c r="BW10" s="74">
        <f t="shared" si="42"/>
        <v>0</v>
      </c>
      <c r="BX10" s="75" t="e">
        <f>BW10/BW$106</f>
        <v>#DIV/0!</v>
      </c>
      <c r="BY10" s="81"/>
      <c r="BZ10" s="53"/>
      <c r="CA10" s="52"/>
      <c r="CB10" s="74">
        <f t="shared" si="43"/>
        <v>0</v>
      </c>
      <c r="CC10" s="75" t="e">
        <f>CB10/CB$106</f>
        <v>#DIV/0!</v>
      </c>
      <c r="CD10" s="81"/>
      <c r="CE10" s="52">
        <f t="shared" si="44"/>
        <v>967963.38</v>
      </c>
      <c r="CF10" s="52">
        <f t="shared" si="44"/>
        <v>0</v>
      </c>
      <c r="CG10" s="74">
        <f t="shared" si="45"/>
        <v>967963.38</v>
      </c>
      <c r="CH10" s="75">
        <f>CG10/$CG$106</f>
        <v>1.3888572616558893E-3</v>
      </c>
      <c r="CI10" s="76"/>
      <c r="CJ10" s="56">
        <v>892775.71</v>
      </c>
      <c r="CK10" s="2">
        <f t="shared" si="46"/>
        <v>-75187.670000000042</v>
      </c>
    </row>
    <row r="11" spans="1:91" s="57" customFormat="1" ht="24.6" customHeight="1" x14ac:dyDescent="0.2">
      <c r="A11" s="47"/>
      <c r="B11" s="48" t="s">
        <v>34</v>
      </c>
      <c r="C11" s="70"/>
      <c r="D11" s="71"/>
      <c r="E11" s="72">
        <f t="shared" si="30"/>
        <v>0</v>
      </c>
      <c r="F11" s="73">
        <f>E11/$E$106</f>
        <v>0</v>
      </c>
      <c r="G11" s="53">
        <v>69973.890000000014</v>
      </c>
      <c r="H11" s="52">
        <v>0</v>
      </c>
      <c r="I11" s="74">
        <f t="shared" si="47"/>
        <v>69973.890000000014</v>
      </c>
      <c r="J11" s="75">
        <f>I11/I$106</f>
        <v>1.4124581329026044E-3</v>
      </c>
      <c r="K11" s="81"/>
      <c r="L11" s="53">
        <v>430511.49</v>
      </c>
      <c r="M11" s="52">
        <v>0</v>
      </c>
      <c r="N11" s="74">
        <f t="shared" si="48"/>
        <v>430511.49</v>
      </c>
      <c r="O11" s="75">
        <f>N11/N$106</f>
        <v>1.0103918382152765E-3</v>
      </c>
      <c r="P11" s="81"/>
      <c r="Q11" s="53">
        <f t="shared" si="31"/>
        <v>423741.41</v>
      </c>
      <c r="R11" s="52">
        <f t="shared" si="31"/>
        <v>0</v>
      </c>
      <c r="S11" s="74">
        <f t="shared" si="49"/>
        <v>423741.41</v>
      </c>
      <c r="T11" s="75">
        <f>S11/S$106</f>
        <v>1.9145637984239589E-3</v>
      </c>
      <c r="U11" s="81"/>
      <c r="V11" s="82"/>
      <c r="W11" s="53">
        <v>59771.79</v>
      </c>
      <c r="X11" s="52"/>
      <c r="Y11" s="74">
        <f t="shared" si="32"/>
        <v>59771.79</v>
      </c>
      <c r="Z11" s="75">
        <f>Y11/Y$106</f>
        <v>1.5828105623286184E-3</v>
      </c>
      <c r="AA11" s="81"/>
      <c r="AB11" s="53">
        <f>68187.8</f>
        <v>68187.8</v>
      </c>
      <c r="AC11" s="52"/>
      <c r="AD11" s="74">
        <f t="shared" si="33"/>
        <v>68187.8</v>
      </c>
      <c r="AE11" s="75">
        <f>AD11/AD$106</f>
        <v>2.0672702179576979E-3</v>
      </c>
      <c r="AF11" s="81"/>
      <c r="AG11" s="53">
        <v>63485.5</v>
      </c>
      <c r="AH11" s="52"/>
      <c r="AI11" s="74">
        <f t="shared" si="34"/>
        <v>63485.5</v>
      </c>
      <c r="AJ11" s="75">
        <f>AI11/AI$106</f>
        <v>1.6365286733595716E-3</v>
      </c>
      <c r="AK11" s="81"/>
      <c r="AL11" s="53">
        <v>65585.45</v>
      </c>
      <c r="AM11" s="52"/>
      <c r="AN11" s="74">
        <f t="shared" si="35"/>
        <v>65585.45</v>
      </c>
      <c r="AO11" s="75">
        <f>AN11/AN$106</f>
        <v>1.8302149352313417E-3</v>
      </c>
      <c r="AP11" s="81"/>
      <c r="AQ11" s="53">
        <v>97544.62</v>
      </c>
      <c r="AR11" s="52"/>
      <c r="AS11" s="74">
        <f t="shared" si="36"/>
        <v>97544.62</v>
      </c>
      <c r="AT11" s="75">
        <f>AS11/AS$106</f>
        <v>2.6795327904536375E-3</v>
      </c>
      <c r="AU11" s="54"/>
      <c r="AV11" s="53">
        <v>69166.25</v>
      </c>
      <c r="AW11" s="52"/>
      <c r="AX11" s="74">
        <f t="shared" si="37"/>
        <v>69166.25</v>
      </c>
      <c r="AY11" s="75">
        <f>AX11/AX$106</f>
        <v>1.7489829095631759E-3</v>
      </c>
      <c r="AZ11" s="54"/>
      <c r="BA11" s="53"/>
      <c r="BB11" s="52"/>
      <c r="BC11" s="74">
        <f t="shared" si="38"/>
        <v>0</v>
      </c>
      <c r="BD11" s="75" t="e">
        <f>BC11/BC$106</f>
        <v>#DIV/0!</v>
      </c>
      <c r="BE11" s="81"/>
      <c r="BF11" s="53"/>
      <c r="BG11" s="52"/>
      <c r="BH11" s="74">
        <f t="shared" si="39"/>
        <v>0</v>
      </c>
      <c r="BI11" s="75" t="e">
        <f>BH11/BH$106</f>
        <v>#DIV/0!</v>
      </c>
      <c r="BJ11" s="81"/>
      <c r="BK11" s="53"/>
      <c r="BL11" s="52"/>
      <c r="BM11" s="74">
        <f t="shared" si="40"/>
        <v>0</v>
      </c>
      <c r="BN11" s="75" t="e">
        <f>BM11/BM$106</f>
        <v>#DIV/0!</v>
      </c>
      <c r="BO11" s="81"/>
      <c r="BP11" s="53"/>
      <c r="BQ11" s="52"/>
      <c r="BR11" s="74">
        <f t="shared" si="41"/>
        <v>0</v>
      </c>
      <c r="BS11" s="75" t="e">
        <f>BR11/BR$106</f>
        <v>#DIV/0!</v>
      </c>
      <c r="BT11" s="81"/>
      <c r="BU11" s="53"/>
      <c r="BV11" s="52"/>
      <c r="BW11" s="74">
        <f t="shared" si="42"/>
        <v>0</v>
      </c>
      <c r="BX11" s="75" t="e">
        <f>BW11/BW$106</f>
        <v>#DIV/0!</v>
      </c>
      <c r="BY11" s="81"/>
      <c r="BZ11" s="53"/>
      <c r="CA11" s="52"/>
      <c r="CB11" s="74">
        <f t="shared" si="43"/>
        <v>0</v>
      </c>
      <c r="CC11" s="75" t="e">
        <f>CB11/CB$106</f>
        <v>#DIV/0!</v>
      </c>
      <c r="CD11" s="81"/>
      <c r="CE11" s="52">
        <f t="shared" si="44"/>
        <v>924226.79</v>
      </c>
      <c r="CF11" s="52">
        <f t="shared" si="44"/>
        <v>0</v>
      </c>
      <c r="CG11" s="74">
        <f t="shared" si="45"/>
        <v>924226.79</v>
      </c>
      <c r="CH11" s="75">
        <f>CG11/$CG$106</f>
        <v>1.3261029448329055E-3</v>
      </c>
      <c r="CI11" s="76"/>
      <c r="CJ11" s="56">
        <v>855060.54</v>
      </c>
      <c r="CK11" s="2">
        <f t="shared" si="46"/>
        <v>-69166.25</v>
      </c>
    </row>
    <row r="12" spans="1:91" s="57" customFormat="1" ht="24.6" customHeight="1" x14ac:dyDescent="0.2">
      <c r="A12" s="47"/>
      <c r="B12" s="48" t="s">
        <v>35</v>
      </c>
      <c r="C12" s="70"/>
      <c r="D12" s="71"/>
      <c r="E12" s="72">
        <f t="shared" si="30"/>
        <v>0</v>
      </c>
      <c r="F12" s="73">
        <f>E12/$E$106</f>
        <v>0</v>
      </c>
      <c r="G12" s="53">
        <v>203877.72000000003</v>
      </c>
      <c r="H12" s="52">
        <v>593272.5</v>
      </c>
      <c r="I12" s="74">
        <f t="shared" si="47"/>
        <v>797150.22</v>
      </c>
      <c r="J12" s="75">
        <f>I12/I$106</f>
        <v>1.6090877774325541E-2</v>
      </c>
      <c r="K12" s="83"/>
      <c r="L12" s="53">
        <v>1865116.02</v>
      </c>
      <c r="M12" s="52">
        <v>3037784.4299999997</v>
      </c>
      <c r="N12" s="74">
        <f t="shared" si="48"/>
        <v>4902900.4499999993</v>
      </c>
      <c r="O12" s="75">
        <f>N12/N$106</f>
        <v>1.1506895201013115E-2</v>
      </c>
      <c r="P12" s="83"/>
      <c r="Q12" s="53">
        <f t="shared" si="31"/>
        <v>1430462.57</v>
      </c>
      <c r="R12" s="52">
        <f t="shared" si="31"/>
        <v>1858662.48</v>
      </c>
      <c r="S12" s="74">
        <f t="shared" si="49"/>
        <v>3289125.05</v>
      </c>
      <c r="T12" s="75">
        <f>S12/S$106</f>
        <v>1.4861044024985413E-2</v>
      </c>
      <c r="U12" s="83"/>
      <c r="V12" s="82"/>
      <c r="W12" s="53">
        <v>235021.64</v>
      </c>
      <c r="X12" s="52">
        <v>342883.33</v>
      </c>
      <c r="Y12" s="74">
        <f t="shared" si="32"/>
        <v>577904.97</v>
      </c>
      <c r="Z12" s="75">
        <f>Y12/Y$106</f>
        <v>1.5303441481980099E-2</v>
      </c>
      <c r="AA12" s="54" t="s">
        <v>36</v>
      </c>
      <c r="AB12" s="53">
        <f>263050.45+15076</f>
        <v>278126.45</v>
      </c>
      <c r="AC12" s="52">
        <v>318800</v>
      </c>
      <c r="AD12" s="74">
        <f t="shared" si="33"/>
        <v>596926.44999999995</v>
      </c>
      <c r="AE12" s="75">
        <f>AD12/AD$106</f>
        <v>1.8097200267441018E-2</v>
      </c>
      <c r="AF12" s="54" t="s">
        <v>37</v>
      </c>
      <c r="AG12" s="53">
        <v>242485.83</v>
      </c>
      <c r="AH12" s="52">
        <v>337793.44</v>
      </c>
      <c r="AI12" s="74">
        <f t="shared" si="34"/>
        <v>580279.27</v>
      </c>
      <c r="AJ12" s="75">
        <f>AI12/AI$106</f>
        <v>1.4958434034719121E-2</v>
      </c>
      <c r="AK12" s="54" t="s">
        <v>38</v>
      </c>
      <c r="AL12" s="53">
        <v>198132.64</v>
      </c>
      <c r="AM12" s="52">
        <v>309500</v>
      </c>
      <c r="AN12" s="74">
        <f t="shared" si="35"/>
        <v>507632.64000000001</v>
      </c>
      <c r="AO12" s="75">
        <f>AN12/AN$106</f>
        <v>1.4165898676290475E-2</v>
      </c>
      <c r="AP12" s="54" t="s">
        <v>39</v>
      </c>
      <c r="AQ12" s="53">
        <v>230437.72</v>
      </c>
      <c r="AR12" s="52">
        <v>336000</v>
      </c>
      <c r="AS12" s="74">
        <f t="shared" si="36"/>
        <v>566437.72</v>
      </c>
      <c r="AT12" s="75">
        <f>AS12/AS$106</f>
        <v>1.5559940102178841E-2</v>
      </c>
      <c r="AU12" s="54" t="s">
        <v>40</v>
      </c>
      <c r="AV12" s="53">
        <v>246258.29</v>
      </c>
      <c r="AW12" s="74">
        <v>213685.71</v>
      </c>
      <c r="AX12" s="74">
        <f t="shared" si="37"/>
        <v>459944</v>
      </c>
      <c r="AY12" s="75">
        <f>AX12/AX$106</f>
        <v>1.1630443971678752E-2</v>
      </c>
      <c r="AZ12" s="54" t="s">
        <v>40</v>
      </c>
      <c r="BA12" s="53"/>
      <c r="BB12" s="52"/>
      <c r="BC12" s="74">
        <f t="shared" si="38"/>
        <v>0</v>
      </c>
      <c r="BD12" s="75" t="e">
        <f>BC12/BC$106</f>
        <v>#DIV/0!</v>
      </c>
      <c r="BE12" s="54"/>
      <c r="BF12" s="53"/>
      <c r="BG12" s="52"/>
      <c r="BH12" s="74">
        <f t="shared" si="39"/>
        <v>0</v>
      </c>
      <c r="BI12" s="75" t="e">
        <f>BH12/BH$106</f>
        <v>#DIV/0!</v>
      </c>
      <c r="BJ12" s="54"/>
      <c r="BK12" s="53"/>
      <c r="BL12" s="52"/>
      <c r="BM12" s="74">
        <f t="shared" si="40"/>
        <v>0</v>
      </c>
      <c r="BN12" s="75" t="e">
        <f>BM12/BM$106</f>
        <v>#DIV/0!</v>
      </c>
      <c r="BO12" s="54"/>
      <c r="BP12" s="53"/>
      <c r="BQ12" s="52"/>
      <c r="BR12" s="74">
        <f t="shared" si="41"/>
        <v>0</v>
      </c>
      <c r="BS12" s="75" t="e">
        <f>BR12/BR$106</f>
        <v>#DIV/0!</v>
      </c>
      <c r="BT12" s="54"/>
      <c r="BU12" s="53"/>
      <c r="BV12" s="52"/>
      <c r="BW12" s="74">
        <f t="shared" si="42"/>
        <v>0</v>
      </c>
      <c r="BX12" s="75" t="e">
        <f>BW12/BW$106</f>
        <v>#DIV/0!</v>
      </c>
      <c r="BY12" s="54"/>
      <c r="BZ12" s="53"/>
      <c r="CA12" s="52"/>
      <c r="CB12" s="74">
        <f t="shared" si="43"/>
        <v>0</v>
      </c>
      <c r="CC12" s="75" t="e">
        <f>CB12/CB$106</f>
        <v>#DIV/0!</v>
      </c>
      <c r="CD12" s="54"/>
      <c r="CE12" s="52">
        <f t="shared" si="44"/>
        <v>3499456.31</v>
      </c>
      <c r="CF12" s="52">
        <f t="shared" si="44"/>
        <v>5489719.4100000001</v>
      </c>
      <c r="CG12" s="74">
        <f t="shared" si="45"/>
        <v>8989175.7200000007</v>
      </c>
      <c r="CH12" s="75">
        <f>CG12/$CG$106</f>
        <v>1.2897886669041972E-2</v>
      </c>
      <c r="CI12" s="76"/>
      <c r="CJ12" s="56">
        <f>8529231.72-336000</f>
        <v>8193231.7200000007</v>
      </c>
      <c r="CK12" s="2">
        <f t="shared" si="46"/>
        <v>-795944</v>
      </c>
    </row>
    <row r="13" spans="1:91" s="57" customFormat="1" ht="24.6" customHeight="1" x14ac:dyDescent="0.2">
      <c r="A13" s="47"/>
      <c r="B13" s="48" t="s">
        <v>41</v>
      </c>
      <c r="C13" s="70"/>
      <c r="D13" s="71"/>
      <c r="E13" s="72">
        <f t="shared" si="30"/>
        <v>0</v>
      </c>
      <c r="F13" s="73">
        <f>E13/$E$106</f>
        <v>0</v>
      </c>
      <c r="G13" s="53">
        <v>53317.03</v>
      </c>
      <c r="H13" s="52">
        <v>0</v>
      </c>
      <c r="I13" s="74">
        <f t="shared" si="47"/>
        <v>53317.03</v>
      </c>
      <c r="J13" s="75">
        <f>I13/I$106</f>
        <v>1.0762310434036487E-3</v>
      </c>
      <c r="K13" s="83"/>
      <c r="L13" s="53">
        <v>552918.05000000005</v>
      </c>
      <c r="M13" s="52">
        <v>0</v>
      </c>
      <c r="N13" s="74">
        <f t="shared" si="48"/>
        <v>552918.05000000005</v>
      </c>
      <c r="O13" s="75">
        <f>N13/N$106</f>
        <v>1.2976747378377897E-3</v>
      </c>
      <c r="P13" s="83"/>
      <c r="Q13" s="53">
        <f t="shared" si="31"/>
        <v>413543.61</v>
      </c>
      <c r="R13" s="52">
        <f t="shared" si="31"/>
        <v>0</v>
      </c>
      <c r="S13" s="74">
        <f t="shared" si="49"/>
        <v>413543.61</v>
      </c>
      <c r="T13" s="75">
        <f>S13/S$106</f>
        <v>1.8684877288145058E-3</v>
      </c>
      <c r="U13" s="83"/>
      <c r="V13" s="82"/>
      <c r="W13" s="53">
        <v>70201.279999999999</v>
      </c>
      <c r="X13" s="52"/>
      <c r="Y13" s="74">
        <f t="shared" si="32"/>
        <v>70201.279999999999</v>
      </c>
      <c r="Z13" s="75">
        <f>Y13/Y$106</f>
        <v>1.8589928036786046E-3</v>
      </c>
      <c r="AA13" s="83"/>
      <c r="AB13" s="53">
        <v>81608.009999999995</v>
      </c>
      <c r="AC13" s="52"/>
      <c r="AD13" s="74">
        <f t="shared" si="33"/>
        <v>81608.009999999995</v>
      </c>
      <c r="AE13" s="75">
        <f>AD13/AD$106</f>
        <v>2.4741347956642387E-3</v>
      </c>
      <c r="AF13" s="83"/>
      <c r="AG13" s="53">
        <v>72430.84</v>
      </c>
      <c r="AH13" s="52"/>
      <c r="AI13" s="74">
        <f t="shared" si="34"/>
        <v>72430.84</v>
      </c>
      <c r="AJ13" s="75">
        <f>AI13/AI$106</f>
        <v>1.8671215709968323E-3</v>
      </c>
      <c r="AK13" s="83"/>
      <c r="AL13" s="53">
        <v>59853.279999999999</v>
      </c>
      <c r="AM13" s="52"/>
      <c r="AN13" s="74">
        <f t="shared" si="35"/>
        <v>59853.279999999999</v>
      </c>
      <c r="AO13" s="75">
        <f>AN13/AN$106</f>
        <v>1.6702541032894242E-3</v>
      </c>
      <c r="AP13" s="83"/>
      <c r="AQ13" s="53">
        <v>69419.429999999993</v>
      </c>
      <c r="AR13" s="52"/>
      <c r="AS13" s="74">
        <f t="shared" si="36"/>
        <v>69419.429999999993</v>
      </c>
      <c r="AT13" s="75">
        <f>AS13/AS$106</f>
        <v>1.9069389883276081E-3</v>
      </c>
      <c r="AU13" s="54"/>
      <c r="AV13" s="53">
        <v>60030.77</v>
      </c>
      <c r="AW13" s="52"/>
      <c r="AX13" s="74">
        <f t="shared" si="37"/>
        <v>60030.77</v>
      </c>
      <c r="AY13" s="75">
        <f>AX13/AX$106</f>
        <v>1.517977203880763E-3</v>
      </c>
      <c r="AZ13" s="54"/>
      <c r="BA13" s="53"/>
      <c r="BB13" s="52"/>
      <c r="BC13" s="74">
        <f t="shared" si="38"/>
        <v>0</v>
      </c>
      <c r="BD13" s="75" t="e">
        <f>BC13/BC$106</f>
        <v>#DIV/0!</v>
      </c>
      <c r="BE13" s="83"/>
      <c r="BF13" s="53"/>
      <c r="BG13" s="52"/>
      <c r="BH13" s="74">
        <f t="shared" si="39"/>
        <v>0</v>
      </c>
      <c r="BI13" s="75" t="e">
        <f>BH13/BH$106</f>
        <v>#DIV/0!</v>
      </c>
      <c r="BJ13" s="83"/>
      <c r="BK13" s="53"/>
      <c r="BL13" s="52"/>
      <c r="BM13" s="74">
        <f t="shared" si="40"/>
        <v>0</v>
      </c>
      <c r="BN13" s="75" t="e">
        <f>BM13/BM$106</f>
        <v>#DIV/0!</v>
      </c>
      <c r="BO13" s="83"/>
      <c r="BP13" s="53"/>
      <c r="BQ13" s="52"/>
      <c r="BR13" s="74">
        <f t="shared" si="41"/>
        <v>0</v>
      </c>
      <c r="BS13" s="75" t="e">
        <f>BR13/BR$106</f>
        <v>#DIV/0!</v>
      </c>
      <c r="BT13" s="83"/>
      <c r="BU13" s="53"/>
      <c r="BV13" s="52"/>
      <c r="BW13" s="74">
        <f t="shared" si="42"/>
        <v>0</v>
      </c>
      <c r="BX13" s="75" t="e">
        <f>BW13/BW$106</f>
        <v>#DIV/0!</v>
      </c>
      <c r="BY13" s="83"/>
      <c r="BZ13" s="53"/>
      <c r="CA13" s="52"/>
      <c r="CB13" s="74">
        <f t="shared" si="43"/>
        <v>0</v>
      </c>
      <c r="CC13" s="75" t="e">
        <f>CB13/CB$106</f>
        <v>#DIV/0!</v>
      </c>
      <c r="CD13" s="83"/>
      <c r="CE13" s="52">
        <f t="shared" si="44"/>
        <v>1019778.6900000001</v>
      </c>
      <c r="CF13" s="52">
        <f t="shared" si="44"/>
        <v>0</v>
      </c>
      <c r="CG13" s="74">
        <f t="shared" si="45"/>
        <v>1019778.6900000001</v>
      </c>
      <c r="CH13" s="75">
        <f>CG13/$CG$106</f>
        <v>1.4632031212672841E-3</v>
      </c>
      <c r="CI13" s="76"/>
      <c r="CJ13" s="56">
        <v>959747.92</v>
      </c>
      <c r="CK13" s="2">
        <f t="shared" si="46"/>
        <v>-60030.770000000019</v>
      </c>
    </row>
    <row r="14" spans="1:91" s="57" customFormat="1" ht="24.6" customHeight="1" x14ac:dyDescent="0.2">
      <c r="A14" s="47"/>
      <c r="B14" s="48" t="s">
        <v>42</v>
      </c>
      <c r="C14" s="70"/>
      <c r="D14" s="71"/>
      <c r="E14" s="72">
        <f t="shared" si="30"/>
        <v>0</v>
      </c>
      <c r="F14" s="73">
        <f>E14/$E$106</f>
        <v>0</v>
      </c>
      <c r="G14" s="53">
        <v>56582.84</v>
      </c>
      <c r="H14" s="52">
        <v>0</v>
      </c>
      <c r="I14" s="74">
        <f t="shared" si="47"/>
        <v>56582.84</v>
      </c>
      <c r="J14" s="75">
        <f>I14/I$106</f>
        <v>1.1421530593872483E-3</v>
      </c>
      <c r="K14" s="83"/>
      <c r="L14" s="53">
        <v>532826.34</v>
      </c>
      <c r="M14" s="52">
        <v>0</v>
      </c>
      <c r="N14" s="74">
        <f t="shared" si="48"/>
        <v>532826.34</v>
      </c>
      <c r="O14" s="75">
        <f>N14/N$106</f>
        <v>1.2505203638632685E-3</v>
      </c>
      <c r="P14" s="83"/>
      <c r="Q14" s="53">
        <f t="shared" si="31"/>
        <v>392832.69999999995</v>
      </c>
      <c r="R14" s="52">
        <f t="shared" si="31"/>
        <v>0</v>
      </c>
      <c r="S14" s="74">
        <f t="shared" si="49"/>
        <v>392832.69999999995</v>
      </c>
      <c r="T14" s="75">
        <f>S14/S$106</f>
        <v>1.7749109445242548E-3</v>
      </c>
      <c r="U14" s="83"/>
      <c r="V14" s="82"/>
      <c r="W14" s="53">
        <v>66599.039999999994</v>
      </c>
      <c r="X14" s="52"/>
      <c r="Y14" s="74">
        <f t="shared" si="32"/>
        <v>66599.039999999994</v>
      </c>
      <c r="Z14" s="75">
        <f>Y14/Y$106</f>
        <v>1.7636022604132508E-3</v>
      </c>
      <c r="AA14" s="83"/>
      <c r="AB14" s="53">
        <v>76429.149999999994</v>
      </c>
      <c r="AC14" s="52"/>
      <c r="AD14" s="74">
        <f t="shared" si="33"/>
        <v>76429.149999999994</v>
      </c>
      <c r="AE14" s="75">
        <f>AD14/AD$106</f>
        <v>2.3171257259923558E-3</v>
      </c>
      <c r="AF14" s="83"/>
      <c r="AG14" s="53">
        <v>68731.66</v>
      </c>
      <c r="AH14" s="52"/>
      <c r="AI14" s="74">
        <f t="shared" si="34"/>
        <v>68731.66</v>
      </c>
      <c r="AJ14" s="75">
        <f>AI14/AI$106</f>
        <v>1.7717641407502681E-3</v>
      </c>
      <c r="AK14" s="83"/>
      <c r="AL14" s="53">
        <v>57250.95</v>
      </c>
      <c r="AM14" s="52"/>
      <c r="AN14" s="74">
        <f t="shared" si="35"/>
        <v>57250.95</v>
      </c>
      <c r="AO14" s="75">
        <f>AN14/AN$106</f>
        <v>1.597633983546393E-3</v>
      </c>
      <c r="AP14" s="83"/>
      <c r="AQ14" s="53">
        <v>66401.17</v>
      </c>
      <c r="AR14" s="52"/>
      <c r="AS14" s="74">
        <f t="shared" si="36"/>
        <v>66401.17</v>
      </c>
      <c r="AT14" s="75">
        <f>AS14/AS$106</f>
        <v>1.8240279406438447E-3</v>
      </c>
      <c r="AU14" s="54"/>
      <c r="AV14" s="53">
        <v>57420.73</v>
      </c>
      <c r="AW14" s="52"/>
      <c r="AX14" s="74">
        <f t="shared" si="37"/>
        <v>57420.73</v>
      </c>
      <c r="AY14" s="75">
        <f>AX14/AX$106</f>
        <v>1.4519780301034328E-3</v>
      </c>
      <c r="AZ14" s="54"/>
      <c r="BA14" s="53"/>
      <c r="BB14" s="52"/>
      <c r="BC14" s="74">
        <f t="shared" si="38"/>
        <v>0</v>
      </c>
      <c r="BD14" s="75" t="e">
        <f>BC14/BC$106</f>
        <v>#DIV/0!</v>
      </c>
      <c r="BE14" s="83"/>
      <c r="BF14" s="53"/>
      <c r="BG14" s="52"/>
      <c r="BH14" s="74">
        <f t="shared" si="39"/>
        <v>0</v>
      </c>
      <c r="BI14" s="75" t="e">
        <f>BH14/BH$106</f>
        <v>#DIV/0!</v>
      </c>
      <c r="BJ14" s="83"/>
      <c r="BK14" s="53"/>
      <c r="BL14" s="52"/>
      <c r="BM14" s="74">
        <f t="shared" si="40"/>
        <v>0</v>
      </c>
      <c r="BN14" s="75" t="e">
        <f>BM14/BM$106</f>
        <v>#DIV/0!</v>
      </c>
      <c r="BO14" s="83"/>
      <c r="BP14" s="53"/>
      <c r="BQ14" s="52"/>
      <c r="BR14" s="74">
        <f t="shared" si="41"/>
        <v>0</v>
      </c>
      <c r="BS14" s="75" t="e">
        <f>BR14/BR$106</f>
        <v>#DIV/0!</v>
      </c>
      <c r="BT14" s="83"/>
      <c r="BU14" s="53"/>
      <c r="BV14" s="52"/>
      <c r="BW14" s="74">
        <f t="shared" si="42"/>
        <v>0</v>
      </c>
      <c r="BX14" s="75" t="e">
        <f>BW14/BW$106</f>
        <v>#DIV/0!</v>
      </c>
      <c r="BY14" s="83"/>
      <c r="BZ14" s="53"/>
      <c r="CA14" s="52"/>
      <c r="CB14" s="74">
        <f t="shared" si="43"/>
        <v>0</v>
      </c>
      <c r="CC14" s="75" t="e">
        <f>CB14/CB$106</f>
        <v>#DIV/0!</v>
      </c>
      <c r="CD14" s="83"/>
      <c r="CE14" s="52">
        <f t="shared" si="44"/>
        <v>982241.87999999989</v>
      </c>
      <c r="CF14" s="52">
        <f t="shared" si="44"/>
        <v>0</v>
      </c>
      <c r="CG14" s="74">
        <f t="shared" si="45"/>
        <v>982241.87999999989</v>
      </c>
      <c r="CH14" s="75">
        <f>CG14/$CG$106</f>
        <v>1.4093443986905089E-3</v>
      </c>
      <c r="CI14" s="76"/>
      <c r="CJ14" s="56">
        <v>924821.14999999991</v>
      </c>
      <c r="CK14" s="2">
        <f t="shared" si="46"/>
        <v>-57420.729999999981</v>
      </c>
    </row>
    <row r="15" spans="1:91" s="57" customFormat="1" ht="24.6" customHeight="1" x14ac:dyDescent="0.2">
      <c r="A15" s="47"/>
      <c r="B15" s="84" t="s">
        <v>43</v>
      </c>
      <c r="C15" s="70"/>
      <c r="D15" s="85"/>
      <c r="E15" s="72">
        <f t="shared" si="30"/>
        <v>0</v>
      </c>
      <c r="F15" s="73">
        <f>E15/$E$106</f>
        <v>0</v>
      </c>
      <c r="G15" s="53">
        <v>37474.68</v>
      </c>
      <c r="H15" s="52">
        <f>436250</f>
        <v>436250</v>
      </c>
      <c r="I15" s="74">
        <f t="shared" si="47"/>
        <v>473724.68</v>
      </c>
      <c r="J15" s="75">
        <f>I15/I$106</f>
        <v>9.5623707217461201E-3</v>
      </c>
      <c r="K15" s="83"/>
      <c r="L15" s="53">
        <v>0</v>
      </c>
      <c r="M15" s="52">
        <v>2015562.5</v>
      </c>
      <c r="N15" s="74">
        <f t="shared" si="48"/>
        <v>2015562.5</v>
      </c>
      <c r="O15" s="75">
        <f>N15/N$106</f>
        <v>4.7304379713832452E-3</v>
      </c>
      <c r="P15" s="83"/>
      <c r="Q15" s="53">
        <f t="shared" si="31"/>
        <v>0</v>
      </c>
      <c r="R15" s="52">
        <f t="shared" si="31"/>
        <v>1404100</v>
      </c>
      <c r="S15" s="74">
        <f t="shared" si="49"/>
        <v>1404100</v>
      </c>
      <c r="T15" s="75">
        <f>S15/S$106</f>
        <v>6.3440555157615605E-3</v>
      </c>
      <c r="U15" s="83"/>
      <c r="V15" s="82"/>
      <c r="W15" s="53"/>
      <c r="X15" s="52">
        <v>202400</v>
      </c>
      <c r="Y15" s="74">
        <f t="shared" si="32"/>
        <v>202400</v>
      </c>
      <c r="Z15" s="75">
        <f>Y15/Y$106</f>
        <v>5.3597333761513976E-3</v>
      </c>
      <c r="AA15" s="81"/>
      <c r="AB15" s="53"/>
      <c r="AC15" s="52">
        <v>194700</v>
      </c>
      <c r="AD15" s="74">
        <f t="shared" si="33"/>
        <v>194700</v>
      </c>
      <c r="AE15" s="75">
        <f>AD15/AD$106</f>
        <v>5.902778963925567E-3</v>
      </c>
      <c r="AF15" s="81"/>
      <c r="AG15" s="53"/>
      <c r="AH15" s="52">
        <v>199850</v>
      </c>
      <c r="AI15" s="74">
        <f t="shared" si="34"/>
        <v>199850</v>
      </c>
      <c r="AJ15" s="75">
        <f>AI15/AI$106</f>
        <v>5.1517315823441639E-3</v>
      </c>
      <c r="AK15" s="81"/>
      <c r="AL15" s="53"/>
      <c r="AM15" s="52">
        <v>240000</v>
      </c>
      <c r="AN15" s="74">
        <f t="shared" si="35"/>
        <v>240000</v>
      </c>
      <c r="AO15" s="75">
        <f>AN15/AN$106</f>
        <v>6.6973937733982468E-3</v>
      </c>
      <c r="AP15" s="81"/>
      <c r="AQ15" s="53"/>
      <c r="AR15" s="52">
        <v>257850</v>
      </c>
      <c r="AS15" s="74">
        <f t="shared" si="36"/>
        <v>257850</v>
      </c>
      <c r="AT15" s="75">
        <f>AS15/AS$106</f>
        <v>7.0830921276690655E-3</v>
      </c>
      <c r="AU15" s="54"/>
      <c r="AV15" s="53"/>
      <c r="AW15" s="52">
        <v>309300</v>
      </c>
      <c r="AX15" s="74">
        <f t="shared" si="37"/>
        <v>309300</v>
      </c>
      <c r="AY15" s="75">
        <f>AX15/AX$106</f>
        <v>7.8211615336654852E-3</v>
      </c>
      <c r="AZ15" s="54"/>
      <c r="BA15" s="53"/>
      <c r="BB15" s="52"/>
      <c r="BC15" s="74">
        <f t="shared" si="38"/>
        <v>0</v>
      </c>
      <c r="BD15" s="75" t="e">
        <f>BC15/BC$106</f>
        <v>#DIV/0!</v>
      </c>
      <c r="BE15" s="81"/>
      <c r="BF15" s="53"/>
      <c r="BG15" s="52"/>
      <c r="BH15" s="74">
        <f t="shared" si="39"/>
        <v>0</v>
      </c>
      <c r="BI15" s="75" t="e">
        <f>BH15/BH$106</f>
        <v>#DIV/0!</v>
      </c>
      <c r="BJ15" s="81"/>
      <c r="BK15" s="53"/>
      <c r="BL15" s="52"/>
      <c r="BM15" s="74">
        <f t="shared" si="40"/>
        <v>0</v>
      </c>
      <c r="BN15" s="75" t="e">
        <f>BM15/BM$106</f>
        <v>#DIV/0!</v>
      </c>
      <c r="BO15" s="81"/>
      <c r="BP15" s="53"/>
      <c r="BQ15" s="52"/>
      <c r="BR15" s="74">
        <f t="shared" si="41"/>
        <v>0</v>
      </c>
      <c r="BS15" s="75" t="e">
        <f>BR15/BR$106</f>
        <v>#DIV/0!</v>
      </c>
      <c r="BT15" s="81"/>
      <c r="BU15" s="53"/>
      <c r="BV15" s="52"/>
      <c r="BW15" s="74">
        <f t="shared" si="42"/>
        <v>0</v>
      </c>
      <c r="BX15" s="75" t="e">
        <f>BW15/BW$106</f>
        <v>#DIV/0!</v>
      </c>
      <c r="BY15" s="81"/>
      <c r="BZ15" s="53"/>
      <c r="CA15" s="52"/>
      <c r="CB15" s="74">
        <f t="shared" si="43"/>
        <v>0</v>
      </c>
      <c r="CC15" s="75" t="e">
        <f>CB15/CB$106</f>
        <v>#DIV/0!</v>
      </c>
      <c r="CD15" s="81"/>
      <c r="CE15" s="52">
        <f t="shared" si="44"/>
        <v>37474.68</v>
      </c>
      <c r="CF15" s="52">
        <f t="shared" si="44"/>
        <v>3855912.5</v>
      </c>
      <c r="CG15" s="74">
        <f t="shared" si="45"/>
        <v>3893387.18</v>
      </c>
      <c r="CH15" s="75">
        <f>CG15/$CG$106</f>
        <v>5.5863260626460324E-3</v>
      </c>
      <c r="CI15" s="76"/>
      <c r="CJ15" s="56">
        <v>3584087.18</v>
      </c>
      <c r="CK15" s="2">
        <f t="shared" si="46"/>
        <v>-309300</v>
      </c>
    </row>
    <row r="16" spans="1:91" s="57" customFormat="1" ht="24.6" customHeight="1" x14ac:dyDescent="0.2">
      <c r="A16" s="47"/>
      <c r="B16" s="84" t="s">
        <v>44</v>
      </c>
      <c r="C16" s="70"/>
      <c r="D16" s="85"/>
      <c r="E16" s="72">
        <f t="shared" si="30"/>
        <v>0</v>
      </c>
      <c r="F16" s="73">
        <f>E16/$E$106</f>
        <v>0</v>
      </c>
      <c r="G16" s="53">
        <v>0</v>
      </c>
      <c r="H16" s="52">
        <v>2622324</v>
      </c>
      <c r="I16" s="74">
        <f t="shared" si="47"/>
        <v>2622324</v>
      </c>
      <c r="J16" s="75">
        <f>I16/I$106</f>
        <v>5.2932927709259676E-2</v>
      </c>
      <c r="K16" s="86"/>
      <c r="L16" s="53">
        <v>0</v>
      </c>
      <c r="M16" s="52">
        <v>25485817.449999999</v>
      </c>
      <c r="N16" s="74">
        <f t="shared" si="48"/>
        <v>25485817.449999999</v>
      </c>
      <c r="O16" s="75">
        <f>N16/N$106</f>
        <v>5.9814110749342536E-2</v>
      </c>
      <c r="P16" s="86"/>
      <c r="Q16" s="53">
        <f t="shared" si="31"/>
        <v>0</v>
      </c>
      <c r="R16" s="52">
        <f t="shared" si="31"/>
        <v>16155397.029999999</v>
      </c>
      <c r="S16" s="74">
        <f t="shared" si="49"/>
        <v>16155397.029999999</v>
      </c>
      <c r="T16" s="75">
        <f>S16/S$106</f>
        <v>7.2993900461141958E-2</v>
      </c>
      <c r="U16" s="86"/>
      <c r="V16" s="82"/>
      <c r="W16" s="53"/>
      <c r="X16" s="74">
        <f>22270+11440+15226+37906+24000+15540+4719+123344+57202+5620+5551.8+80500+51800.6+3000+45015+22500+19172.23+80066.21+37385.55+107550+22220+17181.9+36880+30184+62178+13706.2+51444.06+27789+164270+34096.05+59175+9592+11985+17707.2+69030+34628+37023+3675+50503.2+19564+20700+51332.85+186384+79289.7+14432+16337.85+57150+29810+44793+9968+27818+7721+24027.88+30750+72520+19035+5000+72000+5000+84300+45300+34617.6+9000+23859</f>
        <v>2513785.88</v>
      </c>
      <c r="Y16" s="74">
        <f t="shared" si="32"/>
        <v>2513785.88</v>
      </c>
      <c r="Z16" s="75">
        <f>Y16/Y$106</f>
        <v>6.6567302774378015E-2</v>
      </c>
      <c r="AA16" s="54" t="s">
        <v>45</v>
      </c>
      <c r="AB16" s="53"/>
      <c r="AC16" s="52">
        <f>35112+9520+6737+47071.35+97800+11127.9+23640+52915+155394.45+25058+8000+97958.25+21000+13200+99144.24+11945+52896+42504+1453.5+19110+16650+121685.6+17750+116400+49082.4+22595+48554+17226+33000+33800+9570+28550+72415+68092.65+63000+41304.9+18141+18986+189364+32000+18000+8000+4200+805+24310+57886.5+19200+11790.9+18150+17680</f>
        <v>2029775.6399999997</v>
      </c>
      <c r="AD16" s="74">
        <f t="shared" si="33"/>
        <v>2029775.6399999997</v>
      </c>
      <c r="AE16" s="75">
        <f>AD16/AD$106</f>
        <v>6.1537323827840537E-2</v>
      </c>
      <c r="AF16" s="54" t="s">
        <v>46</v>
      </c>
      <c r="AG16" s="53"/>
      <c r="AH16" s="52">
        <f>63655.65+73700+57600+78700.65+25585+95568.84+9810+353376+4704+5782+19255+4200+22800+9372.59+24045+29955+109837+6000+50324.25+76102.2+7200+3090.6+31755+19910.4+75293+43000+55000+23125.45+2082.33+1996.4+2590+320+73270.5+28000+2632.5+1584+18000+6000+87990.3+133300+1845+32354.4+6415.2+4865+120068+39875+22198.5+31842+18880+36000+60380+75454+31500+19000+19096+122279+10720+6050+123503.64+19397+8473+22284+3519+5360+5000+9000+2310.9+16000+1464+78070.8+7500+49285+5750+17230+5700+80218.6+75669.6+36000+8164.5+9126+26460+7896.6+12280+28192.5</f>
        <v>3059190.9</v>
      </c>
      <c r="AI16" s="74">
        <f t="shared" si="34"/>
        <v>3059190.9</v>
      </c>
      <c r="AJ16" s="75">
        <f>AI16/AI$106</f>
        <v>7.8859796727294804E-2</v>
      </c>
      <c r="AK16" s="54" t="s">
        <v>47</v>
      </c>
      <c r="AL16" s="53"/>
      <c r="AM16" s="52">
        <f>14994+26365+78000+10860+5540+5600+30400+42168+216224+104553+24000+13491+8460+30625+57125+14418+3286.25+37107+27396+20481.6+14500+102500+121582.8+3124+18600+4790+33536+147960+11745+98966+21925+20240+19527.9+31043.7+32000+8625+111970+12864+1024+6000+2600+930+1860+22400+5940+35916+49100.4+4000+19248+19760+7036+13860+42560+3400+36465+18125+20250+32496+16653.6+4625+11328+24372+43080</f>
        <v>2029622.2499999998</v>
      </c>
      <c r="AN16" s="74">
        <f t="shared" si="35"/>
        <v>2029622.2499999998</v>
      </c>
      <c r="AO16" s="75">
        <f>AN16/AN$106</f>
        <v>5.6638247581252243E-2</v>
      </c>
      <c r="AP16" s="54" t="s">
        <v>48</v>
      </c>
      <c r="AQ16" s="53"/>
      <c r="AR16" s="52">
        <f>22201.6+8820+277128+43047.5+27500+12161+45902.27+2706+328950+9085+11600+2250+9018+78900+227200+40825.6+73311+2450+900+120+63347.44+24750.85+4800+119390.4+52616.7+65991.3+5500+56402.8+19152+55900+43750+36119.2+53575+2400+109694.5+15750+7905+3222+23826+774+17500+17250+4200+8060+25573.3+14400+148851.15+199797.6+8500+29462+26730+19559+9654+53346+1400+126112.2+14872+4000+8549+15750+6090+10124+7660+8821+15480+3000+110371.65+10175+10320+21368+6300+32648+62170+15000+108086.2+63924+34500+10848+2167+55368+21230+10860+2820</f>
        <v>3371840.2600000007</v>
      </c>
      <c r="AS16" s="74">
        <f t="shared" si="36"/>
        <v>3371840.2600000007</v>
      </c>
      <c r="AT16" s="75">
        <f>AS16/AS$106</f>
        <v>9.2623832466021419E-2</v>
      </c>
      <c r="AU16" s="54" t="s">
        <v>49</v>
      </c>
      <c r="AV16" s="53"/>
      <c r="AW16" s="52">
        <f>135405+51492+118078+64104+81120+77124+24540+23722+25867+21450+10200+127708.8+4700+900+3525+5250+21625+44280+139896+2170+13249+54402.9+29980+27250+29190+31125+10000+3275+16050+41300+27805+3163+48220+30912+11340+52885+169931.2+29484+2814+31560+11446+95936+3120+87452+228535+36750+29819.7+39846.3+10320+27875+45810+11350+13650+204672+31756.4+6543+68040+63291.72+40080+8800+29000+27800+18170+71535.15+12401.85+2688+47070+40936+8850+1080+3632+3060+35850+4800+8135.28+21423+37750+64814.8</f>
        <v>3151182.0999999996</v>
      </c>
      <c r="AX16" s="74">
        <f t="shared" si="37"/>
        <v>3151182.0999999996</v>
      </c>
      <c r="AY16" s="75">
        <f>AX16/AX$106</f>
        <v>7.9682845865163984E-2</v>
      </c>
      <c r="AZ16" s="54" t="s">
        <v>50</v>
      </c>
      <c r="BA16" s="53"/>
      <c r="BB16" s="52"/>
      <c r="BC16" s="74">
        <f t="shared" si="38"/>
        <v>0</v>
      </c>
      <c r="BD16" s="75" t="e">
        <f>BC16/BC$106</f>
        <v>#DIV/0!</v>
      </c>
      <c r="BE16" s="54"/>
      <c r="BF16" s="53"/>
      <c r="BG16" s="52"/>
      <c r="BH16" s="74">
        <f t="shared" si="39"/>
        <v>0</v>
      </c>
      <c r="BI16" s="75" t="e">
        <f>BH16/BH$106</f>
        <v>#DIV/0!</v>
      </c>
      <c r="BJ16" s="54"/>
      <c r="BK16" s="53"/>
      <c r="BL16" s="52"/>
      <c r="BM16" s="74">
        <f t="shared" si="40"/>
        <v>0</v>
      </c>
      <c r="BN16" s="75" t="e">
        <f>BM16/BM$106</f>
        <v>#DIV/0!</v>
      </c>
      <c r="BO16" s="54"/>
      <c r="BP16" s="53"/>
      <c r="BQ16" s="52"/>
      <c r="BR16" s="74">
        <f t="shared" si="41"/>
        <v>0</v>
      </c>
      <c r="BS16" s="75" t="e">
        <f>BR16/BR$106</f>
        <v>#DIV/0!</v>
      </c>
      <c r="BT16" s="54"/>
      <c r="BU16" s="53"/>
      <c r="BV16" s="52"/>
      <c r="BW16" s="74">
        <f t="shared" si="42"/>
        <v>0</v>
      </c>
      <c r="BX16" s="75" t="e">
        <f>BW16/BW$106</f>
        <v>#DIV/0!</v>
      </c>
      <c r="BY16" s="54"/>
      <c r="BZ16" s="53"/>
      <c r="CA16" s="52"/>
      <c r="CB16" s="74">
        <f t="shared" si="43"/>
        <v>0</v>
      </c>
      <c r="CC16" s="75" t="e">
        <f>CB16/CB$106</f>
        <v>#DIV/0!</v>
      </c>
      <c r="CD16" s="54"/>
      <c r="CE16" s="52">
        <f t="shared" si="44"/>
        <v>0</v>
      </c>
      <c r="CF16" s="52">
        <f t="shared" si="44"/>
        <v>44263538.480000004</v>
      </c>
      <c r="CG16" s="74">
        <f t="shared" si="45"/>
        <v>44263538.480000004</v>
      </c>
      <c r="CH16" s="75">
        <f>CG16/$CG$106</f>
        <v>6.3510395242982118E-2</v>
      </c>
      <c r="CI16" s="76"/>
      <c r="CJ16" s="56">
        <v>38763406.159999996</v>
      </c>
      <c r="CK16" s="2">
        <f t="shared" si="46"/>
        <v>-5500132.3200000077</v>
      </c>
    </row>
    <row r="17" spans="1:90" s="57" customFormat="1" ht="24.6" customHeight="1" x14ac:dyDescent="0.2">
      <c r="A17" s="47"/>
      <c r="B17" s="84" t="s">
        <v>51</v>
      </c>
      <c r="C17" s="70"/>
      <c r="D17" s="85"/>
      <c r="E17" s="72">
        <f t="shared" si="30"/>
        <v>0</v>
      </c>
      <c r="F17" s="73">
        <f>E17/$E$106</f>
        <v>0</v>
      </c>
      <c r="G17" s="53">
        <v>0</v>
      </c>
      <c r="H17" s="52">
        <v>40000</v>
      </c>
      <c r="I17" s="74">
        <f t="shared" si="47"/>
        <v>40000</v>
      </c>
      <c r="J17" s="75">
        <f>I17/I$106</f>
        <v>8.0742010078479511E-4</v>
      </c>
      <c r="K17" s="83"/>
      <c r="L17" s="53">
        <v>0</v>
      </c>
      <c r="M17" s="52">
        <v>386000</v>
      </c>
      <c r="N17" s="74">
        <f t="shared" si="48"/>
        <v>386000</v>
      </c>
      <c r="O17" s="75">
        <f>N17/N$106</f>
        <v>9.0592529725767998E-4</v>
      </c>
      <c r="P17" s="83"/>
      <c r="Q17" s="53">
        <f t="shared" si="31"/>
        <v>0</v>
      </c>
      <c r="R17" s="52">
        <f t="shared" si="31"/>
        <v>0</v>
      </c>
      <c r="S17" s="74">
        <f t="shared" si="49"/>
        <v>0</v>
      </c>
      <c r="T17" s="75">
        <f>S17/S$106</f>
        <v>0</v>
      </c>
      <c r="U17" s="83"/>
      <c r="V17" s="82"/>
      <c r="W17" s="53"/>
      <c r="X17" s="52"/>
      <c r="Y17" s="74">
        <f t="shared" si="32"/>
        <v>0</v>
      </c>
      <c r="Z17" s="75">
        <f>Y17/Y$106</f>
        <v>0</v>
      </c>
      <c r="AA17" s="54"/>
      <c r="AB17" s="53"/>
      <c r="AC17" s="52"/>
      <c r="AD17" s="74">
        <f t="shared" si="33"/>
        <v>0</v>
      </c>
      <c r="AE17" s="75">
        <f>AD17/AD$106</f>
        <v>0</v>
      </c>
      <c r="AF17" s="54"/>
      <c r="AG17" s="53"/>
      <c r="AH17" s="52"/>
      <c r="AI17" s="74">
        <f t="shared" si="34"/>
        <v>0</v>
      </c>
      <c r="AJ17" s="75">
        <f>AI17/AI$106</f>
        <v>0</v>
      </c>
      <c r="AK17" s="54"/>
      <c r="AL17" s="53"/>
      <c r="AM17" s="52"/>
      <c r="AN17" s="74">
        <f t="shared" si="35"/>
        <v>0</v>
      </c>
      <c r="AO17" s="75">
        <f>AN17/AN$106</f>
        <v>0</v>
      </c>
      <c r="AP17" s="54"/>
      <c r="AQ17" s="53"/>
      <c r="AR17" s="52"/>
      <c r="AS17" s="74">
        <f t="shared" si="36"/>
        <v>0</v>
      </c>
      <c r="AT17" s="75">
        <f>AS17/AS$106</f>
        <v>0</v>
      </c>
      <c r="AU17" s="54"/>
      <c r="AV17" s="53"/>
      <c r="AW17" s="52"/>
      <c r="AX17" s="74">
        <f t="shared" si="37"/>
        <v>0</v>
      </c>
      <c r="AY17" s="75">
        <f>AX17/AX$106</f>
        <v>0</v>
      </c>
      <c r="AZ17" s="54"/>
      <c r="BA17" s="53"/>
      <c r="BB17" s="52"/>
      <c r="BC17" s="74">
        <f t="shared" si="38"/>
        <v>0</v>
      </c>
      <c r="BD17" s="75" t="e">
        <f>BC17/BC$106</f>
        <v>#DIV/0!</v>
      </c>
      <c r="BE17" s="54"/>
      <c r="BF17" s="53"/>
      <c r="BG17" s="52"/>
      <c r="BH17" s="74">
        <f t="shared" si="39"/>
        <v>0</v>
      </c>
      <c r="BI17" s="75" t="e">
        <f>BH17/BH$106</f>
        <v>#DIV/0!</v>
      </c>
      <c r="BJ17" s="54"/>
      <c r="BK17" s="53"/>
      <c r="BL17" s="52"/>
      <c r="BM17" s="74">
        <f t="shared" si="40"/>
        <v>0</v>
      </c>
      <c r="BN17" s="75" t="e">
        <f>BM17/BM$106</f>
        <v>#DIV/0!</v>
      </c>
      <c r="BO17" s="54"/>
      <c r="BP17" s="53"/>
      <c r="BQ17" s="52"/>
      <c r="BR17" s="74">
        <f t="shared" si="41"/>
        <v>0</v>
      </c>
      <c r="BS17" s="75" t="e">
        <f>BR17/BR$106</f>
        <v>#DIV/0!</v>
      </c>
      <c r="BT17" s="54"/>
      <c r="BU17" s="53"/>
      <c r="BV17" s="52"/>
      <c r="BW17" s="74">
        <f t="shared" si="42"/>
        <v>0</v>
      </c>
      <c r="BX17" s="75" t="e">
        <f>BW17/BW$106</f>
        <v>#DIV/0!</v>
      </c>
      <c r="BY17" s="54"/>
      <c r="BZ17" s="53"/>
      <c r="CA17" s="52"/>
      <c r="CB17" s="74">
        <f t="shared" si="43"/>
        <v>0</v>
      </c>
      <c r="CC17" s="75" t="e">
        <f>CB17/CB$106</f>
        <v>#DIV/0!</v>
      </c>
      <c r="CD17" s="54"/>
      <c r="CE17" s="52">
        <f t="shared" si="44"/>
        <v>0</v>
      </c>
      <c r="CF17" s="52">
        <f t="shared" si="44"/>
        <v>426000</v>
      </c>
      <c r="CG17" s="74">
        <f t="shared" si="45"/>
        <v>426000</v>
      </c>
      <c r="CH17" s="75">
        <f>CG17/$CG$106</f>
        <v>6.1123510009790751E-4</v>
      </c>
      <c r="CI17" s="76"/>
      <c r="CJ17" s="56">
        <v>426000</v>
      </c>
      <c r="CK17" s="2">
        <f t="shared" si="46"/>
        <v>0</v>
      </c>
    </row>
    <row r="18" spans="1:90" s="57" customFormat="1" ht="73.150000000000006" customHeight="1" x14ac:dyDescent="0.2">
      <c r="A18" s="47"/>
      <c r="B18" s="84" t="s">
        <v>52</v>
      </c>
      <c r="C18" s="70"/>
      <c r="D18" s="85"/>
      <c r="E18" s="72">
        <f t="shared" si="30"/>
        <v>0</v>
      </c>
      <c r="F18" s="73">
        <f>E18/$E$106</f>
        <v>0</v>
      </c>
      <c r="G18" s="53">
        <v>8306376.6800000006</v>
      </c>
      <c r="H18" s="52">
        <v>52000</v>
      </c>
      <c r="I18" s="74">
        <f t="shared" si="47"/>
        <v>8358376.6800000006</v>
      </c>
      <c r="J18" s="75">
        <f>I18/I$106</f>
        <v>0.16871803353407205</v>
      </c>
      <c r="K18" s="54"/>
      <c r="L18" s="53">
        <v>63632466.409999996</v>
      </c>
      <c r="M18" s="52">
        <v>90000</v>
      </c>
      <c r="N18" s="74">
        <f t="shared" si="48"/>
        <v>63722466.409999996</v>
      </c>
      <c r="O18" s="75">
        <f>N18/N$106</f>
        <v>0.14955387130692169</v>
      </c>
      <c r="P18" s="54"/>
      <c r="Q18" s="53">
        <f t="shared" si="31"/>
        <v>42031679.069999993</v>
      </c>
      <c r="R18" s="52">
        <f t="shared" si="31"/>
        <v>0</v>
      </c>
      <c r="S18" s="74">
        <f t="shared" si="49"/>
        <v>42031679.069999993</v>
      </c>
      <c r="T18" s="75">
        <f>S18/S$106</f>
        <v>0.1899090559367233</v>
      </c>
      <c r="U18" s="54"/>
      <c r="V18" s="82"/>
      <c r="W18" s="53">
        <f>115000+62040+29539.99</f>
        <v>206579.99</v>
      </c>
      <c r="X18" s="52"/>
      <c r="Y18" s="74">
        <f t="shared" si="32"/>
        <v>206579.99</v>
      </c>
      <c r="Z18" s="75">
        <f>Y18/Y$106</f>
        <v>5.4704232571542583E-3</v>
      </c>
      <c r="AA18" s="54" t="s">
        <v>53</v>
      </c>
      <c r="AB18" s="53">
        <f>268640+22660.1+2665000</f>
        <v>2956300.1</v>
      </c>
      <c r="AC18" s="52"/>
      <c r="AD18" s="74">
        <f t="shared" si="33"/>
        <v>2956300.1</v>
      </c>
      <c r="AE18" s="75">
        <f>AD18/AD$106</f>
        <v>8.9627046950852857E-2</v>
      </c>
      <c r="AF18" s="54" t="s">
        <v>54</v>
      </c>
      <c r="AG18" s="53">
        <f>1084300.99+1078436.4+17350+307688.58+153635.98+205958.23+3102015.36</f>
        <v>5949385.5399999991</v>
      </c>
      <c r="AH18" s="52"/>
      <c r="AI18" s="74">
        <f t="shared" si="34"/>
        <v>5949385.5399999991</v>
      </c>
      <c r="AJ18" s="75">
        <f>AI18/AI$106</f>
        <v>0.15336320931678601</v>
      </c>
      <c r="AK18" s="54" t="s">
        <v>55</v>
      </c>
      <c r="AL18" s="53">
        <f>434478.42+56520+872554.19+269779.56+7404.01+523485.23+11036682.84</f>
        <v>13200904.25</v>
      </c>
      <c r="AM18" s="52"/>
      <c r="AN18" s="74">
        <f t="shared" si="35"/>
        <v>13200904.25</v>
      </c>
      <c r="AO18" s="75">
        <f>AN18/AN$106</f>
        <v>0.36838189136323524</v>
      </c>
      <c r="AP18" s="54" t="s">
        <v>56</v>
      </c>
      <c r="AQ18" s="53">
        <f>137844.09+335635.1+313920.37+10692+169263.66+1523636.34+2073168+500000+78000</f>
        <v>5142159.5600000005</v>
      </c>
      <c r="AR18" s="52"/>
      <c r="AS18" s="74">
        <f t="shared" si="36"/>
        <v>5142159.5600000005</v>
      </c>
      <c r="AT18" s="75">
        <f>AS18/AS$106</f>
        <v>0.14125417839307439</v>
      </c>
      <c r="AU18" s="54" t="s">
        <v>57</v>
      </c>
      <c r="AV18" s="53">
        <f>50000+3604830+595779.91+384864.2+3103476+453884.22+18824.96+6364690.34</f>
        <v>14576349.629999999</v>
      </c>
      <c r="AW18" s="52"/>
      <c r="AX18" s="74">
        <f t="shared" si="37"/>
        <v>14576349.629999999</v>
      </c>
      <c r="AY18" s="75">
        <f>AX18/AX$106</f>
        <v>0.36858708382610772</v>
      </c>
      <c r="AZ18" s="54" t="s">
        <v>58</v>
      </c>
      <c r="BA18" s="53"/>
      <c r="BB18" s="52"/>
      <c r="BC18" s="74">
        <f t="shared" si="38"/>
        <v>0</v>
      </c>
      <c r="BD18" s="75" t="e">
        <f>BC18/BC$106</f>
        <v>#DIV/0!</v>
      </c>
      <c r="BE18" s="54"/>
      <c r="BF18" s="53"/>
      <c r="BG18" s="52"/>
      <c r="BH18" s="74">
        <f t="shared" si="39"/>
        <v>0</v>
      </c>
      <c r="BI18" s="75" t="e">
        <f>BH18/BH$106</f>
        <v>#DIV/0!</v>
      </c>
      <c r="BJ18" s="54"/>
      <c r="BK18" s="53"/>
      <c r="BL18" s="52"/>
      <c r="BM18" s="74">
        <f t="shared" si="40"/>
        <v>0</v>
      </c>
      <c r="BN18" s="75" t="e">
        <f>BM18/BM$106</f>
        <v>#DIV/0!</v>
      </c>
      <c r="BO18" s="54"/>
      <c r="BP18" s="53"/>
      <c r="BQ18" s="52"/>
      <c r="BR18" s="74">
        <f t="shared" si="41"/>
        <v>0</v>
      </c>
      <c r="BS18" s="75" t="e">
        <f>BR18/BR$106</f>
        <v>#DIV/0!</v>
      </c>
      <c r="BT18" s="54"/>
      <c r="BU18" s="53"/>
      <c r="BV18" s="52"/>
      <c r="BW18" s="74">
        <f t="shared" si="42"/>
        <v>0</v>
      </c>
      <c r="BX18" s="75" t="e">
        <f>BW18/BW$106</f>
        <v>#DIV/0!</v>
      </c>
      <c r="BY18" s="54"/>
      <c r="BZ18" s="53"/>
      <c r="CA18" s="52"/>
      <c r="CB18" s="74">
        <f t="shared" si="43"/>
        <v>0</v>
      </c>
      <c r="CC18" s="75" t="e">
        <f>CB18/CB$106</f>
        <v>#DIV/0!</v>
      </c>
      <c r="CD18" s="54"/>
      <c r="CE18" s="52">
        <f t="shared" si="44"/>
        <v>113970522.16</v>
      </c>
      <c r="CF18" s="52">
        <f t="shared" si="44"/>
        <v>142000</v>
      </c>
      <c r="CG18" s="74">
        <f t="shared" si="45"/>
        <v>114112522.16</v>
      </c>
      <c r="CH18" s="75">
        <f>CG18/$CG$106</f>
        <v>0.16373140588002882</v>
      </c>
      <c r="CI18" s="76"/>
      <c r="CJ18" s="56">
        <v>107732650.79000001</v>
      </c>
      <c r="CK18" s="2">
        <f t="shared" si="46"/>
        <v>-6379871.3699999899</v>
      </c>
    </row>
    <row r="19" spans="1:90" s="57" customFormat="1" ht="24.6" customHeight="1" x14ac:dyDescent="0.2">
      <c r="A19" s="47"/>
      <c r="B19" s="84" t="s">
        <v>59</v>
      </c>
      <c r="C19" s="87"/>
      <c r="D19" s="85"/>
      <c r="E19" s="72">
        <f t="shared" si="30"/>
        <v>0</v>
      </c>
      <c r="F19" s="73">
        <f>E19/$E$106</f>
        <v>0</v>
      </c>
      <c r="G19" s="53">
        <v>52793.063999999998</v>
      </c>
      <c r="H19" s="52">
        <v>0</v>
      </c>
      <c r="I19" s="74">
        <f t="shared" si="47"/>
        <v>52793.063999999998</v>
      </c>
      <c r="J19" s="75">
        <f>I19/I$106</f>
        <v>1.0656545263904534E-3</v>
      </c>
      <c r="K19" s="83"/>
      <c r="L19" s="53">
        <v>50940</v>
      </c>
      <c r="M19" s="52">
        <v>0</v>
      </c>
      <c r="N19" s="74">
        <f t="shared" si="48"/>
        <v>50940</v>
      </c>
      <c r="O19" s="75">
        <f>N19/N$106</f>
        <v>1.1955397575727E-4</v>
      </c>
      <c r="P19" s="83"/>
      <c r="Q19" s="53">
        <f t="shared" si="31"/>
        <v>604779.91</v>
      </c>
      <c r="R19" s="52">
        <f t="shared" si="31"/>
        <v>0</v>
      </c>
      <c r="S19" s="74">
        <f t="shared" si="49"/>
        <v>604779.91</v>
      </c>
      <c r="T19" s="75">
        <f>S19/S$106</f>
        <v>2.7325385114003848E-3</v>
      </c>
      <c r="U19" s="83"/>
      <c r="V19" s="82"/>
      <c r="W19" s="53">
        <f>(18600+10540)</f>
        <v>29140</v>
      </c>
      <c r="X19" s="52"/>
      <c r="Y19" s="74">
        <f t="shared" si="32"/>
        <v>29140</v>
      </c>
      <c r="Z19" s="75">
        <f>Y19/Y$106</f>
        <v>7.7165331314748881E-4</v>
      </c>
      <c r="AA19" s="54" t="s">
        <v>60</v>
      </c>
      <c r="AB19" s="53">
        <f>123420+12220+107799.91</f>
        <v>243439.91</v>
      </c>
      <c r="AC19" s="52"/>
      <c r="AD19" s="74">
        <f t="shared" si="33"/>
        <v>243439.91</v>
      </c>
      <c r="AE19" s="75">
        <f>AD19/AD$106</f>
        <v>7.3804416010679677E-3</v>
      </c>
      <c r="AF19" s="54" t="s">
        <v>61</v>
      </c>
      <c r="AG19" s="53">
        <f>19599.98+26200</f>
        <v>45799.979999999996</v>
      </c>
      <c r="AH19" s="52"/>
      <c r="AI19" s="74">
        <f t="shared" si="34"/>
        <v>45799.979999999996</v>
      </c>
      <c r="AJ19" s="75">
        <f>AI19/AI$106</f>
        <v>1.1806314908017566E-3</v>
      </c>
      <c r="AK19" s="54" t="s">
        <v>62</v>
      </c>
      <c r="AL19" s="53">
        <f>139000.12</f>
        <v>139000.12</v>
      </c>
      <c r="AM19" s="52"/>
      <c r="AN19" s="74">
        <f t="shared" si="35"/>
        <v>139000.12</v>
      </c>
      <c r="AO19" s="75">
        <f>AN19/AN$106</f>
        <v>3.8789105757900378E-3</v>
      </c>
      <c r="AP19" s="54" t="s">
        <v>63</v>
      </c>
      <c r="AQ19" s="53"/>
      <c r="AR19" s="52"/>
      <c r="AS19" s="74">
        <f t="shared" si="36"/>
        <v>0</v>
      </c>
      <c r="AT19" s="75">
        <f>AS19/AS$106</f>
        <v>0</v>
      </c>
      <c r="AU19" s="83"/>
      <c r="AV19" s="53">
        <f>122833.25*1.2</f>
        <v>147399.9</v>
      </c>
      <c r="AW19" s="52"/>
      <c r="AX19" s="74">
        <f t="shared" si="37"/>
        <v>147399.9</v>
      </c>
      <c r="AY19" s="75">
        <f>AX19/AX$106</f>
        <v>3.7272500095251828E-3</v>
      </c>
      <c r="AZ19" s="54" t="s">
        <v>64</v>
      </c>
      <c r="BA19" s="53"/>
      <c r="BB19" s="52"/>
      <c r="BC19" s="74">
        <f t="shared" si="38"/>
        <v>0</v>
      </c>
      <c r="BD19" s="75" t="e">
        <f>BC19/BC$106</f>
        <v>#DIV/0!</v>
      </c>
      <c r="BE19" s="83"/>
      <c r="BF19" s="53"/>
      <c r="BG19" s="52"/>
      <c r="BH19" s="74">
        <f t="shared" si="39"/>
        <v>0</v>
      </c>
      <c r="BI19" s="75" t="e">
        <f>BH19/BH$106</f>
        <v>#DIV/0!</v>
      </c>
      <c r="BJ19" s="83"/>
      <c r="BK19" s="53"/>
      <c r="BL19" s="52"/>
      <c r="BM19" s="74">
        <f t="shared" si="40"/>
        <v>0</v>
      </c>
      <c r="BN19" s="75" t="e">
        <f>BM19/BM$106</f>
        <v>#DIV/0!</v>
      </c>
      <c r="BO19" s="83"/>
      <c r="BP19" s="53"/>
      <c r="BQ19" s="52"/>
      <c r="BR19" s="74">
        <f t="shared" si="41"/>
        <v>0</v>
      </c>
      <c r="BS19" s="75" t="e">
        <f>BR19/BR$106</f>
        <v>#DIV/0!</v>
      </c>
      <c r="BT19" s="83"/>
      <c r="BU19" s="53"/>
      <c r="BV19" s="52"/>
      <c r="BW19" s="74">
        <f t="shared" si="42"/>
        <v>0</v>
      </c>
      <c r="BX19" s="75" t="e">
        <f>BW19/BW$106</f>
        <v>#DIV/0!</v>
      </c>
      <c r="BY19" s="83"/>
      <c r="BZ19" s="53"/>
      <c r="CA19" s="52"/>
      <c r="CB19" s="74">
        <f t="shared" si="43"/>
        <v>0</v>
      </c>
      <c r="CC19" s="75" t="e">
        <f>CB19/CB$106</f>
        <v>#DIV/0!</v>
      </c>
      <c r="CD19" s="83"/>
      <c r="CE19" s="52">
        <f t="shared" si="44"/>
        <v>708512.97400000005</v>
      </c>
      <c r="CF19" s="52">
        <f t="shared" si="44"/>
        <v>0</v>
      </c>
      <c r="CG19" s="74">
        <f t="shared" si="45"/>
        <v>708512.97400000005</v>
      </c>
      <c r="CH19" s="75">
        <f>CG19/$CG$106</f>
        <v>1.016591545970789E-3</v>
      </c>
      <c r="CI19" s="76"/>
      <c r="CJ19" s="56"/>
      <c r="CK19" s="56"/>
    </row>
    <row r="20" spans="1:90" s="57" customFormat="1" ht="24.6" customHeight="1" x14ac:dyDescent="0.2">
      <c r="A20" s="47"/>
      <c r="B20" s="84" t="s">
        <v>65</v>
      </c>
      <c r="C20" s="87"/>
      <c r="D20" s="85"/>
      <c r="E20" s="72">
        <f t="shared" si="30"/>
        <v>0</v>
      </c>
      <c r="F20" s="73">
        <f>E20/$E$106</f>
        <v>0</v>
      </c>
      <c r="G20" s="53">
        <v>731698.65999999992</v>
      </c>
      <c r="H20" s="52">
        <v>0</v>
      </c>
      <c r="I20" s="74">
        <f t="shared" si="47"/>
        <v>731698.65999999992</v>
      </c>
      <c r="J20" s="75">
        <f>I20/I$106</f>
        <v>1.4769705145032487E-2</v>
      </c>
      <c r="K20" s="83"/>
      <c r="L20" s="53">
        <v>3511476.6940000001</v>
      </c>
      <c r="M20" s="52">
        <v>0</v>
      </c>
      <c r="N20" s="74">
        <f t="shared" si="48"/>
        <v>3511476.6940000001</v>
      </c>
      <c r="O20" s="75">
        <f>N20/N$106</f>
        <v>8.2412838544698597E-3</v>
      </c>
      <c r="P20" s="83"/>
      <c r="Q20" s="53">
        <f>W20+AB20+AG20+AL20+AQ20+AV20+BA20+BF20+BK20+BP20+BU20+BZ20</f>
        <v>1047591.4319999999</v>
      </c>
      <c r="R20" s="52">
        <f t="shared" si="31"/>
        <v>0</v>
      </c>
      <c r="S20" s="74">
        <f t="shared" si="49"/>
        <v>1047591.4319999999</v>
      </c>
      <c r="T20" s="75">
        <f>S20/S$106</f>
        <v>4.7332655811154131E-3</v>
      </c>
      <c r="U20" s="83"/>
      <c r="V20" s="82"/>
      <c r="W20" s="53">
        <f>95778.53*1.2</f>
        <v>114934.23599999999</v>
      </c>
      <c r="X20" s="52"/>
      <c r="Y20" s="74">
        <f t="shared" si="32"/>
        <v>114934.23599999999</v>
      </c>
      <c r="Z20" s="75">
        <f>Y20/Y$106</f>
        <v>3.0435615649785645E-3</v>
      </c>
      <c r="AA20" s="54" t="s">
        <v>66</v>
      </c>
      <c r="AB20" s="53">
        <f>64387.14*1.2</f>
        <v>77264.567999999999</v>
      </c>
      <c r="AC20" s="52"/>
      <c r="AD20" s="74">
        <f t="shared" si="33"/>
        <v>77264.567999999999</v>
      </c>
      <c r="AE20" s="75">
        <f>AD20/AD$106</f>
        <v>2.3424533469296174E-3</v>
      </c>
      <c r="AF20" s="54" t="s">
        <v>66</v>
      </c>
      <c r="AG20" s="53">
        <f>73054.06*1.2</f>
        <v>87664.871999999988</v>
      </c>
      <c r="AH20" s="52"/>
      <c r="AI20" s="74">
        <f t="shared" si="34"/>
        <v>87664.871999999988</v>
      </c>
      <c r="AJ20" s="75">
        <f>AI20/AI$106</f>
        <v>2.2598243169605131E-3</v>
      </c>
      <c r="AK20" s="54" t="s">
        <v>66</v>
      </c>
      <c r="AL20" s="53">
        <f>98407.95*1.2</f>
        <v>118089.54</v>
      </c>
      <c r="AM20" s="52"/>
      <c r="AN20" s="74">
        <f t="shared" si="35"/>
        <v>118089.54</v>
      </c>
      <c r="AO20" s="75">
        <f>AN20/AN$106</f>
        <v>3.2953839579144299E-3</v>
      </c>
      <c r="AP20" s="54"/>
      <c r="AQ20" s="53">
        <f>120058.35*1.2</f>
        <v>144070.01999999999</v>
      </c>
      <c r="AR20" s="52"/>
      <c r="AS20" s="74">
        <f t="shared" si="36"/>
        <v>144070.01999999999</v>
      </c>
      <c r="AT20" s="75">
        <f>AS20/AS$106</f>
        <v>3.9575769807838855E-3</v>
      </c>
      <c r="AU20" s="54" t="s">
        <v>67</v>
      </c>
      <c r="AV20" s="53">
        <f>421306.83*1.2</f>
        <v>505568.196</v>
      </c>
      <c r="AW20" s="52"/>
      <c r="AX20" s="74">
        <f t="shared" si="37"/>
        <v>505568.196</v>
      </c>
      <c r="AY20" s="75">
        <f>AX20/AX$106</f>
        <v>1.2784127149045756E-2</v>
      </c>
      <c r="AZ20" s="54" t="s">
        <v>67</v>
      </c>
      <c r="BA20" s="54"/>
      <c r="BB20" s="52"/>
      <c r="BC20" s="74">
        <f t="shared" si="38"/>
        <v>0</v>
      </c>
      <c r="BD20" s="75" t="e">
        <f>BC20/BC$106</f>
        <v>#DIV/0!</v>
      </c>
      <c r="BE20" s="54"/>
      <c r="BF20" s="53"/>
      <c r="BG20" s="52"/>
      <c r="BH20" s="74">
        <f t="shared" si="39"/>
        <v>0</v>
      </c>
      <c r="BI20" s="75" t="e">
        <f>BH20/BH$106</f>
        <v>#DIV/0!</v>
      </c>
      <c r="BJ20" s="54"/>
      <c r="BK20" s="53"/>
      <c r="BL20" s="52"/>
      <c r="BM20" s="74">
        <f t="shared" si="40"/>
        <v>0</v>
      </c>
      <c r="BN20" s="75" t="e">
        <f>BM20/BM$106</f>
        <v>#DIV/0!</v>
      </c>
      <c r="BO20" s="54"/>
      <c r="BP20" s="53"/>
      <c r="BQ20" s="52"/>
      <c r="BR20" s="74">
        <f t="shared" si="41"/>
        <v>0</v>
      </c>
      <c r="BS20" s="75" t="e">
        <f>BR20/BR$106</f>
        <v>#DIV/0!</v>
      </c>
      <c r="BT20" s="54"/>
      <c r="BU20" s="53"/>
      <c r="BV20" s="52"/>
      <c r="BW20" s="74">
        <f t="shared" si="42"/>
        <v>0</v>
      </c>
      <c r="BX20" s="75" t="e">
        <f>BW20/BW$106</f>
        <v>#DIV/0!</v>
      </c>
      <c r="BY20" s="54"/>
      <c r="BZ20" s="53"/>
      <c r="CA20" s="52"/>
      <c r="CB20" s="74">
        <f t="shared" si="43"/>
        <v>0</v>
      </c>
      <c r="CC20" s="75" t="e">
        <f>CB20/CB$106</f>
        <v>#DIV/0!</v>
      </c>
      <c r="CD20" s="54"/>
      <c r="CE20" s="52">
        <f t="shared" si="44"/>
        <v>5290766.7860000003</v>
      </c>
      <c r="CF20" s="52">
        <f t="shared" si="44"/>
        <v>0</v>
      </c>
      <c r="CG20" s="74">
        <f t="shared" si="45"/>
        <v>5290766.7860000003</v>
      </c>
      <c r="CH20" s="75">
        <f>CG20/$CG$106</f>
        <v>7.5913201080643061E-3</v>
      </c>
      <c r="CI20" s="76"/>
      <c r="CJ20" s="56">
        <v>4066140.25</v>
      </c>
      <c r="CK20" s="2">
        <f t="shared" si="46"/>
        <v>-1224626.5360000003</v>
      </c>
    </row>
    <row r="21" spans="1:90" s="57" customFormat="1" ht="24.6" customHeight="1" x14ac:dyDescent="0.2">
      <c r="A21" s="47"/>
      <c r="B21" s="84" t="s">
        <v>68</v>
      </c>
      <c r="C21" s="87"/>
      <c r="D21" s="85"/>
      <c r="E21" s="72">
        <f t="shared" si="30"/>
        <v>0</v>
      </c>
      <c r="F21" s="73">
        <f>E21/$E$106</f>
        <v>0</v>
      </c>
      <c r="G21" s="53">
        <v>4778782.7199999997</v>
      </c>
      <c r="H21" s="52">
        <v>0</v>
      </c>
      <c r="I21" s="74">
        <f t="shared" si="47"/>
        <v>4778782.7199999997</v>
      </c>
      <c r="J21" s="75">
        <f>I21/I$106</f>
        <v>9.6462130635275922E-2</v>
      </c>
      <c r="K21" s="83"/>
      <c r="L21" s="53">
        <v>18912166.349999998</v>
      </c>
      <c r="M21" s="52">
        <v>0</v>
      </c>
      <c r="N21" s="74">
        <f t="shared" si="48"/>
        <v>18912166.349999998</v>
      </c>
      <c r="O21" s="75">
        <f>N21/N$106</f>
        <v>4.4386036068420835E-2</v>
      </c>
      <c r="P21" s="83"/>
      <c r="Q21" s="53">
        <f t="shared" si="31"/>
        <v>10497555.01</v>
      </c>
      <c r="R21" s="52">
        <f t="shared" si="31"/>
        <v>0</v>
      </c>
      <c r="S21" s="74">
        <f t="shared" si="49"/>
        <v>10497555.01</v>
      </c>
      <c r="T21" s="75">
        <f>S21/S$106</f>
        <v>4.7430433561143015E-2</v>
      </c>
      <c r="U21" s="83"/>
      <c r="V21" s="82"/>
      <c r="W21" s="53">
        <v>1165669.2699999998</v>
      </c>
      <c r="X21" s="52"/>
      <c r="Y21" s="74">
        <f t="shared" si="32"/>
        <v>1165669.2699999998</v>
      </c>
      <c r="Z21" s="75">
        <f>Y21/Y$106</f>
        <v>3.0867966857574279E-2</v>
      </c>
      <c r="AA21" s="54"/>
      <c r="AB21" s="53">
        <v>978888.74</v>
      </c>
      <c r="AC21" s="52"/>
      <c r="AD21" s="74">
        <f t="shared" si="33"/>
        <v>978888.74</v>
      </c>
      <c r="AE21" s="75">
        <f>AD21/AD$106</f>
        <v>2.9677266884928628E-2</v>
      </c>
      <c r="AF21" s="54"/>
      <c r="AG21" s="53">
        <v>1660096</v>
      </c>
      <c r="AH21" s="52"/>
      <c r="AI21" s="74">
        <f t="shared" si="34"/>
        <v>1660096</v>
      </c>
      <c r="AJ21" s="75">
        <f>AI21/AI$106</f>
        <v>4.279394041993103E-2</v>
      </c>
      <c r="AK21" s="54"/>
      <c r="AL21" s="53">
        <v>1758401.0000000002</v>
      </c>
      <c r="AM21" s="52"/>
      <c r="AN21" s="74">
        <f t="shared" si="35"/>
        <v>1758401.0000000002</v>
      </c>
      <c r="AO21" s="75">
        <f>AN21/AN$106</f>
        <v>4.9069599618905217E-2</v>
      </c>
      <c r="AP21" s="54"/>
      <c r="AQ21" s="53">
        <v>2350000</v>
      </c>
      <c r="AR21" s="52"/>
      <c r="AS21" s="74">
        <f t="shared" si="36"/>
        <v>2350000</v>
      </c>
      <c r="AT21" s="75">
        <f>AS21/AS$106</f>
        <v>6.4554068256824915E-2</v>
      </c>
      <c r="AU21" s="54"/>
      <c r="AV21" s="53">
        <v>2584500</v>
      </c>
      <c r="AW21" s="52"/>
      <c r="AX21" s="74">
        <f t="shared" si="37"/>
        <v>2584500</v>
      </c>
      <c r="AY21" s="75">
        <f>AX21/AX$106</f>
        <v>6.5353352679464752E-2</v>
      </c>
      <c r="AZ21" s="54"/>
      <c r="BA21" s="53"/>
      <c r="BB21" s="52"/>
      <c r="BC21" s="74">
        <f t="shared" si="38"/>
        <v>0</v>
      </c>
      <c r="BD21" s="75" t="e">
        <f>BC21/BC$106</f>
        <v>#DIV/0!</v>
      </c>
      <c r="BE21" s="54"/>
      <c r="BF21" s="53"/>
      <c r="BG21" s="52"/>
      <c r="BH21" s="74">
        <f t="shared" si="39"/>
        <v>0</v>
      </c>
      <c r="BI21" s="75" t="e">
        <f>BH21/BH$106</f>
        <v>#DIV/0!</v>
      </c>
      <c r="BJ21" s="54"/>
      <c r="BK21" s="53"/>
      <c r="BL21" s="52"/>
      <c r="BM21" s="74">
        <f t="shared" si="40"/>
        <v>0</v>
      </c>
      <c r="BN21" s="75" t="e">
        <f>BM21/BM$106</f>
        <v>#DIV/0!</v>
      </c>
      <c r="BO21" s="54"/>
      <c r="BP21" s="53"/>
      <c r="BQ21" s="52"/>
      <c r="BR21" s="74">
        <f t="shared" si="41"/>
        <v>0</v>
      </c>
      <c r="BS21" s="75" t="e">
        <f>BR21/BR$106</f>
        <v>#DIV/0!</v>
      </c>
      <c r="BT21" s="54"/>
      <c r="BU21" s="53"/>
      <c r="BV21" s="52"/>
      <c r="BW21" s="74">
        <f t="shared" si="42"/>
        <v>0</v>
      </c>
      <c r="BX21" s="75" t="e">
        <f>BW21/BW$106</f>
        <v>#DIV/0!</v>
      </c>
      <c r="BY21" s="54"/>
      <c r="BZ21" s="53"/>
      <c r="CA21" s="52"/>
      <c r="CB21" s="74">
        <f t="shared" si="43"/>
        <v>0</v>
      </c>
      <c r="CC21" s="75" t="e">
        <f>CB21/CB$106</f>
        <v>#DIV/0!</v>
      </c>
      <c r="CD21" s="54"/>
      <c r="CE21" s="52">
        <f t="shared" si="44"/>
        <v>34188504.079999998</v>
      </c>
      <c r="CF21" s="52">
        <f t="shared" si="44"/>
        <v>0</v>
      </c>
      <c r="CG21" s="74">
        <f t="shared" si="45"/>
        <v>34188504.079999998</v>
      </c>
      <c r="CH21" s="75">
        <f>CG21/$CG$106</f>
        <v>4.9054492285296986E-2</v>
      </c>
      <c r="CI21" s="76"/>
      <c r="CJ21" s="56">
        <v>29622738.629999999</v>
      </c>
      <c r="CK21" s="2">
        <f>CJ21-CG21</f>
        <v>-4565765.4499999993</v>
      </c>
    </row>
    <row r="22" spans="1:90" s="57" customFormat="1" ht="24.6" customHeight="1" x14ac:dyDescent="0.2">
      <c r="A22" s="47"/>
      <c r="B22" s="84" t="s">
        <v>69</v>
      </c>
      <c r="C22" s="87"/>
      <c r="D22" s="85"/>
      <c r="E22" s="72">
        <f t="shared" si="30"/>
        <v>0</v>
      </c>
      <c r="F22" s="73">
        <f>E22/$E$106</f>
        <v>0</v>
      </c>
      <c r="G22" s="53">
        <v>678277.84</v>
      </c>
      <c r="H22" s="52">
        <v>0</v>
      </c>
      <c r="I22" s="74">
        <f t="shared" si="47"/>
        <v>678277.84</v>
      </c>
      <c r="J22" s="75">
        <f>I22/I$106</f>
        <v>1.3691379048322327E-2</v>
      </c>
      <c r="K22" s="83"/>
      <c r="L22" s="53">
        <v>16624031.014</v>
      </c>
      <c r="M22" s="52">
        <v>0</v>
      </c>
      <c r="N22" s="74">
        <f t="shared" si="48"/>
        <v>16624031.014</v>
      </c>
      <c r="O22" s="75">
        <f>N22/N$106</f>
        <v>3.9015881445541044E-2</v>
      </c>
      <c r="P22" s="83"/>
      <c r="Q22" s="53">
        <f t="shared" si="31"/>
        <v>14021387.560000001</v>
      </c>
      <c r="R22" s="52">
        <f t="shared" si="31"/>
        <v>0</v>
      </c>
      <c r="S22" s="74">
        <f t="shared" si="49"/>
        <v>14021387.560000001</v>
      </c>
      <c r="T22" s="75">
        <f>S22/S$106</f>
        <v>6.3351941520296662E-2</v>
      </c>
      <c r="U22" s="83"/>
      <c r="V22" s="82"/>
      <c r="W22" s="53">
        <f>9525.6+216000+1251520+317200</f>
        <v>1794245.6</v>
      </c>
      <c r="X22" s="52"/>
      <c r="Y22" s="74">
        <f t="shared" si="32"/>
        <v>1794245.6</v>
      </c>
      <c r="Z22" s="75">
        <f>Y22/Y$106</f>
        <v>4.7513231360339872E-2</v>
      </c>
      <c r="AA22" s="54" t="s">
        <v>70</v>
      </c>
      <c r="AB22" s="53">
        <f>250200+306800+9525.6+1178440</f>
        <v>1744965.6</v>
      </c>
      <c r="AC22" s="52"/>
      <c r="AD22" s="74">
        <f t="shared" si="33"/>
        <v>1744965.6</v>
      </c>
      <c r="AE22" s="75">
        <f>AD22/AD$106</f>
        <v>5.2902651445576557E-2</v>
      </c>
      <c r="AF22" s="54" t="s">
        <v>71</v>
      </c>
      <c r="AG22" s="53">
        <f>72000+1561600+852831.72+78799.96+36100+24000</f>
        <v>2625331.6799999997</v>
      </c>
      <c r="AH22" s="52"/>
      <c r="AI22" s="74">
        <f t="shared" si="34"/>
        <v>2625331.6799999997</v>
      </c>
      <c r="AJ22" s="75">
        <f>AI22/AI$106</f>
        <v>6.7675777483035576E-2</v>
      </c>
      <c r="AK22" s="54" t="s">
        <v>72</v>
      </c>
      <c r="AL22" s="53">
        <f>1695600+426415.86+442000</f>
        <v>2564015.86</v>
      </c>
      <c r="AM22" s="52"/>
      <c r="AN22" s="74">
        <f t="shared" si="35"/>
        <v>2564015.86</v>
      </c>
      <c r="AO22" s="75">
        <f>AN22/AN$106</f>
        <v>7.1550932731909794E-2</v>
      </c>
      <c r="AP22" s="54" t="s">
        <v>73</v>
      </c>
      <c r="AQ22" s="53">
        <f>2019600+482035.32+203350</f>
        <v>2704985.32</v>
      </c>
      <c r="AR22" s="52"/>
      <c r="AS22" s="74">
        <f t="shared" si="36"/>
        <v>2704985.32</v>
      </c>
      <c r="AT22" s="75">
        <f>AS22/AS$106</f>
        <v>7.4305449779144411E-2</v>
      </c>
      <c r="AU22" s="54" t="s">
        <v>74</v>
      </c>
      <c r="AV22" s="53">
        <f>1710000+463495.5+100848+313500</f>
        <v>2587843.5</v>
      </c>
      <c r="AW22" s="52"/>
      <c r="AX22" s="74">
        <f t="shared" si="37"/>
        <v>2587843.5</v>
      </c>
      <c r="AY22" s="75">
        <f>AX22/AX$106</f>
        <v>6.5437898601184138E-2</v>
      </c>
      <c r="AZ22" s="54" t="s">
        <v>75</v>
      </c>
      <c r="BA22" s="53"/>
      <c r="BB22" s="52"/>
      <c r="BC22" s="74">
        <f t="shared" si="38"/>
        <v>0</v>
      </c>
      <c r="BD22" s="75" t="e">
        <f>BC22/BC$106</f>
        <v>#DIV/0!</v>
      </c>
      <c r="BE22" s="54"/>
      <c r="BF22" s="53"/>
      <c r="BG22" s="52"/>
      <c r="BH22" s="74">
        <f t="shared" si="39"/>
        <v>0</v>
      </c>
      <c r="BI22" s="75" t="e">
        <f>BH22/BH$106</f>
        <v>#DIV/0!</v>
      </c>
      <c r="BJ22" s="54"/>
      <c r="BK22" s="53"/>
      <c r="BL22" s="52"/>
      <c r="BM22" s="74">
        <f t="shared" si="40"/>
        <v>0</v>
      </c>
      <c r="BN22" s="75" t="e">
        <f>BM22/BM$106</f>
        <v>#DIV/0!</v>
      </c>
      <c r="BO22" s="54"/>
      <c r="BP22" s="53"/>
      <c r="BQ22" s="52"/>
      <c r="BR22" s="74">
        <f t="shared" si="41"/>
        <v>0</v>
      </c>
      <c r="BS22" s="75" t="e">
        <f>BR22/BR$106</f>
        <v>#DIV/0!</v>
      </c>
      <c r="BT22" s="54"/>
      <c r="BU22" s="53"/>
      <c r="BV22" s="52"/>
      <c r="BW22" s="74">
        <f t="shared" si="42"/>
        <v>0</v>
      </c>
      <c r="BX22" s="75" t="e">
        <f>BW22/BW$106</f>
        <v>#DIV/0!</v>
      </c>
      <c r="BY22" s="54"/>
      <c r="BZ22" s="53"/>
      <c r="CA22" s="52"/>
      <c r="CB22" s="74">
        <f t="shared" si="43"/>
        <v>0</v>
      </c>
      <c r="CC22" s="75" t="e">
        <f>CB22/CB$106</f>
        <v>#DIV/0!</v>
      </c>
      <c r="CD22" s="54"/>
      <c r="CE22" s="52">
        <f t="shared" si="44"/>
        <v>31323696.414000001</v>
      </c>
      <c r="CF22" s="52">
        <f t="shared" si="44"/>
        <v>0</v>
      </c>
      <c r="CG22" s="74">
        <f t="shared" si="45"/>
        <v>31323696.414000001</v>
      </c>
      <c r="CH22" s="75">
        <f>CG22/$CG$106</f>
        <v>4.4943996978985344E-2</v>
      </c>
      <c r="CI22" s="76"/>
      <c r="CJ22" s="56">
        <v>23106642.510000002</v>
      </c>
      <c r="CK22" s="2">
        <f>CJ22-CG22</f>
        <v>-8217053.9039999992</v>
      </c>
    </row>
    <row r="23" spans="1:90" s="57" customFormat="1" ht="24.6" customHeight="1" x14ac:dyDescent="0.2">
      <c r="A23" s="47"/>
      <c r="B23" s="84" t="s">
        <v>76</v>
      </c>
      <c r="C23" s="87"/>
      <c r="D23" s="85"/>
      <c r="E23" s="72">
        <f t="shared" si="30"/>
        <v>0</v>
      </c>
      <c r="F23" s="73">
        <f>E23/$E$106</f>
        <v>0</v>
      </c>
      <c r="G23" s="53">
        <v>0</v>
      </c>
      <c r="H23" s="52">
        <v>0</v>
      </c>
      <c r="I23" s="74">
        <f t="shared" si="47"/>
        <v>0</v>
      </c>
      <c r="J23" s="75">
        <f>I23/I$106</f>
        <v>0</v>
      </c>
      <c r="K23" s="83"/>
      <c r="L23" s="53">
        <v>242495</v>
      </c>
      <c r="M23" s="52">
        <v>0</v>
      </c>
      <c r="N23" s="74">
        <f t="shared" si="48"/>
        <v>242495</v>
      </c>
      <c r="O23" s="75">
        <f>N23/N$106</f>
        <v>5.6912527191321533E-4</v>
      </c>
      <c r="P23" s="83"/>
      <c r="Q23" s="53">
        <f t="shared" si="31"/>
        <v>251280</v>
      </c>
      <c r="R23" s="52">
        <f t="shared" si="31"/>
        <v>0</v>
      </c>
      <c r="S23" s="74">
        <f t="shared" si="49"/>
        <v>251280</v>
      </c>
      <c r="T23" s="75">
        <f>S23/S$106</f>
        <v>1.1353424043875544E-3</v>
      </c>
      <c r="U23" s="83"/>
      <c r="V23" s="82"/>
      <c r="W23" s="53">
        <f>59200+7680</f>
        <v>66880</v>
      </c>
      <c r="X23" s="52"/>
      <c r="Y23" s="74">
        <f t="shared" si="32"/>
        <v>66880</v>
      </c>
      <c r="Z23" s="75">
        <f>Y23/Y$106</f>
        <v>1.7710423329891575E-3</v>
      </c>
      <c r="AA23" s="54" t="s">
        <v>77</v>
      </c>
      <c r="AB23" s="53">
        <f>35280+29600</f>
        <v>64880</v>
      </c>
      <c r="AC23" s="52"/>
      <c r="AD23" s="74">
        <f t="shared" si="33"/>
        <v>64880</v>
      </c>
      <c r="AE23" s="75">
        <f>AD23/AD$106</f>
        <v>1.9669866419080163E-3</v>
      </c>
      <c r="AF23" s="54" t="s">
        <v>78</v>
      </c>
      <c r="AG23" s="53">
        <f>7680+29600</f>
        <v>37280</v>
      </c>
      <c r="AH23" s="52"/>
      <c r="AI23" s="74">
        <f t="shared" si="34"/>
        <v>37280</v>
      </c>
      <c r="AJ23" s="75">
        <f>AI23/AI$106</f>
        <v>9.6100351958864358E-4</v>
      </c>
      <c r="AK23" s="54" t="s">
        <v>79</v>
      </c>
      <c r="AL23" s="53">
        <f>7680+29600</f>
        <v>37280</v>
      </c>
      <c r="AM23" s="52"/>
      <c r="AN23" s="74">
        <f t="shared" si="35"/>
        <v>37280</v>
      </c>
      <c r="AO23" s="75">
        <f>AN23/AN$106</f>
        <v>1.040328499467861E-3</v>
      </c>
      <c r="AP23" s="54" t="s">
        <v>79</v>
      </c>
      <c r="AQ23" s="53">
        <f>29600+7680</f>
        <v>37280</v>
      </c>
      <c r="AR23" s="52"/>
      <c r="AS23" s="74">
        <f t="shared" si="36"/>
        <v>37280</v>
      </c>
      <c r="AT23" s="75">
        <f>AS23/AS$106</f>
        <v>1.0240747508997586E-3</v>
      </c>
      <c r="AU23" s="54" t="s">
        <v>80</v>
      </c>
      <c r="AV23" s="53">
        <f>7680</f>
        <v>7680</v>
      </c>
      <c r="AW23" s="52"/>
      <c r="AX23" s="74">
        <f t="shared" si="37"/>
        <v>7680</v>
      </c>
      <c r="AY23" s="75">
        <f>AX23/AX$106</f>
        <v>1.9420148909974434E-4</v>
      </c>
      <c r="AZ23" s="54" t="s">
        <v>81</v>
      </c>
      <c r="BA23" s="53"/>
      <c r="BB23" s="52"/>
      <c r="BC23" s="74">
        <f t="shared" si="38"/>
        <v>0</v>
      </c>
      <c r="BD23" s="75" t="e">
        <f>BC23/BC$106</f>
        <v>#DIV/0!</v>
      </c>
      <c r="BE23" s="54"/>
      <c r="BF23" s="53"/>
      <c r="BG23" s="52"/>
      <c r="BH23" s="74">
        <f t="shared" si="39"/>
        <v>0</v>
      </c>
      <c r="BI23" s="75" t="e">
        <f>BH23/BH$106</f>
        <v>#DIV/0!</v>
      </c>
      <c r="BJ23" s="54"/>
      <c r="BK23" s="53"/>
      <c r="BL23" s="52"/>
      <c r="BM23" s="74">
        <f t="shared" si="40"/>
        <v>0</v>
      </c>
      <c r="BN23" s="75" t="e">
        <f>BM23/BM$106</f>
        <v>#DIV/0!</v>
      </c>
      <c r="BO23" s="54"/>
      <c r="BP23" s="53"/>
      <c r="BQ23" s="52"/>
      <c r="BR23" s="74">
        <f t="shared" si="41"/>
        <v>0</v>
      </c>
      <c r="BS23" s="75" t="e">
        <f>BR23/BR$106</f>
        <v>#DIV/0!</v>
      </c>
      <c r="BT23" s="54"/>
      <c r="BU23" s="53"/>
      <c r="BV23" s="52"/>
      <c r="BW23" s="74">
        <f t="shared" si="42"/>
        <v>0</v>
      </c>
      <c r="BX23" s="75" t="e">
        <f>BW23/BW$106</f>
        <v>#DIV/0!</v>
      </c>
      <c r="BY23" s="54"/>
      <c r="BZ23" s="53"/>
      <c r="CA23" s="52"/>
      <c r="CB23" s="74">
        <f t="shared" si="43"/>
        <v>0</v>
      </c>
      <c r="CC23" s="75" t="e">
        <f>CB23/CB$106</f>
        <v>#DIV/0!</v>
      </c>
      <c r="CD23" s="54"/>
      <c r="CE23" s="52">
        <f t="shared" si="44"/>
        <v>493775</v>
      </c>
      <c r="CF23" s="52">
        <f t="shared" si="44"/>
        <v>0</v>
      </c>
      <c r="CG23" s="74">
        <f t="shared" si="45"/>
        <v>493775</v>
      </c>
      <c r="CH23" s="75">
        <f>CG23/$CG$106</f>
        <v>7.0848030880479873E-4</v>
      </c>
      <c r="CI23" s="76"/>
      <c r="CJ23" s="56">
        <v>516583</v>
      </c>
      <c r="CK23" s="2">
        <f>CJ23-CG23</f>
        <v>22808</v>
      </c>
    </row>
    <row r="24" spans="1:90" s="57" customFormat="1" ht="24.6" customHeight="1" x14ac:dyDescent="0.2">
      <c r="A24" s="47"/>
      <c r="B24" s="84" t="s">
        <v>82</v>
      </c>
      <c r="C24" s="87"/>
      <c r="D24" s="85"/>
      <c r="E24" s="72">
        <f t="shared" si="30"/>
        <v>0</v>
      </c>
      <c r="F24" s="73">
        <f>E24/$E$106</f>
        <v>0</v>
      </c>
      <c r="G24" s="53">
        <v>574146.19999999995</v>
      </c>
      <c r="H24" s="52">
        <v>0</v>
      </c>
      <c r="I24" s="74">
        <f t="shared" si="47"/>
        <v>574146.19999999995</v>
      </c>
      <c r="J24" s="75">
        <f>I24/I$106</f>
        <v>1.1589429566730177E-2</v>
      </c>
      <c r="K24" s="83"/>
      <c r="L24" s="53">
        <v>917327.76600000018</v>
      </c>
      <c r="M24" s="52">
        <v>0</v>
      </c>
      <c r="N24" s="74">
        <f t="shared" si="48"/>
        <v>917327.76600000018</v>
      </c>
      <c r="O24" s="75">
        <f>N24/N$106</f>
        <v>2.152928572788274E-3</v>
      </c>
      <c r="P24" s="83"/>
      <c r="Q24" s="53">
        <f t="shared" si="31"/>
        <v>296045.89</v>
      </c>
      <c r="R24" s="52">
        <f t="shared" si="31"/>
        <v>0</v>
      </c>
      <c r="S24" s="74">
        <f t="shared" si="49"/>
        <v>296045.89</v>
      </c>
      <c r="T24" s="75">
        <f>S24/S$106</f>
        <v>1.337605271257774E-3</v>
      </c>
      <c r="U24" s="83"/>
      <c r="V24" s="82"/>
      <c r="W24" s="53">
        <f>19800+14300+14300+200+38453.16+4871.1</f>
        <v>91924.260000000009</v>
      </c>
      <c r="X24" s="52"/>
      <c r="Y24" s="74">
        <f t="shared" si="32"/>
        <v>91924.260000000009</v>
      </c>
      <c r="Z24" s="75">
        <f>Y24/Y$106</f>
        <v>2.4342367806325046E-3</v>
      </c>
      <c r="AA24" s="54" t="s">
        <v>83</v>
      </c>
      <c r="AB24" s="53">
        <f>19800+16500+589.57+1583.63</f>
        <v>38473.199999999997</v>
      </c>
      <c r="AC24" s="52"/>
      <c r="AD24" s="74">
        <f t="shared" si="33"/>
        <v>38473.199999999997</v>
      </c>
      <c r="AE24" s="75">
        <f>AD24/AD$106</f>
        <v>1.1664036755773041E-3</v>
      </c>
      <c r="AF24" s="54" t="s">
        <v>84</v>
      </c>
      <c r="AG24" s="53">
        <f>2400+556.2+20900+6182.46+1334.3</f>
        <v>31372.959999999999</v>
      </c>
      <c r="AH24" s="52"/>
      <c r="AI24" s="74">
        <f t="shared" si="34"/>
        <v>31372.959999999999</v>
      </c>
      <c r="AJ24" s="75">
        <f>AI24/AI$106</f>
        <v>8.0873189323802926E-4</v>
      </c>
      <c r="AK24" s="54" t="s">
        <v>85</v>
      </c>
      <c r="AL24" s="53">
        <f>28000+19000+1483.01+4167.91+723.64</f>
        <v>53374.559999999998</v>
      </c>
      <c r="AM24" s="52"/>
      <c r="AN24" s="74">
        <f t="shared" si="35"/>
        <v>53374.559999999998</v>
      </c>
      <c r="AO24" s="75">
        <f>AN24/AN$106</f>
        <v>1.4894601908411295E-3</v>
      </c>
      <c r="AP24" s="54" t="s">
        <v>86</v>
      </c>
      <c r="AQ24" s="53">
        <f>2632.05+2584+2463.82</f>
        <v>7679.8700000000008</v>
      </c>
      <c r="AR24" s="52"/>
      <c r="AS24" s="74">
        <f t="shared" si="36"/>
        <v>7679.8700000000008</v>
      </c>
      <c r="AT24" s="75">
        <f>AS24/AS$106</f>
        <v>2.109646179504434E-4</v>
      </c>
      <c r="AU24" s="54" t="s">
        <v>87</v>
      </c>
      <c r="AV24" s="53">
        <f>28000+29600+15621.04</f>
        <v>73221.040000000008</v>
      </c>
      <c r="AW24" s="52"/>
      <c r="AX24" s="74">
        <f t="shared" si="37"/>
        <v>73221.040000000008</v>
      </c>
      <c r="AY24" s="75">
        <f>AX24/AX$106</f>
        <v>1.8515149741447847E-3</v>
      </c>
      <c r="AZ24" s="54" t="s">
        <v>88</v>
      </c>
      <c r="BA24" s="53"/>
      <c r="BB24" s="52"/>
      <c r="BC24" s="74">
        <f t="shared" si="38"/>
        <v>0</v>
      </c>
      <c r="BD24" s="75" t="e">
        <f>BC24/BC$106</f>
        <v>#DIV/0!</v>
      </c>
      <c r="BE24" s="54"/>
      <c r="BF24" s="53"/>
      <c r="BG24" s="52"/>
      <c r="BH24" s="74">
        <f t="shared" si="39"/>
        <v>0</v>
      </c>
      <c r="BI24" s="75" t="e">
        <f>BH24/BH$106</f>
        <v>#DIV/0!</v>
      </c>
      <c r="BJ24" s="54"/>
      <c r="BK24" s="53"/>
      <c r="BL24" s="52"/>
      <c r="BM24" s="74">
        <f t="shared" si="40"/>
        <v>0</v>
      </c>
      <c r="BN24" s="75" t="e">
        <f>BM24/BM$106</f>
        <v>#DIV/0!</v>
      </c>
      <c r="BO24" s="54"/>
      <c r="BP24" s="53"/>
      <c r="BQ24" s="52"/>
      <c r="BR24" s="74">
        <f t="shared" si="41"/>
        <v>0</v>
      </c>
      <c r="BS24" s="75" t="e">
        <f>BR24/BR$106</f>
        <v>#DIV/0!</v>
      </c>
      <c r="BT24" s="54"/>
      <c r="BU24" s="53"/>
      <c r="BV24" s="52"/>
      <c r="BW24" s="74">
        <f t="shared" si="42"/>
        <v>0</v>
      </c>
      <c r="BX24" s="75" t="e">
        <f>BW24/BW$106</f>
        <v>#DIV/0!</v>
      </c>
      <c r="BY24" s="54"/>
      <c r="BZ24" s="53"/>
      <c r="CA24" s="52"/>
      <c r="CB24" s="74">
        <f t="shared" si="43"/>
        <v>0</v>
      </c>
      <c r="CC24" s="75" t="e">
        <f>CB24/CB$106</f>
        <v>#DIV/0!</v>
      </c>
      <c r="CD24" s="54"/>
      <c r="CE24" s="52">
        <f t="shared" si="44"/>
        <v>1787519.8560000001</v>
      </c>
      <c r="CF24" s="52">
        <f t="shared" si="44"/>
        <v>0</v>
      </c>
      <c r="CG24" s="74">
        <f t="shared" si="45"/>
        <v>1787519.8560000001</v>
      </c>
      <c r="CH24" s="75">
        <f>CG24/$CG$106</f>
        <v>2.5647767091764254E-3</v>
      </c>
      <c r="CI24" s="76"/>
      <c r="CJ24" s="56">
        <v>1827999</v>
      </c>
      <c r="CK24" s="2">
        <f t="shared" ref="CK24:CK33" si="50">CJ24-CG24</f>
        <v>40479.143999999855</v>
      </c>
    </row>
    <row r="25" spans="1:90" s="57" customFormat="1" ht="24.6" customHeight="1" x14ac:dyDescent="0.2">
      <c r="A25" s="47"/>
      <c r="B25" s="84" t="s">
        <v>89</v>
      </c>
      <c r="C25" s="87"/>
      <c r="D25" s="85"/>
      <c r="E25" s="72">
        <f t="shared" si="30"/>
        <v>0</v>
      </c>
      <c r="F25" s="73">
        <f>E25/$E$106</f>
        <v>0</v>
      </c>
      <c r="G25" s="53">
        <v>559347.696</v>
      </c>
      <c r="H25" s="52">
        <v>6058</v>
      </c>
      <c r="I25" s="74">
        <f t="shared" si="47"/>
        <v>565405.696</v>
      </c>
      <c r="J25" s="75">
        <f>I25/I$106</f>
        <v>1.1412998101215431E-2</v>
      </c>
      <c r="K25" s="54"/>
      <c r="L25" s="53">
        <v>2860118.0819999999</v>
      </c>
      <c r="M25" s="52">
        <v>30922.78</v>
      </c>
      <c r="N25" s="74">
        <f t="shared" si="48"/>
        <v>2891040.8619999997</v>
      </c>
      <c r="O25" s="75">
        <f>N25/N$106</f>
        <v>6.7851478038638583E-3</v>
      </c>
      <c r="P25" s="54"/>
      <c r="Q25" s="53">
        <f t="shared" si="31"/>
        <v>1520604.6959999998</v>
      </c>
      <c r="R25" s="52">
        <f t="shared" si="31"/>
        <v>4619</v>
      </c>
      <c r="S25" s="74">
        <f t="shared" si="49"/>
        <v>1525223.6959999998</v>
      </c>
      <c r="T25" s="75">
        <f>S25/S$106</f>
        <v>6.8913209895157274E-3</v>
      </c>
      <c r="U25" s="54"/>
      <c r="V25" s="82"/>
      <c r="W25" s="53">
        <f>149257.092</f>
        <v>149257.092</v>
      </c>
      <c r="X25" s="52"/>
      <c r="Y25" s="74">
        <f t="shared" si="32"/>
        <v>149257.092</v>
      </c>
      <c r="Z25" s="75">
        <f>Y25/Y$106</f>
        <v>3.9524615495044454E-3</v>
      </c>
      <c r="AA25" s="54"/>
      <c r="AB25" s="53">
        <v>314503.44000000012</v>
      </c>
      <c r="AC25" s="52">
        <v>840</v>
      </c>
      <c r="AD25" s="74">
        <f t="shared" si="33"/>
        <v>315343.44000000012</v>
      </c>
      <c r="AE25" s="75">
        <f>AD25/AD$106</f>
        <v>9.5603627326344368E-3</v>
      </c>
      <c r="AF25" s="54"/>
      <c r="AG25" s="53">
        <v>411456.34799999982</v>
      </c>
      <c r="AH25" s="52">
        <v>800</v>
      </c>
      <c r="AI25" s="74">
        <f t="shared" si="34"/>
        <v>412256.34799999982</v>
      </c>
      <c r="AJ25" s="75">
        <f>AI25/AI$106</f>
        <v>1.0627140595513961E-2</v>
      </c>
      <c r="AK25" s="54"/>
      <c r="AL25" s="53">
        <f>159573.04*1.2</f>
        <v>191487.64800000002</v>
      </c>
      <c r="AM25" s="52"/>
      <c r="AN25" s="74">
        <f t="shared" si="35"/>
        <v>191487.64800000002</v>
      </c>
      <c r="AO25" s="75">
        <f>AN25/AN$106</f>
        <v>5.3436174224911473E-3</v>
      </c>
      <c r="AP25" s="54"/>
      <c r="AQ25" s="53">
        <v>215886.83999999997</v>
      </c>
      <c r="AR25" s="52">
        <v>2910</v>
      </c>
      <c r="AS25" s="74">
        <f t="shared" si="36"/>
        <v>218796.83999999997</v>
      </c>
      <c r="AT25" s="75">
        <f>AS25/AS$106</f>
        <v>6.0103089973351483E-3</v>
      </c>
      <c r="AU25" s="54"/>
      <c r="AV25" s="53">
        <v>238013.32799999995</v>
      </c>
      <c r="AW25" s="52">
        <v>69</v>
      </c>
      <c r="AX25" s="74">
        <f t="shared" si="37"/>
        <v>238082.32799999995</v>
      </c>
      <c r="AY25" s="75">
        <f>AX25/AX$106</f>
        <v>6.0203050294184565E-3</v>
      </c>
      <c r="AZ25" s="54"/>
      <c r="BA25" s="53"/>
      <c r="BB25" s="52"/>
      <c r="BC25" s="74">
        <f t="shared" si="38"/>
        <v>0</v>
      </c>
      <c r="BD25" s="75" t="e">
        <f>BC25/BC$106</f>
        <v>#DIV/0!</v>
      </c>
      <c r="BE25" s="54"/>
      <c r="BF25" s="53"/>
      <c r="BG25" s="52"/>
      <c r="BH25" s="74">
        <f t="shared" si="39"/>
        <v>0</v>
      </c>
      <c r="BI25" s="75" t="e">
        <f>BH25/BH$106</f>
        <v>#DIV/0!</v>
      </c>
      <c r="BJ25" s="54"/>
      <c r="BK25" s="53"/>
      <c r="BL25" s="52"/>
      <c r="BM25" s="74">
        <f t="shared" si="40"/>
        <v>0</v>
      </c>
      <c r="BN25" s="75" t="e">
        <f>BM25/BM$106</f>
        <v>#DIV/0!</v>
      </c>
      <c r="BO25" s="54"/>
      <c r="BP25" s="53"/>
      <c r="BQ25" s="52"/>
      <c r="BR25" s="74">
        <f t="shared" si="41"/>
        <v>0</v>
      </c>
      <c r="BS25" s="75" t="e">
        <f>BR25/BR$106</f>
        <v>#DIV/0!</v>
      </c>
      <c r="BT25" s="54"/>
      <c r="BU25" s="53"/>
      <c r="BV25" s="52"/>
      <c r="BW25" s="74">
        <f t="shared" si="42"/>
        <v>0</v>
      </c>
      <c r="BX25" s="75" t="e">
        <f>BW25/BW$106</f>
        <v>#DIV/0!</v>
      </c>
      <c r="BY25" s="54"/>
      <c r="BZ25" s="53"/>
      <c r="CA25" s="52"/>
      <c r="CB25" s="74">
        <f t="shared" si="43"/>
        <v>0</v>
      </c>
      <c r="CC25" s="75" t="e">
        <f>CB25/CB$106</f>
        <v>#DIV/0!</v>
      </c>
      <c r="CD25" s="54"/>
      <c r="CE25" s="52">
        <f t="shared" si="44"/>
        <v>4940070.4739999995</v>
      </c>
      <c r="CF25" s="52">
        <f t="shared" si="44"/>
        <v>41599.78</v>
      </c>
      <c r="CG25" s="74">
        <f t="shared" si="45"/>
        <v>4981670.2539999997</v>
      </c>
      <c r="CH25" s="75">
        <f>CG25/$CG$106</f>
        <v>7.1478209304189156E-3</v>
      </c>
      <c r="CI25" s="76"/>
      <c r="CJ25" s="56">
        <v>5106464.74</v>
      </c>
      <c r="CK25" s="2">
        <f t="shared" si="50"/>
        <v>124794.4860000005</v>
      </c>
    </row>
    <row r="26" spans="1:90" s="57" customFormat="1" ht="24.6" customHeight="1" x14ac:dyDescent="0.2">
      <c r="A26" s="47"/>
      <c r="B26" s="84" t="s">
        <v>90</v>
      </c>
      <c r="C26" s="87"/>
      <c r="D26" s="85"/>
      <c r="E26" s="72">
        <f t="shared" si="30"/>
        <v>0</v>
      </c>
      <c r="F26" s="73">
        <f>E26/$E$106</f>
        <v>0</v>
      </c>
      <c r="G26" s="53">
        <v>27035270.794</v>
      </c>
      <c r="H26" s="52">
        <v>0</v>
      </c>
      <c r="I26" s="74">
        <f t="shared" si="47"/>
        <v>27035270.794</v>
      </c>
      <c r="J26" s="75">
        <f>I26/I$106</f>
        <v>0.54572052673089266</v>
      </c>
      <c r="K26" s="54"/>
      <c r="L26" s="53">
        <v>264010745.0309</v>
      </c>
      <c r="M26" s="52">
        <v>0</v>
      </c>
      <c r="N26" s="74">
        <f t="shared" si="48"/>
        <v>264010745.0309</v>
      </c>
      <c r="O26" s="75">
        <f>N26/N$106</f>
        <v>0.61962179448533583</v>
      </c>
      <c r="P26" s="54"/>
      <c r="Q26" s="53">
        <f t="shared" si="31"/>
        <v>111120182.72400001</v>
      </c>
      <c r="R26" s="52">
        <f t="shared" si="31"/>
        <v>0</v>
      </c>
      <c r="S26" s="74">
        <f t="shared" si="49"/>
        <v>111120182.72400001</v>
      </c>
      <c r="T26" s="75">
        <f>S26/S$106</f>
        <v>0.50206723746358861</v>
      </c>
      <c r="U26" s="54"/>
      <c r="V26" s="82"/>
      <c r="W26" s="53">
        <f>28839708.12+181.31+126.6</f>
        <v>28840016.030000001</v>
      </c>
      <c r="X26" s="52"/>
      <c r="Y26" s="74">
        <f t="shared" si="32"/>
        <v>28840016.030000001</v>
      </c>
      <c r="Z26" s="75">
        <f>Y26/Y$106</f>
        <v>0.76370946879808466</v>
      </c>
      <c r="AA26" s="54" t="s">
        <v>91</v>
      </c>
      <c r="AB26" s="53">
        <f>20871681.34+446280.64</f>
        <v>21317961.98</v>
      </c>
      <c r="AC26" s="52"/>
      <c r="AD26" s="74">
        <f t="shared" si="33"/>
        <v>21317961.98</v>
      </c>
      <c r="AE26" s="75">
        <f>AD26/AD$106</f>
        <v>0.64630312033543413</v>
      </c>
      <c r="AF26" s="54"/>
      <c r="AG26" s="53">
        <f>18826426.872+1663721.364</f>
        <v>20490148.236000001</v>
      </c>
      <c r="AH26" s="52"/>
      <c r="AI26" s="74">
        <f t="shared" si="34"/>
        <v>20490148.236000001</v>
      </c>
      <c r="AJ26" s="75">
        <f>AI26/AI$106</f>
        <v>0.52819486512041414</v>
      </c>
      <c r="AK26" s="54"/>
      <c r="AL26" s="53">
        <f>11604849.012+1249445.736+9912.4+1143.8</f>
        <v>12865350.948000001</v>
      </c>
      <c r="AM26" s="52"/>
      <c r="AN26" s="74">
        <f t="shared" si="35"/>
        <v>12865350.948000001</v>
      </c>
      <c r="AO26" s="75">
        <f>AN26/AN$106</f>
        <v>0.35901800554882679</v>
      </c>
      <c r="AP26" s="54" t="s">
        <v>92</v>
      </c>
      <c r="AQ26" s="53">
        <f>16908655.416+14130.024+187.35+89.13</f>
        <v>16923061.920000002</v>
      </c>
      <c r="AR26" s="52"/>
      <c r="AS26" s="74">
        <f t="shared" si="36"/>
        <v>16923061.920000002</v>
      </c>
      <c r="AT26" s="75">
        <f>AS26/AS$106</f>
        <v>0.464873401829002</v>
      </c>
      <c r="AU26" s="54"/>
      <c r="AV26" s="53">
        <f>10007686.2+675957.41</f>
        <v>10683643.609999999</v>
      </c>
      <c r="AW26" s="52"/>
      <c r="AX26" s="74">
        <f t="shared" si="37"/>
        <v>10683643.609999999</v>
      </c>
      <c r="AY26" s="75">
        <f>AX26/AX$106</f>
        <v>0.27015358047825105</v>
      </c>
      <c r="AZ26" s="54"/>
      <c r="BA26" s="53"/>
      <c r="BB26" s="52"/>
      <c r="BC26" s="74">
        <f t="shared" si="38"/>
        <v>0</v>
      </c>
      <c r="BD26" s="75" t="e">
        <f>BC26/BC$106</f>
        <v>#DIV/0!</v>
      </c>
      <c r="BE26" s="54"/>
      <c r="BF26" s="53"/>
      <c r="BG26" s="52"/>
      <c r="BH26" s="74">
        <f t="shared" si="39"/>
        <v>0</v>
      </c>
      <c r="BI26" s="75" t="e">
        <f>BH26/BH$106</f>
        <v>#DIV/0!</v>
      </c>
      <c r="BJ26" s="54"/>
      <c r="BK26" s="53"/>
      <c r="BL26" s="52"/>
      <c r="BM26" s="74">
        <f t="shared" si="40"/>
        <v>0</v>
      </c>
      <c r="BN26" s="75" t="e">
        <f>BM26/BM$106</f>
        <v>#DIV/0!</v>
      </c>
      <c r="BO26" s="54"/>
      <c r="BP26" s="53"/>
      <c r="BQ26" s="52"/>
      <c r="BR26" s="74">
        <f t="shared" si="41"/>
        <v>0</v>
      </c>
      <c r="BS26" s="75" t="e">
        <f>BR26/BR$106</f>
        <v>#DIV/0!</v>
      </c>
      <c r="BT26" s="54"/>
      <c r="BU26" s="53"/>
      <c r="BV26" s="52"/>
      <c r="BW26" s="74">
        <f t="shared" si="42"/>
        <v>0</v>
      </c>
      <c r="BX26" s="75" t="e">
        <f>BW26/BW$106</f>
        <v>#DIV/0!</v>
      </c>
      <c r="BY26" s="54"/>
      <c r="BZ26" s="53"/>
      <c r="CA26" s="52"/>
      <c r="CB26" s="74">
        <f t="shared" si="43"/>
        <v>0</v>
      </c>
      <c r="CC26" s="75" t="e">
        <f>CB26/CB$106</f>
        <v>#DIV/0!</v>
      </c>
      <c r="CD26" s="54"/>
      <c r="CE26" s="52">
        <f t="shared" si="44"/>
        <v>402166198.54890001</v>
      </c>
      <c r="CF26" s="52">
        <f t="shared" si="44"/>
        <v>0</v>
      </c>
      <c r="CG26" s="74">
        <f t="shared" si="45"/>
        <v>402166198.54890001</v>
      </c>
      <c r="CH26" s="75">
        <f>CG26/$CG$106</f>
        <v>0.57703778550711693</v>
      </c>
      <c r="CI26" s="76"/>
      <c r="CJ26" s="56">
        <v>395043515.16000003</v>
      </c>
      <c r="CK26" s="2">
        <f t="shared" si="50"/>
        <v>-7122683.388899982</v>
      </c>
    </row>
    <row r="27" spans="1:90" s="57" customFormat="1" ht="24.6" customHeight="1" x14ac:dyDescent="0.2">
      <c r="A27" s="47"/>
      <c r="B27" s="84" t="s">
        <v>93</v>
      </c>
      <c r="C27" s="87"/>
      <c r="D27" s="85"/>
      <c r="E27" s="72">
        <f t="shared" si="30"/>
        <v>0</v>
      </c>
      <c r="F27" s="73">
        <f>E27/$E$106</f>
        <v>0</v>
      </c>
      <c r="G27" s="53">
        <v>82285.2</v>
      </c>
      <c r="H27" s="52">
        <v>0</v>
      </c>
      <c r="I27" s="74">
        <f t="shared" si="47"/>
        <v>82285.2</v>
      </c>
      <c r="J27" s="75">
        <f>I27/I$106</f>
        <v>1.6609681119274255E-3</v>
      </c>
      <c r="K27" s="54"/>
      <c r="L27" s="53">
        <v>463084</v>
      </c>
      <c r="M27" s="52">
        <v>0</v>
      </c>
      <c r="N27" s="74">
        <f t="shared" si="48"/>
        <v>463084</v>
      </c>
      <c r="O27" s="75">
        <f>N27/N$106</f>
        <v>1.0868381097286931E-3</v>
      </c>
      <c r="P27" s="54"/>
      <c r="Q27" s="53">
        <f t="shared" si="31"/>
        <v>171328.8</v>
      </c>
      <c r="R27" s="52">
        <f t="shared" si="31"/>
        <v>0</v>
      </c>
      <c r="S27" s="74">
        <f t="shared" si="49"/>
        <v>171328.8</v>
      </c>
      <c r="T27" s="75">
        <f>S27/S$106</f>
        <v>7.7410399447960202E-4</v>
      </c>
      <c r="U27" s="54"/>
      <c r="V27" s="82"/>
      <c r="W27" s="53">
        <f>5460+1960.8+48804</f>
        <v>56224.800000000003</v>
      </c>
      <c r="X27" s="52"/>
      <c r="Y27" s="74">
        <f t="shared" si="32"/>
        <v>56224.800000000003</v>
      </c>
      <c r="Z27" s="75">
        <f>Y27/Y$106</f>
        <v>1.488883088574294E-3</v>
      </c>
      <c r="AA27" s="54" t="s">
        <v>94</v>
      </c>
      <c r="AB27" s="53">
        <f>2400+1200</f>
        <v>3600</v>
      </c>
      <c r="AC27" s="52"/>
      <c r="AD27" s="74">
        <f t="shared" si="33"/>
        <v>3600</v>
      </c>
      <c r="AE27" s="75">
        <f>AD27/AD$106</f>
        <v>1.0914229209107365E-4</v>
      </c>
      <c r="AF27" s="54" t="s">
        <v>95</v>
      </c>
      <c r="AG27" s="53">
        <f>6440</f>
        <v>6440</v>
      </c>
      <c r="AH27" s="52"/>
      <c r="AI27" s="74">
        <f t="shared" si="34"/>
        <v>6440</v>
      </c>
      <c r="AJ27" s="75">
        <f>AI27/AI$106</f>
        <v>1.6601026464996955E-4</v>
      </c>
      <c r="AK27" s="54" t="s">
        <v>96</v>
      </c>
      <c r="AL27" s="53">
        <f>17469+13483</f>
        <v>30952</v>
      </c>
      <c r="AM27" s="52"/>
      <c r="AN27" s="74">
        <f t="shared" si="35"/>
        <v>30952</v>
      </c>
      <c r="AO27" s="75">
        <f>AN27/AN$106</f>
        <v>8.637405503092605E-4</v>
      </c>
      <c r="AP27" s="54" t="s">
        <v>97</v>
      </c>
      <c r="AQ27" s="53">
        <f>12376+8772</f>
        <v>21148</v>
      </c>
      <c r="AR27" s="52"/>
      <c r="AS27" s="74">
        <f t="shared" si="36"/>
        <v>21148</v>
      </c>
      <c r="AT27" s="75">
        <f>AS27/AS$106</f>
        <v>5.8093167467886521E-4</v>
      </c>
      <c r="AU27" s="54" t="s">
        <v>98</v>
      </c>
      <c r="AV27" s="53">
        <v>52964</v>
      </c>
      <c r="AW27" s="52"/>
      <c r="AX27" s="74">
        <f t="shared" si="37"/>
        <v>52964</v>
      </c>
      <c r="AY27" s="75">
        <f>AX27/AX$106</f>
        <v>1.339282248525893E-3</v>
      </c>
      <c r="AZ27" s="54" t="s">
        <v>99</v>
      </c>
      <c r="BA27" s="53"/>
      <c r="BB27" s="52"/>
      <c r="BC27" s="74">
        <f t="shared" si="38"/>
        <v>0</v>
      </c>
      <c r="BD27" s="75" t="e">
        <f>BC27/BC$106</f>
        <v>#DIV/0!</v>
      </c>
      <c r="BE27" s="54"/>
      <c r="BF27" s="53"/>
      <c r="BG27" s="52"/>
      <c r="BH27" s="74">
        <f t="shared" si="39"/>
        <v>0</v>
      </c>
      <c r="BI27" s="75" t="e">
        <f>BH27/BH$106</f>
        <v>#DIV/0!</v>
      </c>
      <c r="BJ27" s="54"/>
      <c r="BK27" s="53"/>
      <c r="BL27" s="52"/>
      <c r="BM27" s="74">
        <f t="shared" si="40"/>
        <v>0</v>
      </c>
      <c r="BN27" s="75" t="e">
        <f>BM27/BM$106</f>
        <v>#DIV/0!</v>
      </c>
      <c r="BO27" s="54"/>
      <c r="BP27" s="53"/>
      <c r="BQ27" s="52"/>
      <c r="BR27" s="74">
        <f t="shared" si="41"/>
        <v>0</v>
      </c>
      <c r="BS27" s="75" t="e">
        <f>BR27/BR$106</f>
        <v>#DIV/0!</v>
      </c>
      <c r="BT27" s="54"/>
      <c r="BU27" s="53"/>
      <c r="BV27" s="52"/>
      <c r="BW27" s="74">
        <f t="shared" si="42"/>
        <v>0</v>
      </c>
      <c r="BX27" s="75" t="e">
        <f>BW27/BW$106</f>
        <v>#DIV/0!</v>
      </c>
      <c r="BY27" s="54"/>
      <c r="BZ27" s="53"/>
      <c r="CA27" s="52"/>
      <c r="CB27" s="74">
        <f t="shared" si="43"/>
        <v>0</v>
      </c>
      <c r="CC27" s="75" t="e">
        <f>CB27/CB$106</f>
        <v>#DIV/0!</v>
      </c>
      <c r="CD27" s="54"/>
      <c r="CE27" s="52">
        <f t="shared" si="44"/>
        <v>716698</v>
      </c>
      <c r="CF27" s="52">
        <f t="shared" si="44"/>
        <v>0</v>
      </c>
      <c r="CG27" s="74">
        <f t="shared" si="45"/>
        <v>716698</v>
      </c>
      <c r="CH27" s="75">
        <f>CG27/$CG$106</f>
        <v>1.0283356191783336E-3</v>
      </c>
      <c r="CI27" s="76"/>
      <c r="CJ27" s="56">
        <v>488777.16000000003</v>
      </c>
      <c r="CK27" s="2">
        <f t="shared" si="50"/>
        <v>-227920.83999999997</v>
      </c>
    </row>
    <row r="28" spans="1:90" s="57" customFormat="1" ht="24.6" customHeight="1" x14ac:dyDescent="0.2">
      <c r="A28" s="47"/>
      <c r="B28" s="84" t="s">
        <v>100</v>
      </c>
      <c r="C28" s="87"/>
      <c r="D28" s="85"/>
      <c r="E28" s="72">
        <f t="shared" si="30"/>
        <v>0</v>
      </c>
      <c r="F28" s="73">
        <f>E28/$E$106</f>
        <v>0</v>
      </c>
      <c r="G28" s="53">
        <v>21200</v>
      </c>
      <c r="H28" s="52">
        <v>0</v>
      </c>
      <c r="I28" s="74">
        <f t="shared" si="47"/>
        <v>21200</v>
      </c>
      <c r="J28" s="75">
        <f>I28/I$106</f>
        <v>4.2793265341594143E-4</v>
      </c>
      <c r="K28" s="54"/>
      <c r="L28" s="53">
        <v>138551.01599999997</v>
      </c>
      <c r="M28" s="52">
        <v>79000</v>
      </c>
      <c r="N28" s="74">
        <f t="shared" si="48"/>
        <v>217551.01599999997</v>
      </c>
      <c r="O28" s="75">
        <f>N28/N$106</f>
        <v>5.105828208251562E-4</v>
      </c>
      <c r="P28" s="54"/>
      <c r="Q28" s="53">
        <f t="shared" si="31"/>
        <v>5700</v>
      </c>
      <c r="R28" s="52">
        <f t="shared" si="31"/>
        <v>90000</v>
      </c>
      <c r="S28" s="74">
        <f t="shared" si="49"/>
        <v>95700</v>
      </c>
      <c r="T28" s="75">
        <f>S28/S$106</f>
        <v>4.3239520892983504E-4</v>
      </c>
      <c r="U28" s="54"/>
      <c r="V28" s="82"/>
      <c r="W28" s="53"/>
      <c r="X28" s="52">
        <f>15000</f>
        <v>15000</v>
      </c>
      <c r="Y28" s="74">
        <f t="shared" si="32"/>
        <v>15000</v>
      </c>
      <c r="Z28" s="75">
        <f>Y28/Y$106</f>
        <v>3.972134419084534E-4</v>
      </c>
      <c r="AA28" s="54" t="s">
        <v>101</v>
      </c>
      <c r="AB28" s="53">
        <f>4000*1.2</f>
        <v>4800</v>
      </c>
      <c r="AC28" s="52">
        <f>15000</f>
        <v>15000</v>
      </c>
      <c r="AD28" s="74">
        <f t="shared" si="33"/>
        <v>19800</v>
      </c>
      <c r="AE28" s="75">
        <f>AD28/AD$106</f>
        <v>6.002826065009051E-4</v>
      </c>
      <c r="AF28" s="54" t="s">
        <v>102</v>
      </c>
      <c r="AG28" s="53">
        <f>900</f>
        <v>900</v>
      </c>
      <c r="AH28" s="52">
        <f>15000</f>
        <v>15000</v>
      </c>
      <c r="AI28" s="74">
        <f t="shared" si="34"/>
        <v>15900</v>
      </c>
      <c r="AJ28" s="75">
        <f>AI28/AI$106</f>
        <v>4.0987006334386889E-4</v>
      </c>
      <c r="AK28" s="54" t="s">
        <v>103</v>
      </c>
      <c r="AL28" s="53"/>
      <c r="AM28" s="52">
        <f>15000</f>
        <v>15000</v>
      </c>
      <c r="AN28" s="74">
        <f t="shared" si="35"/>
        <v>15000</v>
      </c>
      <c r="AO28" s="75">
        <f>AN28/AN$106</f>
        <v>4.1858711083739042E-4</v>
      </c>
      <c r="AP28" s="54" t="s">
        <v>101</v>
      </c>
      <c r="AQ28" s="53"/>
      <c r="AR28" s="52">
        <f>15000</f>
        <v>15000</v>
      </c>
      <c r="AS28" s="74">
        <f t="shared" si="36"/>
        <v>15000</v>
      </c>
      <c r="AT28" s="75">
        <f>AS28/AS$106</f>
        <v>4.1204724419249947E-4</v>
      </c>
      <c r="AU28" s="54" t="s">
        <v>101</v>
      </c>
      <c r="AV28" s="53"/>
      <c r="AW28" s="52">
        <f>15000</f>
        <v>15000</v>
      </c>
      <c r="AX28" s="74">
        <f t="shared" si="37"/>
        <v>15000</v>
      </c>
      <c r="AY28" s="75">
        <f>AX28/AX$106</f>
        <v>3.7929978339793814E-4</v>
      </c>
      <c r="AZ28" s="54" t="s">
        <v>101</v>
      </c>
      <c r="BA28" s="53"/>
      <c r="BB28" s="52"/>
      <c r="BC28" s="74">
        <f t="shared" si="38"/>
        <v>0</v>
      </c>
      <c r="BD28" s="75" t="e">
        <f>BC28/BC$106</f>
        <v>#DIV/0!</v>
      </c>
      <c r="BE28" s="54"/>
      <c r="BF28" s="53"/>
      <c r="BG28" s="52"/>
      <c r="BH28" s="74">
        <f t="shared" si="39"/>
        <v>0</v>
      </c>
      <c r="BI28" s="75" t="e">
        <f>BH28/BH$106</f>
        <v>#DIV/0!</v>
      </c>
      <c r="BJ28" s="54"/>
      <c r="BK28" s="53"/>
      <c r="BL28" s="52"/>
      <c r="BM28" s="74">
        <f t="shared" si="40"/>
        <v>0</v>
      </c>
      <c r="BN28" s="75" t="e">
        <f>BM28/BM$106</f>
        <v>#DIV/0!</v>
      </c>
      <c r="BO28" s="54"/>
      <c r="BP28" s="53"/>
      <c r="BQ28" s="52"/>
      <c r="BR28" s="74">
        <f t="shared" si="41"/>
        <v>0</v>
      </c>
      <c r="BS28" s="75" t="e">
        <f>BR28/BR$106</f>
        <v>#DIV/0!</v>
      </c>
      <c r="BT28" s="54"/>
      <c r="BU28" s="53"/>
      <c r="BV28" s="52"/>
      <c r="BW28" s="74">
        <f t="shared" si="42"/>
        <v>0</v>
      </c>
      <c r="BX28" s="75" t="e">
        <f>BW28/BW$106</f>
        <v>#DIV/0!</v>
      </c>
      <c r="BY28" s="54"/>
      <c r="BZ28" s="53"/>
      <c r="CA28" s="52"/>
      <c r="CB28" s="74">
        <f t="shared" si="43"/>
        <v>0</v>
      </c>
      <c r="CC28" s="75" t="e">
        <f>CB28/CB$106</f>
        <v>#DIV/0!</v>
      </c>
      <c r="CD28" s="54"/>
      <c r="CE28" s="52">
        <f t="shared" si="44"/>
        <v>165451.01599999997</v>
      </c>
      <c r="CF28" s="52">
        <f t="shared" si="44"/>
        <v>169000</v>
      </c>
      <c r="CG28" s="74">
        <f>CE28+CF28*1</f>
        <v>334451.01599999995</v>
      </c>
      <c r="CH28" s="75">
        <f>CG28/$CG$106</f>
        <v>4.7987840432536815E-4</v>
      </c>
      <c r="CI28" s="76"/>
      <c r="CJ28" s="56">
        <v>37401.71</v>
      </c>
      <c r="CK28" s="2">
        <f t="shared" si="50"/>
        <v>-297049.30599999992</v>
      </c>
    </row>
    <row r="29" spans="1:90" s="57" customFormat="1" ht="24.6" customHeight="1" x14ac:dyDescent="0.2">
      <c r="A29" s="47"/>
      <c r="B29" s="84" t="s">
        <v>104</v>
      </c>
      <c r="C29" s="87"/>
      <c r="D29" s="85"/>
      <c r="E29" s="72">
        <f t="shared" si="30"/>
        <v>0</v>
      </c>
      <c r="F29" s="75">
        <f>E29/$E$106</f>
        <v>0</v>
      </c>
      <c r="G29" s="53">
        <v>54410</v>
      </c>
      <c r="H29" s="52">
        <v>0</v>
      </c>
      <c r="I29" s="74">
        <f t="shared" si="47"/>
        <v>54410</v>
      </c>
      <c r="J29" s="75">
        <f>I29/I$106</f>
        <v>1.0982931920925176E-3</v>
      </c>
      <c r="K29" s="54"/>
      <c r="L29" s="53">
        <v>422990</v>
      </c>
      <c r="M29" s="52">
        <v>0</v>
      </c>
      <c r="N29" s="74">
        <f t="shared" si="48"/>
        <v>422990</v>
      </c>
      <c r="O29" s="75">
        <f>N29/N$106</f>
        <v>9.9273922665032662E-4</v>
      </c>
      <c r="P29" s="54"/>
      <c r="Q29" s="53">
        <f t="shared" si="31"/>
        <v>236800</v>
      </c>
      <c r="R29" s="52">
        <f t="shared" si="31"/>
        <v>0</v>
      </c>
      <c r="S29" s="74">
        <f t="shared" si="49"/>
        <v>236800</v>
      </c>
      <c r="T29" s="75">
        <f>S29/S$106</f>
        <v>1.0699183435170839E-3</v>
      </c>
      <c r="U29" s="54"/>
      <c r="V29" s="82"/>
      <c r="W29" s="53">
        <f>4200+3400+5600+4200+5600+5600+4200+4200</f>
        <v>37000</v>
      </c>
      <c r="X29" s="52"/>
      <c r="Y29" s="74">
        <f t="shared" si="32"/>
        <v>37000</v>
      </c>
      <c r="Z29" s="75">
        <f>Y29/Y$106</f>
        <v>9.7979315670751834E-4</v>
      </c>
      <c r="AA29" s="54" t="s">
        <v>105</v>
      </c>
      <c r="AB29" s="53">
        <f>5600+2600+4000+5000+5200+2800+4400+4200+5000</f>
        <v>38800</v>
      </c>
      <c r="AC29" s="52"/>
      <c r="AD29" s="74">
        <f t="shared" si="33"/>
        <v>38800</v>
      </c>
      <c r="AE29" s="75">
        <f>AD29/AD$106</f>
        <v>1.176311370314905E-3</v>
      </c>
      <c r="AF29" s="54" t="s">
        <v>106</v>
      </c>
      <c r="AG29" s="53">
        <f>4200+5600+5400+6200+5400+7000+6600+4800</f>
        <v>45200</v>
      </c>
      <c r="AH29" s="52"/>
      <c r="AI29" s="74">
        <f t="shared" si="34"/>
        <v>45200</v>
      </c>
      <c r="AJ29" s="75">
        <f>AI29/AI$106</f>
        <v>1.1651652115184199E-3</v>
      </c>
      <c r="AK29" s="54" t="s">
        <v>107</v>
      </c>
      <c r="AL29" s="53">
        <f>2400+5600+1400+5600+5400+5400+4000</f>
        <v>29800</v>
      </c>
      <c r="AM29" s="52"/>
      <c r="AN29" s="74">
        <f t="shared" si="35"/>
        <v>29800</v>
      </c>
      <c r="AO29" s="75">
        <f>AN29/AN$106</f>
        <v>8.3159306019694893E-4</v>
      </c>
      <c r="AP29" s="54" t="s">
        <v>108</v>
      </c>
      <c r="AQ29" s="53">
        <v>19200</v>
      </c>
      <c r="AR29" s="52"/>
      <c r="AS29" s="74">
        <f t="shared" si="36"/>
        <v>19200</v>
      </c>
      <c r="AT29" s="75">
        <f>AS29/AS$106</f>
        <v>5.2742047256639933E-4</v>
      </c>
      <c r="AU29" s="54" t="s">
        <v>109</v>
      </c>
      <c r="AV29" s="53">
        <v>66800</v>
      </c>
      <c r="AW29" s="52"/>
      <c r="AX29" s="74">
        <f t="shared" si="37"/>
        <v>66800</v>
      </c>
      <c r="AY29" s="75">
        <f>AX29/AX$106</f>
        <v>1.6891483687321513E-3</v>
      </c>
      <c r="AZ29" s="54" t="s">
        <v>110</v>
      </c>
      <c r="BA29" s="53"/>
      <c r="BB29" s="52"/>
      <c r="BC29" s="74">
        <f t="shared" si="38"/>
        <v>0</v>
      </c>
      <c r="BD29" s="75" t="e">
        <f>BC29/BC$106</f>
        <v>#DIV/0!</v>
      </c>
      <c r="BE29" s="54"/>
      <c r="BF29" s="53"/>
      <c r="BG29" s="52"/>
      <c r="BH29" s="74">
        <f t="shared" si="39"/>
        <v>0</v>
      </c>
      <c r="BI29" s="75" t="e">
        <f>BH29/BH$106</f>
        <v>#DIV/0!</v>
      </c>
      <c r="BJ29" s="54"/>
      <c r="BK29" s="53"/>
      <c r="BL29" s="52"/>
      <c r="BM29" s="74">
        <f t="shared" si="40"/>
        <v>0</v>
      </c>
      <c r="BN29" s="75" t="e">
        <f>BM29/BM$106</f>
        <v>#DIV/0!</v>
      </c>
      <c r="BO29" s="54"/>
      <c r="BP29" s="53"/>
      <c r="BQ29" s="52"/>
      <c r="BR29" s="74">
        <f t="shared" si="41"/>
        <v>0</v>
      </c>
      <c r="BS29" s="75" t="e">
        <f>BR29/BR$106</f>
        <v>#DIV/0!</v>
      </c>
      <c r="BT29" s="54"/>
      <c r="BU29" s="53"/>
      <c r="BV29" s="52"/>
      <c r="BW29" s="74">
        <f t="shared" si="42"/>
        <v>0</v>
      </c>
      <c r="BX29" s="75" t="e">
        <f>BW29/BW$106</f>
        <v>#DIV/0!</v>
      </c>
      <c r="BY29" s="54"/>
      <c r="BZ29" s="53"/>
      <c r="CA29" s="52"/>
      <c r="CB29" s="74">
        <f t="shared" si="43"/>
        <v>0</v>
      </c>
      <c r="CC29" s="75" t="e">
        <f>CB29/CB$106</f>
        <v>#DIV/0!</v>
      </c>
      <c r="CD29" s="54"/>
      <c r="CE29" s="52">
        <f t="shared" si="44"/>
        <v>714200</v>
      </c>
      <c r="CF29" s="52">
        <f t="shared" si="44"/>
        <v>0</v>
      </c>
      <c r="CG29" s="74">
        <f t="shared" si="45"/>
        <v>714200</v>
      </c>
      <c r="CH29" s="75">
        <f>CG29/$CG$106</f>
        <v>1.024751428380107E-3</v>
      </c>
      <c r="CI29" s="88"/>
      <c r="CJ29" s="56">
        <v>647400</v>
      </c>
      <c r="CK29" s="2">
        <f t="shared" si="50"/>
        <v>-66800</v>
      </c>
      <c r="CL29" s="57" t="s">
        <v>111</v>
      </c>
    </row>
    <row r="30" spans="1:90" s="57" customFormat="1" ht="54" customHeight="1" x14ac:dyDescent="0.2">
      <c r="A30" s="47"/>
      <c r="B30" s="84" t="s">
        <v>112</v>
      </c>
      <c r="C30" s="87"/>
      <c r="D30" s="85"/>
      <c r="E30" s="72">
        <f t="shared" si="30"/>
        <v>0</v>
      </c>
      <c r="F30" s="75">
        <f>E30/$E$106</f>
        <v>0</v>
      </c>
      <c r="G30" s="53">
        <v>91000</v>
      </c>
      <c r="H30" s="52">
        <v>139648.40999999997</v>
      </c>
      <c r="I30" s="74">
        <f t="shared" si="47"/>
        <v>230648.40999999997</v>
      </c>
      <c r="J30" s="75">
        <f>I30/I$106</f>
        <v>4.6557540612013181E-3</v>
      </c>
      <c r="K30" s="54"/>
      <c r="L30" s="53">
        <v>558119.25000000012</v>
      </c>
      <c r="M30" s="52">
        <v>1839238.0899999999</v>
      </c>
      <c r="N30" s="74">
        <f t="shared" si="48"/>
        <v>2397357.34</v>
      </c>
      <c r="O30" s="75">
        <f>N30/N$106</f>
        <v>5.6264939400838881E-3</v>
      </c>
      <c r="P30" s="54"/>
      <c r="Q30" s="53">
        <f t="shared" si="31"/>
        <v>670266.24</v>
      </c>
      <c r="R30" s="52">
        <f t="shared" si="31"/>
        <v>1111355</v>
      </c>
      <c r="S30" s="74">
        <f t="shared" si="49"/>
        <v>1781621.24</v>
      </c>
      <c r="T30" s="75">
        <f>S30/S$106</f>
        <v>8.0497856667046154E-3</v>
      </c>
      <c r="U30" s="54"/>
      <c r="V30" s="82"/>
      <c r="W30" s="53">
        <f>89266.24</f>
        <v>89266.240000000005</v>
      </c>
      <c r="X30" s="52">
        <f>31000+10000+12000+5000+1137+5447+3988+2854+6000+12000+5400+12500+8000+8400+15000+7000+15000+4200+6000+5400</f>
        <v>176326</v>
      </c>
      <c r="Y30" s="74">
        <f t="shared" si="32"/>
        <v>265592.24</v>
      </c>
      <c r="Z30" s="75">
        <f>Y30/Y$106</f>
        <v>7.0331205196384004E-3</v>
      </c>
      <c r="AA30" s="54" t="s">
        <v>113</v>
      </c>
      <c r="AB30" s="53">
        <f>118800</f>
        <v>118800</v>
      </c>
      <c r="AC30" s="52">
        <f>12000+31000+10000+3000+31000+3900+7200+5600+15000+4093+6920+3198+3000+2400+15750+7000+7571+4175+15000+15000+15000+3000+2800</f>
        <v>223607</v>
      </c>
      <c r="AD30" s="74">
        <f t="shared" si="33"/>
        <v>342407</v>
      </c>
      <c r="AE30" s="75">
        <f>AD30/AD$106</f>
        <v>1.0380856891118961E-2</v>
      </c>
      <c r="AF30" s="54" t="s">
        <v>114</v>
      </c>
      <c r="AG30" s="53">
        <v>123200</v>
      </c>
      <c r="AH30" s="52">
        <f>12000+30000+30000+2700+15000+10000+3000+3000+7000+5087+4066+6000+15000+15000+30000+8584+2398</f>
        <v>198835</v>
      </c>
      <c r="AI30" s="74">
        <f t="shared" si="34"/>
        <v>322035</v>
      </c>
      <c r="AJ30" s="75">
        <f>AI30/AI$106</f>
        <v>8.3014154621976616E-3</v>
      </c>
      <c r="AK30" s="54" t="s">
        <v>115</v>
      </c>
      <c r="AL30" s="53">
        <f>136400</f>
        <v>136400</v>
      </c>
      <c r="AM30" s="52">
        <f>30000+3000+15000+15000+10000+6000+3000+12000+7780+7000+15000+3000+2640+4066+2286+4120+15000+3000+2035</f>
        <v>159927</v>
      </c>
      <c r="AN30" s="74">
        <f t="shared" si="35"/>
        <v>296327</v>
      </c>
      <c r="AO30" s="75">
        <f>AN30/AN$106</f>
        <v>8.2692441862074265E-3</v>
      </c>
      <c r="AP30" s="54" t="s">
        <v>116</v>
      </c>
      <c r="AQ30" s="53">
        <f>132000</f>
        <v>132000</v>
      </c>
      <c r="AR30" s="52">
        <f>12000+10000+15000+3000+30000+30000+15000+6000+3710+2570+978+2602</f>
        <v>130860</v>
      </c>
      <c r="AS30" s="74">
        <f t="shared" si="36"/>
        <v>262860</v>
      </c>
      <c r="AT30" s="75">
        <f>AS30/AS$106</f>
        <v>7.220715907229361E-3</v>
      </c>
      <c r="AU30" s="54" t="s">
        <v>117</v>
      </c>
      <c r="AV30" s="53">
        <f>70600</f>
        <v>70600</v>
      </c>
      <c r="AW30" s="52">
        <f>10000+10000+9000+19200+30000+15000+12000+7500+7000+3300+2800+12000+74993.15+6.85+9000</f>
        <v>221800</v>
      </c>
      <c r="AX30" s="74">
        <f t="shared" si="37"/>
        <v>292400</v>
      </c>
      <c r="AY30" s="75">
        <f>AX30/AX$106</f>
        <v>7.3938171110371409E-3</v>
      </c>
      <c r="AZ30" s="54" t="s">
        <v>118</v>
      </c>
      <c r="BA30" s="53"/>
      <c r="BB30" s="52"/>
      <c r="BC30" s="74">
        <f t="shared" si="38"/>
        <v>0</v>
      </c>
      <c r="BD30" s="75" t="e">
        <f>BC30/BC$106</f>
        <v>#DIV/0!</v>
      </c>
      <c r="BE30" s="54"/>
      <c r="BF30" s="53"/>
      <c r="BG30" s="52"/>
      <c r="BH30" s="74">
        <f t="shared" si="39"/>
        <v>0</v>
      </c>
      <c r="BI30" s="75" t="e">
        <f>BH30/BH$106</f>
        <v>#DIV/0!</v>
      </c>
      <c r="BJ30" s="54"/>
      <c r="BK30" s="53"/>
      <c r="BL30" s="52"/>
      <c r="BM30" s="74">
        <f t="shared" si="40"/>
        <v>0</v>
      </c>
      <c r="BN30" s="75" t="e">
        <f>BM30/BM$106</f>
        <v>#DIV/0!</v>
      </c>
      <c r="BO30" s="54"/>
      <c r="BP30" s="53"/>
      <c r="BQ30" s="52"/>
      <c r="BR30" s="74">
        <f t="shared" si="41"/>
        <v>0</v>
      </c>
      <c r="BS30" s="75" t="e">
        <f>BR30/BR$106</f>
        <v>#DIV/0!</v>
      </c>
      <c r="BT30" s="54"/>
      <c r="BU30" s="53"/>
      <c r="BV30" s="52"/>
      <c r="BW30" s="74">
        <f t="shared" si="42"/>
        <v>0</v>
      </c>
      <c r="BX30" s="75" t="e">
        <f>BW30/BW$106</f>
        <v>#DIV/0!</v>
      </c>
      <c r="BY30" s="54"/>
      <c r="BZ30" s="53"/>
      <c r="CA30" s="52"/>
      <c r="CB30" s="74">
        <f t="shared" si="43"/>
        <v>0</v>
      </c>
      <c r="CC30" s="75" t="e">
        <f>CB30/CB$106</f>
        <v>#DIV/0!</v>
      </c>
      <c r="CD30" s="54"/>
      <c r="CE30" s="52">
        <f t="shared" si="44"/>
        <v>1319385.4900000002</v>
      </c>
      <c r="CF30" s="52">
        <f t="shared" si="44"/>
        <v>3090241.5</v>
      </c>
      <c r="CG30" s="74">
        <f t="shared" si="45"/>
        <v>4409626.99</v>
      </c>
      <c r="CH30" s="75">
        <f>CG30/$CG$106</f>
        <v>6.3270394240072412E-3</v>
      </c>
      <c r="CI30" s="88"/>
      <c r="CJ30" s="56">
        <v>4117226.99</v>
      </c>
      <c r="CK30" s="2">
        <f t="shared" si="50"/>
        <v>-292400</v>
      </c>
    </row>
    <row r="31" spans="1:90" s="57" customFormat="1" ht="24.6" customHeight="1" x14ac:dyDescent="0.2">
      <c r="A31" s="47"/>
      <c r="B31" s="84" t="s">
        <v>119</v>
      </c>
      <c r="C31" s="87"/>
      <c r="D31" s="85"/>
      <c r="E31" s="72">
        <f t="shared" si="30"/>
        <v>0</v>
      </c>
      <c r="F31" s="75">
        <f>E31/$E$106</f>
        <v>0</v>
      </c>
      <c r="G31" s="53">
        <v>80216.429999999993</v>
      </c>
      <c r="H31" s="52">
        <v>27078.65</v>
      </c>
      <c r="I31" s="74">
        <f t="shared" si="47"/>
        <v>107295.07999999999</v>
      </c>
      <c r="J31" s="75">
        <f>I31/I$106</f>
        <v>2.165805107682816E-3</v>
      </c>
      <c r="K31" s="54"/>
      <c r="L31" s="53">
        <v>130382.57</v>
      </c>
      <c r="M31" s="52">
        <v>15761</v>
      </c>
      <c r="N31" s="74">
        <f t="shared" si="48"/>
        <v>146143.57</v>
      </c>
      <c r="O31" s="75">
        <f>N31/N$106</f>
        <v>3.4299263495997037E-4</v>
      </c>
      <c r="P31" s="54"/>
      <c r="Q31" s="53">
        <f t="shared" si="31"/>
        <v>14770.42</v>
      </c>
      <c r="R31" s="52">
        <f t="shared" si="31"/>
        <v>13749</v>
      </c>
      <c r="S31" s="74">
        <f t="shared" si="49"/>
        <v>28519.42</v>
      </c>
      <c r="T31" s="75">
        <f>S31/S$106</f>
        <v>1.2885747721481415E-4</v>
      </c>
      <c r="U31" s="54"/>
      <c r="V31" s="82"/>
      <c r="W31" s="53"/>
      <c r="X31" s="52">
        <f>3500+2500</f>
        <v>6000</v>
      </c>
      <c r="Y31" s="74">
        <f t="shared" si="32"/>
        <v>6000</v>
      </c>
      <c r="Z31" s="75">
        <f>Y31/Y$106</f>
        <v>1.5888537676338137E-4</v>
      </c>
      <c r="AA31" s="54" t="s">
        <v>120</v>
      </c>
      <c r="AB31" s="53"/>
      <c r="AC31" s="52"/>
      <c r="AD31" s="74">
        <f t="shared" si="33"/>
        <v>0</v>
      </c>
      <c r="AE31" s="75">
        <f>AD31/AD$106</f>
        <v>0</v>
      </c>
      <c r="AF31" s="54"/>
      <c r="AG31" s="53"/>
      <c r="AH31" s="52">
        <v>2749</v>
      </c>
      <c r="AI31" s="74">
        <f t="shared" si="34"/>
        <v>2749</v>
      </c>
      <c r="AJ31" s="75">
        <f>AI31/AI$106</f>
        <v>7.0863698373100359E-5</v>
      </c>
      <c r="AK31" s="54" t="s">
        <v>121</v>
      </c>
      <c r="AL31" s="53">
        <v>14770.42</v>
      </c>
      <c r="AM31" s="52"/>
      <c r="AN31" s="74">
        <f t="shared" si="35"/>
        <v>14770.42</v>
      </c>
      <c r="AO31" s="75">
        <f>AN31/AN$106</f>
        <v>4.1218049557698722E-4</v>
      </c>
      <c r="AP31" s="54"/>
      <c r="AQ31" s="53"/>
      <c r="AR31" s="52">
        <f>3000+2000</f>
        <v>5000</v>
      </c>
      <c r="AS31" s="74">
        <f t="shared" si="36"/>
        <v>5000</v>
      </c>
      <c r="AT31" s="75">
        <f>AS31/AS$106</f>
        <v>1.3734908139749981E-4</v>
      </c>
      <c r="AU31" s="54" t="s">
        <v>122</v>
      </c>
      <c r="AV31" s="53"/>
      <c r="AW31" s="52"/>
      <c r="AX31" s="74">
        <f t="shared" si="37"/>
        <v>0</v>
      </c>
      <c r="AY31" s="75">
        <f>AX31/AX$106</f>
        <v>0</v>
      </c>
      <c r="AZ31" s="54"/>
      <c r="BA31" s="53"/>
      <c r="BB31" s="52"/>
      <c r="BC31" s="74">
        <f t="shared" si="38"/>
        <v>0</v>
      </c>
      <c r="BD31" s="75" t="e">
        <f>BC31/BC$106</f>
        <v>#DIV/0!</v>
      </c>
      <c r="BE31" s="54"/>
      <c r="BF31" s="53"/>
      <c r="BG31" s="52"/>
      <c r="BH31" s="74">
        <f t="shared" si="39"/>
        <v>0</v>
      </c>
      <c r="BI31" s="75" t="e">
        <f>BH31/BH$106</f>
        <v>#DIV/0!</v>
      </c>
      <c r="BJ31" s="54"/>
      <c r="BK31" s="53"/>
      <c r="BL31" s="52"/>
      <c r="BM31" s="74">
        <f t="shared" si="40"/>
        <v>0</v>
      </c>
      <c r="BN31" s="75" t="e">
        <f>BM31/BM$106</f>
        <v>#DIV/0!</v>
      </c>
      <c r="BO31" s="54"/>
      <c r="BP31" s="53"/>
      <c r="BQ31" s="52"/>
      <c r="BR31" s="74">
        <f t="shared" si="41"/>
        <v>0</v>
      </c>
      <c r="BS31" s="75" t="e">
        <f>BR31/BR$106</f>
        <v>#DIV/0!</v>
      </c>
      <c r="BT31" s="54"/>
      <c r="BU31" s="53"/>
      <c r="BV31" s="52"/>
      <c r="BW31" s="74">
        <f t="shared" si="42"/>
        <v>0</v>
      </c>
      <c r="BX31" s="75" t="e">
        <f>BW31/BW$106</f>
        <v>#DIV/0!</v>
      </c>
      <c r="BY31" s="54"/>
      <c r="BZ31" s="53"/>
      <c r="CA31" s="52"/>
      <c r="CB31" s="74">
        <f t="shared" si="43"/>
        <v>0</v>
      </c>
      <c r="CC31" s="75" t="e">
        <f>CB31/CB$106</f>
        <v>#DIV/0!</v>
      </c>
      <c r="CD31" s="54"/>
      <c r="CE31" s="52">
        <f t="shared" si="44"/>
        <v>225369.41999999998</v>
      </c>
      <c r="CF31" s="52">
        <f t="shared" si="44"/>
        <v>56588.65</v>
      </c>
      <c r="CG31" s="74">
        <f t="shared" si="45"/>
        <v>281958.07</v>
      </c>
      <c r="CH31" s="75">
        <f>CG31/$CG$106</f>
        <v>4.0456025619686108E-4</v>
      </c>
      <c r="CI31" s="88"/>
      <c r="CJ31" s="56">
        <f>289470.06+35824.22-CJ63</f>
        <v>61049.180000000051</v>
      </c>
      <c r="CK31" s="2">
        <f t="shared" si="50"/>
        <v>-220908.88999999996</v>
      </c>
    </row>
    <row r="32" spans="1:90" s="57" customFormat="1" ht="24.6" customHeight="1" x14ac:dyDescent="0.2">
      <c r="A32" s="47"/>
      <c r="B32" s="89" t="s">
        <v>123</v>
      </c>
      <c r="C32" s="90"/>
      <c r="D32" s="85"/>
      <c r="E32" s="72">
        <f t="shared" si="30"/>
        <v>0</v>
      </c>
      <c r="F32" s="75">
        <f>E32/$E$106</f>
        <v>0</v>
      </c>
      <c r="G32" s="53">
        <v>0</v>
      </c>
      <c r="H32" s="52">
        <v>0</v>
      </c>
      <c r="I32" s="74">
        <f t="shared" si="47"/>
        <v>0</v>
      </c>
      <c r="J32" s="75">
        <f>I32/I$106</f>
        <v>0</v>
      </c>
      <c r="K32" s="54"/>
      <c r="L32" s="53">
        <v>0</v>
      </c>
      <c r="M32" s="52">
        <v>0</v>
      </c>
      <c r="N32" s="74">
        <f t="shared" si="48"/>
        <v>0</v>
      </c>
      <c r="O32" s="75">
        <f>N32/N$106</f>
        <v>0</v>
      </c>
      <c r="P32" s="54"/>
      <c r="Q32" s="53">
        <f t="shared" si="31"/>
        <v>0</v>
      </c>
      <c r="R32" s="52">
        <f t="shared" si="31"/>
        <v>0</v>
      </c>
      <c r="S32" s="74">
        <f t="shared" si="49"/>
        <v>0</v>
      </c>
      <c r="T32" s="75">
        <f>S32/S$106</f>
        <v>0</v>
      </c>
      <c r="U32" s="54"/>
      <c r="V32" s="82"/>
      <c r="W32" s="53"/>
      <c r="X32" s="52"/>
      <c r="Y32" s="74">
        <f t="shared" si="32"/>
        <v>0</v>
      </c>
      <c r="Z32" s="75">
        <f>Y32/Y$106</f>
        <v>0</v>
      </c>
      <c r="AA32" s="54"/>
      <c r="AB32" s="53"/>
      <c r="AC32" s="52"/>
      <c r="AD32" s="74">
        <f t="shared" si="33"/>
        <v>0</v>
      </c>
      <c r="AE32" s="75">
        <f>AD32/AD$106</f>
        <v>0</v>
      </c>
      <c r="AF32" s="54"/>
      <c r="AG32" s="53"/>
      <c r="AH32" s="52"/>
      <c r="AI32" s="74">
        <f t="shared" si="34"/>
        <v>0</v>
      </c>
      <c r="AJ32" s="75">
        <f>AI32/AI$106</f>
        <v>0</v>
      </c>
      <c r="AK32" s="54"/>
      <c r="AL32" s="53"/>
      <c r="AM32" s="52"/>
      <c r="AN32" s="74">
        <f t="shared" si="35"/>
        <v>0</v>
      </c>
      <c r="AO32" s="75">
        <f>AN32/AN$106</f>
        <v>0</v>
      </c>
      <c r="AP32" s="54"/>
      <c r="AQ32" s="53"/>
      <c r="AR32" s="52"/>
      <c r="AS32" s="74">
        <f t="shared" si="36"/>
        <v>0</v>
      </c>
      <c r="AT32" s="75">
        <f>AS32/AS$106</f>
        <v>0</v>
      </c>
      <c r="AU32" s="54"/>
      <c r="AV32" s="53"/>
      <c r="AW32" s="52"/>
      <c r="AX32" s="74">
        <f t="shared" si="37"/>
        <v>0</v>
      </c>
      <c r="AY32" s="75">
        <f>AX32/AX$106</f>
        <v>0</v>
      </c>
      <c r="AZ32" s="54"/>
      <c r="BA32" s="53"/>
      <c r="BB32" s="52"/>
      <c r="BC32" s="74">
        <f t="shared" si="38"/>
        <v>0</v>
      </c>
      <c r="BD32" s="75" t="e">
        <f>BC32/BC$106</f>
        <v>#DIV/0!</v>
      </c>
      <c r="BE32" s="54"/>
      <c r="BF32" s="53"/>
      <c r="BG32" s="52"/>
      <c r="BH32" s="74">
        <f t="shared" si="39"/>
        <v>0</v>
      </c>
      <c r="BI32" s="75" t="e">
        <f>BH32/BH$106</f>
        <v>#DIV/0!</v>
      </c>
      <c r="BJ32" s="54"/>
      <c r="BK32" s="53"/>
      <c r="BL32" s="52"/>
      <c r="BM32" s="74">
        <f t="shared" si="40"/>
        <v>0</v>
      </c>
      <c r="BN32" s="75" t="e">
        <f>BM32/BM$106</f>
        <v>#DIV/0!</v>
      </c>
      <c r="BO32" s="54"/>
      <c r="BP32" s="53"/>
      <c r="BQ32" s="52"/>
      <c r="BR32" s="74">
        <f t="shared" si="41"/>
        <v>0</v>
      </c>
      <c r="BS32" s="75" t="e">
        <f>BR32/BR$106</f>
        <v>#DIV/0!</v>
      </c>
      <c r="BT32" s="54"/>
      <c r="BU32" s="53"/>
      <c r="BV32" s="52"/>
      <c r="BW32" s="74">
        <f t="shared" si="42"/>
        <v>0</v>
      </c>
      <c r="BX32" s="75" t="e">
        <f>BW32/BW$106</f>
        <v>#DIV/0!</v>
      </c>
      <c r="BY32" s="54"/>
      <c r="BZ32" s="53"/>
      <c r="CA32" s="52"/>
      <c r="CB32" s="74">
        <f t="shared" si="43"/>
        <v>0</v>
      </c>
      <c r="CC32" s="75" t="e">
        <f>CB32/CB$106</f>
        <v>#DIV/0!</v>
      </c>
      <c r="CD32" s="54"/>
      <c r="CE32" s="52">
        <f t="shared" si="44"/>
        <v>0</v>
      </c>
      <c r="CF32" s="52">
        <f t="shared" si="44"/>
        <v>0</v>
      </c>
      <c r="CG32" s="74">
        <f t="shared" si="45"/>
        <v>0</v>
      </c>
      <c r="CH32" s="75">
        <f>CG32/$CG$106</f>
        <v>0</v>
      </c>
      <c r="CI32" s="88"/>
      <c r="CJ32" s="56"/>
      <c r="CK32" s="56"/>
    </row>
    <row r="33" spans="1:90" s="57" customFormat="1" ht="24.6" customHeight="1" thickBot="1" x14ac:dyDescent="0.25">
      <c r="A33" s="47"/>
      <c r="B33" s="91" t="s">
        <v>124</v>
      </c>
      <c r="C33" s="92"/>
      <c r="D33" s="93"/>
      <c r="E33" s="94">
        <f t="shared" si="30"/>
        <v>0</v>
      </c>
      <c r="F33" s="95">
        <f>E33/$E$106</f>
        <v>0</v>
      </c>
      <c r="G33" s="96">
        <v>80000</v>
      </c>
      <c r="H33" s="97">
        <v>63000</v>
      </c>
      <c r="I33" s="98">
        <f t="shared" si="47"/>
        <v>143000</v>
      </c>
      <c r="J33" s="95">
        <f>I33/I$106</f>
        <v>2.8865268603056426E-3</v>
      </c>
      <c r="K33" s="99"/>
      <c r="L33" s="96">
        <v>0</v>
      </c>
      <c r="M33" s="97">
        <v>2626881</v>
      </c>
      <c r="N33" s="98">
        <f t="shared" si="48"/>
        <v>2626881</v>
      </c>
      <c r="O33" s="95">
        <f>N33/N$106</f>
        <v>6.165176038304538E-3</v>
      </c>
      <c r="P33" s="99"/>
      <c r="Q33" s="96">
        <f t="shared" si="31"/>
        <v>0</v>
      </c>
      <c r="R33" s="97">
        <f t="shared" si="31"/>
        <v>5039858</v>
      </c>
      <c r="S33" s="98">
        <f t="shared" si="49"/>
        <v>5039858</v>
      </c>
      <c r="T33" s="95">
        <f>S33/S$106</f>
        <v>2.2771269100174508E-2</v>
      </c>
      <c r="U33" s="99"/>
      <c r="V33" s="100"/>
      <c r="W33" s="96"/>
      <c r="X33" s="97">
        <f>2300+5000</f>
        <v>7300</v>
      </c>
      <c r="Y33" s="98">
        <f t="shared" si="32"/>
        <v>7300</v>
      </c>
      <c r="Z33" s="95">
        <f>Y33/Y$106</f>
        <v>1.9331054172878065E-4</v>
      </c>
      <c r="AA33" s="101" t="s">
        <v>125</v>
      </c>
      <c r="AB33" s="96"/>
      <c r="AC33" s="97">
        <f>150000+2200</f>
        <v>152200</v>
      </c>
      <c r="AD33" s="98">
        <f t="shared" si="33"/>
        <v>152200</v>
      </c>
      <c r="AE33" s="95">
        <f>AD33/AD$106</f>
        <v>4.6142935711837255E-3</v>
      </c>
      <c r="AF33" s="101" t="s">
        <v>126</v>
      </c>
      <c r="AG33" s="96"/>
      <c r="AH33" s="97">
        <f>1104493+100000+4500</f>
        <v>1208993</v>
      </c>
      <c r="AI33" s="98">
        <f t="shared" si="34"/>
        <v>1208993</v>
      </c>
      <c r="AJ33" s="95">
        <f>AI33/AI$106</f>
        <v>3.1165411163037365E-2</v>
      </c>
      <c r="AK33" s="101" t="s">
        <v>127</v>
      </c>
      <c r="AL33" s="96"/>
      <c r="AM33" s="97">
        <f>2900+100000+10800+2400</f>
        <v>116100</v>
      </c>
      <c r="AN33" s="98">
        <f t="shared" si="35"/>
        <v>116100</v>
      </c>
      <c r="AO33" s="95">
        <f>AN33/AN$106</f>
        <v>3.2398642378814019E-3</v>
      </c>
      <c r="AP33" s="101" t="s">
        <v>128</v>
      </c>
      <c r="AQ33" s="96"/>
      <c r="AR33" s="97">
        <f>2000000</f>
        <v>2000000</v>
      </c>
      <c r="AS33" s="98">
        <f t="shared" si="36"/>
        <v>2000000</v>
      </c>
      <c r="AT33" s="95">
        <f>AS33/AS$106</f>
        <v>5.4939632558999932E-2</v>
      </c>
      <c r="AU33" s="101" t="s">
        <v>23</v>
      </c>
      <c r="AV33" s="96"/>
      <c r="AW33" s="97">
        <f>500000+1055265</f>
        <v>1555265</v>
      </c>
      <c r="AX33" s="98">
        <f t="shared" si="37"/>
        <v>1555265</v>
      </c>
      <c r="AY33" s="95">
        <f>AX33/AX$106</f>
        <v>3.932744517509295E-2</v>
      </c>
      <c r="AZ33" s="101" t="s">
        <v>129</v>
      </c>
      <c r="BA33" s="96"/>
      <c r="BB33" s="97"/>
      <c r="BC33" s="98">
        <f t="shared" si="38"/>
        <v>0</v>
      </c>
      <c r="BD33" s="95" t="e">
        <f>BC33/BC$106</f>
        <v>#DIV/0!</v>
      </c>
      <c r="BE33" s="101"/>
      <c r="BF33" s="96"/>
      <c r="BG33" s="97"/>
      <c r="BH33" s="98">
        <f t="shared" si="39"/>
        <v>0</v>
      </c>
      <c r="BI33" s="95" t="e">
        <f>BH33/BH$106</f>
        <v>#DIV/0!</v>
      </c>
      <c r="BJ33" s="101"/>
      <c r="BK33" s="96"/>
      <c r="BL33" s="97"/>
      <c r="BM33" s="98">
        <f t="shared" si="40"/>
        <v>0</v>
      </c>
      <c r="BN33" s="95" t="e">
        <f>BM33/BM$106</f>
        <v>#DIV/0!</v>
      </c>
      <c r="BO33" s="101"/>
      <c r="BP33" s="96"/>
      <c r="BQ33" s="97"/>
      <c r="BR33" s="98">
        <f t="shared" si="41"/>
        <v>0</v>
      </c>
      <c r="BS33" s="95" t="e">
        <f>BR33/BR$106</f>
        <v>#DIV/0!</v>
      </c>
      <c r="BT33" s="101"/>
      <c r="BU33" s="96"/>
      <c r="BV33" s="97"/>
      <c r="BW33" s="98">
        <f t="shared" si="42"/>
        <v>0</v>
      </c>
      <c r="BX33" s="95" t="e">
        <f>BW33/BW$106</f>
        <v>#DIV/0!</v>
      </c>
      <c r="BY33" s="101"/>
      <c r="BZ33" s="96"/>
      <c r="CA33" s="97"/>
      <c r="CB33" s="98">
        <f t="shared" si="43"/>
        <v>0</v>
      </c>
      <c r="CC33" s="95" t="e">
        <f>CB33/CB$106</f>
        <v>#DIV/0!</v>
      </c>
      <c r="CD33" s="101"/>
      <c r="CE33" s="102">
        <f t="shared" si="44"/>
        <v>80000</v>
      </c>
      <c r="CF33" s="103">
        <f t="shared" si="44"/>
        <v>7729739</v>
      </c>
      <c r="CG33" s="104">
        <f t="shared" si="45"/>
        <v>7809739</v>
      </c>
      <c r="CH33" s="95">
        <f>CG33/$CG$106</f>
        <v>1.120560234601768E-2</v>
      </c>
      <c r="CI33" s="105"/>
      <c r="CJ33" s="56">
        <v>6254474</v>
      </c>
      <c r="CK33" s="2">
        <f t="shared" si="50"/>
        <v>-1555265</v>
      </c>
      <c r="CL33" s="57" t="s">
        <v>130</v>
      </c>
    </row>
    <row r="34" spans="1:90" s="57" customFormat="1" ht="24.6" customHeight="1" x14ac:dyDescent="0.2">
      <c r="A34" s="47"/>
      <c r="B34" s="106"/>
      <c r="C34" s="107"/>
      <c r="D34" s="108"/>
      <c r="E34" s="109"/>
      <c r="F34" s="110"/>
      <c r="G34" s="53"/>
      <c r="H34" s="52"/>
      <c r="I34" s="109"/>
      <c r="J34" s="73"/>
      <c r="K34" s="109"/>
      <c r="L34" s="53"/>
      <c r="M34" s="52"/>
      <c r="N34" s="109"/>
      <c r="O34" s="73"/>
      <c r="P34" s="109"/>
      <c r="Q34" s="53"/>
      <c r="R34" s="52"/>
      <c r="S34" s="109"/>
      <c r="T34" s="73"/>
      <c r="U34" s="109"/>
      <c r="V34" s="111"/>
      <c r="W34" s="53"/>
      <c r="X34" s="52"/>
      <c r="Y34" s="109"/>
      <c r="Z34" s="73"/>
      <c r="AA34" s="109"/>
      <c r="AB34" s="53"/>
      <c r="AC34" s="52"/>
      <c r="AD34" s="109"/>
      <c r="AE34" s="73"/>
      <c r="AF34" s="109"/>
      <c r="AG34" s="53"/>
      <c r="AH34" s="52"/>
      <c r="AI34" s="109"/>
      <c r="AJ34" s="73"/>
      <c r="AK34" s="109"/>
      <c r="AL34" s="53"/>
      <c r="AM34" s="52"/>
      <c r="AN34" s="109"/>
      <c r="AO34" s="73"/>
      <c r="AP34" s="109"/>
      <c r="AQ34" s="53"/>
      <c r="AR34" s="52"/>
      <c r="AS34" s="109"/>
      <c r="AT34" s="73"/>
      <c r="AU34" s="109"/>
      <c r="AV34" s="53"/>
      <c r="AW34" s="52"/>
      <c r="AX34" s="109"/>
      <c r="AY34" s="73"/>
      <c r="AZ34" s="109"/>
      <c r="BA34" s="53"/>
      <c r="BB34" s="52"/>
      <c r="BC34" s="109"/>
      <c r="BD34" s="73"/>
      <c r="BE34" s="109"/>
      <c r="BF34" s="53"/>
      <c r="BG34" s="52"/>
      <c r="BH34" s="109"/>
      <c r="BI34" s="73"/>
      <c r="BJ34" s="109"/>
      <c r="BK34" s="53"/>
      <c r="BL34" s="52"/>
      <c r="BM34" s="109"/>
      <c r="BN34" s="73"/>
      <c r="BO34" s="109"/>
      <c r="BP34" s="53"/>
      <c r="BQ34" s="52"/>
      <c r="BR34" s="109"/>
      <c r="BS34" s="73"/>
      <c r="BT34" s="109"/>
      <c r="BU34" s="53"/>
      <c r="BV34" s="52"/>
      <c r="BW34" s="109"/>
      <c r="BX34" s="73"/>
      <c r="BY34" s="109"/>
      <c r="BZ34" s="53"/>
      <c r="CA34" s="52"/>
      <c r="CB34" s="109"/>
      <c r="CC34" s="73"/>
      <c r="CD34" s="109"/>
      <c r="CE34" s="52"/>
      <c r="CF34" s="52"/>
      <c r="CG34" s="109"/>
      <c r="CH34" s="109"/>
      <c r="CI34" s="109"/>
      <c r="CJ34" s="56"/>
      <c r="CK34" s="56"/>
    </row>
    <row r="35" spans="1:90" s="46" customFormat="1" ht="24.6" customHeight="1" x14ac:dyDescent="0.2">
      <c r="A35" s="47"/>
      <c r="B35" s="112" t="s">
        <v>131</v>
      </c>
      <c r="C35" s="113">
        <f>C36</f>
        <v>0</v>
      </c>
      <c r="D35" s="113">
        <f>D36</f>
        <v>0</v>
      </c>
      <c r="E35" s="114">
        <f>E36</f>
        <v>0</v>
      </c>
      <c r="F35" s="115">
        <f>E35/$E$106</f>
        <v>0</v>
      </c>
      <c r="G35" s="113">
        <v>0</v>
      </c>
      <c r="H35" s="113">
        <v>0</v>
      </c>
      <c r="I35" s="114">
        <f>I36</f>
        <v>165904.6</v>
      </c>
      <c r="J35" s="75">
        <f>I35/I$106</f>
        <v>3.3488677213165279E-3</v>
      </c>
      <c r="K35" s="116"/>
      <c r="L35" s="113">
        <f>R35+W35+AB35+AG35+AL35+AQ35+AV35+BA35+BF35+BK35+BP35+BU35</f>
        <v>0</v>
      </c>
      <c r="M35" s="113">
        <f>S35+X35+AC35+AH35+AM35+AR35+AW35+BB35+BG35+BL35+BQ35+BV35</f>
        <v>170062.59</v>
      </c>
      <c r="N35" s="114">
        <f>N36</f>
        <v>610050.76</v>
      </c>
      <c r="O35" s="75">
        <f>N35/N$106</f>
        <v>1.4317627359981182E-3</v>
      </c>
      <c r="P35" s="116"/>
      <c r="Q35" s="113">
        <f>W35+AB35+AG35+AL35+AQ35+AV35+BA35+BF35+BK35+BP35+BU35+BZ35</f>
        <v>0</v>
      </c>
      <c r="R35" s="113">
        <f>X35+AC35+AH35+AM35+AR35+AW35+BB35+BG35+BL35+BQ35+BV35+CA35</f>
        <v>0</v>
      </c>
      <c r="S35" s="114">
        <f>S36</f>
        <v>170062.59</v>
      </c>
      <c r="T35" s="75">
        <f>S35/S$106</f>
        <v>7.6838295856007178E-4</v>
      </c>
      <c r="U35" s="116"/>
      <c r="V35" s="115"/>
      <c r="W35" s="113"/>
      <c r="X35" s="113"/>
      <c r="Y35" s="114">
        <f t="shared" ref="Y35" si="51">Y36</f>
        <v>0</v>
      </c>
      <c r="Z35" s="114">
        <f>Y35/Y$106</f>
        <v>0</v>
      </c>
      <c r="AA35" s="116"/>
      <c r="AB35" s="113"/>
      <c r="AC35" s="113"/>
      <c r="AD35" s="114">
        <f t="shared" ref="AD35" si="52">AD36</f>
        <v>151625.24</v>
      </c>
      <c r="AE35" s="114">
        <f>AD35/AD$106</f>
        <v>4.5968683979053177E-3</v>
      </c>
      <c r="AF35" s="116"/>
      <c r="AG35" s="113"/>
      <c r="AH35" s="113"/>
      <c r="AI35" s="114">
        <f t="shared" ref="AI35" si="53">AI36</f>
        <v>0</v>
      </c>
      <c r="AJ35" s="114">
        <f>AI35/AI$106</f>
        <v>0</v>
      </c>
      <c r="AK35" s="116"/>
      <c r="AL35" s="113"/>
      <c r="AM35" s="113"/>
      <c r="AN35" s="114">
        <f t="shared" ref="AN35" si="54">AN36</f>
        <v>5473.51</v>
      </c>
      <c r="AO35" s="114">
        <f>AN35/AN$106</f>
        <v>1.5274271580263766E-4</v>
      </c>
      <c r="AP35" s="116"/>
      <c r="AQ35" s="113"/>
      <c r="AR35" s="113"/>
      <c r="AS35" s="114">
        <f t="shared" ref="AS35" si="55">AS36</f>
        <v>12963.84</v>
      </c>
      <c r="AT35" s="114">
        <f>AS35/AS$106</f>
        <v>3.5611430307683282E-4</v>
      </c>
      <c r="AU35" s="116"/>
      <c r="AV35" s="113"/>
      <c r="AW35" s="113"/>
      <c r="AX35" s="114">
        <f t="shared" ref="AX35" si="56">AX36</f>
        <v>0</v>
      </c>
      <c r="AY35" s="114">
        <f>AX35/AX$106</f>
        <v>0</v>
      </c>
      <c r="AZ35" s="116"/>
      <c r="BA35" s="113"/>
      <c r="BB35" s="113"/>
      <c r="BC35" s="114">
        <f t="shared" ref="BC35" si="57">BC36</f>
        <v>0</v>
      </c>
      <c r="BD35" s="114" t="e">
        <f>BC35/BC$106</f>
        <v>#DIV/0!</v>
      </c>
      <c r="BE35" s="116"/>
      <c r="BF35" s="113"/>
      <c r="BG35" s="113"/>
      <c r="BH35" s="114">
        <f t="shared" ref="BH35" si="58">BH36</f>
        <v>0</v>
      </c>
      <c r="BI35" s="114" t="e">
        <f>BH35/BH$106</f>
        <v>#DIV/0!</v>
      </c>
      <c r="BJ35" s="116"/>
      <c r="BK35" s="113"/>
      <c r="BL35" s="113"/>
      <c r="BM35" s="114">
        <f t="shared" ref="BM35" si="59">BM36</f>
        <v>0</v>
      </c>
      <c r="BN35" s="114" t="e">
        <f>BM35/BM$106</f>
        <v>#DIV/0!</v>
      </c>
      <c r="BO35" s="116"/>
      <c r="BP35" s="113"/>
      <c r="BQ35" s="113"/>
      <c r="BR35" s="114">
        <f t="shared" ref="BR35" si="60">BR36</f>
        <v>0</v>
      </c>
      <c r="BS35" s="114" t="e">
        <f>BR35/BR$106</f>
        <v>#DIV/0!</v>
      </c>
      <c r="BT35" s="116"/>
      <c r="BU35" s="113"/>
      <c r="BV35" s="113"/>
      <c r="BW35" s="114">
        <f>BW36</f>
        <v>0</v>
      </c>
      <c r="BX35" s="114" t="e">
        <f>BW35/BW$106</f>
        <v>#DIV/0!</v>
      </c>
      <c r="BY35" s="116"/>
      <c r="BZ35" s="113"/>
      <c r="CA35" s="113"/>
      <c r="CB35" s="114">
        <f>CB36</f>
        <v>0</v>
      </c>
      <c r="CC35" s="114" t="e">
        <f>CB35/CB$106</f>
        <v>#DIV/0!</v>
      </c>
      <c r="CD35" s="116"/>
      <c r="CE35" s="113">
        <f>CE36</f>
        <v>946017.95</v>
      </c>
      <c r="CF35" s="113">
        <f>CF36</f>
        <v>0</v>
      </c>
      <c r="CG35" s="114">
        <f>CG36</f>
        <v>946017.95</v>
      </c>
      <c r="CH35" s="113">
        <f>CH36</f>
        <v>1.3573694280813785E-3</v>
      </c>
      <c r="CI35" s="114"/>
      <c r="CJ35" s="44"/>
      <c r="CK35" s="44"/>
    </row>
    <row r="36" spans="1:90" s="57" customFormat="1" ht="24.6" customHeight="1" outlineLevel="1" x14ac:dyDescent="0.2">
      <c r="A36" s="47"/>
      <c r="B36" s="117" t="s">
        <v>132</v>
      </c>
      <c r="C36" s="118"/>
      <c r="D36" s="119"/>
      <c r="E36" s="72">
        <f>C36+D36</f>
        <v>0</v>
      </c>
      <c r="F36" s="120">
        <f>E36/$E$106</f>
        <v>0</v>
      </c>
      <c r="G36" s="53">
        <v>165904.6</v>
      </c>
      <c r="H36" s="52">
        <v>0</v>
      </c>
      <c r="I36" s="51">
        <f>G36+H36*1</f>
        <v>165904.6</v>
      </c>
      <c r="J36" s="75">
        <f>I36/I$106</f>
        <v>3.3488677213165279E-3</v>
      </c>
      <c r="K36" s="54"/>
      <c r="L36" s="53">
        <v>610050.76</v>
      </c>
      <c r="M36" s="52">
        <v>0</v>
      </c>
      <c r="N36" s="51">
        <f>L36+M36*1</f>
        <v>610050.76</v>
      </c>
      <c r="O36" s="75">
        <f>N36/N$106</f>
        <v>1.4317627359981182E-3</v>
      </c>
      <c r="P36" s="54"/>
      <c r="Q36" s="53">
        <f>W36+AB36+AG36+AL36+AQ36+AV36+BA36+BF36+BK36+BP36+BU36+BZ36</f>
        <v>170062.59</v>
      </c>
      <c r="R36" s="52">
        <f>X36+AC36+AH36+AM36+AR36+AW36+BB36+BG36+BL36+BQ36+BV36+CA36</f>
        <v>0</v>
      </c>
      <c r="S36" s="51">
        <f>Q36+R36*1</f>
        <v>170062.59</v>
      </c>
      <c r="T36" s="75">
        <f>S36/S$106</f>
        <v>7.6838295856007178E-4</v>
      </c>
      <c r="U36" s="54"/>
      <c r="V36" s="82"/>
      <c r="W36" s="53"/>
      <c r="X36" s="52"/>
      <c r="Y36" s="51">
        <f t="shared" ref="Y36" si="61">W36+X36*1</f>
        <v>0</v>
      </c>
      <c r="Z36" s="75">
        <f>Y36/Y$106</f>
        <v>0</v>
      </c>
      <c r="AA36" s="54"/>
      <c r="AB36" s="53">
        <f>124000+5731.2+21894.04</f>
        <v>151625.24</v>
      </c>
      <c r="AC36" s="52"/>
      <c r="AD36" s="51">
        <f t="shared" ref="AD36" si="62">AB36+AC36*1</f>
        <v>151625.24</v>
      </c>
      <c r="AE36" s="75">
        <f>AD36/AD$106</f>
        <v>4.5968683979053177E-3</v>
      </c>
      <c r="AF36" s="54" t="s">
        <v>133</v>
      </c>
      <c r="AG36" s="53"/>
      <c r="AH36" s="52"/>
      <c r="AI36" s="51">
        <f t="shared" ref="AI36" si="63">AG36+AH36*1</f>
        <v>0</v>
      </c>
      <c r="AJ36" s="75">
        <f>AI36/AI$106</f>
        <v>0</v>
      </c>
      <c r="AK36" s="54"/>
      <c r="AL36" s="53">
        <v>5473.51</v>
      </c>
      <c r="AM36" s="52"/>
      <c r="AN36" s="51">
        <f t="shared" ref="AN36" si="64">AL36+AM36*1</f>
        <v>5473.51</v>
      </c>
      <c r="AO36" s="75">
        <f>AN36/AN$106</f>
        <v>1.5274271580263766E-4</v>
      </c>
      <c r="AP36" s="54" t="s">
        <v>134</v>
      </c>
      <c r="AQ36" s="53">
        <v>12963.84</v>
      </c>
      <c r="AR36" s="52"/>
      <c r="AS36" s="51">
        <f t="shared" ref="AS36" si="65">AQ36+AR36*1</f>
        <v>12963.84</v>
      </c>
      <c r="AT36" s="75">
        <f>AS36/AS$106</f>
        <v>3.5611430307683282E-4</v>
      </c>
      <c r="AU36" s="54" t="s">
        <v>135</v>
      </c>
      <c r="AV36" s="53"/>
      <c r="AW36" s="52"/>
      <c r="AX36" s="51">
        <f t="shared" ref="AX36" si="66">AV36+AW36*1</f>
        <v>0</v>
      </c>
      <c r="AY36" s="75">
        <f>AX36/AX$106</f>
        <v>0</v>
      </c>
      <c r="AZ36" s="54"/>
      <c r="BA36" s="53"/>
      <c r="BB36" s="52"/>
      <c r="BC36" s="51">
        <f t="shared" ref="BC36" si="67">BA36+BB36*1</f>
        <v>0</v>
      </c>
      <c r="BD36" s="75" t="e">
        <f>BC36/BC$106</f>
        <v>#DIV/0!</v>
      </c>
      <c r="BE36" s="54"/>
      <c r="BF36" s="53"/>
      <c r="BG36" s="52"/>
      <c r="BH36" s="51">
        <f t="shared" ref="BH36" si="68">BF36+BG36*1</f>
        <v>0</v>
      </c>
      <c r="BI36" s="75" t="e">
        <f>BH36/BH$106</f>
        <v>#DIV/0!</v>
      </c>
      <c r="BJ36" s="54"/>
      <c r="BK36" s="53"/>
      <c r="BL36" s="52"/>
      <c r="BM36" s="51">
        <f t="shared" ref="BM36" si="69">BK36+BL36*1</f>
        <v>0</v>
      </c>
      <c r="BN36" s="75" t="e">
        <f>BM36/BM$106</f>
        <v>#DIV/0!</v>
      </c>
      <c r="BO36" s="54"/>
      <c r="BP36" s="53"/>
      <c r="BQ36" s="52"/>
      <c r="BR36" s="51">
        <f t="shared" ref="BR36" si="70">BP36+BQ36*1</f>
        <v>0</v>
      </c>
      <c r="BS36" s="75" t="e">
        <f>BR36/BR$106</f>
        <v>#DIV/0!</v>
      </c>
      <c r="BT36" s="54"/>
      <c r="BU36" s="53"/>
      <c r="BV36" s="52"/>
      <c r="BW36" s="51">
        <f>BU36+BV36*1</f>
        <v>0</v>
      </c>
      <c r="BX36" s="75" t="e">
        <f>BW36/BW$106</f>
        <v>#DIV/0!</v>
      </c>
      <c r="BY36" s="54"/>
      <c r="BZ36" s="53"/>
      <c r="CA36" s="52"/>
      <c r="CB36" s="51">
        <f>BZ36+CA36*1</f>
        <v>0</v>
      </c>
      <c r="CC36" s="75" t="e">
        <f>CB36/CB$106</f>
        <v>#DIV/0!</v>
      </c>
      <c r="CD36" s="54"/>
      <c r="CE36" s="52">
        <f>G36+Q36+L36</f>
        <v>946017.95</v>
      </c>
      <c r="CF36" s="52">
        <f>H36+R36+M36</f>
        <v>0</v>
      </c>
      <c r="CG36" s="51">
        <f>CE36+CF36*1</f>
        <v>946017.95</v>
      </c>
      <c r="CH36" s="75">
        <f>CG36/$CG$106</f>
        <v>1.3573694280813785E-3</v>
      </c>
      <c r="CI36" s="121"/>
      <c r="CJ36" s="56">
        <v>946017.95</v>
      </c>
      <c r="CK36" s="2">
        <f>CJ36-CG36</f>
        <v>0</v>
      </c>
    </row>
    <row r="37" spans="1:90" s="57" customFormat="1" ht="24.6" customHeight="1" thickBot="1" x14ac:dyDescent="0.25">
      <c r="A37" s="122"/>
      <c r="B37" s="123"/>
      <c r="C37" s="124"/>
      <c r="D37" s="125"/>
      <c r="E37" s="126"/>
      <c r="F37" s="127"/>
      <c r="G37" s="96"/>
      <c r="H37" s="97"/>
      <c r="I37" s="126"/>
      <c r="J37" s="95"/>
      <c r="K37" s="128"/>
      <c r="L37" s="96"/>
      <c r="M37" s="97"/>
      <c r="N37" s="126"/>
      <c r="O37" s="95"/>
      <c r="P37" s="128"/>
      <c r="Q37" s="96"/>
      <c r="R37" s="97"/>
      <c r="S37" s="126"/>
      <c r="T37" s="95"/>
      <c r="U37" s="128"/>
      <c r="V37" s="129"/>
      <c r="W37" s="96"/>
      <c r="X37" s="97"/>
      <c r="Y37" s="126"/>
      <c r="Z37" s="95"/>
      <c r="AA37" s="128"/>
      <c r="AB37" s="96"/>
      <c r="AC37" s="97"/>
      <c r="AD37" s="126"/>
      <c r="AE37" s="95"/>
      <c r="AF37" s="128"/>
      <c r="AG37" s="96"/>
      <c r="AH37" s="97"/>
      <c r="AI37" s="126"/>
      <c r="AJ37" s="95"/>
      <c r="AK37" s="128"/>
      <c r="AL37" s="96"/>
      <c r="AM37" s="97"/>
      <c r="AN37" s="126"/>
      <c r="AO37" s="95"/>
      <c r="AP37" s="128"/>
      <c r="AQ37" s="96"/>
      <c r="AR37" s="97"/>
      <c r="AS37" s="126"/>
      <c r="AT37" s="95"/>
      <c r="AU37" s="128"/>
      <c r="AV37" s="96"/>
      <c r="AW37" s="97"/>
      <c r="AX37" s="126"/>
      <c r="AY37" s="95"/>
      <c r="AZ37" s="128"/>
      <c r="BA37" s="96"/>
      <c r="BB37" s="97"/>
      <c r="BC37" s="126"/>
      <c r="BD37" s="95"/>
      <c r="BE37" s="128"/>
      <c r="BF37" s="96"/>
      <c r="BG37" s="97"/>
      <c r="BH37" s="126"/>
      <c r="BI37" s="95"/>
      <c r="BJ37" s="128"/>
      <c r="BK37" s="96"/>
      <c r="BL37" s="97"/>
      <c r="BM37" s="126"/>
      <c r="BN37" s="95"/>
      <c r="BO37" s="128"/>
      <c r="BP37" s="96"/>
      <c r="BQ37" s="97"/>
      <c r="BR37" s="126"/>
      <c r="BS37" s="95"/>
      <c r="BT37" s="128"/>
      <c r="BU37" s="96"/>
      <c r="BV37" s="97"/>
      <c r="BW37" s="126"/>
      <c r="BX37" s="95"/>
      <c r="BY37" s="128"/>
      <c r="BZ37" s="96"/>
      <c r="CA37" s="97"/>
      <c r="CB37" s="126"/>
      <c r="CC37" s="95"/>
      <c r="CD37" s="128"/>
      <c r="CE37" s="52"/>
      <c r="CF37" s="52"/>
      <c r="CG37" s="126"/>
      <c r="CH37" s="126"/>
      <c r="CI37" s="126"/>
      <c r="CJ37" s="56"/>
      <c r="CK37" s="56"/>
    </row>
    <row r="38" spans="1:90" ht="24.6" customHeight="1" thickBot="1" x14ac:dyDescent="0.25">
      <c r="A38" s="130"/>
      <c r="B38" s="131" t="s">
        <v>136</v>
      </c>
      <c r="C38" s="132">
        <f>(C5)-(C8)</f>
        <v>0</v>
      </c>
      <c r="D38" s="132">
        <f>(D5)-(D8)</f>
        <v>0</v>
      </c>
      <c r="E38" s="132">
        <f>(E5)-(E8)</f>
        <v>0</v>
      </c>
      <c r="F38" s="133"/>
      <c r="G38" s="132">
        <f>(G5)-(G8)</f>
        <v>14393354.655999996</v>
      </c>
      <c r="H38" s="132">
        <f>(H5)-(H8)</f>
        <v>-4070966.56</v>
      </c>
      <c r="I38" s="132">
        <f>(I5)-(I8)</f>
        <v>10322388.096000001</v>
      </c>
      <c r="J38" s="132"/>
      <c r="K38" s="134"/>
      <c r="L38" s="132">
        <f>(L5)-(L8)</f>
        <v>177321944.98709995</v>
      </c>
      <c r="M38" s="132">
        <f>(M5)-(M8)</f>
        <v>-36093692.25</v>
      </c>
      <c r="N38" s="132">
        <f>(N5)-(N8)</f>
        <v>141228252.73709995</v>
      </c>
      <c r="O38" s="132"/>
      <c r="P38" s="134"/>
      <c r="Q38" s="132">
        <f>(Q5)-(Q8)</f>
        <v>88615918.188000053</v>
      </c>
      <c r="R38" s="132">
        <f>(R5)-(R8)</f>
        <v>-25824840.509999998</v>
      </c>
      <c r="S38" s="132">
        <f>(S5)-(S8)</f>
        <v>62791077.678000063</v>
      </c>
      <c r="T38" s="132"/>
      <c r="U38" s="134"/>
      <c r="V38" s="133"/>
      <c r="W38" s="132">
        <f t="shared" ref="W38:Y38" si="71">(W5)-(W8)</f>
        <v>19340899.732000008</v>
      </c>
      <c r="X38" s="132">
        <f t="shared" si="71"/>
        <v>-3287495.21</v>
      </c>
      <c r="Y38" s="132">
        <f t="shared" si="71"/>
        <v>16053404.522000007</v>
      </c>
      <c r="Z38" s="132"/>
      <c r="AA38" s="134"/>
      <c r="AB38" s="132">
        <f t="shared" ref="AB38:AD38" si="72">(AB5)-(AB8)</f>
        <v>9704179.5320000052</v>
      </c>
      <c r="AC38" s="132">
        <f t="shared" si="72"/>
        <v>-2963922.6399999997</v>
      </c>
      <c r="AD38" s="132">
        <f t="shared" si="72"/>
        <v>6740256.8920000046</v>
      </c>
      <c r="AE38" s="132"/>
      <c r="AF38" s="134"/>
      <c r="AG38" s="132">
        <f t="shared" ref="AG38:AI38" si="73">(AG5)-(AG8)</f>
        <v>15387111.904000007</v>
      </c>
      <c r="AH38" s="132">
        <f t="shared" si="73"/>
        <v>-5049711.34</v>
      </c>
      <c r="AI38" s="132">
        <f t="shared" si="73"/>
        <v>10337400.56400001</v>
      </c>
      <c r="AJ38" s="132"/>
      <c r="AK38" s="134"/>
      <c r="AL38" s="132">
        <f t="shared" ref="AL38:AN38" si="74">(AL5)-(AL8)</f>
        <v>11703889.203999996</v>
      </c>
      <c r="AM38" s="132">
        <f t="shared" si="74"/>
        <v>-2900149.25</v>
      </c>
      <c r="AN38" s="132">
        <f t="shared" si="74"/>
        <v>8803739.9539999962</v>
      </c>
      <c r="AO38" s="132"/>
      <c r="AP38" s="134"/>
      <c r="AQ38" s="132">
        <f t="shared" ref="AQ38:AS38" si="75">(AQ5)-(AQ8)</f>
        <v>15003241.25999999</v>
      </c>
      <c r="AR38" s="132">
        <f t="shared" si="75"/>
        <v>-6147460.2600000007</v>
      </c>
      <c r="AS38" s="132">
        <f t="shared" si="75"/>
        <v>8855780.9999999925</v>
      </c>
      <c r="AT38" s="132"/>
      <c r="AU38" s="134"/>
      <c r="AV38" s="132">
        <f t="shared" ref="AV38:AX38" si="76">(AV5)-(AV8)</f>
        <v>17476596.556000009</v>
      </c>
      <c r="AW38" s="132">
        <f t="shared" si="76"/>
        <v>-5476101.8099999996</v>
      </c>
      <c r="AX38" s="132">
        <f t="shared" si="76"/>
        <v>12000494.746000014</v>
      </c>
      <c r="AY38" s="132"/>
      <c r="AZ38" s="134"/>
      <c r="BA38" s="132">
        <f t="shared" ref="BA38:BC38" si="77">(BA5)-(BA8)</f>
        <v>0</v>
      </c>
      <c r="BB38" s="132">
        <f t="shared" si="77"/>
        <v>0</v>
      </c>
      <c r="BC38" s="132">
        <f t="shared" si="77"/>
        <v>0</v>
      </c>
      <c r="BD38" s="132"/>
      <c r="BE38" s="134"/>
      <c r="BF38" s="132">
        <f t="shared" ref="BF38:BH38" si="78">(BF5)-(BF8)</f>
        <v>0</v>
      </c>
      <c r="BG38" s="132">
        <f t="shared" si="78"/>
        <v>0</v>
      </c>
      <c r="BH38" s="132">
        <f t="shared" si="78"/>
        <v>0</v>
      </c>
      <c r="BI38" s="132"/>
      <c r="BJ38" s="134"/>
      <c r="BK38" s="132">
        <f t="shared" ref="BK38:BM38" si="79">(BK5)-(BK8)</f>
        <v>0</v>
      </c>
      <c r="BL38" s="132">
        <f t="shared" si="79"/>
        <v>0</v>
      </c>
      <c r="BM38" s="132">
        <f t="shared" si="79"/>
        <v>0</v>
      </c>
      <c r="BN38" s="132"/>
      <c r="BO38" s="134"/>
      <c r="BP38" s="132">
        <f t="shared" ref="BP38:BR38" si="80">(BP5)-(BP8)</f>
        <v>0</v>
      </c>
      <c r="BQ38" s="132">
        <f t="shared" si="80"/>
        <v>0</v>
      </c>
      <c r="BR38" s="132">
        <f t="shared" si="80"/>
        <v>0</v>
      </c>
      <c r="BS38" s="132"/>
      <c r="BT38" s="134"/>
      <c r="BU38" s="132">
        <f>(BU5)-(BU8)</f>
        <v>0</v>
      </c>
      <c r="BV38" s="132">
        <f>(BV5)-(BV8)</f>
        <v>0</v>
      </c>
      <c r="BW38" s="132">
        <f>(BW5)-(BW8)</f>
        <v>0</v>
      </c>
      <c r="BX38" s="132"/>
      <c r="BY38" s="134"/>
      <c r="BZ38" s="132">
        <f>(BZ5)-(BZ8)</f>
        <v>0</v>
      </c>
      <c r="CA38" s="132">
        <f>(CA5)-(CA8)</f>
        <v>0</v>
      </c>
      <c r="CB38" s="132">
        <f>(CB5)-(CB8)</f>
        <v>0</v>
      </c>
      <c r="CC38" s="132"/>
      <c r="CD38" s="134"/>
      <c r="CE38" s="132">
        <f>(CE5)-(CE8)</f>
        <v>280331217.83110011</v>
      </c>
      <c r="CF38" s="132">
        <f>(CF5)-(CF8)</f>
        <v>-65989499.32</v>
      </c>
      <c r="CG38" s="132">
        <f>(CG5)-(CG8)</f>
        <v>214341718.51109993</v>
      </c>
      <c r="CH38" s="132"/>
      <c r="CI38" s="132"/>
    </row>
    <row r="39" spans="1:90" ht="24.6" customHeight="1" x14ac:dyDescent="0.2">
      <c r="A39" s="135"/>
      <c r="B39" s="136" t="s">
        <v>137</v>
      </c>
      <c r="C39" s="137" t="e">
        <f>C38/(C5)</f>
        <v>#DIV/0!</v>
      </c>
      <c r="D39" s="137" t="e">
        <f>D38/(D5)</f>
        <v>#DIV/0!</v>
      </c>
      <c r="E39" s="138" t="e">
        <f>E38/(E5)</f>
        <v>#DIV/0!</v>
      </c>
      <c r="F39" s="139"/>
      <c r="G39" s="140">
        <f>G38/(G5)</f>
        <v>0.24737485856990007</v>
      </c>
      <c r="H39" s="140" t="e">
        <f>H38/(H5)</f>
        <v>#DIV/0!</v>
      </c>
      <c r="I39" s="141">
        <f>I38/(I5)</f>
        <v>0.17740821069028351</v>
      </c>
      <c r="J39" s="141"/>
      <c r="K39" s="142"/>
      <c r="L39" s="140">
        <f>L38/(L5)</f>
        <v>0.31943570920124092</v>
      </c>
      <c r="M39" s="140" t="e">
        <f>M38/(M5)</f>
        <v>#DIV/0!</v>
      </c>
      <c r="N39" s="141">
        <f>N38/(N5)</f>
        <v>0.25441491224117568</v>
      </c>
      <c r="O39" s="141"/>
      <c r="P39" s="142"/>
      <c r="Q39" s="140">
        <f>Q38/(Q5)</f>
        <v>0.32133207528339858</v>
      </c>
      <c r="R39" s="140" t="e">
        <f>R38/(R5)</f>
        <v>#DIV/0!</v>
      </c>
      <c r="S39" s="141">
        <f>S38/(S5)</f>
        <v>0.22768806905264441</v>
      </c>
      <c r="T39" s="141"/>
      <c r="U39" s="142"/>
      <c r="V39" s="139"/>
      <c r="W39" s="140">
        <f t="shared" ref="W39:Y39" si="81">W38/(W5)</f>
        <v>0.36717701924668389</v>
      </c>
      <c r="X39" s="140" t="e">
        <f t="shared" si="81"/>
        <v>#DIV/0!</v>
      </c>
      <c r="Y39" s="141">
        <f t="shared" si="81"/>
        <v>0.30476561601716473</v>
      </c>
      <c r="Z39" s="141"/>
      <c r="AA39" s="142"/>
      <c r="AB39" s="140">
        <f t="shared" ref="AB39:AD39" si="82">AB38/(AB5)</f>
        <v>0.2524962257755502</v>
      </c>
      <c r="AC39" s="140" t="e">
        <f t="shared" si="82"/>
        <v>#DIV/0!</v>
      </c>
      <c r="AD39" s="141">
        <f t="shared" si="82"/>
        <v>0.17537695179438695</v>
      </c>
      <c r="AE39" s="141"/>
      <c r="AF39" s="142"/>
      <c r="AG39" s="140">
        <f t="shared" ref="AG39:AI39" si="83">AG38/(AG5)</f>
        <v>0.3229127389400876</v>
      </c>
      <c r="AH39" s="140" t="e">
        <f t="shared" si="83"/>
        <v>#DIV/0!</v>
      </c>
      <c r="AI39" s="141">
        <f t="shared" si="83"/>
        <v>0.21693988777544984</v>
      </c>
      <c r="AJ39" s="141"/>
      <c r="AK39" s="142"/>
      <c r="AL39" s="140">
        <f t="shared" ref="AL39:AN39" si="84">AL38/(AL5)</f>
        <v>0.26885122850945842</v>
      </c>
      <c r="AM39" s="140" t="e">
        <f t="shared" si="84"/>
        <v>#DIV/0!</v>
      </c>
      <c r="AN39" s="141">
        <f t="shared" si="84"/>
        <v>0.2022316053113162</v>
      </c>
      <c r="AO39" s="141"/>
      <c r="AP39" s="142"/>
      <c r="AQ39" s="140">
        <f t="shared" ref="AQ39:AS39" si="85">AQ38/(AQ5)</f>
        <v>0.34406995596282214</v>
      </c>
      <c r="AR39" s="140" t="e">
        <f t="shared" si="85"/>
        <v>#DIV/0!</v>
      </c>
      <c r="AS39" s="141">
        <f t="shared" si="85"/>
        <v>0.20308999408081213</v>
      </c>
      <c r="AT39" s="141"/>
      <c r="AU39" s="142"/>
      <c r="AV39" s="140">
        <f t="shared" ref="AV39:AX39" si="86">AV38/(AV5)</f>
        <v>0.35037252020424869</v>
      </c>
      <c r="AW39" s="140" t="e">
        <f t="shared" si="86"/>
        <v>#DIV/0!</v>
      </c>
      <c r="AX39" s="141">
        <f t="shared" si="86"/>
        <v>0.24058709453988888</v>
      </c>
      <c r="AY39" s="141"/>
      <c r="AZ39" s="142"/>
      <c r="BA39" s="140" t="e">
        <f t="shared" ref="BA39:BC39" si="87">BA38/(BA5)</f>
        <v>#DIV/0!</v>
      </c>
      <c r="BB39" s="140" t="e">
        <f t="shared" si="87"/>
        <v>#DIV/0!</v>
      </c>
      <c r="BC39" s="141" t="e">
        <f t="shared" si="87"/>
        <v>#DIV/0!</v>
      </c>
      <c r="BD39" s="141"/>
      <c r="BE39" s="142"/>
      <c r="BF39" s="140" t="e">
        <f t="shared" ref="BF39:BH39" si="88">BF38/(BF5)</f>
        <v>#DIV/0!</v>
      </c>
      <c r="BG39" s="140" t="e">
        <f t="shared" si="88"/>
        <v>#DIV/0!</v>
      </c>
      <c r="BH39" s="141" t="e">
        <f t="shared" si="88"/>
        <v>#DIV/0!</v>
      </c>
      <c r="BI39" s="141"/>
      <c r="BJ39" s="142"/>
      <c r="BK39" s="140" t="e">
        <f t="shared" ref="BK39:BM39" si="89">BK38/(BK5)</f>
        <v>#DIV/0!</v>
      </c>
      <c r="BL39" s="140" t="e">
        <f t="shared" si="89"/>
        <v>#DIV/0!</v>
      </c>
      <c r="BM39" s="141" t="e">
        <f t="shared" si="89"/>
        <v>#DIV/0!</v>
      </c>
      <c r="BN39" s="141"/>
      <c r="BO39" s="142"/>
      <c r="BP39" s="140" t="e">
        <f t="shared" ref="BP39:BR39" si="90">BP38/(BP5)</f>
        <v>#DIV/0!</v>
      </c>
      <c r="BQ39" s="140" t="e">
        <f t="shared" si="90"/>
        <v>#DIV/0!</v>
      </c>
      <c r="BR39" s="141" t="e">
        <f t="shared" si="90"/>
        <v>#DIV/0!</v>
      </c>
      <c r="BS39" s="141"/>
      <c r="BT39" s="142"/>
      <c r="BU39" s="140" t="e">
        <f>BU38/(BU5)</f>
        <v>#DIV/0!</v>
      </c>
      <c r="BV39" s="140" t="e">
        <f>BV38/(BV5)</f>
        <v>#DIV/0!</v>
      </c>
      <c r="BW39" s="141" t="e">
        <f>BW38/(BW5)</f>
        <v>#DIV/0!</v>
      </c>
      <c r="BX39" s="141"/>
      <c r="BY39" s="142"/>
      <c r="BZ39" s="140" t="e">
        <f>BZ38/(BZ5)</f>
        <v>#DIV/0!</v>
      </c>
      <c r="CA39" s="140" t="e">
        <f>CA38/(CA5)</f>
        <v>#DIV/0!</v>
      </c>
      <c r="CB39" s="141" t="e">
        <f>CB38/(CB5)</f>
        <v>#DIV/0!</v>
      </c>
      <c r="CC39" s="141"/>
      <c r="CD39" s="142"/>
      <c r="CE39" s="140">
        <f>CE38/(CE5)</f>
        <v>0.31530798226100365</v>
      </c>
      <c r="CF39" s="140" t="e">
        <f>CF38/(CF5)</f>
        <v>#DIV/0!</v>
      </c>
      <c r="CG39" s="141">
        <f>CG38/(CG5)</f>
        <v>0.24108501115566144</v>
      </c>
      <c r="CH39" s="141"/>
      <c r="CI39" s="141"/>
    </row>
    <row r="40" spans="1:90" ht="24.6" customHeight="1" outlineLevel="1" thickBot="1" x14ac:dyDescent="0.25">
      <c r="A40" s="143"/>
      <c r="B40" s="144"/>
      <c r="C40" s="145"/>
      <c r="D40" s="146"/>
      <c r="E40" s="147"/>
      <c r="F40" s="148"/>
      <c r="G40" s="149"/>
      <c r="H40" s="150"/>
      <c r="I40" s="150"/>
      <c r="J40" s="150"/>
      <c r="K40" s="151"/>
      <c r="L40" s="149"/>
      <c r="M40" s="150"/>
      <c r="N40" s="150"/>
      <c r="O40" s="150"/>
      <c r="P40" s="151"/>
      <c r="Q40" s="149"/>
      <c r="R40" s="150"/>
      <c r="S40" s="150"/>
      <c r="T40" s="150"/>
      <c r="U40" s="151"/>
      <c r="V40" s="152"/>
      <c r="W40" s="149"/>
      <c r="X40" s="150"/>
      <c r="Y40" s="150"/>
      <c r="Z40" s="150"/>
      <c r="AA40" s="151"/>
      <c r="AB40" s="149"/>
      <c r="AC40" s="150"/>
      <c r="AD40" s="150"/>
      <c r="AE40" s="150"/>
      <c r="AF40" s="151"/>
      <c r="AG40" s="149"/>
      <c r="AH40" s="150"/>
      <c r="AI40" s="150"/>
      <c r="AJ40" s="150"/>
      <c r="AK40" s="151"/>
      <c r="AL40" s="149"/>
      <c r="AM40" s="150"/>
      <c r="AN40" s="150"/>
      <c r="AO40" s="150"/>
      <c r="AP40" s="151"/>
      <c r="AQ40" s="149"/>
      <c r="AR40" s="150"/>
      <c r="AS40" s="150"/>
      <c r="AT40" s="150"/>
      <c r="AU40" s="151"/>
      <c r="AV40" s="149"/>
      <c r="AW40" s="150"/>
      <c r="AX40" s="150"/>
      <c r="AY40" s="150"/>
      <c r="AZ40" s="151"/>
      <c r="BA40" s="149"/>
      <c r="BB40" s="150"/>
      <c r="BC40" s="150"/>
      <c r="BD40" s="150"/>
      <c r="BE40" s="151"/>
      <c r="BF40" s="149"/>
      <c r="BG40" s="150"/>
      <c r="BH40" s="150"/>
      <c r="BI40" s="150"/>
      <c r="BJ40" s="151"/>
      <c r="BK40" s="149"/>
      <c r="BL40" s="150"/>
      <c r="BM40" s="150"/>
      <c r="BN40" s="150"/>
      <c r="BO40" s="151"/>
      <c r="BP40" s="149"/>
      <c r="BQ40" s="150"/>
      <c r="BR40" s="150"/>
      <c r="BS40" s="150"/>
      <c r="BT40" s="151"/>
      <c r="BU40" s="149"/>
      <c r="BV40" s="150"/>
      <c r="BW40" s="150"/>
      <c r="BX40" s="150"/>
      <c r="BY40" s="151"/>
      <c r="BZ40" s="149"/>
      <c r="CA40" s="150"/>
      <c r="CB40" s="150"/>
      <c r="CC40" s="150"/>
      <c r="CD40" s="151"/>
      <c r="CE40" s="52"/>
      <c r="CF40" s="52"/>
      <c r="CG40" s="150"/>
      <c r="CH40" s="150"/>
      <c r="CI40" s="150"/>
    </row>
    <row r="41" spans="1:90" ht="24.6" customHeight="1" outlineLevel="1" x14ac:dyDescent="0.2">
      <c r="A41" s="153"/>
      <c r="B41" s="154" t="s">
        <v>138</v>
      </c>
      <c r="C41" s="155">
        <f>SUM(C42:C48)</f>
        <v>0</v>
      </c>
      <c r="D41" s="155">
        <f>SUM(D42:D48)</f>
        <v>0</v>
      </c>
      <c r="E41" s="156">
        <f>SUM(E42:E48)</f>
        <v>0</v>
      </c>
      <c r="F41" s="157">
        <f>E41/$E$106</f>
        <v>0</v>
      </c>
      <c r="G41" s="158">
        <f>SUM(G42:G48)</f>
        <v>19116.560000000001</v>
      </c>
      <c r="H41" s="158">
        <f>SUM(H42:H48)</f>
        <v>1038</v>
      </c>
      <c r="I41" s="159">
        <f>SUM(I42:I48)</f>
        <v>20154.560000000001</v>
      </c>
      <c r="J41" s="157">
        <f>I41/I$106</f>
        <v>4.0682992166183002E-4</v>
      </c>
      <c r="K41" s="160"/>
      <c r="L41" s="158">
        <f>SUM(L42:L48)</f>
        <v>144181.53200000001</v>
      </c>
      <c r="M41" s="158">
        <f>SUM(M42:M48)</f>
        <v>3263</v>
      </c>
      <c r="N41" s="159">
        <f>SUM(N42:N48)</f>
        <v>147444.53200000001</v>
      </c>
      <c r="O41" s="157">
        <f>N41/N$106</f>
        <v>3.4604593647958427E-4</v>
      </c>
      <c r="P41" s="160"/>
      <c r="Q41" s="158">
        <f>SUM(Q42:Q48)</f>
        <v>74083.360000000001</v>
      </c>
      <c r="R41" s="158">
        <f>SUM(R42:R48)</f>
        <v>4189</v>
      </c>
      <c r="S41" s="159">
        <f>SUM(S42:S48)</f>
        <v>78272.36</v>
      </c>
      <c r="T41" s="157">
        <f>S41/S$106</f>
        <v>3.5365301416542594E-4</v>
      </c>
      <c r="U41" s="160"/>
      <c r="V41" s="161"/>
      <c r="W41" s="158">
        <f t="shared" ref="W41:Y41" si="91">SUM(W42:W48)</f>
        <v>4208.7839999999997</v>
      </c>
      <c r="X41" s="158">
        <f t="shared" si="91"/>
        <v>0</v>
      </c>
      <c r="Y41" s="159">
        <f t="shared" si="91"/>
        <v>4208.7839999999997</v>
      </c>
      <c r="Z41" s="157">
        <f>Y41/Y$106</f>
        <v>1.1145237192594852E-4</v>
      </c>
      <c r="AA41" s="160"/>
      <c r="AB41" s="158">
        <f t="shared" ref="AB41:AD41" si="92">SUM(AB42:AB48)</f>
        <v>11044.083999999999</v>
      </c>
      <c r="AC41" s="158">
        <f t="shared" si="92"/>
        <v>0</v>
      </c>
      <c r="AD41" s="159">
        <f t="shared" si="92"/>
        <v>11044.083999999999</v>
      </c>
      <c r="AE41" s="157">
        <f>AD41/AD$106</f>
        <v>3.3482684494620917E-4</v>
      </c>
      <c r="AF41" s="160"/>
      <c r="AG41" s="158">
        <f t="shared" ref="AG41:AI41" si="93">SUM(AG42:AG48)</f>
        <v>3267.6039999999998</v>
      </c>
      <c r="AH41" s="158">
        <f t="shared" si="93"/>
        <v>0</v>
      </c>
      <c r="AI41" s="159">
        <f t="shared" si="93"/>
        <v>3267.6039999999998</v>
      </c>
      <c r="AJ41" s="157">
        <f>AI41/AI$106</f>
        <v>8.4232267827841464E-5</v>
      </c>
      <c r="AK41" s="160"/>
      <c r="AL41" s="158">
        <f t="shared" ref="AL41:AN41" si="94">SUM(AL42:AL48)</f>
        <v>6572.2039999999997</v>
      </c>
      <c r="AM41" s="158">
        <f t="shared" si="94"/>
        <v>2000</v>
      </c>
      <c r="AN41" s="159">
        <f t="shared" si="94"/>
        <v>8572.2039999999997</v>
      </c>
      <c r="AO41" s="157">
        <f>AN41/AN$106</f>
        <v>2.3921427372458143E-4</v>
      </c>
      <c r="AP41" s="160"/>
      <c r="AQ41" s="158">
        <f t="shared" ref="AQ41:AS41" si="95">SUM(AQ42:AQ48)</f>
        <v>11594.364</v>
      </c>
      <c r="AR41" s="158">
        <f t="shared" si="95"/>
        <v>1661</v>
      </c>
      <c r="AS41" s="159">
        <f t="shared" si="95"/>
        <v>13255.364</v>
      </c>
      <c r="AT41" s="157">
        <f>AS41/AS$106</f>
        <v>3.6412241379789773E-4</v>
      </c>
      <c r="AU41" s="160"/>
      <c r="AV41" s="158">
        <f t="shared" ref="AV41:AX41" si="96">SUM(AV42:AV48)</f>
        <v>37396.32</v>
      </c>
      <c r="AW41" s="158">
        <f t="shared" si="96"/>
        <v>528</v>
      </c>
      <c r="AX41" s="159">
        <f t="shared" si="96"/>
        <v>37924.32</v>
      </c>
      <c r="AY41" s="157">
        <f>AX41/AX$106</f>
        <v>9.5897909076760632E-4</v>
      </c>
      <c r="AZ41" s="160"/>
      <c r="BA41" s="158">
        <f t="shared" ref="BA41:BC41" si="97">SUM(BA42:BA48)</f>
        <v>0</v>
      </c>
      <c r="BB41" s="158">
        <f t="shared" si="97"/>
        <v>0</v>
      </c>
      <c r="BC41" s="159">
        <f t="shared" si="97"/>
        <v>0</v>
      </c>
      <c r="BD41" s="157" t="e">
        <f>BC41/BC$106</f>
        <v>#DIV/0!</v>
      </c>
      <c r="BE41" s="160"/>
      <c r="BF41" s="158">
        <f t="shared" ref="BF41:BH41" si="98">SUM(BF42:BF48)</f>
        <v>0</v>
      </c>
      <c r="BG41" s="158">
        <f t="shared" si="98"/>
        <v>0</v>
      </c>
      <c r="BH41" s="159">
        <f t="shared" si="98"/>
        <v>0</v>
      </c>
      <c r="BI41" s="157" t="e">
        <f>BH41/BH$106</f>
        <v>#DIV/0!</v>
      </c>
      <c r="BJ41" s="160"/>
      <c r="BK41" s="158">
        <f t="shared" ref="BK41:BM41" si="99">SUM(BK42:BK48)</f>
        <v>0</v>
      </c>
      <c r="BL41" s="158">
        <f t="shared" si="99"/>
        <v>0</v>
      </c>
      <c r="BM41" s="159">
        <f t="shared" si="99"/>
        <v>0</v>
      </c>
      <c r="BN41" s="157" t="e">
        <f>BM41/BM$106</f>
        <v>#DIV/0!</v>
      </c>
      <c r="BO41" s="160"/>
      <c r="BP41" s="158">
        <f t="shared" ref="BP41:BR41" si="100">SUM(BP42:BP48)</f>
        <v>0</v>
      </c>
      <c r="BQ41" s="158">
        <f t="shared" si="100"/>
        <v>0</v>
      </c>
      <c r="BR41" s="159">
        <f t="shared" si="100"/>
        <v>0</v>
      </c>
      <c r="BS41" s="157" t="e">
        <f>BR41/BR$106</f>
        <v>#DIV/0!</v>
      </c>
      <c r="BT41" s="160"/>
      <c r="BU41" s="158">
        <f>SUM(BU42:BU48)</f>
        <v>0</v>
      </c>
      <c r="BV41" s="158">
        <f>SUM(BV42:BV48)</f>
        <v>0</v>
      </c>
      <c r="BW41" s="159">
        <f>SUM(BW42:BW48)</f>
        <v>0</v>
      </c>
      <c r="BX41" s="157" t="e">
        <f>BW41/BW$106</f>
        <v>#DIV/0!</v>
      </c>
      <c r="BY41" s="160"/>
      <c r="BZ41" s="158">
        <f>SUM(BZ42:BZ48)</f>
        <v>0</v>
      </c>
      <c r="CA41" s="158">
        <f>SUM(CA42:CA48)</f>
        <v>0</v>
      </c>
      <c r="CB41" s="159">
        <f>SUM(CB42:CB48)</f>
        <v>0</v>
      </c>
      <c r="CC41" s="157" t="e">
        <f>CB41/CB$106</f>
        <v>#DIV/0!</v>
      </c>
      <c r="CD41" s="160"/>
      <c r="CE41" s="158">
        <f>SUM(CE42:CE48)</f>
        <v>237381.45199999999</v>
      </c>
      <c r="CF41" s="158">
        <f>SUM(CF42:CF48)</f>
        <v>8490</v>
      </c>
      <c r="CG41" s="159">
        <f>SUM(CG42:CG48)</f>
        <v>245871.45199999999</v>
      </c>
      <c r="CH41" s="157">
        <f>CG41/$CG$106</f>
        <v>3.5278230416534704E-4</v>
      </c>
      <c r="CI41" s="162"/>
    </row>
    <row r="42" spans="1:90" ht="24.6" customHeight="1" outlineLevel="2" x14ac:dyDescent="0.2">
      <c r="A42" s="163"/>
      <c r="B42" s="84" t="s">
        <v>139</v>
      </c>
      <c r="C42" s="85"/>
      <c r="D42" s="164"/>
      <c r="E42" s="72">
        <f t="shared" ref="E42:E48" si="101">C42+D42</f>
        <v>0</v>
      </c>
      <c r="F42" s="75">
        <f>E42/$E$106</f>
        <v>0</v>
      </c>
      <c r="G42" s="53">
        <v>0</v>
      </c>
      <c r="H42" s="52">
        <v>0</v>
      </c>
      <c r="I42" s="51">
        <f t="shared" ref="I42:I48" si="102">G42+H42*1</f>
        <v>0</v>
      </c>
      <c r="J42" s="75">
        <f>I42/I$106</f>
        <v>0</v>
      </c>
      <c r="K42" s="54"/>
      <c r="L42" s="53">
        <v>0</v>
      </c>
      <c r="M42" s="52">
        <v>0</v>
      </c>
      <c r="N42" s="51">
        <f t="shared" ref="N42:N48" si="103">L42+M42*1</f>
        <v>0</v>
      </c>
      <c r="O42" s="75">
        <f>N42/N$106</f>
        <v>0</v>
      </c>
      <c r="P42" s="54"/>
      <c r="Q42" s="53">
        <f t="shared" ref="Q42:R48" si="104">W42+AB42+AG42+AL42+AQ42+AV42+BA42+BF42+BK42+BP42+BU42+BZ42</f>
        <v>0</v>
      </c>
      <c r="R42" s="52">
        <f t="shared" si="104"/>
        <v>0</v>
      </c>
      <c r="S42" s="51">
        <f t="shared" ref="S42:S48" si="105">Q42+R42*1</f>
        <v>0</v>
      </c>
      <c r="T42" s="75">
        <f>S42/S$106</f>
        <v>0</v>
      </c>
      <c r="U42" s="54"/>
      <c r="V42" s="82"/>
      <c r="W42" s="53"/>
      <c r="X42" s="52"/>
      <c r="Y42" s="51">
        <f t="shared" ref="Y42:Y48" si="106">W42+X42*1</f>
        <v>0</v>
      </c>
      <c r="Z42" s="75">
        <f>Y42/Y$106</f>
        <v>0</v>
      </c>
      <c r="AA42" s="54"/>
      <c r="AB42" s="53"/>
      <c r="AC42" s="52"/>
      <c r="AD42" s="51">
        <f t="shared" ref="AD42:AD48" si="107">AB42+AC42*1</f>
        <v>0</v>
      </c>
      <c r="AE42" s="75">
        <f>AD42/AD$106</f>
        <v>0</v>
      </c>
      <c r="AF42" s="54"/>
      <c r="AG42" s="53"/>
      <c r="AH42" s="52"/>
      <c r="AI42" s="51">
        <f t="shared" ref="AI42:AI48" si="108">AG42+AH42*1</f>
        <v>0</v>
      </c>
      <c r="AJ42" s="75">
        <f>AI42/AI$106</f>
        <v>0</v>
      </c>
      <c r="AK42" s="54"/>
      <c r="AL42" s="53"/>
      <c r="AM42" s="52"/>
      <c r="AN42" s="51">
        <f t="shared" ref="AN42:AN48" si="109">AL42+AM42*1</f>
        <v>0</v>
      </c>
      <c r="AO42" s="75">
        <f>AN42/AN$106</f>
        <v>0</v>
      </c>
      <c r="AP42" s="54"/>
      <c r="AQ42" s="53"/>
      <c r="AR42" s="52"/>
      <c r="AS42" s="51">
        <f t="shared" ref="AS42:AS48" si="110">AQ42+AR42*1</f>
        <v>0</v>
      </c>
      <c r="AT42" s="75">
        <f>AS42/AS$106</f>
        <v>0</v>
      </c>
      <c r="AU42" s="54"/>
      <c r="AV42" s="53"/>
      <c r="AW42" s="52"/>
      <c r="AX42" s="51">
        <f t="shared" ref="AX42:AX48" si="111">AV42+AW42*1</f>
        <v>0</v>
      </c>
      <c r="AY42" s="75">
        <f>AX42/AX$106</f>
        <v>0</v>
      </c>
      <c r="AZ42" s="54"/>
      <c r="BA42" s="53"/>
      <c r="BB42" s="52"/>
      <c r="BC42" s="51">
        <f t="shared" ref="BC42:BC48" si="112">BA42+BB42*1</f>
        <v>0</v>
      </c>
      <c r="BD42" s="75" t="e">
        <f>BC42/BC$106</f>
        <v>#DIV/0!</v>
      </c>
      <c r="BE42" s="54"/>
      <c r="BF42" s="53"/>
      <c r="BG42" s="52"/>
      <c r="BH42" s="51">
        <f t="shared" ref="BH42:BH48" si="113">BF42+BG42*1</f>
        <v>0</v>
      </c>
      <c r="BI42" s="75" t="e">
        <f>BH42/BH$106</f>
        <v>#DIV/0!</v>
      </c>
      <c r="BJ42" s="54"/>
      <c r="BK42" s="53"/>
      <c r="BL42" s="52"/>
      <c r="BM42" s="51">
        <f t="shared" ref="BM42:BM48" si="114">BK42+BL42*1</f>
        <v>0</v>
      </c>
      <c r="BN42" s="75" t="e">
        <f>BM42/BM$106</f>
        <v>#DIV/0!</v>
      </c>
      <c r="BO42" s="54"/>
      <c r="BP42" s="53"/>
      <c r="BQ42" s="52"/>
      <c r="BR42" s="51">
        <f t="shared" ref="BR42:BR48" si="115">BP42+BQ42*1</f>
        <v>0</v>
      </c>
      <c r="BS42" s="75" t="e">
        <f>BR42/BR$106</f>
        <v>#DIV/0!</v>
      </c>
      <c r="BT42" s="54"/>
      <c r="BU42" s="53"/>
      <c r="BV42" s="52"/>
      <c r="BW42" s="51">
        <f t="shared" ref="BW42:BW48" si="116">BU42+BV42*1</f>
        <v>0</v>
      </c>
      <c r="BX42" s="75" t="e">
        <f>BW42/BW$106</f>
        <v>#DIV/0!</v>
      </c>
      <c r="BY42" s="54"/>
      <c r="BZ42" s="53"/>
      <c r="CA42" s="52"/>
      <c r="CB42" s="51">
        <f t="shared" ref="CB42:CB48" si="117">BZ42+CA42*1</f>
        <v>0</v>
      </c>
      <c r="CC42" s="75" t="e">
        <f>CB42/CB$106</f>
        <v>#DIV/0!</v>
      </c>
      <c r="CD42" s="54"/>
      <c r="CE42" s="52">
        <f t="shared" ref="CE42:CF48" si="118">G42+Q42+L42</f>
        <v>0</v>
      </c>
      <c r="CF42" s="52">
        <f t="shared" si="118"/>
        <v>0</v>
      </c>
      <c r="CG42" s="51">
        <f t="shared" ref="CG42:CG48" si="119">CE42+CF42*1</f>
        <v>0</v>
      </c>
      <c r="CH42" s="75">
        <f>CG42/$CG$106</f>
        <v>0</v>
      </c>
      <c r="CI42" s="88"/>
    </row>
    <row r="43" spans="1:90" ht="24.6" customHeight="1" outlineLevel="2" x14ac:dyDescent="0.2">
      <c r="A43" s="163"/>
      <c r="B43" s="84" t="s">
        <v>140</v>
      </c>
      <c r="C43" s="85"/>
      <c r="D43" s="164"/>
      <c r="E43" s="72">
        <f t="shared" si="101"/>
        <v>0</v>
      </c>
      <c r="F43" s="75">
        <f>E43/$E$106</f>
        <v>0</v>
      </c>
      <c r="G43" s="53">
        <v>0</v>
      </c>
      <c r="H43" s="52">
        <v>1038</v>
      </c>
      <c r="I43" s="51">
        <f t="shared" si="102"/>
        <v>1038</v>
      </c>
      <c r="J43" s="75">
        <f>I43/I$106</f>
        <v>2.0952551615365434E-5</v>
      </c>
      <c r="K43" s="54"/>
      <c r="L43" s="53">
        <v>5003.7720000000008</v>
      </c>
      <c r="M43" s="52">
        <v>3263</v>
      </c>
      <c r="N43" s="51">
        <f t="shared" si="103"/>
        <v>8266.7720000000008</v>
      </c>
      <c r="O43" s="75">
        <f>N43/N$106</f>
        <v>1.9401756169589292E-5</v>
      </c>
      <c r="P43" s="54"/>
      <c r="Q43" s="53">
        <f t="shared" si="104"/>
        <v>2419</v>
      </c>
      <c r="R43" s="52">
        <f t="shared" si="104"/>
        <v>4189</v>
      </c>
      <c r="S43" s="51">
        <f t="shared" si="105"/>
        <v>6608</v>
      </c>
      <c r="T43" s="75">
        <f>S43/S$106</f>
        <v>2.9856505126524034E-5</v>
      </c>
      <c r="U43" s="54"/>
      <c r="V43" s="82"/>
      <c r="W43" s="53"/>
      <c r="X43" s="52"/>
      <c r="Y43" s="51">
        <f t="shared" si="106"/>
        <v>0</v>
      </c>
      <c r="Z43" s="75">
        <f>Y43/Y$106</f>
        <v>0</v>
      </c>
      <c r="AA43" s="54"/>
      <c r="AB43" s="53">
        <f>250*1.2</f>
        <v>300</v>
      </c>
      <c r="AC43" s="52"/>
      <c r="AD43" s="51">
        <f t="shared" si="107"/>
        <v>300</v>
      </c>
      <c r="AE43" s="75">
        <f>AD43/AD$106</f>
        <v>9.0951910075894721E-6</v>
      </c>
      <c r="AF43" s="54"/>
      <c r="AG43" s="53"/>
      <c r="AH43" s="52"/>
      <c r="AI43" s="51">
        <f t="shared" si="108"/>
        <v>0</v>
      </c>
      <c r="AJ43" s="75">
        <f>AI43/AI$106</f>
        <v>0</v>
      </c>
      <c r="AK43" s="54"/>
      <c r="AL43" s="53">
        <v>30</v>
      </c>
      <c r="AM43" s="52">
        <f>1000+1000</f>
        <v>2000</v>
      </c>
      <c r="AN43" s="51">
        <f t="shared" si="109"/>
        <v>2030</v>
      </c>
      <c r="AO43" s="75">
        <f>AN43/AN$106</f>
        <v>5.6648788999993504E-5</v>
      </c>
      <c r="AP43" s="54" t="s">
        <v>141</v>
      </c>
      <c r="AQ43" s="53"/>
      <c r="AR43" s="52">
        <v>1661</v>
      </c>
      <c r="AS43" s="51">
        <f t="shared" si="110"/>
        <v>1661</v>
      </c>
      <c r="AT43" s="75">
        <f>AS43/AS$106</f>
        <v>4.5627364840249438E-5</v>
      </c>
      <c r="AU43" s="54" t="s">
        <v>142</v>
      </c>
      <c r="AV43" s="53">
        <v>2089</v>
      </c>
      <c r="AW43" s="52">
        <v>528</v>
      </c>
      <c r="AX43" s="51">
        <f t="shared" si="111"/>
        <v>2617</v>
      </c>
      <c r="AY43" s="75">
        <f>AX43/AX$106</f>
        <v>6.6175168876826947E-5</v>
      </c>
      <c r="AZ43" s="54" t="s">
        <v>143</v>
      </c>
      <c r="BA43" s="53"/>
      <c r="BB43" s="52"/>
      <c r="BC43" s="51">
        <f t="shared" si="112"/>
        <v>0</v>
      </c>
      <c r="BD43" s="75" t="e">
        <f>BC43/BC$106</f>
        <v>#DIV/0!</v>
      </c>
      <c r="BE43" s="54"/>
      <c r="BF43" s="53"/>
      <c r="BG43" s="52"/>
      <c r="BH43" s="51">
        <f t="shared" si="113"/>
        <v>0</v>
      </c>
      <c r="BI43" s="75" t="e">
        <f>BH43/BH$106</f>
        <v>#DIV/0!</v>
      </c>
      <c r="BJ43" s="54"/>
      <c r="BK43" s="53"/>
      <c r="BL43" s="52"/>
      <c r="BM43" s="51">
        <f t="shared" si="114"/>
        <v>0</v>
      </c>
      <c r="BN43" s="75" t="e">
        <f>BM43/BM$106</f>
        <v>#DIV/0!</v>
      </c>
      <c r="BO43" s="54"/>
      <c r="BP43" s="53"/>
      <c r="BQ43" s="52"/>
      <c r="BR43" s="51">
        <f t="shared" si="115"/>
        <v>0</v>
      </c>
      <c r="BS43" s="75" t="e">
        <f>BR43/BR$106</f>
        <v>#DIV/0!</v>
      </c>
      <c r="BT43" s="54"/>
      <c r="BU43" s="53"/>
      <c r="BV43" s="52"/>
      <c r="BW43" s="51">
        <f t="shared" si="116"/>
        <v>0</v>
      </c>
      <c r="BX43" s="75" t="e">
        <f>BW43/BW$106</f>
        <v>#DIV/0!</v>
      </c>
      <c r="BY43" s="54"/>
      <c r="BZ43" s="53"/>
      <c r="CA43" s="52"/>
      <c r="CB43" s="51">
        <f t="shared" si="117"/>
        <v>0</v>
      </c>
      <c r="CC43" s="75" t="e">
        <f>CB43/CB$106</f>
        <v>#DIV/0!</v>
      </c>
      <c r="CD43" s="54"/>
      <c r="CE43" s="52">
        <f t="shared" si="118"/>
        <v>7422.7720000000008</v>
      </c>
      <c r="CF43" s="52">
        <f t="shared" si="118"/>
        <v>8490</v>
      </c>
      <c r="CG43" s="51">
        <f t="shared" si="119"/>
        <v>15912.772000000001</v>
      </c>
      <c r="CH43" s="75">
        <f>CG43/$CG$106</f>
        <v>2.2832030014683522E-5</v>
      </c>
      <c r="CI43" s="88"/>
    </row>
    <row r="44" spans="1:90" ht="24.6" customHeight="1" outlineLevel="2" x14ac:dyDescent="0.2">
      <c r="A44" s="163"/>
      <c r="B44" s="117" t="s">
        <v>144</v>
      </c>
      <c r="C44" s="85"/>
      <c r="D44" s="164"/>
      <c r="E44" s="72">
        <f t="shared" si="101"/>
        <v>0</v>
      </c>
      <c r="F44" s="75">
        <f>E44/$E$106</f>
        <v>0</v>
      </c>
      <c r="G44" s="53">
        <v>7248.38</v>
      </c>
      <c r="H44" s="52">
        <v>0</v>
      </c>
      <c r="I44" s="51">
        <f t="shared" si="102"/>
        <v>7248.38</v>
      </c>
      <c r="J44" s="75">
        <f>I44/I$106</f>
        <v>1.4631219275316234E-4</v>
      </c>
      <c r="K44" s="54"/>
      <c r="L44" s="53">
        <v>13896</v>
      </c>
      <c r="M44" s="52">
        <v>0</v>
      </c>
      <c r="N44" s="51">
        <f t="shared" si="103"/>
        <v>13896</v>
      </c>
      <c r="O44" s="75">
        <f>N44/N$106</f>
        <v>3.2613310701276482E-5</v>
      </c>
      <c r="P44" s="54"/>
      <c r="Q44" s="53">
        <f t="shared" si="104"/>
        <v>8775.02</v>
      </c>
      <c r="R44" s="52">
        <f t="shared" si="104"/>
        <v>0</v>
      </c>
      <c r="S44" s="51">
        <f t="shared" si="105"/>
        <v>8775.02</v>
      </c>
      <c r="T44" s="75">
        <f>S44/S$106</f>
        <v>3.9647613440579741E-5</v>
      </c>
      <c r="U44" s="54"/>
      <c r="V44" s="82"/>
      <c r="W44" s="53">
        <f>916.67*1.2</f>
        <v>1100.0039999999999</v>
      </c>
      <c r="X44" s="52"/>
      <c r="Y44" s="51">
        <f t="shared" si="106"/>
        <v>1100.0039999999999</v>
      </c>
      <c r="Z44" s="75">
        <f>Y44/Y$106</f>
        <v>2.9129091663537754E-5</v>
      </c>
      <c r="AA44" s="54" t="s">
        <v>145</v>
      </c>
      <c r="AB44" s="53">
        <f>916.67*1.2</f>
        <v>1100.0039999999999</v>
      </c>
      <c r="AC44" s="52"/>
      <c r="AD44" s="51">
        <f t="shared" si="107"/>
        <v>1100.0039999999999</v>
      </c>
      <c r="AE44" s="75">
        <f>AD44/AD$106</f>
        <v>3.3349154963708161E-5</v>
      </c>
      <c r="AF44" s="54" t="s">
        <v>145</v>
      </c>
      <c r="AG44" s="53">
        <f>916.67*1.2</f>
        <v>1100.0039999999999</v>
      </c>
      <c r="AH44" s="52"/>
      <c r="AI44" s="51">
        <f t="shared" si="108"/>
        <v>1100.0039999999999</v>
      </c>
      <c r="AJ44" s="75">
        <f>AI44/AI$106</f>
        <v>2.8355893657767872E-5</v>
      </c>
      <c r="AK44" s="54" t="s">
        <v>145</v>
      </c>
      <c r="AL44" s="53">
        <f>2729.17*1.2</f>
        <v>3275.0039999999999</v>
      </c>
      <c r="AM44" s="52"/>
      <c r="AN44" s="51">
        <f t="shared" si="109"/>
        <v>3275.0039999999999</v>
      </c>
      <c r="AO44" s="75">
        <f>AN44/AN$106</f>
        <v>9.1391630822726459E-5</v>
      </c>
      <c r="AP44" s="54" t="s">
        <v>146</v>
      </c>
      <c r="AQ44" s="53">
        <f>916.67*1.2</f>
        <v>1100.0039999999999</v>
      </c>
      <c r="AR44" s="52"/>
      <c r="AS44" s="51">
        <f t="shared" si="110"/>
        <v>1100.0039999999999</v>
      </c>
      <c r="AT44" s="75">
        <f>AS44/AS$106</f>
        <v>3.0216907786715075E-5</v>
      </c>
      <c r="AU44" s="54" t="s">
        <v>146</v>
      </c>
      <c r="AV44" s="53">
        <v>1100</v>
      </c>
      <c r="AW44" s="52"/>
      <c r="AX44" s="51">
        <f t="shared" si="111"/>
        <v>1100</v>
      </c>
      <c r="AY44" s="75">
        <f>AX44/AX$106</f>
        <v>2.7815317449182132E-5</v>
      </c>
      <c r="AZ44" s="54" t="s">
        <v>146</v>
      </c>
      <c r="BA44" s="53"/>
      <c r="BB44" s="52"/>
      <c r="BC44" s="51">
        <f t="shared" si="112"/>
        <v>0</v>
      </c>
      <c r="BD44" s="75" t="e">
        <f>BC44/BC$106</f>
        <v>#DIV/0!</v>
      </c>
      <c r="BE44" s="54"/>
      <c r="BF44" s="53"/>
      <c r="BG44" s="52"/>
      <c r="BH44" s="51">
        <f t="shared" si="113"/>
        <v>0</v>
      </c>
      <c r="BI44" s="75" t="e">
        <f>BH44/BH$106</f>
        <v>#DIV/0!</v>
      </c>
      <c r="BJ44" s="54"/>
      <c r="BK44" s="53"/>
      <c r="BL44" s="52"/>
      <c r="BM44" s="51">
        <f t="shared" si="114"/>
        <v>0</v>
      </c>
      <c r="BN44" s="75" t="e">
        <f>BM44/BM$106</f>
        <v>#DIV/0!</v>
      </c>
      <c r="BO44" s="54"/>
      <c r="BP44" s="53"/>
      <c r="BQ44" s="52"/>
      <c r="BR44" s="51">
        <f t="shared" si="115"/>
        <v>0</v>
      </c>
      <c r="BS44" s="75" t="e">
        <f>BR44/BR$106</f>
        <v>#DIV/0!</v>
      </c>
      <c r="BT44" s="54"/>
      <c r="BU44" s="53"/>
      <c r="BV44" s="52"/>
      <c r="BW44" s="51">
        <f t="shared" si="116"/>
        <v>0</v>
      </c>
      <c r="BX44" s="75" t="e">
        <f>BW44/BW$106</f>
        <v>#DIV/0!</v>
      </c>
      <c r="BY44" s="54"/>
      <c r="BZ44" s="53"/>
      <c r="CA44" s="52"/>
      <c r="CB44" s="51">
        <f t="shared" si="117"/>
        <v>0</v>
      </c>
      <c r="CC44" s="75" t="e">
        <f>CB44/CB$106</f>
        <v>#DIV/0!</v>
      </c>
      <c r="CD44" s="54"/>
      <c r="CE44" s="52">
        <f t="shared" si="118"/>
        <v>29919.4</v>
      </c>
      <c r="CF44" s="52">
        <f t="shared" si="118"/>
        <v>0</v>
      </c>
      <c r="CG44" s="51">
        <f t="shared" si="119"/>
        <v>29919.4</v>
      </c>
      <c r="CH44" s="75">
        <f>CG44/$CG$106</f>
        <v>4.2929078530209701E-5</v>
      </c>
      <c r="CI44" s="88"/>
    </row>
    <row r="45" spans="1:90" ht="24.6" customHeight="1" outlineLevel="2" x14ac:dyDescent="0.2">
      <c r="A45" s="163"/>
      <c r="B45" s="84" t="s">
        <v>147</v>
      </c>
      <c r="C45" s="85"/>
      <c r="D45" s="164"/>
      <c r="E45" s="72">
        <f t="shared" si="101"/>
        <v>0</v>
      </c>
      <c r="F45" s="75">
        <f>E45/$E$106</f>
        <v>0</v>
      </c>
      <c r="G45" s="53">
        <v>1920</v>
      </c>
      <c r="H45" s="52">
        <v>0</v>
      </c>
      <c r="I45" s="51">
        <f t="shared" si="102"/>
        <v>1920</v>
      </c>
      <c r="J45" s="75">
        <f>I45/I$106</f>
        <v>3.8756164837670165E-5</v>
      </c>
      <c r="K45" s="54"/>
      <c r="L45" s="53">
        <v>49890</v>
      </c>
      <c r="M45" s="52">
        <v>0</v>
      </c>
      <c r="N45" s="51">
        <f t="shared" si="103"/>
        <v>49890</v>
      </c>
      <c r="O45" s="75">
        <f>N45/N$106</f>
        <v>1.1708967119219082E-4</v>
      </c>
      <c r="P45" s="54"/>
      <c r="Q45" s="53">
        <f t="shared" si="104"/>
        <v>28550</v>
      </c>
      <c r="R45" s="52">
        <f t="shared" si="104"/>
        <v>0</v>
      </c>
      <c r="S45" s="51">
        <f t="shared" si="105"/>
        <v>28550</v>
      </c>
      <c r="T45" s="75">
        <f>S45/S$106</f>
        <v>1.2899564487927679E-4</v>
      </c>
      <c r="U45" s="54"/>
      <c r="V45" s="82"/>
      <c r="W45" s="53"/>
      <c r="X45" s="52"/>
      <c r="Y45" s="51">
        <f t="shared" si="106"/>
        <v>0</v>
      </c>
      <c r="Z45" s="75">
        <f>Y45/Y$106</f>
        <v>0</v>
      </c>
      <c r="AA45" s="54"/>
      <c r="AB45" s="53"/>
      <c r="AC45" s="52"/>
      <c r="AD45" s="51">
        <f t="shared" si="107"/>
        <v>0</v>
      </c>
      <c r="AE45" s="75">
        <f>AD45/AD$106</f>
        <v>0</v>
      </c>
      <c r="AF45" s="54"/>
      <c r="AG45" s="53"/>
      <c r="AH45" s="52"/>
      <c r="AI45" s="51">
        <f t="shared" si="108"/>
        <v>0</v>
      </c>
      <c r="AJ45" s="75">
        <f>AI45/AI$106</f>
        <v>0</v>
      </c>
      <c r="AK45" s="54"/>
      <c r="AL45" s="53"/>
      <c r="AM45" s="52"/>
      <c r="AN45" s="51">
        <f t="shared" si="109"/>
        <v>0</v>
      </c>
      <c r="AO45" s="75">
        <f>AN45/AN$106</f>
        <v>0</v>
      </c>
      <c r="AP45" s="54"/>
      <c r="AQ45" s="53">
        <v>4250</v>
      </c>
      <c r="AR45" s="52"/>
      <c r="AS45" s="51">
        <f t="shared" si="110"/>
        <v>4250</v>
      </c>
      <c r="AT45" s="75">
        <f>AS45/AS$106</f>
        <v>1.1674671918787485E-4</v>
      </c>
      <c r="AU45" s="54"/>
      <c r="AV45" s="53">
        <v>24300</v>
      </c>
      <c r="AW45" s="52"/>
      <c r="AX45" s="51">
        <f t="shared" si="111"/>
        <v>24300</v>
      </c>
      <c r="AY45" s="75">
        <f>AX45/AX$106</f>
        <v>6.144656491046598E-4</v>
      </c>
      <c r="AZ45" s="54"/>
      <c r="BA45" s="53"/>
      <c r="BB45" s="52"/>
      <c r="BC45" s="51">
        <f t="shared" si="112"/>
        <v>0</v>
      </c>
      <c r="BD45" s="75" t="e">
        <f>BC45/BC$106</f>
        <v>#DIV/0!</v>
      </c>
      <c r="BE45" s="54"/>
      <c r="BF45" s="53"/>
      <c r="BG45" s="52"/>
      <c r="BH45" s="51">
        <f t="shared" si="113"/>
        <v>0</v>
      </c>
      <c r="BI45" s="75" t="e">
        <f>BH45/BH$106</f>
        <v>#DIV/0!</v>
      </c>
      <c r="BJ45" s="54"/>
      <c r="BK45" s="53"/>
      <c r="BL45" s="52"/>
      <c r="BM45" s="51">
        <f t="shared" si="114"/>
        <v>0</v>
      </c>
      <c r="BN45" s="75" t="e">
        <f>BM45/BM$106</f>
        <v>#DIV/0!</v>
      </c>
      <c r="BO45" s="54"/>
      <c r="BP45" s="53"/>
      <c r="BQ45" s="52"/>
      <c r="BR45" s="51">
        <f t="shared" si="115"/>
        <v>0</v>
      </c>
      <c r="BS45" s="75" t="e">
        <f>BR45/BR$106</f>
        <v>#DIV/0!</v>
      </c>
      <c r="BT45" s="54"/>
      <c r="BU45" s="53"/>
      <c r="BV45" s="52"/>
      <c r="BW45" s="51">
        <f t="shared" si="116"/>
        <v>0</v>
      </c>
      <c r="BX45" s="75" t="e">
        <f>BW45/BW$106</f>
        <v>#DIV/0!</v>
      </c>
      <c r="BY45" s="54"/>
      <c r="BZ45" s="53"/>
      <c r="CA45" s="52"/>
      <c r="CB45" s="51">
        <f t="shared" si="117"/>
        <v>0</v>
      </c>
      <c r="CC45" s="75" t="e">
        <f>CB45/CB$106</f>
        <v>#DIV/0!</v>
      </c>
      <c r="CD45" s="54"/>
      <c r="CE45" s="52">
        <f t="shared" si="118"/>
        <v>80360</v>
      </c>
      <c r="CF45" s="52">
        <f t="shared" si="118"/>
        <v>0</v>
      </c>
      <c r="CG45" s="51">
        <f t="shared" si="119"/>
        <v>80360</v>
      </c>
      <c r="CH45" s="75">
        <f>CG45/$CG$106</f>
        <v>1.1530247099499495E-4</v>
      </c>
      <c r="CI45" s="88"/>
    </row>
    <row r="46" spans="1:90" ht="24.6" customHeight="1" outlineLevel="2" x14ac:dyDescent="0.2">
      <c r="A46" s="163"/>
      <c r="B46" s="84" t="s">
        <v>148</v>
      </c>
      <c r="C46" s="85"/>
      <c r="D46" s="164"/>
      <c r="E46" s="72">
        <f t="shared" si="101"/>
        <v>0</v>
      </c>
      <c r="F46" s="75">
        <f>E46/$E$106</f>
        <v>0</v>
      </c>
      <c r="G46" s="53">
        <v>0</v>
      </c>
      <c r="H46" s="52">
        <v>0</v>
      </c>
      <c r="I46" s="51">
        <f t="shared" si="102"/>
        <v>0</v>
      </c>
      <c r="J46" s="75">
        <f>I46/I$106</f>
        <v>0</v>
      </c>
      <c r="K46" s="54"/>
      <c r="L46" s="53">
        <v>0</v>
      </c>
      <c r="M46" s="52">
        <v>0</v>
      </c>
      <c r="N46" s="51">
        <f t="shared" si="103"/>
        <v>0</v>
      </c>
      <c r="O46" s="75">
        <f>N46/N$106</f>
        <v>0</v>
      </c>
      <c r="P46" s="54"/>
      <c r="Q46" s="53">
        <f t="shared" si="104"/>
        <v>0</v>
      </c>
      <c r="R46" s="52">
        <f t="shared" si="104"/>
        <v>0</v>
      </c>
      <c r="S46" s="51">
        <f t="shared" si="105"/>
        <v>0</v>
      </c>
      <c r="T46" s="75">
        <f>S46/S$106</f>
        <v>0</v>
      </c>
      <c r="U46" s="54"/>
      <c r="V46" s="82"/>
      <c r="W46" s="53"/>
      <c r="X46" s="52"/>
      <c r="Y46" s="51">
        <f t="shared" si="106"/>
        <v>0</v>
      </c>
      <c r="Z46" s="75">
        <f>Y46/Y$106</f>
        <v>0</v>
      </c>
      <c r="AA46" s="54"/>
      <c r="AB46" s="53"/>
      <c r="AC46" s="52"/>
      <c r="AD46" s="51">
        <f t="shared" si="107"/>
        <v>0</v>
      </c>
      <c r="AE46" s="75">
        <f>AD46/AD$106</f>
        <v>0</v>
      </c>
      <c r="AF46" s="54"/>
      <c r="AG46" s="53"/>
      <c r="AH46" s="52"/>
      <c r="AI46" s="51">
        <f t="shared" si="108"/>
        <v>0</v>
      </c>
      <c r="AJ46" s="75">
        <f>AI46/AI$106</f>
        <v>0</v>
      </c>
      <c r="AK46" s="54"/>
      <c r="AL46" s="53"/>
      <c r="AM46" s="52"/>
      <c r="AN46" s="51">
        <f t="shared" si="109"/>
        <v>0</v>
      </c>
      <c r="AO46" s="75">
        <f>AN46/AN$106</f>
        <v>0</v>
      </c>
      <c r="AP46" s="54"/>
      <c r="AQ46" s="53"/>
      <c r="AR46" s="52"/>
      <c r="AS46" s="51">
        <f t="shared" si="110"/>
        <v>0</v>
      </c>
      <c r="AT46" s="75">
        <f>AS46/AS$106</f>
        <v>0</v>
      </c>
      <c r="AU46" s="54"/>
      <c r="AV46" s="53"/>
      <c r="AW46" s="52"/>
      <c r="AX46" s="51">
        <f t="shared" si="111"/>
        <v>0</v>
      </c>
      <c r="AY46" s="75">
        <f>AX46/AX$106</f>
        <v>0</v>
      </c>
      <c r="AZ46" s="54"/>
      <c r="BA46" s="53"/>
      <c r="BB46" s="52"/>
      <c r="BC46" s="51">
        <f t="shared" si="112"/>
        <v>0</v>
      </c>
      <c r="BD46" s="75" t="e">
        <f>BC46/BC$106</f>
        <v>#DIV/0!</v>
      </c>
      <c r="BE46" s="54"/>
      <c r="BF46" s="53"/>
      <c r="BG46" s="52"/>
      <c r="BH46" s="51">
        <f t="shared" si="113"/>
        <v>0</v>
      </c>
      <c r="BI46" s="75" t="e">
        <f>BH46/BH$106</f>
        <v>#DIV/0!</v>
      </c>
      <c r="BJ46" s="54"/>
      <c r="BK46" s="53"/>
      <c r="BL46" s="52"/>
      <c r="BM46" s="51">
        <f t="shared" si="114"/>
        <v>0</v>
      </c>
      <c r="BN46" s="75" t="e">
        <f>BM46/BM$106</f>
        <v>#DIV/0!</v>
      </c>
      <c r="BO46" s="54"/>
      <c r="BP46" s="53"/>
      <c r="BQ46" s="52"/>
      <c r="BR46" s="51">
        <f t="shared" si="115"/>
        <v>0</v>
      </c>
      <c r="BS46" s="75" t="e">
        <f>BR46/BR$106</f>
        <v>#DIV/0!</v>
      </c>
      <c r="BT46" s="54"/>
      <c r="BU46" s="53"/>
      <c r="BV46" s="52"/>
      <c r="BW46" s="51">
        <f t="shared" si="116"/>
        <v>0</v>
      </c>
      <c r="BX46" s="75" t="e">
        <f>BW46/BW$106</f>
        <v>#DIV/0!</v>
      </c>
      <c r="BY46" s="54"/>
      <c r="BZ46" s="53"/>
      <c r="CA46" s="52"/>
      <c r="CB46" s="51">
        <f t="shared" si="117"/>
        <v>0</v>
      </c>
      <c r="CC46" s="75" t="e">
        <f>CB46/CB$106</f>
        <v>#DIV/0!</v>
      </c>
      <c r="CD46" s="54"/>
      <c r="CE46" s="52">
        <f t="shared" si="118"/>
        <v>0</v>
      </c>
      <c r="CF46" s="52">
        <f t="shared" si="118"/>
        <v>0</v>
      </c>
      <c r="CG46" s="51">
        <f t="shared" si="119"/>
        <v>0</v>
      </c>
      <c r="CH46" s="75">
        <f>CG46/$CG$106</f>
        <v>0</v>
      </c>
      <c r="CI46" s="88"/>
    </row>
    <row r="47" spans="1:90" ht="24.6" customHeight="1" outlineLevel="2" x14ac:dyDescent="0.2">
      <c r="A47" s="163"/>
      <c r="B47" s="84" t="s">
        <v>149</v>
      </c>
      <c r="C47" s="85"/>
      <c r="D47" s="164"/>
      <c r="E47" s="72">
        <f t="shared" si="101"/>
        <v>0</v>
      </c>
      <c r="F47" s="75">
        <f>E47/$E$106</f>
        <v>0</v>
      </c>
      <c r="G47" s="53">
        <v>4230</v>
      </c>
      <c r="H47" s="52">
        <v>0</v>
      </c>
      <c r="I47" s="51">
        <f t="shared" si="102"/>
        <v>4230</v>
      </c>
      <c r="J47" s="75">
        <f>I47/I$106</f>
        <v>8.5384675657992088E-5</v>
      </c>
      <c r="K47" s="54"/>
      <c r="L47" s="53">
        <v>18236.3</v>
      </c>
      <c r="M47" s="52">
        <v>0</v>
      </c>
      <c r="N47" s="51">
        <f t="shared" si="103"/>
        <v>18236.3</v>
      </c>
      <c r="O47" s="75">
        <f>N47/N$106</f>
        <v>4.2799806990622358E-5</v>
      </c>
      <c r="P47" s="54"/>
      <c r="Q47" s="53">
        <f t="shared" si="104"/>
        <v>10898.299999999997</v>
      </c>
      <c r="R47" s="52">
        <f t="shared" si="104"/>
        <v>0</v>
      </c>
      <c r="S47" s="51">
        <f t="shared" si="105"/>
        <v>10898.299999999997</v>
      </c>
      <c r="T47" s="75">
        <f>S47/S$106</f>
        <v>4.9241094101149634E-5</v>
      </c>
      <c r="U47" s="54"/>
      <c r="V47" s="82"/>
      <c r="W47" s="53">
        <f>585.9+437.1+827.7</f>
        <v>1850.7</v>
      </c>
      <c r="X47" s="52"/>
      <c r="Y47" s="51">
        <f t="shared" si="106"/>
        <v>1850.7</v>
      </c>
      <c r="Z47" s="75">
        <f>Y47/Y$106</f>
        <v>4.9008194462664981E-5</v>
      </c>
      <c r="AA47" s="54" t="s">
        <v>87</v>
      </c>
      <c r="AB47" s="53">
        <f>781.2+595.9+210.6</f>
        <v>1587.6999999999998</v>
      </c>
      <c r="AC47" s="52"/>
      <c r="AD47" s="51">
        <f t="shared" si="107"/>
        <v>1587.6999999999998</v>
      </c>
      <c r="AE47" s="75">
        <f>AD47/AD$106</f>
        <v>4.8134782542499337E-5</v>
      </c>
      <c r="AF47" s="54" t="s">
        <v>87</v>
      </c>
      <c r="AG47" s="53">
        <f>716.1+800.5+651</f>
        <v>2167.6</v>
      </c>
      <c r="AH47" s="52"/>
      <c r="AI47" s="51">
        <f t="shared" si="108"/>
        <v>2167.6</v>
      </c>
      <c r="AJ47" s="75">
        <f>AI47/AI$106</f>
        <v>5.5876374170073599E-5</v>
      </c>
      <c r="AK47" s="54" t="s">
        <v>87</v>
      </c>
      <c r="AL47" s="53">
        <f>772.8+491.4+291.2</f>
        <v>1555.3999999999999</v>
      </c>
      <c r="AM47" s="52"/>
      <c r="AN47" s="51">
        <f t="shared" si="109"/>
        <v>1555.3999999999999</v>
      </c>
      <c r="AO47" s="75">
        <f>AN47/AN$106</f>
        <v>4.3404692813098469E-5</v>
      </c>
      <c r="AP47" s="54" t="s">
        <v>87</v>
      </c>
      <c r="AQ47" s="53">
        <f>897.7+582.4+509.6</f>
        <v>1989.6999999999998</v>
      </c>
      <c r="AR47" s="52"/>
      <c r="AS47" s="51">
        <f t="shared" si="110"/>
        <v>1989.6999999999998</v>
      </c>
      <c r="AT47" s="75">
        <f>AS47/AS$106</f>
        <v>5.4656693451321071E-5</v>
      </c>
      <c r="AU47" s="54" t="s">
        <v>87</v>
      </c>
      <c r="AV47" s="53">
        <v>1747.1999999999996</v>
      </c>
      <c r="AW47" s="52"/>
      <c r="AX47" s="51">
        <f t="shared" si="111"/>
        <v>1747.1999999999996</v>
      </c>
      <c r="AY47" s="75">
        <f>AX47/AX$106</f>
        <v>4.4180838770191825E-5</v>
      </c>
      <c r="AZ47" s="54" t="s">
        <v>87</v>
      </c>
      <c r="BA47" s="53"/>
      <c r="BB47" s="52"/>
      <c r="BC47" s="51">
        <f t="shared" si="112"/>
        <v>0</v>
      </c>
      <c r="BD47" s="75" t="e">
        <f>BC47/BC$106</f>
        <v>#DIV/0!</v>
      </c>
      <c r="BE47" s="54"/>
      <c r="BF47" s="53"/>
      <c r="BG47" s="52"/>
      <c r="BH47" s="51">
        <f t="shared" si="113"/>
        <v>0</v>
      </c>
      <c r="BI47" s="75" t="e">
        <f>BH47/BH$106</f>
        <v>#DIV/0!</v>
      </c>
      <c r="BJ47" s="54"/>
      <c r="BK47" s="53"/>
      <c r="BL47" s="52"/>
      <c r="BM47" s="51">
        <f t="shared" si="114"/>
        <v>0</v>
      </c>
      <c r="BN47" s="75" t="e">
        <f>BM47/BM$106</f>
        <v>#DIV/0!</v>
      </c>
      <c r="BO47" s="54"/>
      <c r="BP47" s="53"/>
      <c r="BQ47" s="52"/>
      <c r="BR47" s="51">
        <f t="shared" si="115"/>
        <v>0</v>
      </c>
      <c r="BS47" s="75" t="e">
        <f>BR47/BR$106</f>
        <v>#DIV/0!</v>
      </c>
      <c r="BT47" s="54"/>
      <c r="BU47" s="53"/>
      <c r="BV47" s="52"/>
      <c r="BW47" s="51">
        <f t="shared" si="116"/>
        <v>0</v>
      </c>
      <c r="BX47" s="75" t="e">
        <f>BW47/BW$106</f>
        <v>#DIV/0!</v>
      </c>
      <c r="BY47" s="54"/>
      <c r="BZ47" s="53"/>
      <c r="CA47" s="52"/>
      <c r="CB47" s="51">
        <f t="shared" si="117"/>
        <v>0</v>
      </c>
      <c r="CC47" s="75" t="e">
        <f>CB47/CB$106</f>
        <v>#DIV/0!</v>
      </c>
      <c r="CD47" s="54"/>
      <c r="CE47" s="52">
        <f t="shared" si="118"/>
        <v>33364.6</v>
      </c>
      <c r="CF47" s="52">
        <f t="shared" si="118"/>
        <v>0</v>
      </c>
      <c r="CG47" s="51">
        <f t="shared" si="119"/>
        <v>33364.6</v>
      </c>
      <c r="CH47" s="75">
        <f>CG47/$CG$106</f>
        <v>4.7872334790438128E-5</v>
      </c>
      <c r="CI47" s="88"/>
    </row>
    <row r="48" spans="1:90" ht="24.6" customHeight="1" outlineLevel="2" x14ac:dyDescent="0.2">
      <c r="A48" s="163"/>
      <c r="B48" s="84" t="s">
        <v>150</v>
      </c>
      <c r="C48" s="85"/>
      <c r="D48" s="164"/>
      <c r="E48" s="72">
        <f t="shared" si="101"/>
        <v>0</v>
      </c>
      <c r="F48" s="75">
        <f>E48/$E$106</f>
        <v>0</v>
      </c>
      <c r="G48" s="53">
        <v>5718.1799999999994</v>
      </c>
      <c r="H48" s="52">
        <v>0</v>
      </c>
      <c r="I48" s="51">
        <f t="shared" si="102"/>
        <v>5718.1799999999994</v>
      </c>
      <c r="J48" s="75">
        <f>I48/I$106</f>
        <v>1.1542433679763999E-4</v>
      </c>
      <c r="K48" s="165"/>
      <c r="L48" s="53">
        <v>57155.46</v>
      </c>
      <c r="M48" s="52">
        <v>0</v>
      </c>
      <c r="N48" s="51">
        <f t="shared" si="103"/>
        <v>57155.46</v>
      </c>
      <c r="O48" s="75">
        <f>N48/N$106</f>
        <v>1.3414139142590528E-4</v>
      </c>
      <c r="P48" s="165"/>
      <c r="Q48" s="53">
        <f t="shared" si="104"/>
        <v>23441.039999999997</v>
      </c>
      <c r="R48" s="52">
        <f t="shared" si="104"/>
        <v>0</v>
      </c>
      <c r="S48" s="51">
        <f t="shared" si="105"/>
        <v>23441.039999999997</v>
      </c>
      <c r="T48" s="75">
        <f>S48/S$106</f>
        <v>1.0591215661789571E-4</v>
      </c>
      <c r="U48" s="165"/>
      <c r="V48" s="82"/>
      <c r="W48" s="53">
        <f>1048.4*1.2</f>
        <v>1258.0800000000002</v>
      </c>
      <c r="X48" s="52"/>
      <c r="Y48" s="51">
        <f t="shared" si="106"/>
        <v>1258.0800000000002</v>
      </c>
      <c r="Z48" s="75">
        <f>Y48/Y$106</f>
        <v>3.331508579974581E-5</v>
      </c>
      <c r="AA48" s="54"/>
      <c r="AB48" s="53">
        <f>6713.65*1.2</f>
        <v>8056.3799999999992</v>
      </c>
      <c r="AC48" s="52"/>
      <c r="AD48" s="51">
        <f t="shared" si="107"/>
        <v>8056.3799999999992</v>
      </c>
      <c r="AE48" s="75">
        <f>AD48/AD$106</f>
        <v>2.4424771643241221E-4</v>
      </c>
      <c r="AF48" s="54"/>
      <c r="AG48" s="53"/>
      <c r="AH48" s="52"/>
      <c r="AI48" s="51">
        <f t="shared" si="108"/>
        <v>0</v>
      </c>
      <c r="AJ48" s="75">
        <f>AI48/AI$106</f>
        <v>0</v>
      </c>
      <c r="AK48" s="54"/>
      <c r="AL48" s="53">
        <f>1426.5*1.2</f>
        <v>1711.8</v>
      </c>
      <c r="AM48" s="52"/>
      <c r="AN48" s="51">
        <f t="shared" si="109"/>
        <v>1711.8</v>
      </c>
      <c r="AO48" s="75">
        <f>AN48/AN$106</f>
        <v>4.7769161088762991E-5</v>
      </c>
      <c r="AP48" s="54"/>
      <c r="AQ48" s="53">
        <f>2704.05*1.2+841.5*1.2</f>
        <v>4254.66</v>
      </c>
      <c r="AR48" s="52"/>
      <c r="AS48" s="51">
        <f t="shared" si="110"/>
        <v>4254.66</v>
      </c>
      <c r="AT48" s="75">
        <f>AS48/AS$106</f>
        <v>1.1687472853173732E-4</v>
      </c>
      <c r="AU48" s="54"/>
      <c r="AV48" s="53">
        <f>6558.1*1.2+242*1.2</f>
        <v>8160.12</v>
      </c>
      <c r="AW48" s="52"/>
      <c r="AX48" s="51">
        <f t="shared" si="111"/>
        <v>8160.12</v>
      </c>
      <c r="AY48" s="75">
        <f>AX48/AX$106</f>
        <v>2.0634211656674555E-4</v>
      </c>
      <c r="AZ48" s="54"/>
      <c r="BA48" s="53"/>
      <c r="BB48" s="52"/>
      <c r="BC48" s="51">
        <f t="shared" si="112"/>
        <v>0</v>
      </c>
      <c r="BD48" s="75" t="e">
        <f>BC48/BC$106</f>
        <v>#DIV/0!</v>
      </c>
      <c r="BE48" s="54"/>
      <c r="BF48" s="53"/>
      <c r="BG48" s="52"/>
      <c r="BH48" s="51">
        <f t="shared" si="113"/>
        <v>0</v>
      </c>
      <c r="BI48" s="75" t="e">
        <f>BH48/BH$106</f>
        <v>#DIV/0!</v>
      </c>
      <c r="BJ48" s="54"/>
      <c r="BK48" s="53"/>
      <c r="BL48" s="52"/>
      <c r="BM48" s="51">
        <f t="shared" si="114"/>
        <v>0</v>
      </c>
      <c r="BN48" s="75" t="e">
        <f>BM48/BM$106</f>
        <v>#DIV/0!</v>
      </c>
      <c r="BO48" s="54"/>
      <c r="BP48" s="53"/>
      <c r="BQ48" s="52"/>
      <c r="BR48" s="51">
        <f t="shared" si="115"/>
        <v>0</v>
      </c>
      <c r="BS48" s="75" t="e">
        <f>BR48/BR$106</f>
        <v>#DIV/0!</v>
      </c>
      <c r="BT48" s="54"/>
      <c r="BU48" s="53"/>
      <c r="BV48" s="52"/>
      <c r="BW48" s="51">
        <f t="shared" si="116"/>
        <v>0</v>
      </c>
      <c r="BX48" s="75" t="e">
        <f>BW48/BW$106</f>
        <v>#DIV/0!</v>
      </c>
      <c r="BY48" s="54"/>
      <c r="BZ48" s="53"/>
      <c r="CA48" s="52"/>
      <c r="CB48" s="51">
        <f t="shared" si="117"/>
        <v>0</v>
      </c>
      <c r="CC48" s="75" t="e">
        <f>CB48/CB$106</f>
        <v>#DIV/0!</v>
      </c>
      <c r="CD48" s="54"/>
      <c r="CE48" s="52">
        <f t="shared" si="118"/>
        <v>86314.68</v>
      </c>
      <c r="CF48" s="52">
        <f t="shared" si="118"/>
        <v>0</v>
      </c>
      <c r="CG48" s="51">
        <f t="shared" si="119"/>
        <v>86314.68</v>
      </c>
      <c r="CH48" s="75">
        <f>CG48/$CG$106</f>
        <v>1.2384638983502078E-4</v>
      </c>
      <c r="CI48" s="88"/>
    </row>
    <row r="49" spans="1:89" s="57" customFormat="1" ht="24.6" customHeight="1" outlineLevel="2" thickBot="1" x14ac:dyDescent="0.25">
      <c r="A49" s="153"/>
      <c r="B49" s="89"/>
      <c r="C49" s="166"/>
      <c r="D49" s="167"/>
      <c r="E49" s="168"/>
      <c r="F49" s="169"/>
      <c r="G49" s="53"/>
      <c r="H49" s="52"/>
      <c r="I49" s="126"/>
      <c r="J49" s="75"/>
      <c r="K49" s="170"/>
      <c r="L49" s="53"/>
      <c r="M49" s="52"/>
      <c r="N49" s="126"/>
      <c r="O49" s="75"/>
      <c r="P49" s="170"/>
      <c r="Q49" s="53"/>
      <c r="R49" s="52"/>
      <c r="S49" s="126"/>
      <c r="T49" s="75"/>
      <c r="U49" s="170"/>
      <c r="V49" s="129"/>
      <c r="W49" s="53"/>
      <c r="X49" s="52"/>
      <c r="Y49" s="126"/>
      <c r="Z49" s="75"/>
      <c r="AA49" s="170"/>
      <c r="AB49" s="53"/>
      <c r="AC49" s="52"/>
      <c r="AD49" s="126"/>
      <c r="AE49" s="75"/>
      <c r="AF49" s="170"/>
      <c r="AG49" s="53"/>
      <c r="AH49" s="52"/>
      <c r="AI49" s="126"/>
      <c r="AJ49" s="75"/>
      <c r="AK49" s="170"/>
      <c r="AL49" s="53"/>
      <c r="AM49" s="52"/>
      <c r="AN49" s="126"/>
      <c r="AO49" s="75"/>
      <c r="AP49" s="170"/>
      <c r="AQ49" s="53"/>
      <c r="AR49" s="52"/>
      <c r="AS49" s="126"/>
      <c r="AT49" s="75"/>
      <c r="AU49" s="170"/>
      <c r="AV49" s="53"/>
      <c r="AW49" s="52"/>
      <c r="AX49" s="126"/>
      <c r="AY49" s="75"/>
      <c r="AZ49" s="170"/>
      <c r="BA49" s="53"/>
      <c r="BB49" s="52"/>
      <c r="BC49" s="126"/>
      <c r="BD49" s="75"/>
      <c r="BE49" s="170"/>
      <c r="BF49" s="53"/>
      <c r="BG49" s="52"/>
      <c r="BH49" s="126"/>
      <c r="BI49" s="75"/>
      <c r="BJ49" s="170"/>
      <c r="BK49" s="53"/>
      <c r="BL49" s="52"/>
      <c r="BM49" s="126"/>
      <c r="BN49" s="75"/>
      <c r="BO49" s="170"/>
      <c r="BP49" s="53"/>
      <c r="BQ49" s="52"/>
      <c r="BR49" s="126"/>
      <c r="BS49" s="75"/>
      <c r="BT49" s="170"/>
      <c r="BU49" s="53"/>
      <c r="BV49" s="52"/>
      <c r="BW49" s="126"/>
      <c r="BX49" s="75"/>
      <c r="BY49" s="170"/>
      <c r="BZ49" s="53"/>
      <c r="CA49" s="52"/>
      <c r="CB49" s="126"/>
      <c r="CC49" s="75"/>
      <c r="CD49" s="170"/>
      <c r="CE49" s="52"/>
      <c r="CF49" s="52"/>
      <c r="CG49" s="126"/>
      <c r="CH49" s="75">
        <f>CG49/$CG$106</f>
        <v>0</v>
      </c>
      <c r="CI49" s="126"/>
      <c r="CJ49" s="56"/>
      <c r="CK49" s="56"/>
    </row>
    <row r="50" spans="1:89" s="57" customFormat="1" ht="24.6" customHeight="1" outlineLevel="1" x14ac:dyDescent="0.2">
      <c r="A50" s="135"/>
      <c r="B50" s="171" t="s">
        <v>151</v>
      </c>
      <c r="C50" s="172">
        <f>SUM(C51:C52)</f>
        <v>0</v>
      </c>
      <c r="D50" s="172">
        <f>SUM(D51:D52)</f>
        <v>0</v>
      </c>
      <c r="E50" s="172">
        <f>SUM(E51:E52)</f>
        <v>0</v>
      </c>
      <c r="F50" s="173">
        <f>E50/$E$106</f>
        <v>0</v>
      </c>
      <c r="G50" s="172">
        <f>G52+G51</f>
        <v>0</v>
      </c>
      <c r="H50" s="172">
        <f>H52+H51</f>
        <v>0</v>
      </c>
      <c r="I50" s="172">
        <f>SUM(I51:I52)</f>
        <v>0</v>
      </c>
      <c r="J50" s="162">
        <f>I50/I$106</f>
        <v>0</v>
      </c>
      <c r="K50" s="174"/>
      <c r="L50" s="172">
        <f>L52+L51</f>
        <v>0</v>
      </c>
      <c r="M50" s="172">
        <f>M52+M51</f>
        <v>0</v>
      </c>
      <c r="N50" s="172">
        <f>SUM(N51:N52)</f>
        <v>0</v>
      </c>
      <c r="O50" s="162">
        <f>N50/N$106</f>
        <v>0</v>
      </c>
      <c r="P50" s="174"/>
      <c r="Q50" s="172">
        <f>Q52+Q51</f>
        <v>0</v>
      </c>
      <c r="R50" s="172">
        <f>R52+R51</f>
        <v>0</v>
      </c>
      <c r="S50" s="172">
        <f>SUM(S51:S52)</f>
        <v>0</v>
      </c>
      <c r="T50" s="162">
        <f>S50/S$106</f>
        <v>0</v>
      </c>
      <c r="U50" s="174"/>
      <c r="V50" s="175"/>
      <c r="W50" s="172">
        <f t="shared" ref="W50:X50" si="120">W52+W51</f>
        <v>0</v>
      </c>
      <c r="X50" s="172">
        <f t="shared" si="120"/>
        <v>0</v>
      </c>
      <c r="Y50" s="172">
        <f t="shared" ref="Y50" si="121">SUM(Y51:Y52)</f>
        <v>0</v>
      </c>
      <c r="Z50" s="162">
        <f>Y50/Y$106</f>
        <v>0</v>
      </c>
      <c r="AA50" s="174"/>
      <c r="AB50" s="172">
        <f t="shared" ref="AB50:AC50" si="122">AB52+AB51</f>
        <v>0</v>
      </c>
      <c r="AC50" s="172">
        <f t="shared" si="122"/>
        <v>0</v>
      </c>
      <c r="AD50" s="172">
        <f t="shared" ref="AD50" si="123">SUM(AD51:AD52)</f>
        <v>0</v>
      </c>
      <c r="AE50" s="162">
        <f>AD50/AD$106</f>
        <v>0</v>
      </c>
      <c r="AF50" s="174"/>
      <c r="AG50" s="172">
        <f t="shared" ref="AG50:AH50" si="124">AG52+AG51</f>
        <v>0</v>
      </c>
      <c r="AH50" s="172">
        <f t="shared" si="124"/>
        <v>0</v>
      </c>
      <c r="AI50" s="172">
        <f t="shared" ref="AI50" si="125">SUM(AI51:AI52)</f>
        <v>0</v>
      </c>
      <c r="AJ50" s="162">
        <f>AI50/AI$106</f>
        <v>0</v>
      </c>
      <c r="AK50" s="174"/>
      <c r="AL50" s="172">
        <f t="shared" ref="AL50:AM50" si="126">AL52+AL51</f>
        <v>0</v>
      </c>
      <c r="AM50" s="172">
        <f t="shared" si="126"/>
        <v>0</v>
      </c>
      <c r="AN50" s="172">
        <f t="shared" ref="AN50" si="127">SUM(AN51:AN52)</f>
        <v>0</v>
      </c>
      <c r="AO50" s="162">
        <f>AN50/AN$106</f>
        <v>0</v>
      </c>
      <c r="AP50" s="174"/>
      <c r="AQ50" s="172">
        <f t="shared" ref="AQ50:AR50" si="128">AQ52+AQ51</f>
        <v>0</v>
      </c>
      <c r="AR50" s="172">
        <f t="shared" si="128"/>
        <v>0</v>
      </c>
      <c r="AS50" s="172">
        <f t="shared" ref="AS50" si="129">SUM(AS51:AS52)</f>
        <v>0</v>
      </c>
      <c r="AT50" s="162">
        <f>AS50/AS$106</f>
        <v>0</v>
      </c>
      <c r="AU50" s="174"/>
      <c r="AV50" s="172">
        <f t="shared" ref="AV50:AW50" si="130">AV52+AV51</f>
        <v>0</v>
      </c>
      <c r="AW50" s="172">
        <f t="shared" si="130"/>
        <v>0</v>
      </c>
      <c r="AX50" s="172">
        <f t="shared" ref="AX50" si="131">SUM(AX51:AX52)</f>
        <v>0</v>
      </c>
      <c r="AY50" s="162">
        <f>AX50/AX$106</f>
        <v>0</v>
      </c>
      <c r="AZ50" s="174"/>
      <c r="BA50" s="172">
        <f t="shared" ref="BA50:BB50" si="132">BA52+BA51</f>
        <v>0</v>
      </c>
      <c r="BB50" s="172">
        <f t="shared" si="132"/>
        <v>0</v>
      </c>
      <c r="BC50" s="172">
        <f t="shared" ref="BC50" si="133">SUM(BC51:BC52)</f>
        <v>0</v>
      </c>
      <c r="BD50" s="162" t="e">
        <f>BC50/BC$106</f>
        <v>#DIV/0!</v>
      </c>
      <c r="BE50" s="174"/>
      <c r="BF50" s="172">
        <f t="shared" ref="BF50:BG50" si="134">BF52+BF51</f>
        <v>0</v>
      </c>
      <c r="BG50" s="172">
        <f t="shared" si="134"/>
        <v>0</v>
      </c>
      <c r="BH50" s="172">
        <f t="shared" ref="BH50" si="135">SUM(BH51:BH52)</f>
        <v>0</v>
      </c>
      <c r="BI50" s="162" t="e">
        <f>BH50/BH$106</f>
        <v>#DIV/0!</v>
      </c>
      <c r="BJ50" s="174"/>
      <c r="BK50" s="172">
        <f t="shared" ref="BK50:BL50" si="136">BK52+BK51</f>
        <v>0</v>
      </c>
      <c r="BL50" s="172">
        <f t="shared" si="136"/>
        <v>0</v>
      </c>
      <c r="BM50" s="172">
        <f t="shared" ref="BM50" si="137">SUM(BM51:BM52)</f>
        <v>0</v>
      </c>
      <c r="BN50" s="162" t="e">
        <f>BM50/BM$106</f>
        <v>#DIV/0!</v>
      </c>
      <c r="BO50" s="174"/>
      <c r="BP50" s="172">
        <f t="shared" ref="BP50:BQ50" si="138">BP52+BP51</f>
        <v>0</v>
      </c>
      <c r="BQ50" s="172">
        <f t="shared" si="138"/>
        <v>0</v>
      </c>
      <c r="BR50" s="172">
        <f t="shared" ref="BR50" si="139">SUM(BR51:BR52)</f>
        <v>0</v>
      </c>
      <c r="BS50" s="162" t="e">
        <f>BR50/BR$106</f>
        <v>#DIV/0!</v>
      </c>
      <c r="BT50" s="174"/>
      <c r="BU50" s="172">
        <f>BU52+BU51</f>
        <v>0</v>
      </c>
      <c r="BV50" s="172">
        <f>BV52+BV51</f>
        <v>0</v>
      </c>
      <c r="BW50" s="172">
        <f>SUM(BW51:BW52)</f>
        <v>0</v>
      </c>
      <c r="BX50" s="162" t="e">
        <f>BW50/BW$106</f>
        <v>#DIV/0!</v>
      </c>
      <c r="BY50" s="174"/>
      <c r="BZ50" s="172">
        <f>BZ52+BZ51</f>
        <v>0</v>
      </c>
      <c r="CA50" s="172">
        <f>CA52+CA51</f>
        <v>0</v>
      </c>
      <c r="CB50" s="172">
        <f>SUM(CB51:CB52)</f>
        <v>0</v>
      </c>
      <c r="CC50" s="162" t="e">
        <f>CB50/CB$106</f>
        <v>#DIV/0!</v>
      </c>
      <c r="CD50" s="174"/>
      <c r="CE50" s="172">
        <f>CE52+CE51</f>
        <v>0</v>
      </c>
      <c r="CF50" s="172">
        <f>CF52+CF51</f>
        <v>0</v>
      </c>
      <c r="CG50" s="172">
        <f>SUM(CG51:CG52)</f>
        <v>0</v>
      </c>
      <c r="CH50" s="162"/>
      <c r="CI50" s="162"/>
      <c r="CJ50" s="56"/>
      <c r="CK50" s="56"/>
    </row>
    <row r="51" spans="1:89" s="57" customFormat="1" ht="24.6" customHeight="1" outlineLevel="1" x14ac:dyDescent="0.2">
      <c r="A51" s="176"/>
      <c r="B51" s="84" t="s">
        <v>152</v>
      </c>
      <c r="C51" s="85"/>
      <c r="D51" s="164"/>
      <c r="E51" s="72">
        <f>C51+D51</f>
        <v>0</v>
      </c>
      <c r="F51" s="120">
        <f>E51/$E$106</f>
        <v>0</v>
      </c>
      <c r="G51" s="53">
        <v>0</v>
      </c>
      <c r="H51" s="52">
        <v>0</v>
      </c>
      <c r="I51" s="51">
        <f>G51+H51*1</f>
        <v>0</v>
      </c>
      <c r="J51" s="75">
        <f>I51/I$106</f>
        <v>0</v>
      </c>
      <c r="K51" s="177"/>
      <c r="L51" s="53">
        <v>0</v>
      </c>
      <c r="M51" s="52">
        <v>0</v>
      </c>
      <c r="N51" s="51">
        <f>L51+M51*1</f>
        <v>0</v>
      </c>
      <c r="O51" s="75">
        <f>N51/N$106</f>
        <v>0</v>
      </c>
      <c r="P51" s="177"/>
      <c r="Q51" s="53">
        <f>W51+AB51+AG51+AL51+AQ51+AV51+BA51+BF51+BK51+BP51+BU51+BZ51</f>
        <v>0</v>
      </c>
      <c r="R51" s="52">
        <f>X51+AC51+AH51+AM51+AR51+AW51+BB51+BG51+BL51+BQ51+BV51+CA51</f>
        <v>0</v>
      </c>
      <c r="S51" s="51">
        <f>Q51+R51*1</f>
        <v>0</v>
      </c>
      <c r="T51" s="75">
        <f>S51/S$106</f>
        <v>0</v>
      </c>
      <c r="U51" s="177"/>
      <c r="V51" s="178"/>
      <c r="W51" s="53"/>
      <c r="X51" s="52"/>
      <c r="Y51" s="51">
        <f t="shared" ref="Y51:Y52" si="140">W51+X51*1</f>
        <v>0</v>
      </c>
      <c r="Z51" s="75">
        <f>Y51/Y$106</f>
        <v>0</v>
      </c>
      <c r="AA51" s="177"/>
      <c r="AB51" s="53"/>
      <c r="AC51" s="52"/>
      <c r="AD51" s="51">
        <f t="shared" ref="AD51:AD52" si="141">AB51+AC51*1</f>
        <v>0</v>
      </c>
      <c r="AE51" s="75">
        <f>AD51/AD$106</f>
        <v>0</v>
      </c>
      <c r="AF51" s="177"/>
      <c r="AG51" s="53"/>
      <c r="AH51" s="52"/>
      <c r="AI51" s="51">
        <f t="shared" ref="AI51:AI52" si="142">AG51+AH51*1</f>
        <v>0</v>
      </c>
      <c r="AJ51" s="75">
        <f>AI51/AI$106</f>
        <v>0</v>
      </c>
      <c r="AK51" s="177"/>
      <c r="AL51" s="53"/>
      <c r="AM51" s="52"/>
      <c r="AN51" s="51">
        <f t="shared" ref="AN51:AN52" si="143">AL51+AM51*1</f>
        <v>0</v>
      </c>
      <c r="AO51" s="75">
        <f>AN51/AN$106</f>
        <v>0</v>
      </c>
      <c r="AP51" s="177"/>
      <c r="AQ51" s="53"/>
      <c r="AR51" s="52"/>
      <c r="AS51" s="51">
        <f t="shared" ref="AS51:AS52" si="144">AQ51+AR51*1</f>
        <v>0</v>
      </c>
      <c r="AT51" s="75">
        <f>AS51/AS$106</f>
        <v>0</v>
      </c>
      <c r="AU51" s="177"/>
      <c r="AV51" s="53"/>
      <c r="AW51" s="52"/>
      <c r="AX51" s="51">
        <f t="shared" ref="AX51:AX52" si="145">AV51+AW51*1</f>
        <v>0</v>
      </c>
      <c r="AY51" s="75">
        <f>AX51/AX$106</f>
        <v>0</v>
      </c>
      <c r="AZ51" s="177"/>
      <c r="BA51" s="53"/>
      <c r="BB51" s="52"/>
      <c r="BC51" s="51">
        <f t="shared" ref="BC51:BC52" si="146">BA51+BB51*1</f>
        <v>0</v>
      </c>
      <c r="BD51" s="75" t="e">
        <f>BC51/BC$106</f>
        <v>#DIV/0!</v>
      </c>
      <c r="BE51" s="177"/>
      <c r="BF51" s="53"/>
      <c r="BG51" s="52"/>
      <c r="BH51" s="51">
        <f t="shared" ref="BH51:BH52" si="147">BF51+BG51*1</f>
        <v>0</v>
      </c>
      <c r="BI51" s="75" t="e">
        <f>BH51/BH$106</f>
        <v>#DIV/0!</v>
      </c>
      <c r="BJ51" s="177"/>
      <c r="BK51" s="53"/>
      <c r="BL51" s="52"/>
      <c r="BM51" s="51">
        <f t="shared" ref="BM51:BM52" si="148">BK51+BL51*1</f>
        <v>0</v>
      </c>
      <c r="BN51" s="75" t="e">
        <f>BM51/BM$106</f>
        <v>#DIV/0!</v>
      </c>
      <c r="BO51" s="177"/>
      <c r="BP51" s="53"/>
      <c r="BQ51" s="52"/>
      <c r="BR51" s="51">
        <f t="shared" ref="BR51:BR52" si="149">BP51+BQ51*1</f>
        <v>0</v>
      </c>
      <c r="BS51" s="75" t="e">
        <f>BR51/BR$106</f>
        <v>#DIV/0!</v>
      </c>
      <c r="BT51" s="177"/>
      <c r="BU51" s="53"/>
      <c r="BV51" s="52"/>
      <c r="BW51" s="51">
        <f>BU51+BV51*1</f>
        <v>0</v>
      </c>
      <c r="BX51" s="75" t="e">
        <f>BW51/BW$106</f>
        <v>#DIV/0!</v>
      </c>
      <c r="BY51" s="177"/>
      <c r="BZ51" s="53"/>
      <c r="CA51" s="52"/>
      <c r="CB51" s="51">
        <f>BZ51+CA51*1</f>
        <v>0</v>
      </c>
      <c r="CC51" s="75" t="e">
        <f>CB51/CB$106</f>
        <v>#DIV/0!</v>
      </c>
      <c r="CD51" s="177"/>
      <c r="CE51" s="52">
        <f t="shared" ref="CE51:CF52" si="150">G51+Q51+L51</f>
        <v>0</v>
      </c>
      <c r="CF51" s="52">
        <f t="shared" si="150"/>
        <v>0</v>
      </c>
      <c r="CG51" s="51">
        <f>CE51+CF51*1</f>
        <v>0</v>
      </c>
      <c r="CH51" s="75">
        <f>CG51/$CG$106</f>
        <v>0</v>
      </c>
      <c r="CI51" s="121"/>
      <c r="CJ51" s="56"/>
      <c r="CK51" s="56"/>
    </row>
    <row r="52" spans="1:89" ht="24.6" customHeight="1" outlineLevel="2" x14ac:dyDescent="0.2">
      <c r="A52" s="176"/>
      <c r="B52" s="84" t="s">
        <v>153</v>
      </c>
      <c r="C52" s="85"/>
      <c r="D52" s="164"/>
      <c r="E52" s="72">
        <f>C52+D52</f>
        <v>0</v>
      </c>
      <c r="F52" s="120">
        <f>E52/$E$106</f>
        <v>0</v>
      </c>
      <c r="G52" s="53">
        <v>0</v>
      </c>
      <c r="H52" s="52">
        <v>0</v>
      </c>
      <c r="I52" s="51">
        <f>G52+H52*1</f>
        <v>0</v>
      </c>
      <c r="J52" s="75">
        <f>I52/I$106</f>
        <v>0</v>
      </c>
      <c r="K52" s="54"/>
      <c r="L52" s="53">
        <v>0</v>
      </c>
      <c r="M52" s="52">
        <v>0</v>
      </c>
      <c r="N52" s="51">
        <f>L52+M52*1</f>
        <v>0</v>
      </c>
      <c r="O52" s="75">
        <f>N52/N$106</f>
        <v>0</v>
      </c>
      <c r="P52" s="54"/>
      <c r="Q52" s="53">
        <f>W52+AB52+AG52+AL52+AQ52+AV52+BA52+BF52+BK52+BP52+BU52+BZ52</f>
        <v>0</v>
      </c>
      <c r="R52" s="52">
        <f>X52+AC52+AH52+AM52+AR52+AW52+BB52+BG52+BL52+BQ52+BV52+CA52</f>
        <v>0</v>
      </c>
      <c r="S52" s="51">
        <f>Q52+R52*1</f>
        <v>0</v>
      </c>
      <c r="T52" s="75">
        <f>S52/S$106</f>
        <v>0</v>
      </c>
      <c r="U52" s="54"/>
      <c r="V52" s="178"/>
      <c r="W52" s="53"/>
      <c r="X52" s="52"/>
      <c r="Y52" s="51">
        <f t="shared" si="140"/>
        <v>0</v>
      </c>
      <c r="Z52" s="75">
        <f>Y52/Y$106</f>
        <v>0</v>
      </c>
      <c r="AA52" s="54"/>
      <c r="AB52" s="53"/>
      <c r="AC52" s="52"/>
      <c r="AD52" s="51">
        <f t="shared" si="141"/>
        <v>0</v>
      </c>
      <c r="AE52" s="75">
        <f>AD52/AD$106</f>
        <v>0</v>
      </c>
      <c r="AF52" s="54"/>
      <c r="AG52" s="53"/>
      <c r="AH52" s="52"/>
      <c r="AI52" s="51">
        <f t="shared" si="142"/>
        <v>0</v>
      </c>
      <c r="AJ52" s="75">
        <f>AI52/AI$106</f>
        <v>0</v>
      </c>
      <c r="AK52" s="54"/>
      <c r="AL52" s="53"/>
      <c r="AM52" s="52"/>
      <c r="AN52" s="51">
        <f t="shared" si="143"/>
        <v>0</v>
      </c>
      <c r="AO52" s="75">
        <f>AN52/AN$106</f>
        <v>0</v>
      </c>
      <c r="AP52" s="54"/>
      <c r="AQ52" s="53"/>
      <c r="AR52" s="52"/>
      <c r="AS52" s="51">
        <f t="shared" si="144"/>
        <v>0</v>
      </c>
      <c r="AT52" s="75">
        <f>AS52/AS$106</f>
        <v>0</v>
      </c>
      <c r="AU52" s="54"/>
      <c r="AV52" s="53"/>
      <c r="AW52" s="52"/>
      <c r="AX52" s="51">
        <f t="shared" si="145"/>
        <v>0</v>
      </c>
      <c r="AY52" s="75">
        <f>AX52/AX$106</f>
        <v>0</v>
      </c>
      <c r="AZ52" s="54"/>
      <c r="BA52" s="53"/>
      <c r="BB52" s="52"/>
      <c r="BC52" s="51">
        <f t="shared" si="146"/>
        <v>0</v>
      </c>
      <c r="BD52" s="75" t="e">
        <f>BC52/BC$106</f>
        <v>#DIV/0!</v>
      </c>
      <c r="BE52" s="54"/>
      <c r="BF52" s="53"/>
      <c r="BG52" s="52"/>
      <c r="BH52" s="51">
        <f t="shared" si="147"/>
        <v>0</v>
      </c>
      <c r="BI52" s="75" t="e">
        <f>BH52/BH$106</f>
        <v>#DIV/0!</v>
      </c>
      <c r="BJ52" s="54"/>
      <c r="BK52" s="53"/>
      <c r="BL52" s="52"/>
      <c r="BM52" s="51">
        <f t="shared" si="148"/>
        <v>0</v>
      </c>
      <c r="BN52" s="75" t="e">
        <f>BM52/BM$106</f>
        <v>#DIV/0!</v>
      </c>
      <c r="BO52" s="54"/>
      <c r="BP52" s="53"/>
      <c r="BQ52" s="52"/>
      <c r="BR52" s="51">
        <f t="shared" si="149"/>
        <v>0</v>
      </c>
      <c r="BS52" s="75" t="e">
        <f>BR52/BR$106</f>
        <v>#DIV/0!</v>
      </c>
      <c r="BT52" s="54"/>
      <c r="BU52" s="53"/>
      <c r="BV52" s="52"/>
      <c r="BW52" s="51">
        <f>BU52+BV52*1</f>
        <v>0</v>
      </c>
      <c r="BX52" s="75" t="e">
        <f>BW52/BW$106</f>
        <v>#DIV/0!</v>
      </c>
      <c r="BY52" s="54"/>
      <c r="BZ52" s="53"/>
      <c r="CA52" s="52"/>
      <c r="CB52" s="51">
        <f>BZ52+CA52*1</f>
        <v>0</v>
      </c>
      <c r="CC52" s="75" t="e">
        <f>CB52/CB$106</f>
        <v>#DIV/0!</v>
      </c>
      <c r="CD52" s="54"/>
      <c r="CE52" s="52">
        <f t="shared" si="150"/>
        <v>0</v>
      </c>
      <c r="CF52" s="52">
        <f t="shared" si="150"/>
        <v>0</v>
      </c>
      <c r="CG52" s="51">
        <f>CE52+CF52*1</f>
        <v>0</v>
      </c>
      <c r="CH52" s="75">
        <f>CG52/$CG$106</f>
        <v>0</v>
      </c>
      <c r="CI52" s="121"/>
    </row>
    <row r="53" spans="1:89" ht="24.6" customHeight="1" outlineLevel="1" thickBot="1" x14ac:dyDescent="0.25">
      <c r="A53" s="179"/>
      <c r="B53" s="91"/>
      <c r="C53" s="180"/>
      <c r="D53" s="181"/>
      <c r="E53" s="182"/>
      <c r="F53" s="183"/>
      <c r="G53" s="53"/>
      <c r="H53" s="52"/>
      <c r="I53" s="184"/>
      <c r="J53" s="184"/>
      <c r="K53" s="185"/>
      <c r="L53" s="53"/>
      <c r="M53" s="52"/>
      <c r="N53" s="184"/>
      <c r="O53" s="184"/>
      <c r="P53" s="185"/>
      <c r="Q53" s="53"/>
      <c r="R53" s="52"/>
      <c r="S53" s="184"/>
      <c r="T53" s="184"/>
      <c r="U53" s="185"/>
      <c r="V53" s="186"/>
      <c r="W53" s="53"/>
      <c r="X53" s="52"/>
      <c r="Y53" s="184"/>
      <c r="Z53" s="184"/>
      <c r="AA53" s="185"/>
      <c r="AB53" s="53"/>
      <c r="AC53" s="52"/>
      <c r="AD53" s="184"/>
      <c r="AE53" s="184"/>
      <c r="AF53" s="185"/>
      <c r="AG53" s="53"/>
      <c r="AH53" s="52"/>
      <c r="AI53" s="184"/>
      <c r="AJ53" s="184"/>
      <c r="AK53" s="185"/>
      <c r="AL53" s="53"/>
      <c r="AM53" s="52"/>
      <c r="AN53" s="184"/>
      <c r="AO53" s="184"/>
      <c r="AP53" s="185"/>
      <c r="AQ53" s="53"/>
      <c r="AR53" s="52"/>
      <c r="AS53" s="184"/>
      <c r="AT53" s="184"/>
      <c r="AU53" s="185"/>
      <c r="AV53" s="53"/>
      <c r="AW53" s="52"/>
      <c r="AX53" s="184"/>
      <c r="AY53" s="184"/>
      <c r="AZ53" s="185"/>
      <c r="BA53" s="53"/>
      <c r="BB53" s="52"/>
      <c r="BC53" s="184"/>
      <c r="BD53" s="184"/>
      <c r="BE53" s="185"/>
      <c r="BF53" s="53"/>
      <c r="BG53" s="52"/>
      <c r="BH53" s="184"/>
      <c r="BI53" s="184"/>
      <c r="BJ53" s="185"/>
      <c r="BK53" s="53"/>
      <c r="BL53" s="52"/>
      <c r="BM53" s="184"/>
      <c r="BN53" s="184"/>
      <c r="BO53" s="185"/>
      <c r="BP53" s="53"/>
      <c r="BQ53" s="52"/>
      <c r="BR53" s="184"/>
      <c r="BS53" s="184"/>
      <c r="BT53" s="185"/>
      <c r="BU53" s="53"/>
      <c r="BV53" s="52"/>
      <c r="BW53" s="184"/>
      <c r="BX53" s="184"/>
      <c r="BY53" s="185"/>
      <c r="BZ53" s="53"/>
      <c r="CA53" s="52"/>
      <c r="CB53" s="184"/>
      <c r="CC53" s="184"/>
      <c r="CD53" s="185"/>
      <c r="CE53" s="52"/>
      <c r="CF53" s="52"/>
      <c r="CG53" s="184"/>
      <c r="CH53" s="184"/>
      <c r="CI53" s="184"/>
    </row>
    <row r="54" spans="1:89" ht="24.6" customHeight="1" outlineLevel="1" x14ac:dyDescent="0.2">
      <c r="A54" s="187"/>
      <c r="B54" s="171" t="s">
        <v>154</v>
      </c>
      <c r="C54" s="172">
        <f>SUM(C55:C71)</f>
        <v>0</v>
      </c>
      <c r="D54" s="172">
        <f>SUM(D55:D71)</f>
        <v>0</v>
      </c>
      <c r="E54" s="188">
        <f>SUM(E55:E71)</f>
        <v>0</v>
      </c>
      <c r="F54" s="173">
        <f>E54/$E$106</f>
        <v>0</v>
      </c>
      <c r="G54" s="172">
        <f>SUM(G55:G72)</f>
        <v>495126.64147540985</v>
      </c>
      <c r="H54" s="172">
        <f>SUM(H55:H72)</f>
        <v>321849</v>
      </c>
      <c r="I54" s="172">
        <f>SUM(I55:I72)</f>
        <v>816975.64147540973</v>
      </c>
      <c r="J54" s="175">
        <f>I54/I$106</f>
        <v>1.6491063869469948E-2</v>
      </c>
      <c r="K54" s="174"/>
      <c r="L54" s="172">
        <f>SUM(L55:L72)</f>
        <v>3060669.7582191783</v>
      </c>
      <c r="M54" s="172">
        <f>SUM(M55:M72)</f>
        <v>2371442</v>
      </c>
      <c r="N54" s="172">
        <f>SUM(N55:N72)</f>
        <v>5432111.7582191769</v>
      </c>
      <c r="O54" s="175">
        <f>N54/N$106</f>
        <v>1.274893124171411E-2</v>
      </c>
      <c r="P54" s="174"/>
      <c r="Q54" s="172">
        <f>SUM(Q55:Q72)</f>
        <v>1683768.6499999997</v>
      </c>
      <c r="R54" s="172">
        <f>SUM(R55:R72)</f>
        <v>1660241</v>
      </c>
      <c r="S54" s="172">
        <f>SUM(S55:S72)</f>
        <v>3344009.65</v>
      </c>
      <c r="T54" s="175">
        <f>S54/S$106</f>
        <v>1.5109025614160235E-2</v>
      </c>
      <c r="U54" s="174"/>
      <c r="V54" s="175"/>
      <c r="W54" s="172">
        <f t="shared" ref="W54:Y54" si="151">SUM(W55:W72)</f>
        <v>283459.58</v>
      </c>
      <c r="X54" s="172">
        <f t="shared" si="151"/>
        <v>259625</v>
      </c>
      <c r="Y54" s="188">
        <f t="shared" si="151"/>
        <v>543084.57999999996</v>
      </c>
      <c r="Z54" s="157">
        <f>Y54/Y$106</f>
        <v>1.4381366351280452E-2</v>
      </c>
      <c r="AA54" s="174"/>
      <c r="AB54" s="172">
        <f t="shared" ref="AB54:AD54" si="152">SUM(AB55:AB72)</f>
        <v>285383.05</v>
      </c>
      <c r="AC54" s="172">
        <f t="shared" si="152"/>
        <v>300565</v>
      </c>
      <c r="AD54" s="188">
        <f t="shared" si="152"/>
        <v>585948.04999999993</v>
      </c>
      <c r="AE54" s="157">
        <f>AD54/AD$106</f>
        <v>1.7764364784248619E-2</v>
      </c>
      <c r="AF54" s="174"/>
      <c r="AG54" s="172">
        <f t="shared" ref="AG54:AI54" si="153">SUM(AG55:AG72)</f>
        <v>302405.18</v>
      </c>
      <c r="AH54" s="172">
        <f t="shared" si="153"/>
        <v>261297</v>
      </c>
      <c r="AI54" s="188">
        <f t="shared" si="153"/>
        <v>563702.17999999993</v>
      </c>
      <c r="AJ54" s="157">
        <f>AI54/AI$106</f>
        <v>1.4531109951174652E-2</v>
      </c>
      <c r="AK54" s="174"/>
      <c r="AL54" s="172">
        <f t="shared" ref="AL54:AN54" si="154">SUM(AL55:AL72)</f>
        <v>257115.72</v>
      </c>
      <c r="AM54" s="172">
        <f t="shared" si="154"/>
        <v>284463</v>
      </c>
      <c r="AN54" s="188">
        <f t="shared" si="154"/>
        <v>541578.72</v>
      </c>
      <c r="AO54" s="157">
        <f>AN54/AN$106</f>
        <v>1.5113191446387468E-2</v>
      </c>
      <c r="AP54" s="174"/>
      <c r="AQ54" s="172">
        <f t="shared" ref="AQ54:AS54" si="155">SUM(AQ55:AQ72)</f>
        <v>248150.71</v>
      </c>
      <c r="AR54" s="172">
        <f t="shared" si="155"/>
        <v>273760</v>
      </c>
      <c r="AS54" s="188">
        <f t="shared" si="155"/>
        <v>521910.71</v>
      </c>
      <c r="AT54" s="157">
        <f>AS54/AS$106</f>
        <v>1.4336791318003386E-2</v>
      </c>
      <c r="AU54" s="174"/>
      <c r="AV54" s="172">
        <f t="shared" ref="AV54:AX54" si="156">SUM(AV55:AV72)</f>
        <v>307254.40999999997</v>
      </c>
      <c r="AW54" s="172">
        <f t="shared" si="156"/>
        <v>280531</v>
      </c>
      <c r="AX54" s="188">
        <f t="shared" si="156"/>
        <v>587785.40999999992</v>
      </c>
      <c r="AY54" s="157">
        <f>AX54/AX$106</f>
        <v>1.4863125246497882E-2</v>
      </c>
      <c r="AZ54" s="174"/>
      <c r="BA54" s="172">
        <f t="shared" ref="BA54:BC54" si="157">SUM(BA55:BA72)</f>
        <v>0</v>
      </c>
      <c r="BB54" s="172">
        <f t="shared" si="157"/>
        <v>0</v>
      </c>
      <c r="BC54" s="188">
        <f t="shared" si="157"/>
        <v>0</v>
      </c>
      <c r="BD54" s="157" t="e">
        <f>BC54/BC$106</f>
        <v>#DIV/0!</v>
      </c>
      <c r="BE54" s="174"/>
      <c r="BF54" s="172">
        <f t="shared" ref="BF54:BH54" si="158">SUM(BF55:BF72)</f>
        <v>0</v>
      </c>
      <c r="BG54" s="172">
        <f t="shared" si="158"/>
        <v>0</v>
      </c>
      <c r="BH54" s="188">
        <f t="shared" si="158"/>
        <v>0</v>
      </c>
      <c r="BI54" s="157" t="e">
        <f>BH54/BH$106</f>
        <v>#DIV/0!</v>
      </c>
      <c r="BJ54" s="174"/>
      <c r="BK54" s="172">
        <f t="shared" ref="BK54:BM54" si="159">SUM(BK55:BK72)</f>
        <v>0</v>
      </c>
      <c r="BL54" s="172">
        <f t="shared" si="159"/>
        <v>0</v>
      </c>
      <c r="BM54" s="188">
        <f t="shared" si="159"/>
        <v>0</v>
      </c>
      <c r="BN54" s="157" t="e">
        <f>BM54/BM$106</f>
        <v>#DIV/0!</v>
      </c>
      <c r="BO54" s="174"/>
      <c r="BP54" s="172">
        <f t="shared" ref="BP54:BR54" si="160">SUM(BP55:BP72)</f>
        <v>0</v>
      </c>
      <c r="BQ54" s="172">
        <f t="shared" si="160"/>
        <v>0</v>
      </c>
      <c r="BR54" s="188">
        <f t="shared" si="160"/>
        <v>0</v>
      </c>
      <c r="BS54" s="157" t="e">
        <f>BR54/BR$106</f>
        <v>#DIV/0!</v>
      </c>
      <c r="BT54" s="174"/>
      <c r="BU54" s="172">
        <f>SUM(BU55:BU72)</f>
        <v>0</v>
      </c>
      <c r="BV54" s="172">
        <f>SUM(BV55:BV72)</f>
        <v>0</v>
      </c>
      <c r="BW54" s="188">
        <f>SUM(BW55:BW72)</f>
        <v>0</v>
      </c>
      <c r="BX54" s="157" t="e">
        <f>BW54/BW$106</f>
        <v>#DIV/0!</v>
      </c>
      <c r="BY54" s="174"/>
      <c r="BZ54" s="172">
        <f>SUM(BZ55:BZ72)</f>
        <v>0</v>
      </c>
      <c r="CA54" s="172">
        <f>SUM(CA55:CA72)</f>
        <v>0</v>
      </c>
      <c r="CB54" s="188">
        <f>SUM(CB55:CB72)</f>
        <v>0</v>
      </c>
      <c r="CC54" s="157" t="e">
        <f>CB54/CB$106</f>
        <v>#DIV/0!</v>
      </c>
      <c r="CD54" s="174"/>
      <c r="CE54" s="172">
        <f>SUM(CE55:CE72)</f>
        <v>5239565.0496945884</v>
      </c>
      <c r="CF54" s="172">
        <f>SUM(CF55:CF72)</f>
        <v>4353532</v>
      </c>
      <c r="CG54" s="172">
        <f>SUM(CG55:CG72)</f>
        <v>9593097.0496945865</v>
      </c>
      <c r="CH54" s="157">
        <f>CG54/$CG$106</f>
        <v>1.3764407594880309E-2</v>
      </c>
      <c r="CI54" s="162"/>
    </row>
    <row r="55" spans="1:89" ht="24.6" customHeight="1" outlineLevel="2" x14ac:dyDescent="0.2">
      <c r="A55" s="47"/>
      <c r="B55" s="117" t="s">
        <v>155</v>
      </c>
      <c r="C55" s="85"/>
      <c r="D55" s="189"/>
      <c r="E55" s="72">
        <f>C55+D55</f>
        <v>0</v>
      </c>
      <c r="F55" s="75">
        <f>E55/$E$106</f>
        <v>0</v>
      </c>
      <c r="G55" s="50">
        <v>60246.68</v>
      </c>
      <c r="H55" s="74">
        <v>159800</v>
      </c>
      <c r="I55" s="51">
        <f t="shared" ref="I55:I71" si="161">G55+H55*1</f>
        <v>220046.68</v>
      </c>
      <c r="J55" s="75">
        <f>I55/I$106</f>
        <v>4.4417528135739888E-3</v>
      </c>
      <c r="K55" s="54"/>
      <c r="L55" s="50">
        <v>541442.37</v>
      </c>
      <c r="M55" s="74">
        <v>878500</v>
      </c>
      <c r="N55" s="51">
        <f t="shared" ref="N55:N71" si="162">L55+M55*1</f>
        <v>1419942.37</v>
      </c>
      <c r="O55" s="75">
        <f>N55/N$106</f>
        <v>3.3325432995622403E-3</v>
      </c>
      <c r="P55" s="54"/>
      <c r="Q55" s="50">
        <f t="shared" ref="Q55:R71" si="163">W55+AB55+AG55+AL55+AQ55+AV55+BA55+BF55+BK55+BP55+BU55+BZ55</f>
        <v>420961.47</v>
      </c>
      <c r="R55" s="74">
        <f t="shared" si="163"/>
        <v>565900</v>
      </c>
      <c r="S55" s="51">
        <f t="shared" ref="S55:S71" si="164">Q55+R55*1</f>
        <v>986861.47</v>
      </c>
      <c r="T55" s="75">
        <f>S55/S$106</f>
        <v>4.4588732654697403E-3</v>
      </c>
      <c r="U55" s="54"/>
      <c r="V55" s="82"/>
      <c r="W55" s="50">
        <v>58905</v>
      </c>
      <c r="X55" s="74">
        <v>78800</v>
      </c>
      <c r="Y55" s="51">
        <f t="shared" ref="Y55:Y71" si="165">W55+X55*1</f>
        <v>137705</v>
      </c>
      <c r="Z55" s="75">
        <f>Y55/Y$106</f>
        <v>3.6465518012002381E-3</v>
      </c>
      <c r="AA55" s="54" t="s">
        <v>156</v>
      </c>
      <c r="AB55" s="50">
        <v>87105.99</v>
      </c>
      <c r="AC55" s="74">
        <f>109000-16100</f>
        <v>92900</v>
      </c>
      <c r="AD55" s="51">
        <f t="shared" ref="AD55:AD71" si="166">AB55+AC55*1</f>
        <v>180005.99</v>
      </c>
      <c r="AE55" s="75">
        <f>AD55/AD$106</f>
        <v>5.4572962052008012E-3</v>
      </c>
      <c r="AF55" s="54" t="s">
        <v>157</v>
      </c>
      <c r="AG55" s="50">
        <v>82236</v>
      </c>
      <c r="AH55" s="74">
        <v>97700</v>
      </c>
      <c r="AI55" s="51">
        <f t="shared" ref="AI55:AI71" si="167">AG55+AH55*1</f>
        <v>179936</v>
      </c>
      <c r="AJ55" s="75">
        <f>AI55/AI$106</f>
        <v>4.6383886614995221E-3</v>
      </c>
      <c r="AK55" s="54" t="s">
        <v>158</v>
      </c>
      <c r="AL55" s="74">
        <v>61215</v>
      </c>
      <c r="AM55" s="74">
        <v>93800</v>
      </c>
      <c r="AN55" s="51">
        <f t="shared" ref="AN55:AN71" si="168">AL55+AM55*1</f>
        <v>155015</v>
      </c>
      <c r="AO55" s="75">
        <f>AN55/AN$106</f>
        <v>4.3258187324305385E-3</v>
      </c>
      <c r="AP55" s="54" t="s">
        <v>159</v>
      </c>
      <c r="AQ55" s="50">
        <v>71358.490000000005</v>
      </c>
      <c r="AR55" s="74">
        <v>102000</v>
      </c>
      <c r="AS55" s="51">
        <f t="shared" ref="AS55:AS71" si="169">AQ55+AR55*1</f>
        <v>173358.49</v>
      </c>
      <c r="AT55" s="75">
        <f>AS55/AS$106</f>
        <v>4.7621258707915316E-3</v>
      </c>
      <c r="AU55" s="54" t="s">
        <v>160</v>
      </c>
      <c r="AV55" s="50">
        <v>60140.99</v>
      </c>
      <c r="AW55" s="74">
        <v>100700</v>
      </c>
      <c r="AX55" s="51">
        <f t="shared" ref="AX55:AX71" si="170">AV55+AW55*1</f>
        <v>160840.99</v>
      </c>
      <c r="AY55" s="75">
        <f>AX55/AX$106</f>
        <v>4.0671301779006625E-3</v>
      </c>
      <c r="AZ55" s="54" t="s">
        <v>161</v>
      </c>
      <c r="BA55" s="50"/>
      <c r="BB55" s="74"/>
      <c r="BC55" s="51">
        <f t="shared" ref="BC55:BC71" si="171">BA55+BB55*1</f>
        <v>0</v>
      </c>
      <c r="BD55" s="75" t="e">
        <f>BC55/BC$106</f>
        <v>#DIV/0!</v>
      </c>
      <c r="BE55" s="54"/>
      <c r="BF55" s="50"/>
      <c r="BG55" s="74"/>
      <c r="BH55" s="51">
        <f t="shared" ref="BH55:BH71" si="172">BF55+BG55*1</f>
        <v>0</v>
      </c>
      <c r="BI55" s="75" t="e">
        <f>BH55/BH$106</f>
        <v>#DIV/0!</v>
      </c>
      <c r="BJ55" s="54"/>
      <c r="BK55" s="50"/>
      <c r="BL55" s="74"/>
      <c r="BM55" s="51">
        <f t="shared" ref="BM55:BM71" si="173">BK55+BL55*1</f>
        <v>0</v>
      </c>
      <c r="BN55" s="75" t="e">
        <f>BM55/BM$106</f>
        <v>#DIV/0!</v>
      </c>
      <c r="BO55" s="54"/>
      <c r="BP55" s="50"/>
      <c r="BQ55" s="74"/>
      <c r="BR55" s="51">
        <f t="shared" ref="BR55:BR71" si="174">BP55+BQ55*1</f>
        <v>0</v>
      </c>
      <c r="BS55" s="75" t="e">
        <f>BR55/BR$106</f>
        <v>#DIV/0!</v>
      </c>
      <c r="BT55" s="54"/>
      <c r="BU55" s="50"/>
      <c r="BV55" s="74"/>
      <c r="BW55" s="51">
        <f t="shared" ref="BW55:BW71" si="175">BU55+BV55*1</f>
        <v>0</v>
      </c>
      <c r="BX55" s="75" t="e">
        <f>BW55/BW$106</f>
        <v>#DIV/0!</v>
      </c>
      <c r="BY55" s="54"/>
      <c r="BZ55" s="50"/>
      <c r="CA55" s="74"/>
      <c r="CB55" s="51">
        <f t="shared" ref="CB55:CB71" si="176">BZ55+CA55*1</f>
        <v>0</v>
      </c>
      <c r="CC55" s="75" t="e">
        <f>CB55/CB$106</f>
        <v>#DIV/0!</v>
      </c>
      <c r="CD55" s="54"/>
      <c r="CE55" s="52">
        <f t="shared" ref="CE55:CF71" si="177">G55+Q55+L55</f>
        <v>1022650.52</v>
      </c>
      <c r="CF55" s="52">
        <f t="shared" si="177"/>
        <v>1604200</v>
      </c>
      <c r="CG55" s="51">
        <f t="shared" ref="CG55:CG71" si="178">CE55+CF55*1</f>
        <v>2626850.52</v>
      </c>
      <c r="CH55" s="75">
        <f>CG55/$CG$106</f>
        <v>3.7690686397522074E-3</v>
      </c>
      <c r="CI55" s="88"/>
      <c r="CJ55" s="56">
        <f>2466009.53-102000</f>
        <v>2364009.5299999998</v>
      </c>
      <c r="CK55" s="2">
        <f t="shared" ref="CK55:CK60" si="179">CJ55-CG55</f>
        <v>-262840.99000000022</v>
      </c>
    </row>
    <row r="56" spans="1:89" ht="24.6" customHeight="1" outlineLevel="2" x14ac:dyDescent="0.2">
      <c r="A56" s="47"/>
      <c r="B56" s="117" t="s">
        <v>162</v>
      </c>
      <c r="C56" s="85"/>
      <c r="D56" s="189"/>
      <c r="E56" s="72">
        <f t="shared" ref="E56:E71" si="180">C56+D56</f>
        <v>0</v>
      </c>
      <c r="F56" s="75">
        <f>E56/$E$106</f>
        <v>0</v>
      </c>
      <c r="G56" s="50">
        <v>17221.419999999998</v>
      </c>
      <c r="H56" s="74">
        <v>0</v>
      </c>
      <c r="I56" s="51">
        <f t="shared" si="161"/>
        <v>17221.419999999998</v>
      </c>
      <c r="J56" s="75">
        <f>I56/I$106</f>
        <v>3.4762301680143213E-4</v>
      </c>
      <c r="K56" s="54"/>
      <c r="L56" s="50">
        <v>154527.64000000001</v>
      </c>
      <c r="M56" s="74">
        <v>0</v>
      </c>
      <c r="N56" s="51">
        <f t="shared" si="162"/>
        <v>154527.64000000001</v>
      </c>
      <c r="O56" s="75">
        <f>N56/N$106</f>
        <v>3.6266968445991651E-4</v>
      </c>
      <c r="P56" s="54"/>
      <c r="Q56" s="50">
        <f t="shared" si="163"/>
        <v>125883.15999999999</v>
      </c>
      <c r="R56" s="74">
        <f t="shared" si="163"/>
        <v>0</v>
      </c>
      <c r="S56" s="51">
        <f t="shared" si="164"/>
        <v>125883.15999999999</v>
      </c>
      <c r="T56" s="75">
        <f>S56/S$106</f>
        <v>5.6876985651983119E-4</v>
      </c>
      <c r="U56" s="54"/>
      <c r="V56" s="82"/>
      <c r="W56" s="50">
        <v>16830</v>
      </c>
      <c r="X56" s="74"/>
      <c r="Y56" s="51">
        <f t="shared" si="165"/>
        <v>16830</v>
      </c>
      <c r="Z56" s="75">
        <f>Y56/Y$106</f>
        <v>4.4567348182128469E-4</v>
      </c>
      <c r="AA56" s="54"/>
      <c r="AB56" s="50">
        <v>24887.43</v>
      </c>
      <c r="AC56" s="74"/>
      <c r="AD56" s="51">
        <f t="shared" si="166"/>
        <v>24887.43</v>
      </c>
      <c r="AE56" s="75">
        <f>AD56/AD$106</f>
        <v>7.5451976512670813E-4</v>
      </c>
      <c r="AF56" s="54"/>
      <c r="AG56" s="50">
        <v>23496</v>
      </c>
      <c r="AH56" s="74"/>
      <c r="AI56" s="51">
        <f t="shared" si="167"/>
        <v>23496</v>
      </c>
      <c r="AJ56" s="75">
        <f>AI56/AI$106</f>
        <v>6.0567968605833614E-4</v>
      </c>
      <c r="AK56" s="54"/>
      <c r="AL56" s="74">
        <v>17490</v>
      </c>
      <c r="AM56" s="74"/>
      <c r="AN56" s="51">
        <f t="shared" si="168"/>
        <v>17490</v>
      </c>
      <c r="AO56" s="75">
        <f>AN56/AN$106</f>
        <v>4.8807257123639725E-4</v>
      </c>
      <c r="AP56" s="54"/>
      <c r="AQ56" s="50">
        <v>20388.14</v>
      </c>
      <c r="AR56" s="74"/>
      <c r="AS56" s="51">
        <f t="shared" si="169"/>
        <v>20388.14</v>
      </c>
      <c r="AT56" s="75">
        <f>AS56/AS$106</f>
        <v>5.6005846008072438E-4</v>
      </c>
      <c r="AU56" s="54"/>
      <c r="AV56" s="50">
        <v>22791.59</v>
      </c>
      <c r="AW56" s="74"/>
      <c r="AX56" s="51">
        <f t="shared" si="170"/>
        <v>22791.59</v>
      </c>
      <c r="AY56" s="75">
        <f>AX56/AX$106</f>
        <v>5.7632301001964094E-4</v>
      </c>
      <c r="AZ56" s="54"/>
      <c r="BA56" s="50"/>
      <c r="BB56" s="74"/>
      <c r="BC56" s="51">
        <f t="shared" si="171"/>
        <v>0</v>
      </c>
      <c r="BD56" s="75" t="e">
        <f>BC56/BC$106</f>
        <v>#DIV/0!</v>
      </c>
      <c r="BE56" s="54"/>
      <c r="BF56" s="50"/>
      <c r="BG56" s="74"/>
      <c r="BH56" s="51">
        <f t="shared" si="172"/>
        <v>0</v>
      </c>
      <c r="BI56" s="75" t="e">
        <f>BH56/BH$106</f>
        <v>#DIV/0!</v>
      </c>
      <c r="BJ56" s="54"/>
      <c r="BK56" s="50"/>
      <c r="BL56" s="74"/>
      <c r="BM56" s="51">
        <f t="shared" si="173"/>
        <v>0</v>
      </c>
      <c r="BN56" s="75" t="e">
        <f>BM56/BM$106</f>
        <v>#DIV/0!</v>
      </c>
      <c r="BO56" s="54"/>
      <c r="BP56" s="50"/>
      <c r="BQ56" s="74"/>
      <c r="BR56" s="51">
        <f t="shared" si="174"/>
        <v>0</v>
      </c>
      <c r="BS56" s="75" t="e">
        <f>BR56/BR$106</f>
        <v>#DIV/0!</v>
      </c>
      <c r="BT56" s="54"/>
      <c r="BU56" s="50"/>
      <c r="BV56" s="74"/>
      <c r="BW56" s="51">
        <f t="shared" si="175"/>
        <v>0</v>
      </c>
      <c r="BX56" s="75" t="e">
        <f>BW56/BW$106</f>
        <v>#DIV/0!</v>
      </c>
      <c r="BY56" s="54"/>
      <c r="BZ56" s="50"/>
      <c r="CA56" s="74"/>
      <c r="CB56" s="51">
        <f t="shared" si="176"/>
        <v>0</v>
      </c>
      <c r="CC56" s="75" t="e">
        <f>CB56/CB$106</f>
        <v>#DIV/0!</v>
      </c>
      <c r="CD56" s="54"/>
      <c r="CE56" s="52">
        <f t="shared" si="177"/>
        <v>297632.21999999997</v>
      </c>
      <c r="CF56" s="52">
        <f t="shared" si="177"/>
        <v>0</v>
      </c>
      <c r="CG56" s="51">
        <f t="shared" si="178"/>
        <v>297632.21999999997</v>
      </c>
      <c r="CH56" s="75">
        <f>CG56/$CG$106</f>
        <v>4.2704990559639061E-4</v>
      </c>
      <c r="CI56" s="88"/>
      <c r="CJ56" s="56">
        <v>274840.63</v>
      </c>
      <c r="CK56" s="2">
        <f t="shared" si="179"/>
        <v>-22791.589999999967</v>
      </c>
    </row>
    <row r="57" spans="1:89" ht="24.6" customHeight="1" outlineLevel="2" x14ac:dyDescent="0.2">
      <c r="A57" s="47"/>
      <c r="B57" s="117" t="s">
        <v>163</v>
      </c>
      <c r="C57" s="85"/>
      <c r="D57" s="189"/>
      <c r="E57" s="72">
        <f t="shared" si="180"/>
        <v>0</v>
      </c>
      <c r="F57" s="75">
        <f>E57/$E$106</f>
        <v>0</v>
      </c>
      <c r="G57" s="50">
        <v>15888.36</v>
      </c>
      <c r="H57" s="74">
        <v>0</v>
      </c>
      <c r="I57" s="51">
        <f t="shared" si="161"/>
        <v>15888.36</v>
      </c>
      <c r="J57" s="75">
        <f>I57/I$106</f>
        <v>3.2071453081262768E-4</v>
      </c>
      <c r="K57" s="54"/>
      <c r="L57" s="50">
        <v>162342.51</v>
      </c>
      <c r="M57" s="74">
        <v>0</v>
      </c>
      <c r="N57" s="51">
        <f t="shared" si="162"/>
        <v>162342.51</v>
      </c>
      <c r="O57" s="75">
        <f>N57/N$106</f>
        <v>3.8101084618991684E-4</v>
      </c>
      <c r="P57" s="54"/>
      <c r="Q57" s="50">
        <f t="shared" si="163"/>
        <v>136435.09</v>
      </c>
      <c r="R57" s="74">
        <f t="shared" si="163"/>
        <v>0</v>
      </c>
      <c r="S57" s="51">
        <f t="shared" si="164"/>
        <v>136435.09</v>
      </c>
      <c r="T57" s="75">
        <f>S57/S$106</f>
        <v>6.164459691317748E-4</v>
      </c>
      <c r="U57" s="54"/>
      <c r="V57" s="82"/>
      <c r="W57" s="50">
        <v>17595</v>
      </c>
      <c r="X57" s="74"/>
      <c r="Y57" s="51">
        <f t="shared" si="165"/>
        <v>17595</v>
      </c>
      <c r="Z57" s="75">
        <f>Y57/Y$106</f>
        <v>4.659313673586158E-4</v>
      </c>
      <c r="AA57" s="54"/>
      <c r="AB57" s="50">
        <v>26018.67</v>
      </c>
      <c r="AC57" s="74"/>
      <c r="AD57" s="51">
        <f t="shared" si="166"/>
        <v>26018.67</v>
      </c>
      <c r="AE57" s="75">
        <f>AD57/AD$106</f>
        <v>7.888159113781264E-4</v>
      </c>
      <c r="AF57" s="54"/>
      <c r="AG57" s="50">
        <v>24564</v>
      </c>
      <c r="AH57" s="74"/>
      <c r="AI57" s="51">
        <f t="shared" si="167"/>
        <v>24564</v>
      </c>
      <c r="AJ57" s="75">
        <f>AI57/AI$106</f>
        <v>6.3321058087916957E-4</v>
      </c>
      <c r="AK57" s="54"/>
      <c r="AL57" s="74">
        <v>23115</v>
      </c>
      <c r="AM57" s="74"/>
      <c r="AN57" s="51">
        <f t="shared" si="168"/>
        <v>23115</v>
      </c>
      <c r="AO57" s="75">
        <f>AN57/AN$106</f>
        <v>6.450427378004186E-4</v>
      </c>
      <c r="AP57" s="54"/>
      <c r="AQ57" s="50">
        <v>21314.87</v>
      </c>
      <c r="AR57" s="74"/>
      <c r="AS57" s="51">
        <f t="shared" si="169"/>
        <v>21314.87</v>
      </c>
      <c r="AT57" s="75">
        <f>AS57/AS$106</f>
        <v>5.855155629214254E-4</v>
      </c>
      <c r="AU57" s="54"/>
      <c r="AV57" s="50">
        <v>23827.55</v>
      </c>
      <c r="AW57" s="74"/>
      <c r="AX57" s="51">
        <f t="shared" si="170"/>
        <v>23827.55</v>
      </c>
      <c r="AY57" s="75">
        <f>AX57/AX$106</f>
        <v>6.0251897026023611E-4</v>
      </c>
      <c r="AZ57" s="54"/>
      <c r="BA57" s="50"/>
      <c r="BB57" s="74"/>
      <c r="BC57" s="51">
        <f t="shared" si="171"/>
        <v>0</v>
      </c>
      <c r="BD57" s="75" t="e">
        <f>BC57/BC$106</f>
        <v>#DIV/0!</v>
      </c>
      <c r="BE57" s="54"/>
      <c r="BF57" s="50"/>
      <c r="BG57" s="74"/>
      <c r="BH57" s="51">
        <f t="shared" si="172"/>
        <v>0</v>
      </c>
      <c r="BI57" s="75" t="e">
        <f>BH57/BH$106</f>
        <v>#DIV/0!</v>
      </c>
      <c r="BJ57" s="54"/>
      <c r="BK57" s="50"/>
      <c r="BL57" s="74"/>
      <c r="BM57" s="51">
        <f t="shared" si="173"/>
        <v>0</v>
      </c>
      <c r="BN57" s="75" t="e">
        <f>BM57/BM$106</f>
        <v>#DIV/0!</v>
      </c>
      <c r="BO57" s="54"/>
      <c r="BP57" s="50"/>
      <c r="BQ57" s="74"/>
      <c r="BR57" s="51">
        <f t="shared" si="174"/>
        <v>0</v>
      </c>
      <c r="BS57" s="75" t="e">
        <f>BR57/BR$106</f>
        <v>#DIV/0!</v>
      </c>
      <c r="BT57" s="54"/>
      <c r="BU57" s="50"/>
      <c r="BV57" s="74"/>
      <c r="BW57" s="51">
        <f t="shared" si="175"/>
        <v>0</v>
      </c>
      <c r="BX57" s="75" t="e">
        <f>BW57/BW$106</f>
        <v>#DIV/0!</v>
      </c>
      <c r="BY57" s="54"/>
      <c r="BZ57" s="50"/>
      <c r="CA57" s="74"/>
      <c r="CB57" s="51">
        <f t="shared" si="176"/>
        <v>0</v>
      </c>
      <c r="CC57" s="75" t="e">
        <f>CB57/CB$106</f>
        <v>#DIV/0!</v>
      </c>
      <c r="CD57" s="54"/>
      <c r="CE57" s="52">
        <f t="shared" si="177"/>
        <v>314665.96000000002</v>
      </c>
      <c r="CF57" s="52">
        <f t="shared" si="177"/>
        <v>0</v>
      </c>
      <c r="CG57" s="51">
        <f t="shared" si="178"/>
        <v>314665.96000000002</v>
      </c>
      <c r="CH57" s="75">
        <f>CG57/$CG$106</f>
        <v>4.5149032760094873E-4</v>
      </c>
      <c r="CI57" s="88"/>
      <c r="CJ57" s="56">
        <v>290838.41000000003</v>
      </c>
      <c r="CK57" s="2">
        <f t="shared" si="179"/>
        <v>-23827.549999999988</v>
      </c>
    </row>
    <row r="58" spans="1:89" ht="24.6" customHeight="1" outlineLevel="2" x14ac:dyDescent="0.2">
      <c r="A58" s="47"/>
      <c r="B58" s="117" t="s">
        <v>164</v>
      </c>
      <c r="C58" s="85"/>
      <c r="D58" s="189"/>
      <c r="E58" s="72">
        <f t="shared" si="180"/>
        <v>0</v>
      </c>
      <c r="F58" s="75">
        <f>E58/$E$106</f>
        <v>0</v>
      </c>
      <c r="G58" s="50">
        <v>39507.93</v>
      </c>
      <c r="H58" s="74">
        <v>140500</v>
      </c>
      <c r="I58" s="51">
        <f t="shared" si="161"/>
        <v>180007.93</v>
      </c>
      <c r="J58" s="75">
        <f>I58/I$106</f>
        <v>3.6335505245665583E-3</v>
      </c>
      <c r="K58" s="54"/>
      <c r="L58" s="50">
        <v>290474.77</v>
      </c>
      <c r="M58" s="74">
        <v>464200</v>
      </c>
      <c r="N58" s="51">
        <f t="shared" si="162"/>
        <v>754674.77</v>
      </c>
      <c r="O58" s="75">
        <f>N58/N$106</f>
        <v>1.771189029391506E-3</v>
      </c>
      <c r="P58" s="54"/>
      <c r="Q58" s="50">
        <f t="shared" si="163"/>
        <v>370172.30999999994</v>
      </c>
      <c r="R58" s="74">
        <f t="shared" si="163"/>
        <v>647200</v>
      </c>
      <c r="S58" s="51">
        <f t="shared" si="164"/>
        <v>1017372.3099999999</v>
      </c>
      <c r="T58" s="75">
        <f>S58/S$106</f>
        <v>4.5967284487134679E-3</v>
      </c>
      <c r="U58" s="54"/>
      <c r="V58" s="82"/>
      <c r="W58" s="50">
        <v>50802.86</v>
      </c>
      <c r="X58" s="74">
        <v>84200</v>
      </c>
      <c r="Y58" s="51">
        <f t="shared" si="165"/>
        <v>135002.85999999999</v>
      </c>
      <c r="Z58" s="75">
        <f>Y58/Y$106</f>
        <v>3.5749967125390039E-3</v>
      </c>
      <c r="AA58" s="54" t="s">
        <v>165</v>
      </c>
      <c r="AB58" s="50">
        <v>58362.18</v>
      </c>
      <c r="AC58" s="74">
        <v>111700</v>
      </c>
      <c r="AD58" s="51">
        <f t="shared" si="166"/>
        <v>170062.18</v>
      </c>
      <c r="AE58" s="75">
        <f>AD58/AD$106</f>
        <v>5.1558267008902066E-3</v>
      </c>
      <c r="AF58" s="54" t="s">
        <v>165</v>
      </c>
      <c r="AG58" s="50">
        <v>58945.49</v>
      </c>
      <c r="AH58" s="74">
        <v>111100</v>
      </c>
      <c r="AI58" s="51">
        <f t="shared" si="167"/>
        <v>170045.49</v>
      </c>
      <c r="AJ58" s="75">
        <f>AI58/AI$106</f>
        <v>4.383431179725737E-3</v>
      </c>
      <c r="AK58" s="54" t="s">
        <v>165</v>
      </c>
      <c r="AL58" s="74">
        <v>61985</v>
      </c>
      <c r="AM58" s="74">
        <v>118000</v>
      </c>
      <c r="AN58" s="51">
        <f t="shared" si="168"/>
        <v>179985</v>
      </c>
      <c r="AO58" s="75">
        <f>AN58/AN$106</f>
        <v>5.022626742937848E-3</v>
      </c>
      <c r="AP58" s="54" t="s">
        <v>166</v>
      </c>
      <c r="AQ58" s="50">
        <v>66145.06</v>
      </c>
      <c r="AR58" s="74">
        <v>124700</v>
      </c>
      <c r="AS58" s="51">
        <f t="shared" si="169"/>
        <v>190845.06</v>
      </c>
      <c r="AT58" s="75">
        <f>AS58/AS$106</f>
        <v>5.2424787360501471E-3</v>
      </c>
      <c r="AU58" s="54" t="s">
        <v>167</v>
      </c>
      <c r="AV58" s="50">
        <v>73931.72</v>
      </c>
      <c r="AW58" s="74">
        <v>97500</v>
      </c>
      <c r="AX58" s="51">
        <f t="shared" si="170"/>
        <v>171431.72</v>
      </c>
      <c r="AY58" s="75">
        <f>AX58/AX$106</f>
        <v>4.3349342842357325E-3</v>
      </c>
      <c r="AZ58" s="54" t="s">
        <v>167</v>
      </c>
      <c r="BA58" s="50"/>
      <c r="BB58" s="74"/>
      <c r="BC58" s="51">
        <f t="shared" si="171"/>
        <v>0</v>
      </c>
      <c r="BD58" s="75" t="e">
        <f>BC58/BC$106</f>
        <v>#DIV/0!</v>
      </c>
      <c r="BE58" s="54"/>
      <c r="BF58" s="50"/>
      <c r="BG58" s="74"/>
      <c r="BH58" s="51">
        <f t="shared" si="172"/>
        <v>0</v>
      </c>
      <c r="BI58" s="75" t="e">
        <f>BH58/BH$106</f>
        <v>#DIV/0!</v>
      </c>
      <c r="BJ58" s="54"/>
      <c r="BK58" s="50"/>
      <c r="BL58" s="74"/>
      <c r="BM58" s="51">
        <f t="shared" si="173"/>
        <v>0</v>
      </c>
      <c r="BN58" s="75" t="e">
        <f>BM58/BM$106</f>
        <v>#DIV/0!</v>
      </c>
      <c r="BO58" s="54"/>
      <c r="BP58" s="50"/>
      <c r="BQ58" s="74"/>
      <c r="BR58" s="51">
        <f t="shared" si="174"/>
        <v>0</v>
      </c>
      <c r="BS58" s="75" t="e">
        <f>BR58/BR$106</f>
        <v>#DIV/0!</v>
      </c>
      <c r="BT58" s="54"/>
      <c r="BU58" s="50"/>
      <c r="BV58" s="74"/>
      <c r="BW58" s="51">
        <f t="shared" si="175"/>
        <v>0</v>
      </c>
      <c r="BX58" s="75" t="e">
        <f>BW58/BW$106</f>
        <v>#DIV/0!</v>
      </c>
      <c r="BY58" s="54"/>
      <c r="BZ58" s="50"/>
      <c r="CA58" s="74"/>
      <c r="CB58" s="51">
        <f t="shared" si="176"/>
        <v>0</v>
      </c>
      <c r="CC58" s="75" t="e">
        <f>CB58/CB$106</f>
        <v>#DIV/0!</v>
      </c>
      <c r="CD58" s="54"/>
      <c r="CE58" s="52">
        <f t="shared" si="177"/>
        <v>700155.01</v>
      </c>
      <c r="CF58" s="52">
        <f t="shared" si="177"/>
        <v>1251900</v>
      </c>
      <c r="CG58" s="51">
        <f t="shared" si="178"/>
        <v>1952055.01</v>
      </c>
      <c r="CH58" s="75">
        <f>CG58/$CG$106</f>
        <v>2.800855726370826E-3</v>
      </c>
      <c r="CI58" s="88"/>
      <c r="CJ58" s="56">
        <f>1780623.29-124700</f>
        <v>1655923.29</v>
      </c>
      <c r="CK58" s="2">
        <f t="shared" si="179"/>
        <v>-296131.71999999997</v>
      </c>
    </row>
    <row r="59" spans="1:89" ht="24.6" customHeight="1" outlineLevel="2" x14ac:dyDescent="0.2">
      <c r="A59" s="47"/>
      <c r="B59" s="117" t="s">
        <v>168</v>
      </c>
      <c r="C59" s="85"/>
      <c r="D59" s="189"/>
      <c r="E59" s="72">
        <f t="shared" si="180"/>
        <v>0</v>
      </c>
      <c r="F59" s="75">
        <f>E59/$E$106</f>
        <v>0</v>
      </c>
      <c r="G59" s="50">
        <v>10309.369999999999</v>
      </c>
      <c r="H59" s="74">
        <v>0</v>
      </c>
      <c r="I59" s="51">
        <f t="shared" si="161"/>
        <v>10309.369999999999</v>
      </c>
      <c r="J59" s="75">
        <f>I59/I$106</f>
        <v>2.0809981411069357E-4</v>
      </c>
      <c r="K59" s="54"/>
      <c r="L59" s="50">
        <v>86765.19</v>
      </c>
      <c r="M59" s="74">
        <v>0</v>
      </c>
      <c r="N59" s="51">
        <f t="shared" si="162"/>
        <v>86765.19</v>
      </c>
      <c r="O59" s="75">
        <f>N59/N$106</f>
        <v>2.0363414648282146E-4</v>
      </c>
      <c r="P59" s="54"/>
      <c r="Q59" s="50">
        <f t="shared" si="163"/>
        <v>107583.94</v>
      </c>
      <c r="R59" s="74">
        <f t="shared" si="163"/>
        <v>0</v>
      </c>
      <c r="S59" s="51">
        <f t="shared" si="164"/>
        <v>107583.94</v>
      </c>
      <c r="T59" s="75">
        <f>S59/S$106</f>
        <v>4.8608965740642464E-4</v>
      </c>
      <c r="U59" s="54"/>
      <c r="V59" s="82"/>
      <c r="W59" s="50">
        <v>15174.88</v>
      </c>
      <c r="X59" s="74"/>
      <c r="Y59" s="51">
        <f t="shared" si="165"/>
        <v>15174.88</v>
      </c>
      <c r="Z59" s="75">
        <f>Y59/Y$106</f>
        <v>4.0184442102318338E-4</v>
      </c>
      <c r="AA59" s="54"/>
      <c r="AB59" s="50">
        <v>17432.86</v>
      </c>
      <c r="AC59" s="74"/>
      <c r="AD59" s="51">
        <f t="shared" si="166"/>
        <v>17432.86</v>
      </c>
      <c r="AE59" s="75">
        <f>AD59/AD$106</f>
        <v>5.2851730502855401E-4</v>
      </c>
      <c r="AF59" s="54"/>
      <c r="AG59" s="50">
        <v>17607.099999999999</v>
      </c>
      <c r="AH59" s="74"/>
      <c r="AI59" s="51">
        <f t="shared" si="167"/>
        <v>17607.099999999999</v>
      </c>
      <c r="AJ59" s="75">
        <f>AI59/AI$106</f>
        <v>4.5387567247181344E-4</v>
      </c>
      <c r="AK59" s="54"/>
      <c r="AL59" s="74">
        <v>18515</v>
      </c>
      <c r="AM59" s="74"/>
      <c r="AN59" s="51">
        <f t="shared" si="168"/>
        <v>18515</v>
      </c>
      <c r="AO59" s="75">
        <f>AN59/AN$106</f>
        <v>5.1667602381028554E-4</v>
      </c>
      <c r="AP59" s="54"/>
      <c r="AQ59" s="50">
        <v>19757.61</v>
      </c>
      <c r="AR59" s="74"/>
      <c r="AS59" s="51">
        <f t="shared" si="169"/>
        <v>19757.61</v>
      </c>
      <c r="AT59" s="75">
        <f>AS59/AS$106</f>
        <v>5.4273791682201127E-4</v>
      </c>
      <c r="AU59" s="54"/>
      <c r="AV59" s="50">
        <v>19096.490000000002</v>
      </c>
      <c r="AW59" s="74"/>
      <c r="AX59" s="51">
        <f t="shared" si="170"/>
        <v>19096.490000000002</v>
      </c>
      <c r="AY59" s="75">
        <f>AX59/AX$106</f>
        <v>4.8288630137739285E-4</v>
      </c>
      <c r="AZ59" s="54"/>
      <c r="BA59" s="50"/>
      <c r="BB59" s="74"/>
      <c r="BC59" s="51">
        <f t="shared" si="171"/>
        <v>0</v>
      </c>
      <c r="BD59" s="75" t="e">
        <f>BC59/BC$106</f>
        <v>#DIV/0!</v>
      </c>
      <c r="BE59" s="54"/>
      <c r="BF59" s="50"/>
      <c r="BG59" s="74"/>
      <c r="BH59" s="51">
        <f t="shared" si="172"/>
        <v>0</v>
      </c>
      <c r="BI59" s="75" t="e">
        <f>BH59/BH$106</f>
        <v>#DIV/0!</v>
      </c>
      <c r="BJ59" s="54"/>
      <c r="BK59" s="50"/>
      <c r="BL59" s="74"/>
      <c r="BM59" s="51">
        <f t="shared" si="173"/>
        <v>0</v>
      </c>
      <c r="BN59" s="75" t="e">
        <f>BM59/BM$106</f>
        <v>#DIV/0!</v>
      </c>
      <c r="BO59" s="54"/>
      <c r="BP59" s="50"/>
      <c r="BQ59" s="74"/>
      <c r="BR59" s="51">
        <f t="shared" si="174"/>
        <v>0</v>
      </c>
      <c r="BS59" s="75" t="e">
        <f>BR59/BR$106</f>
        <v>#DIV/0!</v>
      </c>
      <c r="BT59" s="54"/>
      <c r="BU59" s="50"/>
      <c r="BV59" s="74"/>
      <c r="BW59" s="51">
        <f t="shared" si="175"/>
        <v>0</v>
      </c>
      <c r="BX59" s="75" t="e">
        <f>BW59/BW$106</f>
        <v>#DIV/0!</v>
      </c>
      <c r="BY59" s="54"/>
      <c r="BZ59" s="50"/>
      <c r="CA59" s="74"/>
      <c r="CB59" s="51">
        <f t="shared" si="176"/>
        <v>0</v>
      </c>
      <c r="CC59" s="75" t="e">
        <f>CB59/CB$106</f>
        <v>#DIV/0!</v>
      </c>
      <c r="CD59" s="54"/>
      <c r="CE59" s="52">
        <f t="shared" si="177"/>
        <v>204658.5</v>
      </c>
      <c r="CF59" s="52">
        <f t="shared" si="177"/>
        <v>0</v>
      </c>
      <c r="CG59" s="51">
        <f t="shared" si="178"/>
        <v>204658.5</v>
      </c>
      <c r="CH59" s="75">
        <f>CG59/$CG$106</f>
        <v>2.9364896416288167E-4</v>
      </c>
      <c r="CI59" s="88"/>
      <c r="CJ59" s="56">
        <v>185562.01</v>
      </c>
      <c r="CK59" s="2">
        <f t="shared" si="179"/>
        <v>-19096.489999999991</v>
      </c>
    </row>
    <row r="60" spans="1:89" ht="24.6" customHeight="1" outlineLevel="2" x14ac:dyDescent="0.2">
      <c r="A60" s="47"/>
      <c r="B60" s="117" t="s">
        <v>169</v>
      </c>
      <c r="C60" s="85"/>
      <c r="D60" s="189"/>
      <c r="E60" s="72">
        <f t="shared" si="180"/>
        <v>0</v>
      </c>
      <c r="F60" s="75">
        <f>E60/$E$106</f>
        <v>0</v>
      </c>
      <c r="G60" s="50">
        <v>9309.81</v>
      </c>
      <c r="H60" s="74">
        <v>0</v>
      </c>
      <c r="I60" s="51">
        <f t="shared" si="161"/>
        <v>9309.81</v>
      </c>
      <c r="J60" s="75">
        <f>I60/I$106</f>
        <v>1.8792319321218233E-4</v>
      </c>
      <c r="K60" s="54"/>
      <c r="L60" s="50">
        <v>76392.78</v>
      </c>
      <c r="M60" s="74">
        <v>0</v>
      </c>
      <c r="N60" s="51">
        <f t="shared" si="162"/>
        <v>76392.78</v>
      </c>
      <c r="O60" s="75">
        <f>N60/N$106</f>
        <v>1.792905490410377E-4</v>
      </c>
      <c r="P60" s="54"/>
      <c r="Q60" s="50">
        <f t="shared" si="163"/>
        <v>100156.38</v>
      </c>
      <c r="R60" s="74">
        <f t="shared" si="163"/>
        <v>0</v>
      </c>
      <c r="S60" s="51">
        <f t="shared" si="164"/>
        <v>100156.38</v>
      </c>
      <c r="T60" s="75">
        <f>S60/S$106</f>
        <v>4.5253018658052195E-4</v>
      </c>
      <c r="U60" s="54"/>
      <c r="V60" s="82"/>
      <c r="W60" s="50">
        <v>13965.1</v>
      </c>
      <c r="X60" s="74"/>
      <c r="Y60" s="51">
        <f t="shared" si="165"/>
        <v>13965.1</v>
      </c>
      <c r="Z60" s="75">
        <f>Y60/Y$106</f>
        <v>3.6980836250638283E-4</v>
      </c>
      <c r="AA60" s="54"/>
      <c r="AB60" s="50">
        <v>16124.91</v>
      </c>
      <c r="AC60" s="74"/>
      <c r="AD60" s="51">
        <f t="shared" si="166"/>
        <v>16124.91</v>
      </c>
      <c r="AE60" s="75">
        <f>AD60/AD$106</f>
        <v>4.8886378810063182E-4</v>
      </c>
      <c r="AF60" s="54"/>
      <c r="AG60" s="50">
        <v>16291.57</v>
      </c>
      <c r="AH60" s="74"/>
      <c r="AI60" s="51">
        <f t="shared" si="167"/>
        <v>16291.57</v>
      </c>
      <c r="AJ60" s="75">
        <f>AI60/AI$106</f>
        <v>4.1996395143843236E-4</v>
      </c>
      <c r="AK60" s="54"/>
      <c r="AL60" s="74">
        <v>17160</v>
      </c>
      <c r="AM60" s="74"/>
      <c r="AN60" s="51">
        <f t="shared" si="168"/>
        <v>17160</v>
      </c>
      <c r="AO60" s="75">
        <f>AN60/AN$106</f>
        <v>4.7886365479797463E-4</v>
      </c>
      <c r="AP60" s="54"/>
      <c r="AQ60" s="50">
        <v>18348.59</v>
      </c>
      <c r="AR60" s="74"/>
      <c r="AS60" s="51">
        <f t="shared" si="169"/>
        <v>18348.59</v>
      </c>
      <c r="AT60" s="75">
        <f>AS60/AS$106</f>
        <v>5.0403239628787021E-4</v>
      </c>
      <c r="AU60" s="54"/>
      <c r="AV60" s="50">
        <v>18266.21</v>
      </c>
      <c r="AW60" s="74"/>
      <c r="AX60" s="51">
        <f t="shared" si="170"/>
        <v>18266.21</v>
      </c>
      <c r="AY60" s="75">
        <f>AX60/AX$106</f>
        <v>4.6189129976675013E-4</v>
      </c>
      <c r="AZ60" s="54"/>
      <c r="BA60" s="50"/>
      <c r="BB60" s="74"/>
      <c r="BC60" s="51">
        <f t="shared" si="171"/>
        <v>0</v>
      </c>
      <c r="BD60" s="75" t="e">
        <f>BC60/BC$106</f>
        <v>#DIV/0!</v>
      </c>
      <c r="BE60" s="54"/>
      <c r="BF60" s="50"/>
      <c r="BG60" s="74"/>
      <c r="BH60" s="51">
        <f t="shared" si="172"/>
        <v>0</v>
      </c>
      <c r="BI60" s="75" t="e">
        <f>BH60/BH$106</f>
        <v>#DIV/0!</v>
      </c>
      <c r="BJ60" s="54"/>
      <c r="BK60" s="50"/>
      <c r="BL60" s="74"/>
      <c r="BM60" s="51">
        <f t="shared" si="173"/>
        <v>0</v>
      </c>
      <c r="BN60" s="75" t="e">
        <f>BM60/BM$106</f>
        <v>#DIV/0!</v>
      </c>
      <c r="BO60" s="54"/>
      <c r="BP60" s="50"/>
      <c r="BQ60" s="74"/>
      <c r="BR60" s="51">
        <f t="shared" si="174"/>
        <v>0</v>
      </c>
      <c r="BS60" s="75" t="e">
        <f>BR60/BR$106</f>
        <v>#DIV/0!</v>
      </c>
      <c r="BT60" s="54"/>
      <c r="BU60" s="50"/>
      <c r="BV60" s="74"/>
      <c r="BW60" s="51">
        <f t="shared" si="175"/>
        <v>0</v>
      </c>
      <c r="BX60" s="75" t="e">
        <f>BW60/BW$106</f>
        <v>#DIV/0!</v>
      </c>
      <c r="BY60" s="54"/>
      <c r="BZ60" s="50"/>
      <c r="CA60" s="74"/>
      <c r="CB60" s="51">
        <f t="shared" si="176"/>
        <v>0</v>
      </c>
      <c r="CC60" s="75" t="e">
        <f>CB60/CB$106</f>
        <v>#DIV/0!</v>
      </c>
      <c r="CD60" s="54"/>
      <c r="CE60" s="52">
        <f t="shared" si="177"/>
        <v>185858.97</v>
      </c>
      <c r="CF60" s="52">
        <f t="shared" si="177"/>
        <v>0</v>
      </c>
      <c r="CG60" s="51">
        <f t="shared" si="178"/>
        <v>185858.97</v>
      </c>
      <c r="CH60" s="75">
        <f>CG60/$CG$106</f>
        <v>2.6667494397193426E-4</v>
      </c>
      <c r="CI60" s="88"/>
      <c r="CJ60" s="56">
        <v>167592.76</v>
      </c>
      <c r="CK60" s="2">
        <f t="shared" si="179"/>
        <v>-18266.209999999992</v>
      </c>
    </row>
    <row r="61" spans="1:89" ht="24.6" customHeight="1" outlineLevel="2" x14ac:dyDescent="0.2">
      <c r="A61" s="47"/>
      <c r="B61" s="117" t="s">
        <v>170</v>
      </c>
      <c r="C61" s="85"/>
      <c r="D61" s="189"/>
      <c r="E61" s="72">
        <f t="shared" si="180"/>
        <v>0</v>
      </c>
      <c r="F61" s="75">
        <f>E61/$E$106</f>
        <v>0</v>
      </c>
      <c r="G61" s="50">
        <v>0</v>
      </c>
      <c r="H61" s="74">
        <v>0</v>
      </c>
      <c r="I61" s="51">
        <f t="shared" si="161"/>
        <v>0</v>
      </c>
      <c r="J61" s="75">
        <f>I61/I$106</f>
        <v>0</v>
      </c>
      <c r="K61" s="54"/>
      <c r="L61" s="50">
        <v>0</v>
      </c>
      <c r="M61" s="74">
        <v>240000</v>
      </c>
      <c r="N61" s="51">
        <f t="shared" si="162"/>
        <v>240000</v>
      </c>
      <c r="O61" s="75">
        <f>N61/N$106</f>
        <v>5.6326961487524147E-4</v>
      </c>
      <c r="P61" s="54"/>
      <c r="Q61" s="50">
        <f t="shared" si="163"/>
        <v>0</v>
      </c>
      <c r="R61" s="74">
        <f t="shared" si="163"/>
        <v>0</v>
      </c>
      <c r="S61" s="51">
        <f t="shared" si="164"/>
        <v>0</v>
      </c>
      <c r="T61" s="75">
        <f>S61/S$106</f>
        <v>0</v>
      </c>
      <c r="U61" s="54"/>
      <c r="V61" s="82"/>
      <c r="W61" s="50"/>
      <c r="X61" s="74"/>
      <c r="Y61" s="51">
        <f t="shared" si="165"/>
        <v>0</v>
      </c>
      <c r="Z61" s="75">
        <f>Y61/Y$106</f>
        <v>0</v>
      </c>
      <c r="AA61" s="54"/>
      <c r="AB61" s="50"/>
      <c r="AC61" s="74"/>
      <c r="AD61" s="51">
        <f t="shared" si="166"/>
        <v>0</v>
      </c>
      <c r="AE61" s="75">
        <f>AD61/AD$106</f>
        <v>0</v>
      </c>
      <c r="AF61" s="54"/>
      <c r="AG61" s="50"/>
      <c r="AH61" s="74"/>
      <c r="AI61" s="51">
        <f t="shared" si="167"/>
        <v>0</v>
      </c>
      <c r="AJ61" s="75">
        <f>AI61/AI$106</f>
        <v>0</v>
      </c>
      <c r="AK61" s="54"/>
      <c r="AL61" s="50"/>
      <c r="AM61" s="74"/>
      <c r="AN61" s="51">
        <f t="shared" si="168"/>
        <v>0</v>
      </c>
      <c r="AO61" s="75">
        <f>AN61/AN$106</f>
        <v>0</v>
      </c>
      <c r="AP61" s="54"/>
      <c r="AQ61" s="50"/>
      <c r="AR61" s="74"/>
      <c r="AS61" s="51">
        <f t="shared" si="169"/>
        <v>0</v>
      </c>
      <c r="AT61" s="75">
        <f>AS61/AS$106</f>
        <v>0</v>
      </c>
      <c r="AU61" s="54"/>
      <c r="AV61" s="50"/>
      <c r="AW61" s="74"/>
      <c r="AX61" s="51">
        <f t="shared" si="170"/>
        <v>0</v>
      </c>
      <c r="AY61" s="75">
        <f>AX61/AX$106</f>
        <v>0</v>
      </c>
      <c r="AZ61" s="54"/>
      <c r="BA61" s="50"/>
      <c r="BB61" s="74"/>
      <c r="BC61" s="51">
        <f t="shared" si="171"/>
        <v>0</v>
      </c>
      <c r="BD61" s="75" t="e">
        <f>BC61/BC$106</f>
        <v>#DIV/0!</v>
      </c>
      <c r="BE61" s="54"/>
      <c r="BF61" s="50"/>
      <c r="BG61" s="74"/>
      <c r="BH61" s="51">
        <f t="shared" si="172"/>
        <v>0</v>
      </c>
      <c r="BI61" s="75" t="e">
        <f>BH61/BH$106</f>
        <v>#DIV/0!</v>
      </c>
      <c r="BJ61" s="54"/>
      <c r="BK61" s="50"/>
      <c r="BL61" s="74"/>
      <c r="BM61" s="51">
        <f t="shared" si="173"/>
        <v>0</v>
      </c>
      <c r="BN61" s="75" t="e">
        <f>BM61/BM$106</f>
        <v>#DIV/0!</v>
      </c>
      <c r="BO61" s="54"/>
      <c r="BP61" s="50"/>
      <c r="BQ61" s="74"/>
      <c r="BR61" s="51">
        <f t="shared" si="174"/>
        <v>0</v>
      </c>
      <c r="BS61" s="75" t="e">
        <f>BR61/BR$106</f>
        <v>#DIV/0!</v>
      </c>
      <c r="BT61" s="54"/>
      <c r="BU61" s="50"/>
      <c r="BV61" s="74"/>
      <c r="BW61" s="51">
        <f t="shared" si="175"/>
        <v>0</v>
      </c>
      <c r="BX61" s="75" t="e">
        <f>BW61/BW$106</f>
        <v>#DIV/0!</v>
      </c>
      <c r="BY61" s="54"/>
      <c r="BZ61" s="50"/>
      <c r="CA61" s="74"/>
      <c r="CB61" s="51">
        <f t="shared" si="176"/>
        <v>0</v>
      </c>
      <c r="CC61" s="75" t="e">
        <f>CB61/CB$106</f>
        <v>#DIV/0!</v>
      </c>
      <c r="CD61" s="54"/>
      <c r="CE61" s="52">
        <f t="shared" si="177"/>
        <v>0</v>
      </c>
      <c r="CF61" s="52">
        <f t="shared" si="177"/>
        <v>240000</v>
      </c>
      <c r="CG61" s="51">
        <f t="shared" si="178"/>
        <v>240000</v>
      </c>
      <c r="CH61" s="75">
        <f>CG61/$CG$106</f>
        <v>3.4435780287206055E-4</v>
      </c>
      <c r="CI61" s="88"/>
      <c r="CJ61" s="56">
        <v>240000</v>
      </c>
    </row>
    <row r="62" spans="1:89" ht="24.6" customHeight="1" outlineLevel="2" x14ac:dyDescent="0.2">
      <c r="A62" s="47"/>
      <c r="B62" s="117" t="s">
        <v>171</v>
      </c>
      <c r="C62" s="85"/>
      <c r="D62" s="189"/>
      <c r="E62" s="72">
        <f t="shared" si="180"/>
        <v>0</v>
      </c>
      <c r="F62" s="75">
        <f>E62/$E$106</f>
        <v>0</v>
      </c>
      <c r="G62" s="50">
        <v>0</v>
      </c>
      <c r="H62" s="74">
        <v>0</v>
      </c>
      <c r="I62" s="51">
        <f t="shared" si="161"/>
        <v>0</v>
      </c>
      <c r="J62" s="75">
        <f>I62/I$106</f>
        <v>0</v>
      </c>
      <c r="K62" s="54"/>
      <c r="L62" s="50">
        <v>0</v>
      </c>
      <c r="M62" s="74">
        <v>0</v>
      </c>
      <c r="N62" s="51">
        <f t="shared" si="162"/>
        <v>0</v>
      </c>
      <c r="O62" s="75">
        <f>N62/N$106</f>
        <v>0</v>
      </c>
      <c r="P62" s="54"/>
      <c r="Q62" s="50">
        <f t="shared" si="163"/>
        <v>0</v>
      </c>
      <c r="R62" s="74">
        <f t="shared" si="163"/>
        <v>0</v>
      </c>
      <c r="S62" s="51">
        <f t="shared" si="164"/>
        <v>0</v>
      </c>
      <c r="T62" s="75">
        <f>S62/S$106</f>
        <v>0</v>
      </c>
      <c r="U62" s="54"/>
      <c r="V62" s="82"/>
      <c r="W62" s="50"/>
      <c r="X62" s="74"/>
      <c r="Y62" s="51">
        <f t="shared" si="165"/>
        <v>0</v>
      </c>
      <c r="Z62" s="75">
        <f>Y62/Y$106</f>
        <v>0</v>
      </c>
      <c r="AA62" s="54"/>
      <c r="AB62" s="50"/>
      <c r="AC62" s="74"/>
      <c r="AD62" s="51">
        <f t="shared" si="166"/>
        <v>0</v>
      </c>
      <c r="AE62" s="75">
        <f>AD62/AD$106</f>
        <v>0</v>
      </c>
      <c r="AF62" s="54"/>
      <c r="AG62" s="50"/>
      <c r="AH62" s="74"/>
      <c r="AI62" s="51">
        <f t="shared" si="167"/>
        <v>0</v>
      </c>
      <c r="AJ62" s="75">
        <f>AI62/AI$106</f>
        <v>0</v>
      </c>
      <c r="AK62" s="54"/>
      <c r="AL62" s="50"/>
      <c r="AM62" s="74"/>
      <c r="AN62" s="51">
        <f t="shared" si="168"/>
        <v>0</v>
      </c>
      <c r="AO62" s="75">
        <f>AN62/AN$106</f>
        <v>0</v>
      </c>
      <c r="AP62" s="54"/>
      <c r="AQ62" s="50"/>
      <c r="AR62" s="74"/>
      <c r="AS62" s="51">
        <f t="shared" si="169"/>
        <v>0</v>
      </c>
      <c r="AT62" s="75">
        <f>AS62/AS$106</f>
        <v>0</v>
      </c>
      <c r="AU62" s="54"/>
      <c r="AV62" s="50"/>
      <c r="AW62" s="74"/>
      <c r="AX62" s="51">
        <f t="shared" si="170"/>
        <v>0</v>
      </c>
      <c r="AY62" s="75">
        <f>AX62/AX$106</f>
        <v>0</v>
      </c>
      <c r="AZ62" s="54"/>
      <c r="BA62" s="50"/>
      <c r="BB62" s="74"/>
      <c r="BC62" s="51">
        <f t="shared" si="171"/>
        <v>0</v>
      </c>
      <c r="BD62" s="75" t="e">
        <f>BC62/BC$106</f>
        <v>#DIV/0!</v>
      </c>
      <c r="BE62" s="54"/>
      <c r="BF62" s="50"/>
      <c r="BG62" s="74"/>
      <c r="BH62" s="51">
        <f t="shared" si="172"/>
        <v>0</v>
      </c>
      <c r="BI62" s="75" t="e">
        <f>BH62/BH$106</f>
        <v>#DIV/0!</v>
      </c>
      <c r="BJ62" s="54"/>
      <c r="BK62" s="50"/>
      <c r="BL62" s="74"/>
      <c r="BM62" s="51">
        <f t="shared" si="173"/>
        <v>0</v>
      </c>
      <c r="BN62" s="75" t="e">
        <f>BM62/BM$106</f>
        <v>#DIV/0!</v>
      </c>
      <c r="BO62" s="54"/>
      <c r="BP62" s="50"/>
      <c r="BQ62" s="74"/>
      <c r="BR62" s="51">
        <f t="shared" si="174"/>
        <v>0</v>
      </c>
      <c r="BS62" s="75" t="e">
        <f>BR62/BR$106</f>
        <v>#DIV/0!</v>
      </c>
      <c r="BT62" s="54"/>
      <c r="BU62" s="50"/>
      <c r="BV62" s="74"/>
      <c r="BW62" s="51">
        <f t="shared" si="175"/>
        <v>0</v>
      </c>
      <c r="BX62" s="75" t="e">
        <f>BW62/BW$106</f>
        <v>#DIV/0!</v>
      </c>
      <c r="BY62" s="54"/>
      <c r="BZ62" s="50"/>
      <c r="CA62" s="74"/>
      <c r="CB62" s="51">
        <f t="shared" si="176"/>
        <v>0</v>
      </c>
      <c r="CC62" s="75" t="e">
        <f>CB62/CB$106</f>
        <v>#DIV/0!</v>
      </c>
      <c r="CD62" s="54"/>
      <c r="CE62" s="52">
        <f t="shared" si="177"/>
        <v>0</v>
      </c>
      <c r="CF62" s="52">
        <f t="shared" si="177"/>
        <v>0</v>
      </c>
      <c r="CG62" s="51">
        <f t="shared" si="178"/>
        <v>0</v>
      </c>
      <c r="CH62" s="75">
        <f>CG62/$CG$106</f>
        <v>0</v>
      </c>
      <c r="CI62" s="88"/>
      <c r="CJ62" s="56"/>
    </row>
    <row r="63" spans="1:89" ht="24.6" customHeight="1" outlineLevel="2" x14ac:dyDescent="0.2">
      <c r="A63" s="47"/>
      <c r="B63" s="117" t="s">
        <v>172</v>
      </c>
      <c r="C63" s="85"/>
      <c r="D63" s="189"/>
      <c r="E63" s="72">
        <f t="shared" si="180"/>
        <v>0</v>
      </c>
      <c r="F63" s="75">
        <f>E63/$E$106</f>
        <v>0</v>
      </c>
      <c r="G63" s="50">
        <v>24270.12</v>
      </c>
      <c r="H63" s="74">
        <v>0</v>
      </c>
      <c r="I63" s="51">
        <f t="shared" si="161"/>
        <v>24270.12</v>
      </c>
      <c r="J63" s="75">
        <f>I63/I$106</f>
        <v>4.8990456841147673E-4</v>
      </c>
      <c r="K63" s="54"/>
      <c r="L63" s="50">
        <v>143843.35999999999</v>
      </c>
      <c r="M63" s="74">
        <v>0</v>
      </c>
      <c r="N63" s="51">
        <f t="shared" si="162"/>
        <v>143843.35999999999</v>
      </c>
      <c r="O63" s="75">
        <f>N63/N$106</f>
        <v>3.3759414162316961E-4</v>
      </c>
      <c r="P63" s="54"/>
      <c r="Q63" s="50">
        <f t="shared" si="163"/>
        <v>96131.62</v>
      </c>
      <c r="R63" s="74">
        <f t="shared" si="163"/>
        <v>0</v>
      </c>
      <c r="S63" s="51">
        <f t="shared" si="164"/>
        <v>96131.62</v>
      </c>
      <c r="T63" s="75">
        <f>S63/S$106</f>
        <v>4.3434537005917979E-4</v>
      </c>
      <c r="U63" s="54"/>
      <c r="V63" s="82"/>
      <c r="W63" s="50">
        <f>10306.88</f>
        <v>10306.879999999999</v>
      </c>
      <c r="X63" s="74"/>
      <c r="Y63" s="51">
        <f t="shared" si="165"/>
        <v>10306.879999999999</v>
      </c>
      <c r="Z63" s="75">
        <f>Y63/Y$106</f>
        <v>2.7293541867582662E-4</v>
      </c>
      <c r="AA63" s="54" t="s">
        <v>173</v>
      </c>
      <c r="AB63" s="50">
        <v>11412.19</v>
      </c>
      <c r="AC63" s="74"/>
      <c r="AD63" s="51">
        <f t="shared" si="166"/>
        <v>11412.19</v>
      </c>
      <c r="AE63" s="75">
        <f>AD63/AD$106</f>
        <v>3.4598682621634166E-4</v>
      </c>
      <c r="AF63" s="54" t="s">
        <v>174</v>
      </c>
      <c r="AG63" s="50">
        <v>15613.02</v>
      </c>
      <c r="AH63" s="74"/>
      <c r="AI63" s="51">
        <f t="shared" si="167"/>
        <v>15613.02</v>
      </c>
      <c r="AJ63" s="75">
        <f>AI63/AI$106</f>
        <v>4.0247229537038317E-4</v>
      </c>
      <c r="AK63" s="54" t="s">
        <v>175</v>
      </c>
      <c r="AL63" s="50">
        <f>4510.02+21955.7</f>
        <v>26465.72</v>
      </c>
      <c r="AM63" s="74"/>
      <c r="AN63" s="51">
        <f t="shared" si="168"/>
        <v>26465.72</v>
      </c>
      <c r="AO63" s="75">
        <f>AN63/AN$106</f>
        <v>7.3854728473542273E-4</v>
      </c>
      <c r="AP63" s="54" t="s">
        <v>176</v>
      </c>
      <c r="AQ63" s="50">
        <v>24237.95</v>
      </c>
      <c r="AR63" s="74"/>
      <c r="AS63" s="51">
        <f t="shared" si="169"/>
        <v>24237.95</v>
      </c>
      <c r="AT63" s="75">
        <f>AS63/AS$106</f>
        <v>6.6581203349170615E-4</v>
      </c>
      <c r="AU63" s="54" t="s">
        <v>177</v>
      </c>
      <c r="AV63" s="50">
        <v>8095.86</v>
      </c>
      <c r="AW63" s="74"/>
      <c r="AX63" s="51">
        <f t="shared" si="170"/>
        <v>8095.86</v>
      </c>
      <c r="AY63" s="75">
        <f>AX63/AX$106</f>
        <v>2.0471719629466876E-4</v>
      </c>
      <c r="AZ63" s="54" t="s">
        <v>177</v>
      </c>
      <c r="BA63" s="50"/>
      <c r="BB63" s="74"/>
      <c r="BC63" s="51">
        <f t="shared" si="171"/>
        <v>0</v>
      </c>
      <c r="BD63" s="75" t="e">
        <f>BC63/BC$106</f>
        <v>#DIV/0!</v>
      </c>
      <c r="BE63" s="54"/>
      <c r="BF63" s="50"/>
      <c r="BG63" s="74"/>
      <c r="BH63" s="51">
        <f t="shared" si="172"/>
        <v>0</v>
      </c>
      <c r="BI63" s="75" t="e">
        <f>BH63/BH$106</f>
        <v>#DIV/0!</v>
      </c>
      <c r="BJ63" s="54"/>
      <c r="BK63" s="50"/>
      <c r="BL63" s="74"/>
      <c r="BM63" s="51">
        <f t="shared" si="173"/>
        <v>0</v>
      </c>
      <c r="BN63" s="75" t="e">
        <f>BM63/BM$106</f>
        <v>#DIV/0!</v>
      </c>
      <c r="BO63" s="54"/>
      <c r="BP63" s="50"/>
      <c r="BQ63" s="74"/>
      <c r="BR63" s="51">
        <f t="shared" si="174"/>
        <v>0</v>
      </c>
      <c r="BS63" s="75" t="e">
        <f>BR63/BR$106</f>
        <v>#DIV/0!</v>
      </c>
      <c r="BT63" s="54"/>
      <c r="BU63" s="50"/>
      <c r="BV63" s="74"/>
      <c r="BW63" s="51">
        <f t="shared" si="175"/>
        <v>0</v>
      </c>
      <c r="BX63" s="75" t="e">
        <f>BW63/BW$106</f>
        <v>#DIV/0!</v>
      </c>
      <c r="BY63" s="54"/>
      <c r="BZ63" s="50"/>
      <c r="CA63" s="74"/>
      <c r="CB63" s="51">
        <f t="shared" si="176"/>
        <v>0</v>
      </c>
      <c r="CC63" s="75" t="e">
        <f>CB63/CB$106</f>
        <v>#DIV/0!</v>
      </c>
      <c r="CD63" s="54"/>
      <c r="CE63" s="52">
        <f t="shared" si="177"/>
        <v>264245.09999999998</v>
      </c>
      <c r="CF63" s="52">
        <f t="shared" si="177"/>
        <v>0</v>
      </c>
      <c r="CG63" s="51">
        <f t="shared" si="178"/>
        <v>264245.09999999998</v>
      </c>
      <c r="CH63" s="75">
        <f>CG63/$CG$106</f>
        <v>3.7914525856544965E-4</v>
      </c>
      <c r="CI63" s="88"/>
      <c r="CJ63" s="56">
        <f>CG63</f>
        <v>264245.09999999998</v>
      </c>
      <c r="CK63" s="2">
        <f>CJ63-CG63</f>
        <v>0</v>
      </c>
    </row>
    <row r="64" spans="1:89" ht="24.6" customHeight="1" outlineLevel="2" x14ac:dyDescent="0.2">
      <c r="A64" s="47"/>
      <c r="B64" s="117" t="s">
        <v>178</v>
      </c>
      <c r="C64" s="85"/>
      <c r="D64" s="189"/>
      <c r="E64" s="72">
        <f t="shared" si="180"/>
        <v>0</v>
      </c>
      <c r="F64" s="75">
        <f>E64/$E$106</f>
        <v>0</v>
      </c>
      <c r="G64" s="50">
        <v>0</v>
      </c>
      <c r="H64" s="74">
        <v>0</v>
      </c>
      <c r="I64" s="51">
        <f t="shared" si="161"/>
        <v>0</v>
      </c>
      <c r="J64" s="75">
        <f>I64/I$106</f>
        <v>0</v>
      </c>
      <c r="K64" s="54"/>
      <c r="L64" s="50">
        <v>0</v>
      </c>
      <c r="M64" s="74">
        <v>0</v>
      </c>
      <c r="N64" s="51">
        <f t="shared" si="162"/>
        <v>0</v>
      </c>
      <c r="O64" s="75">
        <f>N64/N$106</f>
        <v>0</v>
      </c>
      <c r="P64" s="54"/>
      <c r="Q64" s="50">
        <f t="shared" si="163"/>
        <v>0</v>
      </c>
      <c r="R64" s="74">
        <f t="shared" si="163"/>
        <v>0</v>
      </c>
      <c r="S64" s="51">
        <f t="shared" si="164"/>
        <v>0</v>
      </c>
      <c r="T64" s="75">
        <f>S64/S$106</f>
        <v>0</v>
      </c>
      <c r="U64" s="54"/>
      <c r="V64" s="82"/>
      <c r="W64" s="50"/>
      <c r="X64" s="74"/>
      <c r="Y64" s="51">
        <f t="shared" si="165"/>
        <v>0</v>
      </c>
      <c r="Z64" s="75">
        <f>Y64/Y$106</f>
        <v>0</v>
      </c>
      <c r="AA64" s="54"/>
      <c r="AB64" s="50"/>
      <c r="AC64" s="74"/>
      <c r="AD64" s="51">
        <f t="shared" si="166"/>
        <v>0</v>
      </c>
      <c r="AE64" s="75">
        <f>AD64/AD$106</f>
        <v>0</v>
      </c>
      <c r="AF64" s="54"/>
      <c r="AG64" s="50"/>
      <c r="AH64" s="74"/>
      <c r="AI64" s="51">
        <f t="shared" si="167"/>
        <v>0</v>
      </c>
      <c r="AJ64" s="75">
        <f>AI64/AI$106</f>
        <v>0</v>
      </c>
      <c r="AK64" s="54"/>
      <c r="AL64" s="50"/>
      <c r="AM64" s="74"/>
      <c r="AN64" s="51">
        <f t="shared" si="168"/>
        <v>0</v>
      </c>
      <c r="AO64" s="75">
        <f>AN64/AN$106</f>
        <v>0</v>
      </c>
      <c r="AP64" s="54"/>
      <c r="AQ64" s="50"/>
      <c r="AR64" s="74"/>
      <c r="AS64" s="51">
        <f t="shared" si="169"/>
        <v>0</v>
      </c>
      <c r="AT64" s="75">
        <f>AS64/AS$106</f>
        <v>0</v>
      </c>
      <c r="AU64" s="54"/>
      <c r="AV64" s="50"/>
      <c r="AW64" s="74"/>
      <c r="AX64" s="51">
        <f t="shared" si="170"/>
        <v>0</v>
      </c>
      <c r="AY64" s="75">
        <f>AX64/AX$106</f>
        <v>0</v>
      </c>
      <c r="AZ64" s="54"/>
      <c r="BA64" s="50"/>
      <c r="BB64" s="74"/>
      <c r="BC64" s="51">
        <f t="shared" si="171"/>
        <v>0</v>
      </c>
      <c r="BD64" s="75" t="e">
        <f>BC64/BC$106</f>
        <v>#DIV/0!</v>
      </c>
      <c r="BE64" s="54"/>
      <c r="BF64" s="50"/>
      <c r="BG64" s="74"/>
      <c r="BH64" s="51">
        <f t="shared" si="172"/>
        <v>0</v>
      </c>
      <c r="BI64" s="75" t="e">
        <f>BH64/BH$106</f>
        <v>#DIV/0!</v>
      </c>
      <c r="BJ64" s="54"/>
      <c r="BK64" s="50"/>
      <c r="BL64" s="74"/>
      <c r="BM64" s="51">
        <f t="shared" si="173"/>
        <v>0</v>
      </c>
      <c r="BN64" s="75" t="e">
        <f>BM64/BM$106</f>
        <v>#DIV/0!</v>
      </c>
      <c r="BO64" s="54"/>
      <c r="BP64" s="50"/>
      <c r="BQ64" s="74"/>
      <c r="BR64" s="51">
        <f t="shared" si="174"/>
        <v>0</v>
      </c>
      <c r="BS64" s="75" t="e">
        <f>BR64/BR$106</f>
        <v>#DIV/0!</v>
      </c>
      <c r="BT64" s="54"/>
      <c r="BU64" s="50"/>
      <c r="BV64" s="74"/>
      <c r="BW64" s="51">
        <f t="shared" si="175"/>
        <v>0</v>
      </c>
      <c r="BX64" s="75" t="e">
        <f>BW64/BW$106</f>
        <v>#DIV/0!</v>
      </c>
      <c r="BY64" s="54"/>
      <c r="BZ64" s="50"/>
      <c r="CA64" s="74"/>
      <c r="CB64" s="51">
        <f t="shared" si="176"/>
        <v>0</v>
      </c>
      <c r="CC64" s="75" t="e">
        <f>CB64/CB$106</f>
        <v>#DIV/0!</v>
      </c>
      <c r="CD64" s="54"/>
      <c r="CE64" s="52">
        <f t="shared" si="177"/>
        <v>0</v>
      </c>
      <c r="CF64" s="52">
        <f t="shared" si="177"/>
        <v>0</v>
      </c>
      <c r="CG64" s="51">
        <f t="shared" si="178"/>
        <v>0</v>
      </c>
      <c r="CH64" s="75">
        <f>CG64/$CG$106</f>
        <v>0</v>
      </c>
      <c r="CI64" s="88"/>
      <c r="CJ64" s="56"/>
    </row>
    <row r="65" spans="1:89" ht="24.6" customHeight="1" outlineLevel="2" x14ac:dyDescent="0.2">
      <c r="A65" s="47"/>
      <c r="B65" s="117" t="s">
        <v>179</v>
      </c>
      <c r="C65" s="85"/>
      <c r="D65" s="189"/>
      <c r="E65" s="72">
        <f t="shared" si="180"/>
        <v>0</v>
      </c>
      <c r="F65" s="75">
        <f>E65/$E$106</f>
        <v>0</v>
      </c>
      <c r="G65" s="50">
        <v>9100</v>
      </c>
      <c r="H65" s="74">
        <v>0</v>
      </c>
      <c r="I65" s="51">
        <f t="shared" si="161"/>
        <v>9100</v>
      </c>
      <c r="J65" s="75">
        <f>I65/I$106</f>
        <v>1.8368807292854089E-4</v>
      </c>
      <c r="K65" s="54"/>
      <c r="L65" s="50">
        <v>29200</v>
      </c>
      <c r="M65" s="74">
        <v>0</v>
      </c>
      <c r="N65" s="51">
        <f t="shared" si="162"/>
        <v>29200</v>
      </c>
      <c r="O65" s="75">
        <f>N65/N$106</f>
        <v>6.8531136476487716E-5</v>
      </c>
      <c r="P65" s="54"/>
      <c r="Q65" s="50">
        <f t="shared" si="163"/>
        <v>49890</v>
      </c>
      <c r="R65" s="74">
        <f t="shared" si="163"/>
        <v>0</v>
      </c>
      <c r="S65" s="51">
        <f t="shared" si="164"/>
        <v>49890</v>
      </c>
      <c r="T65" s="75">
        <f>S65/S$106</f>
        <v>2.2541480641075727E-4</v>
      </c>
      <c r="U65" s="54"/>
      <c r="V65" s="82"/>
      <c r="W65" s="74">
        <f>1800+3000</f>
        <v>4800</v>
      </c>
      <c r="X65" s="74"/>
      <c r="Y65" s="51">
        <f t="shared" si="165"/>
        <v>4800</v>
      </c>
      <c r="Z65" s="75">
        <f>Y65/Y$106</f>
        <v>1.2710830141070509E-4</v>
      </c>
      <c r="AA65" s="54" t="s">
        <v>180</v>
      </c>
      <c r="AB65" s="74">
        <f>1800+5600</f>
        <v>7400</v>
      </c>
      <c r="AC65" s="74"/>
      <c r="AD65" s="51">
        <f t="shared" si="166"/>
        <v>7400</v>
      </c>
      <c r="AE65" s="75">
        <f>AD65/AD$106</f>
        <v>2.2434804485387363E-4</v>
      </c>
      <c r="AF65" s="54" t="s">
        <v>181</v>
      </c>
      <c r="AG65" s="74">
        <f>1800+5400</f>
        <v>7200</v>
      </c>
      <c r="AH65" s="74"/>
      <c r="AI65" s="51">
        <f t="shared" si="167"/>
        <v>7200</v>
      </c>
      <c r="AJ65" s="75">
        <f>AI65/AI$106</f>
        <v>1.8560153811797837E-4</v>
      </c>
      <c r="AK65" s="54" t="s">
        <v>182</v>
      </c>
      <c r="AL65" s="74">
        <f>2400+5000+2290</f>
        <v>9690</v>
      </c>
      <c r="AM65" s="74"/>
      <c r="AN65" s="51">
        <f t="shared" si="168"/>
        <v>9690</v>
      </c>
      <c r="AO65" s="75">
        <f>AN65/AN$106</f>
        <v>2.7040727360095419E-4</v>
      </c>
      <c r="AP65" s="54" t="s">
        <v>183</v>
      </c>
      <c r="AQ65" s="74">
        <v>6600</v>
      </c>
      <c r="AR65" s="74"/>
      <c r="AS65" s="51">
        <f t="shared" si="169"/>
        <v>6600</v>
      </c>
      <c r="AT65" s="75">
        <f>AS65/AS$106</f>
        <v>1.8130078744469977E-4</v>
      </c>
      <c r="AU65" s="54" t="s">
        <v>184</v>
      </c>
      <c r="AV65" s="74">
        <v>14200</v>
      </c>
      <c r="AW65" s="74"/>
      <c r="AX65" s="51">
        <f t="shared" si="170"/>
        <v>14200</v>
      </c>
      <c r="AY65" s="75">
        <f>AX65/AX$106</f>
        <v>3.5907046161671481E-4</v>
      </c>
      <c r="AZ65" s="54" t="s">
        <v>185</v>
      </c>
      <c r="BA65" s="74"/>
      <c r="BB65" s="74"/>
      <c r="BC65" s="51">
        <f t="shared" si="171"/>
        <v>0</v>
      </c>
      <c r="BD65" s="75" t="e">
        <f>BC65/BC$106</f>
        <v>#DIV/0!</v>
      </c>
      <c r="BE65" s="54"/>
      <c r="BF65" s="74"/>
      <c r="BG65" s="74"/>
      <c r="BH65" s="51">
        <f t="shared" si="172"/>
        <v>0</v>
      </c>
      <c r="BI65" s="75" t="e">
        <f>BH65/BH$106</f>
        <v>#DIV/0!</v>
      </c>
      <c r="BJ65" s="54"/>
      <c r="BK65" s="74"/>
      <c r="BL65" s="74"/>
      <c r="BM65" s="51">
        <f t="shared" si="173"/>
        <v>0</v>
      </c>
      <c r="BN65" s="75" t="e">
        <f>BM65/BM$106</f>
        <v>#DIV/0!</v>
      </c>
      <c r="BO65" s="54"/>
      <c r="BP65" s="74"/>
      <c r="BQ65" s="74"/>
      <c r="BR65" s="51">
        <f t="shared" si="174"/>
        <v>0</v>
      </c>
      <c r="BS65" s="75" t="e">
        <f>BR65/BR$106</f>
        <v>#DIV/0!</v>
      </c>
      <c r="BT65" s="54"/>
      <c r="BU65" s="74"/>
      <c r="BV65" s="74"/>
      <c r="BW65" s="51">
        <f t="shared" si="175"/>
        <v>0</v>
      </c>
      <c r="BX65" s="75" t="e">
        <f>BW65/BW$106</f>
        <v>#DIV/0!</v>
      </c>
      <c r="BY65" s="54"/>
      <c r="BZ65" s="74"/>
      <c r="CA65" s="74"/>
      <c r="CB65" s="51">
        <f t="shared" si="176"/>
        <v>0</v>
      </c>
      <c r="CC65" s="75" t="e">
        <f>CB65/CB$106</f>
        <v>#DIV/0!</v>
      </c>
      <c r="CD65" s="54"/>
      <c r="CE65" s="52">
        <f t="shared" si="177"/>
        <v>88190</v>
      </c>
      <c r="CF65" s="52">
        <f t="shared" si="177"/>
        <v>0</v>
      </c>
      <c r="CG65" s="51">
        <f t="shared" si="178"/>
        <v>88190</v>
      </c>
      <c r="CH65" s="75">
        <f>CG65/$CG$106</f>
        <v>1.2653714431369592E-4</v>
      </c>
      <c r="CI65" s="88"/>
      <c r="CJ65" s="56">
        <v>34900</v>
      </c>
      <c r="CK65" s="2">
        <f>CJ65-CG65</f>
        <v>-53290</v>
      </c>
    </row>
    <row r="66" spans="1:89" s="57" customFormat="1" ht="24.6" customHeight="1" outlineLevel="2" x14ac:dyDescent="0.2">
      <c r="A66" s="47"/>
      <c r="B66" s="117" t="s">
        <v>186</v>
      </c>
      <c r="C66" s="85"/>
      <c r="D66" s="189"/>
      <c r="E66" s="72">
        <f t="shared" si="180"/>
        <v>0</v>
      </c>
      <c r="F66" s="75">
        <f>E66/$E$106</f>
        <v>0</v>
      </c>
      <c r="G66" s="50">
        <v>0</v>
      </c>
      <c r="H66" s="52">
        <v>0</v>
      </c>
      <c r="I66" s="51">
        <f t="shared" si="161"/>
        <v>0</v>
      </c>
      <c r="J66" s="75">
        <f>I66/I$106</f>
        <v>0</v>
      </c>
      <c r="K66" s="54"/>
      <c r="L66" s="50">
        <v>0</v>
      </c>
      <c r="M66" s="52">
        <v>0</v>
      </c>
      <c r="N66" s="51">
        <f t="shared" si="162"/>
        <v>0</v>
      </c>
      <c r="O66" s="75">
        <f>N66/N$106</f>
        <v>0</v>
      </c>
      <c r="P66" s="54"/>
      <c r="Q66" s="50">
        <f t="shared" si="163"/>
        <v>0</v>
      </c>
      <c r="R66" s="52">
        <f t="shared" si="163"/>
        <v>0</v>
      </c>
      <c r="S66" s="51">
        <f t="shared" si="164"/>
        <v>0</v>
      </c>
      <c r="T66" s="75">
        <f>S66/S$106</f>
        <v>0</v>
      </c>
      <c r="U66" s="54"/>
      <c r="V66" s="82"/>
      <c r="W66" s="50"/>
      <c r="X66" s="52"/>
      <c r="Y66" s="51">
        <f t="shared" si="165"/>
        <v>0</v>
      </c>
      <c r="Z66" s="75">
        <f>Y66/Y$106</f>
        <v>0</v>
      </c>
      <c r="AA66" s="54"/>
      <c r="AB66" s="50"/>
      <c r="AC66" s="52"/>
      <c r="AD66" s="51">
        <f t="shared" si="166"/>
        <v>0</v>
      </c>
      <c r="AE66" s="75">
        <f>AD66/AD$106</f>
        <v>0</v>
      </c>
      <c r="AF66" s="54"/>
      <c r="AG66" s="50"/>
      <c r="AH66" s="52"/>
      <c r="AI66" s="51">
        <f t="shared" si="167"/>
        <v>0</v>
      </c>
      <c r="AJ66" s="75">
        <f>AI66/AI$106</f>
        <v>0</v>
      </c>
      <c r="AK66" s="54"/>
      <c r="AL66" s="50"/>
      <c r="AM66" s="52"/>
      <c r="AN66" s="51">
        <f t="shared" si="168"/>
        <v>0</v>
      </c>
      <c r="AO66" s="75">
        <f>AN66/AN$106</f>
        <v>0</v>
      </c>
      <c r="AP66" s="54"/>
      <c r="AQ66" s="50"/>
      <c r="AR66" s="52"/>
      <c r="AS66" s="51">
        <f t="shared" si="169"/>
        <v>0</v>
      </c>
      <c r="AT66" s="75">
        <f>AS66/AS$106</f>
        <v>0</v>
      </c>
      <c r="AU66" s="54"/>
      <c r="AV66" s="50"/>
      <c r="AW66" s="52"/>
      <c r="AX66" s="51">
        <f t="shared" si="170"/>
        <v>0</v>
      </c>
      <c r="AY66" s="75">
        <f>AX66/AX$106</f>
        <v>0</v>
      </c>
      <c r="AZ66" s="54"/>
      <c r="BA66" s="50"/>
      <c r="BB66" s="52"/>
      <c r="BC66" s="51">
        <f t="shared" si="171"/>
        <v>0</v>
      </c>
      <c r="BD66" s="75" t="e">
        <f>BC66/BC$106</f>
        <v>#DIV/0!</v>
      </c>
      <c r="BE66" s="54"/>
      <c r="BF66" s="50"/>
      <c r="BG66" s="52"/>
      <c r="BH66" s="51">
        <f t="shared" si="172"/>
        <v>0</v>
      </c>
      <c r="BI66" s="75" t="e">
        <f>BH66/BH$106</f>
        <v>#DIV/0!</v>
      </c>
      <c r="BJ66" s="54"/>
      <c r="BK66" s="50"/>
      <c r="BL66" s="52"/>
      <c r="BM66" s="51">
        <f t="shared" si="173"/>
        <v>0</v>
      </c>
      <c r="BN66" s="75" t="e">
        <f>BM66/BM$106</f>
        <v>#DIV/0!</v>
      </c>
      <c r="BO66" s="54"/>
      <c r="BP66" s="50"/>
      <c r="BQ66" s="52"/>
      <c r="BR66" s="51">
        <f t="shared" si="174"/>
        <v>0</v>
      </c>
      <c r="BS66" s="75" t="e">
        <f>BR66/BR$106</f>
        <v>#DIV/0!</v>
      </c>
      <c r="BT66" s="54"/>
      <c r="BU66" s="50"/>
      <c r="BV66" s="52"/>
      <c r="BW66" s="51">
        <f t="shared" si="175"/>
        <v>0</v>
      </c>
      <c r="BX66" s="75" t="e">
        <f>BW66/BW$106</f>
        <v>#DIV/0!</v>
      </c>
      <c r="BY66" s="54"/>
      <c r="BZ66" s="50"/>
      <c r="CA66" s="52"/>
      <c r="CB66" s="51">
        <f t="shared" si="176"/>
        <v>0</v>
      </c>
      <c r="CC66" s="75" t="e">
        <f>CB66/CB$106</f>
        <v>#DIV/0!</v>
      </c>
      <c r="CD66" s="54"/>
      <c r="CE66" s="52">
        <f t="shared" si="177"/>
        <v>0</v>
      </c>
      <c r="CF66" s="52">
        <f t="shared" si="177"/>
        <v>0</v>
      </c>
      <c r="CG66" s="51">
        <f t="shared" si="178"/>
        <v>0</v>
      </c>
      <c r="CH66" s="75">
        <f>CG66/$CG$106</f>
        <v>0</v>
      </c>
      <c r="CI66" s="88"/>
      <c r="CJ66" s="56"/>
      <c r="CK66" s="56"/>
    </row>
    <row r="67" spans="1:89" s="57" customFormat="1" ht="24.6" customHeight="1" outlineLevel="2" x14ac:dyDescent="0.2">
      <c r="A67" s="47"/>
      <c r="B67" s="117" t="s">
        <v>187</v>
      </c>
      <c r="C67" s="85"/>
      <c r="D67" s="189"/>
      <c r="E67" s="72">
        <f t="shared" si="180"/>
        <v>0</v>
      </c>
      <c r="F67" s="75">
        <f>E67/$E$106</f>
        <v>0</v>
      </c>
      <c r="G67" s="53">
        <v>21200</v>
      </c>
      <c r="H67" s="52">
        <v>8600</v>
      </c>
      <c r="I67" s="51">
        <f t="shared" si="161"/>
        <v>29800</v>
      </c>
      <c r="J67" s="75">
        <f>I67/I$106</f>
        <v>6.0152797508467232E-4</v>
      </c>
      <c r="K67" s="54"/>
      <c r="L67" s="53">
        <v>323634</v>
      </c>
      <c r="M67" s="52">
        <v>66000</v>
      </c>
      <c r="N67" s="51">
        <f t="shared" si="162"/>
        <v>389634</v>
      </c>
      <c r="O67" s="75">
        <f>N67/N$106</f>
        <v>9.1445413800958259E-4</v>
      </c>
      <c r="P67" s="54"/>
      <c r="Q67" s="53">
        <f t="shared" si="163"/>
        <v>164304.68</v>
      </c>
      <c r="R67" s="52">
        <f t="shared" si="163"/>
        <v>36000</v>
      </c>
      <c r="S67" s="51">
        <f t="shared" si="164"/>
        <v>200304.68</v>
      </c>
      <c r="T67" s="75">
        <f>S67/S$106</f>
        <v>9.0502386581216038E-4</v>
      </c>
      <c r="U67" s="54"/>
      <c r="V67" s="82"/>
      <c r="W67" s="50">
        <f>3877.86+28952</f>
        <v>32829.86</v>
      </c>
      <c r="X67" s="50">
        <f>6000</f>
        <v>6000</v>
      </c>
      <c r="Y67" s="51">
        <f t="shared" si="165"/>
        <v>38829.86</v>
      </c>
      <c r="Z67" s="75">
        <f>Y67/Y$106</f>
        <v>1.0282494892948919E-3</v>
      </c>
      <c r="AA67" s="54" t="s">
        <v>188</v>
      </c>
      <c r="AB67" s="50">
        <f>3620.82+24458+8560</f>
        <v>36638.82</v>
      </c>
      <c r="AC67" s="50">
        <f>6000</f>
        <v>6000</v>
      </c>
      <c r="AD67" s="51">
        <f t="shared" si="166"/>
        <v>42638.82</v>
      </c>
      <c r="AE67" s="75">
        <f>AD67/AD$106</f>
        <v>1.2926940407940869E-3</v>
      </c>
      <c r="AF67" s="54" t="s">
        <v>189</v>
      </c>
      <c r="AG67" s="50">
        <f>28952</f>
        <v>28952</v>
      </c>
      <c r="AH67" s="50">
        <f>6000</f>
        <v>6000</v>
      </c>
      <c r="AI67" s="51">
        <f t="shared" si="167"/>
        <v>34952</v>
      </c>
      <c r="AJ67" s="75">
        <f>AI67/AI$106</f>
        <v>9.0099235559716389E-4</v>
      </c>
      <c r="AK67" s="54" t="s">
        <v>190</v>
      </c>
      <c r="AL67" s="50">
        <f>7980</f>
        <v>7980</v>
      </c>
      <c r="AM67" s="50">
        <f>6000</f>
        <v>6000</v>
      </c>
      <c r="AN67" s="51">
        <f t="shared" si="168"/>
        <v>13980</v>
      </c>
      <c r="AO67" s="75">
        <f>AN67/AN$106</f>
        <v>3.9012318730044786E-4</v>
      </c>
      <c r="AP67" s="54" t="s">
        <v>191</v>
      </c>
      <c r="AQ67" s="50"/>
      <c r="AR67" s="50">
        <f>6000</f>
        <v>6000</v>
      </c>
      <c r="AS67" s="51">
        <f t="shared" si="169"/>
        <v>6000</v>
      </c>
      <c r="AT67" s="75">
        <f>AS67/AS$106</f>
        <v>1.648188976769998E-4</v>
      </c>
      <c r="AU67" s="54" t="s">
        <v>192</v>
      </c>
      <c r="AV67" s="50">
        <f>57904</f>
        <v>57904</v>
      </c>
      <c r="AW67" s="50">
        <f>6000</f>
        <v>6000</v>
      </c>
      <c r="AX67" s="51">
        <f t="shared" si="170"/>
        <v>63904</v>
      </c>
      <c r="AY67" s="75">
        <f>AX67/AX$106</f>
        <v>1.6159182238841227E-3</v>
      </c>
      <c r="AZ67" s="54" t="s">
        <v>193</v>
      </c>
      <c r="BA67" s="50"/>
      <c r="BB67" s="50"/>
      <c r="BC67" s="51">
        <f t="shared" si="171"/>
        <v>0</v>
      </c>
      <c r="BD67" s="75" t="e">
        <f>BC67/BC$106</f>
        <v>#DIV/0!</v>
      </c>
      <c r="BE67" s="54"/>
      <c r="BF67" s="50"/>
      <c r="BG67" s="50"/>
      <c r="BH67" s="51">
        <f t="shared" si="172"/>
        <v>0</v>
      </c>
      <c r="BI67" s="75" t="e">
        <f>BH67/BH$106</f>
        <v>#DIV/0!</v>
      </c>
      <c r="BJ67" s="54"/>
      <c r="BK67" s="50"/>
      <c r="BL67" s="50"/>
      <c r="BM67" s="51">
        <f t="shared" si="173"/>
        <v>0</v>
      </c>
      <c r="BN67" s="75" t="e">
        <f>BM67/BM$106</f>
        <v>#DIV/0!</v>
      </c>
      <c r="BO67" s="54"/>
      <c r="BP67" s="50"/>
      <c r="BQ67" s="50"/>
      <c r="BR67" s="51">
        <f t="shared" si="174"/>
        <v>0</v>
      </c>
      <c r="BS67" s="75" t="e">
        <f>BR67/BR$106</f>
        <v>#DIV/0!</v>
      </c>
      <c r="BT67" s="54"/>
      <c r="BU67" s="50"/>
      <c r="BV67" s="50"/>
      <c r="BW67" s="51">
        <f t="shared" si="175"/>
        <v>0</v>
      </c>
      <c r="BX67" s="75" t="e">
        <f>BW67/BW$106</f>
        <v>#DIV/0!</v>
      </c>
      <c r="BY67" s="54"/>
      <c r="BZ67" s="50"/>
      <c r="CA67" s="50"/>
      <c r="CB67" s="51">
        <f t="shared" si="176"/>
        <v>0</v>
      </c>
      <c r="CC67" s="75" t="e">
        <f>CB67/CB$106</f>
        <v>#DIV/0!</v>
      </c>
      <c r="CD67" s="54"/>
      <c r="CE67" s="52">
        <f t="shared" si="177"/>
        <v>509138.68</v>
      </c>
      <c r="CF67" s="52">
        <f t="shared" si="177"/>
        <v>110600</v>
      </c>
      <c r="CG67" s="51">
        <f t="shared" si="178"/>
        <v>619738.67999999993</v>
      </c>
      <c r="CH67" s="75">
        <f>CG67/$CG$106</f>
        <v>8.892160424984625E-4</v>
      </c>
      <c r="CI67" s="88"/>
      <c r="CJ67" s="56"/>
      <c r="CK67" s="56"/>
    </row>
    <row r="68" spans="1:89" s="57" customFormat="1" ht="24.6" customHeight="1" outlineLevel="2" x14ac:dyDescent="0.2">
      <c r="A68" s="47"/>
      <c r="B68" s="117" t="s">
        <v>194</v>
      </c>
      <c r="C68" s="85"/>
      <c r="D68" s="189"/>
      <c r="E68" s="72">
        <f t="shared" si="180"/>
        <v>0</v>
      </c>
      <c r="F68" s="75">
        <f>E68/$E$106</f>
        <v>0</v>
      </c>
      <c r="G68" s="53">
        <v>48422.951475409835</v>
      </c>
      <c r="H68" s="52">
        <v>8949</v>
      </c>
      <c r="I68" s="51">
        <f t="shared" si="161"/>
        <v>57371.951475409835</v>
      </c>
      <c r="J68" s="75">
        <f>I68/I$106</f>
        <v>1.1580816710623945E-3</v>
      </c>
      <c r="K68" s="54"/>
      <c r="L68" s="53">
        <v>755687.45821917802</v>
      </c>
      <c r="M68" s="52">
        <v>654242</v>
      </c>
      <c r="N68" s="51">
        <f t="shared" si="162"/>
        <v>1409929.458219178</v>
      </c>
      <c r="O68" s="75">
        <f>N68/N$106</f>
        <v>3.3090434288848927E-3</v>
      </c>
      <c r="P68" s="54"/>
      <c r="Q68" s="53">
        <f t="shared" si="163"/>
        <v>0</v>
      </c>
      <c r="R68" s="52">
        <f t="shared" si="163"/>
        <v>346141</v>
      </c>
      <c r="S68" s="51">
        <f t="shared" si="164"/>
        <v>346141</v>
      </c>
      <c r="T68" s="75">
        <f>S68/S$106</f>
        <v>1.5639468131053503E-3</v>
      </c>
      <c r="U68" s="54"/>
      <c r="V68" s="82"/>
      <c r="W68" s="52"/>
      <c r="X68" s="52">
        <f>82125+5000+3500</f>
        <v>90625</v>
      </c>
      <c r="Y68" s="51">
        <f t="shared" si="165"/>
        <v>90625</v>
      </c>
      <c r="Z68" s="75">
        <f>Y68/Y$106</f>
        <v>2.3998312115302393E-3</v>
      </c>
      <c r="AA68" s="54" t="s">
        <v>195</v>
      </c>
      <c r="AB68" s="52"/>
      <c r="AC68" s="52">
        <f>82125+3500+4340</f>
        <v>89965</v>
      </c>
      <c r="AD68" s="51">
        <f t="shared" si="166"/>
        <v>89965</v>
      </c>
      <c r="AE68" s="75">
        <f>AD68/AD$106</f>
        <v>2.7274961966592894E-3</v>
      </c>
      <c r="AF68" s="54" t="s">
        <v>196</v>
      </c>
      <c r="AG68" s="52"/>
      <c r="AH68" s="52">
        <f>19977+7500+4020</f>
        <v>31497</v>
      </c>
      <c r="AI68" s="51">
        <f t="shared" si="167"/>
        <v>31497</v>
      </c>
      <c r="AJ68" s="75">
        <f>AI68/AI$106</f>
        <v>8.1192939529193956E-4</v>
      </c>
      <c r="AK68" s="54" t="s">
        <v>197</v>
      </c>
      <c r="AL68" s="52"/>
      <c r="AM68" s="52">
        <f>2500+49490+5903+3770</f>
        <v>61663</v>
      </c>
      <c r="AN68" s="51">
        <f t="shared" si="168"/>
        <v>61663</v>
      </c>
      <c r="AO68" s="75">
        <f>AN68/AN$106</f>
        <v>1.7207558010377338E-3</v>
      </c>
      <c r="AP68" s="54" t="s">
        <v>198</v>
      </c>
      <c r="AQ68" s="52"/>
      <c r="AR68" s="52">
        <v>31060</v>
      </c>
      <c r="AS68" s="51">
        <f t="shared" si="169"/>
        <v>31060</v>
      </c>
      <c r="AT68" s="75">
        <f>AS68/AS$106</f>
        <v>8.5321249364126892E-4</v>
      </c>
      <c r="AU68" s="54" t="s">
        <v>199</v>
      </c>
      <c r="AV68" s="52"/>
      <c r="AW68" s="52">
        <f>25825+2530+7200+5776</f>
        <v>41331</v>
      </c>
      <c r="AX68" s="51">
        <f t="shared" si="170"/>
        <v>41331</v>
      </c>
      <c r="AY68" s="75">
        <f>AX68/AX$106</f>
        <v>1.0451226231746789E-3</v>
      </c>
      <c r="AZ68" s="54" t="s">
        <v>200</v>
      </c>
      <c r="BA68" s="52"/>
      <c r="BB68" s="52"/>
      <c r="BC68" s="51">
        <f t="shared" si="171"/>
        <v>0</v>
      </c>
      <c r="BD68" s="75" t="e">
        <f>BC68/BC$106</f>
        <v>#DIV/0!</v>
      </c>
      <c r="BE68" s="54"/>
      <c r="BF68" s="52"/>
      <c r="BG68" s="52"/>
      <c r="BH68" s="51">
        <f t="shared" si="172"/>
        <v>0</v>
      </c>
      <c r="BI68" s="75" t="e">
        <f>BH68/BH$106</f>
        <v>#DIV/0!</v>
      </c>
      <c r="BJ68" s="54"/>
      <c r="BK68" s="52"/>
      <c r="BL68" s="52"/>
      <c r="BM68" s="51">
        <f t="shared" si="173"/>
        <v>0</v>
      </c>
      <c r="BN68" s="75" t="e">
        <f>BM68/BM$106</f>
        <v>#DIV/0!</v>
      </c>
      <c r="BO68" s="54"/>
      <c r="BP68" s="52"/>
      <c r="BQ68" s="52"/>
      <c r="BR68" s="51">
        <f t="shared" si="174"/>
        <v>0</v>
      </c>
      <c r="BS68" s="75" t="e">
        <f>BR68/BR$106</f>
        <v>#DIV/0!</v>
      </c>
      <c r="BT68" s="54"/>
      <c r="BU68" s="52"/>
      <c r="BV68" s="52"/>
      <c r="BW68" s="51">
        <f t="shared" si="175"/>
        <v>0</v>
      </c>
      <c r="BX68" s="75" t="e">
        <f>BW68/BW$106</f>
        <v>#DIV/0!</v>
      </c>
      <c r="BY68" s="54"/>
      <c r="BZ68" s="52"/>
      <c r="CA68" s="52"/>
      <c r="CB68" s="51">
        <f t="shared" si="176"/>
        <v>0</v>
      </c>
      <c r="CC68" s="75" t="e">
        <f>CB68/CB$106</f>
        <v>#DIV/0!</v>
      </c>
      <c r="CD68" s="54"/>
      <c r="CE68" s="52">
        <f t="shared" si="177"/>
        <v>804110.40969458781</v>
      </c>
      <c r="CF68" s="52">
        <f t="shared" si="177"/>
        <v>1009332</v>
      </c>
      <c r="CG68" s="51">
        <f t="shared" si="178"/>
        <v>1813442.4096945878</v>
      </c>
      <c r="CH68" s="75">
        <f>CG68/$CG$106</f>
        <v>2.6019710159893472E-3</v>
      </c>
      <c r="CI68" s="88"/>
      <c r="CJ68" s="56">
        <v>1772111.4096945878</v>
      </c>
      <c r="CK68" s="2">
        <f>CJ68-CG68</f>
        <v>-41331</v>
      </c>
    </row>
    <row r="69" spans="1:89" s="57" customFormat="1" ht="24.6" customHeight="1" outlineLevel="2" x14ac:dyDescent="0.2">
      <c r="A69" s="47"/>
      <c r="B69" s="117" t="s">
        <v>201</v>
      </c>
      <c r="C69" s="85"/>
      <c r="D69" s="189"/>
      <c r="E69" s="72">
        <f t="shared" si="180"/>
        <v>0</v>
      </c>
      <c r="F69" s="75">
        <f>E69/$E$106</f>
        <v>0</v>
      </c>
      <c r="G69" s="53">
        <v>239650</v>
      </c>
      <c r="H69" s="52">
        <v>0</v>
      </c>
      <c r="I69" s="51">
        <f t="shared" si="161"/>
        <v>239650</v>
      </c>
      <c r="J69" s="75">
        <f>I69/I$106</f>
        <v>4.8374556788269036E-3</v>
      </c>
      <c r="K69" s="54"/>
      <c r="L69" s="53">
        <v>315150</v>
      </c>
      <c r="M69" s="52">
        <v>0</v>
      </c>
      <c r="N69" s="51">
        <f t="shared" si="162"/>
        <v>315150</v>
      </c>
      <c r="O69" s="75">
        <f>N69/N$106</f>
        <v>7.3964341303305145E-4</v>
      </c>
      <c r="P69" s="54"/>
      <c r="Q69" s="53">
        <f t="shared" si="163"/>
        <v>112250</v>
      </c>
      <c r="R69" s="52">
        <f t="shared" si="163"/>
        <v>0</v>
      </c>
      <c r="S69" s="51">
        <f t="shared" si="164"/>
        <v>112250</v>
      </c>
      <c r="T69" s="75">
        <f>S69/S$106</f>
        <v>5.0717201883358396E-4</v>
      </c>
      <c r="U69" s="54"/>
      <c r="V69" s="82"/>
      <c r="W69" s="50">
        <f>62250</f>
        <v>62250</v>
      </c>
      <c r="X69" s="52"/>
      <c r="Y69" s="51">
        <f t="shared" si="165"/>
        <v>62250</v>
      </c>
      <c r="Z69" s="75">
        <f>Y69/Y$106</f>
        <v>1.6484357839200816E-3</v>
      </c>
      <c r="AA69" s="190" t="s">
        <v>202</v>
      </c>
      <c r="AB69" s="50"/>
      <c r="AC69" s="52"/>
      <c r="AD69" s="51">
        <f t="shared" si="166"/>
        <v>0</v>
      </c>
      <c r="AE69" s="75">
        <f>AD69/AD$106</f>
        <v>0</v>
      </c>
      <c r="AF69" s="190"/>
      <c r="AG69" s="50">
        <f>27500</f>
        <v>27500</v>
      </c>
      <c r="AH69" s="52"/>
      <c r="AI69" s="51">
        <f t="shared" si="167"/>
        <v>27500</v>
      </c>
      <c r="AJ69" s="75">
        <f>AI69/AI$106</f>
        <v>7.0889476364505632E-4</v>
      </c>
      <c r="AK69" s="190" t="s">
        <v>203</v>
      </c>
      <c r="AL69" s="50">
        <v>13500</v>
      </c>
      <c r="AM69" s="52"/>
      <c r="AN69" s="51">
        <f t="shared" si="168"/>
        <v>13500</v>
      </c>
      <c r="AO69" s="75">
        <f>AN69/AN$106</f>
        <v>3.7672839975365135E-4</v>
      </c>
      <c r="AP69" s="190" t="s">
        <v>203</v>
      </c>
      <c r="AQ69" s="50"/>
      <c r="AR69" s="52"/>
      <c r="AS69" s="51">
        <f t="shared" si="169"/>
        <v>0</v>
      </c>
      <c r="AT69" s="75">
        <f>AS69/AS$106</f>
        <v>0</v>
      </c>
      <c r="AU69" s="190"/>
      <c r="AV69" s="50">
        <v>9000</v>
      </c>
      <c r="AW69" s="52"/>
      <c r="AX69" s="51">
        <f t="shared" si="170"/>
        <v>9000</v>
      </c>
      <c r="AY69" s="75">
        <f>AX69/AX$106</f>
        <v>2.275798700387629E-4</v>
      </c>
      <c r="AZ69" s="190" t="s">
        <v>203</v>
      </c>
      <c r="BA69" s="50"/>
      <c r="BB69" s="52"/>
      <c r="BC69" s="51">
        <f t="shared" si="171"/>
        <v>0</v>
      </c>
      <c r="BD69" s="75" t="e">
        <f>BC69/BC$106</f>
        <v>#DIV/0!</v>
      </c>
      <c r="BE69" s="190"/>
      <c r="BF69" s="50"/>
      <c r="BG69" s="52"/>
      <c r="BH69" s="51">
        <f t="shared" si="172"/>
        <v>0</v>
      </c>
      <c r="BI69" s="75" t="e">
        <f>BH69/BH$106</f>
        <v>#DIV/0!</v>
      </c>
      <c r="BJ69" s="190"/>
      <c r="BK69" s="50"/>
      <c r="BL69" s="52"/>
      <c r="BM69" s="51">
        <f t="shared" si="173"/>
        <v>0</v>
      </c>
      <c r="BN69" s="75" t="e">
        <f>BM69/BM$106</f>
        <v>#DIV/0!</v>
      </c>
      <c r="BO69" s="190"/>
      <c r="BP69" s="50"/>
      <c r="BQ69" s="52"/>
      <c r="BR69" s="51">
        <f t="shared" si="174"/>
        <v>0</v>
      </c>
      <c r="BS69" s="75" t="e">
        <f>BR69/BR$106</f>
        <v>#DIV/0!</v>
      </c>
      <c r="BT69" s="190"/>
      <c r="BU69" s="50"/>
      <c r="BV69" s="52"/>
      <c r="BW69" s="51">
        <f t="shared" si="175"/>
        <v>0</v>
      </c>
      <c r="BX69" s="75" t="e">
        <f>BW69/BW$106</f>
        <v>#DIV/0!</v>
      </c>
      <c r="BY69" s="190"/>
      <c r="BZ69" s="50"/>
      <c r="CA69" s="52"/>
      <c r="CB69" s="51">
        <f t="shared" si="176"/>
        <v>0</v>
      </c>
      <c r="CC69" s="75" t="e">
        <f>CB69/CB$106</f>
        <v>#DIV/0!</v>
      </c>
      <c r="CD69" s="190"/>
      <c r="CE69" s="52">
        <f t="shared" si="177"/>
        <v>667050</v>
      </c>
      <c r="CF69" s="52">
        <f t="shared" si="177"/>
        <v>0</v>
      </c>
      <c r="CG69" s="51">
        <f t="shared" si="178"/>
        <v>667050</v>
      </c>
      <c r="CH69" s="75">
        <f>CG69/$CG$106</f>
        <v>9.570994683575333E-4</v>
      </c>
      <c r="CI69" s="88"/>
      <c r="CJ69" s="56">
        <v>644550</v>
      </c>
      <c r="CK69" s="2">
        <f>CJ69-CG69</f>
        <v>-22500</v>
      </c>
    </row>
    <row r="70" spans="1:89" s="57" customFormat="1" ht="24.6" customHeight="1" outlineLevel="2" x14ac:dyDescent="0.2">
      <c r="A70" s="47"/>
      <c r="B70" s="117" t="s">
        <v>204</v>
      </c>
      <c r="C70" s="191"/>
      <c r="D70" s="189"/>
      <c r="E70" s="72">
        <f t="shared" si="180"/>
        <v>0</v>
      </c>
      <c r="F70" s="75">
        <f>E70/$E$106</f>
        <v>0</v>
      </c>
      <c r="G70" s="53">
        <v>0</v>
      </c>
      <c r="H70" s="52">
        <v>4000</v>
      </c>
      <c r="I70" s="51">
        <f t="shared" si="161"/>
        <v>4000</v>
      </c>
      <c r="J70" s="75">
        <f>I70/I$106</f>
        <v>8.0742010078479508E-5</v>
      </c>
      <c r="K70" s="54"/>
      <c r="L70" s="53">
        <v>0</v>
      </c>
      <c r="M70" s="52">
        <v>28500</v>
      </c>
      <c r="N70" s="51">
        <f t="shared" si="162"/>
        <v>28500</v>
      </c>
      <c r="O70" s="75">
        <f>N70/N$106</f>
        <v>6.6888266766434925E-5</v>
      </c>
      <c r="P70" s="54"/>
      <c r="Q70" s="53">
        <f t="shared" si="163"/>
        <v>0</v>
      </c>
      <c r="R70" s="52">
        <f t="shared" si="163"/>
        <v>55000</v>
      </c>
      <c r="S70" s="51">
        <f t="shared" si="164"/>
        <v>55000</v>
      </c>
      <c r="T70" s="75">
        <f>S70/S$106</f>
        <v>2.4850299363783624E-4</v>
      </c>
      <c r="U70" s="54"/>
      <c r="V70" s="82"/>
      <c r="W70" s="50"/>
      <c r="X70" s="53"/>
      <c r="Y70" s="51">
        <f t="shared" si="165"/>
        <v>0</v>
      </c>
      <c r="Z70" s="75">
        <f>Y70/Y$106</f>
        <v>0</v>
      </c>
      <c r="AA70" s="54"/>
      <c r="AB70" s="50"/>
      <c r="AC70" s="53"/>
      <c r="AD70" s="51">
        <f t="shared" si="166"/>
        <v>0</v>
      </c>
      <c r="AE70" s="75">
        <f>AD70/AD$106</f>
        <v>0</v>
      </c>
      <c r="AF70" s="54"/>
      <c r="AG70" s="50"/>
      <c r="AH70" s="53">
        <f>15000</f>
        <v>15000</v>
      </c>
      <c r="AI70" s="51">
        <f t="shared" si="167"/>
        <v>15000</v>
      </c>
      <c r="AJ70" s="75">
        <f>AI70/AI$106</f>
        <v>3.8666987107912162E-4</v>
      </c>
      <c r="AK70" s="54" t="s">
        <v>205</v>
      </c>
      <c r="AL70" s="50"/>
      <c r="AM70" s="53">
        <v>5000</v>
      </c>
      <c r="AN70" s="51">
        <f t="shared" si="168"/>
        <v>5000</v>
      </c>
      <c r="AO70" s="75">
        <f>AN70/AN$106</f>
        <v>1.3952903694579682E-4</v>
      </c>
      <c r="AP70" s="54" t="s">
        <v>206</v>
      </c>
      <c r="AQ70" s="50"/>
      <c r="AR70" s="53">
        <f>5000+5000</f>
        <v>10000</v>
      </c>
      <c r="AS70" s="51">
        <f t="shared" si="169"/>
        <v>10000</v>
      </c>
      <c r="AT70" s="75">
        <f>AS70/AS$106</f>
        <v>2.7469816279499963E-4</v>
      </c>
      <c r="AU70" s="54" t="s">
        <v>207</v>
      </c>
      <c r="AV70" s="50"/>
      <c r="AW70" s="53">
        <f>5000+20000</f>
        <v>25000</v>
      </c>
      <c r="AX70" s="51">
        <f t="shared" si="170"/>
        <v>25000</v>
      </c>
      <c r="AY70" s="75">
        <f>AX70/AX$106</f>
        <v>6.3216630566323027E-4</v>
      </c>
      <c r="AZ70" s="54" t="s">
        <v>208</v>
      </c>
      <c r="BA70" s="50"/>
      <c r="BB70" s="53"/>
      <c r="BC70" s="51">
        <f t="shared" si="171"/>
        <v>0</v>
      </c>
      <c r="BD70" s="75" t="e">
        <f>BC70/BC$106</f>
        <v>#DIV/0!</v>
      </c>
      <c r="BE70" s="54"/>
      <c r="BF70" s="50"/>
      <c r="BG70" s="53"/>
      <c r="BH70" s="51">
        <f t="shared" si="172"/>
        <v>0</v>
      </c>
      <c r="BI70" s="75" t="e">
        <f>BH70/BH$106</f>
        <v>#DIV/0!</v>
      </c>
      <c r="BJ70" s="54"/>
      <c r="BK70" s="50"/>
      <c r="BL70" s="53"/>
      <c r="BM70" s="51">
        <f t="shared" si="173"/>
        <v>0</v>
      </c>
      <c r="BN70" s="75" t="e">
        <f>BM70/BM$106</f>
        <v>#DIV/0!</v>
      </c>
      <c r="BO70" s="54"/>
      <c r="BP70" s="50"/>
      <c r="BQ70" s="53"/>
      <c r="BR70" s="51">
        <f t="shared" si="174"/>
        <v>0</v>
      </c>
      <c r="BS70" s="75" t="e">
        <f>BR70/BR$106</f>
        <v>#DIV/0!</v>
      </c>
      <c r="BT70" s="54"/>
      <c r="BU70" s="50"/>
      <c r="BV70" s="53"/>
      <c r="BW70" s="51">
        <f t="shared" si="175"/>
        <v>0</v>
      </c>
      <c r="BX70" s="75" t="e">
        <f>BW70/BW$106</f>
        <v>#DIV/0!</v>
      </c>
      <c r="BY70" s="54"/>
      <c r="BZ70" s="50"/>
      <c r="CA70" s="53"/>
      <c r="CB70" s="51">
        <f t="shared" si="176"/>
        <v>0</v>
      </c>
      <c r="CC70" s="75" t="e">
        <f>CB70/CB$106</f>
        <v>#DIV/0!</v>
      </c>
      <c r="CD70" s="54"/>
      <c r="CE70" s="52">
        <f t="shared" si="177"/>
        <v>0</v>
      </c>
      <c r="CF70" s="52">
        <f t="shared" si="177"/>
        <v>87500</v>
      </c>
      <c r="CG70" s="51">
        <f t="shared" si="178"/>
        <v>87500</v>
      </c>
      <c r="CH70" s="75">
        <f>CG70/$CG$106</f>
        <v>1.2554711563043873E-4</v>
      </c>
      <c r="CI70" s="88"/>
      <c r="CJ70" s="56">
        <v>47500</v>
      </c>
      <c r="CK70" s="2">
        <f>CJ70-CG70</f>
        <v>-40000</v>
      </c>
    </row>
    <row r="71" spans="1:89" s="57" customFormat="1" ht="24.6" customHeight="1" outlineLevel="2" x14ac:dyDescent="0.2">
      <c r="A71" s="47"/>
      <c r="B71" s="117" t="s">
        <v>209</v>
      </c>
      <c r="C71" s="191"/>
      <c r="D71" s="189"/>
      <c r="E71" s="72">
        <f t="shared" si="180"/>
        <v>0</v>
      </c>
      <c r="F71" s="192">
        <f>E71/$E$106</f>
        <v>0</v>
      </c>
      <c r="G71" s="53">
        <v>0</v>
      </c>
      <c r="H71" s="52">
        <v>0</v>
      </c>
      <c r="I71" s="51">
        <f t="shared" si="161"/>
        <v>0</v>
      </c>
      <c r="J71" s="75">
        <f>I71/I$106</f>
        <v>0</v>
      </c>
      <c r="K71" s="54"/>
      <c r="L71" s="53">
        <v>181209.68</v>
      </c>
      <c r="M71" s="52">
        <v>40000</v>
      </c>
      <c r="N71" s="51">
        <f t="shared" si="162"/>
        <v>221209.68</v>
      </c>
      <c r="O71" s="75">
        <f>N71/N$106</f>
        <v>5.1916954691781419E-4</v>
      </c>
      <c r="P71" s="54"/>
      <c r="Q71" s="53">
        <f t="shared" si="163"/>
        <v>0</v>
      </c>
      <c r="R71" s="52">
        <f t="shared" si="163"/>
        <v>10000</v>
      </c>
      <c r="S71" s="51">
        <f t="shared" si="164"/>
        <v>10000</v>
      </c>
      <c r="T71" s="75">
        <f>S71/S$106</f>
        <v>4.5182362479606588E-5</v>
      </c>
      <c r="U71" s="54"/>
      <c r="V71" s="193"/>
      <c r="W71" s="53"/>
      <c r="X71" s="52"/>
      <c r="Y71" s="51">
        <f t="shared" si="165"/>
        <v>0</v>
      </c>
      <c r="Z71" s="75">
        <f>Y71/Y$106</f>
        <v>0</v>
      </c>
      <c r="AA71" s="54"/>
      <c r="AB71" s="53"/>
      <c r="AC71" s="52"/>
      <c r="AD71" s="51">
        <f t="shared" si="166"/>
        <v>0</v>
      </c>
      <c r="AE71" s="75">
        <f>AD71/AD$106</f>
        <v>0</v>
      </c>
      <c r="AF71" s="54"/>
      <c r="AG71" s="53"/>
      <c r="AH71" s="52"/>
      <c r="AI71" s="51">
        <f t="shared" si="167"/>
        <v>0</v>
      </c>
      <c r="AJ71" s="75">
        <f>AI71/AI$106</f>
        <v>0</v>
      </c>
      <c r="AK71" s="54"/>
      <c r="AL71" s="53"/>
      <c r="AM71" s="52"/>
      <c r="AN71" s="51">
        <f t="shared" si="168"/>
        <v>0</v>
      </c>
      <c r="AO71" s="75">
        <f>AN71/AN$106</f>
        <v>0</v>
      </c>
      <c r="AP71" s="54"/>
      <c r="AQ71" s="53"/>
      <c r="AR71" s="52"/>
      <c r="AS71" s="51">
        <f t="shared" si="169"/>
        <v>0</v>
      </c>
      <c r="AT71" s="75">
        <f>AS71/AS$106</f>
        <v>0</v>
      </c>
      <c r="AU71" s="54"/>
      <c r="AV71" s="53"/>
      <c r="AW71" s="52">
        <f>10000</f>
        <v>10000</v>
      </c>
      <c r="AX71" s="51">
        <f t="shared" si="170"/>
        <v>10000</v>
      </c>
      <c r="AY71" s="75">
        <f>AX71/AX$106</f>
        <v>2.5286652226529213E-4</v>
      </c>
      <c r="AZ71" s="54" t="s">
        <v>210</v>
      </c>
      <c r="BA71" s="53"/>
      <c r="BB71" s="52"/>
      <c r="BC71" s="51">
        <f t="shared" si="171"/>
        <v>0</v>
      </c>
      <c r="BD71" s="75" t="e">
        <f>BC71/BC$106</f>
        <v>#DIV/0!</v>
      </c>
      <c r="BE71" s="54"/>
      <c r="BF71" s="53"/>
      <c r="BG71" s="52"/>
      <c r="BH71" s="51">
        <f t="shared" si="172"/>
        <v>0</v>
      </c>
      <c r="BI71" s="75" t="e">
        <f>BH71/BH$106</f>
        <v>#DIV/0!</v>
      </c>
      <c r="BJ71" s="54"/>
      <c r="BK71" s="53"/>
      <c r="BL71" s="52"/>
      <c r="BM71" s="51">
        <f t="shared" si="173"/>
        <v>0</v>
      </c>
      <c r="BN71" s="75" t="e">
        <f>BM71/BM$106</f>
        <v>#DIV/0!</v>
      </c>
      <c r="BO71" s="54"/>
      <c r="BP71" s="53"/>
      <c r="BQ71" s="52"/>
      <c r="BR71" s="51">
        <f t="shared" si="174"/>
        <v>0</v>
      </c>
      <c r="BS71" s="75" t="e">
        <f>BR71/BR$106</f>
        <v>#DIV/0!</v>
      </c>
      <c r="BT71" s="54"/>
      <c r="BU71" s="53"/>
      <c r="BV71" s="52"/>
      <c r="BW71" s="51">
        <f t="shared" si="175"/>
        <v>0</v>
      </c>
      <c r="BX71" s="75" t="e">
        <f>BW71/BW$106</f>
        <v>#DIV/0!</v>
      </c>
      <c r="BY71" s="54"/>
      <c r="BZ71" s="53"/>
      <c r="CA71" s="52"/>
      <c r="CB71" s="51">
        <f t="shared" si="176"/>
        <v>0</v>
      </c>
      <c r="CC71" s="75" t="e">
        <f>CB71/CB$106</f>
        <v>#DIV/0!</v>
      </c>
      <c r="CD71" s="54"/>
      <c r="CE71" s="52">
        <f t="shared" si="177"/>
        <v>181209.68</v>
      </c>
      <c r="CF71" s="52">
        <f t="shared" si="177"/>
        <v>50000</v>
      </c>
      <c r="CG71" s="51">
        <f t="shared" si="178"/>
        <v>231209.68</v>
      </c>
      <c r="CH71" s="75">
        <f>CG71/$CG$106</f>
        <v>3.3174523919813416E-4</v>
      </c>
      <c r="CI71" s="88"/>
      <c r="CJ71" s="56"/>
      <c r="CK71" s="56"/>
    </row>
    <row r="72" spans="1:89" s="57" customFormat="1" ht="24.6" customHeight="1" outlineLevel="2" thickBot="1" x14ac:dyDescent="0.25">
      <c r="A72" s="47"/>
      <c r="B72" s="58"/>
      <c r="C72" s="194"/>
      <c r="D72" s="195"/>
      <c r="E72" s="72"/>
      <c r="F72" s="192"/>
      <c r="G72" s="63"/>
      <c r="H72" s="196"/>
      <c r="I72" s="197"/>
      <c r="J72" s="192"/>
      <c r="K72" s="198"/>
      <c r="L72" s="63"/>
      <c r="M72" s="196"/>
      <c r="N72" s="197"/>
      <c r="O72" s="192"/>
      <c r="P72" s="198"/>
      <c r="Q72" s="63"/>
      <c r="R72" s="196"/>
      <c r="S72" s="197"/>
      <c r="T72" s="192"/>
      <c r="U72" s="198"/>
      <c r="V72" s="193"/>
      <c r="W72" s="63"/>
      <c r="X72" s="196"/>
      <c r="Y72" s="197"/>
      <c r="Z72" s="192"/>
      <c r="AA72" s="198"/>
      <c r="AB72" s="63"/>
      <c r="AC72" s="196"/>
      <c r="AD72" s="197"/>
      <c r="AE72" s="192"/>
      <c r="AF72" s="198"/>
      <c r="AG72" s="63"/>
      <c r="AH72" s="196"/>
      <c r="AI72" s="197"/>
      <c r="AJ72" s="192"/>
      <c r="AK72" s="198"/>
      <c r="AL72" s="63"/>
      <c r="AM72" s="196"/>
      <c r="AN72" s="197"/>
      <c r="AO72" s="192"/>
      <c r="AP72" s="198"/>
      <c r="AQ72" s="63"/>
      <c r="AR72" s="196"/>
      <c r="AS72" s="197"/>
      <c r="AT72" s="192"/>
      <c r="AU72" s="198"/>
      <c r="AV72" s="63"/>
      <c r="AW72" s="196"/>
      <c r="AX72" s="197"/>
      <c r="AY72" s="192"/>
      <c r="AZ72" s="198"/>
      <c r="BA72" s="63"/>
      <c r="BB72" s="196"/>
      <c r="BC72" s="197"/>
      <c r="BD72" s="192"/>
      <c r="BE72" s="198"/>
      <c r="BF72" s="63"/>
      <c r="BG72" s="196"/>
      <c r="BH72" s="197"/>
      <c r="BI72" s="192"/>
      <c r="BJ72" s="198"/>
      <c r="BK72" s="63"/>
      <c r="BL72" s="196"/>
      <c r="BM72" s="197"/>
      <c r="BN72" s="192"/>
      <c r="BO72" s="198"/>
      <c r="BP72" s="63"/>
      <c r="BQ72" s="196"/>
      <c r="BR72" s="197"/>
      <c r="BS72" s="192"/>
      <c r="BT72" s="198"/>
      <c r="BU72" s="63"/>
      <c r="BV72" s="196"/>
      <c r="BW72" s="197"/>
      <c r="BX72" s="192"/>
      <c r="BY72" s="198"/>
      <c r="BZ72" s="63"/>
      <c r="CA72" s="196"/>
      <c r="CB72" s="197"/>
      <c r="CC72" s="192"/>
      <c r="CD72" s="198"/>
      <c r="CE72" s="52"/>
      <c r="CF72" s="52"/>
      <c r="CG72" s="197"/>
      <c r="CH72" s="192">
        <f>CG72/$CG$106</f>
        <v>0</v>
      </c>
      <c r="CI72" s="199"/>
      <c r="CJ72" s="56"/>
      <c r="CK72" s="56"/>
    </row>
    <row r="73" spans="1:89" s="57" customFormat="1" ht="14.45" customHeight="1" outlineLevel="1" thickBot="1" x14ac:dyDescent="0.25">
      <c r="A73" s="47"/>
      <c r="B73" s="200"/>
      <c r="C73" s="201">
        <f>C74</f>
        <v>0</v>
      </c>
      <c r="D73" s="202">
        <f>D74</f>
        <v>0</v>
      </c>
      <c r="E73" s="202">
        <f>E74</f>
        <v>0</v>
      </c>
      <c r="F73" s="203">
        <f>E73/$E$106</f>
        <v>0</v>
      </c>
      <c r="G73" s="201">
        <f>G74</f>
        <v>0</v>
      </c>
      <c r="H73" s="201">
        <f>H74</f>
        <v>0</v>
      </c>
      <c r="I73" s="204">
        <f>I74</f>
        <v>0</v>
      </c>
      <c r="J73" s="205">
        <f>I73/I$106</f>
        <v>0</v>
      </c>
      <c r="K73" s="206"/>
      <c r="L73" s="201">
        <f>L74</f>
        <v>0</v>
      </c>
      <c r="M73" s="201">
        <f>M74</f>
        <v>0</v>
      </c>
      <c r="N73" s="204">
        <f>N74</f>
        <v>0</v>
      </c>
      <c r="O73" s="205">
        <f>N73/N$106</f>
        <v>0</v>
      </c>
      <c r="P73" s="206"/>
      <c r="Q73" s="201">
        <f>Q74</f>
        <v>0</v>
      </c>
      <c r="R73" s="201">
        <f>R74</f>
        <v>0</v>
      </c>
      <c r="S73" s="204">
        <f>S74</f>
        <v>0</v>
      </c>
      <c r="T73" s="205">
        <f>S73/S$106</f>
        <v>0</v>
      </c>
      <c r="U73" s="206"/>
      <c r="V73" s="207"/>
      <c r="W73" s="201">
        <f t="shared" ref="W73:Y73" si="181">W74</f>
        <v>0</v>
      </c>
      <c r="X73" s="201">
        <f t="shared" si="181"/>
        <v>0</v>
      </c>
      <c r="Y73" s="204">
        <f t="shared" si="181"/>
        <v>0</v>
      </c>
      <c r="Z73" s="205">
        <f>Y73/Y$106</f>
        <v>0</v>
      </c>
      <c r="AA73" s="206"/>
      <c r="AB73" s="201">
        <f t="shared" ref="AB73:AD73" si="182">AB74</f>
        <v>0</v>
      </c>
      <c r="AC73" s="201">
        <f t="shared" si="182"/>
        <v>0</v>
      </c>
      <c r="AD73" s="204">
        <f t="shared" si="182"/>
        <v>0</v>
      </c>
      <c r="AE73" s="205">
        <f>AD73/AD$106</f>
        <v>0</v>
      </c>
      <c r="AF73" s="206"/>
      <c r="AG73" s="201">
        <f t="shared" ref="AG73:AI73" si="183">AG74</f>
        <v>0</v>
      </c>
      <c r="AH73" s="201">
        <f t="shared" si="183"/>
        <v>0</v>
      </c>
      <c r="AI73" s="204">
        <f t="shared" si="183"/>
        <v>0</v>
      </c>
      <c r="AJ73" s="205">
        <f>AI73/AI$106</f>
        <v>0</v>
      </c>
      <c r="AK73" s="206"/>
      <c r="AL73" s="201">
        <f t="shared" ref="AL73:AN73" si="184">AL74</f>
        <v>0</v>
      </c>
      <c r="AM73" s="201">
        <f t="shared" si="184"/>
        <v>0</v>
      </c>
      <c r="AN73" s="204">
        <f t="shared" si="184"/>
        <v>0</v>
      </c>
      <c r="AO73" s="205">
        <f>AN73/AN$106</f>
        <v>0</v>
      </c>
      <c r="AP73" s="206"/>
      <c r="AQ73" s="201">
        <f t="shared" ref="AQ73:AS73" si="185">AQ74</f>
        <v>0</v>
      </c>
      <c r="AR73" s="201">
        <f t="shared" si="185"/>
        <v>0</v>
      </c>
      <c r="AS73" s="204">
        <f t="shared" si="185"/>
        <v>0</v>
      </c>
      <c r="AT73" s="205">
        <f>AS73/AS$106</f>
        <v>0</v>
      </c>
      <c r="AU73" s="206"/>
      <c r="AV73" s="201">
        <f t="shared" ref="AV73:AX73" si="186">AV74</f>
        <v>0</v>
      </c>
      <c r="AW73" s="201">
        <f t="shared" si="186"/>
        <v>0</v>
      </c>
      <c r="AX73" s="204">
        <f t="shared" si="186"/>
        <v>0</v>
      </c>
      <c r="AY73" s="205">
        <f>AX73/AX$106</f>
        <v>0</v>
      </c>
      <c r="AZ73" s="206"/>
      <c r="BA73" s="201">
        <f t="shared" ref="BA73:BC73" si="187">BA74</f>
        <v>0</v>
      </c>
      <c r="BB73" s="201">
        <f t="shared" si="187"/>
        <v>0</v>
      </c>
      <c r="BC73" s="204">
        <f t="shared" si="187"/>
        <v>0</v>
      </c>
      <c r="BD73" s="205" t="e">
        <f>BC73/BC$106</f>
        <v>#DIV/0!</v>
      </c>
      <c r="BE73" s="206"/>
      <c r="BF73" s="201">
        <f t="shared" ref="BF73:BH73" si="188">BF74</f>
        <v>0</v>
      </c>
      <c r="BG73" s="201">
        <f t="shared" si="188"/>
        <v>0</v>
      </c>
      <c r="BH73" s="204">
        <f t="shared" si="188"/>
        <v>0</v>
      </c>
      <c r="BI73" s="205" t="e">
        <f>BH73/BH$106</f>
        <v>#DIV/0!</v>
      </c>
      <c r="BJ73" s="206"/>
      <c r="BK73" s="201">
        <f t="shared" ref="BK73:BM73" si="189">BK74</f>
        <v>0</v>
      </c>
      <c r="BL73" s="201">
        <f t="shared" si="189"/>
        <v>0</v>
      </c>
      <c r="BM73" s="204">
        <f t="shared" si="189"/>
        <v>0</v>
      </c>
      <c r="BN73" s="205" t="e">
        <f>BM73/BM$106</f>
        <v>#DIV/0!</v>
      </c>
      <c r="BO73" s="206"/>
      <c r="BP73" s="201">
        <f t="shared" ref="BP73:BR73" si="190">BP74</f>
        <v>0</v>
      </c>
      <c r="BQ73" s="201">
        <f t="shared" si="190"/>
        <v>0</v>
      </c>
      <c r="BR73" s="204">
        <f t="shared" si="190"/>
        <v>0</v>
      </c>
      <c r="BS73" s="205" t="e">
        <f>BR73/BR$106</f>
        <v>#DIV/0!</v>
      </c>
      <c r="BT73" s="206"/>
      <c r="BU73" s="201">
        <f>BU74</f>
        <v>0</v>
      </c>
      <c r="BV73" s="201">
        <f>BV74</f>
        <v>0</v>
      </c>
      <c r="BW73" s="204">
        <f>BW74</f>
        <v>0</v>
      </c>
      <c r="BX73" s="205" t="e">
        <f>BW73/BW$106</f>
        <v>#DIV/0!</v>
      </c>
      <c r="BY73" s="206"/>
      <c r="BZ73" s="201">
        <f>BZ74</f>
        <v>0</v>
      </c>
      <c r="CA73" s="201">
        <f>CA74</f>
        <v>0</v>
      </c>
      <c r="CB73" s="204">
        <f>CB74</f>
        <v>0</v>
      </c>
      <c r="CC73" s="205" t="e">
        <f>CB73/CB$106</f>
        <v>#DIV/0!</v>
      </c>
      <c r="CD73" s="206"/>
      <c r="CE73" s="201">
        <f>CE74</f>
        <v>0</v>
      </c>
      <c r="CF73" s="205">
        <f>CF74</f>
        <v>0</v>
      </c>
      <c r="CG73" s="204">
        <f>CG74</f>
        <v>0</v>
      </c>
      <c r="CH73" s="205"/>
      <c r="CI73" s="205"/>
      <c r="CJ73" s="56"/>
      <c r="CK73" s="56"/>
    </row>
    <row r="74" spans="1:89" s="57" customFormat="1" ht="14.45" customHeight="1" outlineLevel="1" thickBot="1" x14ac:dyDescent="0.25">
      <c r="A74" s="179"/>
      <c r="B74" s="208"/>
      <c r="C74" s="209"/>
      <c r="D74" s="210"/>
      <c r="E74" s="211">
        <f>C74+D74</f>
        <v>0</v>
      </c>
      <c r="F74" s="212"/>
      <c r="G74" s="96">
        <v>0</v>
      </c>
      <c r="H74" s="97">
        <v>0</v>
      </c>
      <c r="I74" s="213">
        <f>G74+H74*1</f>
        <v>0</v>
      </c>
      <c r="J74" s="88">
        <f>I74/I$106</f>
        <v>0</v>
      </c>
      <c r="K74" s="101"/>
      <c r="L74" s="96">
        <f>R74+W74+AB74+AG74+AL74+AQ74+AV74+BA74+BF74+BK74+BP74+BU74</f>
        <v>0</v>
      </c>
      <c r="M74" s="97">
        <f>S74+X74+AC74+AH74+AM74+AR74+AW74+BB74+BG74+BL74+BQ74+BV74</f>
        <v>0</v>
      </c>
      <c r="N74" s="213">
        <f>L74+M74*1</f>
        <v>0</v>
      </c>
      <c r="O74" s="88">
        <f>N74/N$106</f>
        <v>0</v>
      </c>
      <c r="P74" s="101"/>
      <c r="Q74" s="96">
        <f>W74+AB74+AG74+AL74+AQ74+AV74+BA74+BF74+BK74+BP74+BU74+BZ74</f>
        <v>0</v>
      </c>
      <c r="R74" s="97">
        <f>X74+AC74+AH74+AM74+AR74+AW74+BB74+BG74+BL74+BQ74+BV74+CA74</f>
        <v>0</v>
      </c>
      <c r="S74" s="213">
        <f>Q74+R74*1</f>
        <v>0</v>
      </c>
      <c r="T74" s="88">
        <f>S74/S$106</f>
        <v>0</v>
      </c>
      <c r="U74" s="101"/>
      <c r="V74" s="214"/>
      <c r="W74" s="96"/>
      <c r="X74" s="97"/>
      <c r="Y74" s="213">
        <f t="shared" ref="Y74" si="191">W74+X74*1</f>
        <v>0</v>
      </c>
      <c r="Z74" s="215">
        <f>Y74/Y$106</f>
        <v>0</v>
      </c>
      <c r="AA74" s="101"/>
      <c r="AB74" s="96"/>
      <c r="AC74" s="97"/>
      <c r="AD74" s="213">
        <f t="shared" ref="AD74" si="192">AB74+AC74*1</f>
        <v>0</v>
      </c>
      <c r="AE74" s="215">
        <f>AD74/AD$106</f>
        <v>0</v>
      </c>
      <c r="AF74" s="101"/>
      <c r="AG74" s="96"/>
      <c r="AH74" s="97"/>
      <c r="AI74" s="213">
        <f t="shared" ref="AI74" si="193">AG74+AH74*1</f>
        <v>0</v>
      </c>
      <c r="AJ74" s="215">
        <f>AI74/AI$106</f>
        <v>0</v>
      </c>
      <c r="AK74" s="101"/>
      <c r="AL74" s="96"/>
      <c r="AM74" s="97"/>
      <c r="AN74" s="213">
        <f t="shared" ref="AN74" si="194">AL74+AM74*1</f>
        <v>0</v>
      </c>
      <c r="AO74" s="215">
        <f>AN74/AN$106</f>
        <v>0</v>
      </c>
      <c r="AP74" s="101"/>
      <c r="AQ74" s="96"/>
      <c r="AR74" s="97"/>
      <c r="AS74" s="213">
        <f t="shared" ref="AS74" si="195">AQ74+AR74*1</f>
        <v>0</v>
      </c>
      <c r="AT74" s="215">
        <f>AS74/AS$106</f>
        <v>0</v>
      </c>
      <c r="AU74" s="101"/>
      <c r="AV74" s="96"/>
      <c r="AW74" s="97"/>
      <c r="AX74" s="213">
        <f t="shared" ref="AX74" si="196">AV74+AW74*1</f>
        <v>0</v>
      </c>
      <c r="AY74" s="215">
        <f>AX74/AX$106</f>
        <v>0</v>
      </c>
      <c r="AZ74" s="101"/>
      <c r="BA74" s="96"/>
      <c r="BB74" s="97"/>
      <c r="BC74" s="213">
        <f t="shared" ref="BC74" si="197">BA74+BB74*1</f>
        <v>0</v>
      </c>
      <c r="BD74" s="215" t="e">
        <f>BC74/BC$106</f>
        <v>#DIV/0!</v>
      </c>
      <c r="BE74" s="101"/>
      <c r="BF74" s="96"/>
      <c r="BG74" s="97"/>
      <c r="BH74" s="213">
        <f t="shared" ref="BH74" si="198">BF74+BG74*1</f>
        <v>0</v>
      </c>
      <c r="BI74" s="215" t="e">
        <f>BH74/BH$106</f>
        <v>#DIV/0!</v>
      </c>
      <c r="BJ74" s="101"/>
      <c r="BK74" s="96"/>
      <c r="BL74" s="97"/>
      <c r="BM74" s="213">
        <f t="shared" ref="BM74" si="199">BK74+BL74*1</f>
        <v>0</v>
      </c>
      <c r="BN74" s="215" t="e">
        <f>BM74/BM$106</f>
        <v>#DIV/0!</v>
      </c>
      <c r="BO74" s="101"/>
      <c r="BP74" s="96"/>
      <c r="BQ74" s="97"/>
      <c r="BR74" s="213">
        <f t="shared" ref="BR74" si="200">BP74+BQ74*1</f>
        <v>0</v>
      </c>
      <c r="BS74" s="215" t="e">
        <f>BR74/BR$106</f>
        <v>#DIV/0!</v>
      </c>
      <c r="BT74" s="101"/>
      <c r="BU74" s="96"/>
      <c r="BV74" s="97"/>
      <c r="BW74" s="213">
        <f>BU74+BV74*1</f>
        <v>0</v>
      </c>
      <c r="BX74" s="215" t="e">
        <f>BW74/BW$106</f>
        <v>#DIV/0!</v>
      </c>
      <c r="BY74" s="101"/>
      <c r="BZ74" s="96"/>
      <c r="CA74" s="97"/>
      <c r="CB74" s="213">
        <f>BZ74+CA74*1</f>
        <v>0</v>
      </c>
      <c r="CC74" s="215" t="e">
        <f>CB74/CB$106</f>
        <v>#DIV/0!</v>
      </c>
      <c r="CD74" s="101"/>
      <c r="CE74" s="52">
        <f>G74+Q74+L74</f>
        <v>0</v>
      </c>
      <c r="CF74" s="52">
        <f>H74+R74+M74</f>
        <v>0</v>
      </c>
      <c r="CG74" s="51">
        <f>CE74+CF74*1</f>
        <v>0</v>
      </c>
      <c r="CH74" s="215">
        <f>CG74/$CG$106</f>
        <v>0</v>
      </c>
      <c r="CI74" s="216"/>
      <c r="CJ74" s="56"/>
      <c r="CK74" s="56"/>
    </row>
    <row r="75" spans="1:89" s="57" customFormat="1" ht="14.45" customHeight="1" thickBot="1" x14ac:dyDescent="0.25">
      <c r="A75" s="217"/>
      <c r="B75" s="131" t="s">
        <v>237</v>
      </c>
      <c r="C75" s="218">
        <f>C38-C41-C50-C54</f>
        <v>0</v>
      </c>
      <c r="D75" s="218">
        <f>D38-D41-D50-D54</f>
        <v>0</v>
      </c>
      <c r="E75" s="219">
        <f>E38-E41-E50-E54</f>
        <v>0</v>
      </c>
      <c r="F75" s="220"/>
      <c r="G75" s="221">
        <f>G38-G41-G50-G54</f>
        <v>13879111.454524586</v>
      </c>
      <c r="H75" s="221">
        <f>H38-H41-H50-H54</f>
        <v>-4393853.5600000005</v>
      </c>
      <c r="I75" s="219">
        <f>I38-I41-I50-I54</f>
        <v>9485257.894524591</v>
      </c>
      <c r="J75" s="222"/>
      <c r="K75" s="223"/>
      <c r="L75" s="221">
        <f>L38-L41-L50-L54</f>
        <v>174117093.69688076</v>
      </c>
      <c r="M75" s="221">
        <f>M38-M41-M50-M54</f>
        <v>-38468397.25</v>
      </c>
      <c r="N75" s="219">
        <f>N38-N41-N50-N54</f>
        <v>135648696.44688076</v>
      </c>
      <c r="O75" s="222"/>
      <c r="P75" s="223"/>
      <c r="Q75" s="221">
        <f>Q38-Q41-Q50-Q54</f>
        <v>86858066.178000048</v>
      </c>
      <c r="R75" s="221">
        <f>R38-R41-R50-R54</f>
        <v>-27489270.509999998</v>
      </c>
      <c r="S75" s="219">
        <f>S38-S41-S50-S54</f>
        <v>59368795.668000065</v>
      </c>
      <c r="T75" s="222"/>
      <c r="U75" s="223"/>
      <c r="V75" s="220"/>
      <c r="W75" s="221">
        <f t="shared" ref="W75:Y75" si="201">W38-W41-W50-W54</f>
        <v>19053231.368000008</v>
      </c>
      <c r="X75" s="221">
        <f t="shared" si="201"/>
        <v>-3547120.21</v>
      </c>
      <c r="Y75" s="219">
        <f t="shared" si="201"/>
        <v>15506111.158000007</v>
      </c>
      <c r="Z75" s="222"/>
      <c r="AA75" s="223"/>
      <c r="AB75" s="221">
        <f t="shared" ref="AB75:AD75" si="202">AB38-AB41-AB50-AB54</f>
        <v>9407752.3980000038</v>
      </c>
      <c r="AC75" s="221">
        <f t="shared" si="202"/>
        <v>-3264487.6399999997</v>
      </c>
      <c r="AD75" s="219">
        <f t="shared" si="202"/>
        <v>6143264.758000005</v>
      </c>
      <c r="AE75" s="222"/>
      <c r="AF75" s="223"/>
      <c r="AG75" s="221">
        <f t="shared" ref="AG75:AI75" si="203">AG38-AG41-AG50-AG54</f>
        <v>15081439.120000007</v>
      </c>
      <c r="AH75" s="221">
        <f t="shared" si="203"/>
        <v>-5311008.34</v>
      </c>
      <c r="AI75" s="219">
        <f t="shared" si="203"/>
        <v>9770430.7800000105</v>
      </c>
      <c r="AJ75" s="222"/>
      <c r="AK75" s="223"/>
      <c r="AL75" s="221">
        <f t="shared" ref="AL75:AN75" si="204">AL38-AL41-AL50-AL54</f>
        <v>11440201.279999996</v>
      </c>
      <c r="AM75" s="221">
        <f t="shared" si="204"/>
        <v>-3186612.25</v>
      </c>
      <c r="AN75" s="219">
        <f t="shared" si="204"/>
        <v>8253589.0299999965</v>
      </c>
      <c r="AO75" s="222"/>
      <c r="AP75" s="223"/>
      <c r="AQ75" s="221">
        <f t="shared" ref="AQ75:AS75" si="205">AQ38-AQ41-AQ50-AQ54</f>
        <v>14743496.18599999</v>
      </c>
      <c r="AR75" s="221">
        <f t="shared" si="205"/>
        <v>-6422881.2600000007</v>
      </c>
      <c r="AS75" s="219">
        <f t="shared" si="205"/>
        <v>8320614.9259999925</v>
      </c>
      <c r="AT75" s="222"/>
      <c r="AU75" s="223"/>
      <c r="AV75" s="221">
        <f t="shared" ref="AV75:AX75" si="206">AV38-AV41-AV50-AV54</f>
        <v>17131945.826000009</v>
      </c>
      <c r="AW75" s="221">
        <f t="shared" si="206"/>
        <v>-5757160.8099999996</v>
      </c>
      <c r="AX75" s="219">
        <f t="shared" si="206"/>
        <v>11374785.016000014</v>
      </c>
      <c r="AY75" s="222"/>
      <c r="AZ75" s="223"/>
      <c r="BA75" s="221">
        <f t="shared" ref="BA75:BC75" si="207">BA38-BA41-BA50-BA54</f>
        <v>0</v>
      </c>
      <c r="BB75" s="221">
        <f t="shared" si="207"/>
        <v>0</v>
      </c>
      <c r="BC75" s="219">
        <f t="shared" si="207"/>
        <v>0</v>
      </c>
      <c r="BD75" s="222"/>
      <c r="BE75" s="223"/>
      <c r="BF75" s="221">
        <f t="shared" ref="BF75:BH75" si="208">BF38-BF41-BF50-BF54</f>
        <v>0</v>
      </c>
      <c r="BG75" s="221">
        <f t="shared" si="208"/>
        <v>0</v>
      </c>
      <c r="BH75" s="219">
        <f t="shared" si="208"/>
        <v>0</v>
      </c>
      <c r="BI75" s="222"/>
      <c r="BJ75" s="223"/>
      <c r="BK75" s="221">
        <f t="shared" ref="BK75:BM75" si="209">BK38-BK41-BK50-BK54</f>
        <v>0</v>
      </c>
      <c r="BL75" s="221">
        <f t="shared" si="209"/>
        <v>0</v>
      </c>
      <c r="BM75" s="219">
        <f t="shared" si="209"/>
        <v>0</v>
      </c>
      <c r="BN75" s="222"/>
      <c r="BO75" s="223"/>
      <c r="BP75" s="221">
        <f t="shared" ref="BP75:BR75" si="210">BP38-BP41-BP50-BP54</f>
        <v>0</v>
      </c>
      <c r="BQ75" s="221">
        <f t="shared" si="210"/>
        <v>0</v>
      </c>
      <c r="BR75" s="219">
        <f t="shared" si="210"/>
        <v>0</v>
      </c>
      <c r="BS75" s="222"/>
      <c r="BT75" s="223"/>
      <c r="BU75" s="221">
        <f>BU38-BU41-BU50-BU54</f>
        <v>0</v>
      </c>
      <c r="BV75" s="221">
        <f>BV38-BV41-BV50-BV54</f>
        <v>0</v>
      </c>
      <c r="BW75" s="219">
        <f>BW38-BW41-BW50-BW54</f>
        <v>0</v>
      </c>
      <c r="BX75" s="222"/>
      <c r="BY75" s="223"/>
      <c r="BZ75" s="221">
        <f>BZ38-BZ41-BZ50-BZ54</f>
        <v>0</v>
      </c>
      <c r="CA75" s="221">
        <f>CA38-CA41-CA50-CA54</f>
        <v>0</v>
      </c>
      <c r="CB75" s="219">
        <f>CB38-CB41-CB50-CB54</f>
        <v>0</v>
      </c>
      <c r="CC75" s="222"/>
      <c r="CD75" s="223"/>
      <c r="CE75" s="221">
        <f>CE38-CE41-CE50-CE54</f>
        <v>274854271.32940549</v>
      </c>
      <c r="CF75" s="221">
        <f>CF38-CF41-CF50-CF54</f>
        <v>-70351521.319999993</v>
      </c>
      <c r="CG75" s="219">
        <f>CG38-CG41-CG50-CG54</f>
        <v>204502750.00940534</v>
      </c>
      <c r="CH75" s="222"/>
      <c r="CI75" s="222"/>
      <c r="CJ75" s="56"/>
      <c r="CK75" s="56"/>
    </row>
    <row r="76" spans="1:89" s="57" customFormat="1" ht="14.45" customHeight="1" thickBot="1" x14ac:dyDescent="0.25">
      <c r="A76" s="176"/>
      <c r="B76" s="136" t="s">
        <v>238</v>
      </c>
      <c r="C76" s="137" t="e">
        <f>C75/C5</f>
        <v>#DIV/0!</v>
      </c>
      <c r="D76" s="137" t="e">
        <f>D75/D5</f>
        <v>#DIV/0!</v>
      </c>
      <c r="E76" s="138" t="e">
        <f>E75/E5</f>
        <v>#DIV/0!</v>
      </c>
      <c r="F76" s="139"/>
      <c r="G76" s="140">
        <f>G75/G5</f>
        <v>0.23853669385598586</v>
      </c>
      <c r="H76" s="140" t="e">
        <f>H75/H5</f>
        <v>#DIV/0!</v>
      </c>
      <c r="I76" s="141">
        <f>I75/I5</f>
        <v>0.16302067073563878</v>
      </c>
      <c r="J76" s="141"/>
      <c r="K76" s="224"/>
      <c r="L76" s="140">
        <f>L75/L5</f>
        <v>0.31366234626609968</v>
      </c>
      <c r="M76" s="140" t="e">
        <f>M75/M5</f>
        <v>#DIV/0!</v>
      </c>
      <c r="N76" s="141">
        <f>N75/N5</f>
        <v>0.24436364915174777</v>
      </c>
      <c r="O76" s="141"/>
      <c r="P76" s="224"/>
      <c r="Q76" s="140">
        <f>Q75/Q5</f>
        <v>0.31495789053234685</v>
      </c>
      <c r="R76" s="140" t="e">
        <f>R75/R5</f>
        <v>#DIV/0!</v>
      </c>
      <c r="S76" s="141">
        <f>S75/S5</f>
        <v>0.21527845909808371</v>
      </c>
      <c r="T76" s="141"/>
      <c r="U76" s="224"/>
      <c r="V76" s="139"/>
      <c r="W76" s="140">
        <f t="shared" ref="W76:Y76" si="211">W75/W5</f>
        <v>0.36171578352917844</v>
      </c>
      <c r="X76" s="140" t="e">
        <f t="shared" si="211"/>
        <v>#DIV/0!</v>
      </c>
      <c r="Y76" s="141">
        <f t="shared" si="211"/>
        <v>0.29437553340303863</v>
      </c>
      <c r="Z76" s="141"/>
      <c r="AA76" s="224"/>
      <c r="AB76" s="140">
        <f t="shared" ref="AB76:AD76" si="212">AB75/AB5</f>
        <v>0.2447833910834824</v>
      </c>
      <c r="AC76" s="140" t="e">
        <f t="shared" si="212"/>
        <v>#DIV/0!</v>
      </c>
      <c r="AD76" s="141">
        <f t="shared" si="212"/>
        <v>0.15984361791946999</v>
      </c>
      <c r="AE76" s="141"/>
      <c r="AF76" s="224"/>
      <c r="AG76" s="140">
        <f t="shared" ref="AG76:AI76" si="213">AG75/AG5</f>
        <v>0.31649791356436374</v>
      </c>
      <c r="AH76" s="140" t="e">
        <f t="shared" si="213"/>
        <v>#DIV/0!</v>
      </c>
      <c r="AI76" s="141">
        <f t="shared" si="213"/>
        <v>0.20504150379085581</v>
      </c>
      <c r="AJ76" s="141"/>
      <c r="AK76" s="224"/>
      <c r="AL76" s="140">
        <f t="shared" ref="AL76:AN76" si="214">AL75/AL5</f>
        <v>0.26279402640553901</v>
      </c>
      <c r="AM76" s="140" t="e">
        <f t="shared" si="214"/>
        <v>#DIV/0!</v>
      </c>
      <c r="AN76" s="141">
        <f t="shared" si="214"/>
        <v>0.18959403251778162</v>
      </c>
      <c r="AO76" s="141"/>
      <c r="AP76" s="224"/>
      <c r="AQ76" s="140">
        <f t="shared" ref="AQ76:AS76" si="215">AQ75/AQ5</f>
        <v>0.33811321137517025</v>
      </c>
      <c r="AR76" s="140" t="e">
        <f t="shared" si="215"/>
        <v>#DIV/0!</v>
      </c>
      <c r="AS76" s="141">
        <f t="shared" si="215"/>
        <v>0.19081700824241893</v>
      </c>
      <c r="AT76" s="141"/>
      <c r="AU76" s="224"/>
      <c r="AV76" s="140">
        <f t="shared" ref="AV76:AX76" si="216">AV75/AV5</f>
        <v>0.34346292859850347</v>
      </c>
      <c r="AW76" s="140" t="e">
        <f t="shared" si="216"/>
        <v>#DIV/0!</v>
      </c>
      <c r="AX76" s="141">
        <f t="shared" si="216"/>
        <v>0.22804280456249312</v>
      </c>
      <c r="AY76" s="141"/>
      <c r="AZ76" s="224"/>
      <c r="BA76" s="140" t="e">
        <f t="shared" ref="BA76:BC76" si="217">BA75/BA5</f>
        <v>#DIV/0!</v>
      </c>
      <c r="BB76" s="140" t="e">
        <f t="shared" si="217"/>
        <v>#DIV/0!</v>
      </c>
      <c r="BC76" s="141" t="e">
        <f t="shared" si="217"/>
        <v>#DIV/0!</v>
      </c>
      <c r="BD76" s="141"/>
      <c r="BE76" s="224"/>
      <c r="BF76" s="140" t="e">
        <f t="shared" ref="BF76:BH76" si="218">BF75/BF5</f>
        <v>#DIV/0!</v>
      </c>
      <c r="BG76" s="140" t="e">
        <f t="shared" si="218"/>
        <v>#DIV/0!</v>
      </c>
      <c r="BH76" s="141" t="e">
        <f t="shared" si="218"/>
        <v>#DIV/0!</v>
      </c>
      <c r="BI76" s="141"/>
      <c r="BJ76" s="224"/>
      <c r="BK76" s="140" t="e">
        <f t="shared" ref="BK76:BM76" si="219">BK75/BK5</f>
        <v>#DIV/0!</v>
      </c>
      <c r="BL76" s="140" t="e">
        <f t="shared" si="219"/>
        <v>#DIV/0!</v>
      </c>
      <c r="BM76" s="141" t="e">
        <f t="shared" si="219"/>
        <v>#DIV/0!</v>
      </c>
      <c r="BN76" s="141"/>
      <c r="BO76" s="224"/>
      <c r="BP76" s="140" t="e">
        <f t="shared" ref="BP76:BR76" si="220">BP75/BP5</f>
        <v>#DIV/0!</v>
      </c>
      <c r="BQ76" s="140" t="e">
        <f t="shared" si="220"/>
        <v>#DIV/0!</v>
      </c>
      <c r="BR76" s="141" t="e">
        <f t="shared" si="220"/>
        <v>#DIV/0!</v>
      </c>
      <c r="BS76" s="141"/>
      <c r="BT76" s="224"/>
      <c r="BU76" s="140" t="e">
        <f>BU75/BU5</f>
        <v>#DIV/0!</v>
      </c>
      <c r="BV76" s="140" t="e">
        <f>BV75/BV5</f>
        <v>#DIV/0!</v>
      </c>
      <c r="BW76" s="141" t="e">
        <f>BW75/BW5</f>
        <v>#DIV/0!</v>
      </c>
      <c r="BX76" s="141"/>
      <c r="BY76" s="224"/>
      <c r="BZ76" s="140" t="e">
        <f>BZ75/BZ5</f>
        <v>#DIV/0!</v>
      </c>
      <c r="CA76" s="140" t="e">
        <f>CA75/CA5</f>
        <v>#DIV/0!</v>
      </c>
      <c r="CB76" s="141" t="e">
        <f>CB75/CB5</f>
        <v>#DIV/0!</v>
      </c>
      <c r="CC76" s="141"/>
      <c r="CD76" s="224"/>
      <c r="CE76" s="140">
        <f>CE75/CE5</f>
        <v>0.30914768030190726</v>
      </c>
      <c r="CF76" s="140" t="e">
        <f>CF75/CF5</f>
        <v>#DIV/0!</v>
      </c>
      <c r="CG76" s="141">
        <f>CG75/CG5</f>
        <v>0.23001844022645429</v>
      </c>
      <c r="CH76" s="141"/>
      <c r="CI76" s="141"/>
      <c r="CJ76" s="56"/>
      <c r="CK76" s="56"/>
    </row>
    <row r="77" spans="1:89" s="57" customFormat="1" ht="14.45" customHeight="1" thickBot="1" x14ac:dyDescent="0.25">
      <c r="A77" s="176"/>
      <c r="B77" s="310" t="s">
        <v>239</v>
      </c>
      <c r="C77" s="201">
        <v>10</v>
      </c>
      <c r="D77" s="313"/>
      <c r="E77" s="314"/>
      <c r="F77" s="315"/>
      <c r="G77" s="316"/>
      <c r="H77" s="316"/>
      <c r="I77" s="317"/>
      <c r="J77" s="317"/>
      <c r="K77" s="318"/>
      <c r="L77" s="316"/>
      <c r="M77" s="316"/>
      <c r="N77" s="317"/>
      <c r="O77" s="317"/>
      <c r="P77" s="318"/>
      <c r="Q77" s="316"/>
      <c r="R77" s="316"/>
      <c r="S77" s="317"/>
      <c r="T77" s="317"/>
      <c r="U77" s="318"/>
      <c r="V77" s="315"/>
      <c r="W77" s="316"/>
      <c r="X77" s="316"/>
      <c r="Y77" s="317"/>
      <c r="Z77" s="317"/>
      <c r="AA77" s="318"/>
      <c r="AB77" s="316"/>
      <c r="AC77" s="316"/>
      <c r="AD77" s="317"/>
      <c r="AE77" s="317"/>
      <c r="AF77" s="318"/>
      <c r="AG77" s="316"/>
      <c r="AH77" s="316"/>
      <c r="AI77" s="317"/>
      <c r="AJ77" s="317"/>
      <c r="AK77" s="318"/>
      <c r="AL77" s="316"/>
      <c r="AM77" s="316"/>
      <c r="AN77" s="317"/>
      <c r="AO77" s="317"/>
      <c r="AP77" s="318"/>
      <c r="AQ77" s="316"/>
      <c r="AR77" s="316"/>
      <c r="AS77" s="317"/>
      <c r="AT77" s="317"/>
      <c r="AU77" s="318"/>
      <c r="AV77" s="316"/>
      <c r="AW77" s="316"/>
      <c r="AX77" s="317"/>
      <c r="AY77" s="317"/>
      <c r="AZ77" s="318"/>
      <c r="BA77" s="316"/>
      <c r="BB77" s="316"/>
      <c r="BC77" s="317"/>
      <c r="BD77" s="317"/>
      <c r="BE77" s="318"/>
      <c r="BF77" s="316"/>
      <c r="BG77" s="316"/>
      <c r="BH77" s="317"/>
      <c r="BI77" s="317"/>
      <c r="BJ77" s="318"/>
      <c r="BK77" s="316"/>
      <c r="BL77" s="316"/>
      <c r="BM77" s="317"/>
      <c r="BN77" s="317"/>
      <c r="BO77" s="318"/>
      <c r="BP77" s="316"/>
      <c r="BQ77" s="316"/>
      <c r="BR77" s="317"/>
      <c r="BS77" s="317"/>
      <c r="BT77" s="318"/>
      <c r="BU77" s="316"/>
      <c r="BV77" s="316"/>
      <c r="BW77" s="317"/>
      <c r="BX77" s="317"/>
      <c r="BY77" s="318"/>
      <c r="BZ77" s="316"/>
      <c r="CA77" s="316"/>
      <c r="CB77" s="317"/>
      <c r="CC77" s="317"/>
      <c r="CD77" s="318"/>
      <c r="CE77" s="316"/>
      <c r="CF77" s="316"/>
      <c r="CG77" s="317"/>
      <c r="CH77" s="317"/>
      <c r="CI77" s="317"/>
      <c r="CJ77" s="56"/>
      <c r="CK77" s="56"/>
    </row>
    <row r="78" spans="1:89" s="326" customFormat="1" ht="14.45" customHeight="1" thickBot="1" x14ac:dyDescent="0.25">
      <c r="A78" s="310"/>
      <c r="B78" s="310" t="s">
        <v>240</v>
      </c>
      <c r="C78" s="319"/>
      <c r="D78" s="319"/>
      <c r="E78" s="320"/>
      <c r="F78" s="321"/>
      <c r="G78" s="322"/>
      <c r="H78" s="322"/>
      <c r="I78" s="323"/>
      <c r="J78" s="323"/>
      <c r="K78" s="324"/>
      <c r="L78" s="322"/>
      <c r="M78" s="322"/>
      <c r="N78" s="323"/>
      <c r="O78" s="323"/>
      <c r="P78" s="324"/>
      <c r="Q78" s="322"/>
      <c r="R78" s="322"/>
      <c r="S78" s="323"/>
      <c r="T78" s="323"/>
      <c r="U78" s="324"/>
      <c r="V78" s="321"/>
      <c r="W78" s="322"/>
      <c r="X78" s="322"/>
      <c r="Y78" s="323"/>
      <c r="Z78" s="323"/>
      <c r="AA78" s="324"/>
      <c r="AB78" s="322"/>
      <c r="AC78" s="322"/>
      <c r="AD78" s="323"/>
      <c r="AE78" s="323"/>
      <c r="AF78" s="324"/>
      <c r="AG78" s="322"/>
      <c r="AH78" s="322"/>
      <c r="AI78" s="323"/>
      <c r="AJ78" s="323"/>
      <c r="AK78" s="324"/>
      <c r="AL78" s="322"/>
      <c r="AM78" s="322"/>
      <c r="AN78" s="323"/>
      <c r="AO78" s="323"/>
      <c r="AP78" s="324"/>
      <c r="AQ78" s="322"/>
      <c r="AR78" s="322"/>
      <c r="AS78" s="323"/>
      <c r="AT78" s="323"/>
      <c r="AU78" s="324"/>
      <c r="AV78" s="322"/>
      <c r="AW78" s="322"/>
      <c r="AX78" s="323"/>
      <c r="AY78" s="323"/>
      <c r="AZ78" s="324"/>
      <c r="BA78" s="322"/>
      <c r="BB78" s="322"/>
      <c r="BC78" s="323"/>
      <c r="BD78" s="323"/>
      <c r="BE78" s="324"/>
      <c r="BF78" s="322"/>
      <c r="BG78" s="322"/>
      <c r="BH78" s="323"/>
      <c r="BI78" s="323"/>
      <c r="BJ78" s="324"/>
      <c r="BK78" s="322"/>
      <c r="BL78" s="322"/>
      <c r="BM78" s="323"/>
      <c r="BN78" s="323"/>
      <c r="BO78" s="324"/>
      <c r="BP78" s="322"/>
      <c r="BQ78" s="322"/>
      <c r="BR78" s="323"/>
      <c r="BS78" s="323"/>
      <c r="BT78" s="324"/>
      <c r="BU78" s="322"/>
      <c r="BV78" s="322"/>
      <c r="BW78" s="323"/>
      <c r="BX78" s="323"/>
      <c r="BY78" s="324"/>
      <c r="BZ78" s="322"/>
      <c r="CA78" s="322"/>
      <c r="CB78" s="323"/>
      <c r="CC78" s="323"/>
      <c r="CD78" s="324"/>
      <c r="CE78" s="322"/>
      <c r="CF78" s="322"/>
      <c r="CG78" s="323"/>
      <c r="CH78" s="323"/>
      <c r="CI78" s="323"/>
      <c r="CJ78" s="325"/>
      <c r="CK78" s="325"/>
    </row>
    <row r="79" spans="1:89" s="326" customFormat="1" ht="14.45" customHeight="1" thickBot="1" x14ac:dyDescent="0.25">
      <c r="A79" s="327"/>
      <c r="B79" s="327"/>
      <c r="C79" s="319"/>
      <c r="D79" s="319"/>
      <c r="E79" s="320"/>
      <c r="F79" s="321"/>
      <c r="G79" s="322"/>
      <c r="H79" s="322"/>
      <c r="I79" s="323"/>
      <c r="J79" s="323"/>
      <c r="K79" s="324"/>
      <c r="L79" s="322"/>
      <c r="M79" s="322"/>
      <c r="N79" s="323"/>
      <c r="O79" s="323"/>
      <c r="P79" s="324"/>
      <c r="Q79" s="322"/>
      <c r="R79" s="322"/>
      <c r="S79" s="323"/>
      <c r="T79" s="323"/>
      <c r="U79" s="324"/>
      <c r="V79" s="321"/>
      <c r="W79" s="322"/>
      <c r="X79" s="322"/>
      <c r="Y79" s="323"/>
      <c r="Z79" s="323"/>
      <c r="AA79" s="324"/>
      <c r="AB79" s="322"/>
      <c r="AC79" s="322"/>
      <c r="AD79" s="323"/>
      <c r="AE79" s="323"/>
      <c r="AF79" s="324"/>
      <c r="AG79" s="322"/>
      <c r="AH79" s="322"/>
      <c r="AI79" s="323"/>
      <c r="AJ79" s="323"/>
      <c r="AK79" s="324"/>
      <c r="AL79" s="322"/>
      <c r="AM79" s="322"/>
      <c r="AN79" s="323"/>
      <c r="AO79" s="323"/>
      <c r="AP79" s="324"/>
      <c r="AQ79" s="322"/>
      <c r="AR79" s="322"/>
      <c r="AS79" s="323"/>
      <c r="AT79" s="323"/>
      <c r="AU79" s="324"/>
      <c r="AV79" s="322"/>
      <c r="AW79" s="322"/>
      <c r="AX79" s="323"/>
      <c r="AY79" s="323"/>
      <c r="AZ79" s="324"/>
      <c r="BA79" s="322"/>
      <c r="BB79" s="322"/>
      <c r="BC79" s="323"/>
      <c r="BD79" s="323"/>
      <c r="BE79" s="324"/>
      <c r="BF79" s="322"/>
      <c r="BG79" s="322"/>
      <c r="BH79" s="323"/>
      <c r="BI79" s="323"/>
      <c r="BJ79" s="324"/>
      <c r="BK79" s="322"/>
      <c r="BL79" s="322"/>
      <c r="BM79" s="323"/>
      <c r="BN79" s="323"/>
      <c r="BO79" s="324"/>
      <c r="BP79" s="322"/>
      <c r="BQ79" s="322"/>
      <c r="BR79" s="323"/>
      <c r="BS79" s="323"/>
      <c r="BT79" s="324"/>
      <c r="BU79" s="322"/>
      <c r="BV79" s="322"/>
      <c r="BW79" s="323"/>
      <c r="BX79" s="323"/>
      <c r="BY79" s="324"/>
      <c r="BZ79" s="322"/>
      <c r="CA79" s="322"/>
      <c r="CB79" s="323"/>
      <c r="CC79" s="323"/>
      <c r="CD79" s="324"/>
      <c r="CE79" s="322"/>
      <c r="CF79" s="322"/>
      <c r="CG79" s="323"/>
      <c r="CH79" s="323"/>
      <c r="CI79" s="323"/>
      <c r="CJ79" s="325"/>
      <c r="CK79" s="325"/>
    </row>
    <row r="80" spans="1:89" s="57" customFormat="1" ht="14.45" customHeight="1" thickBot="1" x14ac:dyDescent="0.25">
      <c r="A80" s="176"/>
      <c r="B80" s="312" t="s">
        <v>241</v>
      </c>
      <c r="C80" s="201">
        <f>C75-C77</f>
        <v>-10</v>
      </c>
      <c r="D80" s="313"/>
      <c r="E80" s="314"/>
      <c r="F80" s="315"/>
      <c r="G80" s="316"/>
      <c r="H80" s="316"/>
      <c r="I80" s="317"/>
      <c r="J80" s="317"/>
      <c r="K80" s="318"/>
      <c r="L80" s="316"/>
      <c r="M80" s="316"/>
      <c r="N80" s="317"/>
      <c r="O80" s="317"/>
      <c r="P80" s="318"/>
      <c r="Q80" s="316"/>
      <c r="R80" s="316"/>
      <c r="S80" s="317"/>
      <c r="T80" s="317"/>
      <c r="U80" s="318"/>
      <c r="V80" s="315"/>
      <c r="W80" s="316"/>
      <c r="X80" s="316"/>
      <c r="Y80" s="317"/>
      <c r="Z80" s="317"/>
      <c r="AA80" s="318"/>
      <c r="AB80" s="316"/>
      <c r="AC80" s="316"/>
      <c r="AD80" s="317"/>
      <c r="AE80" s="317"/>
      <c r="AF80" s="318"/>
      <c r="AG80" s="316"/>
      <c r="AH80" s="316"/>
      <c r="AI80" s="317"/>
      <c r="AJ80" s="317"/>
      <c r="AK80" s="318"/>
      <c r="AL80" s="316"/>
      <c r="AM80" s="316"/>
      <c r="AN80" s="317"/>
      <c r="AO80" s="317"/>
      <c r="AP80" s="318"/>
      <c r="AQ80" s="316"/>
      <c r="AR80" s="316"/>
      <c r="AS80" s="317"/>
      <c r="AT80" s="317"/>
      <c r="AU80" s="318"/>
      <c r="AV80" s="316"/>
      <c r="AW80" s="316"/>
      <c r="AX80" s="317"/>
      <c r="AY80" s="317"/>
      <c r="AZ80" s="318"/>
      <c r="BA80" s="316"/>
      <c r="BB80" s="316"/>
      <c r="BC80" s="317"/>
      <c r="BD80" s="317"/>
      <c r="BE80" s="318"/>
      <c r="BF80" s="316"/>
      <c r="BG80" s="316"/>
      <c r="BH80" s="317"/>
      <c r="BI80" s="317"/>
      <c r="BJ80" s="318"/>
      <c r="BK80" s="316"/>
      <c r="BL80" s="316"/>
      <c r="BM80" s="317"/>
      <c r="BN80" s="317"/>
      <c r="BO80" s="318"/>
      <c r="BP80" s="316"/>
      <c r="BQ80" s="316"/>
      <c r="BR80" s="317"/>
      <c r="BS80" s="317"/>
      <c r="BT80" s="318"/>
      <c r="BU80" s="316"/>
      <c r="BV80" s="316"/>
      <c r="BW80" s="317"/>
      <c r="BX80" s="317"/>
      <c r="BY80" s="318"/>
      <c r="BZ80" s="316"/>
      <c r="CA80" s="316"/>
      <c r="CB80" s="317"/>
      <c r="CC80" s="317"/>
      <c r="CD80" s="318"/>
      <c r="CE80" s="316"/>
      <c r="CF80" s="316"/>
      <c r="CG80" s="317"/>
      <c r="CH80" s="317"/>
      <c r="CI80" s="317"/>
      <c r="CJ80" s="56"/>
      <c r="CK80" s="56"/>
    </row>
    <row r="81" spans="1:89" s="57" customFormat="1" ht="14.45" customHeight="1" thickBot="1" x14ac:dyDescent="0.25">
      <c r="A81" s="176"/>
      <c r="B81" s="329" t="s">
        <v>242</v>
      </c>
      <c r="C81" s="328"/>
      <c r="D81" s="313"/>
      <c r="E81" s="314"/>
      <c r="F81" s="315"/>
      <c r="G81" s="316"/>
      <c r="H81" s="316"/>
      <c r="I81" s="317"/>
      <c r="J81" s="317"/>
      <c r="K81" s="318"/>
      <c r="L81" s="316"/>
      <c r="M81" s="316"/>
      <c r="N81" s="317"/>
      <c r="O81" s="317"/>
      <c r="P81" s="318"/>
      <c r="Q81" s="316"/>
      <c r="R81" s="316"/>
      <c r="S81" s="317"/>
      <c r="T81" s="317"/>
      <c r="U81" s="318"/>
      <c r="V81" s="315"/>
      <c r="W81" s="316"/>
      <c r="X81" s="316"/>
      <c r="Y81" s="317"/>
      <c r="Z81" s="317"/>
      <c r="AA81" s="318"/>
      <c r="AB81" s="316"/>
      <c r="AC81" s="316"/>
      <c r="AD81" s="317"/>
      <c r="AE81" s="317"/>
      <c r="AF81" s="318"/>
      <c r="AG81" s="316"/>
      <c r="AH81" s="316"/>
      <c r="AI81" s="317"/>
      <c r="AJ81" s="317"/>
      <c r="AK81" s="318"/>
      <c r="AL81" s="316"/>
      <c r="AM81" s="316"/>
      <c r="AN81" s="317"/>
      <c r="AO81" s="317"/>
      <c r="AP81" s="318"/>
      <c r="AQ81" s="316"/>
      <c r="AR81" s="316"/>
      <c r="AS81" s="317"/>
      <c r="AT81" s="317"/>
      <c r="AU81" s="318"/>
      <c r="AV81" s="316"/>
      <c r="AW81" s="316"/>
      <c r="AX81" s="317"/>
      <c r="AY81" s="317"/>
      <c r="AZ81" s="318"/>
      <c r="BA81" s="316"/>
      <c r="BB81" s="316"/>
      <c r="BC81" s="317"/>
      <c r="BD81" s="317"/>
      <c r="BE81" s="318"/>
      <c r="BF81" s="316"/>
      <c r="BG81" s="316"/>
      <c r="BH81" s="317"/>
      <c r="BI81" s="317"/>
      <c r="BJ81" s="318"/>
      <c r="BK81" s="316"/>
      <c r="BL81" s="316"/>
      <c r="BM81" s="317"/>
      <c r="BN81" s="317"/>
      <c r="BO81" s="318"/>
      <c r="BP81" s="316"/>
      <c r="BQ81" s="316"/>
      <c r="BR81" s="317"/>
      <c r="BS81" s="317"/>
      <c r="BT81" s="318"/>
      <c r="BU81" s="316"/>
      <c r="BV81" s="316"/>
      <c r="BW81" s="317"/>
      <c r="BX81" s="317"/>
      <c r="BY81" s="318"/>
      <c r="BZ81" s="316"/>
      <c r="CA81" s="316"/>
      <c r="CB81" s="317"/>
      <c r="CC81" s="317"/>
      <c r="CD81" s="318"/>
      <c r="CE81" s="316"/>
      <c r="CF81" s="316"/>
      <c r="CG81" s="317"/>
      <c r="CH81" s="317"/>
      <c r="CI81" s="317"/>
      <c r="CJ81" s="56"/>
      <c r="CK81" s="56"/>
    </row>
    <row r="82" spans="1:89" s="57" customFormat="1" ht="14.45" customHeight="1" thickBot="1" x14ac:dyDescent="0.25">
      <c r="A82" s="176"/>
      <c r="B82" s="330"/>
      <c r="C82" s="328"/>
      <c r="D82" s="313"/>
      <c r="E82" s="314"/>
      <c r="F82" s="315"/>
      <c r="G82" s="316"/>
      <c r="H82" s="316"/>
      <c r="I82" s="317"/>
      <c r="J82" s="317"/>
      <c r="K82" s="318"/>
      <c r="L82" s="316"/>
      <c r="M82" s="316"/>
      <c r="N82" s="317"/>
      <c r="O82" s="317"/>
      <c r="P82" s="318"/>
      <c r="Q82" s="316"/>
      <c r="R82" s="316"/>
      <c r="S82" s="317"/>
      <c r="T82" s="317"/>
      <c r="U82" s="318"/>
      <c r="V82" s="315"/>
      <c r="W82" s="316"/>
      <c r="X82" s="316"/>
      <c r="Y82" s="317"/>
      <c r="Z82" s="317"/>
      <c r="AA82" s="318"/>
      <c r="AB82" s="316"/>
      <c r="AC82" s="316"/>
      <c r="AD82" s="317"/>
      <c r="AE82" s="317"/>
      <c r="AF82" s="318"/>
      <c r="AG82" s="316"/>
      <c r="AH82" s="316"/>
      <c r="AI82" s="317"/>
      <c r="AJ82" s="317"/>
      <c r="AK82" s="318"/>
      <c r="AL82" s="316"/>
      <c r="AM82" s="316"/>
      <c r="AN82" s="317"/>
      <c r="AO82" s="317"/>
      <c r="AP82" s="318"/>
      <c r="AQ82" s="316"/>
      <c r="AR82" s="316"/>
      <c r="AS82" s="317"/>
      <c r="AT82" s="317"/>
      <c r="AU82" s="318"/>
      <c r="AV82" s="316"/>
      <c r="AW82" s="316"/>
      <c r="AX82" s="317"/>
      <c r="AY82" s="317"/>
      <c r="AZ82" s="318"/>
      <c r="BA82" s="316"/>
      <c r="BB82" s="316"/>
      <c r="BC82" s="317"/>
      <c r="BD82" s="317"/>
      <c r="BE82" s="318"/>
      <c r="BF82" s="316"/>
      <c r="BG82" s="316"/>
      <c r="BH82" s="317"/>
      <c r="BI82" s="317"/>
      <c r="BJ82" s="318"/>
      <c r="BK82" s="316"/>
      <c r="BL82" s="316"/>
      <c r="BM82" s="317"/>
      <c r="BN82" s="317"/>
      <c r="BO82" s="318"/>
      <c r="BP82" s="316"/>
      <c r="BQ82" s="316"/>
      <c r="BR82" s="317"/>
      <c r="BS82" s="317"/>
      <c r="BT82" s="318"/>
      <c r="BU82" s="316"/>
      <c r="BV82" s="316"/>
      <c r="BW82" s="317"/>
      <c r="BX82" s="317"/>
      <c r="BY82" s="318"/>
      <c r="BZ82" s="316"/>
      <c r="CA82" s="316"/>
      <c r="CB82" s="317"/>
      <c r="CC82" s="317"/>
      <c r="CD82" s="318"/>
      <c r="CE82" s="316"/>
      <c r="CF82" s="316"/>
      <c r="CG82" s="317"/>
      <c r="CH82" s="317"/>
      <c r="CI82" s="317"/>
      <c r="CJ82" s="56"/>
      <c r="CK82" s="56"/>
    </row>
    <row r="83" spans="1:89" s="57" customFormat="1" ht="14.45" customHeight="1" outlineLevel="1" thickBot="1" x14ac:dyDescent="0.25">
      <c r="A83" s="176"/>
      <c r="B83" s="225" t="s">
        <v>213</v>
      </c>
      <c r="C83" s="226">
        <f>C84-C88</f>
        <v>0</v>
      </c>
      <c r="D83" s="226">
        <f>D84-D88</f>
        <v>0</v>
      </c>
      <c r="E83" s="227">
        <f>E84-E88</f>
        <v>0</v>
      </c>
      <c r="F83" s="228"/>
      <c r="G83" s="226">
        <f>G84-G88</f>
        <v>-675471.25420368672</v>
      </c>
      <c r="H83" s="226">
        <f>H84-H88</f>
        <v>0</v>
      </c>
      <c r="I83" s="227">
        <f>I84-I88</f>
        <v>-675471.25420368672</v>
      </c>
      <c r="J83" s="229">
        <f>I83/I$106</f>
        <v>-1.3634726703659318E-2</v>
      </c>
      <c r="K83" s="230"/>
      <c r="L83" s="226">
        <f>L84-L88</f>
        <v>-6012378.9898998188</v>
      </c>
      <c r="M83" s="226">
        <f>M84-M88</f>
        <v>0</v>
      </c>
      <c r="N83" s="227">
        <f>N84-N88</f>
        <v>-6012378.9898998188</v>
      </c>
      <c r="O83" s="229">
        <f>N83/N$106</f>
        <v>-1.4110793325520267E-2</v>
      </c>
      <c r="P83" s="230"/>
      <c r="Q83" s="226">
        <f>Q84-Q88</f>
        <v>-4747275.9160410361</v>
      </c>
      <c r="R83" s="226">
        <f>R84-R88</f>
        <v>0</v>
      </c>
      <c r="S83" s="227">
        <f>S84-S88</f>
        <v>-4747275.9160410361</v>
      </c>
      <c r="T83" s="229">
        <f>S83/S$106</f>
        <v>-2.1449314122927249E-2</v>
      </c>
      <c r="U83" s="230"/>
      <c r="V83" s="228"/>
      <c r="W83" s="226">
        <f t="shared" ref="W83:Y83" si="221">W84-W88</f>
        <v>-594591.50600779476</v>
      </c>
      <c r="X83" s="226">
        <f t="shared" si="221"/>
        <v>0</v>
      </c>
      <c r="Y83" s="227">
        <f t="shared" si="221"/>
        <v>-594591.50600779476</v>
      </c>
      <c r="Z83" s="229">
        <f>Y83/Y$106</f>
        <v>-1.5745315908725799E-2</v>
      </c>
      <c r="AA83" s="230"/>
      <c r="AB83" s="226">
        <f t="shared" ref="AB83:AD83" si="222">AB84-AB88</f>
        <v>-543134.81809334923</v>
      </c>
      <c r="AC83" s="226">
        <f t="shared" si="222"/>
        <v>0</v>
      </c>
      <c r="AD83" s="227">
        <f t="shared" si="222"/>
        <v>-543134.81809334923</v>
      </c>
      <c r="AE83" s="229">
        <f>AD83/AD$106</f>
        <v>-1.6466383044771243E-2</v>
      </c>
      <c r="AF83" s="230"/>
      <c r="AG83" s="226">
        <f t="shared" ref="AG83:AI83" si="223">AG84-AG88</f>
        <v>-912222.09187841637</v>
      </c>
      <c r="AH83" s="226">
        <f t="shared" si="223"/>
        <v>0</v>
      </c>
      <c r="AI83" s="227">
        <f t="shared" si="223"/>
        <v>-912222.09187841637</v>
      </c>
      <c r="AJ83" s="229">
        <f>AI83/AI$106</f>
        <v>-2.3515253244143594E-2</v>
      </c>
      <c r="AK83" s="230"/>
      <c r="AL83" s="226">
        <f t="shared" ref="AL83:AN83" si="224">AL84-AL88</f>
        <v>-549992.53058734583</v>
      </c>
      <c r="AM83" s="226">
        <f t="shared" si="224"/>
        <v>0</v>
      </c>
      <c r="AN83" s="227">
        <f t="shared" si="224"/>
        <v>-549992.53058734583</v>
      </c>
      <c r="AO83" s="229">
        <f>AN83/AN$106</f>
        <v>-1.5347985624046811E-2</v>
      </c>
      <c r="AP83" s="230"/>
      <c r="AQ83" s="226">
        <f t="shared" ref="AQ83:AS83" si="225">AQ84-AQ88</f>
        <v>-1106037.8028558895</v>
      </c>
      <c r="AR83" s="226">
        <f t="shared" si="225"/>
        <v>0</v>
      </c>
      <c r="AS83" s="227">
        <f t="shared" si="225"/>
        <v>-1106037.8028558895</v>
      </c>
      <c r="AT83" s="229">
        <f>AS83/AS$106</f>
        <v>-3.0382655242633085E-2</v>
      </c>
      <c r="AU83" s="230"/>
      <c r="AV83" s="226">
        <f t="shared" ref="AV83:AX83" si="226">AV84-AV88</f>
        <v>-1041297.1666182401</v>
      </c>
      <c r="AW83" s="226">
        <f t="shared" si="226"/>
        <v>0</v>
      </c>
      <c r="AX83" s="227">
        <f t="shared" si="226"/>
        <v>-1041297.1666182401</v>
      </c>
      <c r="AY83" s="229">
        <f>AX83/AX$106</f>
        <v>-2.633091931674568E-2</v>
      </c>
      <c r="AZ83" s="230"/>
      <c r="BA83" s="226">
        <f t="shared" ref="BA83:BC83" si="227">BA84-BA88</f>
        <v>0</v>
      </c>
      <c r="BB83" s="226">
        <f t="shared" si="227"/>
        <v>0</v>
      </c>
      <c r="BC83" s="227">
        <f t="shared" si="227"/>
        <v>0</v>
      </c>
      <c r="BD83" s="229" t="e">
        <f>BC83/BC$106</f>
        <v>#DIV/0!</v>
      </c>
      <c r="BE83" s="230"/>
      <c r="BF83" s="226">
        <f t="shared" ref="BF83:BH83" si="228">BF84-BF88</f>
        <v>0</v>
      </c>
      <c r="BG83" s="226">
        <f t="shared" si="228"/>
        <v>0</v>
      </c>
      <c r="BH83" s="227">
        <f t="shared" si="228"/>
        <v>0</v>
      </c>
      <c r="BI83" s="229" t="e">
        <f>BH83/BH$106</f>
        <v>#DIV/0!</v>
      </c>
      <c r="BJ83" s="230"/>
      <c r="BK83" s="226">
        <f t="shared" ref="BK83:BM83" si="229">BK84-BK88</f>
        <v>0</v>
      </c>
      <c r="BL83" s="226">
        <f t="shared" si="229"/>
        <v>0</v>
      </c>
      <c r="BM83" s="227">
        <f t="shared" si="229"/>
        <v>0</v>
      </c>
      <c r="BN83" s="229" t="e">
        <f>BM83/BM$106</f>
        <v>#DIV/0!</v>
      </c>
      <c r="BO83" s="230"/>
      <c r="BP83" s="226">
        <f t="shared" ref="BP83:BR83" si="230">BP84-BP88</f>
        <v>0</v>
      </c>
      <c r="BQ83" s="226">
        <f t="shared" si="230"/>
        <v>0</v>
      </c>
      <c r="BR83" s="227">
        <f t="shared" si="230"/>
        <v>0</v>
      </c>
      <c r="BS83" s="229" t="e">
        <f>BR83/BR$106</f>
        <v>#DIV/0!</v>
      </c>
      <c r="BT83" s="230"/>
      <c r="BU83" s="226">
        <f>BU84-BU88</f>
        <v>0</v>
      </c>
      <c r="BV83" s="226">
        <f>BV84-BV88</f>
        <v>0</v>
      </c>
      <c r="BW83" s="227">
        <f>BW84-BW88</f>
        <v>0</v>
      </c>
      <c r="BX83" s="229" t="e">
        <f>BW83/BW$106</f>
        <v>#DIV/0!</v>
      </c>
      <c r="BY83" s="230"/>
      <c r="BZ83" s="226">
        <f>BZ84-BZ88</f>
        <v>0</v>
      </c>
      <c r="CA83" s="226">
        <f>CA84-CA88</f>
        <v>0</v>
      </c>
      <c r="CB83" s="227">
        <f>CB84-CB88</f>
        <v>0</v>
      </c>
      <c r="CC83" s="229" t="e">
        <f>CB83/CB$106</f>
        <v>#DIV/0!</v>
      </c>
      <c r="CD83" s="230"/>
      <c r="CE83" s="226">
        <f>CE84-CE88</f>
        <v>-11435126.160144541</v>
      </c>
      <c r="CF83" s="226">
        <f>CF88</f>
        <v>0</v>
      </c>
      <c r="CG83" s="227">
        <f>CG84-CG88</f>
        <v>-11435126.160144541</v>
      </c>
      <c r="CH83" s="229"/>
      <c r="CI83" s="229"/>
      <c r="CJ83" s="56"/>
      <c r="CK83" s="56"/>
    </row>
    <row r="84" spans="1:89" s="57" customFormat="1" ht="14.45" customHeight="1" outlineLevel="2" thickBot="1" x14ac:dyDescent="0.25">
      <c r="A84" s="153"/>
      <c r="B84" s="231" t="s">
        <v>214</v>
      </c>
      <c r="C84" s="232"/>
      <c r="D84" s="233"/>
      <c r="E84" s="164">
        <f>C84+D84*1.15</f>
        <v>0</v>
      </c>
      <c r="F84" s="234"/>
      <c r="G84" s="53">
        <v>0</v>
      </c>
      <c r="H84" s="52">
        <v>0</v>
      </c>
      <c r="I84" s="51">
        <f>G84+H84*1</f>
        <v>0</v>
      </c>
      <c r="J84" s="88">
        <f>I84/I$106</f>
        <v>0</v>
      </c>
      <c r="K84" s="235"/>
      <c r="L84" s="53">
        <v>0</v>
      </c>
      <c r="M84" s="52">
        <v>0</v>
      </c>
      <c r="N84" s="51">
        <f t="shared" ref="N84:N88" si="231">L84+M84</f>
        <v>0</v>
      </c>
      <c r="O84" s="88">
        <f>N84/N$106</f>
        <v>0</v>
      </c>
      <c r="P84" s="235"/>
      <c r="Q84" s="53">
        <f t="shared" ref="Q84:S88" si="232">W84+AB84+AG84+AL84+AQ84+AV84+BA84+BF84+BK84+BP84+BU84+BZ84</f>
        <v>0</v>
      </c>
      <c r="R84" s="52">
        <f t="shared" si="232"/>
        <v>0</v>
      </c>
      <c r="S84" s="51">
        <f t="shared" si="232"/>
        <v>0</v>
      </c>
      <c r="T84" s="88">
        <f>S84/S$106</f>
        <v>0</v>
      </c>
      <c r="U84" s="235"/>
      <c r="V84" s="236"/>
      <c r="W84" s="53"/>
      <c r="X84" s="52"/>
      <c r="Y84" s="51">
        <f t="shared" ref="Y84:Y88" si="233">W84+X84*1</f>
        <v>0</v>
      </c>
      <c r="Z84" s="75">
        <f>Y84/Y$106</f>
        <v>0</v>
      </c>
      <c r="AA84" s="235"/>
      <c r="AB84" s="53"/>
      <c r="AC84" s="52"/>
      <c r="AD84" s="51">
        <f t="shared" ref="AD84:AD88" si="234">AB84+AC84*1</f>
        <v>0</v>
      </c>
      <c r="AE84" s="75">
        <f>AD84/AD$106</f>
        <v>0</v>
      </c>
      <c r="AF84" s="235"/>
      <c r="AG84" s="53"/>
      <c r="AH84" s="52"/>
      <c r="AI84" s="51">
        <f t="shared" ref="AI84:AI88" si="235">AG84+AH84*1</f>
        <v>0</v>
      </c>
      <c r="AJ84" s="75">
        <f>AI84/AI$106</f>
        <v>0</v>
      </c>
      <c r="AK84" s="235"/>
      <c r="AL84" s="53"/>
      <c r="AM84" s="52"/>
      <c r="AN84" s="51">
        <f t="shared" ref="AN84:AN88" si="236">AL84+AM84*1</f>
        <v>0</v>
      </c>
      <c r="AO84" s="75">
        <f>AN84/AN$106</f>
        <v>0</v>
      </c>
      <c r="AP84" s="235"/>
      <c r="AQ84" s="53"/>
      <c r="AR84" s="52"/>
      <c r="AS84" s="51">
        <f t="shared" ref="AS84:AS88" si="237">AQ84+AR84*1</f>
        <v>0</v>
      </c>
      <c r="AT84" s="75">
        <f>AS84/AS$106</f>
        <v>0</v>
      </c>
      <c r="AU84" s="235"/>
      <c r="AV84" s="53"/>
      <c r="AW84" s="52"/>
      <c r="AX84" s="51">
        <f t="shared" ref="AX84:AX88" si="238">AV84+AW84*1</f>
        <v>0</v>
      </c>
      <c r="AY84" s="75">
        <f>AX84/AX$106</f>
        <v>0</v>
      </c>
      <c r="AZ84" s="235"/>
      <c r="BA84" s="53"/>
      <c r="BB84" s="52"/>
      <c r="BC84" s="51">
        <f t="shared" ref="BC84:BC88" si="239">BA84+BB84*1</f>
        <v>0</v>
      </c>
      <c r="BD84" s="75" t="e">
        <f>BC84/BC$106</f>
        <v>#DIV/0!</v>
      </c>
      <c r="BE84" s="235"/>
      <c r="BF84" s="53"/>
      <c r="BG84" s="52"/>
      <c r="BH84" s="51">
        <f t="shared" ref="BH84:BH88" si="240">BF84+BG84*1</f>
        <v>0</v>
      </c>
      <c r="BI84" s="75" t="e">
        <f>BH84/BH$106</f>
        <v>#DIV/0!</v>
      </c>
      <c r="BJ84" s="235"/>
      <c r="BK84" s="53"/>
      <c r="BL84" s="52"/>
      <c r="BM84" s="51">
        <f t="shared" ref="BM84:BM88" si="241">BK84+BL84*1</f>
        <v>0</v>
      </c>
      <c r="BN84" s="75" t="e">
        <f>BM84/BM$106</f>
        <v>#DIV/0!</v>
      </c>
      <c r="BO84" s="235"/>
      <c r="BP84" s="53"/>
      <c r="BQ84" s="52"/>
      <c r="BR84" s="51">
        <f t="shared" ref="BR84:BR88" si="242">BP84+BQ84*1</f>
        <v>0</v>
      </c>
      <c r="BS84" s="75" t="e">
        <f>BR84/BR$106</f>
        <v>#DIV/0!</v>
      </c>
      <c r="BT84" s="235"/>
      <c r="BU84" s="53"/>
      <c r="BV84" s="52"/>
      <c r="BW84" s="51">
        <f>BU84+BV84*1</f>
        <v>0</v>
      </c>
      <c r="BX84" s="75" t="e">
        <f>BW84/BW$106</f>
        <v>#DIV/0!</v>
      </c>
      <c r="BY84" s="235"/>
      <c r="BZ84" s="53"/>
      <c r="CA84" s="52"/>
      <c r="CB84" s="51">
        <f>BZ84+CA84*1</f>
        <v>0</v>
      </c>
      <c r="CC84" s="75" t="e">
        <f>CB84/CB$106</f>
        <v>#DIV/0!</v>
      </c>
      <c r="CD84" s="235"/>
      <c r="CE84" s="52">
        <f t="shared" ref="CE84:CF88" si="243">G84+Q84+L84</f>
        <v>0</v>
      </c>
      <c r="CF84" s="52">
        <f t="shared" si="243"/>
        <v>0</v>
      </c>
      <c r="CG84" s="51">
        <f>CE84+CF84*1</f>
        <v>0</v>
      </c>
      <c r="CH84" s="237"/>
      <c r="CI84" s="237"/>
      <c r="CJ84" s="56"/>
      <c r="CK84" s="2"/>
    </row>
    <row r="85" spans="1:89" s="57" customFormat="1" ht="14.45" customHeight="1" outlineLevel="2" x14ac:dyDescent="0.2">
      <c r="A85" s="153"/>
      <c r="B85" s="311" t="s">
        <v>214</v>
      </c>
      <c r="C85" s="71"/>
      <c r="D85" s="263"/>
      <c r="E85" s="164"/>
      <c r="F85" s="331"/>
      <c r="G85" s="53"/>
      <c r="H85" s="52"/>
      <c r="I85" s="51"/>
      <c r="J85" s="88"/>
      <c r="K85" s="332"/>
      <c r="L85" s="53"/>
      <c r="M85" s="52"/>
      <c r="N85" s="333"/>
      <c r="O85" s="88"/>
      <c r="P85" s="332"/>
      <c r="Q85" s="53"/>
      <c r="R85" s="52"/>
      <c r="S85" s="333"/>
      <c r="T85" s="88"/>
      <c r="U85" s="332"/>
      <c r="V85" s="236"/>
      <c r="W85" s="53"/>
      <c r="X85" s="52"/>
      <c r="Y85" s="51"/>
      <c r="Z85" s="75"/>
      <c r="AA85" s="332"/>
      <c r="AB85" s="53"/>
      <c r="AC85" s="52"/>
      <c r="AD85" s="51"/>
      <c r="AE85" s="75"/>
      <c r="AF85" s="332"/>
      <c r="AG85" s="53"/>
      <c r="AH85" s="52"/>
      <c r="AI85" s="51"/>
      <c r="AJ85" s="75"/>
      <c r="AK85" s="332"/>
      <c r="AL85" s="53"/>
      <c r="AM85" s="52"/>
      <c r="AN85" s="51"/>
      <c r="AO85" s="75"/>
      <c r="AP85" s="332"/>
      <c r="AQ85" s="53"/>
      <c r="AR85" s="52"/>
      <c r="AS85" s="51"/>
      <c r="AT85" s="75"/>
      <c r="AU85" s="332"/>
      <c r="AV85" s="53"/>
      <c r="AW85" s="52"/>
      <c r="AX85" s="51"/>
      <c r="AY85" s="75"/>
      <c r="AZ85" s="332"/>
      <c r="BA85" s="53"/>
      <c r="BB85" s="52"/>
      <c r="BC85" s="51"/>
      <c r="BD85" s="75"/>
      <c r="BE85" s="332"/>
      <c r="BF85" s="53"/>
      <c r="BG85" s="52"/>
      <c r="BH85" s="51"/>
      <c r="BI85" s="75"/>
      <c r="BJ85" s="332"/>
      <c r="BK85" s="53"/>
      <c r="BL85" s="52"/>
      <c r="BM85" s="51"/>
      <c r="BN85" s="75"/>
      <c r="BO85" s="332"/>
      <c r="BP85" s="53"/>
      <c r="BQ85" s="52"/>
      <c r="BR85" s="51"/>
      <c r="BS85" s="75"/>
      <c r="BT85" s="332"/>
      <c r="BU85" s="53"/>
      <c r="BV85" s="52"/>
      <c r="BW85" s="51"/>
      <c r="BX85" s="75"/>
      <c r="BY85" s="332"/>
      <c r="BZ85" s="53"/>
      <c r="CA85" s="52"/>
      <c r="CB85" s="51"/>
      <c r="CC85" s="75"/>
      <c r="CD85" s="332"/>
      <c r="CE85" s="52"/>
      <c r="CF85" s="52"/>
      <c r="CG85" s="333"/>
      <c r="CH85" s="334"/>
      <c r="CI85" s="334"/>
      <c r="CJ85" s="56"/>
      <c r="CK85" s="2"/>
    </row>
    <row r="86" spans="1:89" s="57" customFormat="1" ht="14.45" customHeight="1" outlineLevel="2" x14ac:dyDescent="0.2">
      <c r="A86" s="153"/>
      <c r="B86" s="335" t="s">
        <v>243</v>
      </c>
      <c r="C86" s="71"/>
      <c r="D86" s="263"/>
      <c r="E86" s="164"/>
      <c r="F86" s="331"/>
      <c r="G86" s="53"/>
      <c r="H86" s="52"/>
      <c r="I86" s="51"/>
      <c r="J86" s="88"/>
      <c r="K86" s="332"/>
      <c r="L86" s="53"/>
      <c r="M86" s="52"/>
      <c r="N86" s="333"/>
      <c r="O86" s="88"/>
      <c r="P86" s="332"/>
      <c r="Q86" s="53"/>
      <c r="R86" s="52"/>
      <c r="S86" s="333"/>
      <c r="T86" s="88"/>
      <c r="U86" s="332"/>
      <c r="V86" s="236"/>
      <c r="W86" s="53"/>
      <c r="X86" s="52"/>
      <c r="Y86" s="51"/>
      <c r="Z86" s="75"/>
      <c r="AA86" s="332"/>
      <c r="AB86" s="53"/>
      <c r="AC86" s="52"/>
      <c r="AD86" s="51"/>
      <c r="AE86" s="75"/>
      <c r="AF86" s="332"/>
      <c r="AG86" s="53"/>
      <c r="AH86" s="52"/>
      <c r="AI86" s="51"/>
      <c r="AJ86" s="75"/>
      <c r="AK86" s="332"/>
      <c r="AL86" s="53"/>
      <c r="AM86" s="52"/>
      <c r="AN86" s="51"/>
      <c r="AO86" s="75"/>
      <c r="AP86" s="332"/>
      <c r="AQ86" s="53"/>
      <c r="AR86" s="52"/>
      <c r="AS86" s="51"/>
      <c r="AT86" s="75"/>
      <c r="AU86" s="332"/>
      <c r="AV86" s="53"/>
      <c r="AW86" s="52"/>
      <c r="AX86" s="51"/>
      <c r="AY86" s="75"/>
      <c r="AZ86" s="332"/>
      <c r="BA86" s="53"/>
      <c r="BB86" s="52"/>
      <c r="BC86" s="51"/>
      <c r="BD86" s="75"/>
      <c r="BE86" s="332"/>
      <c r="BF86" s="53"/>
      <c r="BG86" s="52"/>
      <c r="BH86" s="51"/>
      <c r="BI86" s="75"/>
      <c r="BJ86" s="332"/>
      <c r="BK86" s="53"/>
      <c r="BL86" s="52"/>
      <c r="BM86" s="51"/>
      <c r="BN86" s="75"/>
      <c r="BO86" s="332"/>
      <c r="BP86" s="53"/>
      <c r="BQ86" s="52"/>
      <c r="BR86" s="51"/>
      <c r="BS86" s="75"/>
      <c r="BT86" s="332"/>
      <c r="BU86" s="53"/>
      <c r="BV86" s="52"/>
      <c r="BW86" s="51"/>
      <c r="BX86" s="75"/>
      <c r="BY86" s="332"/>
      <c r="BZ86" s="53"/>
      <c r="CA86" s="52"/>
      <c r="CB86" s="51"/>
      <c r="CC86" s="75"/>
      <c r="CD86" s="332"/>
      <c r="CE86" s="52"/>
      <c r="CF86" s="52"/>
      <c r="CG86" s="333"/>
      <c r="CH86" s="334"/>
      <c r="CI86" s="334"/>
      <c r="CJ86" s="56"/>
      <c r="CK86" s="2"/>
    </row>
    <row r="87" spans="1:89" s="57" customFormat="1" ht="14.45" customHeight="1" outlineLevel="2" x14ac:dyDescent="0.2">
      <c r="A87" s="153"/>
      <c r="B87" s="335" t="s">
        <v>244</v>
      </c>
      <c r="C87" s="71"/>
      <c r="D87" s="263"/>
      <c r="E87" s="164"/>
      <c r="F87" s="331"/>
      <c r="G87" s="53"/>
      <c r="H87" s="52"/>
      <c r="I87" s="51"/>
      <c r="J87" s="88"/>
      <c r="K87" s="332"/>
      <c r="L87" s="53"/>
      <c r="M87" s="52"/>
      <c r="N87" s="333"/>
      <c r="O87" s="88"/>
      <c r="P87" s="332"/>
      <c r="Q87" s="53"/>
      <c r="R87" s="52"/>
      <c r="S87" s="333"/>
      <c r="T87" s="88"/>
      <c r="U87" s="332"/>
      <c r="V87" s="236"/>
      <c r="W87" s="53"/>
      <c r="X87" s="52"/>
      <c r="Y87" s="51"/>
      <c r="Z87" s="75"/>
      <c r="AA87" s="332"/>
      <c r="AB87" s="53"/>
      <c r="AC87" s="52"/>
      <c r="AD87" s="51"/>
      <c r="AE87" s="75"/>
      <c r="AF87" s="332"/>
      <c r="AG87" s="53"/>
      <c r="AH87" s="52"/>
      <c r="AI87" s="51"/>
      <c r="AJ87" s="75"/>
      <c r="AK87" s="332"/>
      <c r="AL87" s="53"/>
      <c r="AM87" s="52"/>
      <c r="AN87" s="51"/>
      <c r="AO87" s="75"/>
      <c r="AP87" s="332"/>
      <c r="AQ87" s="53"/>
      <c r="AR87" s="52"/>
      <c r="AS87" s="51"/>
      <c r="AT87" s="75"/>
      <c r="AU87" s="332"/>
      <c r="AV87" s="53"/>
      <c r="AW87" s="52"/>
      <c r="AX87" s="51"/>
      <c r="AY87" s="75"/>
      <c r="AZ87" s="332"/>
      <c r="BA87" s="53"/>
      <c r="BB87" s="52"/>
      <c r="BC87" s="51"/>
      <c r="BD87" s="75"/>
      <c r="BE87" s="332"/>
      <c r="BF87" s="53"/>
      <c r="BG87" s="52"/>
      <c r="BH87" s="51"/>
      <c r="BI87" s="75"/>
      <c r="BJ87" s="332"/>
      <c r="BK87" s="53"/>
      <c r="BL87" s="52"/>
      <c r="BM87" s="51"/>
      <c r="BN87" s="75"/>
      <c r="BO87" s="332"/>
      <c r="BP87" s="53"/>
      <c r="BQ87" s="52"/>
      <c r="BR87" s="51"/>
      <c r="BS87" s="75"/>
      <c r="BT87" s="332"/>
      <c r="BU87" s="53"/>
      <c r="BV87" s="52"/>
      <c r="BW87" s="51"/>
      <c r="BX87" s="75"/>
      <c r="BY87" s="332"/>
      <c r="BZ87" s="53"/>
      <c r="CA87" s="52"/>
      <c r="CB87" s="51"/>
      <c r="CC87" s="75"/>
      <c r="CD87" s="332"/>
      <c r="CE87" s="52"/>
      <c r="CF87" s="52"/>
      <c r="CG87" s="333"/>
      <c r="CH87" s="334"/>
      <c r="CI87" s="334"/>
      <c r="CJ87" s="56"/>
      <c r="CK87" s="2"/>
    </row>
    <row r="88" spans="1:89" s="57" customFormat="1" ht="14.45" customHeight="1" outlineLevel="2" x14ac:dyDescent="0.2">
      <c r="A88" s="153"/>
      <c r="B88" s="336" t="s">
        <v>245</v>
      </c>
      <c r="C88" s="85"/>
      <c r="D88" s="164"/>
      <c r="E88" s="164">
        <f>C88+D88</f>
        <v>0</v>
      </c>
      <c r="F88" s="120">
        <f>E88/$E$106</f>
        <v>0</v>
      </c>
      <c r="G88" s="53">
        <v>675471.25420368672</v>
      </c>
      <c r="H88" s="52">
        <v>0</v>
      </c>
      <c r="I88" s="51">
        <f>G88+H88*1</f>
        <v>675471.25420368672</v>
      </c>
      <c r="J88" s="88">
        <f>I88/I$106</f>
        <v>1.3634726703659318E-2</v>
      </c>
      <c r="K88" s="177"/>
      <c r="L88" s="53">
        <v>6012378.9898998188</v>
      </c>
      <c r="M88" s="52">
        <v>0</v>
      </c>
      <c r="N88" s="52">
        <f t="shared" si="231"/>
        <v>6012378.9898998188</v>
      </c>
      <c r="O88" s="88">
        <f>N88/N$106</f>
        <v>1.4110793325520267E-2</v>
      </c>
      <c r="P88" s="177"/>
      <c r="Q88" s="53">
        <f t="shared" si="232"/>
        <v>4747275.9160410361</v>
      </c>
      <c r="R88" s="52">
        <f t="shared" si="232"/>
        <v>0</v>
      </c>
      <c r="S88" s="52">
        <f t="shared" si="232"/>
        <v>4747275.9160410361</v>
      </c>
      <c r="T88" s="88">
        <f>S88/S$106</f>
        <v>2.1449314122927249E-2</v>
      </c>
      <c r="U88" s="177"/>
      <c r="V88" s="178"/>
      <c r="W88" s="53">
        <f>(X8+X41+X50+X54)/(1-'[1]расчет 2026'!E48)*'[1]расчет 2026'!E48</f>
        <v>594591.50600779476</v>
      </c>
      <c r="X88" s="52"/>
      <c r="Y88" s="51">
        <f t="shared" si="233"/>
        <v>594591.50600779476</v>
      </c>
      <c r="Z88" s="75">
        <f>Y88/Y$106</f>
        <v>1.5745315908725799E-2</v>
      </c>
      <c r="AA88" s="238"/>
      <c r="AB88" s="53">
        <f>(AC8+AC41+AC50+AC54)/(1-'[1]расчет 2026'!E49)*'[1]расчет 2026'!E49</f>
        <v>543134.81809334923</v>
      </c>
      <c r="AC88" s="52"/>
      <c r="AD88" s="51">
        <f t="shared" si="234"/>
        <v>543134.81809334923</v>
      </c>
      <c r="AE88" s="75">
        <f>AD88/AD$106</f>
        <v>1.6466383044771243E-2</v>
      </c>
      <c r="AF88" s="238"/>
      <c r="AG88" s="53">
        <f>(AH8+AH41+AH50+AH54)/(1-'[1]расчет 2026'!E50)*'[1]расчет 2026'!E50</f>
        <v>912222.09187841637</v>
      </c>
      <c r="AH88" s="52"/>
      <c r="AI88" s="51">
        <f t="shared" si="235"/>
        <v>912222.09187841637</v>
      </c>
      <c r="AJ88" s="75">
        <f>AI88/AI$106</f>
        <v>2.3515253244143594E-2</v>
      </c>
      <c r="AK88" s="238"/>
      <c r="AL88" s="53">
        <f>(AM8+AM41+AM50+AM54)/(1-'[1]расчет 2026'!E51)*'[1]расчет 2026'!E51</f>
        <v>549992.53058734583</v>
      </c>
      <c r="AM88" s="52"/>
      <c r="AN88" s="51">
        <f t="shared" si="236"/>
        <v>549992.53058734583</v>
      </c>
      <c r="AO88" s="75">
        <f>AN88/AN$106</f>
        <v>1.5347985624046811E-2</v>
      </c>
      <c r="AP88" s="238"/>
      <c r="AQ88" s="53">
        <f>(AR8+AR41+AR50+AR54)/(1-'[1]расчет 2026'!E52)*'[1]расчет 2026'!E52</f>
        <v>1106037.8028558895</v>
      </c>
      <c r="AR88" s="52"/>
      <c r="AS88" s="51">
        <f t="shared" si="237"/>
        <v>1106037.8028558895</v>
      </c>
      <c r="AT88" s="75">
        <f>AS88/AS$106</f>
        <v>3.0382655242633085E-2</v>
      </c>
      <c r="AU88" s="238"/>
      <c r="AV88" s="53">
        <f>(AW8+AW41+AW50+AW54)/(1-'[1]расчет 2026'!E53)*'[1]расчет 2026'!E53</f>
        <v>1041297.1666182401</v>
      </c>
      <c r="AW88" s="52"/>
      <c r="AX88" s="51">
        <f t="shared" si="238"/>
        <v>1041297.1666182401</v>
      </c>
      <c r="AY88" s="75">
        <f>AX88/AX$106</f>
        <v>2.633091931674568E-2</v>
      </c>
      <c r="AZ88" s="238"/>
      <c r="BA88" s="53"/>
      <c r="BB88" s="52"/>
      <c r="BC88" s="51">
        <f t="shared" si="239"/>
        <v>0</v>
      </c>
      <c r="BD88" s="75" t="e">
        <f>BC88/BC$106</f>
        <v>#DIV/0!</v>
      </c>
      <c r="BE88" s="238"/>
      <c r="BF88" s="53"/>
      <c r="BG88" s="52"/>
      <c r="BH88" s="51">
        <f t="shared" si="240"/>
        <v>0</v>
      </c>
      <c r="BI88" s="75" t="e">
        <f>BH88/BH$106</f>
        <v>#DIV/0!</v>
      </c>
      <c r="BJ88" s="238"/>
      <c r="BK88" s="53"/>
      <c r="BL88" s="52"/>
      <c r="BM88" s="51">
        <f t="shared" si="241"/>
        <v>0</v>
      </c>
      <c r="BN88" s="75" t="e">
        <f>BM88/BM$106</f>
        <v>#DIV/0!</v>
      </c>
      <c r="BO88" s="238"/>
      <c r="BP88" s="53"/>
      <c r="BQ88" s="52"/>
      <c r="BR88" s="51">
        <f t="shared" si="242"/>
        <v>0</v>
      </c>
      <c r="BS88" s="75" t="e">
        <f>BR88/BR$106</f>
        <v>#DIV/0!</v>
      </c>
      <c r="BT88" s="238"/>
      <c r="BU88" s="53"/>
      <c r="BV88" s="52"/>
      <c r="BW88" s="51">
        <f>BU88+BV88*1</f>
        <v>0</v>
      </c>
      <c r="BX88" s="75" t="e">
        <f>BW88/BW$106</f>
        <v>#DIV/0!</v>
      </c>
      <c r="BY88" s="238"/>
      <c r="BZ88" s="53"/>
      <c r="CA88" s="52"/>
      <c r="CB88" s="51">
        <f>BZ88+CA88*1</f>
        <v>0</v>
      </c>
      <c r="CC88" s="75" t="e">
        <f>CB88/CB$106</f>
        <v>#DIV/0!</v>
      </c>
      <c r="CD88" s="238"/>
      <c r="CE88" s="52">
        <f t="shared" si="243"/>
        <v>11435126.160144541</v>
      </c>
      <c r="CF88" s="52">
        <f t="shared" si="243"/>
        <v>0</v>
      </c>
      <c r="CG88" s="52">
        <f>CE88+CF88*1</f>
        <v>11435126.160144541</v>
      </c>
      <c r="CH88" s="121"/>
      <c r="CI88" s="121"/>
      <c r="CJ88" s="56">
        <v>7692657.7999999998</v>
      </c>
      <c r="CK88" s="2">
        <f>CG88-CJ88</f>
        <v>3742468.3601445416</v>
      </c>
    </row>
    <row r="89" spans="1:89" ht="14.45" customHeight="1" outlineLevel="2" thickBot="1" x14ac:dyDescent="0.25">
      <c r="A89" s="239"/>
      <c r="B89" s="117"/>
      <c r="C89" s="240"/>
      <c r="D89" s="241"/>
      <c r="E89" s="242"/>
      <c r="F89" s="243"/>
      <c r="G89" s="53"/>
      <c r="H89" s="52"/>
      <c r="I89" s="244"/>
      <c r="J89" s="244"/>
      <c r="K89" s="245"/>
      <c r="L89" s="53"/>
      <c r="M89" s="52"/>
      <c r="N89" s="244"/>
      <c r="O89" s="244"/>
      <c r="P89" s="245"/>
      <c r="Q89" s="53"/>
      <c r="R89" s="52"/>
      <c r="S89" s="244"/>
      <c r="T89" s="244"/>
      <c r="U89" s="245"/>
      <c r="V89" s="111"/>
      <c r="W89" s="108"/>
      <c r="X89" s="246"/>
      <c r="Y89" s="244"/>
      <c r="Z89" s="244"/>
      <c r="AA89" s="245"/>
      <c r="AB89" s="108"/>
      <c r="AC89" s="246"/>
      <c r="AD89" s="244"/>
      <c r="AE89" s="244"/>
      <c r="AF89" s="245"/>
      <c r="AG89" s="108"/>
      <c r="AH89" s="246"/>
      <c r="AI89" s="244"/>
      <c r="AJ89" s="244"/>
      <c r="AK89" s="245"/>
      <c r="AL89" s="108"/>
      <c r="AM89" s="246"/>
      <c r="AN89" s="244"/>
      <c r="AO89" s="244"/>
      <c r="AP89" s="245"/>
      <c r="AQ89" s="108"/>
      <c r="AR89" s="246"/>
      <c r="AS89" s="244"/>
      <c r="AT89" s="244"/>
      <c r="AU89" s="245"/>
      <c r="AV89" s="108"/>
      <c r="AW89" s="246"/>
      <c r="AX89" s="244"/>
      <c r="AY89" s="244"/>
      <c r="AZ89" s="245"/>
      <c r="BA89" s="108"/>
      <c r="BB89" s="246"/>
      <c r="BC89" s="244"/>
      <c r="BD89" s="244"/>
      <c r="BE89" s="245"/>
      <c r="BF89" s="108"/>
      <c r="BG89" s="246"/>
      <c r="BH89" s="244"/>
      <c r="BI89" s="244"/>
      <c r="BJ89" s="245"/>
      <c r="BK89" s="108"/>
      <c r="BL89" s="246"/>
      <c r="BM89" s="244"/>
      <c r="BN89" s="244"/>
      <c r="BO89" s="245"/>
      <c r="BP89" s="108"/>
      <c r="BQ89" s="246"/>
      <c r="BR89" s="244"/>
      <c r="BS89" s="244"/>
      <c r="BT89" s="245"/>
      <c r="BU89" s="108"/>
      <c r="BV89" s="246"/>
      <c r="BW89" s="244"/>
      <c r="BX89" s="244"/>
      <c r="BY89" s="245"/>
      <c r="BZ89" s="108"/>
      <c r="CA89" s="246"/>
      <c r="CB89" s="244"/>
      <c r="CC89" s="244"/>
      <c r="CD89" s="245"/>
      <c r="CE89" s="52"/>
      <c r="CF89" s="52"/>
      <c r="CG89" s="244"/>
      <c r="CH89" s="244"/>
      <c r="CI89" s="244"/>
    </row>
    <row r="90" spans="1:89" ht="14.45" customHeight="1" outlineLevel="2" thickBot="1" x14ac:dyDescent="0.25">
      <c r="A90" s="239"/>
      <c r="B90" s="346" t="s">
        <v>211</v>
      </c>
      <c r="C90" s="337"/>
      <c r="D90" s="337"/>
      <c r="E90" s="338"/>
      <c r="F90" s="339"/>
      <c r="G90" s="340"/>
      <c r="H90" s="341"/>
      <c r="I90" s="342"/>
      <c r="J90" s="342"/>
      <c r="K90" s="343"/>
      <c r="L90" s="340"/>
      <c r="M90" s="341"/>
      <c r="N90" s="342"/>
      <c r="O90" s="342"/>
      <c r="P90" s="343"/>
      <c r="Q90" s="340"/>
      <c r="R90" s="341"/>
      <c r="S90" s="342"/>
      <c r="T90" s="342"/>
      <c r="U90" s="343"/>
      <c r="V90" s="214"/>
      <c r="W90" s="344"/>
      <c r="X90" s="345"/>
      <c r="Y90" s="342"/>
      <c r="Z90" s="342"/>
      <c r="AA90" s="343"/>
      <c r="AB90" s="344"/>
      <c r="AC90" s="345"/>
      <c r="AD90" s="342"/>
      <c r="AE90" s="342"/>
      <c r="AF90" s="343"/>
      <c r="AG90" s="344"/>
      <c r="AH90" s="345"/>
      <c r="AI90" s="342"/>
      <c r="AJ90" s="342"/>
      <c r="AK90" s="343"/>
      <c r="AL90" s="344"/>
      <c r="AM90" s="345"/>
      <c r="AN90" s="342"/>
      <c r="AO90" s="342"/>
      <c r="AP90" s="343"/>
      <c r="AQ90" s="344"/>
      <c r="AR90" s="345"/>
      <c r="AS90" s="342"/>
      <c r="AT90" s="342"/>
      <c r="AU90" s="343"/>
      <c r="AV90" s="344"/>
      <c r="AW90" s="345"/>
      <c r="AX90" s="342"/>
      <c r="AY90" s="342"/>
      <c r="AZ90" s="343"/>
      <c r="BA90" s="344"/>
      <c r="BB90" s="345"/>
      <c r="BC90" s="342"/>
      <c r="BD90" s="342"/>
      <c r="BE90" s="343"/>
      <c r="BF90" s="344"/>
      <c r="BG90" s="345"/>
      <c r="BH90" s="342"/>
      <c r="BI90" s="342"/>
      <c r="BJ90" s="343"/>
      <c r="BK90" s="344"/>
      <c r="BL90" s="345"/>
      <c r="BM90" s="342"/>
      <c r="BN90" s="342"/>
      <c r="BO90" s="343"/>
      <c r="BP90" s="344"/>
      <c r="BQ90" s="345"/>
      <c r="BR90" s="342"/>
      <c r="BS90" s="342"/>
      <c r="BT90" s="343"/>
      <c r="BU90" s="344"/>
      <c r="BV90" s="345"/>
      <c r="BW90" s="342"/>
      <c r="BX90" s="342"/>
      <c r="BY90" s="343"/>
      <c r="BZ90" s="344"/>
      <c r="CA90" s="345"/>
      <c r="CB90" s="342"/>
      <c r="CC90" s="342"/>
      <c r="CD90" s="343"/>
      <c r="CE90" s="196"/>
      <c r="CF90" s="196"/>
      <c r="CG90" s="342"/>
      <c r="CH90" s="342"/>
      <c r="CI90" s="342"/>
    </row>
    <row r="91" spans="1:89" ht="14.45" customHeight="1" outlineLevel="2" thickBot="1" x14ac:dyDescent="0.25">
      <c r="A91" s="239"/>
      <c r="B91" s="310" t="s">
        <v>212</v>
      </c>
      <c r="C91" s="337"/>
      <c r="D91" s="337"/>
      <c r="E91" s="338"/>
      <c r="F91" s="339"/>
      <c r="G91" s="340"/>
      <c r="H91" s="341"/>
      <c r="I91" s="342"/>
      <c r="J91" s="342"/>
      <c r="K91" s="343"/>
      <c r="L91" s="340"/>
      <c r="M91" s="341"/>
      <c r="N91" s="342"/>
      <c r="O91" s="342"/>
      <c r="P91" s="343"/>
      <c r="Q91" s="340"/>
      <c r="R91" s="341"/>
      <c r="S91" s="342"/>
      <c r="T91" s="342"/>
      <c r="U91" s="343"/>
      <c r="V91" s="214"/>
      <c r="W91" s="344"/>
      <c r="X91" s="345"/>
      <c r="Y91" s="342"/>
      <c r="Z91" s="342"/>
      <c r="AA91" s="343"/>
      <c r="AB91" s="344"/>
      <c r="AC91" s="345"/>
      <c r="AD91" s="342"/>
      <c r="AE91" s="342"/>
      <c r="AF91" s="343"/>
      <c r="AG91" s="344"/>
      <c r="AH91" s="345"/>
      <c r="AI91" s="342"/>
      <c r="AJ91" s="342"/>
      <c r="AK91" s="343"/>
      <c r="AL91" s="344"/>
      <c r="AM91" s="345"/>
      <c r="AN91" s="342"/>
      <c r="AO91" s="342"/>
      <c r="AP91" s="343"/>
      <c r="AQ91" s="344"/>
      <c r="AR91" s="345"/>
      <c r="AS91" s="342"/>
      <c r="AT91" s="342"/>
      <c r="AU91" s="343"/>
      <c r="AV91" s="344"/>
      <c r="AW91" s="345"/>
      <c r="AX91" s="342"/>
      <c r="AY91" s="342"/>
      <c r="AZ91" s="343"/>
      <c r="BA91" s="344"/>
      <c r="BB91" s="345"/>
      <c r="BC91" s="342"/>
      <c r="BD91" s="342"/>
      <c r="BE91" s="343"/>
      <c r="BF91" s="344"/>
      <c r="BG91" s="345"/>
      <c r="BH91" s="342"/>
      <c r="BI91" s="342"/>
      <c r="BJ91" s="343"/>
      <c r="BK91" s="344"/>
      <c r="BL91" s="345"/>
      <c r="BM91" s="342"/>
      <c r="BN91" s="342"/>
      <c r="BO91" s="343"/>
      <c r="BP91" s="344"/>
      <c r="BQ91" s="345"/>
      <c r="BR91" s="342"/>
      <c r="BS91" s="342"/>
      <c r="BT91" s="343"/>
      <c r="BU91" s="344"/>
      <c r="BV91" s="345"/>
      <c r="BW91" s="342"/>
      <c r="BX91" s="342"/>
      <c r="BY91" s="343"/>
      <c r="BZ91" s="344"/>
      <c r="CA91" s="345"/>
      <c r="CB91" s="342"/>
      <c r="CC91" s="342"/>
      <c r="CD91" s="343"/>
      <c r="CE91" s="196"/>
      <c r="CF91" s="196"/>
      <c r="CG91" s="342"/>
      <c r="CH91" s="342"/>
      <c r="CI91" s="342"/>
    </row>
    <row r="92" spans="1:89" ht="14.45" customHeight="1" outlineLevel="2" x14ac:dyDescent="0.2">
      <c r="A92" s="239"/>
      <c r="B92" s="311" t="s">
        <v>215</v>
      </c>
      <c r="C92" s="337"/>
      <c r="D92" s="337"/>
      <c r="E92" s="338"/>
      <c r="F92" s="339"/>
      <c r="G92" s="340"/>
      <c r="H92" s="341"/>
      <c r="I92" s="342"/>
      <c r="J92" s="342"/>
      <c r="K92" s="343"/>
      <c r="L92" s="340"/>
      <c r="M92" s="341"/>
      <c r="N92" s="342"/>
      <c r="O92" s="342"/>
      <c r="P92" s="343"/>
      <c r="Q92" s="340"/>
      <c r="R92" s="341"/>
      <c r="S92" s="342"/>
      <c r="T92" s="342"/>
      <c r="U92" s="343"/>
      <c r="V92" s="214"/>
      <c r="W92" s="344"/>
      <c r="X92" s="345"/>
      <c r="Y92" s="342"/>
      <c r="Z92" s="342"/>
      <c r="AA92" s="343"/>
      <c r="AB92" s="344"/>
      <c r="AC92" s="345"/>
      <c r="AD92" s="342"/>
      <c r="AE92" s="342"/>
      <c r="AF92" s="343"/>
      <c r="AG92" s="344"/>
      <c r="AH92" s="345"/>
      <c r="AI92" s="342"/>
      <c r="AJ92" s="342"/>
      <c r="AK92" s="343"/>
      <c r="AL92" s="344"/>
      <c r="AM92" s="345"/>
      <c r="AN92" s="342"/>
      <c r="AO92" s="342"/>
      <c r="AP92" s="343"/>
      <c r="AQ92" s="344"/>
      <c r="AR92" s="345"/>
      <c r="AS92" s="342"/>
      <c r="AT92" s="342"/>
      <c r="AU92" s="343"/>
      <c r="AV92" s="344"/>
      <c r="AW92" s="345"/>
      <c r="AX92" s="342"/>
      <c r="AY92" s="342"/>
      <c r="AZ92" s="343"/>
      <c r="BA92" s="344"/>
      <c r="BB92" s="345"/>
      <c r="BC92" s="342"/>
      <c r="BD92" s="342"/>
      <c r="BE92" s="343"/>
      <c r="BF92" s="344"/>
      <c r="BG92" s="345"/>
      <c r="BH92" s="342"/>
      <c r="BI92" s="342"/>
      <c r="BJ92" s="343"/>
      <c r="BK92" s="344"/>
      <c r="BL92" s="345"/>
      <c r="BM92" s="342"/>
      <c r="BN92" s="342"/>
      <c r="BO92" s="343"/>
      <c r="BP92" s="344"/>
      <c r="BQ92" s="345"/>
      <c r="BR92" s="342"/>
      <c r="BS92" s="342"/>
      <c r="BT92" s="343"/>
      <c r="BU92" s="344"/>
      <c r="BV92" s="345"/>
      <c r="BW92" s="342"/>
      <c r="BX92" s="342"/>
      <c r="BY92" s="343"/>
      <c r="BZ92" s="344"/>
      <c r="CA92" s="345"/>
      <c r="CB92" s="342"/>
      <c r="CC92" s="342"/>
      <c r="CD92" s="343"/>
      <c r="CE92" s="196"/>
      <c r="CF92" s="196"/>
      <c r="CG92" s="342"/>
      <c r="CH92" s="342"/>
      <c r="CI92" s="342"/>
    </row>
    <row r="93" spans="1:89" ht="14.45" customHeight="1" outlineLevel="2" thickBot="1" x14ac:dyDescent="0.25">
      <c r="A93" s="239"/>
      <c r="B93" s="347"/>
      <c r="C93" s="337"/>
      <c r="D93" s="337"/>
      <c r="E93" s="338"/>
      <c r="F93" s="339"/>
      <c r="G93" s="340"/>
      <c r="H93" s="341"/>
      <c r="I93" s="342"/>
      <c r="J93" s="342"/>
      <c r="K93" s="343"/>
      <c r="L93" s="340"/>
      <c r="M93" s="341"/>
      <c r="N93" s="342"/>
      <c r="O93" s="342"/>
      <c r="P93" s="343"/>
      <c r="Q93" s="340"/>
      <c r="R93" s="341"/>
      <c r="S93" s="342"/>
      <c r="T93" s="342"/>
      <c r="U93" s="343"/>
      <c r="V93" s="214"/>
      <c r="W93" s="344"/>
      <c r="X93" s="345"/>
      <c r="Y93" s="342"/>
      <c r="Z93" s="342"/>
      <c r="AA93" s="343"/>
      <c r="AB93" s="344"/>
      <c r="AC93" s="345"/>
      <c r="AD93" s="342"/>
      <c r="AE93" s="342"/>
      <c r="AF93" s="343"/>
      <c r="AG93" s="344"/>
      <c r="AH93" s="345"/>
      <c r="AI93" s="342"/>
      <c r="AJ93" s="342"/>
      <c r="AK93" s="343"/>
      <c r="AL93" s="344"/>
      <c r="AM93" s="345"/>
      <c r="AN93" s="342"/>
      <c r="AO93" s="342"/>
      <c r="AP93" s="343"/>
      <c r="AQ93" s="344"/>
      <c r="AR93" s="345"/>
      <c r="AS93" s="342"/>
      <c r="AT93" s="342"/>
      <c r="AU93" s="343"/>
      <c r="AV93" s="344"/>
      <c r="AW93" s="345"/>
      <c r="AX93" s="342"/>
      <c r="AY93" s="342"/>
      <c r="AZ93" s="343"/>
      <c r="BA93" s="344"/>
      <c r="BB93" s="345"/>
      <c r="BC93" s="342"/>
      <c r="BD93" s="342"/>
      <c r="BE93" s="343"/>
      <c r="BF93" s="344"/>
      <c r="BG93" s="345"/>
      <c r="BH93" s="342"/>
      <c r="BI93" s="342"/>
      <c r="BJ93" s="343"/>
      <c r="BK93" s="344"/>
      <c r="BL93" s="345"/>
      <c r="BM93" s="342"/>
      <c r="BN93" s="342"/>
      <c r="BO93" s="343"/>
      <c r="BP93" s="344"/>
      <c r="BQ93" s="345"/>
      <c r="BR93" s="342"/>
      <c r="BS93" s="342"/>
      <c r="BT93" s="343"/>
      <c r="BU93" s="344"/>
      <c r="BV93" s="345"/>
      <c r="BW93" s="342"/>
      <c r="BX93" s="342"/>
      <c r="BY93" s="343"/>
      <c r="BZ93" s="344"/>
      <c r="CA93" s="345"/>
      <c r="CB93" s="342"/>
      <c r="CC93" s="342"/>
      <c r="CD93" s="343"/>
      <c r="CE93" s="196"/>
      <c r="CF93" s="196"/>
      <c r="CG93" s="342"/>
      <c r="CH93" s="342"/>
      <c r="CI93" s="342"/>
    </row>
    <row r="94" spans="1:89" s="57" customFormat="1" ht="14.45" customHeight="1" outlineLevel="1" thickBot="1" x14ac:dyDescent="0.25">
      <c r="A94" s="247"/>
      <c r="B94" s="348" t="s">
        <v>217</v>
      </c>
      <c r="C94" s="232">
        <f>C80-C83-C90</f>
        <v>-10</v>
      </c>
      <c r="D94" s="226">
        <f>(D75+D84)-D88</f>
        <v>0</v>
      </c>
      <c r="E94" s="227">
        <f>(E75+E84)-E88</f>
        <v>0</v>
      </c>
      <c r="F94" s="228"/>
      <c r="G94" s="226">
        <f>(G75+G84)-G88</f>
        <v>13203640.200320899</v>
      </c>
      <c r="H94" s="226">
        <f>(H75+H84)-H88</f>
        <v>-4393853.5600000005</v>
      </c>
      <c r="I94" s="227">
        <f>(I75+I84)-I88</f>
        <v>8809786.6403209046</v>
      </c>
      <c r="J94" s="229"/>
      <c r="K94" s="230"/>
      <c r="L94" s="226">
        <f>(L75+L84)-L88</f>
        <v>168104714.70698094</v>
      </c>
      <c r="M94" s="226">
        <f>(M75+M84)-M88</f>
        <v>-38468397.25</v>
      </c>
      <c r="N94" s="227">
        <f>(N75+N84)-N88</f>
        <v>129636317.45698094</v>
      </c>
      <c r="O94" s="229"/>
      <c r="P94" s="230"/>
      <c r="Q94" s="226">
        <f>(Q75+Q84)-Q88</f>
        <v>82110790.261959016</v>
      </c>
      <c r="R94" s="226">
        <f>(R75+R84)-R88</f>
        <v>-27489270.509999998</v>
      </c>
      <c r="S94" s="227">
        <f>(S75+S84)-S88</f>
        <v>54621519.751959026</v>
      </c>
      <c r="T94" s="229"/>
      <c r="U94" s="230"/>
      <c r="V94" s="228"/>
      <c r="W94" s="226">
        <f t="shared" ref="W94:Y94" si="244">(W75+W84)-W88</f>
        <v>18458639.861992214</v>
      </c>
      <c r="X94" s="226">
        <f t="shared" si="244"/>
        <v>-3547120.21</v>
      </c>
      <c r="Y94" s="227">
        <f t="shared" si="244"/>
        <v>14911519.651992213</v>
      </c>
      <c r="Z94" s="229"/>
      <c r="AA94" s="230"/>
      <c r="AB94" s="226">
        <f t="shared" ref="AB94:AD94" si="245">(AB75+AB84)-AB88</f>
        <v>8864617.5799066536</v>
      </c>
      <c r="AC94" s="226">
        <f t="shared" si="245"/>
        <v>-3264487.6399999997</v>
      </c>
      <c r="AD94" s="227">
        <f t="shared" si="245"/>
        <v>5600129.9399066558</v>
      </c>
      <c r="AE94" s="229"/>
      <c r="AF94" s="230"/>
      <c r="AG94" s="226">
        <f t="shared" ref="AG94:AI94" si="246">(AG75+AG84)-AG88</f>
        <v>14169217.028121591</v>
      </c>
      <c r="AH94" s="226">
        <f t="shared" si="246"/>
        <v>-5311008.34</v>
      </c>
      <c r="AI94" s="227">
        <f t="shared" si="246"/>
        <v>8858208.6881215945</v>
      </c>
      <c r="AJ94" s="229"/>
      <c r="AK94" s="230"/>
      <c r="AL94" s="226">
        <f t="shared" ref="AL94:AN94" si="247">(AL75+AL84)-AL88</f>
        <v>10890208.74941265</v>
      </c>
      <c r="AM94" s="226">
        <f t="shared" si="247"/>
        <v>-3186612.25</v>
      </c>
      <c r="AN94" s="227">
        <f t="shared" si="247"/>
        <v>7703596.4994126502</v>
      </c>
      <c r="AO94" s="229"/>
      <c r="AP94" s="230"/>
      <c r="AQ94" s="226">
        <f t="shared" ref="AQ94:AS94" si="248">(AQ75+AQ84)-AQ88</f>
        <v>13637458.383144099</v>
      </c>
      <c r="AR94" s="226">
        <f t="shared" si="248"/>
        <v>-6422881.2600000007</v>
      </c>
      <c r="AS94" s="227">
        <f t="shared" si="248"/>
        <v>7214577.1231441032</v>
      </c>
      <c r="AT94" s="229"/>
      <c r="AU94" s="230"/>
      <c r="AV94" s="226">
        <f t="shared" ref="AV94:AX94" si="249">(AV75+AV84)-AV88</f>
        <v>16090648.65938177</v>
      </c>
      <c r="AW94" s="226">
        <f t="shared" si="249"/>
        <v>-5757160.8099999996</v>
      </c>
      <c r="AX94" s="227">
        <f t="shared" si="249"/>
        <v>10333487.849381775</v>
      </c>
      <c r="AY94" s="229"/>
      <c r="AZ94" s="230"/>
      <c r="BA94" s="226">
        <f t="shared" ref="BA94:BC94" si="250">(BA75+BA84)-BA88</f>
        <v>0</v>
      </c>
      <c r="BB94" s="226">
        <f t="shared" si="250"/>
        <v>0</v>
      </c>
      <c r="BC94" s="227">
        <f t="shared" si="250"/>
        <v>0</v>
      </c>
      <c r="BD94" s="229"/>
      <c r="BE94" s="230"/>
      <c r="BF94" s="226">
        <f t="shared" ref="BF94:BH94" si="251">(BF75+BF84)-BF88</f>
        <v>0</v>
      </c>
      <c r="BG94" s="226">
        <f t="shared" si="251"/>
        <v>0</v>
      </c>
      <c r="BH94" s="227">
        <f t="shared" si="251"/>
        <v>0</v>
      </c>
      <c r="BI94" s="229"/>
      <c r="BJ94" s="230"/>
      <c r="BK94" s="226">
        <f t="shared" ref="BK94:BM94" si="252">(BK75+BK84)-BK88</f>
        <v>0</v>
      </c>
      <c r="BL94" s="226">
        <f t="shared" si="252"/>
        <v>0</v>
      </c>
      <c r="BM94" s="227">
        <f t="shared" si="252"/>
        <v>0</v>
      </c>
      <c r="BN94" s="229"/>
      <c r="BO94" s="230"/>
      <c r="BP94" s="226">
        <f t="shared" ref="BP94:BR94" si="253">(BP75+BP84)-BP88</f>
        <v>0</v>
      </c>
      <c r="BQ94" s="226">
        <f t="shared" si="253"/>
        <v>0</v>
      </c>
      <c r="BR94" s="227">
        <f t="shared" si="253"/>
        <v>0</v>
      </c>
      <c r="BS94" s="229"/>
      <c r="BT94" s="230"/>
      <c r="BU94" s="226">
        <f>(BU75+BU84)-BU88</f>
        <v>0</v>
      </c>
      <c r="BV94" s="226">
        <f>(BV75+BV84)-BV88</f>
        <v>0</v>
      </c>
      <c r="BW94" s="227">
        <f>(BW75+BW84)-BW88</f>
        <v>0</v>
      </c>
      <c r="BX94" s="229"/>
      <c r="BY94" s="230"/>
      <c r="BZ94" s="226">
        <f>(BZ75+BZ84)-BZ88</f>
        <v>0</v>
      </c>
      <c r="CA94" s="226">
        <f>(CA75+CA84)-CA88</f>
        <v>0</v>
      </c>
      <c r="CB94" s="227">
        <f>(CB75+CB84)-CB88</f>
        <v>0</v>
      </c>
      <c r="CC94" s="229"/>
      <c r="CD94" s="230"/>
      <c r="CE94" s="227">
        <f>(CE75+CE84)-CE88</f>
        <v>263419145.16926095</v>
      </c>
      <c r="CF94" s="227">
        <f>(CF75+CF84)-CF88</f>
        <v>-70351521.319999993</v>
      </c>
      <c r="CG94" s="227">
        <f>(CG75+CG84)-CG88</f>
        <v>193067623.84926081</v>
      </c>
      <c r="CH94" s="229"/>
      <c r="CI94" s="229"/>
      <c r="CJ94" s="56"/>
      <c r="CK94" s="56"/>
    </row>
    <row r="95" spans="1:89" s="57" customFormat="1" ht="14.45" customHeight="1" outlineLevel="2" x14ac:dyDescent="0.2">
      <c r="A95" s="135"/>
      <c r="B95" s="48" t="s">
        <v>218</v>
      </c>
      <c r="D95" s="233"/>
      <c r="E95" s="248">
        <f>C94+D95</f>
        <v>-10</v>
      </c>
      <c r="F95" s="120">
        <f>E95/$E$106</f>
        <v>1</v>
      </c>
      <c r="G95" s="53">
        <v>0</v>
      </c>
      <c r="H95" s="52">
        <v>0</v>
      </c>
      <c r="I95" s="248">
        <f>G95+H95</f>
        <v>0</v>
      </c>
      <c r="J95" s="249"/>
      <c r="K95" s="250"/>
      <c r="L95" s="53">
        <v>0</v>
      </c>
      <c r="M95" s="52">
        <v>0</v>
      </c>
      <c r="N95" s="248">
        <f>L95+M95</f>
        <v>0</v>
      </c>
      <c r="O95" s="249"/>
      <c r="P95" s="250"/>
      <c r="Q95" s="53">
        <f>W95+AB95+AG95+AL95+AQ95+AV95+BA95+BF95+BK95+BP95+BU95+BZ95</f>
        <v>0</v>
      </c>
      <c r="R95" s="52">
        <f>X95+AC95+AH95+AM95+AR95+AW95+BB95+BG95+BL95+BQ95+BV95+CA95</f>
        <v>0</v>
      </c>
      <c r="S95" s="248">
        <f>Q95+R95</f>
        <v>0</v>
      </c>
      <c r="T95" s="249"/>
      <c r="U95" s="250"/>
      <c r="V95" s="178"/>
      <c r="W95" s="53"/>
      <c r="X95" s="52"/>
      <c r="Y95" s="248">
        <f t="shared" ref="Y95" si="254">W95+X95</f>
        <v>0</v>
      </c>
      <c r="Z95" s="249"/>
      <c r="AA95" s="54"/>
      <c r="AB95" s="53"/>
      <c r="AC95" s="52"/>
      <c r="AD95" s="248">
        <f t="shared" ref="AD95" si="255">AB95+AC95</f>
        <v>0</v>
      </c>
      <c r="AE95" s="249"/>
      <c r="AF95" s="54"/>
      <c r="AG95" s="53"/>
      <c r="AH95" s="52"/>
      <c r="AI95" s="248">
        <f t="shared" ref="AI95" si="256">AG95+AH95</f>
        <v>0</v>
      </c>
      <c r="AJ95" s="249"/>
      <c r="AK95" s="54"/>
      <c r="AL95" s="53"/>
      <c r="AM95" s="52"/>
      <c r="AN95" s="248">
        <f t="shared" ref="AN95" si="257">AL95+AM95</f>
        <v>0</v>
      </c>
      <c r="AO95" s="249"/>
      <c r="AP95" s="54"/>
      <c r="AQ95" s="53"/>
      <c r="AR95" s="52"/>
      <c r="AS95" s="248">
        <f t="shared" ref="AS95" si="258">AQ95+AR95</f>
        <v>0</v>
      </c>
      <c r="AT95" s="249"/>
      <c r="AU95" s="54"/>
      <c r="AV95" s="53"/>
      <c r="AW95" s="52"/>
      <c r="AX95" s="248">
        <f t="shared" ref="AX95" si="259">AV95+AW95</f>
        <v>0</v>
      </c>
      <c r="AY95" s="249"/>
      <c r="AZ95" s="54"/>
      <c r="BA95" s="53"/>
      <c r="BB95" s="52"/>
      <c r="BC95" s="248">
        <f t="shared" ref="BC95" si="260">BA95+BB95</f>
        <v>0</v>
      </c>
      <c r="BD95" s="249"/>
      <c r="BE95" s="54"/>
      <c r="BF95" s="53"/>
      <c r="BG95" s="52"/>
      <c r="BH95" s="248">
        <f t="shared" ref="BH95" si="261">BF95+BG95</f>
        <v>0</v>
      </c>
      <c r="BI95" s="249"/>
      <c r="BJ95" s="54"/>
      <c r="BK95" s="53"/>
      <c r="BL95" s="52"/>
      <c r="BM95" s="248">
        <f t="shared" ref="BM95" si="262">BK95+BL95</f>
        <v>0</v>
      </c>
      <c r="BN95" s="249"/>
      <c r="BO95" s="54"/>
      <c r="BP95" s="53"/>
      <c r="BQ95" s="52"/>
      <c r="BR95" s="248">
        <f t="shared" ref="BR95" si="263">BP95+BQ95</f>
        <v>0</v>
      </c>
      <c r="BS95" s="249"/>
      <c r="BT95" s="54"/>
      <c r="BU95" s="53"/>
      <c r="BV95" s="52"/>
      <c r="BW95" s="248">
        <f>BU95+BV95</f>
        <v>0</v>
      </c>
      <c r="BX95" s="249"/>
      <c r="BY95" s="54"/>
      <c r="BZ95" s="53"/>
      <c r="CA95" s="52"/>
      <c r="CB95" s="248">
        <f>BZ95+CA95</f>
        <v>0</v>
      </c>
      <c r="CC95" s="249"/>
      <c r="CD95" s="54"/>
      <c r="CE95" s="52">
        <f>G95+Q95+L95</f>
        <v>0</v>
      </c>
      <c r="CF95" s="52">
        <f>H95+R95+M95</f>
        <v>0</v>
      </c>
      <c r="CG95" s="248">
        <f>CE95+CF95</f>
        <v>0</v>
      </c>
      <c r="CH95" s="249"/>
      <c r="CI95" s="249"/>
      <c r="CJ95" s="56"/>
      <c r="CK95" s="56"/>
    </row>
    <row r="96" spans="1:89" s="57" customFormat="1" ht="14.45" customHeight="1" outlineLevel="2" x14ac:dyDescent="0.2">
      <c r="A96" s="176"/>
      <c r="B96" s="266" t="s">
        <v>219</v>
      </c>
      <c r="C96" s="71">
        <f>C94-C95</f>
        <v>-10</v>
      </c>
      <c r="D96" s="71"/>
      <c r="E96" s="70"/>
      <c r="F96" s="120"/>
      <c r="G96" s="308"/>
      <c r="H96" s="309"/>
      <c r="I96" s="264"/>
      <c r="J96" s="249"/>
      <c r="K96" s="250"/>
      <c r="L96" s="308"/>
      <c r="M96" s="309"/>
      <c r="N96" s="264"/>
      <c r="O96" s="249"/>
      <c r="P96" s="250"/>
      <c r="Q96" s="308"/>
      <c r="R96" s="309"/>
      <c r="S96" s="264"/>
      <c r="T96" s="249"/>
      <c r="U96" s="250"/>
      <c r="V96" s="178"/>
      <c r="W96" s="308"/>
      <c r="X96" s="309"/>
      <c r="Y96" s="264"/>
      <c r="Z96" s="249"/>
      <c r="AA96" s="54"/>
      <c r="AB96" s="308"/>
      <c r="AC96" s="309"/>
      <c r="AD96" s="264"/>
      <c r="AE96" s="249"/>
      <c r="AF96" s="54"/>
      <c r="AG96" s="308"/>
      <c r="AH96" s="309"/>
      <c r="AI96" s="264"/>
      <c r="AJ96" s="249"/>
      <c r="AK96" s="54"/>
      <c r="AL96" s="308"/>
      <c r="AM96" s="309"/>
      <c r="AN96" s="264"/>
      <c r="AO96" s="249"/>
      <c r="AP96" s="54"/>
      <c r="AQ96" s="308"/>
      <c r="AR96" s="309"/>
      <c r="AS96" s="264"/>
      <c r="AT96" s="249"/>
      <c r="AU96" s="54"/>
      <c r="AV96" s="308"/>
      <c r="AW96" s="309"/>
      <c r="AX96" s="264"/>
      <c r="AY96" s="249"/>
      <c r="AZ96" s="54"/>
      <c r="BA96" s="308"/>
      <c r="BB96" s="309"/>
      <c r="BC96" s="264"/>
      <c r="BD96" s="249"/>
      <c r="BE96" s="54"/>
      <c r="BF96" s="308"/>
      <c r="BG96" s="309"/>
      <c r="BH96" s="264"/>
      <c r="BI96" s="249"/>
      <c r="BJ96" s="54"/>
      <c r="BK96" s="308"/>
      <c r="BL96" s="309"/>
      <c r="BM96" s="264"/>
      <c r="BN96" s="249"/>
      <c r="BO96" s="54"/>
      <c r="BP96" s="308"/>
      <c r="BQ96" s="309"/>
      <c r="BR96" s="264"/>
      <c r="BS96" s="249"/>
      <c r="BT96" s="54"/>
      <c r="BU96" s="308"/>
      <c r="BV96" s="309"/>
      <c r="BW96" s="264"/>
      <c r="BX96" s="249"/>
      <c r="BY96" s="54"/>
      <c r="BZ96" s="308"/>
      <c r="CA96" s="309"/>
      <c r="CB96" s="264"/>
      <c r="CC96" s="249"/>
      <c r="CD96" s="54"/>
      <c r="CE96" s="309"/>
      <c r="CF96" s="309"/>
      <c r="CG96" s="264"/>
      <c r="CH96" s="249"/>
      <c r="CI96" s="249"/>
      <c r="CJ96" s="56"/>
      <c r="CK96" s="56"/>
    </row>
    <row r="97" spans="1:99" s="57" customFormat="1" ht="14.45" customHeight="1" outlineLevel="2" thickBot="1" x14ac:dyDescent="0.25">
      <c r="A97" s="176"/>
      <c r="B97" s="271" t="s">
        <v>220</v>
      </c>
      <c r="C97" s="71"/>
      <c r="D97" s="71"/>
      <c r="E97" s="70"/>
      <c r="F97" s="120"/>
      <c r="G97" s="308"/>
      <c r="H97" s="309"/>
      <c r="I97" s="264"/>
      <c r="J97" s="249"/>
      <c r="K97" s="250"/>
      <c r="L97" s="308"/>
      <c r="M97" s="309"/>
      <c r="N97" s="264"/>
      <c r="O97" s="249"/>
      <c r="P97" s="250"/>
      <c r="Q97" s="308"/>
      <c r="R97" s="309"/>
      <c r="S97" s="264"/>
      <c r="T97" s="249"/>
      <c r="U97" s="250"/>
      <c r="V97" s="178"/>
      <c r="W97" s="308"/>
      <c r="X97" s="309"/>
      <c r="Y97" s="264"/>
      <c r="Z97" s="249"/>
      <c r="AA97" s="54"/>
      <c r="AB97" s="308"/>
      <c r="AC97" s="309"/>
      <c r="AD97" s="264"/>
      <c r="AE97" s="249"/>
      <c r="AF97" s="54"/>
      <c r="AG97" s="308"/>
      <c r="AH97" s="309"/>
      <c r="AI97" s="264"/>
      <c r="AJ97" s="249"/>
      <c r="AK97" s="54"/>
      <c r="AL97" s="308"/>
      <c r="AM97" s="309"/>
      <c r="AN97" s="264"/>
      <c r="AO97" s="249"/>
      <c r="AP97" s="54"/>
      <c r="AQ97" s="308"/>
      <c r="AR97" s="309"/>
      <c r="AS97" s="264"/>
      <c r="AT97" s="249"/>
      <c r="AU97" s="54"/>
      <c r="AV97" s="308"/>
      <c r="AW97" s="309"/>
      <c r="AX97" s="264"/>
      <c r="AY97" s="249"/>
      <c r="AZ97" s="54"/>
      <c r="BA97" s="308"/>
      <c r="BB97" s="309"/>
      <c r="BC97" s="264"/>
      <c r="BD97" s="249"/>
      <c r="BE97" s="54"/>
      <c r="BF97" s="308"/>
      <c r="BG97" s="309"/>
      <c r="BH97" s="264"/>
      <c r="BI97" s="249"/>
      <c r="BJ97" s="54"/>
      <c r="BK97" s="308"/>
      <c r="BL97" s="309"/>
      <c r="BM97" s="264"/>
      <c r="BN97" s="249"/>
      <c r="BO97" s="54"/>
      <c r="BP97" s="308"/>
      <c r="BQ97" s="309"/>
      <c r="BR97" s="264"/>
      <c r="BS97" s="249"/>
      <c r="BT97" s="54"/>
      <c r="BU97" s="308"/>
      <c r="BV97" s="309"/>
      <c r="BW97" s="264"/>
      <c r="BX97" s="249"/>
      <c r="BY97" s="54"/>
      <c r="BZ97" s="308"/>
      <c r="CA97" s="309"/>
      <c r="CB97" s="264"/>
      <c r="CC97" s="249"/>
      <c r="CD97" s="54"/>
      <c r="CE97" s="309"/>
      <c r="CF97" s="309"/>
      <c r="CG97" s="264"/>
      <c r="CH97" s="249"/>
      <c r="CI97" s="249"/>
      <c r="CJ97" s="56"/>
      <c r="CK97" s="56"/>
    </row>
    <row r="98" spans="1:99" s="57" customFormat="1" ht="14.45" customHeight="1" outlineLevel="2" x14ac:dyDescent="0.2">
      <c r="A98" s="176"/>
      <c r="B98" s="48"/>
      <c r="C98" s="71"/>
      <c r="D98" s="71"/>
      <c r="E98" s="70"/>
      <c r="F98" s="120"/>
      <c r="G98" s="308"/>
      <c r="H98" s="309"/>
      <c r="I98" s="264"/>
      <c r="J98" s="249"/>
      <c r="K98" s="250"/>
      <c r="L98" s="308"/>
      <c r="M98" s="309"/>
      <c r="N98" s="264"/>
      <c r="O98" s="249"/>
      <c r="P98" s="250"/>
      <c r="Q98" s="308"/>
      <c r="R98" s="309"/>
      <c r="S98" s="264"/>
      <c r="T98" s="249"/>
      <c r="U98" s="250"/>
      <c r="V98" s="178"/>
      <c r="W98" s="308"/>
      <c r="X98" s="309"/>
      <c r="Y98" s="264"/>
      <c r="Z98" s="249"/>
      <c r="AA98" s="54"/>
      <c r="AB98" s="308"/>
      <c r="AC98" s="309"/>
      <c r="AD98" s="264"/>
      <c r="AE98" s="249"/>
      <c r="AF98" s="54"/>
      <c r="AG98" s="308"/>
      <c r="AH98" s="309"/>
      <c r="AI98" s="264"/>
      <c r="AJ98" s="249"/>
      <c r="AK98" s="54"/>
      <c r="AL98" s="308"/>
      <c r="AM98" s="309"/>
      <c r="AN98" s="264"/>
      <c r="AO98" s="249"/>
      <c r="AP98" s="54"/>
      <c r="AQ98" s="308"/>
      <c r="AR98" s="309"/>
      <c r="AS98" s="264"/>
      <c r="AT98" s="249"/>
      <c r="AU98" s="54"/>
      <c r="AV98" s="308"/>
      <c r="AW98" s="309"/>
      <c r="AX98" s="264"/>
      <c r="AY98" s="249"/>
      <c r="AZ98" s="54"/>
      <c r="BA98" s="308"/>
      <c r="BB98" s="309"/>
      <c r="BC98" s="264"/>
      <c r="BD98" s="249"/>
      <c r="BE98" s="54"/>
      <c r="BF98" s="308"/>
      <c r="BG98" s="309"/>
      <c r="BH98" s="264"/>
      <c r="BI98" s="249"/>
      <c r="BJ98" s="54"/>
      <c r="BK98" s="308"/>
      <c r="BL98" s="309"/>
      <c r="BM98" s="264"/>
      <c r="BN98" s="249"/>
      <c r="BO98" s="54"/>
      <c r="BP98" s="308"/>
      <c r="BQ98" s="309"/>
      <c r="BR98" s="264"/>
      <c r="BS98" s="249"/>
      <c r="BT98" s="54"/>
      <c r="BU98" s="308"/>
      <c r="BV98" s="309"/>
      <c r="BW98" s="264"/>
      <c r="BX98" s="249"/>
      <c r="BY98" s="54"/>
      <c r="BZ98" s="308"/>
      <c r="CA98" s="309"/>
      <c r="CB98" s="264"/>
      <c r="CC98" s="249"/>
      <c r="CD98" s="54"/>
      <c r="CE98" s="309"/>
      <c r="CF98" s="309"/>
      <c r="CG98" s="264"/>
      <c r="CH98" s="249"/>
      <c r="CI98" s="249"/>
      <c r="CJ98" s="56"/>
      <c r="CK98" s="56"/>
    </row>
    <row r="99" spans="1:99" s="57" customFormat="1" ht="14.45" customHeight="1" outlineLevel="2" x14ac:dyDescent="0.2">
      <c r="A99" s="176"/>
      <c r="B99" s="48"/>
      <c r="C99" s="71"/>
      <c r="D99" s="71"/>
      <c r="E99" s="70"/>
      <c r="F99" s="120"/>
      <c r="G99" s="308"/>
      <c r="H99" s="309"/>
      <c r="I99" s="264"/>
      <c r="J99" s="249"/>
      <c r="K99" s="250"/>
      <c r="L99" s="308"/>
      <c r="M99" s="309"/>
      <c r="N99" s="264"/>
      <c r="O99" s="249"/>
      <c r="P99" s="250"/>
      <c r="Q99" s="308"/>
      <c r="R99" s="309"/>
      <c r="S99" s="264"/>
      <c r="T99" s="249"/>
      <c r="U99" s="250"/>
      <c r="V99" s="178"/>
      <c r="W99" s="308"/>
      <c r="X99" s="309"/>
      <c r="Y99" s="264"/>
      <c r="Z99" s="249"/>
      <c r="AA99" s="54"/>
      <c r="AB99" s="308"/>
      <c r="AC99" s="309"/>
      <c r="AD99" s="264"/>
      <c r="AE99" s="249"/>
      <c r="AF99" s="54"/>
      <c r="AG99" s="308"/>
      <c r="AH99" s="309"/>
      <c r="AI99" s="264"/>
      <c r="AJ99" s="249"/>
      <c r="AK99" s="54"/>
      <c r="AL99" s="308"/>
      <c r="AM99" s="309"/>
      <c r="AN99" s="264"/>
      <c r="AO99" s="249"/>
      <c r="AP99" s="54"/>
      <c r="AQ99" s="308"/>
      <c r="AR99" s="309"/>
      <c r="AS99" s="264"/>
      <c r="AT99" s="249"/>
      <c r="AU99" s="54"/>
      <c r="AV99" s="308"/>
      <c r="AW99" s="309"/>
      <c r="AX99" s="264"/>
      <c r="AY99" s="249"/>
      <c r="AZ99" s="54"/>
      <c r="BA99" s="308"/>
      <c r="BB99" s="309"/>
      <c r="BC99" s="264"/>
      <c r="BD99" s="249"/>
      <c r="BE99" s="54"/>
      <c r="BF99" s="308"/>
      <c r="BG99" s="309"/>
      <c r="BH99" s="264"/>
      <c r="BI99" s="249"/>
      <c r="BJ99" s="54"/>
      <c r="BK99" s="308"/>
      <c r="BL99" s="309"/>
      <c r="BM99" s="264"/>
      <c r="BN99" s="249"/>
      <c r="BO99" s="54"/>
      <c r="BP99" s="308"/>
      <c r="BQ99" s="309"/>
      <c r="BR99" s="264"/>
      <c r="BS99" s="249"/>
      <c r="BT99" s="54"/>
      <c r="BU99" s="308"/>
      <c r="BV99" s="309"/>
      <c r="BW99" s="264"/>
      <c r="BX99" s="249"/>
      <c r="BY99" s="54"/>
      <c r="BZ99" s="308"/>
      <c r="CA99" s="309"/>
      <c r="CB99" s="264"/>
      <c r="CC99" s="249"/>
      <c r="CD99" s="54"/>
      <c r="CE99" s="309"/>
      <c r="CF99" s="309"/>
      <c r="CG99" s="264"/>
      <c r="CH99" s="249"/>
      <c r="CI99" s="249"/>
      <c r="CJ99" s="56"/>
      <c r="CK99" s="56"/>
    </row>
    <row r="100" spans="1:99" s="57" customFormat="1" ht="14.45" customHeight="1" outlineLevel="1" x14ac:dyDescent="0.2">
      <c r="A100" s="153"/>
      <c r="B100" s="251" t="s">
        <v>216</v>
      </c>
      <c r="C100" s="252" t="e">
        <f>(#REF!)-C36</f>
        <v>#REF!</v>
      </c>
      <c r="D100" s="252">
        <f>(D94)-D36</f>
        <v>0</v>
      </c>
      <c r="E100" s="252">
        <f>(E94)-E36</f>
        <v>0</v>
      </c>
      <c r="F100" s="253"/>
      <c r="G100" s="252">
        <f>(G94)-G36</f>
        <v>13037735.6003209</v>
      </c>
      <c r="H100" s="252">
        <f>(H94)-H36</f>
        <v>-4393853.5600000005</v>
      </c>
      <c r="I100" s="254">
        <f>(I94)-I36</f>
        <v>8643882.0403209049</v>
      </c>
      <c r="J100" s="255"/>
      <c r="K100" s="256"/>
      <c r="L100" s="252">
        <f>(L94)-L36</f>
        <v>167494663.94698095</v>
      </c>
      <c r="M100" s="252">
        <f>(M94)-M36</f>
        <v>-38468397.25</v>
      </c>
      <c r="N100" s="254">
        <f>(N94)-N36</f>
        <v>129026266.69698094</v>
      </c>
      <c r="O100" s="255"/>
      <c r="P100" s="256"/>
      <c r="Q100" s="252">
        <f>(Q94)-Q36</f>
        <v>81940727.671959013</v>
      </c>
      <c r="R100" s="252">
        <f>(R94)-R36</f>
        <v>-27489270.509999998</v>
      </c>
      <c r="S100" s="254">
        <f>(S94)-S36</f>
        <v>54451457.161959022</v>
      </c>
      <c r="T100" s="255"/>
      <c r="U100" s="256"/>
      <c r="V100" s="253"/>
      <c r="W100" s="252">
        <f t="shared" ref="W100:Y100" si="264">(W94)-W36</f>
        <v>18458639.861992214</v>
      </c>
      <c r="X100" s="252">
        <f t="shared" si="264"/>
        <v>-3547120.21</v>
      </c>
      <c r="Y100" s="254">
        <f t="shared" si="264"/>
        <v>14911519.651992213</v>
      </c>
      <c r="Z100" s="255"/>
      <c r="AA100" s="256"/>
      <c r="AB100" s="252">
        <f t="shared" ref="AB100:AD100" si="265">(AB94)-AB36</f>
        <v>8712992.3399066534</v>
      </c>
      <c r="AC100" s="252">
        <f t="shared" si="265"/>
        <v>-3264487.6399999997</v>
      </c>
      <c r="AD100" s="254">
        <f t="shared" si="265"/>
        <v>5448504.6999066556</v>
      </c>
      <c r="AE100" s="255"/>
      <c r="AF100" s="256"/>
      <c r="AG100" s="252">
        <f t="shared" ref="AG100:AI100" si="266">(AG94)-AG36</f>
        <v>14169217.028121591</v>
      </c>
      <c r="AH100" s="252">
        <f t="shared" si="266"/>
        <v>-5311008.34</v>
      </c>
      <c r="AI100" s="254">
        <f t="shared" si="266"/>
        <v>8858208.6881215945</v>
      </c>
      <c r="AJ100" s="255"/>
      <c r="AK100" s="256"/>
      <c r="AL100" s="252">
        <f t="shared" ref="AL100:AN100" si="267">(AL94)-AL36</f>
        <v>10884735.23941265</v>
      </c>
      <c r="AM100" s="252">
        <f t="shared" si="267"/>
        <v>-3186612.25</v>
      </c>
      <c r="AN100" s="254">
        <f t="shared" si="267"/>
        <v>7698122.9894126505</v>
      </c>
      <c r="AO100" s="255"/>
      <c r="AP100" s="256"/>
      <c r="AQ100" s="252">
        <f t="shared" ref="AQ100:AS100" si="268">(AQ94)-AQ36</f>
        <v>13624494.543144099</v>
      </c>
      <c r="AR100" s="252">
        <f t="shared" si="268"/>
        <v>-6422881.2600000007</v>
      </c>
      <c r="AS100" s="254">
        <f t="shared" si="268"/>
        <v>7201613.2831441034</v>
      </c>
      <c r="AT100" s="255"/>
      <c r="AU100" s="256"/>
      <c r="AV100" s="252">
        <f t="shared" ref="AV100:AX100" si="269">(AV94)-AV36</f>
        <v>16090648.65938177</v>
      </c>
      <c r="AW100" s="252">
        <f t="shared" si="269"/>
        <v>-5757160.8099999996</v>
      </c>
      <c r="AX100" s="254">
        <f t="shared" si="269"/>
        <v>10333487.849381775</v>
      </c>
      <c r="AY100" s="255"/>
      <c r="AZ100" s="256"/>
      <c r="BA100" s="252">
        <f t="shared" ref="BA100:BC100" si="270">(BA94)-BA36</f>
        <v>0</v>
      </c>
      <c r="BB100" s="252">
        <f t="shared" si="270"/>
        <v>0</v>
      </c>
      <c r="BC100" s="254">
        <f t="shared" si="270"/>
        <v>0</v>
      </c>
      <c r="BD100" s="255"/>
      <c r="BE100" s="256"/>
      <c r="BF100" s="252">
        <f t="shared" ref="BF100:BH100" si="271">(BF94)-BF36</f>
        <v>0</v>
      </c>
      <c r="BG100" s="252">
        <f t="shared" si="271"/>
        <v>0</v>
      </c>
      <c r="BH100" s="254">
        <f t="shared" si="271"/>
        <v>0</v>
      </c>
      <c r="BI100" s="255"/>
      <c r="BJ100" s="256"/>
      <c r="BK100" s="252">
        <f t="shared" ref="BK100:BM100" si="272">(BK94)-BK36</f>
        <v>0</v>
      </c>
      <c r="BL100" s="252">
        <f t="shared" si="272"/>
        <v>0</v>
      </c>
      <c r="BM100" s="254">
        <f t="shared" si="272"/>
        <v>0</v>
      </c>
      <c r="BN100" s="255"/>
      <c r="BO100" s="256"/>
      <c r="BP100" s="252">
        <f t="shared" ref="BP100:BR100" si="273">(BP94)-BP36</f>
        <v>0</v>
      </c>
      <c r="BQ100" s="252">
        <f t="shared" si="273"/>
        <v>0</v>
      </c>
      <c r="BR100" s="254">
        <f t="shared" si="273"/>
        <v>0</v>
      </c>
      <c r="BS100" s="255"/>
      <c r="BT100" s="256"/>
      <c r="BU100" s="252">
        <f>(BU94)-BU36</f>
        <v>0</v>
      </c>
      <c r="BV100" s="252">
        <f t="shared" ref="BV100:BW100" si="274">(BV94)-BV36</f>
        <v>0</v>
      </c>
      <c r="BW100" s="254">
        <f t="shared" si="274"/>
        <v>0</v>
      </c>
      <c r="BX100" s="255"/>
      <c r="BY100" s="256"/>
      <c r="BZ100" s="252">
        <f>(BZ94)-BZ36</f>
        <v>0</v>
      </c>
      <c r="CA100" s="252">
        <f t="shared" ref="CA100:CB100" si="275">(CA94)-CA36</f>
        <v>0</v>
      </c>
      <c r="CB100" s="254">
        <f t="shared" si="275"/>
        <v>0</v>
      </c>
      <c r="CC100" s="255"/>
      <c r="CD100" s="256"/>
      <c r="CE100" s="252">
        <f>(CE94)-CE36</f>
        <v>262473127.21926096</v>
      </c>
      <c r="CF100" s="252">
        <f>(CF94)-CF36</f>
        <v>-70351521.319999993</v>
      </c>
      <c r="CG100" s="254">
        <f>(CG94)-CG36</f>
        <v>192121605.89926082</v>
      </c>
      <c r="CH100" s="255"/>
      <c r="CI100" s="255"/>
      <c r="CJ100" s="56"/>
      <c r="CK100" s="56"/>
    </row>
    <row r="101" spans="1:99" s="57" customFormat="1" ht="14.45" customHeight="1" outlineLevel="1" thickBot="1" x14ac:dyDescent="0.25">
      <c r="A101" s="153"/>
      <c r="B101" s="257" t="s">
        <v>217</v>
      </c>
      <c r="C101" s="258" t="e">
        <f>C100-C73-C94</f>
        <v>#REF!</v>
      </c>
      <c r="D101" s="258">
        <f>D100-D73-D95</f>
        <v>0</v>
      </c>
      <c r="E101" s="258">
        <f>E100-E73-E95</f>
        <v>10</v>
      </c>
      <c r="F101" s="259"/>
      <c r="G101" s="260">
        <f>G100-G73-G95</f>
        <v>13037735.6003209</v>
      </c>
      <c r="H101" s="260">
        <f>H100-H73-H95</f>
        <v>-4393853.5600000005</v>
      </c>
      <c r="I101" s="260">
        <f>I100-I73-I95</f>
        <v>8643882.0403209049</v>
      </c>
      <c r="J101" s="261"/>
      <c r="K101" s="262"/>
      <c r="L101" s="260">
        <f>L100-L73-L95</f>
        <v>167494663.94698095</v>
      </c>
      <c r="M101" s="260">
        <f>M100-M73-M95</f>
        <v>-38468397.25</v>
      </c>
      <c r="N101" s="260">
        <f>N100-N73-N95</f>
        <v>129026266.69698094</v>
      </c>
      <c r="O101" s="261"/>
      <c r="P101" s="262"/>
      <c r="Q101" s="260">
        <f>Q100-Q73-Q95</f>
        <v>81940727.671959013</v>
      </c>
      <c r="R101" s="260">
        <f>R100-R73-R95</f>
        <v>-27489270.509999998</v>
      </c>
      <c r="S101" s="260">
        <f>S100-S73-S95</f>
        <v>54451457.161959022</v>
      </c>
      <c r="T101" s="261"/>
      <c r="U101" s="262"/>
      <c r="V101" s="259"/>
      <c r="W101" s="260">
        <f t="shared" ref="W101:Y101" si="276">W100-W73-W95</f>
        <v>18458639.861992214</v>
      </c>
      <c r="X101" s="260">
        <f t="shared" si="276"/>
        <v>-3547120.21</v>
      </c>
      <c r="Y101" s="260">
        <f t="shared" si="276"/>
        <v>14911519.651992213</v>
      </c>
      <c r="Z101" s="261"/>
      <c r="AA101" s="262"/>
      <c r="AB101" s="260">
        <f t="shared" ref="AB101:AD101" si="277">AB100-AB73-AB95</f>
        <v>8712992.3399066534</v>
      </c>
      <c r="AC101" s="260">
        <f t="shared" si="277"/>
        <v>-3264487.6399999997</v>
      </c>
      <c r="AD101" s="260">
        <f t="shared" si="277"/>
        <v>5448504.6999066556</v>
      </c>
      <c r="AE101" s="261"/>
      <c r="AF101" s="262"/>
      <c r="AG101" s="260">
        <f t="shared" ref="AG101:AI101" si="278">AG100-AG73-AG95</f>
        <v>14169217.028121591</v>
      </c>
      <c r="AH101" s="260">
        <f t="shared" si="278"/>
        <v>-5311008.34</v>
      </c>
      <c r="AI101" s="260">
        <f t="shared" si="278"/>
        <v>8858208.6881215945</v>
      </c>
      <c r="AJ101" s="261"/>
      <c r="AK101" s="262"/>
      <c r="AL101" s="260">
        <f t="shared" ref="AL101:AN101" si="279">AL100-AL73-AL95</f>
        <v>10884735.23941265</v>
      </c>
      <c r="AM101" s="260">
        <f t="shared" si="279"/>
        <v>-3186612.25</v>
      </c>
      <c r="AN101" s="260">
        <f t="shared" si="279"/>
        <v>7698122.9894126505</v>
      </c>
      <c r="AO101" s="261"/>
      <c r="AP101" s="262"/>
      <c r="AQ101" s="260">
        <f t="shared" ref="AQ101:AS101" si="280">AQ100-AQ73-AQ95</f>
        <v>13624494.543144099</v>
      </c>
      <c r="AR101" s="260">
        <f t="shared" si="280"/>
        <v>-6422881.2600000007</v>
      </c>
      <c r="AS101" s="260">
        <f t="shared" si="280"/>
        <v>7201613.2831441034</v>
      </c>
      <c r="AT101" s="261"/>
      <c r="AU101" s="262"/>
      <c r="AV101" s="260">
        <f t="shared" ref="AV101:AX101" si="281">AV100-AV73-AV95</f>
        <v>16090648.65938177</v>
      </c>
      <c r="AW101" s="260">
        <f t="shared" si="281"/>
        <v>-5757160.8099999996</v>
      </c>
      <c r="AX101" s="260">
        <f t="shared" si="281"/>
        <v>10333487.849381775</v>
      </c>
      <c r="AY101" s="261"/>
      <c r="AZ101" s="262"/>
      <c r="BA101" s="260">
        <f t="shared" ref="BA101:BC101" si="282">BA100-BA73-BA95</f>
        <v>0</v>
      </c>
      <c r="BB101" s="260">
        <f t="shared" si="282"/>
        <v>0</v>
      </c>
      <c r="BC101" s="260">
        <f t="shared" si="282"/>
        <v>0</v>
      </c>
      <c r="BD101" s="261"/>
      <c r="BE101" s="262"/>
      <c r="BF101" s="260">
        <f t="shared" ref="BF101:BH101" si="283">BF100-BF73-BF95</f>
        <v>0</v>
      </c>
      <c r="BG101" s="260">
        <f t="shared" si="283"/>
        <v>0</v>
      </c>
      <c r="BH101" s="260">
        <f t="shared" si="283"/>
        <v>0</v>
      </c>
      <c r="BI101" s="261"/>
      <c r="BJ101" s="262"/>
      <c r="BK101" s="260">
        <f t="shared" ref="BK101:BM101" si="284">BK100-BK73-BK95</f>
        <v>0</v>
      </c>
      <c r="BL101" s="260">
        <f t="shared" si="284"/>
        <v>0</v>
      </c>
      <c r="BM101" s="260">
        <f t="shared" si="284"/>
        <v>0</v>
      </c>
      <c r="BN101" s="261"/>
      <c r="BO101" s="262"/>
      <c r="BP101" s="260">
        <f t="shared" ref="BP101:BR101" si="285">BP100-BP73-BP95</f>
        <v>0</v>
      </c>
      <c r="BQ101" s="260">
        <f t="shared" si="285"/>
        <v>0</v>
      </c>
      <c r="BR101" s="260">
        <f t="shared" si="285"/>
        <v>0</v>
      </c>
      <c r="BS101" s="261"/>
      <c r="BT101" s="262"/>
      <c r="BU101" s="260">
        <f>BU100-BU73-BU95</f>
        <v>0</v>
      </c>
      <c r="BV101" s="260">
        <f>BV100-BV73-BV95</f>
        <v>0</v>
      </c>
      <c r="BW101" s="260">
        <f>BW100-BW73-BW95</f>
        <v>0</v>
      </c>
      <c r="BX101" s="261"/>
      <c r="BY101" s="262"/>
      <c r="BZ101" s="260">
        <f>BZ100-BZ73-BZ95</f>
        <v>0</v>
      </c>
      <c r="CA101" s="260">
        <f>CA100-CA73-CA95</f>
        <v>0</v>
      </c>
      <c r="CB101" s="260">
        <f>CB100-CB73-CB95</f>
        <v>0</v>
      </c>
      <c r="CC101" s="261"/>
      <c r="CD101" s="262"/>
      <c r="CE101" s="260">
        <f>CE100-CE73-CE95</f>
        <v>262473127.21926096</v>
      </c>
      <c r="CF101" s="260">
        <f>CF100-CF73-CF95</f>
        <v>-70351521.319999993</v>
      </c>
      <c r="CG101" s="260">
        <f>CG100-CG73-CG95</f>
        <v>192121605.89926082</v>
      </c>
      <c r="CH101" s="261"/>
      <c r="CI101" s="261"/>
      <c r="CJ101" s="56"/>
      <c r="CK101" s="56"/>
    </row>
    <row r="102" spans="1:99" s="57" customFormat="1" ht="14.45" customHeight="1" outlineLevel="3" x14ac:dyDescent="0.2">
      <c r="A102" s="135"/>
      <c r="B102" s="48" t="s">
        <v>218</v>
      </c>
      <c r="C102" s="71"/>
      <c r="D102" s="263"/>
      <c r="E102" s="264">
        <f>C102+D102</f>
        <v>0</v>
      </c>
      <c r="F102" s="265">
        <f>E102/$E$106</f>
        <v>0</v>
      </c>
      <c r="G102" s="53">
        <v>0</v>
      </c>
      <c r="H102" s="52">
        <v>0</v>
      </c>
      <c r="I102" s="51">
        <f>G102+H102*1</f>
        <v>0</v>
      </c>
      <c r="J102" s="249"/>
      <c r="K102" s="250"/>
      <c r="L102" s="53">
        <v>0</v>
      </c>
      <c r="M102" s="52">
        <v>0</v>
      </c>
      <c r="N102" s="51">
        <f>L102+M102*1</f>
        <v>0</v>
      </c>
      <c r="O102" s="249"/>
      <c r="P102" s="250"/>
      <c r="Q102" s="53">
        <f>W102+AB102+AG102+AL102+AQ102+AV102+BA102+BF102+BK102+BP102+BU102+BZ102</f>
        <v>0</v>
      </c>
      <c r="R102" s="52">
        <f>X102+AC102+AH102+AM102+AR102+AW102+BB102+BG102+BL102+BQ102+BV102+CA102</f>
        <v>0</v>
      </c>
      <c r="S102" s="51">
        <f>Q102+R102*1</f>
        <v>0</v>
      </c>
      <c r="T102" s="249"/>
      <c r="U102" s="250"/>
      <c r="V102" s="178"/>
      <c r="W102" s="53"/>
      <c r="X102" s="52"/>
      <c r="Y102" s="51">
        <f t="shared" ref="Y102" si="286">W102+X102*1</f>
        <v>0</v>
      </c>
      <c r="Z102" s="249"/>
      <c r="AA102" s="250"/>
      <c r="AB102" s="53"/>
      <c r="AC102" s="52"/>
      <c r="AD102" s="51">
        <f t="shared" ref="AD102" si="287">AB102+AC102*1</f>
        <v>0</v>
      </c>
      <c r="AE102" s="249"/>
      <c r="AF102" s="250"/>
      <c r="AG102" s="53"/>
      <c r="AH102" s="52"/>
      <c r="AI102" s="51">
        <f t="shared" ref="AI102" si="288">AG102+AH102*1</f>
        <v>0</v>
      </c>
      <c r="AJ102" s="249"/>
      <c r="AK102" s="250"/>
      <c r="AL102" s="53"/>
      <c r="AM102" s="52"/>
      <c r="AN102" s="51">
        <f t="shared" ref="AN102" si="289">AL102+AM102*1</f>
        <v>0</v>
      </c>
      <c r="AO102" s="249"/>
      <c r="AP102" s="250"/>
      <c r="AQ102" s="53"/>
      <c r="AR102" s="52"/>
      <c r="AS102" s="51">
        <f t="shared" ref="AS102" si="290">AQ102+AR102*1</f>
        <v>0</v>
      </c>
      <c r="AT102" s="249"/>
      <c r="AU102" s="250"/>
      <c r="AV102" s="53"/>
      <c r="AW102" s="52"/>
      <c r="AX102" s="51">
        <f t="shared" ref="AX102" si="291">AV102+AW102*1</f>
        <v>0</v>
      </c>
      <c r="AY102" s="249"/>
      <c r="AZ102" s="250"/>
      <c r="BA102" s="53"/>
      <c r="BB102" s="52"/>
      <c r="BC102" s="51">
        <f t="shared" ref="BC102" si="292">BA102+BB102*1</f>
        <v>0</v>
      </c>
      <c r="BD102" s="249"/>
      <c r="BE102" s="250"/>
      <c r="BF102" s="53"/>
      <c r="BG102" s="52"/>
      <c r="BH102" s="51">
        <f t="shared" ref="BH102" si="293">BF102+BG102*1</f>
        <v>0</v>
      </c>
      <c r="BI102" s="249"/>
      <c r="BJ102" s="250"/>
      <c r="BK102" s="53"/>
      <c r="BL102" s="52"/>
      <c r="BM102" s="51">
        <f t="shared" ref="BM102" si="294">BK102+BL102*1</f>
        <v>0</v>
      </c>
      <c r="BN102" s="249"/>
      <c r="BO102" s="250"/>
      <c r="BP102" s="53"/>
      <c r="BQ102" s="52"/>
      <c r="BR102" s="51">
        <f t="shared" ref="BR102" si="295">BP102+BQ102*1</f>
        <v>0</v>
      </c>
      <c r="BS102" s="249"/>
      <c r="BT102" s="250"/>
      <c r="BU102" s="53"/>
      <c r="BV102" s="52"/>
      <c r="BW102" s="51">
        <f>BU102+BV102*1</f>
        <v>0</v>
      </c>
      <c r="BX102" s="249"/>
      <c r="BY102" s="250"/>
      <c r="BZ102" s="53"/>
      <c r="CA102" s="52"/>
      <c r="CB102" s="51">
        <f>BZ102+CA102*1</f>
        <v>0</v>
      </c>
      <c r="CC102" s="249"/>
      <c r="CD102" s="250"/>
      <c r="CE102" s="52">
        <f>G102+Q102+L102</f>
        <v>0</v>
      </c>
      <c r="CF102" s="52">
        <f>H102+R102+M102</f>
        <v>0</v>
      </c>
      <c r="CG102" s="51">
        <f>CE102+CF102*1.15</f>
        <v>0</v>
      </c>
      <c r="CH102" s="249"/>
      <c r="CI102" s="249"/>
      <c r="CJ102" s="56"/>
      <c r="CK102" s="56"/>
    </row>
    <row r="103" spans="1:99" s="57" customFormat="1" ht="14.45" customHeight="1" x14ac:dyDescent="0.2">
      <c r="A103" s="153"/>
      <c r="B103" s="266" t="s">
        <v>219</v>
      </c>
      <c r="C103" s="267" t="e">
        <f>C101-C102</f>
        <v>#REF!</v>
      </c>
      <c r="D103" s="267">
        <f>D101-D102</f>
        <v>0</v>
      </c>
      <c r="E103" s="268">
        <f>E101-E102</f>
        <v>10</v>
      </c>
      <c r="F103" s="269"/>
      <c r="G103" s="268">
        <f>G101-G102</f>
        <v>13037735.6003209</v>
      </c>
      <c r="H103" s="268">
        <f>H101-H102</f>
        <v>-4393853.5600000005</v>
      </c>
      <c r="I103" s="268">
        <f>I101-I102</f>
        <v>8643882.0403209049</v>
      </c>
      <c r="J103" s="270"/>
      <c r="K103" s="256"/>
      <c r="L103" s="268">
        <f>L101-L102</f>
        <v>167494663.94698095</v>
      </c>
      <c r="M103" s="268">
        <f>M101-M102</f>
        <v>-38468397.25</v>
      </c>
      <c r="N103" s="268">
        <f>N101-N102</f>
        <v>129026266.69698094</v>
      </c>
      <c r="O103" s="270"/>
      <c r="P103" s="256"/>
      <c r="Q103" s="268">
        <f>Q101-Q102</f>
        <v>81940727.671959013</v>
      </c>
      <c r="R103" s="268">
        <f>R101-R102</f>
        <v>-27489270.509999998</v>
      </c>
      <c r="S103" s="268">
        <f>S101-S102</f>
        <v>54451457.161959022</v>
      </c>
      <c r="T103" s="270"/>
      <c r="U103" s="256"/>
      <c r="V103" s="269"/>
      <c r="W103" s="268">
        <f t="shared" ref="W103:Y103" si="296">W101</f>
        <v>18458639.861992214</v>
      </c>
      <c r="X103" s="268">
        <f t="shared" si="296"/>
        <v>-3547120.21</v>
      </c>
      <c r="Y103" s="268">
        <f t="shared" si="296"/>
        <v>14911519.651992213</v>
      </c>
      <c r="Z103" s="270"/>
      <c r="AA103" s="256"/>
      <c r="AB103" s="268">
        <f t="shared" ref="AB103:AD103" si="297">AB101</f>
        <v>8712992.3399066534</v>
      </c>
      <c r="AC103" s="268">
        <f t="shared" si="297"/>
        <v>-3264487.6399999997</v>
      </c>
      <c r="AD103" s="268">
        <f t="shared" si="297"/>
        <v>5448504.6999066556</v>
      </c>
      <c r="AE103" s="270"/>
      <c r="AF103" s="256"/>
      <c r="AG103" s="268">
        <f t="shared" ref="AG103:AI103" si="298">AG101</f>
        <v>14169217.028121591</v>
      </c>
      <c r="AH103" s="268">
        <f t="shared" si="298"/>
        <v>-5311008.34</v>
      </c>
      <c r="AI103" s="268">
        <f t="shared" si="298"/>
        <v>8858208.6881215945</v>
      </c>
      <c r="AJ103" s="270"/>
      <c r="AK103" s="256"/>
      <c r="AL103" s="268">
        <f t="shared" ref="AL103:AN103" si="299">AL101</f>
        <v>10884735.23941265</v>
      </c>
      <c r="AM103" s="268">
        <f t="shared" si="299"/>
        <v>-3186612.25</v>
      </c>
      <c r="AN103" s="268">
        <f t="shared" si="299"/>
        <v>7698122.9894126505</v>
      </c>
      <c r="AO103" s="270"/>
      <c r="AP103" s="256"/>
      <c r="AQ103" s="268">
        <f t="shared" ref="AQ103:AS103" si="300">AQ101</f>
        <v>13624494.543144099</v>
      </c>
      <c r="AR103" s="268">
        <f t="shared" si="300"/>
        <v>-6422881.2600000007</v>
      </c>
      <c r="AS103" s="268">
        <f t="shared" si="300"/>
        <v>7201613.2831441034</v>
      </c>
      <c r="AT103" s="270"/>
      <c r="AU103" s="256"/>
      <c r="AV103" s="268">
        <f t="shared" ref="AV103:AX103" si="301">AV101</f>
        <v>16090648.65938177</v>
      </c>
      <c r="AW103" s="268">
        <f t="shared" si="301"/>
        <v>-5757160.8099999996</v>
      </c>
      <c r="AX103" s="268">
        <f t="shared" si="301"/>
        <v>10333487.849381775</v>
      </c>
      <c r="AY103" s="270"/>
      <c r="AZ103" s="256"/>
      <c r="BA103" s="268">
        <f t="shared" ref="BA103:BC103" si="302">BA101</f>
        <v>0</v>
      </c>
      <c r="BB103" s="268">
        <f t="shared" si="302"/>
        <v>0</v>
      </c>
      <c r="BC103" s="268">
        <f t="shared" si="302"/>
        <v>0</v>
      </c>
      <c r="BD103" s="270"/>
      <c r="BE103" s="256"/>
      <c r="BF103" s="268">
        <f t="shared" ref="BF103:BH103" si="303">BF101</f>
        <v>0</v>
      </c>
      <c r="BG103" s="268">
        <f t="shared" si="303"/>
        <v>0</v>
      </c>
      <c r="BH103" s="268">
        <f t="shared" si="303"/>
        <v>0</v>
      </c>
      <c r="BI103" s="270"/>
      <c r="BJ103" s="256"/>
      <c r="BK103" s="268">
        <f t="shared" ref="BK103:BM103" si="304">BK101</f>
        <v>0</v>
      </c>
      <c r="BL103" s="268">
        <f t="shared" si="304"/>
        <v>0</v>
      </c>
      <c r="BM103" s="268">
        <f t="shared" si="304"/>
        <v>0</v>
      </c>
      <c r="BN103" s="270"/>
      <c r="BO103" s="256"/>
      <c r="BP103" s="268">
        <f t="shared" ref="BP103:BR103" si="305">BP101</f>
        <v>0</v>
      </c>
      <c r="BQ103" s="268">
        <f t="shared" si="305"/>
        <v>0</v>
      </c>
      <c r="BR103" s="268">
        <f t="shared" si="305"/>
        <v>0</v>
      </c>
      <c r="BS103" s="270"/>
      <c r="BT103" s="256"/>
      <c r="BU103" s="268">
        <f>BU101</f>
        <v>0</v>
      </c>
      <c r="BV103" s="268">
        <f>BV101</f>
        <v>0</v>
      </c>
      <c r="BW103" s="268">
        <f>BW101</f>
        <v>0</v>
      </c>
      <c r="BX103" s="270"/>
      <c r="BY103" s="256"/>
      <c r="BZ103" s="268">
        <f>BZ101</f>
        <v>0</v>
      </c>
      <c r="CA103" s="268">
        <f>CA101</f>
        <v>0</v>
      </c>
      <c r="CB103" s="268">
        <f>CB101</f>
        <v>0</v>
      </c>
      <c r="CC103" s="270"/>
      <c r="CD103" s="256"/>
      <c r="CE103" s="268">
        <f>CE101-CE102</f>
        <v>262473127.21926096</v>
      </c>
      <c r="CF103" s="268">
        <f>CF101-CF102</f>
        <v>-70351521.319999993</v>
      </c>
      <c r="CG103" s="268">
        <f>CG101-CG102</f>
        <v>192121605.89926082</v>
      </c>
      <c r="CH103" s="270"/>
      <c r="CI103" s="270">
        <f>CG103+CJ125</f>
        <v>192121605.89926082</v>
      </c>
      <c r="CJ103" s="56"/>
      <c r="CK103" s="56"/>
    </row>
    <row r="104" spans="1:99" s="57" customFormat="1" ht="14.45" customHeight="1" thickBot="1" x14ac:dyDescent="0.25">
      <c r="A104" s="143"/>
      <c r="B104" s="271" t="s">
        <v>220</v>
      </c>
      <c r="C104" s="272" t="e">
        <f>C103/C5</f>
        <v>#REF!</v>
      </c>
      <c r="D104" s="273" t="e">
        <f>D103/D5</f>
        <v>#DIV/0!</v>
      </c>
      <c r="E104" s="274" t="e">
        <f>E103/E5</f>
        <v>#DIV/0!</v>
      </c>
      <c r="F104" s="275"/>
      <c r="G104" s="272">
        <f>G103/G5</f>
        <v>0.22407618496753137</v>
      </c>
      <c r="H104" s="273" t="e">
        <f>H103/H5</f>
        <v>#DIV/0!</v>
      </c>
      <c r="I104" s="274">
        <f>I103/I5</f>
        <v>0.14856016184718429</v>
      </c>
      <c r="J104" s="276"/>
      <c r="K104" s="277"/>
      <c r="L104" s="272">
        <f>L103/L5</f>
        <v>0.30173240412640268</v>
      </c>
      <c r="M104" s="273" t="e">
        <f>M103/M5</f>
        <v>#DIV/0!</v>
      </c>
      <c r="N104" s="274">
        <f>N103/N5</f>
        <v>0.23243370701205071</v>
      </c>
      <c r="O104" s="276"/>
      <c r="P104" s="277"/>
      <c r="Q104" s="272">
        <f>Q103/Q5</f>
        <v>0.29712702425767906</v>
      </c>
      <c r="R104" s="273" t="e">
        <f>R103/R5</f>
        <v>#DIV/0!</v>
      </c>
      <c r="S104" s="274">
        <f>S103/S5</f>
        <v>0.19744759282341587</v>
      </c>
      <c r="T104" s="276"/>
      <c r="U104" s="277"/>
      <c r="V104" s="275"/>
      <c r="W104" s="272">
        <f t="shared" ref="W104:Y104" si="306">W103/W5</f>
        <v>0.35042777005149511</v>
      </c>
      <c r="X104" s="273" t="e">
        <f t="shared" si="306"/>
        <v>#DIV/0!</v>
      </c>
      <c r="Y104" s="274">
        <f t="shared" si="306"/>
        <v>0.28308751992535525</v>
      </c>
      <c r="Z104" s="276"/>
      <c r="AA104" s="277"/>
      <c r="AB104" s="272">
        <f t="shared" ref="AB104:AD104" si="307">AB103/AB5</f>
        <v>0.22670620156841803</v>
      </c>
      <c r="AC104" s="273" t="e">
        <f t="shared" si="307"/>
        <v>#DIV/0!</v>
      </c>
      <c r="AD104" s="274">
        <f t="shared" si="307"/>
        <v>0.14176642840440562</v>
      </c>
      <c r="AE104" s="276"/>
      <c r="AF104" s="277"/>
      <c r="AG104" s="272">
        <f t="shared" ref="AG104:AI104" si="308">AG103/AG5</f>
        <v>0.29735409138071273</v>
      </c>
      <c r="AH104" s="273" t="e">
        <f t="shared" si="308"/>
        <v>#DIV/0!</v>
      </c>
      <c r="AI104" s="274">
        <f t="shared" si="308"/>
        <v>0.18589768160720482</v>
      </c>
      <c r="AJ104" s="276"/>
      <c r="AK104" s="277"/>
      <c r="AL104" s="272">
        <f t="shared" ref="AL104:AN104" si="309">AL103/AL5</f>
        <v>0.25003435952863845</v>
      </c>
      <c r="AM104" s="273" t="e">
        <f t="shared" si="309"/>
        <v>#DIV/0!</v>
      </c>
      <c r="AN104" s="274">
        <f t="shared" si="309"/>
        <v>0.17683436564088106</v>
      </c>
      <c r="AO104" s="276"/>
      <c r="AP104" s="277"/>
      <c r="AQ104" s="272">
        <f t="shared" ref="AQ104:AS104" si="310">AQ103/AQ5</f>
        <v>0.31245110014816246</v>
      </c>
      <c r="AR104" s="273" t="e">
        <f t="shared" si="310"/>
        <v>#DIV/0!</v>
      </c>
      <c r="AS104" s="274">
        <f t="shared" si="310"/>
        <v>0.1651548970154112</v>
      </c>
      <c r="AT104" s="276"/>
      <c r="AU104" s="277"/>
      <c r="AV104" s="272">
        <f t="shared" ref="AV104:AX104" si="311">AV103/AV5</f>
        <v>0.3225869009703255</v>
      </c>
      <c r="AW104" s="273" t="e">
        <f t="shared" si="311"/>
        <v>#DIV/0!</v>
      </c>
      <c r="AX104" s="274">
        <f t="shared" si="311"/>
        <v>0.20716677693431515</v>
      </c>
      <c r="AY104" s="276"/>
      <c r="AZ104" s="277"/>
      <c r="BA104" s="272" t="e">
        <f t="shared" ref="BA104:BC104" si="312">BA103/BA5</f>
        <v>#DIV/0!</v>
      </c>
      <c r="BB104" s="273" t="e">
        <f t="shared" si="312"/>
        <v>#DIV/0!</v>
      </c>
      <c r="BC104" s="274" t="e">
        <f t="shared" si="312"/>
        <v>#DIV/0!</v>
      </c>
      <c r="BD104" s="276"/>
      <c r="BE104" s="277"/>
      <c r="BF104" s="272" t="e">
        <f t="shared" ref="BF104:BH104" si="313">BF103/BF5</f>
        <v>#DIV/0!</v>
      </c>
      <c r="BG104" s="273" t="e">
        <f t="shared" si="313"/>
        <v>#DIV/0!</v>
      </c>
      <c r="BH104" s="274" t="e">
        <f t="shared" si="313"/>
        <v>#DIV/0!</v>
      </c>
      <c r="BI104" s="276"/>
      <c r="BJ104" s="277"/>
      <c r="BK104" s="272" t="e">
        <f t="shared" ref="BK104:BM104" si="314">BK103/BK5</f>
        <v>#DIV/0!</v>
      </c>
      <c r="BL104" s="273" t="e">
        <f t="shared" si="314"/>
        <v>#DIV/0!</v>
      </c>
      <c r="BM104" s="274" t="e">
        <f t="shared" si="314"/>
        <v>#DIV/0!</v>
      </c>
      <c r="BN104" s="276"/>
      <c r="BO104" s="277"/>
      <c r="BP104" s="272" t="e">
        <f t="shared" ref="BP104:BR104" si="315">BP103/BP5</f>
        <v>#DIV/0!</v>
      </c>
      <c r="BQ104" s="273" t="e">
        <f t="shared" si="315"/>
        <v>#DIV/0!</v>
      </c>
      <c r="BR104" s="274" t="e">
        <f t="shared" si="315"/>
        <v>#DIV/0!</v>
      </c>
      <c r="BS104" s="276"/>
      <c r="BT104" s="277"/>
      <c r="BU104" s="272" t="e">
        <f>BU103/BU5</f>
        <v>#DIV/0!</v>
      </c>
      <c r="BV104" s="273" t="e">
        <f>BV103/BV5</f>
        <v>#DIV/0!</v>
      </c>
      <c r="BW104" s="274" t="e">
        <f>BW103/BW5</f>
        <v>#DIV/0!</v>
      </c>
      <c r="BX104" s="276"/>
      <c r="BY104" s="277"/>
      <c r="BZ104" s="272" t="e">
        <f>BZ103/BZ5</f>
        <v>#DIV/0!</v>
      </c>
      <c r="CA104" s="273" t="e">
        <f>CA103/CA5</f>
        <v>#DIV/0!</v>
      </c>
      <c r="CB104" s="274" t="e">
        <f>CB103/CB5</f>
        <v>#DIV/0!</v>
      </c>
      <c r="CC104" s="276"/>
      <c r="CD104" s="277"/>
      <c r="CE104" s="272">
        <f>CE103/CE5</f>
        <v>0.29522174797922007</v>
      </c>
      <c r="CF104" s="273" t="e">
        <f>CF103/CF5</f>
        <v>#DIV/0!</v>
      </c>
      <c r="CG104" s="274">
        <f>CG103/CG5</f>
        <v>0.21609250790376711</v>
      </c>
      <c r="CH104" s="276"/>
      <c r="CI104" s="276"/>
      <c r="CJ104" s="56"/>
      <c r="CK104" s="56"/>
    </row>
    <row r="105" spans="1:99" ht="15" x14ac:dyDescent="0.2">
      <c r="A105" s="278"/>
      <c r="B105" s="278"/>
      <c r="C105" s="279"/>
      <c r="D105" s="279"/>
      <c r="E105" s="279"/>
      <c r="F105" s="280"/>
      <c r="G105" s="281"/>
      <c r="H105" s="281"/>
      <c r="I105" s="281"/>
      <c r="J105" s="281"/>
      <c r="K105" s="282"/>
      <c r="L105" s="281"/>
      <c r="M105" s="281"/>
      <c r="N105" s="281"/>
      <c r="O105" s="281"/>
      <c r="P105" s="282"/>
      <c r="Q105" s="281"/>
      <c r="R105" s="281"/>
      <c r="S105" s="281"/>
      <c r="T105" s="281"/>
      <c r="U105" s="282"/>
      <c r="V105" s="280"/>
      <c r="W105" s="281"/>
      <c r="X105" s="281"/>
      <c r="Y105" s="281"/>
      <c r="Z105" s="281"/>
      <c r="AA105" s="282"/>
      <c r="AB105" s="281"/>
      <c r="AC105" s="281"/>
      <c r="AD105" s="281"/>
      <c r="AE105" s="281"/>
      <c r="AF105" s="282"/>
      <c r="AG105" s="281"/>
      <c r="AH105" s="281"/>
      <c r="AI105" s="281"/>
      <c r="AJ105" s="281"/>
      <c r="AK105" s="282"/>
      <c r="AL105" s="281"/>
      <c r="AM105" s="281"/>
      <c r="AN105" s="281"/>
      <c r="AO105" s="281"/>
      <c r="AP105" s="282"/>
      <c r="AQ105" s="281"/>
      <c r="AR105" s="281"/>
      <c r="AS105" s="281"/>
      <c r="AT105" s="281"/>
      <c r="AU105" s="282"/>
      <c r="AV105" s="281"/>
      <c r="AW105" s="281"/>
      <c r="AX105" s="281"/>
      <c r="AY105" s="281"/>
      <c r="AZ105" s="282"/>
      <c r="BA105" s="281"/>
      <c r="BB105" s="281"/>
      <c r="BC105" s="281"/>
      <c r="BD105" s="281"/>
      <c r="BE105" s="282"/>
      <c r="BF105" s="281"/>
      <c r="BG105" s="281"/>
      <c r="BH105" s="281"/>
      <c r="BI105" s="281"/>
      <c r="BJ105" s="282"/>
      <c r="BK105" s="281"/>
      <c r="BL105" s="281"/>
      <c r="BM105" s="281"/>
      <c r="BN105" s="281"/>
      <c r="BO105" s="282"/>
      <c r="BP105" s="281"/>
      <c r="BQ105" s="281"/>
      <c r="BR105" s="281"/>
      <c r="BS105" s="281"/>
      <c r="BT105" s="282"/>
      <c r="BU105" s="281"/>
      <c r="BV105" s="281"/>
      <c r="BW105" s="281"/>
      <c r="BX105" s="281"/>
      <c r="BY105" s="282"/>
      <c r="BZ105" s="281"/>
      <c r="CA105" s="281"/>
      <c r="CB105" s="281"/>
      <c r="CC105" s="281"/>
      <c r="CD105" s="282"/>
      <c r="CE105" s="281"/>
      <c r="CF105" s="281"/>
      <c r="CG105" s="281"/>
      <c r="CH105" s="281"/>
      <c r="CI105" s="281"/>
      <c r="CL105" s="57"/>
    </row>
    <row r="106" spans="1:99" x14ac:dyDescent="0.2">
      <c r="B106" s="283" t="s">
        <v>221</v>
      </c>
      <c r="C106" s="284"/>
      <c r="D106" s="284"/>
      <c r="E106" s="285">
        <f>E8+E36+E41+E50+E54+E73+E88+E95+E102</f>
        <v>-10</v>
      </c>
      <c r="F106" s="286"/>
      <c r="I106" s="285">
        <f>I8+I36+I41+I50+I54+I73+I88+I95+I102</f>
        <v>49540505.569679096</v>
      </c>
      <c r="K106" s="287"/>
      <c r="N106" s="285">
        <f>N8+N36+N41+N50+N54+N73+N88+N95+N102</f>
        <v>426083697.15301895</v>
      </c>
      <c r="P106" s="287"/>
      <c r="S106" s="285">
        <f>S8+S36+S41+S50+S54+S73+S88+S95+S102</f>
        <v>221325301.53804106</v>
      </c>
      <c r="U106" s="287"/>
      <c r="V106" s="286"/>
      <c r="Y106" s="285">
        <f t="shared" ref="Y106" si="316">Y8+Y36+Y41+Y50+Y54+Y73+Y88+Y95+Y102</f>
        <v>37763072.488007799</v>
      </c>
      <c r="AA106" s="287"/>
      <c r="AD106" s="285">
        <f t="shared" ref="AD106" si="317">AD8+AD36+AD41+AD50+AD54+AD73+AD88+AD95+AD102</f>
        <v>32984463.960093345</v>
      </c>
      <c r="AF106" s="287"/>
      <c r="AI106" s="285">
        <f t="shared" ref="AI106" si="318">AI8+AI36+AI41+AI50+AI54+AI73+AI88+AI95+AI102</f>
        <v>38792781.961878411</v>
      </c>
      <c r="AK106" s="287"/>
      <c r="AN106" s="285">
        <f t="shared" ref="AN106" si="319">AN8+AN36+AN41+AN50+AN54+AN73+AN88+AN95+AN102</f>
        <v>35834834.880587347</v>
      </c>
      <c r="AP106" s="287"/>
      <c r="AS106" s="285">
        <f t="shared" ref="AS106" si="320">AS8+AS36+AS41+AS50+AS54+AS73+AS88+AS95+AS102</f>
        <v>36403592.57685589</v>
      </c>
      <c r="AU106" s="287"/>
      <c r="AX106" s="285">
        <f t="shared" ref="AX106" si="321">AX8+AX36+AX41+AX50+AX54+AX73+AX88+AX95+AX102</f>
        <v>39546555.670618236</v>
      </c>
      <c r="AZ106" s="287"/>
      <c r="BC106" s="285">
        <f t="shared" ref="BC106" si="322">BC8+BC36+BC41+BC50+BC54+BC73+BC88+BC95+BC102</f>
        <v>0</v>
      </c>
      <c r="BE106" s="287"/>
      <c r="BH106" s="285">
        <f t="shared" ref="BH106" si="323">BH8+BH36+BH41+BH50+BH54+BH73+BH88+BH95+BH102</f>
        <v>0</v>
      </c>
      <c r="BJ106" s="287"/>
      <c r="BM106" s="285">
        <f t="shared" ref="BM106" si="324">BM8+BM36+BM41+BM50+BM54+BM73+BM88+BM95+BM102</f>
        <v>0</v>
      </c>
      <c r="BO106" s="287"/>
      <c r="BR106" s="285">
        <f t="shared" ref="BR106" si="325">BR8+BR36+BR41+BR50+BR54+BR73+BR88+BR95+BR102</f>
        <v>0</v>
      </c>
      <c r="BT106" s="287"/>
      <c r="BW106" s="285">
        <f>BW8+BW36+BW41+BW50+BW54+BW73+BW88+BW95+BW102</f>
        <v>0</v>
      </c>
      <c r="BY106" s="287"/>
      <c r="CB106" s="285">
        <f>CB8+CB36+CB41+CB50+CB54+CB73+CB88+CB95+CB102</f>
        <v>0</v>
      </c>
      <c r="CD106" s="287"/>
      <c r="CG106" s="285">
        <f>CG8+CG36+CG41+CG50+CG54+CG73+CG88+CG95+CG102-CG84</f>
        <v>696949504.26073933</v>
      </c>
      <c r="CL106" s="57"/>
    </row>
    <row r="107" spans="1:99" s="293" customFormat="1" ht="13.9" customHeight="1" x14ac:dyDescent="0.2">
      <c r="A107" s="288"/>
      <c r="B107" s="288"/>
      <c r="C107" s="289"/>
      <c r="D107" s="289"/>
      <c r="E107" s="289"/>
      <c r="F107" s="290"/>
      <c r="G107" s="290"/>
      <c r="H107" s="290"/>
      <c r="I107" s="290"/>
      <c r="J107" s="290"/>
      <c r="K107" s="291"/>
      <c r="L107" s="290"/>
      <c r="M107" s="290"/>
      <c r="N107" s="290"/>
      <c r="O107" s="290"/>
      <c r="P107" s="291"/>
      <c r="Q107" s="290"/>
      <c r="R107" s="290"/>
      <c r="S107" s="290"/>
      <c r="T107" s="290"/>
      <c r="U107" s="291"/>
      <c r="V107" s="290"/>
      <c r="W107" s="290"/>
      <c r="X107" s="290"/>
      <c r="Y107" s="290"/>
      <c r="Z107" s="290"/>
      <c r="AA107" s="291"/>
      <c r="AB107" s="290"/>
      <c r="AC107" s="290"/>
      <c r="AD107" s="290"/>
      <c r="AE107" s="290"/>
      <c r="AF107" s="291"/>
      <c r="AG107" s="290"/>
      <c r="AH107" s="290"/>
      <c r="AI107" s="290"/>
      <c r="AJ107" s="290"/>
      <c r="AK107" s="291"/>
      <c r="AL107" s="290"/>
      <c r="AM107" s="290"/>
      <c r="AN107" s="290"/>
      <c r="AO107" s="290"/>
      <c r="AP107" s="291"/>
      <c r="AQ107" s="290"/>
      <c r="AR107" s="290"/>
      <c r="AS107" s="290"/>
      <c r="AT107" s="290"/>
      <c r="AU107" s="291"/>
      <c r="AV107" s="290"/>
      <c r="AW107" s="290"/>
      <c r="AX107" s="290"/>
      <c r="AY107" s="290"/>
      <c r="AZ107" s="291"/>
      <c r="BA107" s="290"/>
      <c r="BB107" s="290"/>
      <c r="BC107" s="290"/>
      <c r="BD107" s="290"/>
      <c r="BE107" s="291"/>
      <c r="BF107" s="290"/>
      <c r="BG107" s="290"/>
      <c r="BH107" s="290"/>
      <c r="BI107" s="290"/>
      <c r="BJ107" s="291"/>
      <c r="BK107" s="290"/>
      <c r="BL107" s="290"/>
      <c r="BM107" s="290"/>
      <c r="BN107" s="290"/>
      <c r="BO107" s="291"/>
      <c r="BP107" s="290"/>
      <c r="BQ107" s="290"/>
      <c r="BR107" s="290"/>
      <c r="BS107" s="290"/>
      <c r="BT107" s="291"/>
      <c r="BU107" s="290"/>
      <c r="BV107" s="290"/>
      <c r="BW107" s="290"/>
      <c r="BX107" s="290"/>
      <c r="BY107" s="291"/>
      <c r="BZ107" s="290"/>
      <c r="CA107" s="290"/>
      <c r="CB107" s="290"/>
      <c r="CC107" s="290"/>
      <c r="CD107" s="291"/>
      <c r="CE107" s="290"/>
      <c r="CF107" s="290"/>
      <c r="CG107" s="292">
        <f>(I106+Y106+AD106+BR106+BW106+CB106+AI106+AN106+AX106+BC106+BH106+BM106+AS106+N106)-CG106</f>
        <v>0</v>
      </c>
      <c r="CH107" s="290"/>
      <c r="CI107" s="2"/>
      <c r="CJ107" s="2"/>
      <c r="CK107" s="2"/>
      <c r="CL107" s="57"/>
      <c r="CM107" s="3"/>
      <c r="CN107" s="3"/>
      <c r="CO107" s="3"/>
      <c r="CP107" s="3"/>
      <c r="CQ107" s="3"/>
      <c r="CR107" s="3"/>
      <c r="CS107" s="3"/>
      <c r="CT107" s="3"/>
      <c r="CU107" s="3"/>
    </row>
    <row r="108" spans="1:99" s="295" customFormat="1" x14ac:dyDescent="0.2">
      <c r="A108" s="288"/>
      <c r="B108" s="288" t="s">
        <v>222</v>
      </c>
      <c r="C108" s="288"/>
      <c r="D108" s="288"/>
      <c r="E108" s="288"/>
      <c r="F108" s="290"/>
      <c r="G108" s="2"/>
      <c r="H108" s="2"/>
      <c r="I108" s="2"/>
      <c r="J108" s="290"/>
      <c r="K108" s="291"/>
      <c r="L108" s="2"/>
      <c r="M108" s="2"/>
      <c r="N108" s="2"/>
      <c r="O108" s="290"/>
      <c r="P108" s="291"/>
      <c r="Q108" s="2"/>
      <c r="R108" s="2"/>
      <c r="S108" s="2"/>
      <c r="T108" s="290"/>
      <c r="U108" s="291"/>
      <c r="V108" s="2"/>
      <c r="W108" s="290"/>
      <c r="X108" s="2"/>
      <c r="Y108" s="2"/>
      <c r="Z108" s="2"/>
      <c r="AA108" s="291"/>
      <c r="AB108" s="291"/>
      <c r="AC108" s="291"/>
      <c r="AD108" s="291"/>
      <c r="AE108" s="291"/>
      <c r="AF108" s="291"/>
      <c r="AG108" s="290"/>
      <c r="AH108" s="2"/>
      <c r="AI108" s="2"/>
      <c r="AJ108" s="2"/>
      <c r="AK108" s="291"/>
      <c r="AL108" s="290"/>
      <c r="AM108" s="2"/>
      <c r="AN108" s="2"/>
      <c r="AO108" s="2"/>
      <c r="AP108" s="291"/>
      <c r="AQ108" s="290"/>
      <c r="AR108" s="2"/>
      <c r="AS108" s="2"/>
      <c r="AT108" s="2"/>
      <c r="AU108" s="291"/>
      <c r="AV108" s="290"/>
      <c r="AW108" s="2"/>
      <c r="AX108" s="2"/>
      <c r="AY108" s="2"/>
      <c r="AZ108" s="291"/>
      <c r="BA108" s="290"/>
      <c r="BB108" s="2"/>
      <c r="BC108" s="2"/>
      <c r="BD108" s="2"/>
      <c r="BE108" s="291"/>
      <c r="BF108" s="290"/>
      <c r="BG108" s="2"/>
      <c r="BH108" s="2"/>
      <c r="BI108" s="2"/>
      <c r="BJ108" s="291"/>
      <c r="BK108" s="290"/>
      <c r="BL108" s="2"/>
      <c r="BM108" s="2"/>
      <c r="BN108" s="2"/>
      <c r="BO108" s="291"/>
      <c r="BP108" s="290"/>
      <c r="BQ108" s="2"/>
      <c r="BR108" s="2"/>
      <c r="BS108" s="2"/>
      <c r="BT108" s="291"/>
      <c r="BU108" s="290"/>
      <c r="BV108" s="2"/>
      <c r="BW108" s="2"/>
      <c r="BX108" s="2"/>
      <c r="BY108" s="291"/>
      <c r="BZ108" s="290"/>
      <c r="CA108" s="2"/>
      <c r="CB108" s="2"/>
      <c r="CC108" s="2"/>
      <c r="CD108" s="291"/>
      <c r="CE108" s="290"/>
      <c r="CF108" s="290"/>
      <c r="CG108" s="290"/>
      <c r="CH108" s="290"/>
      <c r="CI108" s="2"/>
      <c r="CJ108" s="2"/>
      <c r="CK108" s="2"/>
      <c r="CL108" s="57"/>
      <c r="CM108" s="294"/>
      <c r="CN108" s="294"/>
      <c r="CO108" s="294"/>
      <c r="CP108" s="294"/>
      <c r="CQ108" s="294"/>
      <c r="CR108" s="294"/>
      <c r="CS108" s="294"/>
      <c r="CT108" s="294"/>
      <c r="CU108" s="294"/>
    </row>
    <row r="109" spans="1:99" x14ac:dyDescent="0.2">
      <c r="C109" s="1"/>
      <c r="D109" s="1"/>
      <c r="E109" s="1"/>
      <c r="G109" s="296"/>
      <c r="H109" s="296"/>
      <c r="I109" s="296"/>
      <c r="J109" s="287"/>
      <c r="K109" s="287"/>
      <c r="L109" s="296"/>
      <c r="M109" s="296"/>
      <c r="N109" s="296"/>
      <c r="O109" s="287"/>
      <c r="P109" s="287"/>
      <c r="Q109" s="296"/>
      <c r="R109" s="296"/>
      <c r="S109" s="296"/>
      <c r="T109" s="287"/>
      <c r="U109" s="287"/>
      <c r="W109" s="290"/>
      <c r="X109" s="296"/>
      <c r="Y109" s="296"/>
      <c r="Z109" s="296"/>
      <c r="AA109" s="291"/>
      <c r="AB109" s="291"/>
      <c r="AC109" s="291"/>
      <c r="AD109" s="291"/>
      <c r="AE109" s="291"/>
      <c r="AF109" s="291"/>
      <c r="AG109" s="290"/>
      <c r="AH109" s="296"/>
      <c r="AI109" s="296"/>
      <c r="AJ109" s="296"/>
      <c r="AK109" s="291"/>
      <c r="AL109" s="290"/>
      <c r="AM109" s="296"/>
      <c r="AN109" s="296"/>
      <c r="AO109" s="296"/>
      <c r="AP109" s="291"/>
      <c r="AQ109" s="290"/>
      <c r="AR109" s="296"/>
      <c r="AS109" s="296"/>
      <c r="AT109" s="296"/>
      <c r="AU109" s="291"/>
      <c r="AV109" s="290"/>
      <c r="AW109" s="296"/>
      <c r="AX109" s="296"/>
      <c r="AY109" s="296"/>
      <c r="AZ109" s="291"/>
      <c r="BA109" s="290"/>
      <c r="BB109" s="296"/>
      <c r="BC109" s="296"/>
      <c r="BD109" s="296"/>
      <c r="BE109" s="291"/>
      <c r="BF109" s="290"/>
      <c r="BG109" s="296"/>
      <c r="BH109" s="296"/>
      <c r="BI109" s="296"/>
      <c r="BJ109" s="291"/>
      <c r="BK109" s="290"/>
      <c r="BL109" s="296"/>
      <c r="BM109" s="296"/>
      <c r="BN109" s="296"/>
      <c r="BO109" s="291"/>
      <c r="BP109" s="290"/>
      <c r="BQ109" s="296"/>
      <c r="BR109" s="296"/>
      <c r="BS109" s="296"/>
      <c r="BT109" s="291"/>
      <c r="BU109" s="290"/>
      <c r="BV109" s="296"/>
      <c r="BW109" s="296"/>
      <c r="BX109" s="296"/>
      <c r="BY109" s="291"/>
      <c r="BZ109" s="290"/>
      <c r="CB109" s="296"/>
      <c r="CC109" s="296"/>
      <c r="CD109" s="291"/>
      <c r="CF109" s="297" t="s">
        <v>223</v>
      </c>
      <c r="CG109" s="2">
        <v>123712380.15000001</v>
      </c>
      <c r="CL109" s="57"/>
      <c r="CM109" s="298"/>
    </row>
    <row r="110" spans="1:99" s="57" customFormat="1" x14ac:dyDescent="0.2">
      <c r="A110" s="1"/>
      <c r="B110" s="1"/>
      <c r="C110" s="1"/>
      <c r="D110" s="1"/>
      <c r="E110" s="1"/>
      <c r="F110" s="2"/>
      <c r="G110" s="296"/>
      <c r="H110" s="296"/>
      <c r="I110" s="296"/>
      <c r="J110" s="287"/>
      <c r="K110" s="287"/>
      <c r="L110" s="296"/>
      <c r="M110" s="296"/>
      <c r="N110" s="296"/>
      <c r="O110" s="287"/>
      <c r="P110" s="287"/>
      <c r="Q110" s="296"/>
      <c r="R110" s="296"/>
      <c r="S110" s="296"/>
      <c r="T110" s="287"/>
      <c r="U110" s="287"/>
      <c r="V110" s="2"/>
      <c r="W110" s="290"/>
      <c r="X110" s="296"/>
      <c r="Y110" s="296"/>
      <c r="Z110" s="296"/>
      <c r="AA110" s="287"/>
      <c r="AB110" s="287"/>
      <c r="AC110" s="287"/>
      <c r="AD110" s="287"/>
      <c r="AE110" s="287"/>
      <c r="AF110" s="287"/>
      <c r="AG110" s="290"/>
      <c r="AH110" s="296"/>
      <c r="AI110" s="296"/>
      <c r="AJ110" s="296"/>
      <c r="AK110" s="287"/>
      <c r="AL110" s="290"/>
      <c r="AM110" s="296"/>
      <c r="AO110" s="296"/>
      <c r="AP110" s="287"/>
      <c r="AQ110" s="290"/>
      <c r="AR110" s="296"/>
      <c r="AS110" s="296"/>
      <c r="AT110" s="296"/>
      <c r="AU110" s="287"/>
      <c r="AV110" s="290"/>
      <c r="AW110" s="296"/>
      <c r="AX110" s="296"/>
      <c r="AY110" s="296"/>
      <c r="AZ110" s="287"/>
      <c r="BA110" s="290"/>
      <c r="BB110" s="296"/>
      <c r="BC110" s="296"/>
      <c r="BD110" s="296"/>
      <c r="BE110" s="287"/>
      <c r="BF110" s="290"/>
      <c r="BG110" s="296"/>
      <c r="BH110" s="296"/>
      <c r="BI110" s="296"/>
      <c r="BJ110" s="287"/>
      <c r="BK110" s="290"/>
      <c r="BL110" s="296"/>
      <c r="BM110" s="296"/>
      <c r="BN110" s="296"/>
      <c r="BO110" s="287"/>
      <c r="BP110" s="290"/>
      <c r="BQ110" s="296"/>
      <c r="BR110" s="296"/>
      <c r="BS110" s="296"/>
      <c r="BT110" s="287"/>
      <c r="BU110" s="290"/>
      <c r="BV110" s="296"/>
      <c r="BW110" s="296"/>
      <c r="BX110" s="296"/>
      <c r="BY110" s="287"/>
      <c r="BZ110" s="290"/>
      <c r="CA110" s="2"/>
      <c r="CB110" s="296"/>
      <c r="CC110" s="296"/>
      <c r="CD110" s="287"/>
      <c r="CE110" s="2"/>
      <c r="CF110" s="297" t="s">
        <v>224</v>
      </c>
      <c r="CG110" s="2">
        <f>CG109-CG103</f>
        <v>-68409225.749260813</v>
      </c>
      <c r="CH110" s="2"/>
      <c r="CJ110" s="2"/>
      <c r="CK110" s="2"/>
      <c r="CM110" s="298"/>
      <c r="CN110" s="294"/>
      <c r="CO110" s="294"/>
      <c r="CP110" s="294"/>
      <c r="CQ110" s="294"/>
      <c r="CR110" s="294"/>
      <c r="CS110" s="294"/>
      <c r="CT110" s="294"/>
      <c r="CU110" s="294"/>
    </row>
    <row r="111" spans="1:99" s="57" customFormat="1" x14ac:dyDescent="0.2">
      <c r="A111" s="1"/>
      <c r="B111" s="299" t="s">
        <v>225</v>
      </c>
      <c r="C111" s="1"/>
      <c r="D111" s="1"/>
      <c r="E111" s="1"/>
      <c r="F111" s="2"/>
      <c r="G111" s="296"/>
      <c r="H111" s="296"/>
      <c r="I111" s="296"/>
      <c r="J111" s="296"/>
      <c r="K111" s="296"/>
      <c r="L111" s="296"/>
      <c r="M111" s="296"/>
      <c r="N111" s="296"/>
      <c r="O111" s="296"/>
      <c r="P111" s="296"/>
      <c r="Q111" s="296"/>
      <c r="R111" s="296"/>
      <c r="S111" s="296"/>
      <c r="T111" s="296"/>
      <c r="U111" s="296"/>
      <c r="V111" s="2"/>
      <c r="W111" s="290"/>
      <c r="X111" s="296"/>
      <c r="Y111" s="296"/>
      <c r="Z111" s="296"/>
      <c r="AA111" s="296"/>
      <c r="AB111" s="296"/>
      <c r="AC111" s="296"/>
      <c r="AD111" s="296"/>
      <c r="AE111" s="296"/>
      <c r="AF111" s="296"/>
      <c r="AG111" s="296"/>
      <c r="AH111" s="296"/>
      <c r="AI111" s="296"/>
      <c r="AJ111" s="296"/>
      <c r="AK111" s="296"/>
      <c r="AL111" s="296"/>
      <c r="AM111" s="296"/>
      <c r="AN111" s="296"/>
      <c r="AO111" s="296"/>
      <c r="AP111" s="296"/>
      <c r="AQ111" s="296"/>
      <c r="AR111" s="296"/>
      <c r="AS111" s="296"/>
      <c r="AT111" s="296"/>
      <c r="AU111" s="296"/>
      <c r="AV111" s="296"/>
      <c r="AW111" s="296"/>
      <c r="AX111" s="296"/>
      <c r="AY111" s="296"/>
      <c r="AZ111" s="296"/>
      <c r="BA111" s="296"/>
      <c r="BB111" s="296"/>
      <c r="BC111" s="296"/>
      <c r="BD111" s="296"/>
      <c r="BE111" s="296"/>
      <c r="BF111" s="296"/>
      <c r="BG111" s="296"/>
      <c r="BH111" s="296"/>
      <c r="BI111" s="296"/>
      <c r="BJ111" s="296"/>
      <c r="BK111" s="296"/>
      <c r="BL111" s="296"/>
      <c r="BM111" s="296"/>
      <c r="BN111" s="296"/>
      <c r="BO111" s="296"/>
      <c r="BP111" s="296"/>
      <c r="BQ111" s="296"/>
      <c r="BR111" s="296"/>
      <c r="BS111" s="296"/>
      <c r="BT111" s="296"/>
      <c r="BU111" s="296"/>
      <c r="BV111" s="296"/>
      <c r="BW111" s="296"/>
      <c r="BX111" s="296"/>
      <c r="BY111" s="296"/>
      <c r="BZ111" s="290"/>
      <c r="CA111" s="2"/>
      <c r="CB111" s="296"/>
      <c r="CC111" s="296"/>
      <c r="CD111" s="296"/>
      <c r="CE111" s="2"/>
      <c r="CF111" s="297"/>
      <c r="CG111" s="2"/>
      <c r="CH111" s="2"/>
      <c r="CJ111" s="2"/>
      <c r="CK111" s="2"/>
      <c r="CM111" s="298"/>
      <c r="CN111" s="294"/>
      <c r="CO111" s="294"/>
      <c r="CP111" s="294"/>
      <c r="CQ111" s="294"/>
      <c r="CR111" s="294"/>
      <c r="CS111" s="294"/>
      <c r="CT111" s="294"/>
      <c r="CU111" s="294"/>
    </row>
    <row r="112" spans="1:99" s="57" customFormat="1" x14ac:dyDescent="0.2">
      <c r="A112" s="1"/>
      <c r="B112" s="299" t="s">
        <v>226</v>
      </c>
      <c r="C112" s="1"/>
      <c r="D112" s="1"/>
      <c r="E112" s="1"/>
      <c r="F112" s="2"/>
      <c r="G112" s="296"/>
      <c r="H112" s="296"/>
      <c r="I112" s="296"/>
      <c r="J112" s="296"/>
      <c r="K112" s="296"/>
      <c r="L112" s="296"/>
      <c r="M112" s="296"/>
      <c r="N112" s="296"/>
      <c r="O112" s="296"/>
      <c r="P112" s="296"/>
      <c r="Q112" s="296"/>
      <c r="R112" s="296"/>
      <c r="S112" s="296"/>
      <c r="T112" s="296"/>
      <c r="U112" s="296"/>
      <c r="V112" s="2"/>
      <c r="W112" s="290"/>
      <c r="X112" s="296"/>
      <c r="Y112" s="296"/>
      <c r="Z112" s="296"/>
      <c r="AA112" s="296"/>
      <c r="AB112" s="296"/>
      <c r="AC112" s="296"/>
      <c r="AD112" s="296"/>
      <c r="AE112" s="296"/>
      <c r="AF112" s="296"/>
      <c r="AG112" s="296"/>
      <c r="AH112" s="296"/>
      <c r="AI112" s="296"/>
      <c r="AJ112" s="296"/>
      <c r="AK112" s="296"/>
      <c r="AL112" s="296"/>
      <c r="AM112" s="296"/>
      <c r="AN112" s="296"/>
      <c r="AO112" s="296"/>
      <c r="AP112" s="296"/>
      <c r="AQ112" s="296"/>
      <c r="AR112" s="296"/>
      <c r="AS112" s="296"/>
      <c r="AT112" s="296"/>
      <c r="AU112" s="296"/>
      <c r="AV112" s="296"/>
      <c r="AW112" s="296"/>
      <c r="AX112" s="296"/>
      <c r="AY112" s="296"/>
      <c r="AZ112" s="296"/>
      <c r="BA112" s="296"/>
      <c r="BB112" s="296"/>
      <c r="BC112" s="296"/>
      <c r="BD112" s="296"/>
      <c r="BE112" s="296"/>
      <c r="BF112" s="296"/>
      <c r="BG112" s="296"/>
      <c r="BH112" s="296"/>
      <c r="BI112" s="296"/>
      <c r="BJ112" s="296"/>
      <c r="BK112" s="296"/>
      <c r="BL112" s="296"/>
      <c r="BM112" s="296"/>
      <c r="BN112" s="296"/>
      <c r="BO112" s="296"/>
      <c r="BP112" s="296"/>
      <c r="BQ112" s="296"/>
      <c r="BR112" s="296"/>
      <c r="BS112" s="296"/>
      <c r="BT112" s="296"/>
      <c r="BU112" s="296"/>
      <c r="BV112" s="296"/>
      <c r="BW112" s="296"/>
      <c r="BX112" s="296"/>
      <c r="BY112" s="296"/>
      <c r="BZ112" s="290"/>
      <c r="CA112" s="2"/>
      <c r="CB112" s="296"/>
      <c r="CC112" s="296"/>
      <c r="CD112" s="296"/>
      <c r="CE112" s="2"/>
      <c r="CF112" s="297"/>
      <c r="CG112" s="2"/>
      <c r="CH112" s="2"/>
      <c r="CJ112" s="2"/>
      <c r="CK112" s="2"/>
      <c r="CM112" s="298"/>
      <c r="CN112" s="294"/>
      <c r="CO112" s="294"/>
      <c r="CP112" s="294"/>
      <c r="CQ112" s="294"/>
      <c r="CR112" s="294"/>
      <c r="CS112" s="294"/>
      <c r="CT112" s="294"/>
      <c r="CU112" s="294"/>
    </row>
    <row r="113" spans="1:99" s="57" customFormat="1" x14ac:dyDescent="0.2">
      <c r="A113" s="1"/>
      <c r="B113" s="299" t="s">
        <v>227</v>
      </c>
      <c r="C113" s="1"/>
      <c r="D113" s="1"/>
      <c r="E113" s="1"/>
      <c r="F113" s="2"/>
      <c r="G113" s="296"/>
      <c r="H113" s="296"/>
      <c r="I113" s="296"/>
      <c r="J113" s="296"/>
      <c r="K113" s="296"/>
      <c r="L113" s="296"/>
      <c r="M113" s="296"/>
      <c r="N113" s="296"/>
      <c r="O113" s="296"/>
      <c r="P113" s="296"/>
      <c r="Q113" s="296"/>
      <c r="R113" s="296"/>
      <c r="S113" s="296"/>
      <c r="T113" s="296"/>
      <c r="U113" s="296"/>
      <c r="V113" s="2"/>
      <c r="W113" s="290"/>
      <c r="X113" s="296"/>
      <c r="Y113" s="296"/>
      <c r="Z113" s="296"/>
      <c r="AA113" s="296"/>
      <c r="AB113" s="296"/>
      <c r="AC113" s="296"/>
      <c r="AD113" s="296"/>
      <c r="AE113" s="296"/>
      <c r="AF113" s="296"/>
      <c r="AG113" s="296"/>
      <c r="AH113" s="296"/>
      <c r="AI113" s="296"/>
      <c r="AJ113" s="296"/>
      <c r="AK113" s="296"/>
      <c r="AL113" s="296"/>
      <c r="AM113" s="296"/>
      <c r="AN113" s="296"/>
      <c r="AO113" s="296"/>
      <c r="AP113" s="296"/>
      <c r="AQ113" s="296"/>
      <c r="AR113" s="296"/>
      <c r="AS113" s="296"/>
      <c r="AT113" s="296"/>
      <c r="AU113" s="296"/>
      <c r="AV113" s="296"/>
      <c r="AW113" s="296"/>
      <c r="AX113" s="296"/>
      <c r="AY113" s="296"/>
      <c r="AZ113" s="296"/>
      <c r="BA113" s="296"/>
      <c r="BB113" s="296"/>
      <c r="BC113" s="296"/>
      <c r="BD113" s="296"/>
      <c r="BE113" s="296"/>
      <c r="BF113" s="296"/>
      <c r="BG113" s="296"/>
      <c r="BH113" s="296"/>
      <c r="BI113" s="296"/>
      <c r="BJ113" s="296"/>
      <c r="BK113" s="296"/>
      <c r="BL113" s="296"/>
      <c r="BM113" s="296"/>
      <c r="BN113" s="296"/>
      <c r="BO113" s="296"/>
      <c r="BP113" s="296"/>
      <c r="BQ113" s="296"/>
      <c r="BR113" s="296"/>
      <c r="BS113" s="296"/>
      <c r="BT113" s="296"/>
      <c r="BU113" s="296"/>
      <c r="BV113" s="296"/>
      <c r="BW113" s="296"/>
      <c r="BX113" s="296"/>
      <c r="BY113" s="296"/>
      <c r="BZ113" s="290"/>
      <c r="CA113" s="2"/>
      <c r="CB113" s="296"/>
      <c r="CC113" s="296"/>
      <c r="CD113" s="296"/>
      <c r="CE113" s="2"/>
      <c r="CF113" s="297"/>
      <c r="CG113" s="2"/>
      <c r="CH113" s="2"/>
      <c r="CJ113" s="2"/>
      <c r="CK113" s="2"/>
      <c r="CM113" s="298"/>
      <c r="CN113" s="294"/>
      <c r="CO113" s="294"/>
      <c r="CP113" s="294"/>
      <c r="CQ113" s="294"/>
      <c r="CR113" s="294"/>
      <c r="CS113" s="294"/>
      <c r="CT113" s="294"/>
      <c r="CU113" s="294"/>
    </row>
    <row r="114" spans="1:99" s="57" customFormat="1" x14ac:dyDescent="0.2">
      <c r="A114" s="1"/>
      <c r="B114" s="299" t="s">
        <v>228</v>
      </c>
      <c r="C114" s="1"/>
      <c r="D114" s="1"/>
      <c r="E114" s="1"/>
      <c r="F114" s="2"/>
      <c r="G114" s="296"/>
      <c r="H114" s="296"/>
      <c r="I114" s="296"/>
      <c r="J114" s="296"/>
      <c r="K114" s="296"/>
      <c r="L114" s="296"/>
      <c r="M114" s="296"/>
      <c r="N114" s="296"/>
      <c r="O114" s="296"/>
      <c r="P114" s="296"/>
      <c r="Q114" s="296"/>
      <c r="R114" s="296"/>
      <c r="S114" s="296"/>
      <c r="T114" s="296"/>
      <c r="U114" s="296"/>
      <c r="V114" s="2"/>
      <c r="W114" s="290"/>
      <c r="X114" s="296"/>
      <c r="Y114" s="296"/>
      <c r="Z114" s="296"/>
      <c r="AA114" s="296"/>
      <c r="AB114" s="296"/>
      <c r="AC114" s="296"/>
      <c r="AD114" s="296"/>
      <c r="AE114" s="296"/>
      <c r="AF114" s="296"/>
      <c r="AG114" s="296"/>
      <c r="AH114" s="296"/>
      <c r="AI114" s="296"/>
      <c r="AJ114" s="296"/>
      <c r="AK114" s="296"/>
      <c r="AL114" s="296"/>
      <c r="AM114" s="296"/>
      <c r="AN114" s="296"/>
      <c r="AO114" s="296"/>
      <c r="AP114" s="296"/>
      <c r="AQ114" s="296"/>
      <c r="AR114" s="296"/>
      <c r="AS114" s="296"/>
      <c r="AT114" s="296"/>
      <c r="AU114" s="296"/>
      <c r="AV114" s="296"/>
      <c r="AW114" s="296"/>
      <c r="AX114" s="296"/>
      <c r="AY114" s="296"/>
      <c r="AZ114" s="296"/>
      <c r="BA114" s="296"/>
      <c r="BB114" s="296"/>
      <c r="BC114" s="296"/>
      <c r="BD114" s="296"/>
      <c r="BE114" s="296"/>
      <c r="BF114" s="296"/>
      <c r="BG114" s="296"/>
      <c r="BH114" s="296"/>
      <c r="BI114" s="296"/>
      <c r="BJ114" s="296"/>
      <c r="BK114" s="296"/>
      <c r="BL114" s="296"/>
      <c r="BM114" s="296"/>
      <c r="BN114" s="296"/>
      <c r="BO114" s="296"/>
      <c r="BP114" s="296"/>
      <c r="BQ114" s="296"/>
      <c r="BR114" s="296"/>
      <c r="BS114" s="296"/>
      <c r="BT114" s="296"/>
      <c r="BU114" s="296"/>
      <c r="BV114" s="296"/>
      <c r="BW114" s="296"/>
      <c r="BX114" s="296"/>
      <c r="BY114" s="296"/>
      <c r="BZ114" s="290"/>
      <c r="CA114" s="2"/>
      <c r="CB114" s="296"/>
      <c r="CC114" s="296"/>
      <c r="CD114" s="296"/>
      <c r="CE114" s="2"/>
      <c r="CF114" s="297" t="s">
        <v>229</v>
      </c>
      <c r="CG114" s="2">
        <f>CK5</f>
        <v>87095609.620000124</v>
      </c>
      <c r="CH114" s="2"/>
      <c r="CI114" s="2"/>
      <c r="CJ114" s="2"/>
      <c r="CK114" s="2"/>
      <c r="CM114" s="298"/>
      <c r="CN114" s="294"/>
      <c r="CO114" s="294"/>
      <c r="CP114" s="294"/>
      <c r="CQ114" s="294"/>
      <c r="CR114" s="294"/>
      <c r="CS114" s="294"/>
      <c r="CT114" s="294"/>
      <c r="CU114" s="294"/>
    </row>
    <row r="115" spans="1:99" x14ac:dyDescent="0.2">
      <c r="A115" s="3"/>
      <c r="B115" s="300" t="s">
        <v>230</v>
      </c>
      <c r="C115" s="2"/>
      <c r="D115" s="2"/>
      <c r="G115" s="296"/>
      <c r="H115" s="296"/>
      <c r="I115" s="296"/>
      <c r="J115" s="296"/>
      <c r="K115" s="296"/>
      <c r="L115" s="296"/>
      <c r="M115" s="296"/>
      <c r="N115" s="296"/>
      <c r="O115" s="296"/>
      <c r="P115" s="296"/>
      <c r="Q115" s="296"/>
      <c r="R115" s="296"/>
      <c r="S115" s="296"/>
      <c r="T115" s="296"/>
      <c r="U115" s="296"/>
      <c r="W115" s="296"/>
      <c r="X115" s="296"/>
      <c r="Y115" s="296"/>
      <c r="Z115" s="296"/>
      <c r="AA115" s="296"/>
      <c r="AB115" s="296"/>
      <c r="AC115" s="296"/>
      <c r="AD115" s="296"/>
      <c r="AE115" s="296"/>
      <c r="AF115" s="296"/>
      <c r="AG115" s="296"/>
      <c r="AH115" s="296"/>
      <c r="AI115" s="296"/>
      <c r="AJ115" s="296"/>
      <c r="AK115" s="296"/>
      <c r="AL115" s="296"/>
      <c r="AM115" s="296"/>
      <c r="AN115" s="296"/>
      <c r="AO115" s="296"/>
      <c r="AP115" s="296"/>
      <c r="AQ115" s="296"/>
      <c r="AR115" s="296"/>
      <c r="AS115" s="296"/>
      <c r="AT115" s="296"/>
      <c r="AU115" s="296"/>
      <c r="AV115" s="296"/>
      <c r="AW115" s="296"/>
      <c r="AX115" s="296"/>
      <c r="AY115" s="296"/>
      <c r="AZ115" s="296"/>
      <c r="BA115" s="296"/>
      <c r="BB115" s="296"/>
      <c r="BC115" s="296"/>
      <c r="BD115" s="296"/>
      <c r="BE115" s="296"/>
      <c r="BF115" s="296"/>
      <c r="BG115" s="296"/>
      <c r="BH115" s="296"/>
      <c r="BI115" s="296"/>
      <c r="BJ115" s="296"/>
      <c r="BK115" s="296"/>
      <c r="BL115" s="296"/>
      <c r="BM115" s="296"/>
      <c r="BN115" s="296"/>
      <c r="BO115" s="296"/>
      <c r="BP115" s="296"/>
      <c r="BQ115" s="296"/>
      <c r="BR115" s="296"/>
      <c r="BS115" s="296"/>
      <c r="BT115" s="296"/>
      <c r="BU115" s="296"/>
      <c r="BV115" s="296"/>
      <c r="BW115" s="296"/>
      <c r="BX115" s="296"/>
      <c r="BY115" s="296"/>
      <c r="BZ115" s="296"/>
      <c r="CA115" s="296"/>
      <c r="CB115" s="296"/>
      <c r="CC115" s="296"/>
      <c r="CD115" s="296"/>
      <c r="CF115" s="297" t="s">
        <v>231</v>
      </c>
      <c r="CG115" s="2">
        <f>CG6*0.03</f>
        <v>20620801.6347</v>
      </c>
      <c r="CH115" s="298"/>
      <c r="CL115" s="57"/>
      <c r="CM115" s="298"/>
    </row>
    <row r="116" spans="1:99" x14ac:dyDescent="0.2">
      <c r="A116" s="3"/>
      <c r="B116" s="300" t="s">
        <v>232</v>
      </c>
      <c r="CA116" s="296"/>
      <c r="CB116" s="296"/>
      <c r="CF116" s="297" t="s">
        <v>233</v>
      </c>
      <c r="CG116" s="2">
        <f>CK9+CK12+CK58+CK15+CK55</f>
        <v>-2002816.76</v>
      </c>
      <c r="CH116" s="298"/>
      <c r="CL116" s="57"/>
      <c r="CM116" s="298"/>
    </row>
    <row r="117" spans="1:99" x14ac:dyDescent="0.2">
      <c r="A117" s="3"/>
      <c r="B117" s="300"/>
      <c r="CF117" s="297" t="s">
        <v>44</v>
      </c>
      <c r="CG117" s="2">
        <f>CK16</f>
        <v>-5500132.3200000077</v>
      </c>
      <c r="CH117" s="298"/>
      <c r="CL117" s="57"/>
      <c r="CM117" s="298"/>
    </row>
    <row r="118" spans="1:99" x14ac:dyDescent="0.2">
      <c r="A118" s="3"/>
      <c r="B118" s="3"/>
      <c r="CF118" s="297" t="s">
        <v>52</v>
      </c>
      <c r="CG118" s="2">
        <f>CK18</f>
        <v>-6379871.3699999899</v>
      </c>
      <c r="CL118" s="57"/>
      <c r="CM118" s="298"/>
    </row>
    <row r="119" spans="1:99" x14ac:dyDescent="0.2">
      <c r="A119" s="3"/>
      <c r="B119" s="3"/>
      <c r="CF119" s="297" t="s">
        <v>65</v>
      </c>
      <c r="CG119" s="2">
        <f>CK20</f>
        <v>-1224626.5360000003</v>
      </c>
      <c r="CL119" s="57"/>
      <c r="CM119" s="298"/>
    </row>
    <row r="120" spans="1:99" x14ac:dyDescent="0.2">
      <c r="A120" s="3"/>
      <c r="B120" s="3"/>
      <c r="CF120" s="297" t="str">
        <f>B21</f>
        <v>Арена техники</v>
      </c>
      <c r="CG120" s="2">
        <f>CK21</f>
        <v>-4565765.4499999993</v>
      </c>
      <c r="CL120" s="57"/>
      <c r="CM120" s="298"/>
    </row>
    <row r="121" spans="1:99" x14ac:dyDescent="0.2">
      <c r="A121" s="3"/>
      <c r="B121" s="3"/>
      <c r="CF121" s="297" t="s">
        <v>69</v>
      </c>
      <c r="CG121" s="2">
        <f>CK22</f>
        <v>-8217053.9039999992</v>
      </c>
      <c r="CL121" s="57"/>
    </row>
    <row r="122" spans="1:99" x14ac:dyDescent="0.2">
      <c r="A122" s="3"/>
      <c r="B122" s="3"/>
      <c r="CF122" s="297" t="str">
        <f>B24</f>
        <v>Логистические затраты</v>
      </c>
      <c r="CG122" s="2">
        <f>CK24</f>
        <v>40479.143999999855</v>
      </c>
      <c r="CL122" s="57"/>
    </row>
    <row r="123" spans="1:99" x14ac:dyDescent="0.2">
      <c r="A123" s="3"/>
      <c r="B123" s="3"/>
      <c r="CF123" s="297" t="str">
        <f>B25</f>
        <v>МШП</v>
      </c>
      <c r="CG123" s="2">
        <f>CK25</f>
        <v>124794.4860000005</v>
      </c>
      <c r="CL123" s="57"/>
    </row>
    <row r="124" spans="1:99" x14ac:dyDescent="0.2">
      <c r="A124" s="3"/>
      <c r="B124" s="3"/>
      <c r="W124" s="3"/>
      <c r="X124" s="3"/>
      <c r="Y124" s="3"/>
      <c r="AG124" s="3"/>
      <c r="AH124" s="3"/>
      <c r="AI124" s="3"/>
      <c r="AL124" s="3"/>
      <c r="AM124" s="3"/>
      <c r="AN124" s="3"/>
      <c r="AQ124" s="3"/>
      <c r="AR124" s="3"/>
      <c r="AS124" s="3"/>
      <c r="AV124" s="3"/>
      <c r="AW124" s="3"/>
      <c r="AX124" s="3"/>
      <c r="BA124" s="3"/>
      <c r="BB124" s="3"/>
      <c r="BC124" s="3"/>
      <c r="BF124" s="3"/>
      <c r="BG124" s="3"/>
      <c r="BH124" s="3"/>
      <c r="BK124" s="3"/>
      <c r="BL124" s="3"/>
      <c r="BM124" s="3"/>
      <c r="BP124" s="3"/>
      <c r="BQ124" s="3"/>
      <c r="BR124" s="3"/>
      <c r="BU124" s="3"/>
      <c r="BV124" s="3"/>
      <c r="BW124" s="3"/>
      <c r="CF124" s="297" t="str">
        <f>B26</f>
        <v>Строительные материалы</v>
      </c>
      <c r="CG124" s="2">
        <f>CK26</f>
        <v>-7122683.388899982</v>
      </c>
      <c r="CL124" s="57"/>
    </row>
    <row r="125" spans="1:99" x14ac:dyDescent="0.2">
      <c r="A125" s="3"/>
      <c r="B125" s="3"/>
      <c r="W125" s="3"/>
      <c r="X125" s="3"/>
      <c r="Y125" s="3"/>
      <c r="AG125" s="3"/>
      <c r="AH125" s="3"/>
      <c r="AI125" s="3"/>
      <c r="AL125" s="3"/>
      <c r="AM125" s="3"/>
      <c r="AN125" s="3"/>
      <c r="AQ125" s="3"/>
      <c r="AR125" s="3"/>
      <c r="AS125" s="3"/>
      <c r="AV125" s="3"/>
      <c r="AW125" s="3"/>
      <c r="AX125" s="3"/>
      <c r="BA125" s="3"/>
      <c r="BB125" s="3"/>
      <c r="BC125" s="3"/>
      <c r="BF125" s="3"/>
      <c r="BG125" s="3"/>
      <c r="BH125" s="3"/>
      <c r="BK125" s="3"/>
      <c r="BL125" s="3"/>
      <c r="BM125" s="3"/>
      <c r="BP125" s="3"/>
      <c r="BQ125" s="3"/>
      <c r="BR125" s="3"/>
      <c r="BU125" s="3"/>
      <c r="BV125" s="3"/>
      <c r="BW125" s="3"/>
      <c r="CF125" s="297" t="str">
        <f>B27</f>
        <v>Ремонты</v>
      </c>
      <c r="CG125" s="2">
        <f>CK27</f>
        <v>-227920.83999999997</v>
      </c>
      <c r="CL125" s="57"/>
    </row>
    <row r="126" spans="1:99" x14ac:dyDescent="0.2">
      <c r="A126" s="3"/>
      <c r="B126" s="3"/>
      <c r="W126" s="3"/>
      <c r="X126" s="3"/>
      <c r="Y126" s="3"/>
      <c r="AG126" s="3"/>
      <c r="AH126" s="3"/>
      <c r="AI126" s="3"/>
      <c r="AL126" s="3"/>
      <c r="AM126" s="3"/>
      <c r="AN126" s="3"/>
      <c r="AQ126" s="3"/>
      <c r="AR126" s="3"/>
      <c r="AS126" s="3"/>
      <c r="AV126" s="3"/>
      <c r="AW126" s="3"/>
      <c r="AX126" s="3"/>
      <c r="BA126" s="3"/>
      <c r="BB126" s="3"/>
      <c r="BC126" s="3"/>
      <c r="BF126" s="3"/>
      <c r="BG126" s="3"/>
      <c r="BH126" s="3"/>
      <c r="BK126" s="3"/>
      <c r="BL126" s="3"/>
      <c r="BM126" s="3"/>
      <c r="BP126" s="3"/>
      <c r="BQ126" s="3"/>
      <c r="BR126" s="3"/>
      <c r="BU126" s="3"/>
      <c r="BV126" s="3"/>
      <c r="BW126" s="3"/>
      <c r="CF126" s="297" t="str">
        <f>B28</f>
        <v>Прочие производственные затраты</v>
      </c>
      <c r="CG126" s="2">
        <f>CK28</f>
        <v>-297049.30599999992</v>
      </c>
      <c r="CL126" s="57"/>
    </row>
    <row r="127" spans="1:99" x14ac:dyDescent="0.2">
      <c r="A127" s="3"/>
      <c r="B127" s="3"/>
      <c r="Y127" s="3"/>
      <c r="AI127" s="3"/>
      <c r="AN127" s="3"/>
      <c r="AS127" s="3"/>
      <c r="AX127" s="3"/>
      <c r="BC127" s="3"/>
      <c r="BH127" s="3"/>
      <c r="BM127" s="3"/>
      <c r="BR127" s="3"/>
      <c r="BW127" s="3"/>
      <c r="CF127" s="297" t="s">
        <v>234</v>
      </c>
      <c r="CG127" s="2">
        <f>CK29+CK65</f>
        <v>-120090</v>
      </c>
      <c r="CL127" s="57"/>
    </row>
    <row r="128" spans="1:99" x14ac:dyDescent="0.2">
      <c r="A128" s="3"/>
      <c r="B128" s="3"/>
      <c r="Y128" s="3"/>
      <c r="AI128" s="3"/>
      <c r="AN128" s="3"/>
      <c r="AS128" s="3"/>
      <c r="AX128" s="3"/>
      <c r="BC128" s="3"/>
      <c r="BH128" s="3"/>
      <c r="BM128" s="3"/>
      <c r="BR128" s="3"/>
      <c r="BW128" s="3"/>
      <c r="CF128" s="297" t="str">
        <f>B30</f>
        <v>Аренда квартиры с коммунальными платежами</v>
      </c>
      <c r="CG128" s="2">
        <f>CK30</f>
        <v>-292400</v>
      </c>
      <c r="CL128" s="57"/>
    </row>
    <row r="129" spans="1:91" x14ac:dyDescent="0.2">
      <c r="A129" s="3"/>
      <c r="B129" s="3"/>
      <c r="C129" s="3"/>
      <c r="D129" s="3"/>
      <c r="E129" s="3"/>
      <c r="F129" s="3"/>
      <c r="G129" s="3"/>
      <c r="H129" s="3"/>
      <c r="I129" s="3"/>
      <c r="J129" s="3"/>
      <c r="K129" s="3"/>
      <c r="L129" s="3"/>
      <c r="M129" s="3"/>
      <c r="N129" s="3"/>
      <c r="O129" s="3"/>
      <c r="P129" s="3"/>
      <c r="Q129" s="3"/>
      <c r="R129" s="3"/>
      <c r="S129" s="3"/>
      <c r="T129" s="3"/>
      <c r="U129" s="3"/>
      <c r="V129" s="3"/>
      <c r="CE129" s="3"/>
      <c r="CF129" s="297" t="str">
        <f>B69</f>
        <v>Затраты на обучение персонала</v>
      </c>
      <c r="CG129" s="2">
        <f>CK69</f>
        <v>-22500</v>
      </c>
      <c r="CL129" s="57"/>
    </row>
    <row r="130" spans="1:91" x14ac:dyDescent="0.2">
      <c r="A130" s="3"/>
      <c r="B130" s="3"/>
      <c r="C130" s="3"/>
      <c r="D130" s="3"/>
      <c r="E130" s="3"/>
      <c r="F130" s="3"/>
      <c r="G130" s="3"/>
      <c r="H130" s="3"/>
      <c r="I130" s="3"/>
      <c r="J130" s="3"/>
      <c r="K130" s="3"/>
      <c r="L130" s="3"/>
      <c r="M130" s="3"/>
      <c r="N130" s="3"/>
      <c r="O130" s="3"/>
      <c r="P130" s="3"/>
      <c r="Q130" s="3"/>
      <c r="R130" s="3"/>
      <c r="S130" s="3"/>
      <c r="T130" s="3"/>
      <c r="U130" s="3"/>
      <c r="V130" s="3"/>
      <c r="CE130" s="3"/>
      <c r="CF130" s="297" t="str">
        <f>B88</f>
        <v>Курсовые разницы</v>
      </c>
      <c r="CG130" s="2">
        <f>CK88</f>
        <v>3742468.3601445416</v>
      </c>
      <c r="CJ130" s="298"/>
      <c r="CL130" s="298"/>
    </row>
    <row r="131" spans="1:91" x14ac:dyDescent="0.2">
      <c r="A131" s="3"/>
      <c r="B131" s="3"/>
      <c r="C131" s="3"/>
      <c r="D131" s="3"/>
      <c r="E131" s="3"/>
      <c r="F131" s="3"/>
      <c r="G131" s="3"/>
      <c r="H131" s="3"/>
      <c r="I131" s="3"/>
      <c r="J131" s="3"/>
      <c r="K131" s="3"/>
      <c r="L131" s="3"/>
      <c r="M131" s="3"/>
      <c r="N131" s="3"/>
      <c r="O131" s="3"/>
      <c r="P131" s="3"/>
      <c r="Q131" s="3"/>
      <c r="R131" s="3"/>
      <c r="S131" s="3"/>
      <c r="T131" s="3"/>
      <c r="U131" s="3"/>
      <c r="V131" s="3"/>
      <c r="CE131" s="3"/>
      <c r="CF131" s="297" t="s">
        <v>201</v>
      </c>
      <c r="CG131" s="2">
        <f>CK69</f>
        <v>-22500</v>
      </c>
      <c r="CJ131" s="298"/>
      <c r="CL131" s="2"/>
    </row>
    <row r="132" spans="1:91" x14ac:dyDescent="0.2">
      <c r="A132" s="3"/>
      <c r="B132" s="3"/>
      <c r="C132" s="3"/>
      <c r="D132" s="3"/>
      <c r="E132" s="3"/>
      <c r="F132" s="3"/>
      <c r="G132" s="3"/>
      <c r="H132" s="3"/>
      <c r="I132" s="3"/>
      <c r="J132" s="3"/>
      <c r="K132" s="3"/>
      <c r="L132" s="3"/>
      <c r="M132" s="3"/>
      <c r="N132" s="3"/>
      <c r="O132" s="3"/>
      <c r="P132" s="3"/>
      <c r="Q132" s="3"/>
      <c r="R132" s="3"/>
      <c r="S132" s="3"/>
      <c r="T132" s="3"/>
      <c r="U132" s="3"/>
      <c r="V132" s="3"/>
      <c r="Z132" s="3"/>
      <c r="AA132" s="3"/>
      <c r="AB132" s="3"/>
      <c r="AC132" s="3"/>
      <c r="AD132" s="3"/>
      <c r="AE132" s="3"/>
      <c r="AF132" s="3"/>
      <c r="AJ132" s="3"/>
      <c r="AK132" s="3"/>
      <c r="AO132" s="3"/>
      <c r="AP132" s="3"/>
      <c r="AT132" s="3"/>
      <c r="AU132" s="3"/>
      <c r="AY132" s="3"/>
      <c r="AZ132" s="3"/>
      <c r="BD132" s="3"/>
      <c r="BE132" s="3"/>
      <c r="BI132" s="3"/>
      <c r="BJ132" s="3"/>
      <c r="BN132" s="3"/>
      <c r="BO132" s="3"/>
      <c r="BS132" s="3"/>
      <c r="BT132" s="3"/>
      <c r="BX132" s="3"/>
      <c r="BY132" s="3"/>
      <c r="CE132" s="297"/>
      <c r="CF132" s="297" t="s">
        <v>235</v>
      </c>
      <c r="CG132" s="2">
        <v>-1600000</v>
      </c>
      <c r="CJ132" s="298"/>
      <c r="CL132" s="2"/>
    </row>
    <row r="133" spans="1:91" x14ac:dyDescent="0.2">
      <c r="A133" s="3"/>
      <c r="B133" s="3"/>
      <c r="C133" s="3"/>
      <c r="D133" s="3"/>
      <c r="E133" s="3"/>
      <c r="F133" s="3"/>
      <c r="G133" s="3"/>
      <c r="H133" s="3"/>
      <c r="I133" s="3"/>
      <c r="J133" s="3"/>
      <c r="K133" s="3"/>
      <c r="L133" s="3"/>
      <c r="M133" s="3"/>
      <c r="N133" s="3"/>
      <c r="O133" s="3"/>
      <c r="P133" s="3"/>
      <c r="Q133" s="3"/>
      <c r="R133" s="3"/>
      <c r="S133" s="3"/>
      <c r="T133" s="3"/>
      <c r="U133" s="3"/>
      <c r="V133" s="3"/>
      <c r="Z133" s="3"/>
      <c r="AA133" s="3"/>
      <c r="AB133" s="3"/>
      <c r="AC133" s="3"/>
      <c r="AD133" s="3"/>
      <c r="AE133" s="3"/>
      <c r="AF133" s="3"/>
      <c r="AJ133" s="3"/>
      <c r="AK133" s="3"/>
      <c r="AO133" s="3"/>
      <c r="AP133" s="3"/>
      <c r="AT133" s="3"/>
      <c r="AU133" s="3"/>
      <c r="AY133" s="3"/>
      <c r="AZ133" s="3"/>
      <c r="BD133" s="3"/>
      <c r="BE133" s="3"/>
      <c r="BI133" s="3"/>
      <c r="BJ133" s="3"/>
      <c r="BN133" s="3"/>
      <c r="BO133" s="3"/>
      <c r="BS133" s="3"/>
      <c r="BT133" s="3"/>
      <c r="BX133" s="3"/>
      <c r="BY133" s="3"/>
      <c r="BZ133" s="3"/>
      <c r="CA133" s="3"/>
      <c r="CB133" s="3"/>
      <c r="CC133" s="3"/>
      <c r="CD133" s="3"/>
      <c r="CE133" s="3"/>
      <c r="CJ133" s="298"/>
      <c r="CL133" s="2"/>
    </row>
    <row r="134" spans="1:91" x14ac:dyDescent="0.2">
      <c r="A134" s="3"/>
      <c r="B134" s="3"/>
      <c r="C134" s="3"/>
      <c r="D134" s="3"/>
      <c r="E134" s="3"/>
      <c r="F134" s="3"/>
      <c r="G134" s="3"/>
      <c r="H134" s="3"/>
      <c r="I134" s="3"/>
      <c r="J134" s="3"/>
      <c r="K134" s="3"/>
      <c r="L134" s="3"/>
      <c r="M134" s="3"/>
      <c r="N134" s="3"/>
      <c r="O134" s="3"/>
      <c r="P134" s="3"/>
      <c r="Q134" s="3"/>
      <c r="R134" s="3"/>
      <c r="S134" s="3"/>
      <c r="T134" s="3"/>
      <c r="U134" s="3"/>
      <c r="V134" s="3"/>
      <c r="Z134" s="3"/>
      <c r="AA134" s="3"/>
      <c r="AB134" s="3"/>
      <c r="AC134" s="3"/>
      <c r="AD134" s="3"/>
      <c r="AE134" s="3"/>
      <c r="AF134" s="3"/>
      <c r="AJ134" s="3"/>
      <c r="AK134" s="3"/>
      <c r="AO134" s="3"/>
      <c r="AP134" s="3"/>
      <c r="AT134" s="3"/>
      <c r="AU134" s="3"/>
      <c r="AY134" s="3"/>
      <c r="AZ134" s="3"/>
      <c r="BD134" s="3"/>
      <c r="BE134" s="3"/>
      <c r="BI134" s="3"/>
      <c r="BJ134" s="3"/>
      <c r="BN134" s="3"/>
      <c r="BO134" s="3"/>
      <c r="BS134" s="3"/>
      <c r="BT134" s="3"/>
      <c r="BX134" s="3"/>
      <c r="BY134" s="3"/>
      <c r="BZ134" s="3"/>
      <c r="CA134" s="3"/>
      <c r="CB134" s="3"/>
      <c r="CC134" s="3"/>
      <c r="CD134" s="3"/>
      <c r="CE134" s="3"/>
      <c r="CF134" s="3"/>
      <c r="CG134" s="302"/>
      <c r="CJ134" s="298"/>
      <c r="CL134" s="2"/>
    </row>
    <row r="135" spans="1:91" x14ac:dyDescent="0.2">
      <c r="A135" s="3"/>
      <c r="B135" s="3"/>
      <c r="C135" s="3"/>
      <c r="D135" s="3"/>
      <c r="E135" s="3"/>
      <c r="F135" s="3"/>
      <c r="G135" s="3"/>
      <c r="H135" s="3"/>
      <c r="I135" s="3"/>
      <c r="J135" s="3"/>
      <c r="K135" s="3"/>
      <c r="L135" s="3"/>
      <c r="M135" s="3"/>
      <c r="N135" s="3"/>
      <c r="O135" s="3"/>
      <c r="P135" s="3"/>
      <c r="Q135" s="3"/>
      <c r="R135" s="3"/>
      <c r="S135" s="3"/>
      <c r="T135" s="3"/>
      <c r="U135" s="3"/>
      <c r="V135" s="3"/>
      <c r="Z135" s="3"/>
      <c r="AA135" s="3"/>
      <c r="AB135" s="3"/>
      <c r="AC135" s="3"/>
      <c r="AD135" s="3"/>
      <c r="AE135" s="3"/>
      <c r="AF135" s="3"/>
      <c r="AJ135" s="3"/>
      <c r="AK135" s="3"/>
      <c r="AO135" s="3"/>
      <c r="AP135" s="3"/>
      <c r="AT135" s="3"/>
      <c r="AU135" s="3"/>
      <c r="AY135" s="3"/>
      <c r="AZ135" s="3"/>
      <c r="BD135" s="3"/>
      <c r="BE135" s="3"/>
      <c r="BI135" s="3"/>
      <c r="BJ135" s="3"/>
      <c r="BN135" s="3"/>
      <c r="BO135" s="3"/>
      <c r="BS135" s="3"/>
      <c r="BT135" s="3"/>
      <c r="BX135" s="3"/>
      <c r="BY135" s="3"/>
      <c r="BZ135" s="3"/>
      <c r="CA135" s="3"/>
      <c r="CB135" s="3"/>
      <c r="CC135" s="3"/>
      <c r="CD135" s="3"/>
      <c r="CE135" s="3"/>
      <c r="CF135" s="303" t="s">
        <v>236</v>
      </c>
      <c r="CG135" s="303">
        <f>SUM(CG110:CG134)</f>
        <v>5619517.6206838777</v>
      </c>
      <c r="CJ135" s="298"/>
      <c r="CL135" s="2"/>
    </row>
    <row r="136" spans="1:91" ht="14.25" x14ac:dyDescent="0.2">
      <c r="A136" s="3"/>
      <c r="B136" s="3"/>
      <c r="C136" s="3"/>
      <c r="D136" s="3"/>
      <c r="E136" s="3"/>
      <c r="F136" s="3"/>
      <c r="G136" s="3"/>
      <c r="H136" s="3"/>
      <c r="I136" s="3"/>
      <c r="J136" s="3"/>
      <c r="K136" s="3"/>
      <c r="L136" s="3"/>
      <c r="M136" s="3"/>
      <c r="N136" s="3"/>
      <c r="O136" s="3"/>
      <c r="P136" s="3"/>
      <c r="Q136" s="3"/>
      <c r="R136" s="3"/>
      <c r="S136" s="3"/>
      <c r="T136" s="3"/>
      <c r="U136" s="3"/>
      <c r="V136" s="3"/>
      <c r="CE136" s="3"/>
      <c r="CF136" s="3"/>
      <c r="CG136" s="3"/>
      <c r="CI136" s="304"/>
      <c r="CJ136" s="304"/>
      <c r="CL136" s="2"/>
    </row>
    <row r="137" spans="1:91" x14ac:dyDescent="0.2">
      <c r="A137" s="3"/>
      <c r="B137" s="3"/>
      <c r="C137" s="3"/>
      <c r="D137" s="3"/>
      <c r="E137" s="3"/>
      <c r="F137" s="3"/>
      <c r="CE137" s="3"/>
      <c r="CF137" s="3"/>
      <c r="CG137" s="3"/>
      <c r="CI137" s="305"/>
      <c r="CJ137" s="305"/>
      <c r="CL137" s="2"/>
    </row>
    <row r="138" spans="1:91" x14ac:dyDescent="0.2">
      <c r="A138" s="3"/>
      <c r="B138" s="3"/>
      <c r="C138" s="3"/>
      <c r="D138" s="3"/>
      <c r="E138" s="3"/>
      <c r="F138" s="3"/>
      <c r="G138" s="3"/>
      <c r="H138" s="3"/>
      <c r="I138" s="3"/>
      <c r="J138" s="3"/>
      <c r="K138" s="3"/>
      <c r="L138" s="3"/>
      <c r="M138" s="3"/>
      <c r="N138" s="3"/>
      <c r="O138" s="3"/>
      <c r="P138" s="3"/>
      <c r="Q138" s="3"/>
      <c r="R138" s="3"/>
      <c r="S138" s="3"/>
      <c r="T138" s="3"/>
      <c r="U138" s="3"/>
      <c r="V138" s="3"/>
      <c r="CE138" s="3"/>
      <c r="CF138" s="3"/>
      <c r="CG138" s="3"/>
      <c r="CI138" s="3"/>
      <c r="CJ138" s="3"/>
      <c r="CL138" s="2"/>
    </row>
    <row r="139" spans="1:91" x14ac:dyDescent="0.2">
      <c r="A139" s="3"/>
      <c r="B139" s="3"/>
      <c r="C139" s="3"/>
      <c r="D139" s="3"/>
      <c r="E139" s="3"/>
      <c r="F139" s="3"/>
      <c r="G139" s="3"/>
      <c r="H139" s="3"/>
      <c r="I139" s="3"/>
      <c r="J139" s="3"/>
      <c r="K139" s="3"/>
      <c r="L139" s="3"/>
      <c r="M139" s="3"/>
      <c r="N139" s="3"/>
      <c r="O139" s="3"/>
      <c r="P139" s="3"/>
      <c r="Q139" s="3"/>
      <c r="R139" s="3"/>
      <c r="S139" s="3"/>
      <c r="T139" s="3"/>
      <c r="U139" s="3"/>
      <c r="V139" s="3"/>
      <c r="CE139" s="3"/>
      <c r="CF139" s="3"/>
      <c r="CG139" s="3"/>
      <c r="CI139" s="3"/>
      <c r="CL139" s="2"/>
    </row>
    <row r="140" spans="1:91" x14ac:dyDescent="0.2">
      <c r="A140" s="3"/>
      <c r="B140" s="3"/>
      <c r="C140" s="3"/>
      <c r="D140" s="3"/>
      <c r="E140" s="3"/>
      <c r="F140" s="3"/>
      <c r="CE140" s="3"/>
      <c r="CF140" s="3"/>
      <c r="CG140" s="3"/>
      <c r="CI140" s="3"/>
      <c r="CK140" s="298"/>
      <c r="CL140" s="2"/>
      <c r="CM140" s="298"/>
    </row>
    <row r="141" spans="1:9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02"/>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I141" s="3"/>
      <c r="CK141" s="298"/>
      <c r="CL141" s="2"/>
      <c r="CM141" s="298"/>
    </row>
    <row r="142" spans="1:91" x14ac:dyDescent="0.2">
      <c r="A142" s="3"/>
      <c r="B142" s="3"/>
      <c r="C142" s="3"/>
      <c r="D142" s="3"/>
      <c r="E142" s="3"/>
      <c r="F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I142" s="306"/>
      <c r="CJ142" s="302"/>
      <c r="CK142" s="307"/>
      <c r="CL142" s="301"/>
      <c r="CM142" s="298"/>
    </row>
    <row r="143" spans="1:9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I143" s="306"/>
      <c r="CJ143" s="302"/>
      <c r="CK143" s="301"/>
      <c r="CL143" s="301"/>
      <c r="CM143" s="298"/>
    </row>
    <row r="144" spans="1:91" x14ac:dyDescent="0.2">
      <c r="A144" s="3"/>
      <c r="B144" s="3"/>
      <c r="C144" s="3"/>
      <c r="D144" s="3"/>
      <c r="E144" s="3"/>
      <c r="F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J144" s="301"/>
      <c r="CK144" s="301"/>
      <c r="CL144" s="298"/>
    </row>
    <row r="145" spans="1:90"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J145" s="301"/>
      <c r="CK145" s="301"/>
      <c r="CL145" s="298"/>
    </row>
    <row r="146" spans="1:90" x14ac:dyDescent="0.2">
      <c r="A146" s="3"/>
      <c r="B146" s="3"/>
      <c r="C146" s="3"/>
      <c r="D146" s="3"/>
      <c r="E146" s="3"/>
      <c r="F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02"/>
      <c r="CH146" s="3"/>
      <c r="CJ146" s="301"/>
    </row>
    <row r="147" spans="1:90"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H147" s="3"/>
      <c r="CJ147" s="301"/>
    </row>
    <row r="148" spans="1:90" x14ac:dyDescent="0.2">
      <c r="CJ148" s="301"/>
    </row>
    <row r="149" spans="1:90" x14ac:dyDescent="0.2">
      <c r="CJ149" s="301"/>
      <c r="CK149" s="301"/>
    </row>
    <row r="150" spans="1:90" x14ac:dyDescent="0.2">
      <c r="CF150" s="297"/>
      <c r="CG150" s="302"/>
      <c r="CI150" s="3"/>
      <c r="CJ150" s="301"/>
      <c r="CK150" s="301"/>
    </row>
    <row r="151" spans="1:90" x14ac:dyDescent="0.2">
      <c r="CF151" s="297"/>
      <c r="CG151" s="302"/>
      <c r="CH151" s="298"/>
      <c r="CI151" s="3"/>
      <c r="CJ151" s="301"/>
      <c r="CK151" s="301"/>
    </row>
    <row r="152" spans="1:90" x14ac:dyDescent="0.2">
      <c r="CG152" s="302"/>
      <c r="CJ152" s="301"/>
      <c r="CK152" s="301"/>
    </row>
    <row r="153" spans="1:90" x14ac:dyDescent="0.2">
      <c r="CJ153" s="301"/>
      <c r="CK153" s="301"/>
    </row>
    <row r="154" spans="1:90" x14ac:dyDescent="0.2">
      <c r="CJ154" s="301"/>
      <c r="CK154" s="301"/>
    </row>
    <row r="155" spans="1:90" x14ac:dyDescent="0.2">
      <c r="CJ155" s="301"/>
      <c r="CK155" s="301"/>
    </row>
    <row r="156" spans="1:90" x14ac:dyDescent="0.2">
      <c r="CJ156" s="301"/>
      <c r="CK156" s="301"/>
    </row>
  </sheetData>
  <mergeCells count="19">
    <mergeCell ref="A42:A48"/>
    <mergeCell ref="BK2:BO3"/>
    <mergeCell ref="BP2:BT3"/>
    <mergeCell ref="BU2:BY3"/>
    <mergeCell ref="BZ2:CD3"/>
    <mergeCell ref="CE2:CI3"/>
    <mergeCell ref="A3:F3"/>
    <mergeCell ref="AG2:AK3"/>
    <mergeCell ref="AL2:AP3"/>
    <mergeCell ref="AQ2:AU3"/>
    <mergeCell ref="AV2:AZ3"/>
    <mergeCell ref="BA2:BE3"/>
    <mergeCell ref="BF2:BJ3"/>
    <mergeCell ref="A2:F2"/>
    <mergeCell ref="G2:K3"/>
    <mergeCell ref="L2:P3"/>
    <mergeCell ref="Q2:U3"/>
    <mergeCell ref="W2:AA3"/>
    <mergeCell ref="AB2:AF3"/>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Глобино-2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cfo</dc:creator>
  <cp:lastModifiedBy>cfo</cp:lastModifiedBy>
  <dcterms:created xsi:type="dcterms:W3CDTF">2026-08-20T11:11:49Z</dcterms:created>
  <dcterms:modified xsi:type="dcterms:W3CDTF">2026-08-20T11:19:11Z</dcterms:modified>
</cp:coreProperties>
</file>
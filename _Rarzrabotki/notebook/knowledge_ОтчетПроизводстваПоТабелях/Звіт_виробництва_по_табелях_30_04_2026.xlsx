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port1c\Desktop\ТЗ Индастриал 1305\"/>
    </mc:Choice>
  </mc:AlternateContent>
  <xr:revisionPtr revIDLastSave="0" documentId="13_ncr:1_{1B4540DF-503D-43D0-B590-FA168DD7EC4C}" xr6:coauthVersionLast="47" xr6:coauthVersionMax="47" xr10:uidLastSave="{00000000-0000-0000-0000-000000000000}"/>
  <bookViews>
    <workbookView xWindow="-108" yWindow="-108" windowWidth="23256" windowHeight="12576" firstSheet="5" activeTab="9" xr2:uid="{D21812D3-314A-47F4-90AD-0727D17550C2}"/>
  </bookViews>
  <sheets>
    <sheet name="МКБориспільська" sheetId="5" state="hidden" r:id="rId1"/>
    <sheet name="МК Астарта.Тищенки" sheetId="13" state="hidden" r:id="rId2"/>
    <sheet name="МК Глобино" sheetId="3" r:id="rId3"/>
    <sheet name="МК Чорноморськ" sheetId="14" r:id="rId4"/>
    <sheet name="МК Кривий Ріг" sheetId="17" r:id="rId5"/>
    <sheet name="Кернел Кухня" sheetId="11" r:id="rId6"/>
    <sheet name="МД ПРООН Черкаси  ДСНС" sheetId="15" r:id="rId7"/>
    <sheet name="МД ВООЗ 2025" sheetId="6" r:id="rId8"/>
    <sheet name="ООН 2025" sheetId="9" r:id="rId9"/>
    <sheet name="Оріль" sheetId="18" r:id="rId10"/>
    <sheet name="факт" sheetId="12" state="hidden" r:id="rId11"/>
  </sheets>
  <definedNames>
    <definedName name="_xlnm._FilterDatabase" localSheetId="2" hidden="1">'МК Глобино'!$A$4:$AI$4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" i="18" l="1"/>
  <c r="AV7" i="18"/>
  <c r="AG7" i="18"/>
  <c r="AD7" i="18"/>
  <c r="AA7" i="18"/>
  <c r="Y7" i="18"/>
  <c r="X7" i="18"/>
  <c r="U7" i="18"/>
  <c r="F7" i="18"/>
  <c r="AA6" i="3"/>
  <c r="AA7" i="3"/>
  <c r="AA11" i="3"/>
  <c r="AA13" i="3"/>
  <c r="V6" i="11" l="1"/>
  <c r="AA14" i="3" l="1"/>
  <c r="AW6" i="11"/>
  <c r="V6" i="15" l="1"/>
  <c r="O13" i="3" l="1"/>
  <c r="O14" i="3" l="1"/>
  <c r="I6" i="15"/>
  <c r="O6" i="3" l="1"/>
  <c r="AW37" i="9" l="1"/>
  <c r="AZ31" i="9"/>
  <c r="AZ32" i="9"/>
  <c r="AZ25" i="9"/>
  <c r="AZ28" i="9"/>
  <c r="AZ29" i="9"/>
  <c r="AZ30" i="9"/>
  <c r="AZ27" i="9"/>
  <c r="AW7" i="6"/>
  <c r="AW6" i="6"/>
  <c r="AW9" i="6"/>
  <c r="AW8" i="6"/>
  <c r="AA6" i="14"/>
  <c r="AA8" i="14" l="1"/>
  <c r="AA7" i="14"/>
  <c r="I6" i="3" l="1"/>
  <c r="N6" i="15"/>
  <c r="AM6" i="18" l="1"/>
  <c r="U6" i="18"/>
  <c r="X6" i="18" s="1"/>
  <c r="AM6" i="15"/>
  <c r="AN6" i="15" l="1"/>
  <c r="AW6" i="15" l="1"/>
  <c r="AY6" i="18" l="1"/>
  <c r="BA6" i="18" s="1"/>
  <c r="AP6" i="18"/>
  <c r="AN6" i="18"/>
  <c r="AO6" i="18" s="1"/>
  <c r="AL6" i="18"/>
  <c r="AH6" i="18"/>
  <c r="AH5" i="18" s="1"/>
  <c r="AD6" i="18"/>
  <c r="AF6" i="18" s="1"/>
  <c r="AA6" i="18"/>
  <c r="AA5" i="18" s="1"/>
  <c r="V5" i="18"/>
  <c r="W6" i="18"/>
  <c r="Q6" i="18"/>
  <c r="N6" i="18"/>
  <c r="R6" i="18"/>
  <c r="F5" i="18"/>
  <c r="BC5" i="18"/>
  <c r="BE5" i="18" s="1"/>
  <c r="AZ5" i="18"/>
  <c r="AY5" i="18"/>
  <c r="BA5" i="18" s="1"/>
  <c r="AW5" i="18"/>
  <c r="AT5" i="18"/>
  <c r="AQ5" i="18"/>
  <c r="AP5" i="18"/>
  <c r="AR5" i="18" s="1"/>
  <c r="AN5" i="18"/>
  <c r="AM5" i="18"/>
  <c r="AO5" i="18" s="1"/>
  <c r="AK5" i="18"/>
  <c r="AJ5" i="18"/>
  <c r="AE5" i="18"/>
  <c r="AB5" i="18"/>
  <c r="P5" i="18"/>
  <c r="O5" i="18"/>
  <c r="M5" i="18"/>
  <c r="L5" i="18"/>
  <c r="K5" i="18"/>
  <c r="J5" i="18"/>
  <c r="I5" i="18"/>
  <c r="H5" i="18"/>
  <c r="E5" i="18"/>
  <c r="D5" i="18"/>
  <c r="C5" i="18"/>
  <c r="B1" i="18"/>
  <c r="Z38" i="17"/>
  <c r="AB38" i="17" s="1"/>
  <c r="Z26" i="17"/>
  <c r="AB26" i="17" s="1"/>
  <c r="Z25" i="17"/>
  <c r="AB25" i="17" s="1"/>
  <c r="Z6" i="17"/>
  <c r="AB6" i="17" s="1"/>
  <c r="X6" i="17"/>
  <c r="X5" i="17" s="1"/>
  <c r="W6" i="17"/>
  <c r="W5" i="17" s="1"/>
  <c r="V6" i="17"/>
  <c r="O5" i="17"/>
  <c r="N6" i="17"/>
  <c r="N5" i="17" s="1"/>
  <c r="M6" i="17"/>
  <c r="J6" i="17"/>
  <c r="AA5" i="17"/>
  <c r="U5" i="17"/>
  <c r="T5" i="17"/>
  <c r="L5" i="17"/>
  <c r="K5" i="17"/>
  <c r="I5" i="17"/>
  <c r="H5" i="17"/>
  <c r="G5" i="17"/>
  <c r="F5" i="17"/>
  <c r="E5" i="17"/>
  <c r="D5" i="17"/>
  <c r="C5" i="17"/>
  <c r="B1" i="17"/>
  <c r="N5" i="18" l="1"/>
  <c r="BF5" i="18"/>
  <c r="AC5" i="18"/>
  <c r="AS6" i="18"/>
  <c r="AG6" i="18"/>
  <c r="AG5" i="18" s="1"/>
  <c r="AL5" i="18"/>
  <c r="AC6" i="18"/>
  <c r="Z5" i="17"/>
  <c r="V5" i="17"/>
  <c r="Y5" i="17"/>
  <c r="M5" i="17"/>
  <c r="Q5" i="18"/>
  <c r="AU6" i="18"/>
  <c r="AS5" i="18"/>
  <c r="AU5" i="18" s="1"/>
  <c r="R5" i="18"/>
  <c r="AI5" i="18"/>
  <c r="U5" i="18"/>
  <c r="W5" i="18" s="1"/>
  <c r="AI6" i="18"/>
  <c r="AR6" i="18"/>
  <c r="AD5" i="18"/>
  <c r="AF5" i="18" s="1"/>
  <c r="G6" i="18"/>
  <c r="AV6" i="18"/>
  <c r="Y6" i="18"/>
  <c r="AB5" i="17"/>
  <c r="Y6" i="17"/>
  <c r="P5" i="17"/>
  <c r="J5" i="17"/>
  <c r="Q6" i="17"/>
  <c r="R6" i="17"/>
  <c r="R5" i="17" s="1"/>
  <c r="P6" i="17"/>
  <c r="O8" i="14"/>
  <c r="X8" i="14"/>
  <c r="Y5" i="18" l="1"/>
  <c r="S6" i="18"/>
  <c r="AX6" i="18"/>
  <c r="AV5" i="18"/>
  <c r="AX5" i="18" s="1"/>
  <c r="Q5" i="17"/>
  <c r="S5" i="17" s="1"/>
  <c r="S6" i="17"/>
  <c r="AP36" i="9"/>
  <c r="AP37" i="9"/>
  <c r="S5" i="18" l="1"/>
  <c r="T5" i="18" s="1"/>
  <c r="T6" i="18"/>
  <c r="X5" i="18"/>
  <c r="Z5" i="18" s="1"/>
  <c r="Z6" i="18"/>
  <c r="V37" i="9"/>
  <c r="AB9" i="6"/>
  <c r="V9" i="6"/>
  <c r="AB8" i="6"/>
  <c r="O6" i="14" l="1"/>
  <c r="AB36" i="9" l="1"/>
  <c r="V36" i="9" s="1"/>
  <c r="AB35" i="9"/>
  <c r="V35" i="9" s="1"/>
  <c r="AB34" i="9"/>
  <c r="V34" i="9" s="1"/>
  <c r="Y6" i="11"/>
  <c r="S6" i="11" s="1"/>
  <c r="R14" i="3" l="1"/>
  <c r="V14" i="3" l="1"/>
  <c r="M14" i="3"/>
  <c r="W14" i="3"/>
  <c r="Z14" i="3"/>
  <c r="AB14" i="3" s="1"/>
  <c r="N14" i="3"/>
  <c r="P14" i="3" s="1"/>
  <c r="Q14" i="3" l="1"/>
  <c r="S14" i="3" s="1"/>
  <c r="U6" i="15"/>
  <c r="X6" i="15" s="1"/>
  <c r="AW33" i="9" l="1"/>
  <c r="AW34" i="9"/>
  <c r="AW35" i="9"/>
  <c r="Z8" i="14"/>
  <c r="AB8" i="14" s="1"/>
  <c r="W8" i="14"/>
  <c r="V8" i="14"/>
  <c r="R8" i="14"/>
  <c r="Q8" i="14"/>
  <c r="P8" i="14"/>
  <c r="J8" i="14"/>
  <c r="S8" i="14" l="1"/>
  <c r="Y8" i="14"/>
  <c r="X14" i="3" l="1"/>
  <c r="Y14" i="3" s="1"/>
  <c r="J14" i="3"/>
  <c r="AT9" i="6" l="1"/>
  <c r="AW23" i="9" l="1"/>
  <c r="AW24" i="9"/>
  <c r="AW25" i="9"/>
  <c r="AW26" i="9"/>
  <c r="AW27" i="9"/>
  <c r="AW28" i="9"/>
  <c r="AW29" i="9"/>
  <c r="AW30" i="9"/>
  <c r="AW31" i="9"/>
  <c r="AW32" i="9" l="1"/>
  <c r="AW36" i="9"/>
  <c r="X12" i="3" l="1"/>
  <c r="X13" i="3"/>
  <c r="R12" i="3"/>
  <c r="R13" i="3"/>
  <c r="AB30" i="9" l="1"/>
  <c r="V30" i="9" s="1"/>
  <c r="AB29" i="9"/>
  <c r="V29" i="9" s="1"/>
  <c r="AB28" i="9"/>
  <c r="V28" i="9" s="1"/>
  <c r="AA12" i="3" l="1"/>
  <c r="K6" i="15" l="1"/>
  <c r="AD6" i="15" l="1"/>
  <c r="AA6" i="15"/>
  <c r="R6" i="15"/>
  <c r="AV38" i="9"/>
  <c r="AV39" i="9"/>
  <c r="AV40" i="9"/>
  <c r="AV41" i="9"/>
  <c r="AV42" i="9"/>
  <c r="BD5" i="6" l="1"/>
  <c r="BC5" i="6"/>
  <c r="BE5" i="6"/>
  <c r="BD5" i="11"/>
  <c r="BC5" i="11"/>
  <c r="BE5" i="11" s="1"/>
  <c r="D6" i="11"/>
  <c r="F6" i="11"/>
  <c r="AV6" i="11" l="1"/>
  <c r="G6" i="11"/>
  <c r="AB27" i="9"/>
  <c r="V27" i="9" s="1"/>
  <c r="AY6" i="15" l="1"/>
  <c r="BA6" i="15" s="1"/>
  <c r="AX6" i="15"/>
  <c r="AT6" i="15"/>
  <c r="AP6" i="15"/>
  <c r="AS6" i="15" s="1"/>
  <c r="AH6" i="15"/>
  <c r="AE6" i="15"/>
  <c r="AE5" i="15" s="1"/>
  <c r="AA5" i="15"/>
  <c r="Y6" i="15"/>
  <c r="S6" i="15" s="1"/>
  <c r="S5" i="15" s="1"/>
  <c r="Q6" i="15"/>
  <c r="K5" i="15"/>
  <c r="F5" i="15"/>
  <c r="D5" i="15"/>
  <c r="AZ5" i="15"/>
  <c r="AY5" i="15"/>
  <c r="BA5" i="15" s="1"/>
  <c r="AW5" i="15"/>
  <c r="AV5" i="15"/>
  <c r="AT5" i="15"/>
  <c r="AQ5" i="15"/>
  <c r="AK5" i="15"/>
  <c r="AB5" i="15"/>
  <c r="V5" i="15"/>
  <c r="P5" i="15"/>
  <c r="O5" i="15"/>
  <c r="Q5" i="15" s="1"/>
  <c r="M5" i="15"/>
  <c r="J5" i="15"/>
  <c r="H5" i="15"/>
  <c r="E5" i="15"/>
  <c r="C5" i="15"/>
  <c r="N5" i="15" s="1"/>
  <c r="AX5" i="15" l="1"/>
  <c r="AN5" i="15"/>
  <c r="AC5" i="15"/>
  <c r="AH5" i="15"/>
  <c r="AF6" i="15"/>
  <c r="AP5" i="15"/>
  <c r="AR5" i="15" s="1"/>
  <c r="W6" i="15"/>
  <c r="U5" i="15"/>
  <c r="W5" i="15" s="1"/>
  <c r="AM5" i="15"/>
  <c r="AO5" i="15" s="1"/>
  <c r="AG6" i="15"/>
  <c r="AO6" i="15"/>
  <c r="AS5" i="15"/>
  <c r="AU5" i="15" s="1"/>
  <c r="AU6" i="15"/>
  <c r="AC6" i="15"/>
  <c r="AL6" i="15"/>
  <c r="AR6" i="15"/>
  <c r="Y5" i="15"/>
  <c r="I5" i="15"/>
  <c r="AJ5" i="15"/>
  <c r="AL5" i="15" s="1"/>
  <c r="AD5" i="15" l="1"/>
  <c r="AF5" i="15" s="1"/>
  <c r="AG5" i="15"/>
  <c r="AI5" i="15" s="1"/>
  <c r="AI6" i="15"/>
  <c r="Z6" i="15"/>
  <c r="X5" i="15"/>
  <c r="Z5" i="15" s="1"/>
  <c r="T6" i="15" l="1"/>
  <c r="R5" i="15"/>
  <c r="T5" i="15" s="1"/>
  <c r="R7" i="14" l="1"/>
  <c r="Z40" i="14"/>
  <c r="AB40" i="14" s="1"/>
  <c r="Z28" i="14"/>
  <c r="AB28" i="14" s="1"/>
  <c r="Z27" i="14"/>
  <c r="AB27" i="14" s="1"/>
  <c r="X7" i="14"/>
  <c r="V7" i="14"/>
  <c r="N7" i="14"/>
  <c r="P7" i="14" s="1"/>
  <c r="M7" i="14"/>
  <c r="Z7" i="14"/>
  <c r="AB7" i="14" s="1"/>
  <c r="AA5" i="14"/>
  <c r="Z6" i="14"/>
  <c r="AB6" i="14" s="1"/>
  <c r="X6" i="14"/>
  <c r="V6" i="14"/>
  <c r="O5" i="14"/>
  <c r="N6" i="14"/>
  <c r="Q6" i="14" s="1"/>
  <c r="M6" i="14"/>
  <c r="J6" i="14"/>
  <c r="U5" i="14"/>
  <c r="L5" i="14"/>
  <c r="K5" i="14"/>
  <c r="H5" i="14"/>
  <c r="G5" i="14"/>
  <c r="F5" i="14"/>
  <c r="E5" i="14"/>
  <c r="D5" i="14"/>
  <c r="C5" i="14"/>
  <c r="B1" i="14"/>
  <c r="X5" i="14" l="1"/>
  <c r="M5" i="14"/>
  <c r="N5" i="14"/>
  <c r="T5" i="14"/>
  <c r="V5" i="14" s="1"/>
  <c r="P5" i="14"/>
  <c r="J7" i="14"/>
  <c r="W7" i="14"/>
  <c r="Y7" i="14" s="1"/>
  <c r="I5" i="14"/>
  <c r="J5" i="14" s="1"/>
  <c r="Z5" i="14"/>
  <c r="AB5" i="14" s="1"/>
  <c r="Q7" i="14"/>
  <c r="S7" i="14" s="1"/>
  <c r="P6" i="14"/>
  <c r="W6" i="14"/>
  <c r="R6" i="14"/>
  <c r="R5" i="14" s="1"/>
  <c r="S6" i="14" l="1"/>
  <c r="Q5" i="14"/>
  <c r="S5" i="14" s="1"/>
  <c r="Y6" i="14"/>
  <c r="W5" i="14"/>
  <c r="Y5" i="14" s="1"/>
  <c r="I26" i="9" l="1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K37" i="9"/>
  <c r="AA37" i="9" s="1"/>
  <c r="K36" i="9"/>
  <c r="AA36" i="9" s="1"/>
  <c r="K35" i="9"/>
  <c r="K34" i="9"/>
  <c r="K33" i="9"/>
  <c r="K32" i="9"/>
  <c r="K31" i="9"/>
  <c r="K30" i="9"/>
  <c r="K29" i="9"/>
  <c r="K28" i="9"/>
  <c r="K27" i="9"/>
  <c r="AE9" i="6" l="1"/>
  <c r="K7" i="6"/>
  <c r="K6" i="6"/>
  <c r="I7" i="6" l="1"/>
  <c r="R7" i="6" s="1"/>
  <c r="I6" i="6"/>
  <c r="R6" i="6" s="1"/>
  <c r="I8" i="6"/>
  <c r="K9" i="6"/>
  <c r="K8" i="6"/>
  <c r="I9" i="6"/>
  <c r="R9" i="6" s="1"/>
  <c r="I37" i="9"/>
  <c r="R8" i="6" l="1"/>
  <c r="AB31" i="9"/>
  <c r="V31" i="9" s="1"/>
  <c r="AB33" i="9"/>
  <c r="V33" i="9" s="1"/>
  <c r="B6" i="12" l="1"/>
  <c r="I6" i="11" l="1"/>
  <c r="AA6" i="13" l="1"/>
  <c r="AA6" i="5" l="1"/>
  <c r="Z17" i="13" l="1"/>
  <c r="AB17" i="13" s="1"/>
  <c r="Z16" i="13"/>
  <c r="AB16" i="13" s="1"/>
  <c r="Z15" i="13"/>
  <c r="AB15" i="13" s="1"/>
  <c r="Z14" i="13"/>
  <c r="AB14" i="13" s="1"/>
  <c r="Z13" i="13"/>
  <c r="AB13" i="13" s="1"/>
  <c r="Z12" i="13"/>
  <c r="AB12" i="13" s="1"/>
  <c r="Z11" i="13"/>
  <c r="AB11" i="13" s="1"/>
  <c r="Z10" i="13"/>
  <c r="AB10" i="13" s="1"/>
  <c r="Z9" i="13"/>
  <c r="AB9" i="13" s="1"/>
  <c r="Z8" i="13"/>
  <c r="AB8" i="13" s="1"/>
  <c r="Z7" i="13"/>
  <c r="AB7" i="13" s="1"/>
  <c r="AA5" i="13"/>
  <c r="X6" i="13"/>
  <c r="T6" i="13"/>
  <c r="W6" i="13" s="1"/>
  <c r="R6" i="13"/>
  <c r="N6" i="13"/>
  <c r="N5" i="13" s="1"/>
  <c r="M6" i="13"/>
  <c r="I6" i="13"/>
  <c r="X5" i="13"/>
  <c r="U5" i="13"/>
  <c r="T5" i="13"/>
  <c r="V5" i="13" s="1"/>
  <c r="R5" i="13"/>
  <c r="O5" i="13"/>
  <c r="L5" i="13"/>
  <c r="K5" i="13"/>
  <c r="M5" i="13" s="1"/>
  <c r="H5" i="13"/>
  <c r="G5" i="13"/>
  <c r="F5" i="13"/>
  <c r="E5" i="13"/>
  <c r="D5" i="13"/>
  <c r="C5" i="13"/>
  <c r="B1" i="13"/>
  <c r="I5" i="13" l="1"/>
  <c r="Z6" i="13"/>
  <c r="Z5" i="13" s="1"/>
  <c r="P5" i="13"/>
  <c r="AB5" i="13"/>
  <c r="W5" i="13"/>
  <c r="Y5" i="13" s="1"/>
  <c r="Y6" i="13"/>
  <c r="J5" i="13"/>
  <c r="J6" i="13"/>
  <c r="AB6" i="13"/>
  <c r="V6" i="13"/>
  <c r="P6" i="13"/>
  <c r="Q6" i="13"/>
  <c r="S6" i="13" l="1"/>
  <c r="Q5" i="13"/>
  <c r="S5" i="13" s="1"/>
  <c r="AB32" i="9" l="1"/>
  <c r="V32" i="9" s="1"/>
  <c r="V8" i="6"/>
  <c r="AB13" i="3"/>
  <c r="T11" i="3"/>
  <c r="T12" i="3"/>
  <c r="W12" i="3" s="1"/>
  <c r="W13" i="3"/>
  <c r="Y13" i="3" s="1"/>
  <c r="M13" i="3"/>
  <c r="J13" i="3"/>
  <c r="N13" i="3"/>
  <c r="Q13" i="3" s="1"/>
  <c r="S13" i="3" s="1"/>
  <c r="I12" i="3"/>
  <c r="P13" i="3" l="1"/>
  <c r="V13" i="3"/>
  <c r="R10" i="3"/>
  <c r="R11" i="3"/>
  <c r="X10" i="3" l="1"/>
  <c r="W11" i="3"/>
  <c r="X11" i="3"/>
  <c r="Y11" i="3" l="1"/>
  <c r="Y12" i="3"/>
  <c r="Y37" i="9"/>
  <c r="AN36" i="9" l="1"/>
  <c r="AN37" i="9"/>
  <c r="AB7" i="6" l="1"/>
  <c r="AB6" i="6"/>
  <c r="V6" i="6" s="1"/>
  <c r="V7" i="6"/>
  <c r="Y6" i="6" l="1"/>
  <c r="U6" i="6"/>
  <c r="G6" i="5"/>
  <c r="F6" i="5"/>
  <c r="D6" i="5"/>
  <c r="C6" i="5"/>
  <c r="Z10" i="3" l="1"/>
  <c r="Z11" i="3"/>
  <c r="Z12" i="3"/>
  <c r="AB12" i="3" s="1"/>
  <c r="Z20" i="3"/>
  <c r="AB20" i="3" s="1"/>
  <c r="Z21" i="3"/>
  <c r="J12" i="3"/>
  <c r="V11" i="3"/>
  <c r="T10" i="3"/>
  <c r="W10" i="3" s="1"/>
  <c r="Y10" i="3" s="1"/>
  <c r="V12" i="3"/>
  <c r="N12" i="3"/>
  <c r="M10" i="3"/>
  <c r="M11" i="3"/>
  <c r="M12" i="3"/>
  <c r="P12" i="3" l="1"/>
  <c r="Q12" i="3"/>
  <c r="S12" i="3" s="1"/>
  <c r="V10" i="3"/>
  <c r="AB11" i="3"/>
  <c r="N11" i="3"/>
  <c r="J11" i="3"/>
  <c r="AB10" i="3"/>
  <c r="N10" i="3"/>
  <c r="Q10" i="3" s="1"/>
  <c r="S10" i="3" s="1"/>
  <c r="J10" i="3"/>
  <c r="P10" i="3" l="1"/>
  <c r="P11" i="3"/>
  <c r="Q11" i="3"/>
  <c r="S11" i="3" s="1"/>
  <c r="B5" i="12" l="1"/>
  <c r="Z12" i="5" l="1"/>
  <c r="AB12" i="5" s="1"/>
  <c r="Z11" i="5"/>
  <c r="AB11" i="5" s="1"/>
  <c r="Z10" i="5"/>
  <c r="AB10" i="5" s="1"/>
  <c r="Z9" i="5"/>
  <c r="AB9" i="5" s="1"/>
  <c r="Z8" i="5"/>
  <c r="AB8" i="5" s="1"/>
  <c r="Z7" i="5"/>
  <c r="AB7" i="5" s="1"/>
  <c r="AA5" i="5"/>
  <c r="Z6" i="5"/>
  <c r="AB6" i="5" s="1"/>
  <c r="Z5" i="5" l="1"/>
  <c r="AB5" i="5" s="1"/>
  <c r="G5" i="3" l="1"/>
  <c r="Z8" i="3"/>
  <c r="AB9" i="3" l="1"/>
  <c r="AB8" i="3"/>
  <c r="AB7" i="3"/>
  <c r="AB21" i="3" l="1"/>
  <c r="AA5" i="3"/>
  <c r="H4" i="12" l="1"/>
  <c r="G5" i="12"/>
  <c r="H5" i="12"/>
  <c r="H3" i="12"/>
  <c r="G3" i="12"/>
  <c r="C4" i="12"/>
  <c r="G4" i="12" s="1"/>
  <c r="AZ13" i="9" l="1"/>
  <c r="AZ14" i="9"/>
  <c r="AZ15" i="9"/>
  <c r="AZ16" i="9"/>
  <c r="AZ17" i="9"/>
  <c r="AZ18" i="9"/>
  <c r="AZ19" i="9"/>
  <c r="AZ20" i="9"/>
  <c r="AZ21" i="9"/>
  <c r="AZ22" i="9"/>
  <c r="AZ12" i="9"/>
  <c r="AJ8" i="6" l="1"/>
  <c r="AM8" i="6" s="1"/>
  <c r="AL9" i="6"/>
  <c r="N7" i="6"/>
  <c r="N8" i="6"/>
  <c r="N9" i="6"/>
  <c r="Q7" i="6"/>
  <c r="Q8" i="6"/>
  <c r="Q9" i="6"/>
  <c r="Y7" i="6"/>
  <c r="AA7" i="6"/>
  <c r="AC7" i="6" s="1"/>
  <c r="AE7" i="6"/>
  <c r="AL7" i="6"/>
  <c r="AN7" i="6"/>
  <c r="AP7" i="6"/>
  <c r="AR7" i="6" s="1"/>
  <c r="AT7" i="6"/>
  <c r="AX7" i="6"/>
  <c r="AY7" i="6"/>
  <c r="BA7" i="6" s="1"/>
  <c r="Y8" i="6"/>
  <c r="AA8" i="6"/>
  <c r="AC8" i="6" s="1"/>
  <c r="AE8" i="6"/>
  <c r="AL8" i="6"/>
  <c r="AN8" i="6"/>
  <c r="AP8" i="6"/>
  <c r="AS8" i="6" s="1"/>
  <c r="AT8" i="6"/>
  <c r="AY8" i="6"/>
  <c r="BA8" i="6" s="1"/>
  <c r="Y9" i="6"/>
  <c r="AA9" i="6"/>
  <c r="AC9" i="6" s="1"/>
  <c r="AN9" i="6"/>
  <c r="AH9" i="6" s="1"/>
  <c r="AR9" i="6"/>
  <c r="AY9" i="6"/>
  <c r="BA9" i="6" s="1"/>
  <c r="U7" i="6"/>
  <c r="W7" i="6" s="1"/>
  <c r="U8" i="6"/>
  <c r="W8" i="6" s="1"/>
  <c r="U9" i="6"/>
  <c r="W9" i="6" s="1"/>
  <c r="AD9" i="6" l="1"/>
  <c r="AF9" i="6" s="1"/>
  <c r="X8" i="6"/>
  <c r="S7" i="6"/>
  <c r="X9" i="6"/>
  <c r="S8" i="6"/>
  <c r="AS7" i="6"/>
  <c r="AU7" i="6" s="1"/>
  <c r="AD7" i="6"/>
  <c r="AF7" i="6" s="1"/>
  <c r="AO8" i="6"/>
  <c r="X7" i="6"/>
  <c r="AM7" i="6"/>
  <c r="AO7" i="6" s="1"/>
  <c r="AD8" i="6"/>
  <c r="AF8" i="6" s="1"/>
  <c r="AU8" i="6"/>
  <c r="AH7" i="6"/>
  <c r="AU9" i="6"/>
  <c r="AG8" i="6"/>
  <c r="AR8" i="6"/>
  <c r="AO9" i="6"/>
  <c r="Z8" i="6"/>
  <c r="Z9" i="6"/>
  <c r="Z7" i="6"/>
  <c r="AH8" i="6"/>
  <c r="S9" i="6"/>
  <c r="T8" i="6" l="1"/>
  <c r="T7" i="6"/>
  <c r="AI8" i="6"/>
  <c r="AG7" i="6"/>
  <c r="AI7" i="6" s="1"/>
  <c r="AG9" i="6"/>
  <c r="AI9" i="6" s="1"/>
  <c r="T9" i="6"/>
  <c r="F9" i="6" l="1"/>
  <c r="AV9" i="6" s="1"/>
  <c r="AX9" i="6" s="1"/>
  <c r="F8" i="6"/>
  <c r="AV8" i="6" s="1"/>
  <c r="AX8" i="6" s="1"/>
  <c r="F7" i="6"/>
  <c r="F6" i="6"/>
  <c r="D9" i="6"/>
  <c r="D8" i="6"/>
  <c r="D7" i="6"/>
  <c r="D6" i="6"/>
  <c r="H5" i="3" l="1"/>
  <c r="J5" i="6" l="1"/>
  <c r="AY47" i="6"/>
  <c r="BA47" i="6" s="1"/>
  <c r="AV47" i="6"/>
  <c r="AX47" i="6" s="1"/>
  <c r="AP47" i="6"/>
  <c r="AR47" i="6" s="1"/>
  <c r="AH47" i="6"/>
  <c r="AD47" i="6"/>
  <c r="AF47" i="6" s="1"/>
  <c r="AA47" i="6"/>
  <c r="AC47" i="6" s="1"/>
  <c r="X47" i="6"/>
  <c r="Z47" i="6" s="1"/>
  <c r="U47" i="6"/>
  <c r="W47" i="6" s="1"/>
  <c r="S47" i="6"/>
  <c r="R47" i="6"/>
  <c r="T47" i="6" s="1"/>
  <c r="K47" i="6"/>
  <c r="I47" i="6"/>
  <c r="AJ47" i="6" s="1"/>
  <c r="AM47" i="6" s="1"/>
  <c r="F47" i="6"/>
  <c r="G47" i="6" s="1"/>
  <c r="D47" i="6"/>
  <c r="AY46" i="6"/>
  <c r="BA46" i="6" s="1"/>
  <c r="AW46" i="6"/>
  <c r="AT46" i="6"/>
  <c r="AK46" i="6"/>
  <c r="AN46" i="6" s="1"/>
  <c r="AH46" i="6" s="1"/>
  <c r="AE46" i="6"/>
  <c r="V46" i="6"/>
  <c r="Y46" i="6" s="1"/>
  <c r="Q46" i="6"/>
  <c r="N46" i="6"/>
  <c r="K46" i="6"/>
  <c r="AA46" i="6" s="1"/>
  <c r="AC46" i="6" s="1"/>
  <c r="I46" i="6"/>
  <c r="AJ46" i="6" s="1"/>
  <c r="AM46" i="6" s="1"/>
  <c r="F46" i="6"/>
  <c r="G46" i="6" s="1"/>
  <c r="D46" i="6"/>
  <c r="V12" i="9"/>
  <c r="V11" i="9"/>
  <c r="V10" i="9"/>
  <c r="V9" i="9"/>
  <c r="V8" i="9"/>
  <c r="V7" i="9"/>
  <c r="V6" i="9"/>
  <c r="AB26" i="9"/>
  <c r="AB25" i="9"/>
  <c r="AB24" i="9"/>
  <c r="AB23" i="9"/>
  <c r="AB22" i="9"/>
  <c r="AB21" i="9"/>
  <c r="AB20" i="9"/>
  <c r="AB19" i="9"/>
  <c r="AB18" i="9"/>
  <c r="AB17" i="9"/>
  <c r="AB16" i="9"/>
  <c r="AB15" i="9"/>
  <c r="AB14" i="9"/>
  <c r="AB13" i="9"/>
  <c r="U46" i="6" l="1"/>
  <c r="W46" i="6" s="1"/>
  <c r="AD46" i="6"/>
  <c r="AF46" i="6" s="1"/>
  <c r="S46" i="6"/>
  <c r="X46" i="6"/>
  <c r="AO47" i="6"/>
  <c r="AO46" i="6"/>
  <c r="AV46" i="6"/>
  <c r="AX46" i="6" s="1"/>
  <c r="AS47" i="6"/>
  <c r="AU47" i="6" s="1"/>
  <c r="AL46" i="6"/>
  <c r="AP46" i="6"/>
  <c r="AL47" i="6"/>
  <c r="L5" i="11"/>
  <c r="AS46" i="6" l="1"/>
  <c r="AR46" i="6"/>
  <c r="AG47" i="6"/>
  <c r="AI47" i="6" s="1"/>
  <c r="Z46" i="6"/>
  <c r="R46" i="6"/>
  <c r="T46" i="6" s="1"/>
  <c r="AV6" i="6"/>
  <c r="AU46" i="6" l="1"/>
  <c r="AG46" i="6"/>
  <c r="AI46" i="6" s="1"/>
  <c r="AY37" i="9"/>
  <c r="BA37" i="9" s="1"/>
  <c r="AT37" i="9"/>
  <c r="AH37" i="9" s="1"/>
  <c r="AR37" i="9"/>
  <c r="AE37" i="9"/>
  <c r="S37" i="9" s="1"/>
  <c r="AC37" i="9"/>
  <c r="X37" i="9"/>
  <c r="Z37" i="9" s="1"/>
  <c r="U37" i="9"/>
  <c r="W37" i="9" s="1"/>
  <c r="Q37" i="9"/>
  <c r="N37" i="9"/>
  <c r="F37" i="9"/>
  <c r="G37" i="9" s="1"/>
  <c r="AV37" i="9" l="1"/>
  <c r="AX37" i="9" s="1"/>
  <c r="AL37" i="9"/>
  <c r="AD37" i="9"/>
  <c r="AF37" i="9" s="1"/>
  <c r="AO37" i="9"/>
  <c r="AY6" i="6"/>
  <c r="BA6" i="6" s="1"/>
  <c r="AX6" i="6"/>
  <c r="AT6" i="6"/>
  <c r="AP6" i="6"/>
  <c r="AS6" i="6" s="1"/>
  <c r="AN6" i="6"/>
  <c r="AJ6" i="6"/>
  <c r="AM6" i="6" s="1"/>
  <c r="AE6" i="6"/>
  <c r="AA6" i="6"/>
  <c r="W6" i="6"/>
  <c r="Q6" i="6"/>
  <c r="N6" i="6"/>
  <c r="AP6" i="11"/>
  <c r="AU37" i="9" l="1"/>
  <c r="AG37" i="9"/>
  <c r="AI37" i="9" s="1"/>
  <c r="AU6" i="6"/>
  <c r="AD6" i="6"/>
  <c r="AH6" i="6"/>
  <c r="R37" i="9"/>
  <c r="T37" i="9" s="1"/>
  <c r="S6" i="6"/>
  <c r="AO6" i="6"/>
  <c r="AG6" i="6"/>
  <c r="AI6" i="6" s="1"/>
  <c r="AL6" i="6"/>
  <c r="AR6" i="6"/>
  <c r="AC6" i="6"/>
  <c r="AF6" i="6" l="1"/>
  <c r="X6" i="6"/>
  <c r="Z6" i="6" s="1"/>
  <c r="T6" i="6" l="1"/>
  <c r="V26" i="9" l="1"/>
  <c r="V25" i="9"/>
  <c r="V24" i="9"/>
  <c r="V23" i="9"/>
  <c r="V22" i="9"/>
  <c r="V21" i="9"/>
  <c r="V20" i="9"/>
  <c r="V19" i="9"/>
  <c r="V18" i="9"/>
  <c r="V17" i="9"/>
  <c r="V16" i="9"/>
  <c r="V15" i="9"/>
  <c r="V14" i="9"/>
  <c r="V13" i="9"/>
  <c r="AP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32" i="9"/>
  <c r="AP33" i="9"/>
  <c r="AP34" i="9"/>
  <c r="AP35" i="9"/>
  <c r="AP31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19" i="9"/>
  <c r="AT20" i="9"/>
  <c r="AT21" i="9"/>
  <c r="AT22" i="9"/>
  <c r="AT23" i="9"/>
  <c r="AT24" i="9"/>
  <c r="AT25" i="9"/>
  <c r="AT26" i="9"/>
  <c r="AT27" i="9"/>
  <c r="AT28" i="9"/>
  <c r="AT29" i="9"/>
  <c r="AT30" i="9"/>
  <c r="AT32" i="9"/>
  <c r="AT33" i="9"/>
  <c r="AT34" i="9"/>
  <c r="AT35" i="9"/>
  <c r="AT36" i="9"/>
  <c r="AH36" i="9" s="1"/>
  <c r="AT31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6" i="9"/>
  <c r="F36" i="9" l="1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AY6" i="11" l="1"/>
  <c r="BA6" i="11" s="1"/>
  <c r="AS6" i="11"/>
  <c r="AN6" i="11"/>
  <c r="AN5" i="11" s="1"/>
  <c r="AD6" i="11"/>
  <c r="AD5" i="11" s="1"/>
  <c r="AA6" i="11"/>
  <c r="AA5" i="11" s="1"/>
  <c r="Y5" i="11"/>
  <c r="Q6" i="11"/>
  <c r="N6" i="11"/>
  <c r="K5" i="11"/>
  <c r="I5" i="11"/>
  <c r="D5" i="11"/>
  <c r="AZ5" i="11"/>
  <c r="AY5" i="11"/>
  <c r="BA5" i="11" s="1"/>
  <c r="AW5" i="11"/>
  <c r="AT5" i="11"/>
  <c r="AQ5" i="11"/>
  <c r="AP5" i="11"/>
  <c r="AR5" i="11" s="1"/>
  <c r="AK5" i="11"/>
  <c r="AE5" i="11"/>
  <c r="AB5" i="11"/>
  <c r="V5" i="11"/>
  <c r="P5" i="11"/>
  <c r="O5" i="11"/>
  <c r="M5" i="11"/>
  <c r="J5" i="11"/>
  <c r="H5" i="11"/>
  <c r="E5" i="11"/>
  <c r="C5" i="11"/>
  <c r="B1" i="11"/>
  <c r="AH6" i="11" l="1"/>
  <c r="AH5" i="11" s="1"/>
  <c r="S5" i="11"/>
  <c r="AC5" i="11"/>
  <c r="N5" i="11"/>
  <c r="AC6" i="11"/>
  <c r="AF6" i="11"/>
  <c r="AF5" i="11"/>
  <c r="AJ5" i="11"/>
  <c r="AL5" i="11" s="1"/>
  <c r="Q5" i="11"/>
  <c r="AX6" i="11"/>
  <c r="AV5" i="11"/>
  <c r="AX5" i="11" s="1"/>
  <c r="AS5" i="11"/>
  <c r="AU5" i="11" s="1"/>
  <c r="AU6" i="11"/>
  <c r="AL6" i="11"/>
  <c r="AM6" i="11"/>
  <c r="F5" i="11"/>
  <c r="BF5" i="11" s="1"/>
  <c r="U6" i="11"/>
  <c r="AR6" i="11"/>
  <c r="X6" i="11"/>
  <c r="AM5" i="11" l="1"/>
  <c r="AO5" i="11" s="1"/>
  <c r="AG6" i="11"/>
  <c r="AO6" i="11"/>
  <c r="W6" i="11"/>
  <c r="U5" i="11"/>
  <c r="W5" i="11" s="1"/>
  <c r="R6" i="11"/>
  <c r="X5" i="11"/>
  <c r="Z5" i="11" s="1"/>
  <c r="Z6" i="11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AN32" i="9"/>
  <c r="AN33" i="9"/>
  <c r="AN34" i="9"/>
  <c r="AN35" i="9"/>
  <c r="AN31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AY6" i="9" s="1"/>
  <c r="T6" i="11" l="1"/>
  <c r="R5" i="11"/>
  <c r="T5" i="11" s="1"/>
  <c r="AG5" i="11"/>
  <c r="AI5" i="11" s="1"/>
  <c r="AI6" i="11"/>
  <c r="X6" i="5" l="1"/>
  <c r="X6" i="3"/>
  <c r="X7" i="3"/>
  <c r="X8" i="3"/>
  <c r="X9" i="3"/>
  <c r="N6" i="3"/>
  <c r="Q7" i="3"/>
  <c r="N8" i="3"/>
  <c r="Q8" i="3" s="1"/>
  <c r="N9" i="3"/>
  <c r="Q9" i="3" s="1"/>
  <c r="R6" i="3"/>
  <c r="R7" i="3"/>
  <c r="R8" i="3"/>
  <c r="R9" i="3"/>
  <c r="T6" i="3"/>
  <c r="W6" i="3" s="1"/>
  <c r="V7" i="3"/>
  <c r="T8" i="3"/>
  <c r="W8" i="3" s="1"/>
  <c r="W9" i="3"/>
  <c r="P7" i="3" l="1"/>
  <c r="P8" i="3"/>
  <c r="Y8" i="3"/>
  <c r="S9" i="3"/>
  <c r="S8" i="3"/>
  <c r="S7" i="3"/>
  <c r="V8" i="3"/>
  <c r="W7" i="3"/>
  <c r="Y7" i="3" s="1"/>
  <c r="H5" i="5" l="1"/>
  <c r="T6" i="5" l="1"/>
  <c r="W6" i="5" s="1"/>
  <c r="Y6" i="5" s="1"/>
  <c r="R6" i="5"/>
  <c r="N6" i="5"/>
  <c r="P6" i="5" s="1"/>
  <c r="M6" i="5"/>
  <c r="J6" i="5"/>
  <c r="Q6" i="5" l="1"/>
  <c r="S6" i="5" s="1"/>
  <c r="V6" i="5"/>
  <c r="AY10" i="9" l="1"/>
  <c r="AY36" i="9" l="1"/>
  <c r="BA36" i="9" s="1"/>
  <c r="AV36" i="9"/>
  <c r="AX36" i="9" s="1"/>
  <c r="AC36" i="9"/>
  <c r="X36" i="9"/>
  <c r="U36" i="9"/>
  <c r="W36" i="9" s="1"/>
  <c r="S36" i="9"/>
  <c r="Q36" i="9"/>
  <c r="N36" i="9"/>
  <c r="AY35" i="9"/>
  <c r="BA35" i="9" s="1"/>
  <c r="AV35" i="9"/>
  <c r="AX35" i="9" s="1"/>
  <c r="AS35" i="9"/>
  <c r="AU35" i="9" s="1"/>
  <c r="AJ35" i="9"/>
  <c r="AM35" i="9" s="1"/>
  <c r="AH35" i="9"/>
  <c r="AA35" i="9"/>
  <c r="AC35" i="9" s="1"/>
  <c r="X35" i="9"/>
  <c r="U35" i="9"/>
  <c r="W35" i="9" s="1"/>
  <c r="S35" i="9"/>
  <c r="Q35" i="9"/>
  <c r="N35" i="9"/>
  <c r="AY34" i="9"/>
  <c r="BA34" i="9" s="1"/>
  <c r="AV34" i="9"/>
  <c r="AX34" i="9" s="1"/>
  <c r="AR34" i="9"/>
  <c r="AS34" i="9"/>
  <c r="AU34" i="9" s="1"/>
  <c r="AJ34" i="9"/>
  <c r="AM34" i="9" s="1"/>
  <c r="AH34" i="9"/>
  <c r="AA34" i="9"/>
  <c r="AC34" i="9" s="1"/>
  <c r="X34" i="9"/>
  <c r="Z34" i="9" s="1"/>
  <c r="U34" i="9"/>
  <c r="W34" i="9" s="1"/>
  <c r="S34" i="9"/>
  <c r="Q34" i="9"/>
  <c r="N34" i="9"/>
  <c r="AY33" i="9"/>
  <c r="BA33" i="9" s="1"/>
  <c r="AV33" i="9"/>
  <c r="AX33" i="9" s="1"/>
  <c r="AS33" i="9"/>
  <c r="AU33" i="9" s="1"/>
  <c r="AJ33" i="9"/>
  <c r="AM33" i="9" s="1"/>
  <c r="AG33" i="9" s="1"/>
  <c r="AH33" i="9"/>
  <c r="AA33" i="9"/>
  <c r="AC33" i="9" s="1"/>
  <c r="X33" i="9"/>
  <c r="Z33" i="9" s="1"/>
  <c r="U33" i="9"/>
  <c r="W33" i="9" s="1"/>
  <c r="S33" i="9"/>
  <c r="Q33" i="9"/>
  <c r="N33" i="9"/>
  <c r="AY32" i="9"/>
  <c r="BA32" i="9" s="1"/>
  <c r="AV32" i="9"/>
  <c r="AX32" i="9" s="1"/>
  <c r="AS32" i="9"/>
  <c r="AU32" i="9" s="1"/>
  <c r="AJ32" i="9"/>
  <c r="AL32" i="9" s="1"/>
  <c r="AH32" i="9"/>
  <c r="AA32" i="9"/>
  <c r="AC32" i="9" s="1"/>
  <c r="X32" i="9"/>
  <c r="Z32" i="9" s="1"/>
  <c r="U32" i="9"/>
  <c r="W32" i="9" s="1"/>
  <c r="S32" i="9"/>
  <c r="Q32" i="9"/>
  <c r="N32" i="9"/>
  <c r="AY31" i="9"/>
  <c r="BA31" i="9" s="1"/>
  <c r="AV31" i="9"/>
  <c r="AX31" i="9" s="1"/>
  <c r="AS31" i="9"/>
  <c r="AU31" i="9" s="1"/>
  <c r="AJ31" i="9"/>
  <c r="AM31" i="9" s="1"/>
  <c r="AH31" i="9"/>
  <c r="AA31" i="9"/>
  <c r="AC31" i="9" s="1"/>
  <c r="X31" i="9"/>
  <c r="Z31" i="9" s="1"/>
  <c r="U31" i="9"/>
  <c r="W31" i="9" s="1"/>
  <c r="S31" i="9"/>
  <c r="Q31" i="9"/>
  <c r="N31" i="9"/>
  <c r="AY30" i="9"/>
  <c r="BA30" i="9" s="1"/>
  <c r="AV30" i="9"/>
  <c r="AX30" i="9" s="1"/>
  <c r="AS30" i="9"/>
  <c r="AU30" i="9" s="1"/>
  <c r="AJ30" i="9"/>
  <c r="AM30" i="9" s="1"/>
  <c r="AH30" i="9"/>
  <c r="AA30" i="9"/>
  <c r="AC30" i="9" s="1"/>
  <c r="X30" i="9"/>
  <c r="Z30" i="9" s="1"/>
  <c r="U30" i="9"/>
  <c r="W30" i="9" s="1"/>
  <c r="S30" i="9"/>
  <c r="Q30" i="9"/>
  <c r="N30" i="9"/>
  <c r="AY29" i="9"/>
  <c r="BA29" i="9" s="1"/>
  <c r="AV29" i="9"/>
  <c r="AX29" i="9" s="1"/>
  <c r="AS29" i="9"/>
  <c r="AU29" i="9" s="1"/>
  <c r="AJ29" i="9"/>
  <c r="AL29" i="9" s="1"/>
  <c r="AH29" i="9"/>
  <c r="AA29" i="9"/>
  <c r="AC29" i="9" s="1"/>
  <c r="X29" i="9"/>
  <c r="Z29" i="9" s="1"/>
  <c r="U29" i="9"/>
  <c r="W29" i="9" s="1"/>
  <c r="S29" i="9"/>
  <c r="Q29" i="9"/>
  <c r="N29" i="9"/>
  <c r="AY28" i="9"/>
  <c r="BA28" i="9" s="1"/>
  <c r="AV28" i="9"/>
  <c r="AX28" i="9" s="1"/>
  <c r="AR28" i="9"/>
  <c r="AS28" i="9"/>
  <c r="AJ28" i="9"/>
  <c r="AM28" i="9" s="1"/>
  <c r="AH28" i="9"/>
  <c r="AA28" i="9"/>
  <c r="AC28" i="9" s="1"/>
  <c r="X28" i="9"/>
  <c r="Z28" i="9" s="1"/>
  <c r="U28" i="9"/>
  <c r="S28" i="9"/>
  <c r="Q28" i="9"/>
  <c r="N28" i="9"/>
  <c r="AY27" i="9"/>
  <c r="BA27" i="9" s="1"/>
  <c r="AV27" i="9"/>
  <c r="AX27" i="9" s="1"/>
  <c r="AR27" i="9"/>
  <c r="AJ27" i="9"/>
  <c r="AM27" i="9" s="1"/>
  <c r="AH27" i="9"/>
  <c r="AA27" i="9"/>
  <c r="AC27" i="9" s="1"/>
  <c r="X27" i="9"/>
  <c r="Z27" i="9" s="1"/>
  <c r="U27" i="9"/>
  <c r="W27" i="9" s="1"/>
  <c r="S27" i="9"/>
  <c r="Q27" i="9"/>
  <c r="N27" i="9"/>
  <c r="AY26" i="9"/>
  <c r="BA26" i="9" s="1"/>
  <c r="AV26" i="9"/>
  <c r="AX26" i="9" s="1"/>
  <c r="AS26" i="9"/>
  <c r="AU26" i="9" s="1"/>
  <c r="AJ26" i="9"/>
  <c r="AM26" i="9" s="1"/>
  <c r="AH26" i="9"/>
  <c r="AA26" i="9"/>
  <c r="AC26" i="9" s="1"/>
  <c r="X26" i="9"/>
  <c r="Z26" i="9" s="1"/>
  <c r="U26" i="9"/>
  <c r="W26" i="9" s="1"/>
  <c r="S26" i="9"/>
  <c r="Q26" i="9"/>
  <c r="N26" i="9"/>
  <c r="AY25" i="9"/>
  <c r="BA25" i="9" s="1"/>
  <c r="AV25" i="9"/>
  <c r="AX25" i="9" s="1"/>
  <c r="AS25" i="9"/>
  <c r="AU25" i="9" s="1"/>
  <c r="AJ25" i="9"/>
  <c r="AM25" i="9" s="1"/>
  <c r="AH25" i="9"/>
  <c r="AD25" i="9"/>
  <c r="AF25" i="9" s="1"/>
  <c r="AA25" i="9"/>
  <c r="AC25" i="9" s="1"/>
  <c r="X25" i="9"/>
  <c r="Z25" i="9" s="1"/>
  <c r="U25" i="9"/>
  <c r="W25" i="9" s="1"/>
  <c r="S25" i="9"/>
  <c r="Q25" i="9"/>
  <c r="N25" i="9"/>
  <c r="AY24" i="9"/>
  <c r="BA24" i="9" s="1"/>
  <c r="AV24" i="9"/>
  <c r="AX24" i="9" s="1"/>
  <c r="AS24" i="9"/>
  <c r="AU24" i="9" s="1"/>
  <c r="AJ24" i="9"/>
  <c r="AM24" i="9" s="1"/>
  <c r="AH24" i="9"/>
  <c r="AA24" i="9"/>
  <c r="AC24" i="9" s="1"/>
  <c r="X24" i="9"/>
  <c r="Z24" i="9" s="1"/>
  <c r="U24" i="9"/>
  <c r="W24" i="9" s="1"/>
  <c r="S24" i="9"/>
  <c r="Q24" i="9"/>
  <c r="N24" i="9"/>
  <c r="AY23" i="9"/>
  <c r="BA23" i="9" s="1"/>
  <c r="AV23" i="9"/>
  <c r="AX23" i="9" s="1"/>
  <c r="AS23" i="9"/>
  <c r="AU23" i="9" s="1"/>
  <c r="AJ23" i="9"/>
  <c r="AM23" i="9" s="1"/>
  <c r="AH23" i="9"/>
  <c r="AD23" i="9"/>
  <c r="AF23" i="9" s="1"/>
  <c r="AA23" i="9"/>
  <c r="AC23" i="9" s="1"/>
  <c r="X23" i="9"/>
  <c r="U23" i="9"/>
  <c r="W23" i="9" s="1"/>
  <c r="S23" i="9"/>
  <c r="Q23" i="9"/>
  <c r="N23" i="9"/>
  <c r="AY22" i="9"/>
  <c r="BA22" i="9" s="1"/>
  <c r="AV22" i="9"/>
  <c r="AX22" i="9" s="1"/>
  <c r="AS22" i="9"/>
  <c r="AU22" i="9" s="1"/>
  <c r="AJ22" i="9"/>
  <c r="AM22" i="9" s="1"/>
  <c r="AH22" i="9"/>
  <c r="AA22" i="9"/>
  <c r="AC22" i="9" s="1"/>
  <c r="X22" i="9"/>
  <c r="U22" i="9"/>
  <c r="W22" i="9" s="1"/>
  <c r="S22" i="9"/>
  <c r="Q22" i="9"/>
  <c r="N22" i="9"/>
  <c r="AY21" i="9"/>
  <c r="BA21" i="9" s="1"/>
  <c r="AV21" i="9"/>
  <c r="AX21" i="9" s="1"/>
  <c r="AS21" i="9"/>
  <c r="AU21" i="9" s="1"/>
  <c r="AJ21" i="9"/>
  <c r="AM21" i="9" s="1"/>
  <c r="AH21" i="9"/>
  <c r="AA21" i="9"/>
  <c r="AC21" i="9" s="1"/>
  <c r="X21" i="9"/>
  <c r="Z21" i="9" s="1"/>
  <c r="U21" i="9"/>
  <c r="W21" i="9" s="1"/>
  <c r="S21" i="9"/>
  <c r="Q21" i="9"/>
  <c r="N21" i="9"/>
  <c r="AY20" i="9"/>
  <c r="BA20" i="9" s="1"/>
  <c r="AV20" i="9"/>
  <c r="AX20" i="9" s="1"/>
  <c r="AR20" i="9"/>
  <c r="AS20" i="9"/>
  <c r="AU20" i="9" s="1"/>
  <c r="AJ20" i="9"/>
  <c r="AL20" i="9" s="1"/>
  <c r="AH20" i="9"/>
  <c r="AA20" i="9"/>
  <c r="AC20" i="9" s="1"/>
  <c r="X20" i="9"/>
  <c r="Z20" i="9" s="1"/>
  <c r="U20" i="9"/>
  <c r="W20" i="9" s="1"/>
  <c r="S20" i="9"/>
  <c r="Q20" i="9"/>
  <c r="N20" i="9"/>
  <c r="AY19" i="9"/>
  <c r="BA19" i="9" s="1"/>
  <c r="AV19" i="9"/>
  <c r="AX19" i="9" s="1"/>
  <c r="AR19" i="9"/>
  <c r="AS19" i="9"/>
  <c r="AJ19" i="9"/>
  <c r="AM19" i="9" s="1"/>
  <c r="AO19" i="9" s="1"/>
  <c r="AH19" i="9"/>
  <c r="AA19" i="9"/>
  <c r="AC19" i="9" s="1"/>
  <c r="X19" i="9"/>
  <c r="Z19" i="9" s="1"/>
  <c r="U19" i="9"/>
  <c r="W19" i="9" s="1"/>
  <c r="S19" i="9"/>
  <c r="Q19" i="9"/>
  <c r="N19" i="9"/>
  <c r="AY18" i="9"/>
  <c r="BA18" i="9" s="1"/>
  <c r="AV18" i="9"/>
  <c r="AX18" i="9" s="1"/>
  <c r="AR18" i="9"/>
  <c r="AJ18" i="9"/>
  <c r="AM18" i="9" s="1"/>
  <c r="AH18" i="9"/>
  <c r="AA18" i="9"/>
  <c r="AC18" i="9" s="1"/>
  <c r="X18" i="9"/>
  <c r="Z18" i="9" s="1"/>
  <c r="U18" i="9"/>
  <c r="W18" i="9" s="1"/>
  <c r="S18" i="9"/>
  <c r="Q18" i="9"/>
  <c r="N18" i="9"/>
  <c r="AY17" i="9"/>
  <c r="BA17" i="9" s="1"/>
  <c r="AV17" i="9"/>
  <c r="AX17" i="9" s="1"/>
  <c r="AS17" i="9"/>
  <c r="AU17" i="9" s="1"/>
  <c r="AJ17" i="9"/>
  <c r="AM17" i="9" s="1"/>
  <c r="AH17" i="9"/>
  <c r="AA17" i="9"/>
  <c r="AC17" i="9" s="1"/>
  <c r="X17" i="9"/>
  <c r="Z17" i="9" s="1"/>
  <c r="U17" i="9"/>
  <c r="W17" i="9" s="1"/>
  <c r="S17" i="9"/>
  <c r="Q17" i="9"/>
  <c r="N17" i="9"/>
  <c r="AY16" i="9"/>
  <c r="BA16" i="9" s="1"/>
  <c r="AV16" i="9"/>
  <c r="AX16" i="9" s="1"/>
  <c r="AS16" i="9"/>
  <c r="AU16" i="9" s="1"/>
  <c r="AJ16" i="9"/>
  <c r="AL16" i="9" s="1"/>
  <c r="AH16" i="9"/>
  <c r="AA16" i="9"/>
  <c r="AC16" i="9" s="1"/>
  <c r="X16" i="9"/>
  <c r="Z16" i="9" s="1"/>
  <c r="U16" i="9"/>
  <c r="W16" i="9" s="1"/>
  <c r="S16" i="9"/>
  <c r="Q16" i="9"/>
  <c r="N16" i="9"/>
  <c r="AY15" i="9"/>
  <c r="BA15" i="9" s="1"/>
  <c r="AV15" i="9"/>
  <c r="AX15" i="9" s="1"/>
  <c r="AS15" i="9"/>
  <c r="AU15" i="9" s="1"/>
  <c r="AJ15" i="9"/>
  <c r="AM15" i="9" s="1"/>
  <c r="AH15" i="9"/>
  <c r="AA15" i="9"/>
  <c r="AD15" i="9" s="1"/>
  <c r="AF15" i="9" s="1"/>
  <c r="X15" i="9"/>
  <c r="Z15" i="9" s="1"/>
  <c r="U15" i="9"/>
  <c r="W15" i="9" s="1"/>
  <c r="S15" i="9"/>
  <c r="Q15" i="9"/>
  <c r="N15" i="9"/>
  <c r="AY14" i="9"/>
  <c r="BA14" i="9" s="1"/>
  <c r="AV14" i="9"/>
  <c r="AX14" i="9" s="1"/>
  <c r="AR14" i="9"/>
  <c r="AJ14" i="9"/>
  <c r="AM14" i="9" s="1"/>
  <c r="AH14" i="9"/>
  <c r="AA14" i="9"/>
  <c r="AC14" i="9" s="1"/>
  <c r="X14" i="9"/>
  <c r="Z14" i="9" s="1"/>
  <c r="U14" i="9"/>
  <c r="W14" i="9" s="1"/>
  <c r="S14" i="9"/>
  <c r="Q14" i="9"/>
  <c r="N14" i="9"/>
  <c r="AY13" i="9"/>
  <c r="BA13" i="9" s="1"/>
  <c r="AV13" i="9"/>
  <c r="AX13" i="9" s="1"/>
  <c r="AS13" i="9"/>
  <c r="AU13" i="9" s="1"/>
  <c r="AJ13" i="9"/>
  <c r="AM13" i="9" s="1"/>
  <c r="AH13" i="9"/>
  <c r="AA13" i="9"/>
  <c r="AC13" i="9" s="1"/>
  <c r="X13" i="9"/>
  <c r="Z13" i="9" s="1"/>
  <c r="U13" i="9"/>
  <c r="W13" i="9" s="1"/>
  <c r="S13" i="9"/>
  <c r="Q13" i="9"/>
  <c r="N13" i="9"/>
  <c r="AY12" i="9"/>
  <c r="BA12" i="9" s="1"/>
  <c r="AV12" i="9"/>
  <c r="AX12" i="9" s="1"/>
  <c r="AS12" i="9"/>
  <c r="AU12" i="9" s="1"/>
  <c r="AJ12" i="9"/>
  <c r="AM12" i="9" s="1"/>
  <c r="AH12" i="9"/>
  <c r="AD12" i="9"/>
  <c r="AF12" i="9" s="1"/>
  <c r="AA12" i="9"/>
  <c r="AC12" i="9" s="1"/>
  <c r="X12" i="9"/>
  <c r="Z12" i="9" s="1"/>
  <c r="U12" i="9"/>
  <c r="W12" i="9" s="1"/>
  <c r="S12" i="9"/>
  <c r="Q12" i="9"/>
  <c r="N12" i="9"/>
  <c r="AY11" i="9"/>
  <c r="BA11" i="9" s="1"/>
  <c r="AV11" i="9"/>
  <c r="AX11" i="9" s="1"/>
  <c r="AS11" i="9"/>
  <c r="AJ11" i="9"/>
  <c r="AL11" i="9" s="1"/>
  <c r="AH11" i="9"/>
  <c r="AD11" i="9"/>
  <c r="AF11" i="9" s="1"/>
  <c r="AA11" i="9"/>
  <c r="AC11" i="9" s="1"/>
  <c r="X11" i="9"/>
  <c r="Z11" i="9" s="1"/>
  <c r="U11" i="9"/>
  <c r="W11" i="9" s="1"/>
  <c r="S11" i="9"/>
  <c r="Q11" i="9"/>
  <c r="N11" i="9"/>
  <c r="BA10" i="9"/>
  <c r="AV10" i="9"/>
  <c r="AX10" i="9" s="1"/>
  <c r="AS10" i="9"/>
  <c r="AU10" i="9" s="1"/>
  <c r="AJ10" i="9"/>
  <c r="AM10" i="9" s="1"/>
  <c r="AH10" i="9"/>
  <c r="AA10" i="9"/>
  <c r="AD10" i="9" s="1"/>
  <c r="AF10" i="9" s="1"/>
  <c r="X10" i="9"/>
  <c r="U10" i="9"/>
  <c r="S10" i="9"/>
  <c r="Q10" i="9"/>
  <c r="N10" i="9"/>
  <c r="AY9" i="9"/>
  <c r="BA9" i="9" s="1"/>
  <c r="AV9" i="9"/>
  <c r="AX9" i="9" s="1"/>
  <c r="AS9" i="9"/>
  <c r="AU9" i="9" s="1"/>
  <c r="AR9" i="9"/>
  <c r="AJ9" i="9"/>
  <c r="AM9" i="9" s="1"/>
  <c r="AH9" i="9"/>
  <c r="AD9" i="9"/>
  <c r="AF9" i="9" s="1"/>
  <c r="AA9" i="9"/>
  <c r="AC9" i="9" s="1"/>
  <c r="X9" i="9"/>
  <c r="U9" i="9"/>
  <c r="W9" i="9" s="1"/>
  <c r="S9" i="9"/>
  <c r="Q9" i="9"/>
  <c r="N9" i="9"/>
  <c r="AY8" i="9"/>
  <c r="BA8" i="9" s="1"/>
  <c r="AV8" i="9"/>
  <c r="AX8" i="9" s="1"/>
  <c r="AS8" i="9"/>
  <c r="AU8" i="9" s="1"/>
  <c r="AJ8" i="9"/>
  <c r="AM8" i="9" s="1"/>
  <c r="AH8" i="9"/>
  <c r="AD8" i="9"/>
  <c r="AA8" i="9"/>
  <c r="X8" i="9"/>
  <c r="Z8" i="9" s="1"/>
  <c r="U8" i="9"/>
  <c r="W8" i="9" s="1"/>
  <c r="S8" i="9"/>
  <c r="Q8" i="9"/>
  <c r="N8" i="9"/>
  <c r="AY7" i="9"/>
  <c r="BA7" i="9" s="1"/>
  <c r="AV7" i="9"/>
  <c r="AX7" i="9" s="1"/>
  <c r="AS7" i="9"/>
  <c r="AU7" i="9" s="1"/>
  <c r="AJ7" i="9"/>
  <c r="AL7" i="9" s="1"/>
  <c r="AH7" i="9"/>
  <c r="AD7" i="9"/>
  <c r="AA7" i="9"/>
  <c r="AC7" i="9" s="1"/>
  <c r="X7" i="9"/>
  <c r="Z7" i="9" s="1"/>
  <c r="U7" i="9"/>
  <c r="W7" i="9" s="1"/>
  <c r="S7" i="9"/>
  <c r="Q7" i="9"/>
  <c r="N7" i="9"/>
  <c r="BA6" i="9"/>
  <c r="AV6" i="9"/>
  <c r="AX6" i="9" s="1"/>
  <c r="AS6" i="9"/>
  <c r="AJ6" i="9"/>
  <c r="AH6" i="9"/>
  <c r="AD6" i="9"/>
  <c r="AF6" i="9" s="1"/>
  <c r="AA6" i="9"/>
  <c r="AC6" i="9" s="1"/>
  <c r="X6" i="9"/>
  <c r="Z6" i="9" s="1"/>
  <c r="U6" i="9"/>
  <c r="W6" i="9" s="1"/>
  <c r="S6" i="9"/>
  <c r="Q6" i="9"/>
  <c r="N6" i="9"/>
  <c r="AZ5" i="9"/>
  <c r="AW5" i="9"/>
  <c r="AT5" i="9"/>
  <c r="AQ5" i="9"/>
  <c r="AN5" i="9"/>
  <c r="AK5" i="9"/>
  <c r="AE5" i="9"/>
  <c r="AB5" i="9"/>
  <c r="Y5" i="9"/>
  <c r="V5" i="9"/>
  <c r="P5" i="9"/>
  <c r="O5" i="9"/>
  <c r="M5" i="9"/>
  <c r="K5" i="9"/>
  <c r="J5" i="9"/>
  <c r="I5" i="9"/>
  <c r="H5" i="9"/>
  <c r="F5" i="9"/>
  <c r="E5" i="9"/>
  <c r="D5" i="9"/>
  <c r="C5" i="9"/>
  <c r="B1" i="9"/>
  <c r="AG35" i="9" l="1"/>
  <c r="AU28" i="9"/>
  <c r="AG28" i="9"/>
  <c r="AU36" i="9"/>
  <c r="AG36" i="9"/>
  <c r="AD34" i="9"/>
  <c r="AD35" i="9"/>
  <c r="AF35" i="9" s="1"/>
  <c r="R9" i="9"/>
  <c r="W28" i="9"/>
  <c r="N5" i="9"/>
  <c r="AM29" i="9"/>
  <c r="AG29" i="9" s="1"/>
  <c r="AI29" i="9" s="1"/>
  <c r="AD17" i="9"/>
  <c r="AF17" i="9" s="1"/>
  <c r="AD21" i="9"/>
  <c r="R21" i="9" s="1"/>
  <c r="T21" i="9" s="1"/>
  <c r="AD36" i="9"/>
  <c r="AF36" i="9" s="1"/>
  <c r="AD28" i="9"/>
  <c r="AF28" i="9" s="1"/>
  <c r="AD32" i="9"/>
  <c r="AD26" i="9"/>
  <c r="AF26" i="9" s="1"/>
  <c r="AD30" i="9"/>
  <c r="AD19" i="9"/>
  <c r="AF19" i="9" s="1"/>
  <c r="AD24" i="9"/>
  <c r="AF24" i="9" s="1"/>
  <c r="AL19" i="9"/>
  <c r="T9" i="9"/>
  <c r="AD18" i="9"/>
  <c r="AD20" i="9"/>
  <c r="R20" i="9" s="1"/>
  <c r="T20" i="9" s="1"/>
  <c r="AD22" i="9"/>
  <c r="AF22" i="9" s="1"/>
  <c r="AD16" i="9"/>
  <c r="AD14" i="9"/>
  <c r="AD13" i="9"/>
  <c r="AF13" i="9" s="1"/>
  <c r="AD33" i="9"/>
  <c r="AF33" i="9" s="1"/>
  <c r="AL21" i="9"/>
  <c r="AD27" i="9"/>
  <c r="AF27" i="9" s="1"/>
  <c r="AD29" i="9"/>
  <c r="AD31" i="9"/>
  <c r="AF31" i="9" s="1"/>
  <c r="R23" i="9"/>
  <c r="T23" i="9" s="1"/>
  <c r="R34" i="9"/>
  <c r="T34" i="9" s="1"/>
  <c r="S5" i="9"/>
  <c r="AH5" i="9"/>
  <c r="Q5" i="9"/>
  <c r="AM32" i="9"/>
  <c r="AO32" i="9" s="1"/>
  <c r="AL36" i="9"/>
  <c r="AM16" i="9"/>
  <c r="AL22" i="9"/>
  <c r="AR29" i="9"/>
  <c r="AV5" i="9"/>
  <c r="AX5" i="9" s="1"/>
  <c r="AR32" i="9"/>
  <c r="AO29" i="9"/>
  <c r="AR7" i="9"/>
  <c r="AC15" i="9"/>
  <c r="AL34" i="9"/>
  <c r="AR16" i="9"/>
  <c r="AR15" i="9"/>
  <c r="AL31" i="9"/>
  <c r="AL18" i="9"/>
  <c r="AR21" i="9"/>
  <c r="AL23" i="9"/>
  <c r="AL9" i="9"/>
  <c r="AS27" i="9"/>
  <c r="AR8" i="9"/>
  <c r="AL30" i="9"/>
  <c r="R10" i="9"/>
  <c r="T10" i="9" s="1"/>
  <c r="R8" i="9"/>
  <c r="T8" i="9" s="1"/>
  <c r="AL17" i="9"/>
  <c r="AR30" i="9"/>
  <c r="AR33" i="9"/>
  <c r="AM11" i="9"/>
  <c r="AO11" i="9" s="1"/>
  <c r="AJ5" i="9"/>
  <c r="AL5" i="9" s="1"/>
  <c r="AL10" i="9"/>
  <c r="AS14" i="9"/>
  <c r="AU14" i="9" s="1"/>
  <c r="AR17" i="9"/>
  <c r="AL35" i="9"/>
  <c r="AL8" i="9"/>
  <c r="AA5" i="9"/>
  <c r="AC5" i="9" s="1"/>
  <c r="AR6" i="9"/>
  <c r="AL6" i="9"/>
  <c r="AY5" i="9"/>
  <c r="BA5" i="9" s="1"/>
  <c r="U5" i="9"/>
  <c r="W5" i="9" s="1"/>
  <c r="AM6" i="9"/>
  <c r="AG6" i="9" s="1"/>
  <c r="R6" i="9"/>
  <c r="T6" i="9" s="1"/>
  <c r="AO24" i="9"/>
  <c r="AG24" i="9"/>
  <c r="AI24" i="9" s="1"/>
  <c r="AO9" i="9"/>
  <c r="AG9" i="9"/>
  <c r="AI9" i="9" s="1"/>
  <c r="AO13" i="9"/>
  <c r="AG13" i="9"/>
  <c r="AI13" i="9" s="1"/>
  <c r="AO28" i="9"/>
  <c r="AI28" i="9"/>
  <c r="AU19" i="9"/>
  <c r="AG19" i="9"/>
  <c r="AI19" i="9" s="1"/>
  <c r="AO36" i="9"/>
  <c r="AI36" i="9"/>
  <c r="AO34" i="9"/>
  <c r="AG34" i="9"/>
  <c r="AI34" i="9" s="1"/>
  <c r="AG31" i="9"/>
  <c r="AI31" i="9" s="1"/>
  <c r="AO31" i="9"/>
  <c r="AO26" i="9"/>
  <c r="AG26" i="9"/>
  <c r="AI26" i="9" s="1"/>
  <c r="AG21" i="9"/>
  <c r="AI21" i="9" s="1"/>
  <c r="AO21" i="9"/>
  <c r="AG22" i="9"/>
  <c r="AI22" i="9" s="1"/>
  <c r="AO22" i="9"/>
  <c r="AU11" i="9"/>
  <c r="AO27" i="9"/>
  <c r="AO18" i="9"/>
  <c r="AG30" i="9"/>
  <c r="AI30" i="9" s="1"/>
  <c r="AO30" i="9"/>
  <c r="AO33" i="9"/>
  <c r="AI33" i="9"/>
  <c r="AO8" i="9"/>
  <c r="AG8" i="9"/>
  <c r="AI8" i="9" s="1"/>
  <c r="AO14" i="9"/>
  <c r="AG17" i="9"/>
  <c r="AI17" i="9" s="1"/>
  <c r="AO17" i="9"/>
  <c r="AU6" i="9"/>
  <c r="AG25" i="9"/>
  <c r="AI25" i="9" s="1"/>
  <c r="AO25" i="9"/>
  <c r="AO12" i="9"/>
  <c r="AG12" i="9"/>
  <c r="AI12" i="9" s="1"/>
  <c r="AG10" i="9"/>
  <c r="AI10" i="9" s="1"/>
  <c r="AO10" i="9"/>
  <c r="AO35" i="9"/>
  <c r="AI35" i="9"/>
  <c r="AO15" i="9"/>
  <c r="AG15" i="9"/>
  <c r="AI15" i="9" s="1"/>
  <c r="AO23" i="9"/>
  <c r="AG23" i="9"/>
  <c r="AI23" i="9" s="1"/>
  <c r="AC10" i="9"/>
  <c r="R11" i="9"/>
  <c r="T11" i="9" s="1"/>
  <c r="AP5" i="9"/>
  <c r="AR5" i="9" s="1"/>
  <c r="AF7" i="9"/>
  <c r="AC8" i="9"/>
  <c r="Z9" i="9"/>
  <c r="W10" i="9"/>
  <c r="R12" i="9"/>
  <c r="T12" i="9" s="1"/>
  <c r="Z22" i="9"/>
  <c r="R25" i="9"/>
  <c r="T25" i="9" s="1"/>
  <c r="Z35" i="9"/>
  <c r="AF8" i="9"/>
  <c r="Z10" i="9"/>
  <c r="Z23" i="9"/>
  <c r="AF34" i="9"/>
  <c r="Z36" i="9"/>
  <c r="AR31" i="9"/>
  <c r="AL33" i="9"/>
  <c r="AM7" i="9"/>
  <c r="R15" i="9"/>
  <c r="T15" i="9" s="1"/>
  <c r="AS18" i="9"/>
  <c r="AU18" i="9" s="1"/>
  <c r="AM20" i="9"/>
  <c r="X5" i="9"/>
  <c r="Z5" i="9" s="1"/>
  <c r="AR22" i="9"/>
  <c r="AL24" i="9"/>
  <c r="AR35" i="9"/>
  <c r="AR10" i="9"/>
  <c r="AL12" i="9"/>
  <c r="AR23" i="9"/>
  <c r="AL25" i="9"/>
  <c r="AR36" i="9"/>
  <c r="R7" i="9"/>
  <c r="AR11" i="9"/>
  <c r="AL13" i="9"/>
  <c r="AR24" i="9"/>
  <c r="AL26" i="9"/>
  <c r="AR12" i="9"/>
  <c r="AL14" i="9"/>
  <c r="AR25" i="9"/>
  <c r="AL27" i="9"/>
  <c r="AR13" i="9"/>
  <c r="AL15" i="9"/>
  <c r="AR26" i="9"/>
  <c r="AL28" i="9"/>
  <c r="AU27" i="9" l="1"/>
  <c r="AG27" i="9"/>
  <c r="R35" i="9"/>
  <c r="T35" i="9" s="1"/>
  <c r="R28" i="9"/>
  <c r="T28" i="9" s="1"/>
  <c r="AF21" i="9"/>
  <c r="R19" i="9"/>
  <c r="T19" i="9" s="1"/>
  <c r="R27" i="9"/>
  <c r="T27" i="9" s="1"/>
  <c r="R13" i="9"/>
  <c r="T13" i="9" s="1"/>
  <c r="R17" i="9"/>
  <c r="T17" i="9" s="1"/>
  <c r="AF20" i="9"/>
  <c r="AO6" i="9"/>
  <c r="R31" i="9"/>
  <c r="T31" i="9" s="1"/>
  <c r="AF30" i="9"/>
  <c r="R30" i="9"/>
  <c r="T30" i="9" s="1"/>
  <c r="AF14" i="9"/>
  <c r="R14" i="9"/>
  <c r="T14" i="9" s="1"/>
  <c r="AF18" i="9"/>
  <c r="R18" i="9"/>
  <c r="T18" i="9" s="1"/>
  <c r="R33" i="9"/>
  <c r="T33" i="9" s="1"/>
  <c r="AF32" i="9"/>
  <c r="R32" i="9"/>
  <c r="T32" i="9" s="1"/>
  <c r="AM5" i="9"/>
  <c r="AO5" i="9" s="1"/>
  <c r="AG32" i="9"/>
  <c r="AI32" i="9" s="1"/>
  <c r="R36" i="9"/>
  <c r="T36" i="9" s="1"/>
  <c r="AF29" i="9"/>
  <c r="R29" i="9"/>
  <c r="T29" i="9" s="1"/>
  <c r="AG11" i="9"/>
  <c r="AI11" i="9" s="1"/>
  <c r="R24" i="9"/>
  <c r="T24" i="9" s="1"/>
  <c r="R22" i="9"/>
  <c r="T22" i="9" s="1"/>
  <c r="AF16" i="9"/>
  <c r="R16" i="9"/>
  <c r="T16" i="9" s="1"/>
  <c r="AD5" i="9"/>
  <c r="AF5" i="9" s="1"/>
  <c r="R26" i="9"/>
  <c r="T26" i="9" s="1"/>
  <c r="AG14" i="9"/>
  <c r="AI14" i="9" s="1"/>
  <c r="AI27" i="9"/>
  <c r="AS5" i="9"/>
  <c r="AU5" i="9" s="1"/>
  <c r="AG16" i="9"/>
  <c r="AI16" i="9" s="1"/>
  <c r="AO16" i="9"/>
  <c r="T7" i="9"/>
  <c r="AO20" i="9"/>
  <c r="AG20" i="9"/>
  <c r="AI20" i="9" s="1"/>
  <c r="AO7" i="9"/>
  <c r="AG7" i="9"/>
  <c r="AI7" i="9" s="1"/>
  <c r="AI6" i="9"/>
  <c r="AG18" i="9"/>
  <c r="AI18" i="9" s="1"/>
  <c r="R5" i="9" l="1"/>
  <c r="T5" i="9" s="1"/>
  <c r="AG5" i="9"/>
  <c r="AI5" i="9" l="1"/>
  <c r="S5" i="6" l="1"/>
  <c r="AJ5" i="6"/>
  <c r="AH5" i="6"/>
  <c r="AZ5" i="6"/>
  <c r="AW5" i="6"/>
  <c r="AT5" i="6"/>
  <c r="AQ5" i="6"/>
  <c r="AN5" i="6"/>
  <c r="AK5" i="6"/>
  <c r="AE5" i="6"/>
  <c r="AB5" i="6"/>
  <c r="Y5" i="6"/>
  <c r="V5" i="6"/>
  <c r="P5" i="6"/>
  <c r="O5" i="6"/>
  <c r="M5" i="6"/>
  <c r="K5" i="6"/>
  <c r="I5" i="6"/>
  <c r="H5" i="6"/>
  <c r="F5" i="6"/>
  <c r="BF5" i="6" s="1"/>
  <c r="E5" i="6"/>
  <c r="D5" i="6"/>
  <c r="C5" i="6"/>
  <c r="B1" i="6"/>
  <c r="Q5" i="6" l="1"/>
  <c r="AA5" i="6"/>
  <c r="AC5" i="6" s="1"/>
  <c r="U5" i="6"/>
  <c r="W5" i="6" s="1"/>
  <c r="AL5" i="6"/>
  <c r="AY5" i="6"/>
  <c r="BA5" i="6" s="1"/>
  <c r="N5" i="6"/>
  <c r="AV5" i="6"/>
  <c r="AX5" i="6" s="1"/>
  <c r="AP5" i="6"/>
  <c r="AR5" i="6" s="1"/>
  <c r="X5" i="6"/>
  <c r="Z5" i="6" s="1"/>
  <c r="AD5" i="6" l="1"/>
  <c r="AF5" i="6" s="1"/>
  <c r="AS5" i="6"/>
  <c r="AU5" i="6" s="1"/>
  <c r="R5" i="6"/>
  <c r="T5" i="6" s="1"/>
  <c r="AM5" i="6"/>
  <c r="AO5" i="6" s="1"/>
  <c r="AG5" i="6" l="1"/>
  <c r="AI5" i="6" s="1"/>
  <c r="I5" i="5" l="1"/>
  <c r="X5" i="5"/>
  <c r="U5" i="5"/>
  <c r="T5" i="5"/>
  <c r="R5" i="5"/>
  <c r="Q5" i="5"/>
  <c r="O5" i="5"/>
  <c r="N5" i="5"/>
  <c r="L5" i="5"/>
  <c r="K5" i="5"/>
  <c r="G5" i="5"/>
  <c r="F5" i="5"/>
  <c r="E5" i="5"/>
  <c r="D5" i="5"/>
  <c r="C5" i="5"/>
  <c r="B1" i="5"/>
  <c r="V5" i="5" l="1"/>
  <c r="S5" i="5"/>
  <c r="M5" i="5"/>
  <c r="P5" i="5"/>
  <c r="J5" i="5"/>
  <c r="W5" i="5"/>
  <c r="Y5" i="5" s="1"/>
  <c r="M7" i="3" l="1"/>
  <c r="M8" i="3"/>
  <c r="M9" i="3"/>
  <c r="J7" i="3"/>
  <c r="J8" i="3"/>
  <c r="J9" i="3"/>
  <c r="Z6" i="3"/>
  <c r="Z5" i="3" l="1"/>
  <c r="AB5" i="3" s="1"/>
  <c r="AB6" i="3"/>
  <c r="Q6" i="3" l="1"/>
  <c r="S6" i="3" s="1"/>
  <c r="P9" i="3"/>
  <c r="V9" i="3"/>
  <c r="V6" i="3"/>
  <c r="M6" i="3"/>
  <c r="J6" i="3"/>
  <c r="X5" i="3"/>
  <c r="U5" i="3"/>
  <c r="R5" i="3"/>
  <c r="O5" i="3"/>
  <c r="L5" i="3"/>
  <c r="K5" i="3"/>
  <c r="I5" i="3"/>
  <c r="F5" i="3"/>
  <c r="E5" i="3"/>
  <c r="D5" i="3"/>
  <c r="C5" i="3"/>
  <c r="B1" i="3"/>
  <c r="P6" i="3" l="1"/>
  <c r="N5" i="3"/>
  <c r="P5" i="3" s="1"/>
  <c r="T5" i="3"/>
  <c r="V5" i="3" s="1"/>
  <c r="J5" i="3"/>
  <c r="M5" i="3"/>
  <c r="Q5" i="3" l="1"/>
  <c r="S5" i="3" s="1"/>
  <c r="Y6" i="3"/>
  <c r="Y9" i="3"/>
  <c r="W5" i="3"/>
  <c r="Y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I.antonov</author>
  </authors>
  <commentList>
    <comment ref="V6" authorId="0" shapeId="0" xr:uid="{4B11781E-27DE-4266-83F1-E64943F53E2D}">
      <text>
        <r>
          <rPr>
            <b/>
            <sz val="9"/>
            <color indexed="81"/>
            <rFont val="Tahoma"/>
            <family val="2"/>
            <charset val="204"/>
          </rPr>
          <t>I.antonov:</t>
        </r>
        <r>
          <rPr>
            <sz val="9"/>
            <color indexed="81"/>
            <rFont val="Tahoma"/>
            <family val="2"/>
            <charset val="204"/>
          </rPr>
          <t xml:space="preserve">
12024 годин за квітень(4411год)-листопад  поділено на 7 будинків  вересня
</t>
        </r>
      </text>
    </comment>
    <comment ref="V7" authorId="0" shapeId="0" xr:uid="{129867DF-9411-4F7C-995A-77DC6C4593AD}">
      <text>
        <r>
          <rPr>
            <b/>
            <sz val="9"/>
            <color indexed="81"/>
            <rFont val="Tahoma"/>
            <family val="2"/>
            <charset val="204"/>
          </rPr>
          <t>I.antonov:</t>
        </r>
        <r>
          <rPr>
            <sz val="9"/>
            <color indexed="81"/>
            <rFont val="Tahoma"/>
            <family val="2"/>
            <charset val="204"/>
          </rPr>
          <t xml:space="preserve">
15564 годин за квітень(4411год)-вересень  поділено на 9 будинків  вересня
</t>
        </r>
      </text>
    </comment>
    <comment ref="V8" authorId="0" shapeId="0" xr:uid="{9188B802-B1BE-4BB3-A6FB-51F1A940B738}">
      <text>
        <r>
          <rPr>
            <b/>
            <sz val="9"/>
            <color indexed="81"/>
            <rFont val="Tahoma"/>
            <family val="2"/>
            <charset val="204"/>
          </rPr>
          <t>I.antonov:</t>
        </r>
        <r>
          <rPr>
            <sz val="9"/>
            <color indexed="81"/>
            <rFont val="Tahoma"/>
            <family val="2"/>
            <charset val="204"/>
          </rPr>
          <t xml:space="preserve">
15564 годин за квітень(4411год)-вересень  поділено на 9 будинків  вересня
</t>
        </r>
      </text>
    </comment>
    <comment ref="V9" authorId="0" shapeId="0" xr:uid="{C1FEDB7C-334B-42D4-BB84-176D661783ED}">
      <text>
        <r>
          <rPr>
            <b/>
            <sz val="9"/>
            <color indexed="81"/>
            <rFont val="Tahoma"/>
            <family val="2"/>
            <charset val="204"/>
          </rPr>
          <t>I.antonov:</t>
        </r>
        <r>
          <rPr>
            <sz val="9"/>
            <color indexed="81"/>
            <rFont val="Tahoma"/>
            <family val="2"/>
            <charset val="204"/>
          </rPr>
          <t xml:space="preserve">
15564 годин за квітень(4411год)-вересень  поділено на 9 будинків  вересня
</t>
        </r>
      </text>
    </comment>
    <comment ref="V10" authorId="0" shapeId="0" xr:uid="{D1389B01-9D6D-4B99-AD18-55A96A52D388}">
      <text>
        <r>
          <rPr>
            <b/>
            <sz val="9"/>
            <color indexed="81"/>
            <rFont val="Tahoma"/>
            <family val="2"/>
            <charset val="204"/>
          </rPr>
          <t>I.antonov:</t>
        </r>
        <r>
          <rPr>
            <sz val="9"/>
            <color indexed="81"/>
            <rFont val="Tahoma"/>
            <family val="2"/>
            <charset val="204"/>
          </rPr>
          <t xml:space="preserve">
15564 годин за квітень(4411год)-вересень  поділено на 9 будинків  вересня
</t>
        </r>
      </text>
    </comment>
    <comment ref="V11" authorId="0" shapeId="0" xr:uid="{B98AB4EF-F96D-492F-84DC-6CBC1FEA1DF4}">
      <text>
        <r>
          <rPr>
            <b/>
            <sz val="9"/>
            <color indexed="81"/>
            <rFont val="Tahoma"/>
            <family val="2"/>
            <charset val="204"/>
          </rPr>
          <t>I.antonov:</t>
        </r>
        <r>
          <rPr>
            <sz val="9"/>
            <color indexed="81"/>
            <rFont val="Tahoma"/>
            <family val="2"/>
            <charset val="204"/>
          </rPr>
          <t xml:space="preserve">
15564 годин за квітень(4411год)-вересень  поділено на 9 будинків  вересня
</t>
        </r>
      </text>
    </comment>
    <comment ref="V12" authorId="0" shapeId="0" xr:uid="{25F58BC1-8CDD-4CBB-83CA-99C9A7342F4C}">
      <text>
        <r>
          <rPr>
            <b/>
            <sz val="9"/>
            <color indexed="81"/>
            <rFont val="Tahoma"/>
            <family val="2"/>
            <charset val="204"/>
          </rPr>
          <t>I.antonov:</t>
        </r>
        <r>
          <rPr>
            <sz val="9"/>
            <color indexed="81"/>
            <rFont val="Tahoma"/>
            <family val="2"/>
            <charset val="204"/>
          </rPr>
          <t xml:space="preserve">
15564 годин за квітень(4411год)-вересень  поділено на 9 будинків  вересня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1c support</author>
  </authors>
  <commentList>
    <comment ref="F7" authorId="0" shapeId="0" xr:uid="{A7E1BC88-1137-4732-8E6B-5F51C3F432B2}">
      <text>
        <r>
          <rPr>
            <b/>
            <sz val="9"/>
            <color indexed="81"/>
            <rFont val="Tahoma"/>
            <charset val="1"/>
          </rPr>
          <t>1c support:</t>
        </r>
        <r>
          <rPr>
            <sz val="9"/>
            <color indexed="81"/>
            <rFont val="Tahoma"/>
            <charset val="1"/>
          </rPr>
          <t xml:space="preserve">
Все материалы - Этап = Монтаж будинку, закладка материалы</t>
        </r>
      </text>
    </comment>
    <comment ref="G7" authorId="0" shapeId="0" xr:uid="{D423315A-8B26-4A22-B630-99389D7699E1}">
      <text>
        <r>
          <rPr>
            <b/>
            <sz val="9"/>
            <color indexed="81"/>
            <rFont val="Tahoma"/>
            <charset val="1"/>
          </rPr>
          <t>1c support:</t>
        </r>
        <r>
          <rPr>
            <sz val="9"/>
            <color indexed="81"/>
            <rFont val="Tahoma"/>
            <charset val="1"/>
          </rPr>
          <t xml:space="preserve">
Этап = Монтаж будинку, закладка материалы</t>
        </r>
      </text>
    </comment>
    <comment ref="I7" authorId="0" shapeId="0" xr:uid="{AE3DF1D4-432B-461E-B005-C0C86775F4F3}">
      <text>
        <r>
          <rPr>
            <b/>
            <sz val="9"/>
            <color indexed="81"/>
            <rFont val="Tahoma"/>
            <charset val="1"/>
          </rPr>
          <t>1c support:</t>
        </r>
        <r>
          <rPr>
            <sz val="9"/>
            <color indexed="81"/>
            <rFont val="Tahoma"/>
            <charset val="1"/>
          </rPr>
          <t xml:space="preserve">
Чол\год без монтажа без галочки на выезд</t>
        </r>
      </text>
    </comment>
    <comment ref="K7" authorId="0" shapeId="0" xr:uid="{C27AE2F7-C7BA-4BD8-B84B-A92789AC8296}">
      <text>
        <r>
          <rPr>
            <b/>
            <sz val="9"/>
            <color indexed="81"/>
            <rFont val="Tahoma"/>
            <family val="2"/>
            <charset val="204"/>
          </rPr>
          <t>1c support:</t>
        </r>
        <r>
          <rPr>
            <sz val="9"/>
            <color indexed="81"/>
            <rFont val="Tahoma"/>
            <family val="2"/>
            <charset val="204"/>
          </rPr>
          <t xml:space="preserve">
часы по монтаж будинку</t>
        </r>
      </text>
    </comment>
    <comment ref="V7" authorId="0" shapeId="0" xr:uid="{D30BC089-C802-43F3-B6DA-67567B0640F0}">
      <text>
        <r>
          <rPr>
            <b/>
            <sz val="9"/>
            <color indexed="81"/>
            <rFont val="Tahoma"/>
            <family val="2"/>
            <charset val="204"/>
          </rPr>
          <t>1c support:</t>
        </r>
        <r>
          <rPr>
            <sz val="9"/>
            <color indexed="81"/>
            <rFont val="Tahoma"/>
            <family val="2"/>
            <charset val="204"/>
          </rPr>
          <t xml:space="preserve">
из 1С отчета по табелях</t>
        </r>
      </text>
    </comment>
    <comment ref="Y7" authorId="0" shapeId="0" xr:uid="{3574EA7D-EC3B-4424-975D-ABAC7DDE992B}">
      <text>
        <r>
          <rPr>
            <b/>
            <sz val="9"/>
            <color indexed="81"/>
            <rFont val="Tahoma"/>
            <family val="2"/>
            <charset val="204"/>
          </rPr>
          <t>1c support:</t>
        </r>
        <r>
          <rPr>
            <sz val="9"/>
            <color indexed="81"/>
            <rFont val="Tahoma"/>
            <family val="2"/>
            <charset val="204"/>
          </rPr>
          <t xml:space="preserve">
из 1С отчета по табелях</t>
        </r>
      </text>
    </comment>
  </commentList>
</comments>
</file>

<file path=xl/sharedStrings.xml><?xml version="1.0" encoding="utf-8"?>
<sst xmlns="http://schemas.openxmlformats.org/spreadsheetml/2006/main" count="681" uniqueCount="135">
  <si>
    <t>МД ООН_2025</t>
  </si>
  <si>
    <t>План</t>
  </si>
  <si>
    <t xml:space="preserve">Факт </t>
  </si>
  <si>
    <t xml:space="preserve">%%  План/факт </t>
  </si>
  <si>
    <t>МД ООН№29 МД ООН 2025)</t>
  </si>
  <si>
    <t>МД ООН№30 МД ООН 2025)</t>
  </si>
  <si>
    <t>МД ООН№31 МД ООН 2025)</t>
  </si>
  <si>
    <t>МД ООН№32 МД ООН 2025)</t>
  </si>
  <si>
    <t>МД ООН№33 МД ООН 2025)</t>
  </si>
  <si>
    <t>МД ООН№34 МД ООН 2025)</t>
  </si>
  <si>
    <t>МД ООН№35 МД ООН 2025)</t>
  </si>
  <si>
    <t>МД ООН№36 МД ООН 2025)</t>
  </si>
  <si>
    <t>МД ООН№37 МД ООН 2025)</t>
  </si>
  <si>
    <t>МД ООН№38 МД ООН 2025)</t>
  </si>
  <si>
    <t>МД ООН№39 МД ООН 2025)</t>
  </si>
  <si>
    <t>МД ООН№40 МД ООН 2025)</t>
  </si>
  <si>
    <t>МД ООН№41 МД ООН 2025)</t>
  </si>
  <si>
    <t>МД ООН№42 МД ООН 2025)</t>
  </si>
  <si>
    <t>МД ООН№43 МД ООН 2025)</t>
  </si>
  <si>
    <t>МД ООН№44 МД ООН 2025)</t>
  </si>
  <si>
    <t>МД ООН№45 МД ООН 2025)</t>
  </si>
  <si>
    <t>МД ООН№46 МД ООН 2025)</t>
  </si>
  <si>
    <t>МД ООН№47 МД ООН 2025)</t>
  </si>
  <si>
    <t>МД ООН№48 МД ООН 2025)</t>
  </si>
  <si>
    <t>МД ООН№49 МД ООН 2025)</t>
  </si>
  <si>
    <t>МД ООН№50 МД ООН 2025)</t>
  </si>
  <si>
    <t>МД ООН№51 МД ООН 2025)</t>
  </si>
  <si>
    <t>МД ООН№52 МД ООН 2025)</t>
  </si>
  <si>
    <t>МД ООН№53 МД ООН 2025)</t>
  </si>
  <si>
    <t>МД ООН№54 МД ООН 2025)</t>
  </si>
  <si>
    <t>МД ООН№55 МД ООН 2025)</t>
  </si>
  <si>
    <t>МД ООН№56 МД ООН 2025)</t>
  </si>
  <si>
    <t>МД ООН№57 МД ООН 2025)</t>
  </si>
  <si>
    <t>МД ООН№58 МД ООН 2025)</t>
  </si>
  <si>
    <t>МД ООН№59 МД ООН 2025)</t>
  </si>
  <si>
    <t>МД ООН№60 МД ООН 2025)</t>
  </si>
  <si>
    <t>№№</t>
  </si>
  <si>
    <t>Назва Підрозділу</t>
  </si>
  <si>
    <t>Факт</t>
  </si>
  <si>
    <t>Проект - кол-во , шт</t>
  </si>
  <si>
    <t>Вартість погоджених  додаткових робіт,  грн</t>
  </si>
  <si>
    <t>Вартість МШП по СС</t>
  </si>
  <si>
    <t>Кількість чол/год  Виробництво по СС</t>
  </si>
  <si>
    <t>Кількість чол/год Монтаж по СС</t>
  </si>
  <si>
    <t>ВІДВАНТАЖЕННЯ:</t>
  </si>
  <si>
    <t>Відвантаження по Проекту в цілому, шт</t>
  </si>
  <si>
    <t>Згідно СС</t>
  </si>
  <si>
    <t>Вартість чол/год  Виробництво по СС</t>
  </si>
  <si>
    <t>Вартість чол/год Монтаж по СС</t>
  </si>
  <si>
    <t>ФОТ виробничого персоналу, Проект</t>
  </si>
  <si>
    <t>Виробництво БЦ, чол/год</t>
  </si>
  <si>
    <t xml:space="preserve"> Виробництво БЦ, грн</t>
  </si>
  <si>
    <t xml:space="preserve"> Монтаж, чол/год</t>
  </si>
  <si>
    <t xml:space="preserve"> Монтаж, грн</t>
  </si>
  <si>
    <t xml:space="preserve"> Виробництво БЦ, чол/год</t>
  </si>
  <si>
    <t>Монтаж, чол/год</t>
  </si>
  <si>
    <t>Монтаж, грн</t>
  </si>
  <si>
    <t>Виробництво БЦ + Монтаж, Проект, грн</t>
  </si>
  <si>
    <t>МК Глобино</t>
  </si>
  <si>
    <t>Проект - кол-во , тн</t>
  </si>
  <si>
    <t>Вартість  робіт по з ПДВ , грн</t>
  </si>
  <si>
    <t>Вартість   Виробництво по СС, грн</t>
  </si>
  <si>
    <t>Виробництво , чол/год</t>
  </si>
  <si>
    <t xml:space="preserve"> Виробництво, грн</t>
  </si>
  <si>
    <t>Вартість матеріалів Виробництво БЦ по СС</t>
  </si>
  <si>
    <t>Вартість матеріалів Монтаж  БЦ по СС</t>
  </si>
  <si>
    <t>Списання матеріалів  грн</t>
  </si>
  <si>
    <t xml:space="preserve"> Виробництво БЦ</t>
  </si>
  <si>
    <t>При монтажу</t>
  </si>
  <si>
    <t>15/10/2025; 237-2-КМ-Р-Ваги автомобільні з навісом на 2 проїздом-rev 1.0</t>
  </si>
  <si>
    <t>15/10/2025; 237-4.2-КМ-Р-Пункт-навантаження-rev-1.1 соєвого протеїнового концентрату и меляси на автотранспорт -  4.2</t>
  </si>
  <si>
    <t>01/10/2025; 237-3.1.1-КМ-Р-Рез-парк розчинника-rev 1.1</t>
  </si>
  <si>
    <t>08/08/2025; 237_1-25.6-КМ-Р-Транспортна галерея-rev 1.3</t>
  </si>
  <si>
    <t>МКБориспільська</t>
  </si>
  <si>
    <t>МД ВООЗ 2025</t>
  </si>
  <si>
    <t>МД ВООЗ 2025 ПМСД мала (2 лікаря)</t>
  </si>
  <si>
    <t>МД ВООЗ 2025 СВ  EMS мала (2 бригади)</t>
  </si>
  <si>
    <t>Вартість робіт по СС, грн</t>
  </si>
  <si>
    <t>Кернел Кухня</t>
  </si>
  <si>
    <t xml:space="preserve">ПМСД мала (1 буд) </t>
  </si>
  <si>
    <t xml:space="preserve">ПМСД мала (2 будинок) </t>
  </si>
  <si>
    <t xml:space="preserve">EMS мала (1 будинок) </t>
  </si>
  <si>
    <t xml:space="preserve">EMS мала (2 будинок) </t>
  </si>
  <si>
    <t>місяць</t>
  </si>
  <si>
    <t>жовтень</t>
  </si>
  <si>
    <t>листопад</t>
  </si>
  <si>
    <t>грудень</t>
  </si>
  <si>
    <t>ООН</t>
  </si>
  <si>
    <t>ВООЗ</t>
  </si>
  <si>
    <t>Факт відгрузки по казні з відхиленням тиждень</t>
  </si>
  <si>
    <t>Тищенки</t>
  </si>
  <si>
    <t>Всього МК</t>
  </si>
  <si>
    <t>Всього буд</t>
  </si>
  <si>
    <t>Бориспільська</t>
  </si>
  <si>
    <t>19/01/26-1, 237-6.4-КМ-Р — Естакада</t>
  </si>
  <si>
    <t>19/01/26-1, 237-6-АБ-Р — Навіс</t>
  </si>
  <si>
    <t>21/01/26, 237-8-КБ-Р - Каналізаційна насосна станція</t>
  </si>
  <si>
    <t>09/04-25 237-2021-4 КМД СПК, Шахові сходи СПК</t>
  </si>
  <si>
    <t>січень</t>
  </si>
  <si>
    <t>МК Астарта.Тищенки</t>
  </si>
  <si>
    <t>ФОТ виробничого персоналу, січень 2026</t>
  </si>
  <si>
    <t>Відвантаження за січень 2026, шт</t>
  </si>
  <si>
    <t>Відвантаження за лютий 2026, шт</t>
  </si>
  <si>
    <t>1601/26; 339-2024-10-АБ Будівля компресорної</t>
  </si>
  <si>
    <t>1601/26; 339-2024-32-АБ Наливна естакада</t>
  </si>
  <si>
    <t>МД ПРООН Черкаси  ДСНС</t>
  </si>
  <si>
    <t xml:space="preserve">всього </t>
  </si>
  <si>
    <t>залишки матеріалів</t>
  </si>
  <si>
    <t>різниця СС-всього (+економія)</t>
  </si>
  <si>
    <t>комплектовано</t>
  </si>
  <si>
    <t>по вимоги накладні, 231 на 901</t>
  </si>
  <si>
    <t>комплектація 26</t>
  </si>
  <si>
    <t>комплектація 231 26, 901 231</t>
  </si>
  <si>
    <t xml:space="preserve">залишок на виробничих складах </t>
  </si>
  <si>
    <t>МК Чорноморськ</t>
  </si>
  <si>
    <t>Виробництво БЦ + Монтаж, березень  2025 ,грн</t>
  </si>
  <si>
    <t>Виробництво БЦ + Монтаж, березень  2026 ,грн</t>
  </si>
  <si>
    <t>09/04-25 від 09.04.2025 ГлобинеСПК (касаури)</t>
  </si>
  <si>
    <t xml:space="preserve"> 339-2024-33 АБМайданчик відходів Чорноморськ</t>
  </si>
  <si>
    <t>ФОТ виробничого персоналу, квітень   2026</t>
  </si>
  <si>
    <t>ФОТ виробничого персоналу, квітень    2026</t>
  </si>
  <si>
    <t>ФОТ виробничого персоналу, квітень  2026</t>
  </si>
  <si>
    <t>ФОТ виробничого персоналу, квітень 2026</t>
  </si>
  <si>
    <t>Виробництво БЦ + Монтаж, квітень 2026,грн</t>
  </si>
  <si>
    <t>Виробництво БЦ + Монтаж, квітень 2025 ,грн</t>
  </si>
  <si>
    <t>Відвантаження за Квітень 2026, шт</t>
  </si>
  <si>
    <t>МК Кривий Ріг</t>
  </si>
  <si>
    <t>06/04/26; Реконструкція будівель помольних відділень №№ 2, 3 ( літ. 124 - №07 (літ. 4Г) та літ. 126 – 1, 2  №320 (літ. 4Е))</t>
  </si>
  <si>
    <t>ОРІЛЬ-ЛІДЕР 1 шт</t>
  </si>
  <si>
    <t>Модульна споруда 11,2*7,4*3 -1 шт</t>
  </si>
  <si>
    <t>Відвантаження за квітень  2026, шт</t>
  </si>
  <si>
    <t>Виробництво БЦ + Монтаж, квітень  2026,грн</t>
  </si>
  <si>
    <t>Відвантаження за квітень 2026, шт</t>
  </si>
  <si>
    <t>Розрахунок в 1С</t>
  </si>
  <si>
    <t>по складу списания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</si>
</sst>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#,##0_ ;\-#,##0\ 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color indexed="56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2" fillId="0" borderId="0"/>
    <xf numFmtId="0" fontId="2" fillId="0" borderId="0"/>
  </cellStyleXfs>
  <cellXfs count="19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3" fillId="4" borderId="0" xfId="0" applyFont="1" applyFill="1" applyBorder="1" applyAlignment="1">
      <alignment horizontal="center"/>
    </xf>
    <xf numFmtId="0" fontId="0" fillId="4" borderId="0" xfId="0" applyFill="1"/>
    <xf numFmtId="3" fontId="0" fillId="0" borderId="1" xfId="0" applyNumberFormat="1" applyBorder="1"/>
    <xf numFmtId="9" fontId="1" fillId="0" borderId="1" xfId="1" applyFont="1" applyFill="1" applyBorder="1"/>
    <xf numFmtId="0" fontId="0" fillId="2" borderId="1" xfId="0" applyFill="1" applyBorder="1"/>
    <xf numFmtId="0" fontId="0" fillId="2" borderId="2" xfId="0" applyFill="1" applyBorder="1"/>
    <xf numFmtId="9" fontId="1" fillId="0" borderId="2" xfId="1" applyFont="1" applyFill="1" applyBorder="1"/>
    <xf numFmtId="0" fontId="0" fillId="2" borderId="9" xfId="0" applyFill="1" applyBorder="1"/>
    <xf numFmtId="0" fontId="5" fillId="2" borderId="16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2" borderId="29" xfId="0" applyFill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/>
    </xf>
    <xf numFmtId="3" fontId="0" fillId="0" borderId="22" xfId="0" applyNumberFormat="1" applyBorder="1"/>
    <xf numFmtId="9" fontId="1" fillId="0" borderId="22" xfId="1" applyFont="1" applyFill="1" applyBorder="1"/>
    <xf numFmtId="9" fontId="1" fillId="0" borderId="30" xfId="1" applyFont="1" applyFill="1" applyBorder="1"/>
    <xf numFmtId="0" fontId="0" fillId="2" borderId="24" xfId="0" applyFill="1" applyBorder="1"/>
    <xf numFmtId="0" fontId="0" fillId="2" borderId="28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3" xfId="0" applyFill="1" applyBorder="1" applyAlignment="1"/>
    <xf numFmtId="0" fontId="0" fillId="0" borderId="31" xfId="0" applyBorder="1"/>
    <xf numFmtId="0" fontId="0" fillId="0" borderId="32" xfId="0" applyBorder="1"/>
    <xf numFmtId="0" fontId="0" fillId="0" borderId="32" xfId="0" applyBorder="1" applyAlignment="1">
      <alignment horizontal="center"/>
    </xf>
    <xf numFmtId="3" fontId="0" fillId="0" borderId="32" xfId="0" applyNumberFormat="1" applyBorder="1"/>
    <xf numFmtId="9" fontId="1" fillId="0" borderId="32" xfId="1" applyFont="1" applyFill="1" applyBorder="1"/>
    <xf numFmtId="9" fontId="1" fillId="0" borderId="11" xfId="1" applyFont="1" applyFill="1" applyBorder="1"/>
    <xf numFmtId="0" fontId="6" fillId="7" borderId="3" xfId="0" applyFont="1" applyFill="1" applyBorder="1"/>
    <xf numFmtId="0" fontId="7" fillId="7" borderId="4" xfId="0" applyFont="1" applyFill="1" applyBorder="1" applyAlignment="1">
      <alignment horizontal="right"/>
    </xf>
    <xf numFmtId="0" fontId="7" fillId="7" borderId="4" xfId="0" applyFont="1" applyFill="1" applyBorder="1" applyAlignment="1">
      <alignment horizontal="center"/>
    </xf>
    <xf numFmtId="3" fontId="7" fillId="7" borderId="4" xfId="0" applyNumberFormat="1" applyFont="1" applyFill="1" applyBorder="1"/>
    <xf numFmtId="0" fontId="7" fillId="7" borderId="4" xfId="0" applyFont="1" applyFill="1" applyBorder="1"/>
    <xf numFmtId="9" fontId="6" fillId="7" borderId="4" xfId="1" applyFont="1" applyFill="1" applyBorder="1"/>
    <xf numFmtId="9" fontId="6" fillId="7" borderId="12" xfId="1" applyFont="1" applyFill="1" applyBorder="1"/>
    <xf numFmtId="0" fontId="0" fillId="2" borderId="14" xfId="0" applyFill="1" applyBorder="1" applyAlignment="1"/>
    <xf numFmtId="0" fontId="0" fillId="2" borderId="26" xfId="0" applyFill="1" applyBorder="1" applyAlignment="1"/>
    <xf numFmtId="0" fontId="7" fillId="7" borderId="3" xfId="0" applyFont="1" applyFill="1" applyBorder="1"/>
    <xf numFmtId="9" fontId="6" fillId="7" borderId="5" xfId="1" applyFont="1" applyFill="1" applyBorder="1"/>
    <xf numFmtId="3" fontId="0" fillId="0" borderId="31" xfId="0" applyNumberFormat="1" applyBorder="1"/>
    <xf numFmtId="9" fontId="1" fillId="0" borderId="17" xfId="1" applyFont="1" applyFill="1" applyBorder="1"/>
    <xf numFmtId="3" fontId="0" fillId="0" borderId="19" xfId="0" applyNumberFormat="1" applyBorder="1"/>
    <xf numFmtId="9" fontId="1" fillId="0" borderId="20" xfId="1" applyFont="1" applyFill="1" applyBorder="1"/>
    <xf numFmtId="3" fontId="0" fillId="0" borderId="21" xfId="0" applyNumberFormat="1" applyBorder="1"/>
    <xf numFmtId="9" fontId="1" fillId="0" borderId="23" xfId="1" applyFont="1" applyFill="1" applyBorder="1"/>
    <xf numFmtId="3" fontId="0" fillId="0" borderId="33" xfId="0" applyNumberFormat="1" applyBorder="1"/>
    <xf numFmtId="0" fontId="0" fillId="0" borderId="34" xfId="0" applyBorder="1"/>
    <xf numFmtId="3" fontId="0" fillId="0" borderId="34" xfId="0" applyNumberFormat="1" applyBorder="1"/>
    <xf numFmtId="0" fontId="0" fillId="2" borderId="10" xfId="0" applyFill="1" applyBorder="1"/>
    <xf numFmtId="0" fontId="0" fillId="2" borderId="18" xfId="0" applyFill="1" applyBorder="1"/>
    <xf numFmtId="3" fontId="7" fillId="7" borderId="5" xfId="0" applyNumberFormat="1" applyFont="1" applyFill="1" applyBorder="1"/>
    <xf numFmtId="3" fontId="0" fillId="0" borderId="20" xfId="0" applyNumberFormat="1" applyBorder="1"/>
    <xf numFmtId="3" fontId="0" fillId="0" borderId="23" xfId="0" applyNumberFormat="1" applyBorder="1"/>
    <xf numFmtId="9" fontId="1" fillId="0" borderId="10" xfId="1" applyFont="1" applyFill="1" applyBorder="1"/>
    <xf numFmtId="9" fontId="1" fillId="0" borderId="40" xfId="1" applyFont="1" applyFill="1" applyBorder="1"/>
    <xf numFmtId="164" fontId="7" fillId="7" borderId="4" xfId="3" applyNumberFormat="1" applyFont="1" applyFill="1" applyBorder="1"/>
    <xf numFmtId="164" fontId="0" fillId="0" borderId="32" xfId="3" applyNumberFormat="1" applyFont="1" applyBorder="1"/>
    <xf numFmtId="164" fontId="0" fillId="0" borderId="1" xfId="3" applyNumberFormat="1" applyFont="1" applyBorder="1"/>
    <xf numFmtId="164" fontId="0" fillId="0" borderId="22" xfId="3" applyNumberFormat="1" applyFont="1" applyBorder="1"/>
    <xf numFmtId="164" fontId="7" fillId="7" borderId="3" xfId="3" applyNumberFormat="1" applyFont="1" applyFill="1" applyBorder="1"/>
    <xf numFmtId="164" fontId="0" fillId="0" borderId="31" xfId="3" applyNumberFormat="1" applyFont="1" applyBorder="1"/>
    <xf numFmtId="164" fontId="0" fillId="0" borderId="1" xfId="3" applyNumberFormat="1" applyFont="1" applyBorder="1" applyAlignment="1"/>
    <xf numFmtId="164" fontId="0" fillId="0" borderId="33" xfId="3" applyNumberFormat="1" applyFont="1" applyBorder="1"/>
    <xf numFmtId="164" fontId="7" fillId="7" borderId="35" xfId="3" applyNumberFormat="1" applyFont="1" applyFill="1" applyBorder="1"/>
    <xf numFmtId="164" fontId="0" fillId="0" borderId="36" xfId="3" applyNumberFormat="1" applyFont="1" applyBorder="1"/>
    <xf numFmtId="164" fontId="0" fillId="0" borderId="29" xfId="3" applyNumberFormat="1" applyFont="1" applyBorder="1"/>
    <xf numFmtId="164" fontId="0" fillId="0" borderId="39" xfId="3" applyNumberFormat="1" applyFont="1" applyBorder="1"/>
    <xf numFmtId="164" fontId="0" fillId="0" borderId="19" xfId="3" applyNumberFormat="1" applyFont="1" applyBorder="1"/>
    <xf numFmtId="164" fontId="0" fillId="0" borderId="21" xfId="3" applyNumberFormat="1" applyFont="1" applyBorder="1"/>
    <xf numFmtId="0" fontId="0" fillId="0" borderId="1" xfId="0" applyFill="1" applyBorder="1" applyAlignment="1">
      <alignment horizontal="center"/>
    </xf>
    <xf numFmtId="3" fontId="0" fillId="0" borderId="32" xfId="0" applyNumberFormat="1" applyFill="1" applyBorder="1"/>
    <xf numFmtId="3" fontId="0" fillId="0" borderId="31" xfId="0" applyNumberFormat="1" applyFill="1" applyBorder="1"/>
    <xf numFmtId="0" fontId="0" fillId="6" borderId="7" xfId="0" applyFill="1" applyBorder="1" applyAlignment="1">
      <alignment horizontal="center"/>
    </xf>
    <xf numFmtId="3" fontId="0" fillId="0" borderId="17" xfId="0" applyNumberFormat="1" applyBorder="1"/>
    <xf numFmtId="3" fontId="0" fillId="0" borderId="1" xfId="0" applyNumberFormat="1" applyFill="1" applyBorder="1"/>
    <xf numFmtId="3" fontId="6" fillId="7" borderId="3" xfId="0" applyNumberFormat="1" applyFont="1" applyFill="1" applyBorder="1"/>
    <xf numFmtId="3" fontId="7" fillId="7" borderId="4" xfId="0" applyNumberFormat="1" applyFont="1" applyFill="1" applyBorder="1" applyAlignment="1">
      <alignment horizontal="right"/>
    </xf>
    <xf numFmtId="3" fontId="7" fillId="7" borderId="4" xfId="0" applyNumberFormat="1" applyFont="1" applyFill="1" applyBorder="1" applyAlignment="1">
      <alignment horizontal="center"/>
    </xf>
    <xf numFmtId="3" fontId="7" fillId="7" borderId="4" xfId="3" applyNumberFormat="1" applyFont="1" applyFill="1" applyBorder="1"/>
    <xf numFmtId="3" fontId="6" fillId="7" borderId="4" xfId="1" applyNumberFormat="1" applyFont="1" applyFill="1" applyBorder="1"/>
    <xf numFmtId="3" fontId="6" fillId="7" borderId="12" xfId="1" applyNumberFormat="1" applyFont="1" applyFill="1" applyBorder="1"/>
    <xf numFmtId="3" fontId="7" fillId="7" borderId="3" xfId="3" applyNumberFormat="1" applyFont="1" applyFill="1" applyBorder="1"/>
    <xf numFmtId="3" fontId="6" fillId="7" borderId="5" xfId="1" applyNumberFormat="1" applyFont="1" applyFill="1" applyBorder="1"/>
    <xf numFmtId="3" fontId="7" fillId="7" borderId="35" xfId="3" applyNumberFormat="1" applyFont="1" applyFill="1" applyBorder="1"/>
    <xf numFmtId="3" fontId="0" fillId="0" borderId="0" xfId="0" applyNumberFormat="1"/>
    <xf numFmtId="164" fontId="0" fillId="0" borderId="25" xfId="3" applyNumberFormat="1" applyFont="1" applyBorder="1"/>
    <xf numFmtId="0" fontId="0" fillId="6" borderId="7" xfId="0" applyFill="1" applyBorder="1" applyAlignment="1">
      <alignment horizontal="center"/>
    </xf>
    <xf numFmtId="0" fontId="0" fillId="0" borderId="1" xfId="0" applyBorder="1" applyAlignment="1">
      <alignment horizontal="right"/>
    </xf>
    <xf numFmtId="164" fontId="0" fillId="0" borderId="32" xfId="3" applyNumberFormat="1" applyFont="1" applyFill="1" applyBorder="1"/>
    <xf numFmtId="9" fontId="6" fillId="7" borderId="12" xfId="1" applyNumberFormat="1" applyFont="1" applyFill="1" applyBorder="1"/>
    <xf numFmtId="9" fontId="6" fillId="7" borderId="4" xfId="1" applyNumberFormat="1" applyFont="1" applyFill="1" applyBorder="1"/>
    <xf numFmtId="9" fontId="6" fillId="7" borderId="5" xfId="1" applyNumberFormat="1" applyFont="1" applyFill="1" applyBorder="1"/>
    <xf numFmtId="164" fontId="1" fillId="0" borderId="32" xfId="3" applyNumberFormat="1" applyFont="1" applyFill="1" applyBorder="1"/>
    <xf numFmtId="0" fontId="0" fillId="0" borderId="32" xfId="0" applyFill="1" applyBorder="1"/>
    <xf numFmtId="0" fontId="0" fillId="0" borderId="0" xfId="0" applyBorder="1"/>
    <xf numFmtId="0" fontId="0" fillId="2" borderId="6" xfId="0" applyFill="1" applyBorder="1" applyAlignment="1"/>
    <xf numFmtId="0" fontId="0" fillId="2" borderId="12" xfId="0" applyFill="1" applyBorder="1" applyAlignment="1"/>
    <xf numFmtId="0" fontId="0" fillId="2" borderId="5" xfId="0" applyFill="1" applyBorder="1" applyAlignment="1"/>
    <xf numFmtId="164" fontId="0" fillId="0" borderId="9" xfId="3" applyNumberFormat="1" applyFont="1" applyBorder="1"/>
    <xf numFmtId="9" fontId="1" fillId="0" borderId="41" xfId="1" applyFont="1" applyFill="1" applyBorder="1"/>
    <xf numFmtId="3" fontId="0" fillId="0" borderId="0" xfId="0" applyNumberFormat="1" applyBorder="1"/>
    <xf numFmtId="3" fontId="0" fillId="0" borderId="29" xfId="3" applyNumberFormat="1" applyFont="1" applyBorder="1"/>
    <xf numFmtId="3" fontId="0" fillId="0" borderId="25" xfId="3" applyNumberFormat="1" applyFont="1" applyBorder="1"/>
    <xf numFmtId="3" fontId="0" fillId="0" borderId="19" xfId="3" applyNumberFormat="1" applyFont="1" applyBorder="1"/>
    <xf numFmtId="3" fontId="0" fillId="0" borderId="1" xfId="3" applyNumberFormat="1" applyFont="1" applyBorder="1"/>
    <xf numFmtId="0" fontId="0" fillId="0" borderId="0" xfId="0" applyFill="1"/>
    <xf numFmtId="0" fontId="0" fillId="0" borderId="1" xfId="0" applyFill="1" applyBorder="1"/>
    <xf numFmtId="165" fontId="0" fillId="0" borderId="29" xfId="3" applyNumberFormat="1" applyFont="1" applyBorder="1"/>
    <xf numFmtId="165" fontId="0" fillId="0" borderId="25" xfId="3" applyNumberFormat="1" applyFont="1" applyBorder="1"/>
    <xf numFmtId="3" fontId="7" fillId="7" borderId="3" xfId="0" applyNumberFormat="1" applyFont="1" applyFill="1" applyBorder="1"/>
    <xf numFmtId="14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0" fillId="2" borderId="28" xfId="0" applyFill="1" applyBorder="1"/>
    <xf numFmtId="0" fontId="0" fillId="2" borderId="13" xfId="0" applyFill="1" applyBorder="1"/>
    <xf numFmtId="0" fontId="0" fillId="2" borderId="26" xfId="0" applyFill="1" applyBorder="1"/>
    <xf numFmtId="0" fontId="0" fillId="2" borderId="14" xfId="0" applyFill="1" applyBorder="1"/>
    <xf numFmtId="0" fontId="0" fillId="6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/>
    <xf numFmtId="0" fontId="0" fillId="0" borderId="9" xfId="0" applyBorder="1" applyAlignment="1">
      <alignment horizontal="center"/>
    </xf>
    <xf numFmtId="164" fontId="0" fillId="0" borderId="42" xfId="3" applyNumberFormat="1" applyFont="1" applyBorder="1"/>
    <xf numFmtId="0" fontId="0" fillId="0" borderId="9" xfId="0" applyBorder="1"/>
    <xf numFmtId="9" fontId="1" fillId="0" borderId="9" xfId="1" applyFont="1" applyFill="1" applyBorder="1"/>
    <xf numFmtId="9" fontId="1" fillId="0" borderId="16" xfId="1" applyFont="1" applyFill="1" applyBorder="1"/>
    <xf numFmtId="164" fontId="0" fillId="0" borderId="43" xfId="3" applyNumberFormat="1" applyFont="1" applyBorder="1"/>
    <xf numFmtId="164" fontId="0" fillId="0" borderId="18" xfId="3" applyNumberFormat="1" applyFont="1" applyBorder="1"/>
    <xf numFmtId="164" fontId="0" fillId="0" borderId="1" xfId="3" applyNumberFormat="1" applyFont="1" applyFill="1" applyBorder="1"/>
    <xf numFmtId="0" fontId="0" fillId="0" borderId="19" xfId="0" applyFill="1" applyBorder="1"/>
    <xf numFmtId="164" fontId="0" fillId="0" borderId="31" xfId="3" applyNumberFormat="1" applyFont="1" applyFill="1" applyBorder="1"/>
    <xf numFmtId="164" fontId="0" fillId="0" borderId="36" xfId="3" applyNumberFormat="1" applyFont="1" applyFill="1" applyBorder="1"/>
    <xf numFmtId="164" fontId="0" fillId="0" borderId="19" xfId="3" applyNumberFormat="1" applyFont="1" applyFill="1" applyBorder="1"/>
    <xf numFmtId="165" fontId="0" fillId="0" borderId="1" xfId="3" applyNumberFormat="1" applyFont="1" applyBorder="1"/>
    <xf numFmtId="165" fontId="0" fillId="0" borderId="32" xfId="3" applyNumberFormat="1" applyFont="1" applyBorder="1"/>
    <xf numFmtId="0" fontId="0" fillId="0" borderId="31" xfId="0" applyFill="1" applyBorder="1"/>
    <xf numFmtId="0" fontId="0" fillId="0" borderId="32" xfId="0" applyFill="1" applyBorder="1" applyAlignment="1">
      <alignment horizontal="center"/>
    </xf>
    <xf numFmtId="164" fontId="0" fillId="0" borderId="29" xfId="3" applyNumberFormat="1" applyFont="1" applyFill="1" applyBorder="1"/>
    <xf numFmtId="164" fontId="0" fillId="0" borderId="39" xfId="3" applyNumberFormat="1" applyFont="1" applyFill="1" applyBorder="1"/>
    <xf numFmtId="3" fontId="0" fillId="0" borderId="0" xfId="0" applyNumberFormat="1" applyFill="1"/>
    <xf numFmtId="4" fontId="2" fillId="0" borderId="44" xfId="6" applyNumberFormat="1" applyFont="1" applyBorder="1" applyAlignment="1">
      <alignment horizontal="right" vertical="top" wrapText="1"/>
    </xf>
    <xf numFmtId="3" fontId="0" fillId="0" borderId="20" xfId="0" applyNumberFormat="1" applyFill="1" applyBorder="1"/>
    <xf numFmtId="0" fontId="0" fillId="0" borderId="1" xfId="0" applyFill="1" applyBorder="1" applyAlignment="1"/>
    <xf numFmtId="0" fontId="0" fillId="10" borderId="32" xfId="0" applyFill="1" applyBorder="1"/>
    <xf numFmtId="0" fontId="0" fillId="4" borderId="32" xfId="0" applyFill="1" applyBorder="1"/>
    <xf numFmtId="0" fontId="0" fillId="6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4" borderId="19" xfId="0" applyFill="1" applyBorder="1"/>
    <xf numFmtId="3" fontId="0" fillId="11" borderId="31" xfId="0" applyNumberFormat="1" applyFill="1" applyBorder="1"/>
    <xf numFmtId="164" fontId="0" fillId="0" borderId="0" xfId="3" applyNumberFormat="1" applyFont="1" applyBorder="1"/>
    <xf numFmtId="9" fontId="1" fillId="0" borderId="0" xfId="1" applyFont="1" applyFill="1" applyBorder="1"/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4" fillId="8" borderId="7" xfId="0" applyFont="1" applyFill="1" applyBorder="1" applyAlignment="1">
      <alignment horizontal="center" wrapText="1"/>
    </xf>
    <xf numFmtId="0" fontId="0" fillId="9" borderId="8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14" fillId="12" borderId="45" xfId="7" applyNumberFormat="1" applyFont="1" applyFill="1" applyBorder="1" applyAlignment="1">
      <alignment horizontal="right" vertical="top"/>
    </xf>
  </cellXfs>
  <cellStyles count="8">
    <cellStyle name="Обычный" xfId="0" builtinId="0"/>
    <cellStyle name="Обычный 11" xfId="4" xr:uid="{BDF01422-ACCF-42BE-A87B-23F6E8792269}"/>
    <cellStyle name="Обычный 2 18" xfId="2" xr:uid="{8BCDDF5F-260F-462B-8721-3C4A13A57D11}"/>
    <cellStyle name="Обычный 2 3" xfId="5" xr:uid="{9396FBD9-0168-4D13-B012-4DD65981D455}"/>
    <cellStyle name="Обычный_ООН 2025" xfId="6" xr:uid="{ECD7A9F2-ABD4-46DB-A264-1FD51C8821A5}"/>
    <cellStyle name="Обычный_Оріль" xfId="7" xr:uid="{A078D1A4-99D1-4EB3-A60D-214E49C8232D}"/>
    <cellStyle name="Процентный" xfId="1" builtinId="5"/>
    <cellStyle name="Финансовый" xfId="3" builtinId="3"/>
  </cellStyles>
  <dxfs count="279"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D391-FF40-4D46-920D-136B8E45AC73}">
  <dimension ref="A1:AB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4" sqref="B14"/>
    </sheetView>
  </sheetViews>
  <sheetFormatPr defaultRowHeight="14.4" outlineLevelRow="1" outlineLevelCol="1" x14ac:dyDescent="0.3"/>
  <cols>
    <col min="1" max="1" width="5.33203125" bestFit="1" customWidth="1"/>
    <col min="2" max="2" width="20.88671875" customWidth="1"/>
    <col min="3" max="3" width="12.6640625" style="2" customWidth="1"/>
    <col min="4" max="4" width="12.6640625" customWidth="1"/>
    <col min="5" max="8" width="12.6640625" hidden="1" customWidth="1" outlineLevel="1"/>
    <col min="9" max="9" width="12.6640625" customWidth="1" collapsed="1"/>
    <col min="10" max="16" width="12.6640625" customWidth="1"/>
    <col min="17" max="19" width="12.6640625" hidden="1" customWidth="1" outlineLevel="1"/>
    <col min="20" max="20" width="12.6640625" customWidth="1" collapsed="1"/>
    <col min="21" max="22" width="12.6640625" customWidth="1"/>
    <col min="23" max="25" width="12.6640625" hidden="1" customWidth="1" outlineLevel="1"/>
    <col min="26" max="26" width="11.109375" customWidth="1" collapsed="1"/>
    <col min="27" max="27" width="10.6640625" customWidth="1"/>
  </cols>
  <sheetData>
    <row r="1" spans="1:28" s="7" customFormat="1" ht="16.2" thickBot="1" x14ac:dyDescent="0.35">
      <c r="B1" s="1">
        <f ca="1">TODAY()</f>
        <v>46198</v>
      </c>
      <c r="C1" s="2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 s="6"/>
      <c r="W1"/>
      <c r="X1"/>
      <c r="Y1"/>
    </row>
    <row r="2" spans="1:28" ht="16.2" thickBot="1" x14ac:dyDescent="0.35">
      <c r="A2" s="18"/>
      <c r="B2" s="56"/>
      <c r="C2" s="165" t="s">
        <v>46</v>
      </c>
      <c r="D2" s="166"/>
      <c r="E2" s="166"/>
      <c r="F2" s="166"/>
      <c r="G2" s="166"/>
      <c r="H2" s="167"/>
      <c r="I2" s="168" t="s">
        <v>44</v>
      </c>
      <c r="J2" s="169"/>
      <c r="K2" s="169"/>
      <c r="L2" s="169"/>
      <c r="M2" s="170"/>
      <c r="N2" s="171" t="s">
        <v>49</v>
      </c>
      <c r="O2" s="172"/>
      <c r="P2" s="172"/>
      <c r="Q2" s="172"/>
      <c r="R2" s="172"/>
      <c r="S2" s="173"/>
      <c r="T2" s="171" t="s">
        <v>100</v>
      </c>
      <c r="U2" s="172"/>
      <c r="V2" s="172"/>
      <c r="W2" s="172"/>
      <c r="X2" s="172"/>
      <c r="Y2" s="173"/>
      <c r="Z2" s="161" t="s">
        <v>66</v>
      </c>
      <c r="AA2" s="162"/>
      <c r="AB2" s="162"/>
    </row>
    <row r="3" spans="1:28" ht="60.75" customHeight="1" thickBot="1" x14ac:dyDescent="0.35">
      <c r="A3" s="57" t="s">
        <v>36</v>
      </c>
      <c r="B3" s="14" t="s">
        <v>37</v>
      </c>
      <c r="C3" s="15" t="s">
        <v>59</v>
      </c>
      <c r="D3" s="16" t="s">
        <v>60</v>
      </c>
      <c r="E3" s="16" t="s">
        <v>40</v>
      </c>
      <c r="F3" s="16" t="s">
        <v>41</v>
      </c>
      <c r="G3" s="16" t="s">
        <v>42</v>
      </c>
      <c r="H3" s="17" t="s">
        <v>61</v>
      </c>
      <c r="I3" s="174" t="s">
        <v>45</v>
      </c>
      <c r="J3" s="175"/>
      <c r="K3" s="174" t="s">
        <v>101</v>
      </c>
      <c r="L3" s="176"/>
      <c r="M3" s="175"/>
      <c r="N3" s="177" t="s">
        <v>62</v>
      </c>
      <c r="O3" s="178"/>
      <c r="P3" s="179"/>
      <c r="Q3" s="177" t="s">
        <v>63</v>
      </c>
      <c r="R3" s="178"/>
      <c r="S3" s="179"/>
      <c r="T3" s="177" t="s">
        <v>62</v>
      </c>
      <c r="U3" s="178"/>
      <c r="V3" s="179"/>
      <c r="W3" s="177" t="s">
        <v>63</v>
      </c>
      <c r="X3" s="178"/>
      <c r="Y3" s="179"/>
      <c r="Z3" s="163" t="s">
        <v>67</v>
      </c>
      <c r="AA3" s="164"/>
      <c r="AB3" s="164"/>
    </row>
    <row r="4" spans="1:28" ht="15" thickBot="1" x14ac:dyDescent="0.35">
      <c r="A4" s="26"/>
      <c r="B4" s="27"/>
      <c r="C4" s="28"/>
      <c r="D4" s="29"/>
      <c r="E4" s="29"/>
      <c r="F4" s="29"/>
      <c r="G4" s="27"/>
      <c r="H4" s="44"/>
      <c r="I4" s="43" t="s">
        <v>2</v>
      </c>
      <c r="J4" s="27" t="s">
        <v>3</v>
      </c>
      <c r="K4" s="27" t="s">
        <v>1</v>
      </c>
      <c r="L4" s="27" t="s">
        <v>2</v>
      </c>
      <c r="M4" s="44" t="s">
        <v>3</v>
      </c>
      <c r="N4" s="43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44" t="s">
        <v>3</v>
      </c>
      <c r="T4" s="43" t="s">
        <v>1</v>
      </c>
      <c r="U4" s="27" t="s">
        <v>38</v>
      </c>
      <c r="V4" s="27" t="s">
        <v>3</v>
      </c>
      <c r="W4" s="27" t="s">
        <v>1</v>
      </c>
      <c r="X4" s="27" t="s">
        <v>2</v>
      </c>
      <c r="Y4" s="44" t="s">
        <v>3</v>
      </c>
      <c r="Z4" s="103" t="s">
        <v>1</v>
      </c>
      <c r="AA4" s="104" t="s">
        <v>2</v>
      </c>
      <c r="AB4" s="105" t="s">
        <v>3</v>
      </c>
    </row>
    <row r="5" spans="1:28" ht="19.2" customHeight="1" thickBot="1" x14ac:dyDescent="0.4">
      <c r="A5" s="36"/>
      <c r="B5" s="37" t="s">
        <v>73</v>
      </c>
      <c r="C5" s="38">
        <f>SUM(C6:C12)</f>
        <v>49.2</v>
      </c>
      <c r="D5" s="39">
        <f>SUM(D6:D12)</f>
        <v>366029.40520446101</v>
      </c>
      <c r="E5" s="39">
        <f>SUM(E6:E12)</f>
        <v>0</v>
      </c>
      <c r="F5" s="39">
        <f>SUM(F6:F12)</f>
        <v>144217.97858736062</v>
      </c>
      <c r="G5" s="39">
        <f>SUM(G6:G12)</f>
        <v>1938.1263940520448</v>
      </c>
      <c r="H5" s="58">
        <f>H6</f>
        <v>150</v>
      </c>
      <c r="I5" s="45">
        <f>SUM(I6:I12)</f>
        <v>49.201000000000001</v>
      </c>
      <c r="J5" s="41">
        <f t="shared" ref="J5:J6" si="0">1-(C5-I5)/C5</f>
        <v>1.000020325203252</v>
      </c>
      <c r="K5" s="40">
        <f>SUM(K6:K12)</f>
        <v>0</v>
      </c>
      <c r="L5" s="40">
        <f>SUM(L6:L12)</f>
        <v>0</v>
      </c>
      <c r="M5" s="46">
        <f>IFERROR(1-(K5-L5)/K5,0)</f>
        <v>0</v>
      </c>
      <c r="N5" s="117">
        <f>SUM(N6:N12)</f>
        <v>1938.1263940520448</v>
      </c>
      <c r="O5" s="40">
        <f>SUM(O6:O12)</f>
        <v>2352</v>
      </c>
      <c r="P5" s="41">
        <f t="shared" ref="P5:P6" si="1">IFERROR(1-(N5-O5)/N5,0)</f>
        <v>1.2135431451829459</v>
      </c>
      <c r="Q5" s="40">
        <f>SUM(Q6:Q12)</f>
        <v>290718.95910780673</v>
      </c>
      <c r="R5" s="40">
        <f>SUM(R6:R12)</f>
        <v>352800</v>
      </c>
      <c r="S5" s="46">
        <f t="shared" ref="S5:S6" si="2">IFERROR(1-(Q5-R5)/Q5,0)</f>
        <v>1.2135431451829459</v>
      </c>
      <c r="T5" s="45">
        <f>SUM(T6:T12)</f>
        <v>0</v>
      </c>
      <c r="U5" s="40">
        <f>SUM(U6:U12)</f>
        <v>0</v>
      </c>
      <c r="V5" s="41">
        <f>IFERROR(1-(T5-U5)/T5,0)</f>
        <v>0</v>
      </c>
      <c r="W5" s="40">
        <f>SUM(W6:W12)</f>
        <v>0</v>
      </c>
      <c r="X5" s="40">
        <f>SUM(X6:X12)</f>
        <v>0</v>
      </c>
      <c r="Y5" s="46">
        <f t="shared" ref="Y5:Y6" si="3">IFERROR(1-(W5-X5)/W5,0)</f>
        <v>0</v>
      </c>
      <c r="Z5" s="89">
        <f>SUM(Z6:Z12)</f>
        <v>144217.97858736062</v>
      </c>
      <c r="AA5" s="86">
        <f>SUM(AA6:AA12)</f>
        <v>164493.88799999998</v>
      </c>
      <c r="AB5" s="99">
        <f>IFERROR(1-(Z5-AA5)/Z5,0)</f>
        <v>1.1405921065545732</v>
      </c>
    </row>
    <row r="6" spans="1:28" outlineLevel="1" x14ac:dyDescent="0.3">
      <c r="A6" s="19"/>
      <c r="B6" s="3" t="s">
        <v>73</v>
      </c>
      <c r="C6" s="4">
        <f>80.7/80.7*49.2</f>
        <v>49.2</v>
      </c>
      <c r="D6" s="33">
        <f>600377.5/80.7*49.2</f>
        <v>366029.40520446101</v>
      </c>
      <c r="E6" s="33"/>
      <c r="F6" s="33">
        <f>236552.66/80.7*49.2</f>
        <v>144217.97858736062</v>
      </c>
      <c r="G6" s="33">
        <f>3179/80.7*49.2</f>
        <v>1938.1263940520448</v>
      </c>
      <c r="H6" s="81">
        <v>150</v>
      </c>
      <c r="I6" s="19">
        <v>49.201000000000001</v>
      </c>
      <c r="J6" s="34">
        <f t="shared" si="0"/>
        <v>1.000020325203252</v>
      </c>
      <c r="K6" s="31"/>
      <c r="L6" s="101"/>
      <c r="M6" s="48">
        <f t="shared" ref="M6" si="4">IFERROR(1-(K6-L6)/K6,0)</f>
        <v>0</v>
      </c>
      <c r="N6" s="47">
        <f>G6</f>
        <v>1938.1263940520448</v>
      </c>
      <c r="O6" s="31">
        <v>2352</v>
      </c>
      <c r="P6" s="34">
        <f t="shared" si="1"/>
        <v>1.2135431451829459</v>
      </c>
      <c r="Q6" s="33">
        <f>N6*H6</f>
        <v>290718.95910780673</v>
      </c>
      <c r="R6" s="33">
        <f>O6*H6</f>
        <v>352800</v>
      </c>
      <c r="S6" s="48">
        <f t="shared" si="2"/>
        <v>1.2135431451829459</v>
      </c>
      <c r="T6" s="47">
        <f>K6*(G6/C6)</f>
        <v>0</v>
      </c>
      <c r="U6" s="31"/>
      <c r="V6" s="34">
        <f t="shared" ref="V6" si="5">IFERROR(1-(T6-U6)/T6,0)</f>
        <v>0</v>
      </c>
      <c r="W6" s="33">
        <f t="shared" ref="W6" si="6">T6*H6</f>
        <v>0</v>
      </c>
      <c r="X6" s="31">
        <f>U6*H6</f>
        <v>0</v>
      </c>
      <c r="Y6" s="48">
        <f t="shared" si="3"/>
        <v>0</v>
      </c>
      <c r="Z6" s="115">
        <f>IF(I6&lt;&gt;0,F6,0)</f>
        <v>144217.97858736062</v>
      </c>
      <c r="AA6" s="116">
        <f>(50124.87+86953.37)*1.2</f>
        <v>164493.88799999998</v>
      </c>
      <c r="AB6" s="62">
        <f t="shared" ref="AB6:AB12" si="7">IFERROR(1-(Z6-AA6)/Z6,0)</f>
        <v>1.1405921065545732</v>
      </c>
    </row>
    <row r="7" spans="1:28" outlineLevel="1" x14ac:dyDescent="0.3">
      <c r="A7" s="19"/>
      <c r="B7" s="3"/>
      <c r="C7" s="4"/>
      <c r="D7" s="33"/>
      <c r="E7" s="8"/>
      <c r="F7" s="8"/>
      <c r="G7" s="33"/>
      <c r="H7" s="59"/>
      <c r="I7" s="19"/>
      <c r="J7" s="9"/>
      <c r="K7" s="3"/>
      <c r="L7" s="3"/>
      <c r="M7" s="50"/>
      <c r="N7" s="79"/>
      <c r="O7" s="31"/>
      <c r="P7" s="9"/>
      <c r="Q7" s="33"/>
      <c r="R7" s="31"/>
      <c r="S7" s="50"/>
      <c r="T7" s="49"/>
      <c r="U7" s="3"/>
      <c r="V7" s="9"/>
      <c r="W7" s="8"/>
      <c r="X7" s="3"/>
      <c r="Y7" s="50"/>
      <c r="Z7" s="75">
        <f t="shared" ref="Z7:Z12" si="8">IF(I7&lt;&gt;0,F7,0)</f>
        <v>0</v>
      </c>
      <c r="AA7" s="65"/>
      <c r="AB7" s="50">
        <f t="shared" si="7"/>
        <v>0</v>
      </c>
    </row>
    <row r="8" spans="1:28" outlineLevel="1" x14ac:dyDescent="0.3">
      <c r="A8" s="19"/>
      <c r="B8" s="3"/>
      <c r="C8" s="4"/>
      <c r="D8" s="33"/>
      <c r="E8" s="8"/>
      <c r="F8" s="8"/>
      <c r="G8" s="33"/>
      <c r="H8" s="59"/>
      <c r="I8" s="19"/>
      <c r="J8" s="9"/>
      <c r="K8" s="3"/>
      <c r="L8" s="3"/>
      <c r="M8" s="50"/>
      <c r="N8" s="79"/>
      <c r="O8" s="31"/>
      <c r="P8" s="9"/>
      <c r="Q8" s="33"/>
      <c r="R8" s="31"/>
      <c r="S8" s="50"/>
      <c r="T8" s="49"/>
      <c r="U8" s="3"/>
      <c r="V8" s="9"/>
      <c r="W8" s="8"/>
      <c r="X8" s="3"/>
      <c r="Y8" s="50"/>
      <c r="Z8" s="75">
        <f t="shared" si="8"/>
        <v>0</v>
      </c>
      <c r="AA8" s="102"/>
      <c r="AB8" s="50">
        <f t="shared" si="7"/>
        <v>0</v>
      </c>
    </row>
    <row r="9" spans="1:28" outlineLevel="1" x14ac:dyDescent="0.3">
      <c r="A9" s="19"/>
      <c r="B9" s="3"/>
      <c r="C9" s="4"/>
      <c r="D9" s="33"/>
      <c r="E9" s="8"/>
      <c r="F9" s="8"/>
      <c r="G9" s="33"/>
      <c r="H9" s="59"/>
      <c r="I9" s="19"/>
      <c r="J9" s="9"/>
      <c r="K9" s="3"/>
      <c r="L9" s="3"/>
      <c r="M9" s="50"/>
      <c r="N9" s="79"/>
      <c r="O9" s="31"/>
      <c r="P9" s="9"/>
      <c r="Q9" s="33"/>
      <c r="R9" s="31"/>
      <c r="S9" s="50"/>
      <c r="T9" s="49"/>
      <c r="U9" s="3"/>
      <c r="V9" s="9"/>
      <c r="W9" s="8"/>
      <c r="X9" s="3"/>
      <c r="Y9" s="50"/>
      <c r="Z9" s="75">
        <f t="shared" si="8"/>
        <v>0</v>
      </c>
      <c r="AA9" s="65"/>
      <c r="AB9" s="50">
        <f t="shared" si="7"/>
        <v>0</v>
      </c>
    </row>
    <row r="10" spans="1:28" outlineLevel="1" x14ac:dyDescent="0.3">
      <c r="A10" s="19"/>
      <c r="B10" s="3"/>
      <c r="C10" s="4"/>
      <c r="D10" s="33"/>
      <c r="E10" s="8"/>
      <c r="F10" s="8"/>
      <c r="G10" s="33"/>
      <c r="H10" s="59"/>
      <c r="I10" s="19"/>
      <c r="J10" s="9"/>
      <c r="K10" s="3"/>
      <c r="L10" s="3"/>
      <c r="M10" s="50"/>
      <c r="N10" s="79"/>
      <c r="O10" s="31"/>
      <c r="P10" s="9"/>
      <c r="Q10" s="33"/>
      <c r="R10" s="31"/>
      <c r="S10" s="50"/>
      <c r="T10" s="49"/>
      <c r="U10" s="3"/>
      <c r="V10" s="9"/>
      <c r="W10" s="8"/>
      <c r="X10" s="3"/>
      <c r="Y10" s="50"/>
      <c r="Z10" s="75">
        <f t="shared" si="8"/>
        <v>0</v>
      </c>
      <c r="AA10" s="65"/>
      <c r="AB10" s="50">
        <f t="shared" si="7"/>
        <v>0</v>
      </c>
    </row>
    <row r="11" spans="1:28" outlineLevel="1" x14ac:dyDescent="0.3">
      <c r="A11" s="19"/>
      <c r="B11" s="3"/>
      <c r="C11" s="4"/>
      <c r="D11" s="33"/>
      <c r="E11" s="8"/>
      <c r="F11" s="8"/>
      <c r="G11" s="33"/>
      <c r="H11" s="59"/>
      <c r="I11" s="19"/>
      <c r="J11" s="9"/>
      <c r="K11" s="3"/>
      <c r="L11" s="3"/>
      <c r="M11" s="50"/>
      <c r="N11" s="47"/>
      <c r="O11" s="31"/>
      <c r="P11" s="9"/>
      <c r="Q11" s="33"/>
      <c r="R11" s="31"/>
      <c r="S11" s="50"/>
      <c r="T11" s="49"/>
      <c r="U11" s="3"/>
      <c r="V11" s="9"/>
      <c r="W11" s="8"/>
      <c r="X11" s="3"/>
      <c r="Y11" s="50"/>
      <c r="Z11" s="75">
        <f t="shared" si="8"/>
        <v>0</v>
      </c>
      <c r="AA11" s="65"/>
      <c r="AB11" s="50">
        <f t="shared" si="7"/>
        <v>0</v>
      </c>
    </row>
    <row r="12" spans="1:28" ht="15" outlineLevel="1" thickBot="1" x14ac:dyDescent="0.35">
      <c r="A12" s="19"/>
      <c r="B12" s="21"/>
      <c r="C12" s="22"/>
      <c r="D12" s="55"/>
      <c r="E12" s="23"/>
      <c r="F12" s="23"/>
      <c r="G12" s="55"/>
      <c r="H12" s="60"/>
      <c r="I12" s="20"/>
      <c r="J12" s="24"/>
      <c r="K12" s="21"/>
      <c r="L12" s="21"/>
      <c r="M12" s="52"/>
      <c r="N12" s="53"/>
      <c r="O12" s="54"/>
      <c r="P12" s="24"/>
      <c r="Q12" s="55"/>
      <c r="R12" s="54"/>
      <c r="S12" s="52"/>
      <c r="T12" s="51"/>
      <c r="U12" s="21"/>
      <c r="V12" s="24"/>
      <c r="W12" s="23"/>
      <c r="X12" s="21"/>
      <c r="Y12" s="52"/>
      <c r="Z12" s="76">
        <f t="shared" si="8"/>
        <v>0</v>
      </c>
      <c r="AA12" s="66"/>
      <c r="AB12" s="52">
        <f t="shared" si="7"/>
        <v>0</v>
      </c>
    </row>
  </sheetData>
  <mergeCells count="12">
    <mergeCell ref="Z2:AB2"/>
    <mergeCell ref="Z3:AB3"/>
    <mergeCell ref="C2:H2"/>
    <mergeCell ref="I2:M2"/>
    <mergeCell ref="N2:S2"/>
    <mergeCell ref="T2:Y2"/>
    <mergeCell ref="I3:J3"/>
    <mergeCell ref="K3:M3"/>
    <mergeCell ref="N3:P3"/>
    <mergeCell ref="Q3:S3"/>
    <mergeCell ref="T3:V3"/>
    <mergeCell ref="W3:Y3"/>
  </mergeCells>
  <conditionalFormatting sqref="I5:J12">
    <cfRule type="expression" dxfId="278" priority="15">
      <formula>$J5=1</formula>
    </cfRule>
  </conditionalFormatting>
  <conditionalFormatting sqref="K5:M12">
    <cfRule type="expression" dxfId="277" priority="14">
      <formula>$M5=1</formula>
    </cfRule>
  </conditionalFormatting>
  <conditionalFormatting sqref="M5:M12">
    <cfRule type="cellIs" dxfId="276" priority="16" operator="greaterThan">
      <formula>100</formula>
    </cfRule>
  </conditionalFormatting>
  <conditionalFormatting sqref="N5:P12">
    <cfRule type="expression" dxfId="275" priority="12">
      <formula>$P5&gt;1.3</formula>
    </cfRule>
    <cfRule type="expression" dxfId="274" priority="13">
      <formula>$P5&gt;1</formula>
    </cfRule>
  </conditionalFormatting>
  <conditionalFormatting sqref="Q5:S12">
    <cfRule type="expression" dxfId="273" priority="10">
      <formula>$S5&gt;1.3</formula>
    </cfRule>
    <cfRule type="expression" dxfId="272" priority="11">
      <formula>$S5&gt;1</formula>
    </cfRule>
  </conditionalFormatting>
  <conditionalFormatting sqref="T5:V12">
    <cfRule type="expression" dxfId="271" priority="8">
      <formula>$V5&gt;1.3</formula>
    </cfRule>
    <cfRule type="expression" dxfId="270" priority="9">
      <formula>$V5&gt;1</formula>
    </cfRule>
  </conditionalFormatting>
  <conditionalFormatting sqref="W5:Y12">
    <cfRule type="expression" dxfId="269" priority="6">
      <formula>$Y5&gt;1.3</formula>
    </cfRule>
    <cfRule type="expression" dxfId="268" priority="7">
      <formula>$Y5&gt;1</formula>
    </cfRule>
  </conditionalFormatting>
  <conditionalFormatting sqref="Z5:AB5 AA6:AB7 Z6:Z12 AB8 AA9:AB12">
    <cfRule type="expression" dxfId="267" priority="3">
      <formula>$AU5&gt;1.3</formula>
    </cfRule>
    <cfRule type="expression" dxfId="266" priority="4">
      <formula>$AU5&gt;1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C816-F4E5-472F-A509-B0CF1BA9CCB9}">
  <dimension ref="A1:AB17"/>
  <sheetViews>
    <sheetView workbookViewId="0">
      <selection activeCell="B19" sqref="B19"/>
    </sheetView>
  </sheetViews>
  <sheetFormatPr defaultRowHeight="14.4" outlineLevelRow="1" outlineLevelCol="1" x14ac:dyDescent="0.3"/>
  <cols>
    <col min="1" max="1" width="5.33203125" bestFit="1" customWidth="1"/>
    <col min="2" max="2" width="20.6640625" customWidth="1"/>
    <col min="3" max="3" width="12.6640625" style="121" customWidth="1"/>
    <col min="4" max="4" width="12.6640625" customWidth="1"/>
    <col min="5" max="8" width="12.6640625" hidden="1" customWidth="1" outlineLevel="1"/>
    <col min="9" max="9" width="12.6640625" customWidth="1" collapsed="1"/>
    <col min="10" max="16" width="12.6640625" customWidth="1"/>
    <col min="17" max="19" width="12.6640625" hidden="1" customWidth="1" outlineLevel="1"/>
    <col min="20" max="20" width="12.6640625" customWidth="1" collapsed="1"/>
    <col min="21" max="22" width="12.6640625" customWidth="1"/>
    <col min="23" max="25" width="12.6640625" hidden="1" customWidth="1" outlineLevel="1"/>
    <col min="26" max="26" width="10.6640625" customWidth="1" collapsed="1"/>
    <col min="27" max="28" width="10.6640625" customWidth="1"/>
  </cols>
  <sheetData>
    <row r="1" spans="1:28" s="7" customFormat="1" ht="16.2" thickBot="1" x14ac:dyDescent="0.35">
      <c r="B1" s="1">
        <f ca="1">TODAY()</f>
        <v>46198</v>
      </c>
      <c r="C1" s="12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 s="122"/>
      <c r="W1"/>
      <c r="X1"/>
      <c r="Y1"/>
    </row>
    <row r="2" spans="1:28" ht="16.2" thickBot="1" x14ac:dyDescent="0.35">
      <c r="A2" s="18"/>
      <c r="B2" s="56"/>
      <c r="C2" s="165" t="s">
        <v>46</v>
      </c>
      <c r="D2" s="166"/>
      <c r="E2" s="166"/>
      <c r="F2" s="166"/>
      <c r="G2" s="166"/>
      <c r="H2" s="167"/>
      <c r="I2" s="168" t="s">
        <v>44</v>
      </c>
      <c r="J2" s="169"/>
      <c r="K2" s="169"/>
      <c r="L2" s="169"/>
      <c r="M2" s="170"/>
      <c r="N2" s="171" t="s">
        <v>49</v>
      </c>
      <c r="O2" s="172"/>
      <c r="P2" s="172"/>
      <c r="Q2" s="172"/>
      <c r="R2" s="172"/>
      <c r="S2" s="173"/>
      <c r="T2" s="171" t="s">
        <v>100</v>
      </c>
      <c r="U2" s="172"/>
      <c r="V2" s="172"/>
      <c r="W2" s="172"/>
      <c r="X2" s="172"/>
      <c r="Y2" s="173"/>
      <c r="Z2" s="161" t="s">
        <v>66</v>
      </c>
      <c r="AA2" s="162"/>
      <c r="AB2" s="162"/>
    </row>
    <row r="3" spans="1:28" ht="58.2" thickBot="1" x14ac:dyDescent="0.35">
      <c r="A3" s="57" t="s">
        <v>36</v>
      </c>
      <c r="B3" s="14" t="s">
        <v>37</v>
      </c>
      <c r="C3" s="15" t="s">
        <v>59</v>
      </c>
      <c r="D3" s="16" t="s">
        <v>60</v>
      </c>
      <c r="E3" s="16" t="s">
        <v>40</v>
      </c>
      <c r="F3" s="16" t="s">
        <v>41</v>
      </c>
      <c r="G3" s="16" t="s">
        <v>42</v>
      </c>
      <c r="H3" s="17" t="s">
        <v>61</v>
      </c>
      <c r="I3" s="174" t="s">
        <v>45</v>
      </c>
      <c r="J3" s="175"/>
      <c r="K3" s="174" t="s">
        <v>101</v>
      </c>
      <c r="L3" s="176"/>
      <c r="M3" s="175"/>
      <c r="N3" s="177" t="s">
        <v>62</v>
      </c>
      <c r="O3" s="178"/>
      <c r="P3" s="179"/>
      <c r="Q3" s="177" t="s">
        <v>63</v>
      </c>
      <c r="R3" s="178"/>
      <c r="S3" s="179"/>
      <c r="T3" s="177" t="s">
        <v>62</v>
      </c>
      <c r="U3" s="178"/>
      <c r="V3" s="179"/>
      <c r="W3" s="177" t="s">
        <v>63</v>
      </c>
      <c r="X3" s="178"/>
      <c r="Y3" s="179"/>
      <c r="Z3" s="163" t="s">
        <v>67</v>
      </c>
      <c r="AA3" s="164"/>
      <c r="AB3" s="164"/>
    </row>
    <row r="4" spans="1:28" ht="15" thickBot="1" x14ac:dyDescent="0.35">
      <c r="A4" s="26"/>
      <c r="B4" s="123"/>
      <c r="C4" s="28"/>
      <c r="D4" s="124"/>
      <c r="E4" s="124"/>
      <c r="F4" s="124"/>
      <c r="G4" s="123"/>
      <c r="H4" s="125"/>
      <c r="I4" s="126" t="s">
        <v>2</v>
      </c>
      <c r="J4" s="123" t="s">
        <v>3</v>
      </c>
      <c r="K4" s="123" t="s">
        <v>1</v>
      </c>
      <c r="L4" s="123" t="s">
        <v>2</v>
      </c>
      <c r="M4" s="125" t="s">
        <v>3</v>
      </c>
      <c r="N4" s="126" t="s">
        <v>1</v>
      </c>
      <c r="O4" s="123" t="s">
        <v>2</v>
      </c>
      <c r="P4" s="123" t="s">
        <v>3</v>
      </c>
      <c r="Q4" s="123" t="s">
        <v>1</v>
      </c>
      <c r="R4" s="123" t="s">
        <v>2</v>
      </c>
      <c r="S4" s="125" t="s">
        <v>3</v>
      </c>
      <c r="T4" s="126" t="s">
        <v>1</v>
      </c>
      <c r="U4" s="123" t="s">
        <v>38</v>
      </c>
      <c r="V4" s="123" t="s">
        <v>3</v>
      </c>
      <c r="W4" s="123" t="s">
        <v>1</v>
      </c>
      <c r="X4" s="123" t="s">
        <v>2</v>
      </c>
      <c r="Y4" s="125" t="s">
        <v>3</v>
      </c>
      <c r="Z4" s="123" t="s">
        <v>1</v>
      </c>
      <c r="AA4" s="123" t="s">
        <v>2</v>
      </c>
      <c r="AB4" s="123" t="s">
        <v>3</v>
      </c>
    </row>
    <row r="5" spans="1:28" ht="18.600000000000001" thickBot="1" x14ac:dyDescent="0.4">
      <c r="A5" s="36"/>
      <c r="B5" s="37" t="s">
        <v>99</v>
      </c>
      <c r="C5" s="38">
        <f>SUM(C6:C17)</f>
        <v>53.81</v>
      </c>
      <c r="D5" s="39">
        <f>SUM(D6:D17)</f>
        <v>474997.5</v>
      </c>
      <c r="E5" s="39">
        <f>SUM(E6:E17)</f>
        <v>0</v>
      </c>
      <c r="F5" s="39">
        <f>SUM(F6:F17)</f>
        <v>174703.52127046758</v>
      </c>
      <c r="G5" s="39">
        <f>SUM(G6:G17)</f>
        <v>2179</v>
      </c>
      <c r="H5" s="58">
        <f>H6</f>
        <v>150</v>
      </c>
      <c r="I5" s="45">
        <f>SUM(I6:I17)</f>
        <v>55.09</v>
      </c>
      <c r="J5" s="41">
        <f t="shared" ref="J5:J6" si="0">1-(C5-I5)/C5</f>
        <v>1.0237874001115035</v>
      </c>
      <c r="K5" s="40">
        <f>SUM(K6:K17)</f>
        <v>0</v>
      </c>
      <c r="L5" s="40">
        <f>SUM(L6:L17)</f>
        <v>0</v>
      </c>
      <c r="M5" s="46">
        <f>IFERROR(1-(K5-L5)/K5,0)</f>
        <v>0</v>
      </c>
      <c r="N5" s="45">
        <f>SUM(N6:N17)</f>
        <v>2179</v>
      </c>
      <c r="O5" s="40">
        <f>SUM(O6:O17)</f>
        <v>3032</v>
      </c>
      <c r="P5" s="41">
        <f t="shared" ref="P5:P6" si="1">IFERROR(1-(N5-O5)/N5,0)</f>
        <v>1.3914639743001378</v>
      </c>
      <c r="Q5" s="40">
        <f>SUM(Q6:Q17)</f>
        <v>326850</v>
      </c>
      <c r="R5" s="40">
        <f>SUM(R6:R17)</f>
        <v>454800</v>
      </c>
      <c r="S5" s="46">
        <f t="shared" ref="S5:S6" si="2">IFERROR(1-(Q5-R5)/Q5,0)</f>
        <v>1.3914639743001378</v>
      </c>
      <c r="T5" s="45">
        <f>SUM(T6:T17)</f>
        <v>0</v>
      </c>
      <c r="U5" s="40">
        <f>SUM(U6:U17)</f>
        <v>0</v>
      </c>
      <c r="V5" s="41">
        <f>IFERROR(1-(T5-U5)/T5,0)</f>
        <v>0</v>
      </c>
      <c r="W5" s="40">
        <f>SUM(W6:W17)</f>
        <v>0</v>
      </c>
      <c r="X5" s="40">
        <f>SUM(X6:X17)</f>
        <v>0</v>
      </c>
      <c r="Y5" s="46">
        <f t="shared" ref="Y5:Y6" si="3">IFERROR(1-(W5-X5)/W5,0)</f>
        <v>0</v>
      </c>
      <c r="Z5" s="89">
        <f>SUM(Z6:Z14)</f>
        <v>174703.52127046758</v>
      </c>
      <c r="AA5" s="86">
        <f>SUM(AA6:AA14)</f>
        <v>149910.084</v>
      </c>
      <c r="AB5" s="46">
        <f>IFERROR(1-(Z5-AA5)/Z5,0)</f>
        <v>0.85808278453595921</v>
      </c>
    </row>
    <row r="6" spans="1:28" outlineLevel="1" x14ac:dyDescent="0.3">
      <c r="A6" s="30">
        <v>1</v>
      </c>
      <c r="B6" s="3" t="s">
        <v>99</v>
      </c>
      <c r="C6" s="4">
        <v>53.81</v>
      </c>
      <c r="D6" s="33">
        <v>474997.5</v>
      </c>
      <c r="E6" s="33"/>
      <c r="F6" s="33">
        <v>174703.52127046758</v>
      </c>
      <c r="G6" s="33">
        <v>2179</v>
      </c>
      <c r="H6" s="81">
        <v>150</v>
      </c>
      <c r="I6" s="19">
        <f>17.48+18.86+18.75</f>
        <v>55.09</v>
      </c>
      <c r="J6" s="34">
        <f t="shared" si="0"/>
        <v>1.0237874001115035</v>
      </c>
      <c r="K6" s="31">
        <v>0</v>
      </c>
      <c r="L6" s="31">
        <v>0</v>
      </c>
      <c r="M6" s="48">
        <f t="shared" ref="M6" si="4">IFERROR(1-(K6-L6)/K6,0)</f>
        <v>0</v>
      </c>
      <c r="N6" s="47">
        <f>G6</f>
        <v>2179</v>
      </c>
      <c r="O6" s="31">
        <v>3032</v>
      </c>
      <c r="P6" s="34">
        <f t="shared" si="1"/>
        <v>1.3914639743001378</v>
      </c>
      <c r="Q6" s="33">
        <f>N6*H6</f>
        <v>326850</v>
      </c>
      <c r="R6" s="33">
        <f>O6*H6</f>
        <v>454800</v>
      </c>
      <c r="S6" s="48">
        <f t="shared" si="2"/>
        <v>1.3914639743001378</v>
      </c>
      <c r="T6" s="47">
        <f>K6*(G6/C6)</f>
        <v>0</v>
      </c>
      <c r="U6" s="31"/>
      <c r="V6" s="34">
        <f t="shared" ref="V6" si="5">IFERROR(1-(T6-U6)/T6,0)</f>
        <v>0</v>
      </c>
      <c r="W6" s="33">
        <f t="shared" ref="W6" si="6">T6*H6</f>
        <v>0</v>
      </c>
      <c r="X6" s="31">
        <f>U6*H6</f>
        <v>0</v>
      </c>
      <c r="Y6" s="48">
        <f t="shared" si="3"/>
        <v>0</v>
      </c>
      <c r="Z6" s="73">
        <f>IF(I6&lt;&gt;0,F6,0)</f>
        <v>174703.52127046758</v>
      </c>
      <c r="AA6" s="93">
        <f>(9949.3+9949.3+9949.3+36435.05+31801.22+26840.9)*1.2</f>
        <v>149910.084</v>
      </c>
      <c r="AB6" s="62">
        <f t="shared" ref="AB6:AB17" si="7">IFERROR(1-(Z6-AA6)/Z6,0)</f>
        <v>0.85808278453595921</v>
      </c>
    </row>
    <row r="7" spans="1:28" outlineLevel="1" x14ac:dyDescent="0.3">
      <c r="A7" s="19"/>
      <c r="B7" s="3"/>
      <c r="C7" s="4"/>
      <c r="D7" s="33"/>
      <c r="E7" s="8"/>
      <c r="F7" s="8"/>
      <c r="G7" s="33"/>
      <c r="H7" s="59"/>
      <c r="I7" s="19"/>
      <c r="J7" s="9"/>
      <c r="K7" s="3"/>
      <c r="L7" s="3"/>
      <c r="M7" s="50"/>
      <c r="N7" s="47"/>
      <c r="O7" s="31"/>
      <c r="P7" s="9"/>
      <c r="Q7" s="33"/>
      <c r="R7" s="31"/>
      <c r="S7" s="50"/>
      <c r="T7" s="49"/>
      <c r="U7" s="3"/>
      <c r="V7" s="9"/>
      <c r="W7" s="8"/>
      <c r="X7" s="3"/>
      <c r="Y7" s="50"/>
      <c r="Z7" s="75">
        <f t="shared" ref="Z7:Z17" si="8">IF(I7&lt;&gt;0,F7,0)</f>
        <v>0</v>
      </c>
      <c r="AA7" s="65"/>
      <c r="AB7" s="50">
        <f t="shared" si="7"/>
        <v>0</v>
      </c>
    </row>
    <row r="8" spans="1:28" outlineLevel="1" x14ac:dyDescent="0.3">
      <c r="A8" s="19"/>
      <c r="B8" s="3"/>
      <c r="C8" s="4"/>
      <c r="D8" s="33"/>
      <c r="E8" s="8"/>
      <c r="F8" s="8"/>
      <c r="G8" s="33"/>
      <c r="H8" s="59"/>
      <c r="I8" s="19"/>
      <c r="J8" s="9"/>
      <c r="K8" s="3"/>
      <c r="L8" s="3"/>
      <c r="M8" s="50"/>
      <c r="N8" s="47"/>
      <c r="O8" s="31"/>
      <c r="P8" s="9"/>
      <c r="Q8" s="33"/>
      <c r="R8" s="31"/>
      <c r="S8" s="50"/>
      <c r="T8" s="49"/>
      <c r="U8" s="3"/>
      <c r="V8" s="9"/>
      <c r="W8" s="8"/>
      <c r="X8" s="3"/>
      <c r="Y8" s="50"/>
      <c r="Z8" s="75">
        <f t="shared" si="8"/>
        <v>0</v>
      </c>
      <c r="AB8" s="50">
        <f t="shared" si="7"/>
        <v>0</v>
      </c>
    </row>
    <row r="9" spans="1:28" outlineLevel="1" x14ac:dyDescent="0.3">
      <c r="A9" s="19"/>
      <c r="B9" s="3"/>
      <c r="C9" s="4"/>
      <c r="D9" s="33"/>
      <c r="E9" s="8"/>
      <c r="F9" s="8"/>
      <c r="G9" s="33"/>
      <c r="H9" s="59"/>
      <c r="I9" s="19"/>
      <c r="J9" s="9"/>
      <c r="K9" s="3"/>
      <c r="L9" s="3"/>
      <c r="M9" s="50"/>
      <c r="N9" s="47"/>
      <c r="O9" s="31"/>
      <c r="P9" s="9"/>
      <c r="Q9" s="33"/>
      <c r="R9" s="31"/>
      <c r="S9" s="50"/>
      <c r="T9" s="49"/>
      <c r="U9" s="3"/>
      <c r="V9" s="9"/>
      <c r="W9" s="8"/>
      <c r="X9" s="3"/>
      <c r="Y9" s="50"/>
      <c r="Z9" s="75">
        <f t="shared" si="8"/>
        <v>0</v>
      </c>
      <c r="AA9" s="65"/>
      <c r="AB9" s="50">
        <f t="shared" si="7"/>
        <v>0</v>
      </c>
    </row>
    <row r="10" spans="1:28" outlineLevel="1" x14ac:dyDescent="0.3">
      <c r="A10" s="19"/>
      <c r="B10" s="3"/>
      <c r="C10" s="4"/>
      <c r="D10" s="33"/>
      <c r="E10" s="8"/>
      <c r="F10" s="8"/>
      <c r="G10" s="33"/>
      <c r="H10" s="59"/>
      <c r="I10" s="19"/>
      <c r="J10" s="9"/>
      <c r="K10" s="3"/>
      <c r="L10" s="3"/>
      <c r="M10" s="50"/>
      <c r="N10" s="47"/>
      <c r="O10" s="31"/>
      <c r="P10" s="9"/>
      <c r="Q10" s="33"/>
      <c r="R10" s="31"/>
      <c r="S10" s="50"/>
      <c r="T10" s="49"/>
      <c r="U10" s="3"/>
      <c r="V10" s="9"/>
      <c r="W10" s="8"/>
      <c r="X10" s="3"/>
      <c r="Y10" s="50"/>
      <c r="Z10" s="75">
        <f t="shared" si="8"/>
        <v>0</v>
      </c>
      <c r="AA10" s="65"/>
      <c r="AB10" s="50">
        <f t="shared" si="7"/>
        <v>0</v>
      </c>
    </row>
    <row r="11" spans="1:28" outlineLevel="1" x14ac:dyDescent="0.3">
      <c r="A11" s="19"/>
      <c r="B11" s="3"/>
      <c r="C11" s="4"/>
      <c r="D11" s="33"/>
      <c r="E11" s="8"/>
      <c r="F11" s="8"/>
      <c r="G11" s="33"/>
      <c r="H11" s="59"/>
      <c r="I11" s="19"/>
      <c r="J11" s="9"/>
      <c r="K11" s="3"/>
      <c r="L11" s="3"/>
      <c r="M11" s="50"/>
      <c r="N11" s="47"/>
      <c r="O11" s="31"/>
      <c r="P11" s="9"/>
      <c r="Q11" s="33"/>
      <c r="R11" s="31"/>
      <c r="S11" s="50"/>
      <c r="T11" s="49"/>
      <c r="U11" s="3"/>
      <c r="V11" s="9"/>
      <c r="W11" s="8"/>
      <c r="X11" s="3"/>
      <c r="Y11" s="50"/>
      <c r="Z11" s="75">
        <f t="shared" si="8"/>
        <v>0</v>
      </c>
      <c r="AA11" s="65"/>
      <c r="AB11" s="50">
        <f t="shared" si="7"/>
        <v>0</v>
      </c>
    </row>
    <row r="12" spans="1:28" outlineLevel="1" x14ac:dyDescent="0.3">
      <c r="A12" s="19"/>
      <c r="B12" s="3"/>
      <c r="C12" s="4"/>
      <c r="D12" s="33"/>
      <c r="E12" s="8"/>
      <c r="F12" s="8"/>
      <c r="G12" s="33"/>
      <c r="H12" s="59"/>
      <c r="I12" s="19"/>
      <c r="J12" s="9"/>
      <c r="K12" s="3"/>
      <c r="L12" s="3"/>
      <c r="M12" s="50"/>
      <c r="N12" s="47"/>
      <c r="O12" s="31"/>
      <c r="P12" s="9"/>
      <c r="Q12" s="33"/>
      <c r="R12" s="31"/>
      <c r="S12" s="50"/>
      <c r="T12" s="49"/>
      <c r="U12" s="3"/>
      <c r="V12" s="9"/>
      <c r="W12" s="8"/>
      <c r="X12" s="3"/>
      <c r="Y12" s="50"/>
      <c r="Z12" s="75">
        <f t="shared" si="8"/>
        <v>0</v>
      </c>
      <c r="AA12" s="65"/>
      <c r="AB12" s="50">
        <f t="shared" si="7"/>
        <v>0</v>
      </c>
    </row>
    <row r="13" spans="1:28" outlineLevel="1" x14ac:dyDescent="0.3">
      <c r="A13" s="19"/>
      <c r="B13" s="3"/>
      <c r="C13" s="4"/>
      <c r="D13" s="33"/>
      <c r="E13" s="8"/>
      <c r="F13" s="8"/>
      <c r="G13" s="33"/>
      <c r="H13" s="59"/>
      <c r="I13" s="19"/>
      <c r="J13" s="9"/>
      <c r="K13" s="3"/>
      <c r="L13" s="3"/>
      <c r="M13" s="50"/>
      <c r="N13" s="47"/>
      <c r="O13" s="31"/>
      <c r="P13" s="9"/>
      <c r="Q13" s="33"/>
      <c r="R13" s="31"/>
      <c r="S13" s="50"/>
      <c r="T13" s="49"/>
      <c r="U13" s="3"/>
      <c r="V13" s="9"/>
      <c r="W13" s="8"/>
      <c r="X13" s="3"/>
      <c r="Y13" s="50"/>
      <c r="Z13" s="75">
        <f t="shared" si="8"/>
        <v>0</v>
      </c>
      <c r="AA13" s="65"/>
      <c r="AB13" s="50">
        <f t="shared" si="7"/>
        <v>0</v>
      </c>
    </row>
    <row r="14" spans="1:28" outlineLevel="1" x14ac:dyDescent="0.3">
      <c r="A14" s="19"/>
      <c r="B14" s="3"/>
      <c r="C14" s="4"/>
      <c r="D14" s="33"/>
      <c r="E14" s="8"/>
      <c r="F14" s="8"/>
      <c r="G14" s="33"/>
      <c r="H14" s="59"/>
      <c r="I14" s="19"/>
      <c r="J14" s="9"/>
      <c r="K14" s="3"/>
      <c r="L14" s="3"/>
      <c r="M14" s="50"/>
      <c r="N14" s="47"/>
      <c r="O14" s="31"/>
      <c r="P14" s="9"/>
      <c r="Q14" s="33"/>
      <c r="R14" s="31"/>
      <c r="S14" s="50"/>
      <c r="T14" s="49"/>
      <c r="U14" s="3"/>
      <c r="V14" s="9"/>
      <c r="W14" s="8"/>
      <c r="X14" s="3"/>
      <c r="Y14" s="50"/>
      <c r="Z14" s="75">
        <f t="shared" si="8"/>
        <v>0</v>
      </c>
      <c r="AA14" s="65"/>
      <c r="AB14" s="50">
        <f t="shared" si="7"/>
        <v>0</v>
      </c>
    </row>
    <row r="15" spans="1:28" outlineLevel="1" x14ac:dyDescent="0.3">
      <c r="A15" s="19"/>
      <c r="B15" s="3"/>
      <c r="C15" s="4"/>
      <c r="D15" s="33"/>
      <c r="E15" s="8"/>
      <c r="F15" s="8"/>
      <c r="G15" s="33"/>
      <c r="H15" s="59"/>
      <c r="I15" s="19"/>
      <c r="J15" s="9"/>
      <c r="K15" s="3"/>
      <c r="L15" s="3"/>
      <c r="M15" s="50"/>
      <c r="N15" s="47"/>
      <c r="O15" s="31"/>
      <c r="P15" s="9"/>
      <c r="Q15" s="33"/>
      <c r="R15" s="31"/>
      <c r="S15" s="50"/>
      <c r="T15" s="49"/>
      <c r="U15" s="3"/>
      <c r="V15" s="9"/>
      <c r="W15" s="8"/>
      <c r="X15" s="3"/>
      <c r="Y15" s="50"/>
      <c r="Z15" s="75">
        <f t="shared" si="8"/>
        <v>0</v>
      </c>
      <c r="AA15" s="65"/>
      <c r="AB15" s="50">
        <f t="shared" si="7"/>
        <v>0</v>
      </c>
    </row>
    <row r="16" spans="1:28" outlineLevel="1" x14ac:dyDescent="0.3">
      <c r="A16" s="19"/>
      <c r="B16" s="3"/>
      <c r="C16" s="4"/>
      <c r="D16" s="33"/>
      <c r="E16" s="8"/>
      <c r="F16" s="8"/>
      <c r="G16" s="33"/>
      <c r="H16" s="59"/>
      <c r="I16" s="19"/>
      <c r="J16" s="9"/>
      <c r="K16" s="3"/>
      <c r="L16" s="3"/>
      <c r="M16" s="50"/>
      <c r="N16" s="47"/>
      <c r="O16" s="31"/>
      <c r="P16" s="9"/>
      <c r="Q16" s="33"/>
      <c r="R16" s="31"/>
      <c r="S16" s="50"/>
      <c r="T16" s="49"/>
      <c r="U16" s="3"/>
      <c r="V16" s="9"/>
      <c r="W16" s="8"/>
      <c r="X16" s="3"/>
      <c r="Y16" s="50"/>
      <c r="Z16" s="75">
        <f t="shared" si="8"/>
        <v>0</v>
      </c>
      <c r="AA16" s="65"/>
      <c r="AB16" s="50">
        <f t="shared" si="7"/>
        <v>0</v>
      </c>
    </row>
    <row r="17" spans="1:28" ht="15" outlineLevel="1" thickBot="1" x14ac:dyDescent="0.35">
      <c r="A17" s="20"/>
      <c r="B17" s="21"/>
      <c r="C17" s="22"/>
      <c r="D17" s="55"/>
      <c r="E17" s="23"/>
      <c r="F17" s="23"/>
      <c r="G17" s="55"/>
      <c r="H17" s="60"/>
      <c r="I17" s="20"/>
      <c r="J17" s="24"/>
      <c r="K17" s="21"/>
      <c r="L17" s="21"/>
      <c r="M17" s="52"/>
      <c r="N17" s="53"/>
      <c r="O17" s="54"/>
      <c r="P17" s="24"/>
      <c r="Q17" s="55"/>
      <c r="R17" s="54"/>
      <c r="S17" s="52"/>
      <c r="T17" s="51"/>
      <c r="U17" s="21"/>
      <c r="V17" s="24"/>
      <c r="W17" s="23"/>
      <c r="X17" s="21"/>
      <c r="Y17" s="52"/>
      <c r="Z17" s="75">
        <f t="shared" si="8"/>
        <v>0</v>
      </c>
      <c r="AA17" s="65"/>
      <c r="AB17" s="50">
        <f t="shared" si="7"/>
        <v>0</v>
      </c>
    </row>
  </sheetData>
  <mergeCells count="12">
    <mergeCell ref="W3:Y3"/>
    <mergeCell ref="Z3:AB3"/>
    <mergeCell ref="C2:H2"/>
    <mergeCell ref="I2:M2"/>
    <mergeCell ref="N2:S2"/>
    <mergeCell ref="T2:Y2"/>
    <mergeCell ref="Z2:AB2"/>
    <mergeCell ref="I3:J3"/>
    <mergeCell ref="K3:M3"/>
    <mergeCell ref="N3:P3"/>
    <mergeCell ref="Q3:S3"/>
    <mergeCell ref="T3:V3"/>
  </mergeCells>
  <conditionalFormatting sqref="I5:J17">
    <cfRule type="expression" dxfId="265" priority="5">
      <formula>$J5=1</formula>
    </cfRule>
  </conditionalFormatting>
  <conditionalFormatting sqref="K5:M17">
    <cfRule type="expression" dxfId="264" priority="14">
      <formula>$M5=1</formula>
    </cfRule>
  </conditionalFormatting>
  <conditionalFormatting sqref="M5:M17">
    <cfRule type="cellIs" dxfId="263" priority="16" operator="greaterThan">
      <formula>100</formula>
    </cfRule>
  </conditionalFormatting>
  <conditionalFormatting sqref="N5:P17">
    <cfRule type="expression" dxfId="262" priority="12">
      <formula>$P5&gt;1.3</formula>
    </cfRule>
    <cfRule type="expression" dxfId="261" priority="13">
      <formula>$P5&gt;1</formula>
    </cfRule>
  </conditionalFormatting>
  <conditionalFormatting sqref="Q5:S17">
    <cfRule type="expression" dxfId="260" priority="10">
      <formula>$S5&gt;1.3</formula>
    </cfRule>
    <cfRule type="expression" dxfId="259" priority="11">
      <formula>$S5&gt;1</formula>
    </cfRule>
  </conditionalFormatting>
  <conditionalFormatting sqref="T5:V17">
    <cfRule type="expression" dxfId="258" priority="8">
      <formula>$V5&gt;1.3</formula>
    </cfRule>
    <cfRule type="expression" dxfId="257" priority="9">
      <formula>$V5&gt;1</formula>
    </cfRule>
  </conditionalFormatting>
  <conditionalFormatting sqref="W5:Y17">
    <cfRule type="expression" dxfId="256" priority="6">
      <formula>$Y5&gt;1.3</formula>
    </cfRule>
    <cfRule type="expression" dxfId="255" priority="7">
      <formula>$Y5&gt;1</formula>
    </cfRule>
  </conditionalFormatting>
  <conditionalFormatting sqref="Z6:Z17">
    <cfRule type="expression" dxfId="254" priority="1">
      <formula>$AU6&gt;1.3</formula>
    </cfRule>
    <cfRule type="expression" dxfId="253" priority="2">
      <formula>$AU6&gt;1</formula>
    </cfRule>
  </conditionalFormatting>
  <conditionalFormatting sqref="Z5:AB5 AA6:AB7 AB8 AA9:AB17">
    <cfRule type="expression" dxfId="252" priority="3">
      <formula>$AU5&gt;1.3</formula>
    </cfRule>
    <cfRule type="expression" dxfId="251" priority="4">
      <formula>$AU5&gt;1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F94E-F26F-438E-8847-CF2534F4B1E4}">
  <sheetPr>
    <pageSetUpPr fitToPage="1"/>
  </sheetPr>
  <dimension ref="A1:AG33"/>
  <sheetViews>
    <sheetView workbookViewId="0">
      <pane xSplit="2" ySplit="4" topLeftCell="S5" activePane="bottomRight" state="frozen"/>
      <selection pane="topRight" activeCell="C1" sqref="C1"/>
      <selection pane="bottomLeft" activeCell="A5" sqref="A5"/>
      <selection pane="bottomRight" activeCell="Z10" sqref="Z10"/>
    </sheetView>
  </sheetViews>
  <sheetFormatPr defaultRowHeight="14.4" outlineLevelRow="1" outlineLevelCol="1" x14ac:dyDescent="0.3"/>
  <cols>
    <col min="1" max="1" width="5.33203125" bestFit="1" customWidth="1"/>
    <col min="2" max="2" width="56.88671875" customWidth="1"/>
    <col min="3" max="3" width="12.6640625" style="2" customWidth="1"/>
    <col min="4" max="8" width="12.6640625" customWidth="1" outlineLevel="1"/>
    <col min="9" max="14" width="12.6640625" customWidth="1"/>
    <col min="15" max="15" width="12.6640625" style="113" customWidth="1"/>
    <col min="16" max="16" width="12.6640625" customWidth="1"/>
    <col min="17" max="19" width="12.6640625" customWidth="1" outlineLevel="1"/>
    <col min="20" max="20" width="12.6640625" customWidth="1"/>
    <col min="21" max="21" width="12.6640625" style="113" customWidth="1"/>
    <col min="22" max="22" width="12.6640625" customWidth="1"/>
    <col min="23" max="25" width="12.6640625" customWidth="1" outlineLevel="1"/>
    <col min="26" max="28" width="13.44140625" customWidth="1"/>
  </cols>
  <sheetData>
    <row r="1" spans="1:33" s="113" customFormat="1" ht="16.2" thickBot="1" x14ac:dyDescent="0.35">
      <c r="B1" s="118">
        <f ca="1">TODAY()</f>
        <v>46198</v>
      </c>
      <c r="C1" s="119"/>
      <c r="V1" s="120"/>
    </row>
    <row r="2" spans="1:33" ht="16.2" thickBot="1" x14ac:dyDescent="0.35">
      <c r="A2" s="18"/>
      <c r="B2" s="56"/>
      <c r="C2" s="165" t="s">
        <v>46</v>
      </c>
      <c r="D2" s="166"/>
      <c r="E2" s="166"/>
      <c r="F2" s="166"/>
      <c r="G2" s="166"/>
      <c r="H2" s="167"/>
      <c r="I2" s="168" t="s">
        <v>44</v>
      </c>
      <c r="J2" s="169"/>
      <c r="K2" s="169"/>
      <c r="L2" s="169"/>
      <c r="M2" s="170"/>
      <c r="N2" s="171" t="s">
        <v>49</v>
      </c>
      <c r="O2" s="172"/>
      <c r="P2" s="172"/>
      <c r="Q2" s="172"/>
      <c r="R2" s="172"/>
      <c r="S2" s="173"/>
      <c r="T2" s="171" t="s">
        <v>119</v>
      </c>
      <c r="U2" s="172"/>
      <c r="V2" s="172"/>
      <c r="W2" s="172"/>
      <c r="X2" s="172"/>
      <c r="Y2" s="173"/>
      <c r="Z2" s="161" t="s">
        <v>66</v>
      </c>
      <c r="AA2" s="162"/>
      <c r="AB2" s="162"/>
    </row>
    <row r="3" spans="1:33" ht="60.75" customHeight="1" thickBot="1" x14ac:dyDescent="0.35">
      <c r="A3" s="57" t="s">
        <v>36</v>
      </c>
      <c r="B3" s="14" t="s">
        <v>37</v>
      </c>
      <c r="C3" s="15" t="s">
        <v>59</v>
      </c>
      <c r="D3" s="16" t="s">
        <v>60</v>
      </c>
      <c r="E3" s="16" t="s">
        <v>40</v>
      </c>
      <c r="F3" s="16" t="s">
        <v>41</v>
      </c>
      <c r="G3" s="16" t="s">
        <v>42</v>
      </c>
      <c r="H3" s="17" t="s">
        <v>61</v>
      </c>
      <c r="I3" s="174" t="s">
        <v>45</v>
      </c>
      <c r="J3" s="175"/>
      <c r="K3" s="174" t="s">
        <v>125</v>
      </c>
      <c r="L3" s="176"/>
      <c r="M3" s="175"/>
      <c r="N3" s="177" t="s">
        <v>62</v>
      </c>
      <c r="O3" s="178"/>
      <c r="P3" s="179"/>
      <c r="Q3" s="177" t="s">
        <v>63</v>
      </c>
      <c r="R3" s="178"/>
      <c r="S3" s="179"/>
      <c r="T3" s="177" t="s">
        <v>62</v>
      </c>
      <c r="U3" s="178"/>
      <c r="V3" s="179"/>
      <c r="W3" s="177" t="s">
        <v>63</v>
      </c>
      <c r="X3" s="178"/>
      <c r="Y3" s="179"/>
      <c r="Z3" s="163" t="s">
        <v>67</v>
      </c>
      <c r="AA3" s="164"/>
      <c r="AB3" s="164"/>
    </row>
    <row r="4" spans="1:33" ht="15" thickBot="1" x14ac:dyDescent="0.35">
      <c r="A4" s="26"/>
      <c r="B4" s="27"/>
      <c r="C4" s="28"/>
      <c r="D4" s="29"/>
      <c r="E4" s="29"/>
      <c r="F4" s="29"/>
      <c r="G4" s="27"/>
      <c r="H4" s="44"/>
      <c r="I4" s="43" t="s">
        <v>2</v>
      </c>
      <c r="J4" s="27" t="s">
        <v>3</v>
      </c>
      <c r="K4" s="27" t="s">
        <v>1</v>
      </c>
      <c r="L4" s="27" t="s">
        <v>2</v>
      </c>
      <c r="M4" s="44" t="s">
        <v>3</v>
      </c>
      <c r="N4" s="43" t="s">
        <v>1</v>
      </c>
      <c r="O4" s="43" t="s">
        <v>2</v>
      </c>
      <c r="P4" s="27" t="s">
        <v>3</v>
      </c>
      <c r="Q4" s="27" t="s">
        <v>1</v>
      </c>
      <c r="R4" s="27" t="s">
        <v>2</v>
      </c>
      <c r="S4" s="44" t="s">
        <v>3</v>
      </c>
      <c r="T4" s="43" t="s">
        <v>1</v>
      </c>
      <c r="U4" s="43" t="s">
        <v>38</v>
      </c>
      <c r="V4" s="27" t="s">
        <v>3</v>
      </c>
      <c r="W4" s="27" t="s">
        <v>1</v>
      </c>
      <c r="X4" s="27" t="s">
        <v>2</v>
      </c>
      <c r="Y4" s="44" t="s">
        <v>3</v>
      </c>
      <c r="Z4" s="27" t="s">
        <v>1</v>
      </c>
      <c r="AA4" s="27" t="s">
        <v>2</v>
      </c>
      <c r="AB4" s="27" t="s">
        <v>3</v>
      </c>
      <c r="AD4" s="148"/>
      <c r="AE4" s="148"/>
      <c r="AF4" s="148"/>
      <c r="AG4" s="148"/>
    </row>
    <row r="5" spans="1:33" ht="29.25" customHeight="1" thickBot="1" x14ac:dyDescent="0.4">
      <c r="A5" s="36"/>
      <c r="B5" s="37" t="s">
        <v>58</v>
      </c>
      <c r="C5" s="38">
        <f>SUM(C6:C21)</f>
        <v>193.25</v>
      </c>
      <c r="D5" s="39">
        <f>SUM(D6:D21)</f>
        <v>2156242.16</v>
      </c>
      <c r="E5" s="39">
        <f>SUM(E6:E21)</f>
        <v>0</v>
      </c>
      <c r="F5" s="39">
        <f>SUM(F6:F21)</f>
        <v>692375.51</v>
      </c>
      <c r="G5" s="39">
        <f>SUM(G6:G21)</f>
        <v>9711</v>
      </c>
      <c r="H5" s="58">
        <f>AVERAGE(H6:H9)</f>
        <v>150</v>
      </c>
      <c r="I5" s="45">
        <f>SUM(I6:I21)</f>
        <v>73.13300000000001</v>
      </c>
      <c r="J5" s="41">
        <f t="shared" ref="J5:J14" si="0">1-(C5-I5)/C5</f>
        <v>0.37843725743855117</v>
      </c>
      <c r="K5" s="40">
        <f>SUM(K6:K21)</f>
        <v>28.443999999999999</v>
      </c>
      <c r="L5" s="40">
        <f>SUM(L6:L21)</f>
        <v>19.091000000000001</v>
      </c>
      <c r="M5" s="41">
        <f>IFERROR(1-(K5-L5)/K5,0)</f>
        <v>0.67117845591337377</v>
      </c>
      <c r="N5" s="45">
        <f>SUM(N6:N21)</f>
        <v>9711</v>
      </c>
      <c r="O5" s="45">
        <f>SUM(O6:O21)</f>
        <v>5855</v>
      </c>
      <c r="P5" s="41">
        <f t="shared" ref="P5:P14" si="1">IFERROR(1-(N5-O5)/N5,0)</f>
        <v>0.60292451858716922</v>
      </c>
      <c r="Q5" s="40">
        <f>SUM(Q6:Q21)</f>
        <v>1456650</v>
      </c>
      <c r="R5" s="40">
        <f>SUM(R6:R21)</f>
        <v>878250</v>
      </c>
      <c r="S5" s="46">
        <f t="shared" ref="S5:S9" si="2">IFERROR(1-(Q5-R5)/Q5,0)</f>
        <v>0.60292451858716922</v>
      </c>
      <c r="T5" s="39">
        <f>SUM(T6:T21)</f>
        <v>2022.8095238095239</v>
      </c>
      <c r="U5" s="39">
        <f>SUM(U6:U21)</f>
        <v>1539</v>
      </c>
      <c r="V5" s="41">
        <f>IFERROR(1-(T5-U5)/T5,0)</f>
        <v>0.76082299489159344</v>
      </c>
      <c r="W5" s="39">
        <f>SUM(W6:W21)</f>
        <v>303421.42857142858</v>
      </c>
      <c r="X5" s="40">
        <f>SUM(X6:X21)</f>
        <v>230850</v>
      </c>
      <c r="Y5" s="46">
        <f t="shared" ref="Y5:Y9" si="3">IFERROR(1-(W5-X5)/W5,0)</f>
        <v>0.76082299489159344</v>
      </c>
      <c r="Z5" s="89">
        <f>SUM(Z6:Z21)</f>
        <v>482800.32000000007</v>
      </c>
      <c r="AA5" s="86">
        <f>SUM(AA6:AA21)</f>
        <v>375518.51999999996</v>
      </c>
      <c r="AB5" s="99">
        <f>IFERROR(1-(Z5-AA5)/Z5,0)</f>
        <v>0.7777926079253632</v>
      </c>
      <c r="AD5" s="148"/>
      <c r="AE5" s="148"/>
      <c r="AF5" s="148"/>
      <c r="AG5" s="148"/>
    </row>
    <row r="6" spans="1:33" outlineLevel="1" x14ac:dyDescent="0.3">
      <c r="A6" s="19">
        <v>1</v>
      </c>
      <c r="B6" s="3" t="s">
        <v>72</v>
      </c>
      <c r="C6" s="77">
        <v>57.06</v>
      </c>
      <c r="D6" s="78">
        <v>678060</v>
      </c>
      <c r="E6" s="8"/>
      <c r="F6" s="8">
        <v>218839.54</v>
      </c>
      <c r="G6" s="78">
        <v>2856</v>
      </c>
      <c r="H6" s="59">
        <v>150</v>
      </c>
      <c r="I6" s="19">
        <f>0.592+6.1+5+0.9+12.9+0.254+8.308+6.21</f>
        <v>40.264000000000003</v>
      </c>
      <c r="J6" s="9">
        <f t="shared" si="0"/>
        <v>0.70564318261479153</v>
      </c>
      <c r="K6" s="156"/>
      <c r="L6" s="3">
        <v>0.216</v>
      </c>
      <c r="M6" s="50">
        <f t="shared" ref="M6:M14" si="4">IFERROR(1-(K6-L6)/K6,0)</f>
        <v>0</v>
      </c>
      <c r="N6" s="47">
        <f t="shared" ref="N6:N14" si="5">G6</f>
        <v>2856</v>
      </c>
      <c r="O6" s="101">
        <f>1343+545+547+56+200+88</f>
        <v>2779</v>
      </c>
      <c r="P6" s="9">
        <f t="shared" si="1"/>
        <v>0.97303921568627449</v>
      </c>
      <c r="Q6" s="33">
        <f t="shared" ref="Q6:Q9" si="6">N6*H6</f>
        <v>428400</v>
      </c>
      <c r="R6" s="33">
        <f t="shared" ref="R6:R9" si="7">O6*H6</f>
        <v>416850</v>
      </c>
      <c r="S6" s="50">
        <f t="shared" si="2"/>
        <v>0.97303921568627449</v>
      </c>
      <c r="T6" s="47">
        <f t="shared" ref="T6:T12" si="8">K6*(G6/C6)</f>
        <v>0</v>
      </c>
      <c r="U6" s="114">
        <v>88</v>
      </c>
      <c r="V6" s="9">
        <f t="shared" ref="V6:V14" si="9">IFERROR(1-(T6-U6)/T6,0)</f>
        <v>0</v>
      </c>
      <c r="W6" s="8">
        <f t="shared" ref="W6:W9" si="10">T6*H6</f>
        <v>0</v>
      </c>
      <c r="X6" s="5">
        <f t="shared" ref="X6:X9" si="11">U6*H6</f>
        <v>13200</v>
      </c>
      <c r="Y6" s="12">
        <f t="shared" si="3"/>
        <v>0</v>
      </c>
      <c r="Z6" s="109">
        <f>IF(I6&lt;&gt;0,F6,0)</f>
        <v>218839.54</v>
      </c>
      <c r="AA6" s="110">
        <f>(234.86+423.04+3457.02+2026.05+11401.13+18067+14357+51459+3589.28+45642.17+23897.43+955.29+364.75+1884.4)*1.2</f>
        <v>213310.10399999996</v>
      </c>
      <c r="AB6" s="62">
        <f t="shared" ref="AB6:AB21" si="12">IFERROR(1-(Z6-AA6)/Z6,0)</f>
        <v>0.97473292075097562</v>
      </c>
      <c r="AD6" s="148"/>
      <c r="AE6" s="148"/>
      <c r="AF6" s="148"/>
      <c r="AG6" s="148"/>
    </row>
    <row r="7" spans="1:33" s="113" customFormat="1" outlineLevel="1" x14ac:dyDescent="0.3">
      <c r="A7" s="138">
        <v>2</v>
      </c>
      <c r="B7" s="114" t="s">
        <v>71</v>
      </c>
      <c r="C7" s="77">
        <v>6.26</v>
      </c>
      <c r="D7" s="78">
        <v>59577.599999999999</v>
      </c>
      <c r="E7" s="82"/>
      <c r="F7" s="82">
        <v>14850.29</v>
      </c>
      <c r="G7" s="78">
        <v>234</v>
      </c>
      <c r="H7" s="150">
        <v>150</v>
      </c>
      <c r="I7" s="138">
        <v>0</v>
      </c>
      <c r="J7" s="9">
        <f t="shared" si="0"/>
        <v>0</v>
      </c>
      <c r="K7" s="156">
        <v>7.91</v>
      </c>
      <c r="L7" s="114">
        <v>6.18</v>
      </c>
      <c r="M7" s="50">
        <f t="shared" si="4"/>
        <v>0.78128950695322374</v>
      </c>
      <c r="N7" s="158">
        <v>234</v>
      </c>
      <c r="O7" s="153">
        <v>603</v>
      </c>
      <c r="P7" s="9">
        <f t="shared" si="1"/>
        <v>2.5769230769230766</v>
      </c>
      <c r="Q7" s="78">
        <f t="shared" si="6"/>
        <v>35100</v>
      </c>
      <c r="R7" s="78">
        <f t="shared" si="7"/>
        <v>90450</v>
      </c>
      <c r="S7" s="50">
        <f t="shared" si="2"/>
        <v>2.5769230769230766</v>
      </c>
      <c r="T7" s="79">
        <v>234</v>
      </c>
      <c r="U7" s="114">
        <v>603</v>
      </c>
      <c r="V7" s="9">
        <f t="shared" si="9"/>
        <v>2.5769230769230766</v>
      </c>
      <c r="W7" s="82">
        <f t="shared" si="10"/>
        <v>35100</v>
      </c>
      <c r="X7" s="151">
        <f t="shared" si="11"/>
        <v>90450</v>
      </c>
      <c r="Y7" s="12">
        <f t="shared" si="3"/>
        <v>2.5769230769230766</v>
      </c>
      <c r="Z7" s="141">
        <v>14850</v>
      </c>
      <c r="AA7" s="137">
        <f>25918.54*1.2</f>
        <v>31102.248</v>
      </c>
      <c r="AB7" s="50">
        <f t="shared" si="12"/>
        <v>2.0944274747474747</v>
      </c>
    </row>
    <row r="8" spans="1:33" outlineLevel="1" x14ac:dyDescent="0.3">
      <c r="A8" s="19">
        <v>3</v>
      </c>
      <c r="B8" s="3" t="s">
        <v>70</v>
      </c>
      <c r="C8" s="77">
        <v>47.14</v>
      </c>
      <c r="D8" s="78">
        <v>511625.1</v>
      </c>
      <c r="E8" s="8"/>
      <c r="F8" s="8">
        <v>189748.21</v>
      </c>
      <c r="G8" s="78">
        <v>2231</v>
      </c>
      <c r="H8" s="59">
        <v>150</v>
      </c>
      <c r="I8" s="19"/>
      <c r="J8" s="9">
        <f t="shared" si="0"/>
        <v>0</v>
      </c>
      <c r="K8" s="156"/>
      <c r="L8" s="3"/>
      <c r="M8" s="50">
        <f t="shared" si="4"/>
        <v>0</v>
      </c>
      <c r="N8" s="47">
        <f t="shared" si="5"/>
        <v>2231</v>
      </c>
      <c r="O8" s="101">
        <v>47</v>
      </c>
      <c r="P8" s="9">
        <f t="shared" si="1"/>
        <v>2.1066786194531617E-2</v>
      </c>
      <c r="Q8" s="33">
        <f t="shared" si="6"/>
        <v>334650</v>
      </c>
      <c r="R8" s="33">
        <f t="shared" si="7"/>
        <v>7050</v>
      </c>
      <c r="S8" s="50">
        <f t="shared" si="2"/>
        <v>2.1066786194531617E-2</v>
      </c>
      <c r="T8" s="47">
        <f t="shared" si="8"/>
        <v>0</v>
      </c>
      <c r="U8" s="114"/>
      <c r="V8" s="9">
        <f t="shared" si="9"/>
        <v>0</v>
      </c>
      <c r="W8" s="8">
        <f t="shared" si="10"/>
        <v>0</v>
      </c>
      <c r="X8" s="5">
        <f t="shared" si="11"/>
        <v>0</v>
      </c>
      <c r="Y8" s="12">
        <f t="shared" si="3"/>
        <v>0</v>
      </c>
      <c r="Z8" s="75">
        <f t="shared" ref="Z8:Z21" si="13">IF(I8&lt;&gt;0,F8,0)</f>
        <v>0</v>
      </c>
      <c r="AA8" s="65"/>
      <c r="AB8" s="50">
        <f t="shared" si="12"/>
        <v>0</v>
      </c>
    </row>
    <row r="9" spans="1:33" outlineLevel="1" x14ac:dyDescent="0.3">
      <c r="A9" s="19">
        <v>4</v>
      </c>
      <c r="B9" s="3" t="s">
        <v>69</v>
      </c>
      <c r="C9" s="4">
        <v>12.406000000000001</v>
      </c>
      <c r="D9" s="8">
        <v>122019.66</v>
      </c>
      <c r="E9" s="8"/>
      <c r="F9" s="82">
        <v>31918.97</v>
      </c>
      <c r="G9" s="82">
        <v>491</v>
      </c>
      <c r="H9" s="59">
        <v>150</v>
      </c>
      <c r="I9" s="19"/>
      <c r="J9" s="9">
        <f t="shared" si="0"/>
        <v>0</v>
      </c>
      <c r="K9" s="156">
        <v>12.41</v>
      </c>
      <c r="L9" s="3">
        <v>11.6</v>
      </c>
      <c r="M9" s="50">
        <f t="shared" si="4"/>
        <v>0.93473005640612405</v>
      </c>
      <c r="N9" s="47">
        <f t="shared" si="5"/>
        <v>491</v>
      </c>
      <c r="O9" s="101">
        <v>632</v>
      </c>
      <c r="P9" s="9">
        <f t="shared" si="1"/>
        <v>1.2871690427698574</v>
      </c>
      <c r="Q9" s="33">
        <f t="shared" si="6"/>
        <v>73650</v>
      </c>
      <c r="R9" s="33">
        <f t="shared" si="7"/>
        <v>94800</v>
      </c>
      <c r="S9" s="50">
        <f t="shared" si="2"/>
        <v>1.2871690427698574</v>
      </c>
      <c r="T9" s="47">
        <v>491</v>
      </c>
      <c r="U9" s="114">
        <v>632</v>
      </c>
      <c r="V9" s="9">
        <f t="shared" si="9"/>
        <v>1.2871690427698574</v>
      </c>
      <c r="W9" s="8">
        <f t="shared" si="10"/>
        <v>73650</v>
      </c>
      <c r="X9" s="5">
        <f t="shared" si="11"/>
        <v>94800</v>
      </c>
      <c r="Y9" s="12">
        <f t="shared" si="3"/>
        <v>1.2871690427698574</v>
      </c>
      <c r="Z9" s="75">
        <v>31919</v>
      </c>
      <c r="AA9" s="65"/>
      <c r="AB9" s="50">
        <f t="shared" si="12"/>
        <v>0</v>
      </c>
    </row>
    <row r="10" spans="1:33" outlineLevel="1" x14ac:dyDescent="0.3">
      <c r="A10" s="19">
        <v>5</v>
      </c>
      <c r="B10" s="3" t="s">
        <v>94</v>
      </c>
      <c r="C10" s="4">
        <v>6.1929999999999996</v>
      </c>
      <c r="D10" s="8">
        <v>60817.5</v>
      </c>
      <c r="E10" s="8"/>
      <c r="F10" s="82">
        <v>19827.189999999999</v>
      </c>
      <c r="G10" s="82">
        <v>243</v>
      </c>
      <c r="H10" s="59">
        <v>150</v>
      </c>
      <c r="I10" s="19"/>
      <c r="J10" s="9">
        <f t="shared" si="0"/>
        <v>0</v>
      </c>
      <c r="K10" s="156">
        <v>6.1929999999999996</v>
      </c>
      <c r="L10" s="3"/>
      <c r="M10" s="50">
        <f t="shared" si="4"/>
        <v>0</v>
      </c>
      <c r="N10" s="47">
        <f t="shared" si="5"/>
        <v>243</v>
      </c>
      <c r="O10" s="101"/>
      <c r="P10" s="9">
        <f t="shared" si="1"/>
        <v>0</v>
      </c>
      <c r="Q10" s="33">
        <f t="shared" ref="Q10:Q13" si="14">N10*H10</f>
        <v>36450</v>
      </c>
      <c r="R10" s="33">
        <f t="shared" ref="R10:R14" si="15">O10*H10</f>
        <v>0</v>
      </c>
      <c r="S10" s="50">
        <f t="shared" ref="S10:S14" si="16">IFERROR(1-(Q10-R10)/Q10,0)</f>
        <v>0</v>
      </c>
      <c r="T10" s="47">
        <f t="shared" si="8"/>
        <v>243</v>
      </c>
      <c r="U10" s="114"/>
      <c r="V10" s="9">
        <f t="shared" si="9"/>
        <v>0</v>
      </c>
      <c r="W10" s="8">
        <f t="shared" ref="W10:W14" si="17">T10*H10</f>
        <v>36450</v>
      </c>
      <c r="X10" s="5">
        <f t="shared" ref="X10:X14" si="18">U10*H10</f>
        <v>0</v>
      </c>
      <c r="Y10" s="12">
        <f t="shared" ref="Y10:Y14" si="19">IFERROR(1-(W10-X10)/W10,0)</f>
        <v>0</v>
      </c>
      <c r="Z10" s="75">
        <f t="shared" si="13"/>
        <v>0</v>
      </c>
      <c r="AA10" s="106"/>
      <c r="AB10" s="107">
        <f t="shared" si="12"/>
        <v>0</v>
      </c>
    </row>
    <row r="11" spans="1:33" outlineLevel="1" x14ac:dyDescent="0.3">
      <c r="A11" s="19">
        <v>6</v>
      </c>
      <c r="B11" s="3" t="s">
        <v>95</v>
      </c>
      <c r="C11" s="4">
        <v>1.911</v>
      </c>
      <c r="D11" s="8">
        <v>14965</v>
      </c>
      <c r="E11" s="8"/>
      <c r="F11" s="82">
        <v>5967.39</v>
      </c>
      <c r="G11" s="82">
        <v>74</v>
      </c>
      <c r="H11" s="59">
        <v>150</v>
      </c>
      <c r="I11" s="19">
        <v>1.1830000000000001</v>
      </c>
      <c r="J11" s="9">
        <f t="shared" si="0"/>
        <v>0.61904761904761907</v>
      </c>
      <c r="K11" s="157">
        <v>1.1830000000000001</v>
      </c>
      <c r="L11" s="3"/>
      <c r="M11" s="50">
        <f t="shared" si="4"/>
        <v>0</v>
      </c>
      <c r="N11" s="47">
        <f t="shared" si="5"/>
        <v>74</v>
      </c>
      <c r="O11" s="152">
        <v>150</v>
      </c>
      <c r="P11" s="9">
        <f t="shared" si="1"/>
        <v>2.0270270270270272</v>
      </c>
      <c r="Q11" s="33">
        <f t="shared" si="14"/>
        <v>11100</v>
      </c>
      <c r="R11" s="33">
        <f t="shared" si="15"/>
        <v>22500</v>
      </c>
      <c r="S11" s="50">
        <f t="shared" si="16"/>
        <v>2.0270270270270272</v>
      </c>
      <c r="T11" s="47">
        <f t="shared" si="8"/>
        <v>45.80952380952381</v>
      </c>
      <c r="U11" s="114"/>
      <c r="V11" s="9">
        <f t="shared" si="9"/>
        <v>0</v>
      </c>
      <c r="W11" s="8">
        <f t="shared" si="17"/>
        <v>6871.4285714285716</v>
      </c>
      <c r="X11" s="5">
        <f t="shared" si="18"/>
        <v>0</v>
      </c>
      <c r="Y11" s="12">
        <f t="shared" si="19"/>
        <v>0</v>
      </c>
      <c r="Z11" s="75">
        <f t="shared" si="13"/>
        <v>5967.39</v>
      </c>
      <c r="AA11" s="106">
        <f>3672.21*1.2</f>
        <v>4406.652</v>
      </c>
      <c r="AB11" s="107">
        <f t="shared" si="12"/>
        <v>0.73845550567333462</v>
      </c>
    </row>
    <row r="12" spans="1:33" hidden="1" outlineLevel="1" x14ac:dyDescent="0.3">
      <c r="A12" s="19">
        <v>13</v>
      </c>
      <c r="B12" s="3" t="s">
        <v>97</v>
      </c>
      <c r="C12" s="4">
        <v>38.89</v>
      </c>
      <c r="D12" s="8">
        <v>463824.3</v>
      </c>
      <c r="E12" s="8"/>
      <c r="F12" s="82">
        <v>135428.39000000001</v>
      </c>
      <c r="G12" s="82">
        <v>2147</v>
      </c>
      <c r="H12" s="59">
        <v>150</v>
      </c>
      <c r="I12" s="19">
        <f>1.918+1.261+4.171+5.46+5.35+1.14+4.76</f>
        <v>24.059999999999995</v>
      </c>
      <c r="J12" s="9">
        <f t="shared" si="0"/>
        <v>0.61866803805605541</v>
      </c>
      <c r="K12" s="156"/>
      <c r="L12" s="3"/>
      <c r="M12" s="50">
        <f t="shared" si="4"/>
        <v>0</v>
      </c>
      <c r="N12" s="47">
        <f t="shared" si="5"/>
        <v>2147</v>
      </c>
      <c r="O12" s="101">
        <v>385</v>
      </c>
      <c r="P12" s="9">
        <f t="shared" si="1"/>
        <v>0.17931998136935257</v>
      </c>
      <c r="Q12" s="33">
        <f t="shared" si="14"/>
        <v>322050</v>
      </c>
      <c r="R12" s="33">
        <f t="shared" si="15"/>
        <v>57750</v>
      </c>
      <c r="S12" s="50">
        <f t="shared" si="16"/>
        <v>0.17931998136935257</v>
      </c>
      <c r="T12" s="47">
        <f t="shared" si="8"/>
        <v>0</v>
      </c>
      <c r="U12" s="114"/>
      <c r="V12" s="9">
        <f t="shared" si="9"/>
        <v>0</v>
      </c>
      <c r="W12" s="8">
        <f t="shared" si="17"/>
        <v>0</v>
      </c>
      <c r="X12" s="5">
        <f t="shared" si="18"/>
        <v>0</v>
      </c>
      <c r="Y12" s="12">
        <f t="shared" si="19"/>
        <v>0</v>
      </c>
      <c r="Z12" s="75">
        <f t="shared" si="13"/>
        <v>135428.39000000001</v>
      </c>
      <c r="AA12" s="106">
        <f>(2497.87+2250+2635+10111.53+2292.74+3440.31+20468.25+6324.99+6324.99+10111.53+3452.96+2292.74+3440.31+634.99)*1.2</f>
        <v>91533.851999999999</v>
      </c>
      <c r="AB12" s="107">
        <f t="shared" ref="AB12:AB20" si="20">IFERROR(1-(Z12-AA12)/Z12,0)</f>
        <v>0.67588377887383877</v>
      </c>
    </row>
    <row r="13" spans="1:33" outlineLevel="1" x14ac:dyDescent="0.3">
      <c r="A13" s="19">
        <v>7</v>
      </c>
      <c r="B13" s="3" t="s">
        <v>96</v>
      </c>
      <c r="C13" s="4">
        <v>0.5</v>
      </c>
      <c r="D13" s="8">
        <v>11177.5</v>
      </c>
      <c r="E13" s="8"/>
      <c r="F13" s="82">
        <v>1479.53</v>
      </c>
      <c r="G13" s="82">
        <v>59</v>
      </c>
      <c r="H13" s="59">
        <v>150</v>
      </c>
      <c r="I13" s="19"/>
      <c r="J13" s="9">
        <f t="shared" si="0"/>
        <v>0</v>
      </c>
      <c r="K13" s="156">
        <v>0.748</v>
      </c>
      <c r="L13" s="3">
        <v>0.26</v>
      </c>
      <c r="M13" s="50">
        <f t="shared" si="4"/>
        <v>0.34759358288770059</v>
      </c>
      <c r="N13" s="47">
        <f t="shared" si="5"/>
        <v>59</v>
      </c>
      <c r="O13" s="101">
        <f>114+24</f>
        <v>138</v>
      </c>
      <c r="P13" s="9">
        <f t="shared" si="1"/>
        <v>2.3389830508474576</v>
      </c>
      <c r="Q13" s="33">
        <f t="shared" si="14"/>
        <v>8850</v>
      </c>
      <c r="R13" s="33">
        <f t="shared" si="15"/>
        <v>20700</v>
      </c>
      <c r="S13" s="50">
        <f t="shared" si="16"/>
        <v>2.3389830508474576</v>
      </c>
      <c r="T13" s="47">
        <v>59</v>
      </c>
      <c r="U13" s="114">
        <v>24</v>
      </c>
      <c r="V13" s="9">
        <f t="shared" si="9"/>
        <v>0.40677966101694918</v>
      </c>
      <c r="W13" s="8">
        <f t="shared" si="17"/>
        <v>8850</v>
      </c>
      <c r="X13" s="5">
        <f t="shared" si="18"/>
        <v>3600</v>
      </c>
      <c r="Y13" s="12">
        <f t="shared" si="19"/>
        <v>0.40677966101694918</v>
      </c>
      <c r="Z13" s="75">
        <v>1480</v>
      </c>
      <c r="AA13" s="106">
        <f>1815.61*1.2</f>
        <v>2178.732</v>
      </c>
      <c r="AB13" s="107">
        <f t="shared" si="20"/>
        <v>1.4721162162162162</v>
      </c>
    </row>
    <row r="14" spans="1:33" outlineLevel="1" x14ac:dyDescent="0.3">
      <c r="A14" s="19">
        <v>8</v>
      </c>
      <c r="B14" s="3" t="s">
        <v>117</v>
      </c>
      <c r="C14" s="4">
        <v>22.89</v>
      </c>
      <c r="D14" s="8">
        <v>234175.5</v>
      </c>
      <c r="E14" s="8"/>
      <c r="F14" s="82">
        <v>74316</v>
      </c>
      <c r="G14" s="82">
        <v>1376</v>
      </c>
      <c r="H14" s="59">
        <v>150</v>
      </c>
      <c r="I14" s="19">
        <v>7.6260000000000003</v>
      </c>
      <c r="J14" s="9">
        <f t="shared" si="0"/>
        <v>0.33315858453473135</v>
      </c>
      <c r="K14" s="3"/>
      <c r="L14" s="3">
        <v>0.83499999999999996</v>
      </c>
      <c r="M14" s="50">
        <f t="shared" si="4"/>
        <v>0</v>
      </c>
      <c r="N14" s="47">
        <f t="shared" si="5"/>
        <v>1376</v>
      </c>
      <c r="O14" s="101">
        <f>385+544+192</f>
        <v>1121</v>
      </c>
      <c r="P14" s="9">
        <f t="shared" si="1"/>
        <v>0.81468023255813948</v>
      </c>
      <c r="Q14" s="33">
        <f>N14*H14</f>
        <v>206400</v>
      </c>
      <c r="R14" s="33">
        <f t="shared" si="15"/>
        <v>168150</v>
      </c>
      <c r="S14" s="50">
        <f t="shared" si="16"/>
        <v>0.81468023255813948</v>
      </c>
      <c r="T14" s="47">
        <v>950</v>
      </c>
      <c r="U14" s="114">
        <v>192</v>
      </c>
      <c r="V14" s="9">
        <f t="shared" si="9"/>
        <v>0.20210526315789479</v>
      </c>
      <c r="W14" s="8">
        <f t="shared" si="17"/>
        <v>142500</v>
      </c>
      <c r="X14" s="5">
        <f t="shared" si="18"/>
        <v>28800</v>
      </c>
      <c r="Y14" s="12">
        <f t="shared" si="19"/>
        <v>0.20210526315789479</v>
      </c>
      <c r="Z14" s="75">
        <f t="shared" si="13"/>
        <v>74316</v>
      </c>
      <c r="AA14" s="106">
        <f>(22055.92+5433.19)*1.2</f>
        <v>32986.931999999993</v>
      </c>
      <c r="AB14" s="107">
        <f t="shared" si="20"/>
        <v>0.44387388987566601</v>
      </c>
    </row>
    <row r="15" spans="1:33" outlineLevel="1" x14ac:dyDescent="0.3">
      <c r="A15" s="19"/>
      <c r="B15" s="3"/>
      <c r="C15" s="4"/>
      <c r="D15" s="8"/>
      <c r="E15" s="8"/>
      <c r="F15" s="82"/>
      <c r="G15" s="82"/>
      <c r="H15" s="59"/>
      <c r="I15" s="19"/>
      <c r="J15" s="9"/>
      <c r="K15" s="3"/>
      <c r="L15" s="3"/>
      <c r="M15" s="50"/>
      <c r="N15" s="47"/>
      <c r="O15" s="101"/>
      <c r="P15" s="9"/>
      <c r="Q15" s="33"/>
      <c r="R15" s="33"/>
      <c r="S15" s="50"/>
      <c r="T15" s="47"/>
      <c r="U15" s="114"/>
      <c r="V15" s="9"/>
      <c r="W15" s="8"/>
      <c r="X15" s="5"/>
      <c r="Y15" s="12"/>
      <c r="Z15" s="75"/>
      <c r="AA15" s="106"/>
      <c r="AB15" s="107"/>
    </row>
    <row r="16" spans="1:33" outlineLevel="1" x14ac:dyDescent="0.3">
      <c r="A16" s="19"/>
      <c r="B16" s="3"/>
      <c r="C16" s="4"/>
      <c r="D16" s="8"/>
      <c r="E16" s="8"/>
      <c r="F16" s="82"/>
      <c r="G16" s="82"/>
      <c r="H16" s="59"/>
      <c r="I16" s="19"/>
      <c r="J16" s="9"/>
      <c r="K16" s="3"/>
      <c r="L16" s="3"/>
      <c r="M16" s="50"/>
      <c r="N16" s="47"/>
      <c r="O16" s="101"/>
      <c r="P16" s="9"/>
      <c r="Q16" s="33"/>
      <c r="R16" s="33"/>
      <c r="S16" s="50"/>
      <c r="T16" s="47"/>
      <c r="U16" s="114"/>
      <c r="V16" s="9"/>
      <c r="W16" s="8"/>
      <c r="X16" s="5"/>
      <c r="Y16" s="12"/>
      <c r="Z16" s="75"/>
      <c r="AA16" s="106"/>
      <c r="AB16" s="107"/>
    </row>
    <row r="17" spans="1:28" outlineLevel="1" x14ac:dyDescent="0.3">
      <c r="A17" s="19"/>
      <c r="B17" s="3"/>
      <c r="C17" s="4"/>
      <c r="D17" s="8"/>
      <c r="E17" s="8"/>
      <c r="F17" s="82"/>
      <c r="G17" s="82"/>
      <c r="H17" s="59"/>
      <c r="I17" s="19"/>
      <c r="J17" s="9"/>
      <c r="K17" s="3"/>
      <c r="L17" s="3"/>
      <c r="M17" s="50"/>
      <c r="N17" s="47"/>
      <c r="O17" s="101"/>
      <c r="P17" s="9"/>
      <c r="Q17" s="33"/>
      <c r="R17" s="33"/>
      <c r="S17" s="50"/>
      <c r="T17" s="47"/>
      <c r="U17" s="114"/>
      <c r="V17" s="9"/>
      <c r="W17" s="8"/>
      <c r="X17" s="5"/>
      <c r="Y17" s="12"/>
      <c r="Z17" s="75"/>
      <c r="AA17" s="106"/>
      <c r="AB17" s="107"/>
    </row>
    <row r="18" spans="1:28" outlineLevel="1" x14ac:dyDescent="0.3">
      <c r="A18" s="19"/>
      <c r="B18" s="3"/>
      <c r="C18" s="4"/>
      <c r="D18" s="8"/>
      <c r="E18" s="8"/>
      <c r="F18" s="82"/>
      <c r="G18" s="82"/>
      <c r="H18" s="59"/>
      <c r="I18" s="19"/>
      <c r="J18" s="9"/>
      <c r="K18" s="3"/>
      <c r="L18" s="3"/>
      <c r="M18" s="50"/>
      <c r="N18" s="47"/>
      <c r="O18" s="101"/>
      <c r="P18" s="9"/>
      <c r="Q18" s="33"/>
      <c r="R18" s="33"/>
      <c r="S18" s="50"/>
      <c r="T18" s="47"/>
      <c r="U18" s="114"/>
      <c r="V18" s="9"/>
      <c r="W18" s="8"/>
      <c r="X18" s="5"/>
      <c r="Y18" s="12"/>
      <c r="Z18" s="75"/>
      <c r="AA18" s="106"/>
      <c r="AB18" s="107"/>
    </row>
    <row r="19" spans="1:28" outlineLevel="1" x14ac:dyDescent="0.3">
      <c r="A19" s="19"/>
      <c r="B19" s="3"/>
      <c r="C19" s="4"/>
      <c r="D19" s="8"/>
      <c r="E19" s="8"/>
      <c r="F19" s="82"/>
      <c r="G19" s="82"/>
      <c r="H19" s="59"/>
      <c r="I19" s="19"/>
      <c r="J19" s="9"/>
      <c r="K19" s="3"/>
      <c r="L19" s="3"/>
      <c r="M19" s="50"/>
      <c r="N19" s="47"/>
      <c r="O19" s="101"/>
      <c r="P19" s="9"/>
      <c r="Q19" s="33"/>
      <c r="R19" s="33"/>
      <c r="S19" s="50"/>
      <c r="T19" s="47"/>
      <c r="U19" s="114"/>
      <c r="V19" s="9"/>
      <c r="W19" s="8"/>
      <c r="X19" s="5"/>
      <c r="Y19" s="12"/>
      <c r="Z19" s="75"/>
      <c r="AA19" s="106"/>
      <c r="AB19" s="107"/>
    </row>
    <row r="20" spans="1:28" outlineLevel="1" x14ac:dyDescent="0.3">
      <c r="A20" s="19"/>
      <c r="B20" s="3"/>
      <c r="C20" s="4"/>
      <c r="D20" s="8"/>
      <c r="E20" s="8"/>
      <c r="F20" s="82"/>
      <c r="G20" s="82"/>
      <c r="H20" s="59"/>
      <c r="I20" s="19"/>
      <c r="J20" s="9"/>
      <c r="K20" s="3"/>
      <c r="L20" s="3"/>
      <c r="M20" s="50"/>
      <c r="N20" s="47"/>
      <c r="O20" s="101"/>
      <c r="P20" s="9"/>
      <c r="Q20" s="33"/>
      <c r="R20" s="33"/>
      <c r="S20" s="50"/>
      <c r="T20" s="47"/>
      <c r="U20" s="114"/>
      <c r="V20" s="9"/>
      <c r="W20" s="8"/>
      <c r="X20" s="5"/>
      <c r="Y20" s="12"/>
      <c r="Z20" s="75">
        <f t="shared" si="13"/>
        <v>0</v>
      </c>
      <c r="AA20" s="106"/>
      <c r="AB20" s="107">
        <f t="shared" si="20"/>
        <v>0</v>
      </c>
    </row>
    <row r="21" spans="1:28" ht="15" outlineLevel="1" thickBot="1" x14ac:dyDescent="0.35">
      <c r="A21" s="19"/>
      <c r="B21" s="3"/>
      <c r="C21" s="4"/>
      <c r="D21" s="8"/>
      <c r="E21" s="8"/>
      <c r="F21" s="8"/>
      <c r="G21" s="82"/>
      <c r="H21" s="59"/>
      <c r="I21" s="19"/>
      <c r="J21" s="9"/>
      <c r="K21" s="3"/>
      <c r="L21" s="3"/>
      <c r="M21" s="50"/>
      <c r="N21" s="47"/>
      <c r="O21" s="101"/>
      <c r="P21" s="9"/>
      <c r="Q21" s="33"/>
      <c r="R21" s="31"/>
      <c r="S21" s="50"/>
      <c r="T21" s="49"/>
      <c r="U21" s="114"/>
      <c r="V21" s="9"/>
      <c r="W21" s="8"/>
      <c r="X21" s="5"/>
      <c r="Y21" s="12"/>
      <c r="Z21" s="75">
        <f t="shared" si="13"/>
        <v>0</v>
      </c>
      <c r="AA21" s="66"/>
      <c r="AB21" s="52">
        <f t="shared" si="12"/>
        <v>0</v>
      </c>
    </row>
    <row r="33" spans="26:28" x14ac:dyDescent="0.3">
      <c r="Z33" s="159"/>
      <c r="AA33" s="159"/>
      <c r="AB33" s="160"/>
    </row>
  </sheetData>
  <autoFilter ref="A4:AI4" xr:uid="{0AC1DC56-DEA7-4BE9-BCAB-34F231D0AE6A}"/>
  <mergeCells count="12">
    <mergeCell ref="Z2:AB2"/>
    <mergeCell ref="Z3:AB3"/>
    <mergeCell ref="T3:V3"/>
    <mergeCell ref="W3:Y3"/>
    <mergeCell ref="C2:H2"/>
    <mergeCell ref="I2:M2"/>
    <mergeCell ref="N2:S2"/>
    <mergeCell ref="T2:Y2"/>
    <mergeCell ref="I3:J3"/>
    <mergeCell ref="K3:M3"/>
    <mergeCell ref="N3:P3"/>
    <mergeCell ref="Q3:S3"/>
  </mergeCells>
  <conditionalFormatting sqref="I5:J21">
    <cfRule type="expression" dxfId="250" priority="94">
      <formula>$J5=1</formula>
    </cfRule>
  </conditionalFormatting>
  <conditionalFormatting sqref="K11">
    <cfRule type="expression" dxfId="249" priority="1">
      <formula>$J11=1</formula>
    </cfRule>
  </conditionalFormatting>
  <conditionalFormatting sqref="K5:L5 K6:M10 L11:M11 K12:M21">
    <cfRule type="expression" dxfId="248" priority="93">
      <formula>$M5=1</formula>
    </cfRule>
  </conditionalFormatting>
  <conditionalFormatting sqref="M5">
    <cfRule type="expression" dxfId="247" priority="2">
      <formula>$J5=1</formula>
    </cfRule>
  </conditionalFormatting>
  <conditionalFormatting sqref="M6:M21">
    <cfRule type="cellIs" dxfId="246" priority="95" operator="greaterThan">
      <formula>100</formula>
    </cfRule>
  </conditionalFormatting>
  <conditionalFormatting sqref="N5:P21">
    <cfRule type="expression" dxfId="245" priority="91">
      <formula>$P5&gt;1.3</formula>
    </cfRule>
    <cfRule type="expression" dxfId="244" priority="92">
      <formula>$P5&gt;1</formula>
    </cfRule>
  </conditionalFormatting>
  <conditionalFormatting sqref="Q5:S21">
    <cfRule type="expression" dxfId="243" priority="89">
      <formula>$S5&gt;1.3</formula>
    </cfRule>
    <cfRule type="expression" dxfId="242" priority="90">
      <formula>$S5&gt;1</formula>
    </cfRule>
  </conditionalFormatting>
  <conditionalFormatting sqref="T5:V21">
    <cfRule type="expression" dxfId="241" priority="83">
      <formula>$V5&gt;1.3</formula>
    </cfRule>
    <cfRule type="expression" dxfId="240" priority="84">
      <formula>$V5&gt;1</formula>
    </cfRule>
  </conditionalFormatting>
  <conditionalFormatting sqref="W5:Y21">
    <cfRule type="expression" dxfId="239" priority="81">
      <formula>$Y5&gt;1.3</formula>
    </cfRule>
    <cfRule type="expression" dxfId="238" priority="82">
      <formula>$Y5&gt;1</formula>
    </cfRule>
  </conditionalFormatting>
  <conditionalFormatting sqref="Z5:AB5 AA6:AB20 Z6:Z21 AB21">
    <cfRule type="expression" dxfId="237" priority="49">
      <formula>$AU5&gt;1.3</formula>
    </cfRule>
    <cfRule type="expression" dxfId="236" priority="50">
      <formula>$AU5&gt;1</formula>
    </cfRule>
  </conditionalFormatting>
  <conditionalFormatting sqref="Z33:AB33">
    <cfRule type="expression" dxfId="235" priority="37">
      <formula>$AU33&gt;1.3</formula>
    </cfRule>
    <cfRule type="expression" dxfId="234" priority="38">
      <formula>$AU33&gt;1</formula>
    </cfRule>
  </conditionalFormatting>
  <conditionalFormatting sqref="AA21">
    <cfRule type="expression" dxfId="233" priority="47">
      <formula>$AX21&gt;1.3</formula>
    </cfRule>
    <cfRule type="expression" dxfId="232" priority="48">
      <formula>$AX21&gt;1</formula>
    </cfRule>
  </conditionalFormatting>
  <pageMargins left="0.70866141732283472" right="0.70866141732283472" top="0.74803149606299213" bottom="0.74803149606299213" header="0.31496062992125984" footer="0.31496062992125984"/>
  <pageSetup paperSize="8" scale="73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6104-7E9E-4884-8DFD-F3589ED25FBB}">
  <dimension ref="A1:AB40"/>
  <sheetViews>
    <sheetView workbookViewId="0">
      <selection activeCell="AA8" sqref="AA8"/>
    </sheetView>
  </sheetViews>
  <sheetFormatPr defaultRowHeight="14.4" outlineLevelRow="1" outlineLevelCol="1" x14ac:dyDescent="0.3"/>
  <cols>
    <col min="1" max="1" width="5.33203125" bestFit="1" customWidth="1"/>
    <col min="2" max="2" width="46.6640625" customWidth="1"/>
    <col min="3" max="3" width="12.6640625" style="128" customWidth="1"/>
    <col min="4" max="8" width="12.6640625" customWidth="1" outlineLevel="1"/>
    <col min="9" max="14" width="12.6640625" customWidth="1"/>
    <col min="15" max="15" width="12.6640625" style="113" customWidth="1"/>
    <col min="16" max="16" width="12.6640625" customWidth="1"/>
    <col min="17" max="19" width="12.6640625" customWidth="1" outlineLevel="1"/>
    <col min="20" max="20" width="12.6640625" customWidth="1"/>
    <col min="21" max="21" width="12.6640625" style="113" customWidth="1"/>
    <col min="22" max="22" width="12.6640625" customWidth="1"/>
    <col min="23" max="25" width="12.6640625" customWidth="1" outlineLevel="1"/>
    <col min="26" max="28" width="13.44140625" customWidth="1"/>
  </cols>
  <sheetData>
    <row r="1" spans="1:28" s="113" customFormat="1" ht="16.2" thickBot="1" x14ac:dyDescent="0.35">
      <c r="B1" s="118">
        <f ca="1">TODAY()</f>
        <v>46198</v>
      </c>
      <c r="C1" s="119"/>
      <c r="V1" s="120"/>
    </row>
    <row r="2" spans="1:28" ht="16.2" thickBot="1" x14ac:dyDescent="0.35">
      <c r="A2" s="18"/>
      <c r="B2" s="56"/>
      <c r="C2" s="165" t="s">
        <v>46</v>
      </c>
      <c r="D2" s="166"/>
      <c r="E2" s="166"/>
      <c r="F2" s="166"/>
      <c r="G2" s="166"/>
      <c r="H2" s="167"/>
      <c r="I2" s="168" t="s">
        <v>44</v>
      </c>
      <c r="J2" s="169"/>
      <c r="K2" s="169"/>
      <c r="L2" s="169"/>
      <c r="M2" s="170"/>
      <c r="N2" s="171" t="s">
        <v>49</v>
      </c>
      <c r="O2" s="172"/>
      <c r="P2" s="172"/>
      <c r="Q2" s="172"/>
      <c r="R2" s="172"/>
      <c r="S2" s="173"/>
      <c r="T2" s="171" t="s">
        <v>119</v>
      </c>
      <c r="U2" s="172"/>
      <c r="V2" s="172"/>
      <c r="W2" s="172"/>
      <c r="X2" s="172"/>
      <c r="Y2" s="173"/>
      <c r="Z2" s="161" t="s">
        <v>66</v>
      </c>
      <c r="AA2" s="162"/>
      <c r="AB2" s="162"/>
    </row>
    <row r="3" spans="1:28" ht="60.75" customHeight="1" thickBot="1" x14ac:dyDescent="0.35">
      <c r="A3" s="57" t="s">
        <v>36</v>
      </c>
      <c r="B3" s="14" t="s">
        <v>37</v>
      </c>
      <c r="C3" s="15" t="s">
        <v>59</v>
      </c>
      <c r="D3" s="16" t="s">
        <v>60</v>
      </c>
      <c r="E3" s="16" t="s">
        <v>40</v>
      </c>
      <c r="F3" s="16" t="s">
        <v>41</v>
      </c>
      <c r="G3" s="16" t="s">
        <v>42</v>
      </c>
      <c r="H3" s="17" t="s">
        <v>61</v>
      </c>
      <c r="I3" s="174" t="s">
        <v>45</v>
      </c>
      <c r="J3" s="175"/>
      <c r="K3" s="174" t="s">
        <v>125</v>
      </c>
      <c r="L3" s="176"/>
      <c r="M3" s="175"/>
      <c r="N3" s="177" t="s">
        <v>62</v>
      </c>
      <c r="O3" s="178"/>
      <c r="P3" s="179"/>
      <c r="Q3" s="177" t="s">
        <v>63</v>
      </c>
      <c r="R3" s="178"/>
      <c r="S3" s="179"/>
      <c r="T3" s="177" t="s">
        <v>62</v>
      </c>
      <c r="U3" s="178"/>
      <c r="V3" s="179"/>
      <c r="W3" s="177" t="s">
        <v>63</v>
      </c>
      <c r="X3" s="178"/>
      <c r="Y3" s="179"/>
      <c r="Z3" s="163" t="s">
        <v>67</v>
      </c>
      <c r="AA3" s="164"/>
      <c r="AB3" s="164"/>
    </row>
    <row r="4" spans="1:28" ht="15" thickBot="1" x14ac:dyDescent="0.35">
      <c r="A4" s="26"/>
      <c r="B4" s="27"/>
      <c r="C4" s="28"/>
      <c r="D4" s="29"/>
      <c r="E4" s="29"/>
      <c r="F4" s="29"/>
      <c r="G4" s="27"/>
      <c r="H4" s="44"/>
      <c r="I4" s="43" t="s">
        <v>2</v>
      </c>
      <c r="J4" s="27" t="s">
        <v>3</v>
      </c>
      <c r="K4" s="27" t="s">
        <v>1</v>
      </c>
      <c r="L4" s="27" t="s">
        <v>2</v>
      </c>
      <c r="M4" s="44" t="s">
        <v>3</v>
      </c>
      <c r="N4" s="43" t="s">
        <v>1</v>
      </c>
      <c r="O4" s="43" t="s">
        <v>2</v>
      </c>
      <c r="P4" s="27" t="s">
        <v>3</v>
      </c>
      <c r="Q4" s="27" t="s">
        <v>1</v>
      </c>
      <c r="R4" s="27" t="s">
        <v>2</v>
      </c>
      <c r="S4" s="44" t="s">
        <v>3</v>
      </c>
      <c r="T4" s="43" t="s">
        <v>1</v>
      </c>
      <c r="U4" s="43" t="s">
        <v>38</v>
      </c>
      <c r="V4" s="27" t="s">
        <v>3</v>
      </c>
      <c r="W4" s="27" t="s">
        <v>1</v>
      </c>
      <c r="X4" s="27" t="s">
        <v>2</v>
      </c>
      <c r="Y4" s="44" t="s">
        <v>3</v>
      </c>
      <c r="Z4" s="27" t="s">
        <v>1</v>
      </c>
      <c r="AA4" s="27" t="s">
        <v>2</v>
      </c>
      <c r="AB4" s="27" t="s">
        <v>3</v>
      </c>
    </row>
    <row r="5" spans="1:28" ht="29.25" customHeight="1" thickBot="1" x14ac:dyDescent="0.4">
      <c r="A5" s="36"/>
      <c r="B5" s="37" t="s">
        <v>114</v>
      </c>
      <c r="C5" s="38">
        <f>SUM(C6:C28)</f>
        <v>21.863300000000002</v>
      </c>
      <c r="D5" s="39">
        <f>SUM(D6:D28)</f>
        <v>232030.5</v>
      </c>
      <c r="E5" s="39">
        <f>SUM(E6:E28)</f>
        <v>0</v>
      </c>
      <c r="F5" s="39">
        <f>SUM(F6:F28)</f>
        <v>77747.040000000008</v>
      </c>
      <c r="G5" s="39">
        <f>SUM(G6:G28)</f>
        <v>925</v>
      </c>
      <c r="H5" s="58">
        <f>AVERAGE(H6:H13)</f>
        <v>157.5</v>
      </c>
      <c r="I5" s="45">
        <f>SUM(I6:I28)</f>
        <v>21.923000000000002</v>
      </c>
      <c r="J5" s="41">
        <f t="shared" ref="J5:J8" si="0">1-(C5-I5)/C5</f>
        <v>1.0027306033398435</v>
      </c>
      <c r="K5" s="40">
        <f>SUM(K6:K28)</f>
        <v>0</v>
      </c>
      <c r="L5" s="40">
        <f>SUM(L6:L28)</f>
        <v>0</v>
      </c>
      <c r="M5" s="46">
        <f>IFERROR(1-(K5-L5)/K5,0)</f>
        <v>0</v>
      </c>
      <c r="N5" s="45">
        <f>SUM(N6:N28)</f>
        <v>925</v>
      </c>
      <c r="O5" s="45">
        <f>SUM(O6:O28)</f>
        <v>1397</v>
      </c>
      <c r="P5" s="41">
        <f t="shared" ref="P5:P8" si="1">IFERROR(1-(N5-O5)/N5,0)</f>
        <v>1.5102702702702704</v>
      </c>
      <c r="Q5" s="40">
        <f>SUM(Q6:Q28)</f>
        <v>142440</v>
      </c>
      <c r="R5" s="40">
        <f>SUM(R6:R28)</f>
        <v>214927.5</v>
      </c>
      <c r="S5" s="46">
        <f t="shared" ref="S5:S8" si="2">IFERROR(1-(Q5-R5)/Q5,0)</f>
        <v>1.5088984835720303</v>
      </c>
      <c r="T5" s="39">
        <f>SUM(T6:T28)</f>
        <v>60</v>
      </c>
      <c r="U5" s="39">
        <f>SUM(U6:U28)</f>
        <v>48</v>
      </c>
      <c r="V5" s="41">
        <f>IFERROR(1-(T5-U5)/T5,0)</f>
        <v>0.8</v>
      </c>
      <c r="W5" s="39">
        <f>SUM(W6:W28)</f>
        <v>10350</v>
      </c>
      <c r="X5" s="40">
        <f>SUM(X6:X28)</f>
        <v>8280</v>
      </c>
      <c r="Y5" s="46">
        <f t="shared" ref="Y5:Y8" si="3">IFERROR(1-(W5-X5)/W5,0)</f>
        <v>0.8</v>
      </c>
      <c r="Z5" s="89">
        <f>SUM(Z6:Z28)</f>
        <v>77747.040000000008</v>
      </c>
      <c r="AA5" s="86">
        <f>SUM(AA6:AA28)</f>
        <v>115818.52799999999</v>
      </c>
      <c r="AB5" s="99">
        <f>IFERROR(1-(Z5-AA5)/Z5,0)</f>
        <v>1.4896840831496605</v>
      </c>
    </row>
    <row r="6" spans="1:28" outlineLevel="1" x14ac:dyDescent="0.3">
      <c r="A6" s="19">
        <v>1</v>
      </c>
      <c r="B6" s="3" t="s">
        <v>104</v>
      </c>
      <c r="C6" s="77">
        <v>16.260000000000002</v>
      </c>
      <c r="D6" s="78">
        <v>170602.5</v>
      </c>
      <c r="E6" s="8"/>
      <c r="F6" s="8">
        <v>64022.17</v>
      </c>
      <c r="G6" s="78">
        <v>725</v>
      </c>
      <c r="H6" s="59">
        <v>150</v>
      </c>
      <c r="I6" s="3">
        <v>15.6</v>
      </c>
      <c r="J6" s="9">
        <f t="shared" si="0"/>
        <v>0.95940959409594084</v>
      </c>
      <c r="K6" s="3"/>
      <c r="L6" s="3"/>
      <c r="M6" s="50">
        <f t="shared" ref="M6:M7" si="4">IFERROR(1-(K6-L6)/K6,0)</f>
        <v>0</v>
      </c>
      <c r="N6" s="47">
        <f t="shared" ref="N6:N7" si="5">G6</f>
        <v>725</v>
      </c>
      <c r="O6" s="101">
        <f>373+735</f>
        <v>1108</v>
      </c>
      <c r="P6" s="9">
        <f t="shared" si="1"/>
        <v>1.5282758620689654</v>
      </c>
      <c r="Q6" s="33">
        <f>N6*H6</f>
        <v>108750</v>
      </c>
      <c r="R6" s="33">
        <f t="shared" ref="R6:R8" si="6">O6*H6</f>
        <v>166200</v>
      </c>
      <c r="S6" s="50">
        <f t="shared" si="2"/>
        <v>1.5282758620689654</v>
      </c>
      <c r="T6" s="47">
        <v>0</v>
      </c>
      <c r="U6" s="114"/>
      <c r="V6" s="9">
        <f t="shared" ref="V6:V8" si="7">IFERROR(1-(T6-U6)/T6,0)</f>
        <v>0</v>
      </c>
      <c r="W6" s="8">
        <f t="shared" ref="W6:W8" si="8">T6*H6</f>
        <v>0</v>
      </c>
      <c r="X6" s="5">
        <f t="shared" ref="X6:X7" si="9">U6*H6</f>
        <v>0</v>
      </c>
      <c r="Y6" s="12">
        <f t="shared" si="3"/>
        <v>0</v>
      </c>
      <c r="Z6" s="109">
        <f>IF(I6&lt;&gt;0,F6,0)</f>
        <v>64022.17</v>
      </c>
      <c r="AA6" s="110">
        <f>(66309.23)*1.2</f>
        <v>79571.075999999986</v>
      </c>
      <c r="AB6" s="62">
        <f t="shared" ref="AB6:AB28" si="10">IFERROR(1-(Z6-AA6)/Z6,0)</f>
        <v>1.2428675254212718</v>
      </c>
    </row>
    <row r="7" spans="1:28" outlineLevel="1" x14ac:dyDescent="0.3">
      <c r="A7" s="19">
        <v>2</v>
      </c>
      <c r="B7" s="3" t="s">
        <v>103</v>
      </c>
      <c r="C7" s="77">
        <v>1.1599999999999999</v>
      </c>
      <c r="D7" s="78">
        <v>7974</v>
      </c>
      <c r="E7" s="8"/>
      <c r="F7" s="8">
        <v>3545.08</v>
      </c>
      <c r="G7" s="78">
        <v>36</v>
      </c>
      <c r="H7" s="59">
        <v>150</v>
      </c>
      <c r="I7" s="19">
        <v>1.88</v>
      </c>
      <c r="J7" s="9">
        <f t="shared" si="0"/>
        <v>1.6206896551724137</v>
      </c>
      <c r="K7" s="3"/>
      <c r="L7" s="3"/>
      <c r="M7" s="50">
        <f t="shared" si="4"/>
        <v>0</v>
      </c>
      <c r="N7" s="47">
        <f t="shared" si="5"/>
        <v>36</v>
      </c>
      <c r="O7" s="101">
        <v>50</v>
      </c>
      <c r="P7" s="9">
        <f t="shared" si="1"/>
        <v>1.3888888888888888</v>
      </c>
      <c r="Q7" s="33">
        <f t="shared" ref="Q7:Q8" si="11">N7*H7</f>
        <v>5400</v>
      </c>
      <c r="R7" s="33">
        <f t="shared" si="6"/>
        <v>7500</v>
      </c>
      <c r="S7" s="50">
        <f t="shared" si="2"/>
        <v>1.3888888888888888</v>
      </c>
      <c r="T7" s="47">
        <v>0</v>
      </c>
      <c r="U7" s="114"/>
      <c r="V7" s="9">
        <f t="shared" si="7"/>
        <v>0</v>
      </c>
      <c r="W7" s="8">
        <f t="shared" si="8"/>
        <v>0</v>
      </c>
      <c r="X7" s="5">
        <f t="shared" si="9"/>
        <v>0</v>
      </c>
      <c r="Y7" s="12">
        <f t="shared" si="3"/>
        <v>0</v>
      </c>
      <c r="Z7" s="111">
        <f t="shared" ref="Z7:Z28" si="12">IF(I7&lt;&gt;0,F7,0)</f>
        <v>3545.08</v>
      </c>
      <c r="AA7" s="112">
        <f>10817.85*1.2</f>
        <v>12981.42</v>
      </c>
      <c r="AB7" s="50">
        <f t="shared" si="10"/>
        <v>3.6618129915262845</v>
      </c>
    </row>
    <row r="8" spans="1:28" outlineLevel="1" x14ac:dyDescent="0.3">
      <c r="A8" s="19">
        <v>3</v>
      </c>
      <c r="B8" s="3" t="s">
        <v>118</v>
      </c>
      <c r="C8" s="77">
        <v>4.4432999999999998</v>
      </c>
      <c r="D8" s="33">
        <v>53454</v>
      </c>
      <c r="E8" s="8"/>
      <c r="F8" s="82">
        <v>10179.790000000001</v>
      </c>
      <c r="G8" s="33">
        <v>164</v>
      </c>
      <c r="H8" s="59">
        <v>172.5</v>
      </c>
      <c r="I8" s="3">
        <v>4.4429999999999996</v>
      </c>
      <c r="J8" s="9">
        <f t="shared" si="0"/>
        <v>0.99993248261427314</v>
      </c>
      <c r="K8" s="3"/>
      <c r="L8" s="3"/>
      <c r="M8" s="50"/>
      <c r="N8" s="47">
        <v>164</v>
      </c>
      <c r="O8" s="101">
        <f>191+48</f>
        <v>239</v>
      </c>
      <c r="P8" s="9">
        <f t="shared" si="1"/>
        <v>1.4573170731707317</v>
      </c>
      <c r="Q8" s="33">
        <f t="shared" si="11"/>
        <v>28290</v>
      </c>
      <c r="R8" s="33">
        <f t="shared" si="6"/>
        <v>41227.5</v>
      </c>
      <c r="S8" s="50">
        <f t="shared" si="2"/>
        <v>1.4573170731707317</v>
      </c>
      <c r="T8" s="47">
        <v>60</v>
      </c>
      <c r="U8" s="114">
        <v>48</v>
      </c>
      <c r="V8" s="9">
        <f t="shared" si="7"/>
        <v>0.8</v>
      </c>
      <c r="W8" s="8">
        <f t="shared" si="8"/>
        <v>10350</v>
      </c>
      <c r="X8" s="5">
        <f>U8*H8</f>
        <v>8280</v>
      </c>
      <c r="Y8" s="12">
        <f t="shared" si="3"/>
        <v>0.8</v>
      </c>
      <c r="Z8" s="111">
        <f t="shared" si="12"/>
        <v>10179.790000000001</v>
      </c>
      <c r="AA8" s="108">
        <f>19388.36*1.2</f>
        <v>23266.031999999999</v>
      </c>
      <c r="AB8" s="50">
        <f t="shared" si="10"/>
        <v>2.2855119801096091</v>
      </c>
    </row>
    <row r="9" spans="1:28" outlineLevel="1" x14ac:dyDescent="0.3">
      <c r="A9" s="19"/>
      <c r="B9" s="3"/>
      <c r="C9" s="77"/>
      <c r="D9" s="78"/>
      <c r="E9" s="8"/>
      <c r="F9" s="8"/>
      <c r="G9" s="78"/>
      <c r="H9" s="59"/>
      <c r="I9" s="19"/>
      <c r="J9" s="9"/>
      <c r="K9" s="3"/>
      <c r="L9" s="3"/>
      <c r="M9" s="50"/>
      <c r="N9" s="47"/>
      <c r="O9" s="101"/>
      <c r="P9" s="9"/>
      <c r="Q9" s="33"/>
      <c r="R9" s="33"/>
      <c r="S9" s="50"/>
      <c r="T9" s="47"/>
      <c r="U9" s="114"/>
      <c r="V9" s="9"/>
      <c r="W9" s="8"/>
      <c r="X9" s="5"/>
      <c r="Y9" s="12"/>
      <c r="Z9" s="75"/>
      <c r="AA9" s="65"/>
      <c r="AB9" s="50"/>
    </row>
    <row r="10" spans="1:28" outlineLevel="1" x14ac:dyDescent="0.3">
      <c r="A10" s="19"/>
      <c r="B10" s="4"/>
      <c r="C10" s="77"/>
      <c r="D10" s="78"/>
      <c r="E10" s="8"/>
      <c r="F10" s="82"/>
      <c r="G10" s="78"/>
      <c r="H10" s="59"/>
      <c r="I10" s="19"/>
      <c r="J10" s="9"/>
      <c r="K10" s="3"/>
      <c r="L10" s="3"/>
      <c r="M10" s="50"/>
      <c r="N10" s="47"/>
      <c r="O10" s="101"/>
      <c r="P10" s="9"/>
      <c r="Q10" s="33"/>
      <c r="R10" s="33"/>
      <c r="S10" s="50"/>
      <c r="T10" s="47"/>
      <c r="U10" s="114"/>
      <c r="V10" s="9"/>
      <c r="W10" s="8"/>
      <c r="X10" s="5"/>
      <c r="Y10" s="12"/>
      <c r="Z10" s="75"/>
      <c r="AA10" s="65"/>
      <c r="AB10" s="50"/>
    </row>
    <row r="11" spans="1:28" outlineLevel="1" x14ac:dyDescent="0.3">
      <c r="A11" s="19"/>
      <c r="B11" s="3"/>
      <c r="C11" s="77"/>
      <c r="D11" s="78"/>
      <c r="E11" s="8"/>
      <c r="F11" s="8"/>
      <c r="G11" s="78"/>
      <c r="H11" s="59"/>
      <c r="I11" s="19"/>
      <c r="J11" s="9"/>
      <c r="K11" s="3"/>
      <c r="L11" s="3"/>
      <c r="M11" s="50"/>
      <c r="N11" s="47"/>
      <c r="O11" s="101"/>
      <c r="P11" s="9"/>
      <c r="Q11" s="33"/>
      <c r="R11" s="33"/>
      <c r="S11" s="50"/>
      <c r="T11" s="47"/>
      <c r="U11" s="114"/>
      <c r="V11" s="9"/>
      <c r="W11" s="8"/>
      <c r="X11" s="5"/>
      <c r="Y11" s="12"/>
      <c r="Z11" s="75"/>
      <c r="AA11" s="65"/>
      <c r="AB11" s="50"/>
    </row>
    <row r="12" spans="1:28" outlineLevel="1" x14ac:dyDescent="0.3">
      <c r="A12" s="19"/>
      <c r="B12" s="3"/>
      <c r="C12" s="77"/>
      <c r="D12" s="78"/>
      <c r="E12" s="8"/>
      <c r="F12" s="8"/>
      <c r="G12" s="78"/>
      <c r="H12" s="59"/>
      <c r="I12" s="19"/>
      <c r="J12" s="9"/>
      <c r="K12" s="3"/>
      <c r="L12" s="3"/>
      <c r="M12" s="50"/>
      <c r="N12" s="47"/>
      <c r="O12" s="101"/>
      <c r="P12" s="9"/>
      <c r="Q12" s="33"/>
      <c r="R12" s="33"/>
      <c r="S12" s="50"/>
      <c r="T12" s="47"/>
      <c r="U12" s="114"/>
      <c r="V12" s="9"/>
      <c r="W12" s="8"/>
      <c r="X12" s="5"/>
      <c r="Y12" s="12"/>
      <c r="Z12" s="75"/>
      <c r="AA12" s="65"/>
      <c r="AB12" s="50"/>
    </row>
    <row r="13" spans="1:28" outlineLevel="1" x14ac:dyDescent="0.3">
      <c r="A13" s="19"/>
      <c r="B13" s="3"/>
      <c r="C13" s="4"/>
      <c r="D13" s="8"/>
      <c r="E13" s="8"/>
      <c r="F13" s="82"/>
      <c r="G13" s="82"/>
      <c r="H13" s="59"/>
      <c r="I13" s="19"/>
      <c r="J13" s="9"/>
      <c r="K13" s="3"/>
      <c r="L13" s="3"/>
      <c r="M13" s="50"/>
      <c r="N13" s="47"/>
      <c r="O13" s="101"/>
      <c r="P13" s="9"/>
      <c r="Q13" s="33"/>
      <c r="R13" s="33"/>
      <c r="S13" s="50"/>
      <c r="T13" s="47"/>
      <c r="U13" s="114"/>
      <c r="V13" s="9"/>
      <c r="W13" s="8"/>
      <c r="X13" s="5"/>
      <c r="Y13" s="12"/>
      <c r="Z13" s="75"/>
      <c r="AA13" s="65"/>
      <c r="AB13" s="50"/>
    </row>
    <row r="14" spans="1:28" outlineLevel="1" x14ac:dyDescent="0.3">
      <c r="A14" s="19"/>
      <c r="B14" s="3"/>
      <c r="C14" s="4"/>
      <c r="D14" s="8"/>
      <c r="E14" s="8"/>
      <c r="F14" s="82"/>
      <c r="G14" s="82"/>
      <c r="H14" s="59"/>
      <c r="I14" s="19"/>
      <c r="J14" s="9"/>
      <c r="K14" s="3"/>
      <c r="L14" s="3"/>
      <c r="M14" s="50"/>
      <c r="N14" s="47"/>
      <c r="O14" s="101"/>
      <c r="P14" s="9"/>
      <c r="Q14" s="33"/>
      <c r="R14" s="33"/>
      <c r="S14" s="50"/>
      <c r="T14" s="47"/>
      <c r="U14" s="114"/>
      <c r="V14" s="9"/>
      <c r="W14" s="8"/>
      <c r="X14" s="5"/>
      <c r="Y14" s="12"/>
      <c r="Z14" s="75"/>
      <c r="AA14" s="106"/>
      <c r="AB14" s="107"/>
    </row>
    <row r="15" spans="1:28" outlineLevel="1" x14ac:dyDescent="0.3">
      <c r="A15" s="19"/>
      <c r="B15" s="3"/>
      <c r="C15" s="4"/>
      <c r="D15" s="8"/>
      <c r="E15" s="8"/>
      <c r="F15" s="82"/>
      <c r="G15" s="82"/>
      <c r="H15" s="59"/>
      <c r="I15" s="19"/>
      <c r="J15" s="9"/>
      <c r="K15" s="3"/>
      <c r="L15" s="3"/>
      <c r="M15" s="50"/>
      <c r="N15" s="47"/>
      <c r="O15" s="101"/>
      <c r="P15" s="9"/>
      <c r="Q15" s="33"/>
      <c r="R15" s="33"/>
      <c r="S15" s="50"/>
      <c r="T15" s="47"/>
      <c r="U15" s="114"/>
      <c r="V15" s="9"/>
      <c r="W15" s="8"/>
      <c r="X15" s="5"/>
      <c r="Y15" s="12"/>
      <c r="Z15" s="75"/>
      <c r="AA15" s="106"/>
      <c r="AB15" s="107"/>
    </row>
    <row r="16" spans="1:28" outlineLevel="1" x14ac:dyDescent="0.3">
      <c r="A16" s="19"/>
      <c r="B16" s="3"/>
      <c r="C16" s="4"/>
      <c r="D16" s="8"/>
      <c r="E16" s="8"/>
      <c r="F16" s="82"/>
      <c r="G16" s="82"/>
      <c r="H16" s="59"/>
      <c r="I16" s="19"/>
      <c r="J16" s="9"/>
      <c r="K16" s="3"/>
      <c r="L16" s="3"/>
      <c r="M16" s="50"/>
      <c r="N16" s="47"/>
      <c r="O16" s="101"/>
      <c r="P16" s="9"/>
      <c r="Q16" s="33"/>
      <c r="R16" s="33"/>
      <c r="S16" s="50"/>
      <c r="T16" s="47"/>
      <c r="U16" s="114"/>
      <c r="V16" s="9"/>
      <c r="W16" s="8"/>
      <c r="X16" s="5"/>
      <c r="Y16" s="12"/>
      <c r="Z16" s="75"/>
      <c r="AA16" s="106"/>
      <c r="AB16" s="107"/>
    </row>
    <row r="17" spans="1:28" outlineLevel="1" x14ac:dyDescent="0.3">
      <c r="A17" s="19"/>
      <c r="B17" s="3"/>
      <c r="C17" s="4"/>
      <c r="D17" s="8"/>
      <c r="E17" s="8"/>
      <c r="F17" s="82"/>
      <c r="G17" s="82"/>
      <c r="H17" s="59"/>
      <c r="I17" s="19"/>
      <c r="J17" s="9"/>
      <c r="K17" s="3"/>
      <c r="L17" s="3"/>
      <c r="M17" s="50"/>
      <c r="N17" s="47"/>
      <c r="O17" s="101"/>
      <c r="P17" s="9"/>
      <c r="Q17" s="33"/>
      <c r="R17" s="33"/>
      <c r="S17" s="50"/>
      <c r="T17" s="47"/>
      <c r="U17" s="114"/>
      <c r="V17" s="9"/>
      <c r="W17" s="8"/>
      <c r="X17" s="5"/>
      <c r="Y17" s="12"/>
      <c r="Z17" s="75"/>
      <c r="AA17" s="106"/>
      <c r="AB17" s="107"/>
    </row>
    <row r="18" spans="1:28" hidden="1" outlineLevel="1" x14ac:dyDescent="0.3">
      <c r="A18" s="19"/>
      <c r="B18" s="3"/>
      <c r="C18" s="4"/>
      <c r="D18" s="8"/>
      <c r="E18" s="8"/>
      <c r="F18" s="82"/>
      <c r="G18" s="82"/>
      <c r="H18" s="59"/>
      <c r="I18" s="19"/>
      <c r="J18" s="9"/>
      <c r="K18" s="3"/>
      <c r="L18" s="3"/>
      <c r="M18" s="50"/>
      <c r="N18" s="47"/>
      <c r="O18" s="101"/>
      <c r="P18" s="9"/>
      <c r="Q18" s="33"/>
      <c r="R18" s="33"/>
      <c r="S18" s="50"/>
      <c r="T18" s="47"/>
      <c r="U18" s="114"/>
      <c r="V18" s="9"/>
      <c r="W18" s="8"/>
      <c r="X18" s="5"/>
      <c r="Y18" s="12"/>
      <c r="Z18" s="75"/>
      <c r="AA18" s="106"/>
      <c r="AB18" s="107"/>
    </row>
    <row r="19" spans="1:28" outlineLevel="1" x14ac:dyDescent="0.3">
      <c r="A19" s="19"/>
      <c r="B19" s="3"/>
      <c r="C19" s="4"/>
      <c r="D19" s="8"/>
      <c r="E19" s="8"/>
      <c r="F19" s="82"/>
      <c r="G19" s="82"/>
      <c r="H19" s="59"/>
      <c r="I19" s="19"/>
      <c r="J19" s="9"/>
      <c r="K19" s="3"/>
      <c r="L19" s="3"/>
      <c r="M19" s="50"/>
      <c r="N19" s="47"/>
      <c r="O19" s="101"/>
      <c r="P19" s="9"/>
      <c r="Q19" s="33"/>
      <c r="R19" s="33"/>
      <c r="S19" s="50"/>
      <c r="T19" s="47"/>
      <c r="U19" s="114"/>
      <c r="V19" s="9"/>
      <c r="W19" s="8"/>
      <c r="X19" s="5"/>
      <c r="Y19" s="12"/>
      <c r="Z19" s="75"/>
      <c r="AA19" s="106"/>
      <c r="AB19" s="107"/>
    </row>
    <row r="20" spans="1:28" outlineLevel="1" x14ac:dyDescent="0.3">
      <c r="A20" s="19"/>
      <c r="B20" s="3"/>
      <c r="C20" s="4"/>
      <c r="D20" s="8"/>
      <c r="E20" s="8"/>
      <c r="F20" s="82"/>
      <c r="G20" s="82"/>
      <c r="H20" s="59"/>
      <c r="I20" s="19"/>
      <c r="J20" s="9"/>
      <c r="K20" s="3"/>
      <c r="L20" s="3"/>
      <c r="M20" s="50"/>
      <c r="N20" s="47"/>
      <c r="O20" s="101"/>
      <c r="P20" s="9"/>
      <c r="Q20" s="33"/>
      <c r="R20" s="33"/>
      <c r="S20" s="50"/>
      <c r="T20" s="47"/>
      <c r="U20" s="114"/>
      <c r="V20" s="9"/>
      <c r="W20" s="8"/>
      <c r="X20" s="5"/>
      <c r="Y20" s="12"/>
      <c r="Z20" s="75"/>
      <c r="AA20" s="106"/>
      <c r="AB20" s="107"/>
    </row>
    <row r="21" spans="1:28" outlineLevel="1" x14ac:dyDescent="0.3">
      <c r="A21" s="19"/>
      <c r="B21" s="3"/>
      <c r="C21" s="4"/>
      <c r="D21" s="8"/>
      <c r="E21" s="8"/>
      <c r="F21" s="82"/>
      <c r="G21" s="82"/>
      <c r="H21" s="59"/>
      <c r="I21" s="19"/>
      <c r="J21" s="9"/>
      <c r="K21" s="3"/>
      <c r="L21" s="3"/>
      <c r="M21" s="50"/>
      <c r="N21" s="47"/>
      <c r="O21" s="101"/>
      <c r="P21" s="9"/>
      <c r="Q21" s="33"/>
      <c r="R21" s="33"/>
      <c r="S21" s="50"/>
      <c r="T21" s="47"/>
      <c r="U21" s="114"/>
      <c r="V21" s="9"/>
      <c r="W21" s="8"/>
      <c r="X21" s="5"/>
      <c r="Y21" s="12"/>
      <c r="Z21" s="75"/>
      <c r="AA21" s="106"/>
      <c r="AB21" s="107"/>
    </row>
    <row r="22" spans="1:28" outlineLevel="1" x14ac:dyDescent="0.3">
      <c r="A22" s="19"/>
      <c r="B22" s="3"/>
      <c r="C22" s="4"/>
      <c r="D22" s="8"/>
      <c r="E22" s="8"/>
      <c r="F22" s="82"/>
      <c r="G22" s="82"/>
      <c r="H22" s="59"/>
      <c r="I22" s="19"/>
      <c r="J22" s="9"/>
      <c r="K22" s="3"/>
      <c r="L22" s="3"/>
      <c r="M22" s="50"/>
      <c r="N22" s="47"/>
      <c r="O22" s="101"/>
      <c r="P22" s="9"/>
      <c r="Q22" s="33"/>
      <c r="R22" s="33"/>
      <c r="S22" s="50"/>
      <c r="T22" s="47"/>
      <c r="U22" s="114"/>
      <c r="V22" s="9"/>
      <c r="W22" s="8"/>
      <c r="X22" s="5"/>
      <c r="Y22" s="12"/>
      <c r="Z22" s="75"/>
      <c r="AA22" s="106"/>
      <c r="AB22" s="107"/>
    </row>
    <row r="23" spans="1:28" outlineLevel="1" x14ac:dyDescent="0.3">
      <c r="A23" s="19"/>
      <c r="B23" s="3"/>
      <c r="C23" s="4"/>
      <c r="D23" s="8"/>
      <c r="E23" s="8"/>
      <c r="F23" s="82"/>
      <c r="G23" s="82"/>
      <c r="H23" s="59"/>
      <c r="I23" s="19"/>
      <c r="J23" s="9"/>
      <c r="K23" s="3"/>
      <c r="L23" s="3"/>
      <c r="M23" s="50"/>
      <c r="N23" s="47"/>
      <c r="O23" s="101"/>
      <c r="P23" s="9"/>
      <c r="Q23" s="33"/>
      <c r="R23" s="33"/>
      <c r="S23" s="50"/>
      <c r="T23" s="47"/>
      <c r="U23" s="114"/>
      <c r="V23" s="9"/>
      <c r="W23" s="8"/>
      <c r="X23" s="5"/>
      <c r="Y23" s="12"/>
      <c r="Z23" s="75"/>
      <c r="AA23" s="106"/>
      <c r="AB23" s="107"/>
    </row>
    <row r="24" spans="1:28" outlineLevel="1" x14ac:dyDescent="0.3">
      <c r="A24" s="19"/>
      <c r="B24" s="3"/>
      <c r="C24" s="4"/>
      <c r="D24" s="8"/>
      <c r="E24" s="8"/>
      <c r="F24" s="82"/>
      <c r="G24" s="82"/>
      <c r="H24" s="59"/>
      <c r="I24" s="19"/>
      <c r="J24" s="9"/>
      <c r="K24" s="3"/>
      <c r="L24" s="3"/>
      <c r="M24" s="50"/>
      <c r="N24" s="47"/>
      <c r="O24" s="101"/>
      <c r="P24" s="9"/>
      <c r="Q24" s="33"/>
      <c r="R24" s="33"/>
      <c r="S24" s="50"/>
      <c r="T24" s="47"/>
      <c r="U24" s="114"/>
      <c r="V24" s="9"/>
      <c r="W24" s="8"/>
      <c r="X24" s="5"/>
      <c r="Y24" s="12"/>
      <c r="Z24" s="75"/>
      <c r="AA24" s="106"/>
      <c r="AB24" s="107"/>
    </row>
    <row r="25" spans="1:28" outlineLevel="1" x14ac:dyDescent="0.3">
      <c r="A25" s="19"/>
      <c r="B25" s="3"/>
      <c r="C25" s="4"/>
      <c r="D25" s="8"/>
      <c r="E25" s="8"/>
      <c r="F25" s="82"/>
      <c r="G25" s="82"/>
      <c r="H25" s="59"/>
      <c r="I25" s="19"/>
      <c r="J25" s="9"/>
      <c r="K25" s="3"/>
      <c r="L25" s="3"/>
      <c r="M25" s="50"/>
      <c r="N25" s="47"/>
      <c r="O25" s="101"/>
      <c r="P25" s="9"/>
      <c r="Q25" s="33"/>
      <c r="R25" s="33"/>
      <c r="S25" s="50"/>
      <c r="T25" s="47"/>
      <c r="U25" s="114"/>
      <c r="V25" s="9"/>
      <c r="W25" s="8"/>
      <c r="X25" s="5"/>
      <c r="Y25" s="12"/>
      <c r="Z25" s="75"/>
      <c r="AA25" s="106"/>
      <c r="AB25" s="107"/>
    </row>
    <row r="26" spans="1:28" outlineLevel="1" x14ac:dyDescent="0.3">
      <c r="A26" s="19"/>
      <c r="B26" s="3"/>
      <c r="C26" s="4"/>
      <c r="D26" s="8"/>
      <c r="E26" s="8"/>
      <c r="F26" s="82"/>
      <c r="G26" s="82"/>
      <c r="H26" s="59"/>
      <c r="I26" s="19"/>
      <c r="J26" s="9"/>
      <c r="K26" s="3"/>
      <c r="L26" s="3"/>
      <c r="M26" s="50"/>
      <c r="N26" s="47"/>
      <c r="O26" s="101"/>
      <c r="P26" s="9"/>
      <c r="Q26" s="33"/>
      <c r="R26" s="33"/>
      <c r="S26" s="50"/>
      <c r="T26" s="47"/>
      <c r="U26" s="114"/>
      <c r="V26" s="9"/>
      <c r="W26" s="8"/>
      <c r="X26" s="5"/>
      <c r="Y26" s="12"/>
      <c r="Z26" s="75"/>
      <c r="AA26" s="106"/>
      <c r="AB26" s="107"/>
    </row>
    <row r="27" spans="1:28" outlineLevel="1" x14ac:dyDescent="0.3">
      <c r="A27" s="19"/>
      <c r="B27" s="3"/>
      <c r="C27" s="4"/>
      <c r="D27" s="8"/>
      <c r="E27" s="8"/>
      <c r="F27" s="82"/>
      <c r="G27" s="82"/>
      <c r="H27" s="59"/>
      <c r="I27" s="19"/>
      <c r="J27" s="9"/>
      <c r="K27" s="3"/>
      <c r="L27" s="3"/>
      <c r="M27" s="50"/>
      <c r="N27" s="47"/>
      <c r="O27" s="101"/>
      <c r="P27" s="9"/>
      <c r="Q27" s="33"/>
      <c r="R27" s="33"/>
      <c r="S27" s="50"/>
      <c r="T27" s="47"/>
      <c r="U27" s="114"/>
      <c r="V27" s="9"/>
      <c r="W27" s="8"/>
      <c r="X27" s="5"/>
      <c r="Y27" s="12"/>
      <c r="Z27" s="75">
        <f t="shared" si="12"/>
        <v>0</v>
      </c>
      <c r="AA27" s="106"/>
      <c r="AB27" s="107">
        <f t="shared" si="10"/>
        <v>0</v>
      </c>
    </row>
    <row r="28" spans="1:28" ht="15" outlineLevel="1" thickBot="1" x14ac:dyDescent="0.35">
      <c r="A28" s="19"/>
      <c r="B28" s="3"/>
      <c r="C28" s="4"/>
      <c r="D28" s="8"/>
      <c r="E28" s="8"/>
      <c r="F28" s="8"/>
      <c r="G28" s="82"/>
      <c r="H28" s="59"/>
      <c r="I28" s="19"/>
      <c r="J28" s="9"/>
      <c r="K28" s="3"/>
      <c r="L28" s="3"/>
      <c r="M28" s="50"/>
      <c r="N28" s="47"/>
      <c r="O28" s="101"/>
      <c r="P28" s="9"/>
      <c r="Q28" s="33"/>
      <c r="R28" s="31"/>
      <c r="S28" s="50"/>
      <c r="T28" s="49"/>
      <c r="U28" s="114"/>
      <c r="V28" s="9"/>
      <c r="W28" s="8"/>
      <c r="X28" s="5"/>
      <c r="Y28" s="12"/>
      <c r="Z28" s="75">
        <f t="shared" si="12"/>
        <v>0</v>
      </c>
      <c r="AA28" s="66"/>
      <c r="AB28" s="52">
        <f t="shared" si="10"/>
        <v>0</v>
      </c>
    </row>
    <row r="40" spans="26:28" ht="15" thickBot="1" x14ac:dyDescent="0.35">
      <c r="Z40" s="70" t="e">
        <f>IF(#REF!&lt;&gt;0,(#REF!+#REF!)*#REF!,0)</f>
        <v>#REF!</v>
      </c>
      <c r="AA40" s="66">
        <v>11800587</v>
      </c>
      <c r="AB40" s="25">
        <f t="shared" ref="AB40" si="13">IFERROR(1-(Z40-AA40)/Z40,0)</f>
        <v>0</v>
      </c>
    </row>
  </sheetData>
  <mergeCells count="12">
    <mergeCell ref="W3:Y3"/>
    <mergeCell ref="Z3:AB3"/>
    <mergeCell ref="C2:H2"/>
    <mergeCell ref="I2:M2"/>
    <mergeCell ref="N2:S2"/>
    <mergeCell ref="T2:Y2"/>
    <mergeCell ref="Z2:AB2"/>
    <mergeCell ref="I3:J3"/>
    <mergeCell ref="K3:M3"/>
    <mergeCell ref="N3:P3"/>
    <mergeCell ref="Q3:S3"/>
    <mergeCell ref="T3:V3"/>
  </mergeCells>
  <conditionalFormatting sqref="I6">
    <cfRule type="expression" dxfId="231" priority="1">
      <formula>$M6=1</formula>
    </cfRule>
  </conditionalFormatting>
  <conditionalFormatting sqref="I8">
    <cfRule type="expression" dxfId="230" priority="4">
      <formula>$M8=1</formula>
    </cfRule>
  </conditionalFormatting>
  <conditionalFormatting sqref="I5:J5 J6 I7:J7 J8 I9:J28">
    <cfRule type="expression" dxfId="229" priority="37">
      <formula>$J5=1</formula>
    </cfRule>
  </conditionalFormatting>
  <conditionalFormatting sqref="K5:M28">
    <cfRule type="expression" dxfId="228" priority="19">
      <formula>$M5=1</formula>
    </cfRule>
  </conditionalFormatting>
  <conditionalFormatting sqref="M5:M28">
    <cfRule type="cellIs" dxfId="227" priority="21" operator="greaterThan">
      <formula>100</formula>
    </cfRule>
  </conditionalFormatting>
  <conditionalFormatting sqref="N5:P28">
    <cfRule type="expression" dxfId="226" priority="9">
      <formula>$P5&gt;1.3</formula>
    </cfRule>
    <cfRule type="expression" dxfId="225" priority="10">
      <formula>$P5&gt;1</formula>
    </cfRule>
  </conditionalFormatting>
  <conditionalFormatting sqref="Q5:S28">
    <cfRule type="expression" dxfId="224" priority="32">
      <formula>$S5&gt;1.3</formula>
    </cfRule>
    <cfRule type="expression" dxfId="223" priority="33">
      <formula>$S5&gt;1</formula>
    </cfRule>
  </conditionalFormatting>
  <conditionalFormatting sqref="T5:V28">
    <cfRule type="expression" dxfId="222" priority="5">
      <formula>$V5&gt;1.3</formula>
    </cfRule>
    <cfRule type="expression" dxfId="221" priority="6">
      <formula>$V5&gt;1</formula>
    </cfRule>
  </conditionalFormatting>
  <conditionalFormatting sqref="W5:Y28">
    <cfRule type="expression" dxfId="220" priority="28">
      <formula>$Y5&gt;1.3</formula>
    </cfRule>
    <cfRule type="expression" dxfId="219" priority="29">
      <formula>$Y5&gt;1</formula>
    </cfRule>
  </conditionalFormatting>
  <conditionalFormatting sqref="Z6:Z28">
    <cfRule type="expression" dxfId="218" priority="2">
      <formula>$AU6&gt;1.3</formula>
    </cfRule>
    <cfRule type="expression" dxfId="217" priority="3">
      <formula>$AU6&gt;1</formula>
    </cfRule>
  </conditionalFormatting>
  <conditionalFormatting sqref="Z5:AB5 AA6:AB7 AB8 AA9:AB27 AB28">
    <cfRule type="expression" dxfId="216" priority="26">
      <formula>$AU5&gt;1.3</formula>
    </cfRule>
    <cfRule type="expression" dxfId="215" priority="27">
      <formula>$AU5&gt;1</formula>
    </cfRule>
  </conditionalFormatting>
  <conditionalFormatting sqref="Z40:AB40">
    <cfRule type="expression" dxfId="214" priority="22">
      <formula>$AU40&gt;1.3</formula>
    </cfRule>
    <cfRule type="expression" dxfId="213" priority="23">
      <formula>$AU40&gt;1</formula>
    </cfRule>
  </conditionalFormatting>
  <conditionalFormatting sqref="AA28">
    <cfRule type="expression" dxfId="212" priority="24">
      <formula>$AX28&gt;1.3</formula>
    </cfRule>
    <cfRule type="expression" dxfId="211" priority="25">
      <formula>$AX28&gt;1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F348-A134-4612-93A7-DF02F1B256E9}">
  <dimension ref="A1:AB38"/>
  <sheetViews>
    <sheetView zoomScale="110" zoomScaleNormal="110" workbookViewId="0">
      <selection activeCell="C6" sqref="C6"/>
    </sheetView>
  </sheetViews>
  <sheetFormatPr defaultRowHeight="14.4" outlineLevelRow="1" outlineLevelCol="1" x14ac:dyDescent="0.3"/>
  <cols>
    <col min="1" max="1" width="5.33203125" bestFit="1" customWidth="1"/>
    <col min="2" max="2" width="46.6640625" customWidth="1"/>
    <col min="3" max="3" width="12.6640625" style="155" customWidth="1"/>
    <col min="4" max="8" width="12.6640625" customWidth="1" outlineLevel="1"/>
    <col min="9" max="14" width="12.6640625" customWidth="1"/>
    <col min="15" max="15" width="12.6640625" style="113" customWidth="1"/>
    <col min="16" max="16" width="12.6640625" customWidth="1"/>
    <col min="17" max="19" width="12.6640625" customWidth="1" outlineLevel="1"/>
    <col min="20" max="20" width="12.6640625" customWidth="1"/>
    <col min="21" max="21" width="12.6640625" style="113" customWidth="1"/>
    <col min="22" max="22" width="12.6640625" customWidth="1"/>
    <col min="23" max="25" width="12.6640625" customWidth="1" outlineLevel="1"/>
    <col min="26" max="28" width="13.44140625" customWidth="1"/>
  </cols>
  <sheetData>
    <row r="1" spans="1:28" s="113" customFormat="1" ht="16.2" thickBot="1" x14ac:dyDescent="0.35">
      <c r="B1" s="118">
        <f ca="1">TODAY()</f>
        <v>46198</v>
      </c>
      <c r="C1" s="119"/>
      <c r="V1" s="120"/>
    </row>
    <row r="2" spans="1:28" ht="16.2" thickBot="1" x14ac:dyDescent="0.35">
      <c r="A2" s="18"/>
      <c r="B2" s="56"/>
      <c r="C2" s="165" t="s">
        <v>46</v>
      </c>
      <c r="D2" s="166"/>
      <c r="E2" s="166"/>
      <c r="F2" s="166"/>
      <c r="G2" s="166"/>
      <c r="H2" s="167"/>
      <c r="I2" s="168" t="s">
        <v>44</v>
      </c>
      <c r="J2" s="169"/>
      <c r="K2" s="169"/>
      <c r="L2" s="169"/>
      <c r="M2" s="170"/>
      <c r="N2" s="171" t="s">
        <v>49</v>
      </c>
      <c r="O2" s="172"/>
      <c r="P2" s="172"/>
      <c r="Q2" s="172"/>
      <c r="R2" s="172"/>
      <c r="S2" s="173"/>
      <c r="T2" s="171" t="s">
        <v>119</v>
      </c>
      <c r="U2" s="172"/>
      <c r="V2" s="172"/>
      <c r="W2" s="172"/>
      <c r="X2" s="172"/>
      <c r="Y2" s="173"/>
      <c r="Z2" s="161" t="s">
        <v>66</v>
      </c>
      <c r="AA2" s="162"/>
      <c r="AB2" s="162"/>
    </row>
    <row r="3" spans="1:28" ht="60.75" customHeight="1" thickBot="1" x14ac:dyDescent="0.35">
      <c r="A3" s="57" t="s">
        <v>36</v>
      </c>
      <c r="B3" s="14" t="s">
        <v>37</v>
      </c>
      <c r="C3" s="15" t="s">
        <v>59</v>
      </c>
      <c r="D3" s="16" t="s">
        <v>60</v>
      </c>
      <c r="E3" s="16" t="s">
        <v>40</v>
      </c>
      <c r="F3" s="16" t="s">
        <v>41</v>
      </c>
      <c r="G3" s="16" t="s">
        <v>42</v>
      </c>
      <c r="H3" s="17" t="s">
        <v>61</v>
      </c>
      <c r="I3" s="174" t="s">
        <v>45</v>
      </c>
      <c r="J3" s="175"/>
      <c r="K3" s="174" t="s">
        <v>125</v>
      </c>
      <c r="L3" s="176"/>
      <c r="M3" s="175"/>
      <c r="N3" s="177" t="s">
        <v>62</v>
      </c>
      <c r="O3" s="178"/>
      <c r="P3" s="179"/>
      <c r="Q3" s="177" t="s">
        <v>63</v>
      </c>
      <c r="R3" s="178"/>
      <c r="S3" s="179"/>
      <c r="T3" s="177" t="s">
        <v>62</v>
      </c>
      <c r="U3" s="178"/>
      <c r="V3" s="179"/>
      <c r="W3" s="177" t="s">
        <v>63</v>
      </c>
      <c r="X3" s="178"/>
      <c r="Y3" s="179"/>
      <c r="Z3" s="163" t="s">
        <v>67</v>
      </c>
      <c r="AA3" s="164"/>
      <c r="AB3" s="164"/>
    </row>
    <row r="4" spans="1:28" ht="15" thickBot="1" x14ac:dyDescent="0.35">
      <c r="A4" s="26"/>
      <c r="B4" s="27"/>
      <c r="C4" s="28"/>
      <c r="D4" s="29"/>
      <c r="E4" s="29"/>
      <c r="F4" s="29"/>
      <c r="G4" s="27"/>
      <c r="H4" s="44"/>
      <c r="I4" s="43" t="s">
        <v>2</v>
      </c>
      <c r="J4" s="27" t="s">
        <v>3</v>
      </c>
      <c r="K4" s="27" t="s">
        <v>1</v>
      </c>
      <c r="L4" s="27" t="s">
        <v>2</v>
      </c>
      <c r="M4" s="44" t="s">
        <v>3</v>
      </c>
      <c r="N4" s="43" t="s">
        <v>1</v>
      </c>
      <c r="O4" s="43" t="s">
        <v>2</v>
      </c>
      <c r="P4" s="27" t="s">
        <v>3</v>
      </c>
      <c r="Q4" s="27" t="s">
        <v>1</v>
      </c>
      <c r="R4" s="27" t="s">
        <v>2</v>
      </c>
      <c r="S4" s="44" t="s">
        <v>3</v>
      </c>
      <c r="T4" s="43" t="s">
        <v>1</v>
      </c>
      <c r="U4" s="43" t="s">
        <v>38</v>
      </c>
      <c r="V4" s="27" t="s">
        <v>3</v>
      </c>
      <c r="W4" s="27" t="s">
        <v>1</v>
      </c>
      <c r="X4" s="27" t="s">
        <v>2</v>
      </c>
      <c r="Y4" s="44" t="s">
        <v>3</v>
      </c>
      <c r="Z4" s="27" t="s">
        <v>1</v>
      </c>
      <c r="AA4" s="27" t="s">
        <v>2</v>
      </c>
      <c r="AB4" s="27" t="s">
        <v>3</v>
      </c>
    </row>
    <row r="5" spans="1:28" ht="29.25" customHeight="1" thickBot="1" x14ac:dyDescent="0.4">
      <c r="A5" s="36"/>
      <c r="B5" s="37" t="s">
        <v>126</v>
      </c>
      <c r="C5" s="38">
        <f>SUM(C6:C26)</f>
        <v>242</v>
      </c>
      <c r="D5" s="39">
        <f>SUM(D6:D26)</f>
        <v>3039430</v>
      </c>
      <c r="E5" s="39">
        <f>SUM(E6:E26)</f>
        <v>0</v>
      </c>
      <c r="F5" s="39">
        <f>SUM(F6:F26)</f>
        <v>1270639.24</v>
      </c>
      <c r="G5" s="39">
        <f>SUM(G6:G26)</f>
        <v>12341</v>
      </c>
      <c r="H5" s="58">
        <f>AVERAGE(H6:H11)</f>
        <v>150</v>
      </c>
      <c r="I5" s="45">
        <f>SUM(I6:I26)</f>
        <v>0</v>
      </c>
      <c r="J5" s="41">
        <f t="shared" ref="J5:J6" si="0">1-(C5-I5)/C5</f>
        <v>0</v>
      </c>
      <c r="K5" s="40">
        <f>SUM(K6:K26)</f>
        <v>27</v>
      </c>
      <c r="L5" s="40">
        <f>SUM(L6:L26)</f>
        <v>0</v>
      </c>
      <c r="M5" s="46">
        <f>IFERROR(1-(K5-L5)/K5,0)</f>
        <v>0</v>
      </c>
      <c r="N5" s="45">
        <f>SUM(N6:N26)</f>
        <v>12341</v>
      </c>
      <c r="O5" s="45">
        <f>SUM(O6:O26)</f>
        <v>2524</v>
      </c>
      <c r="P5" s="41">
        <f t="shared" ref="P5:P6" si="1">IFERROR(1-(N5-O5)/N5,0)</f>
        <v>0.20452151365367477</v>
      </c>
      <c r="Q5" s="40">
        <f>SUM(Q6:Q26)</f>
        <v>1851150</v>
      </c>
      <c r="R5" s="40">
        <f>SUM(R6:R26)</f>
        <v>378600</v>
      </c>
      <c r="S5" s="46">
        <f t="shared" ref="S5:S6" si="2">IFERROR(1-(Q5-R5)/Q5,0)</f>
        <v>0.20452151365367477</v>
      </c>
      <c r="T5" s="39">
        <f>SUM(T6:T26)</f>
        <v>2300</v>
      </c>
      <c r="U5" s="39">
        <f>SUM(U6:U26)</f>
        <v>2524</v>
      </c>
      <c r="V5" s="41">
        <f>IFERROR(1-(T5-U5)/T5,0)</f>
        <v>1.0973913043478261</v>
      </c>
      <c r="W5" s="39">
        <f>SUM(W6:W26)</f>
        <v>345000</v>
      </c>
      <c r="X5" s="40">
        <f>SUM(X6:X26)</f>
        <v>378600</v>
      </c>
      <c r="Y5" s="46">
        <f t="shared" ref="Y5:Y6" si="3">IFERROR(1-(W5-X5)/W5,0)</f>
        <v>1.0973913043478261</v>
      </c>
      <c r="Z5" s="89">
        <f>SUM(Z6:Z26)</f>
        <v>0</v>
      </c>
      <c r="AA5" s="86">
        <f>SUM(AA6:AA26)</f>
        <v>0</v>
      </c>
      <c r="AB5" s="99">
        <f>IFERROR(1-(Z5-AA5)/Z5,0)</f>
        <v>0</v>
      </c>
    </row>
    <row r="6" spans="1:28" outlineLevel="1" x14ac:dyDescent="0.3">
      <c r="A6" s="19">
        <v>1</v>
      </c>
      <c r="B6" s="3" t="s">
        <v>127</v>
      </c>
      <c r="C6" s="77">
        <v>242</v>
      </c>
      <c r="D6" s="33">
        <v>3039430</v>
      </c>
      <c r="E6" s="8"/>
      <c r="F6" s="8">
        <v>1270639.24</v>
      </c>
      <c r="G6" s="33">
        <v>12341</v>
      </c>
      <c r="H6" s="59">
        <v>150</v>
      </c>
      <c r="I6" s="19"/>
      <c r="J6" s="9">
        <f t="shared" si="0"/>
        <v>0</v>
      </c>
      <c r="K6" s="3">
        <v>27</v>
      </c>
      <c r="L6" s="3"/>
      <c r="M6" s="50">
        <f t="shared" ref="M6" si="4">IFERROR(1-(K6-L6)/K6,0)</f>
        <v>0</v>
      </c>
      <c r="N6" s="47">
        <f t="shared" ref="N6" si="5">G6</f>
        <v>12341</v>
      </c>
      <c r="O6" s="101">
        <v>2524</v>
      </c>
      <c r="P6" s="9">
        <f t="shared" si="1"/>
        <v>0.20452151365367477</v>
      </c>
      <c r="Q6" s="33">
        <f>N6*H6</f>
        <v>1851150</v>
      </c>
      <c r="R6" s="33">
        <f t="shared" ref="R6" si="6">O6*H6</f>
        <v>378600</v>
      </c>
      <c r="S6" s="50">
        <f t="shared" si="2"/>
        <v>0.20452151365367477</v>
      </c>
      <c r="T6" s="47">
        <v>2300</v>
      </c>
      <c r="U6" s="114">
        <v>2524</v>
      </c>
      <c r="V6" s="9">
        <f t="shared" ref="V6" si="7">IFERROR(1-(T6-U6)/T6,0)</f>
        <v>1.0973913043478261</v>
      </c>
      <c r="W6" s="8">
        <f t="shared" ref="W6" si="8">T6*H6</f>
        <v>345000</v>
      </c>
      <c r="X6" s="5">
        <f t="shared" ref="X6" si="9">U6*H6</f>
        <v>378600</v>
      </c>
      <c r="Y6" s="12">
        <f t="shared" si="3"/>
        <v>1.0973913043478261</v>
      </c>
      <c r="Z6" s="109">
        <f>IF(I6&lt;&gt;0,F6,0)</f>
        <v>0</v>
      </c>
      <c r="AA6" s="110"/>
      <c r="AB6" s="62">
        <f t="shared" ref="AB6:AB26" si="10">IFERROR(1-(Z6-AA6)/Z6,0)</f>
        <v>0</v>
      </c>
    </row>
    <row r="7" spans="1:28" outlineLevel="1" x14ac:dyDescent="0.3">
      <c r="A7" s="19"/>
      <c r="B7" s="3"/>
      <c r="C7" s="77"/>
      <c r="D7" s="78"/>
      <c r="E7" s="8"/>
      <c r="F7" s="8"/>
      <c r="G7" s="78"/>
      <c r="H7" s="59"/>
      <c r="I7" s="19"/>
      <c r="J7" s="9"/>
      <c r="K7" s="3"/>
      <c r="L7" s="3"/>
      <c r="M7" s="50"/>
      <c r="N7" s="47"/>
      <c r="O7" s="101"/>
      <c r="P7" s="9"/>
      <c r="Q7" s="33"/>
      <c r="R7" s="33"/>
      <c r="S7" s="50"/>
      <c r="T7" s="47"/>
      <c r="U7" s="114"/>
      <c r="V7" s="9"/>
      <c r="W7" s="8"/>
      <c r="X7" s="5"/>
      <c r="Y7" s="12"/>
      <c r="Z7" s="75"/>
      <c r="AA7" s="65"/>
      <c r="AB7" s="50"/>
    </row>
    <row r="8" spans="1:28" outlineLevel="1" x14ac:dyDescent="0.3">
      <c r="A8" s="19"/>
      <c r="B8" s="4"/>
      <c r="C8" s="77"/>
      <c r="D8" s="78"/>
      <c r="E8" s="8"/>
      <c r="F8" s="82"/>
      <c r="G8" s="78"/>
      <c r="H8" s="59"/>
      <c r="I8" s="19"/>
      <c r="J8" s="9"/>
      <c r="K8" s="3"/>
      <c r="L8" s="3"/>
      <c r="M8" s="50"/>
      <c r="N8" s="47"/>
      <c r="O8" s="101"/>
      <c r="P8" s="9"/>
      <c r="Q8" s="33"/>
      <c r="R8" s="33"/>
      <c r="S8" s="50"/>
      <c r="T8" s="47"/>
      <c r="U8" s="114"/>
      <c r="V8" s="9"/>
      <c r="W8" s="8"/>
      <c r="X8" s="5"/>
      <c r="Y8" s="12"/>
      <c r="Z8" s="75"/>
      <c r="AA8" s="65"/>
      <c r="AB8" s="50"/>
    </row>
    <row r="9" spans="1:28" outlineLevel="1" x14ac:dyDescent="0.3">
      <c r="A9" s="19"/>
      <c r="B9" s="3"/>
      <c r="C9" s="77"/>
      <c r="D9" s="78"/>
      <c r="E9" s="8"/>
      <c r="F9" s="8"/>
      <c r="G9" s="78"/>
      <c r="H9" s="59"/>
      <c r="I9" s="19"/>
      <c r="J9" s="9"/>
      <c r="K9" s="3"/>
      <c r="L9" s="3"/>
      <c r="M9" s="50"/>
      <c r="N9" s="47"/>
      <c r="O9" s="101"/>
      <c r="P9" s="9"/>
      <c r="Q9" s="33"/>
      <c r="R9" s="33"/>
      <c r="S9" s="50"/>
      <c r="T9" s="47"/>
      <c r="U9" s="114"/>
      <c r="V9" s="9"/>
      <c r="W9" s="8"/>
      <c r="X9" s="5"/>
      <c r="Y9" s="12"/>
      <c r="Z9" s="75"/>
      <c r="AA9" s="65"/>
      <c r="AB9" s="50"/>
    </row>
    <row r="10" spans="1:28" outlineLevel="1" x14ac:dyDescent="0.3">
      <c r="A10" s="19"/>
      <c r="B10" s="3"/>
      <c r="C10" s="77"/>
      <c r="D10" s="78"/>
      <c r="E10" s="8"/>
      <c r="F10" s="8"/>
      <c r="G10" s="78"/>
      <c r="H10" s="59"/>
      <c r="I10" s="19"/>
      <c r="J10" s="9"/>
      <c r="K10" s="3"/>
      <c r="L10" s="3"/>
      <c r="M10" s="50"/>
      <c r="N10" s="47"/>
      <c r="O10" s="101"/>
      <c r="P10" s="9"/>
      <c r="Q10" s="33"/>
      <c r="R10" s="33"/>
      <c r="S10" s="50"/>
      <c r="T10" s="47"/>
      <c r="U10" s="114"/>
      <c r="V10" s="9"/>
      <c r="W10" s="8"/>
      <c r="X10" s="5"/>
      <c r="Y10" s="12"/>
      <c r="Z10" s="75"/>
      <c r="AA10" s="65"/>
      <c r="AB10" s="50"/>
    </row>
    <row r="11" spans="1:28" outlineLevel="1" x14ac:dyDescent="0.3">
      <c r="A11" s="19"/>
      <c r="B11" s="3"/>
      <c r="C11" s="4"/>
      <c r="D11" s="8"/>
      <c r="E11" s="8"/>
      <c r="F11" s="82"/>
      <c r="G11" s="82"/>
      <c r="H11" s="59"/>
      <c r="I11" s="19"/>
      <c r="J11" s="9"/>
      <c r="K11" s="3"/>
      <c r="L11" s="3"/>
      <c r="M11" s="50"/>
      <c r="N11" s="47"/>
      <c r="O11" s="101"/>
      <c r="P11" s="9"/>
      <c r="Q11" s="33"/>
      <c r="R11" s="33"/>
      <c r="S11" s="50"/>
      <c r="T11" s="47"/>
      <c r="U11" s="114"/>
      <c r="V11" s="9"/>
      <c r="W11" s="8"/>
      <c r="X11" s="5"/>
      <c r="Y11" s="12"/>
      <c r="Z11" s="75"/>
      <c r="AA11" s="65"/>
      <c r="AB11" s="50"/>
    </row>
    <row r="12" spans="1:28" outlineLevel="1" x14ac:dyDescent="0.3">
      <c r="A12" s="19"/>
      <c r="B12" s="3"/>
      <c r="C12" s="4"/>
      <c r="D12" s="8"/>
      <c r="E12" s="8"/>
      <c r="F12" s="82"/>
      <c r="G12" s="82"/>
      <c r="H12" s="59"/>
      <c r="I12" s="19"/>
      <c r="J12" s="9"/>
      <c r="K12" s="3"/>
      <c r="L12" s="3"/>
      <c r="M12" s="50"/>
      <c r="N12" s="47"/>
      <c r="O12" s="101"/>
      <c r="P12" s="9"/>
      <c r="Q12" s="33"/>
      <c r="R12" s="33"/>
      <c r="S12" s="50"/>
      <c r="T12" s="47"/>
      <c r="U12" s="114"/>
      <c r="V12" s="9"/>
      <c r="W12" s="8"/>
      <c r="X12" s="5"/>
      <c r="Y12" s="12"/>
      <c r="Z12" s="75"/>
      <c r="AA12" s="106"/>
      <c r="AB12" s="107"/>
    </row>
    <row r="13" spans="1:28" outlineLevel="1" x14ac:dyDescent="0.3">
      <c r="A13" s="19"/>
      <c r="B13" s="3"/>
      <c r="C13" s="4"/>
      <c r="D13" s="8"/>
      <c r="E13" s="8"/>
      <c r="F13" s="82"/>
      <c r="G13" s="82"/>
      <c r="H13" s="59"/>
      <c r="I13" s="19"/>
      <c r="J13" s="9"/>
      <c r="K13" s="3"/>
      <c r="L13" s="3"/>
      <c r="M13" s="50"/>
      <c r="N13" s="47"/>
      <c r="O13" s="101"/>
      <c r="P13" s="9"/>
      <c r="Q13" s="33"/>
      <c r="R13" s="33"/>
      <c r="S13" s="50"/>
      <c r="T13" s="47"/>
      <c r="U13" s="114"/>
      <c r="V13" s="9"/>
      <c r="W13" s="8"/>
      <c r="X13" s="5"/>
      <c r="Y13" s="12"/>
      <c r="Z13" s="75"/>
      <c r="AA13" s="106"/>
      <c r="AB13" s="107"/>
    </row>
    <row r="14" spans="1:28" outlineLevel="1" x14ac:dyDescent="0.3">
      <c r="A14" s="19"/>
      <c r="B14" s="3"/>
      <c r="C14" s="4"/>
      <c r="D14" s="8"/>
      <c r="E14" s="8"/>
      <c r="F14" s="82"/>
      <c r="G14" s="82"/>
      <c r="H14" s="59"/>
      <c r="I14" s="19"/>
      <c r="J14" s="9"/>
      <c r="K14" s="3"/>
      <c r="L14" s="3"/>
      <c r="M14" s="50"/>
      <c r="N14" s="47"/>
      <c r="O14" s="101"/>
      <c r="P14" s="9"/>
      <c r="Q14" s="33"/>
      <c r="R14" s="33"/>
      <c r="S14" s="50"/>
      <c r="T14" s="47"/>
      <c r="U14" s="114"/>
      <c r="V14" s="9"/>
      <c r="W14" s="8"/>
      <c r="X14" s="5"/>
      <c r="Y14" s="12"/>
      <c r="Z14" s="75"/>
      <c r="AA14" s="106"/>
      <c r="AB14" s="107"/>
    </row>
    <row r="15" spans="1:28" outlineLevel="1" x14ac:dyDescent="0.3">
      <c r="A15" s="19"/>
      <c r="B15" s="3"/>
      <c r="C15" s="4"/>
      <c r="D15" s="8"/>
      <c r="E15" s="8"/>
      <c r="F15" s="82"/>
      <c r="G15" s="82"/>
      <c r="H15" s="59"/>
      <c r="I15" s="19"/>
      <c r="J15" s="9"/>
      <c r="K15" s="3"/>
      <c r="L15" s="3"/>
      <c r="M15" s="50"/>
      <c r="N15" s="47"/>
      <c r="O15" s="101"/>
      <c r="P15" s="9"/>
      <c r="Q15" s="33"/>
      <c r="R15" s="33"/>
      <c r="S15" s="50"/>
      <c r="T15" s="47"/>
      <c r="U15" s="114"/>
      <c r="V15" s="9"/>
      <c r="W15" s="8"/>
      <c r="X15" s="5"/>
      <c r="Y15" s="12"/>
      <c r="Z15" s="75"/>
      <c r="AA15" s="106"/>
      <c r="AB15" s="107"/>
    </row>
    <row r="16" spans="1:28" hidden="1" outlineLevel="1" x14ac:dyDescent="0.3">
      <c r="A16" s="19"/>
      <c r="B16" s="3"/>
      <c r="C16" s="4"/>
      <c r="D16" s="8"/>
      <c r="E16" s="8"/>
      <c r="F16" s="82"/>
      <c r="G16" s="82"/>
      <c r="H16" s="59"/>
      <c r="I16" s="19"/>
      <c r="J16" s="9"/>
      <c r="K16" s="3"/>
      <c r="L16" s="3"/>
      <c r="M16" s="50"/>
      <c r="N16" s="47"/>
      <c r="O16" s="101"/>
      <c r="P16" s="9"/>
      <c r="Q16" s="33"/>
      <c r="R16" s="33"/>
      <c r="S16" s="50"/>
      <c r="T16" s="47"/>
      <c r="U16" s="114"/>
      <c r="V16" s="9"/>
      <c r="W16" s="8"/>
      <c r="X16" s="5"/>
      <c r="Y16" s="12"/>
      <c r="Z16" s="75"/>
      <c r="AA16" s="106"/>
      <c r="AB16" s="107"/>
    </row>
    <row r="17" spans="1:28" outlineLevel="1" x14ac:dyDescent="0.3">
      <c r="A17" s="19"/>
      <c r="B17" s="3"/>
      <c r="C17" s="4"/>
      <c r="D17" s="8"/>
      <c r="E17" s="8"/>
      <c r="F17" s="82"/>
      <c r="G17" s="82"/>
      <c r="H17" s="59"/>
      <c r="I17" s="19"/>
      <c r="J17" s="9"/>
      <c r="K17" s="3"/>
      <c r="L17" s="3"/>
      <c r="M17" s="50"/>
      <c r="N17" s="47"/>
      <c r="O17" s="101"/>
      <c r="P17" s="9"/>
      <c r="Q17" s="33"/>
      <c r="R17" s="33"/>
      <c r="S17" s="50"/>
      <c r="T17" s="47"/>
      <c r="U17" s="114"/>
      <c r="V17" s="9"/>
      <c r="W17" s="8"/>
      <c r="X17" s="5"/>
      <c r="Y17" s="12"/>
      <c r="Z17" s="75"/>
      <c r="AA17" s="106"/>
      <c r="AB17" s="107"/>
    </row>
    <row r="18" spans="1:28" outlineLevel="1" x14ac:dyDescent="0.3">
      <c r="A18" s="19"/>
      <c r="B18" s="3"/>
      <c r="C18" s="4"/>
      <c r="D18" s="8"/>
      <c r="E18" s="8"/>
      <c r="F18" s="82"/>
      <c r="G18" s="82"/>
      <c r="H18" s="59"/>
      <c r="I18" s="19"/>
      <c r="J18" s="9"/>
      <c r="K18" s="3"/>
      <c r="L18" s="3"/>
      <c r="M18" s="50"/>
      <c r="N18" s="47"/>
      <c r="O18" s="101"/>
      <c r="P18" s="9"/>
      <c r="Q18" s="33"/>
      <c r="R18" s="33"/>
      <c r="S18" s="50"/>
      <c r="T18" s="47"/>
      <c r="U18" s="114"/>
      <c r="V18" s="9"/>
      <c r="W18" s="8"/>
      <c r="X18" s="5"/>
      <c r="Y18" s="12"/>
      <c r="Z18" s="75"/>
      <c r="AA18" s="106"/>
      <c r="AB18" s="107"/>
    </row>
    <row r="19" spans="1:28" outlineLevel="1" x14ac:dyDescent="0.3">
      <c r="A19" s="19"/>
      <c r="B19" s="3"/>
      <c r="C19" s="4"/>
      <c r="D19" s="8"/>
      <c r="E19" s="8"/>
      <c r="F19" s="82"/>
      <c r="G19" s="82"/>
      <c r="H19" s="59"/>
      <c r="I19" s="19"/>
      <c r="J19" s="9"/>
      <c r="K19" s="3"/>
      <c r="L19" s="3"/>
      <c r="M19" s="50"/>
      <c r="N19" s="47"/>
      <c r="O19" s="101"/>
      <c r="P19" s="9"/>
      <c r="Q19" s="33"/>
      <c r="R19" s="33"/>
      <c r="S19" s="50"/>
      <c r="T19" s="47"/>
      <c r="U19" s="114"/>
      <c r="V19" s="9"/>
      <c r="W19" s="8"/>
      <c r="X19" s="5"/>
      <c r="Y19" s="12"/>
      <c r="Z19" s="75"/>
      <c r="AA19" s="106"/>
      <c r="AB19" s="107"/>
    </row>
    <row r="20" spans="1:28" outlineLevel="1" x14ac:dyDescent="0.3">
      <c r="A20" s="19"/>
      <c r="B20" s="3"/>
      <c r="C20" s="4"/>
      <c r="D20" s="8"/>
      <c r="E20" s="8"/>
      <c r="F20" s="82"/>
      <c r="G20" s="82"/>
      <c r="H20" s="59"/>
      <c r="I20" s="19"/>
      <c r="J20" s="9"/>
      <c r="K20" s="3"/>
      <c r="L20" s="3"/>
      <c r="M20" s="50"/>
      <c r="N20" s="47"/>
      <c r="O20" s="101"/>
      <c r="P20" s="9"/>
      <c r="Q20" s="33"/>
      <c r="R20" s="33"/>
      <c r="S20" s="50"/>
      <c r="T20" s="47"/>
      <c r="U20" s="114"/>
      <c r="V20" s="9"/>
      <c r="W20" s="8"/>
      <c r="X20" s="5"/>
      <c r="Y20" s="12"/>
      <c r="Z20" s="75"/>
      <c r="AA20" s="106"/>
      <c r="AB20" s="107"/>
    </row>
    <row r="21" spans="1:28" outlineLevel="1" x14ac:dyDescent="0.3">
      <c r="A21" s="19"/>
      <c r="B21" s="3"/>
      <c r="C21" s="4"/>
      <c r="D21" s="8"/>
      <c r="E21" s="8"/>
      <c r="F21" s="82"/>
      <c r="G21" s="82"/>
      <c r="H21" s="59"/>
      <c r="I21" s="19"/>
      <c r="J21" s="9"/>
      <c r="K21" s="3"/>
      <c r="L21" s="3"/>
      <c r="M21" s="50"/>
      <c r="N21" s="47"/>
      <c r="O21" s="101"/>
      <c r="P21" s="9"/>
      <c r="Q21" s="33"/>
      <c r="R21" s="33"/>
      <c r="S21" s="50"/>
      <c r="T21" s="47"/>
      <c r="U21" s="114"/>
      <c r="V21" s="9"/>
      <c r="W21" s="8"/>
      <c r="X21" s="5"/>
      <c r="Y21" s="12"/>
      <c r="Z21" s="75"/>
      <c r="AA21" s="106"/>
      <c r="AB21" s="107"/>
    </row>
    <row r="22" spans="1:28" outlineLevel="1" x14ac:dyDescent="0.3">
      <c r="A22" s="19"/>
      <c r="B22" s="3"/>
      <c r="C22" s="4"/>
      <c r="D22" s="8"/>
      <c r="E22" s="8"/>
      <c r="F22" s="82"/>
      <c r="G22" s="82"/>
      <c r="H22" s="59"/>
      <c r="I22" s="19"/>
      <c r="J22" s="9"/>
      <c r="K22" s="3"/>
      <c r="L22" s="3"/>
      <c r="M22" s="50"/>
      <c r="N22" s="47"/>
      <c r="O22" s="101"/>
      <c r="P22" s="9"/>
      <c r="Q22" s="33"/>
      <c r="R22" s="33"/>
      <c r="S22" s="50"/>
      <c r="T22" s="47"/>
      <c r="U22" s="114"/>
      <c r="V22" s="9"/>
      <c r="W22" s="8"/>
      <c r="X22" s="5"/>
      <c r="Y22" s="12"/>
      <c r="Z22" s="75"/>
      <c r="AA22" s="106"/>
      <c r="AB22" s="107"/>
    </row>
    <row r="23" spans="1:28" outlineLevel="1" x14ac:dyDescent="0.3">
      <c r="A23" s="19"/>
      <c r="B23" s="3"/>
      <c r="C23" s="4"/>
      <c r="D23" s="8"/>
      <c r="E23" s="8"/>
      <c r="F23" s="82"/>
      <c r="G23" s="82"/>
      <c r="H23" s="59"/>
      <c r="I23" s="19"/>
      <c r="J23" s="9"/>
      <c r="K23" s="3"/>
      <c r="L23" s="3"/>
      <c r="M23" s="50"/>
      <c r="N23" s="47"/>
      <c r="O23" s="101"/>
      <c r="P23" s="9"/>
      <c r="Q23" s="33"/>
      <c r="R23" s="33"/>
      <c r="S23" s="50"/>
      <c r="T23" s="47"/>
      <c r="U23" s="114"/>
      <c r="V23" s="9"/>
      <c r="W23" s="8"/>
      <c r="X23" s="5"/>
      <c r="Y23" s="12"/>
      <c r="Z23" s="75"/>
      <c r="AA23" s="106"/>
      <c r="AB23" s="107"/>
    </row>
    <row r="24" spans="1:28" outlineLevel="1" x14ac:dyDescent="0.3">
      <c r="A24" s="19"/>
      <c r="B24" s="3"/>
      <c r="C24" s="4"/>
      <c r="D24" s="8"/>
      <c r="E24" s="8"/>
      <c r="F24" s="82"/>
      <c r="G24" s="82"/>
      <c r="H24" s="59"/>
      <c r="I24" s="19"/>
      <c r="J24" s="9"/>
      <c r="K24" s="3"/>
      <c r="L24" s="3"/>
      <c r="M24" s="50"/>
      <c r="N24" s="47"/>
      <c r="O24" s="101"/>
      <c r="P24" s="9"/>
      <c r="Q24" s="33"/>
      <c r="R24" s="33"/>
      <c r="S24" s="50"/>
      <c r="T24" s="47"/>
      <c r="U24" s="114"/>
      <c r="V24" s="9"/>
      <c r="W24" s="8"/>
      <c r="X24" s="5"/>
      <c r="Y24" s="12"/>
      <c r="Z24" s="75"/>
      <c r="AA24" s="106"/>
      <c r="AB24" s="107"/>
    </row>
    <row r="25" spans="1:28" outlineLevel="1" x14ac:dyDescent="0.3">
      <c r="A25" s="19"/>
      <c r="B25" s="3"/>
      <c r="C25" s="4"/>
      <c r="D25" s="8"/>
      <c r="E25" s="8"/>
      <c r="F25" s="82"/>
      <c r="G25" s="82"/>
      <c r="H25" s="59"/>
      <c r="I25" s="19"/>
      <c r="J25" s="9"/>
      <c r="K25" s="3"/>
      <c r="L25" s="3"/>
      <c r="M25" s="50"/>
      <c r="N25" s="47"/>
      <c r="O25" s="101"/>
      <c r="P25" s="9"/>
      <c r="Q25" s="33"/>
      <c r="R25" s="33"/>
      <c r="S25" s="50"/>
      <c r="T25" s="47"/>
      <c r="U25" s="114"/>
      <c r="V25" s="9"/>
      <c r="W25" s="8"/>
      <c r="X25" s="5"/>
      <c r="Y25" s="12"/>
      <c r="Z25" s="75">
        <f t="shared" ref="Z25:Z26" si="11">IF(I25&lt;&gt;0,F25,0)</f>
        <v>0</v>
      </c>
      <c r="AA25" s="106"/>
      <c r="AB25" s="107">
        <f t="shared" si="10"/>
        <v>0</v>
      </c>
    </row>
    <row r="26" spans="1:28" ht="15" outlineLevel="1" thickBot="1" x14ac:dyDescent="0.35">
      <c r="A26" s="19"/>
      <c r="B26" s="3"/>
      <c r="C26" s="4"/>
      <c r="D26" s="8"/>
      <c r="E26" s="8"/>
      <c r="F26" s="8"/>
      <c r="G26" s="82"/>
      <c r="H26" s="59"/>
      <c r="I26" s="19"/>
      <c r="J26" s="9"/>
      <c r="K26" s="3"/>
      <c r="L26" s="3"/>
      <c r="M26" s="50"/>
      <c r="N26" s="47"/>
      <c r="O26" s="101"/>
      <c r="P26" s="9"/>
      <c r="Q26" s="33"/>
      <c r="R26" s="31"/>
      <c r="S26" s="50"/>
      <c r="T26" s="49"/>
      <c r="U26" s="114"/>
      <c r="V26" s="9"/>
      <c r="W26" s="8"/>
      <c r="X26" s="5"/>
      <c r="Y26" s="12"/>
      <c r="Z26" s="75">
        <f t="shared" si="11"/>
        <v>0</v>
      </c>
      <c r="AA26" s="66"/>
      <c r="AB26" s="52">
        <f t="shared" si="10"/>
        <v>0</v>
      </c>
    </row>
    <row r="38" spans="26:28" ht="15" thickBot="1" x14ac:dyDescent="0.35">
      <c r="Z38" s="70" t="e">
        <f>IF(#REF!&lt;&gt;0,(#REF!+#REF!)*#REF!,0)</f>
        <v>#REF!</v>
      </c>
      <c r="AA38" s="66">
        <v>11800587</v>
      </c>
      <c r="AB38" s="25">
        <f t="shared" ref="AB38" si="12">IFERROR(1-(Z38-AA38)/Z38,0)</f>
        <v>0</v>
      </c>
    </row>
  </sheetData>
  <mergeCells count="12">
    <mergeCell ref="W3:Y3"/>
    <mergeCell ref="Z3:AB3"/>
    <mergeCell ref="C2:H2"/>
    <mergeCell ref="I2:M2"/>
    <mergeCell ref="N2:S2"/>
    <mergeCell ref="T2:Y2"/>
    <mergeCell ref="Z2:AB2"/>
    <mergeCell ref="I3:J3"/>
    <mergeCell ref="K3:M3"/>
    <mergeCell ref="N3:P3"/>
    <mergeCell ref="Q3:S3"/>
    <mergeCell ref="T3:V3"/>
  </mergeCells>
  <conditionalFormatting sqref="I5:J26">
    <cfRule type="expression" dxfId="210" priority="29">
      <formula>$J5=1</formula>
    </cfRule>
  </conditionalFormatting>
  <conditionalFormatting sqref="K5:M26">
    <cfRule type="expression" dxfId="209" priority="28">
      <formula>$M5=1</formula>
    </cfRule>
  </conditionalFormatting>
  <conditionalFormatting sqref="M5:M26">
    <cfRule type="cellIs" dxfId="208" priority="30" operator="greaterThan">
      <formula>100</formula>
    </cfRule>
  </conditionalFormatting>
  <conditionalFormatting sqref="N5:P26">
    <cfRule type="expression" dxfId="207" priority="26">
      <formula>$P5&gt;1.3</formula>
    </cfRule>
    <cfRule type="expression" dxfId="206" priority="27">
      <formula>$P5&gt;1</formula>
    </cfRule>
  </conditionalFormatting>
  <conditionalFormatting sqref="Q5:S26">
    <cfRule type="expression" dxfId="205" priority="24">
      <formula>$S5&gt;1.3</formula>
    </cfRule>
    <cfRule type="expression" dxfId="204" priority="25">
      <formula>$S5&gt;1</formula>
    </cfRule>
  </conditionalFormatting>
  <conditionalFormatting sqref="T5:V26">
    <cfRule type="expression" dxfId="203" priority="22">
      <formula>$V5&gt;1.3</formula>
    </cfRule>
    <cfRule type="expression" dxfId="202" priority="23">
      <formula>$V5&gt;1</formula>
    </cfRule>
  </conditionalFormatting>
  <conditionalFormatting sqref="W5:Y26">
    <cfRule type="expression" dxfId="201" priority="20">
      <formula>$Y5&gt;1.3</formula>
    </cfRule>
    <cfRule type="expression" dxfId="200" priority="21">
      <formula>$Y5&gt;1</formula>
    </cfRule>
  </conditionalFormatting>
  <conditionalFormatting sqref="Z5:AB5 AA6:AB25 Z6:Z26 AB26">
    <cfRule type="expression" dxfId="199" priority="18">
      <formula>$AU5&gt;1.3</formula>
    </cfRule>
    <cfRule type="expression" dxfId="198" priority="19">
      <formula>$AU5&gt;1</formula>
    </cfRule>
  </conditionalFormatting>
  <conditionalFormatting sqref="Z38:AB38">
    <cfRule type="expression" dxfId="197" priority="14">
      <formula>$AU38&gt;1.3</formula>
    </cfRule>
    <cfRule type="expression" dxfId="196" priority="15">
      <formula>$AU38&gt;1</formula>
    </cfRule>
  </conditionalFormatting>
  <conditionalFormatting sqref="AA26">
    <cfRule type="expression" dxfId="195" priority="16">
      <formula>$AX26&gt;1.3</formula>
    </cfRule>
    <cfRule type="expression" dxfId="194" priority="17">
      <formula>$AX26&gt;1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0190-97A3-40CF-817B-02F780DDC6E2}">
  <dimension ref="A1:BF36"/>
  <sheetViews>
    <sheetView workbookViewId="0">
      <pane xSplit="2" ySplit="3" topLeftCell="T25" activePane="bottomRight" state="frozen"/>
      <selection activeCell="P41" sqref="P41"/>
      <selection pane="topRight" activeCell="P41" sqref="P41"/>
      <selection pane="bottomLeft" activeCell="P41" sqref="P41"/>
      <selection pane="bottomRight" activeCell="V7" sqref="V7"/>
    </sheetView>
  </sheetViews>
  <sheetFormatPr defaultRowHeight="14.4" outlineLevelRow="1" outlineLevelCol="1" x14ac:dyDescent="0.3"/>
  <cols>
    <col min="1" max="1" width="4.109375" customWidth="1"/>
    <col min="2" max="2" width="36.6640625" customWidth="1"/>
    <col min="3" max="3" width="7.6640625" style="2" customWidth="1"/>
    <col min="4" max="4" width="17.33203125" customWidth="1" outlineLevel="1"/>
    <col min="5" max="5" width="8.6640625" customWidth="1" outlineLevel="1"/>
    <col min="6" max="6" width="15.33203125" customWidth="1" outlineLevel="1"/>
    <col min="7" max="8" width="10.33203125" customWidth="1" outlineLevel="1"/>
    <col min="9" max="10" width="12.6640625" customWidth="1" outlineLevel="1"/>
    <col min="11" max="12" width="7.88671875" customWidth="1" outlineLevel="1"/>
    <col min="13" max="17" width="12.6640625" customWidth="1"/>
    <col min="18" max="18" width="20.88671875" customWidth="1"/>
    <col min="19" max="19" width="18" customWidth="1"/>
    <col min="20" max="20" width="12.6640625" customWidth="1"/>
    <col min="21" max="23" width="12.6640625" customWidth="1" outlineLevel="1"/>
    <col min="24" max="24" width="18.6640625" customWidth="1" outlineLevel="1"/>
    <col min="25" max="25" width="18.5546875" customWidth="1" outlineLevel="1"/>
    <col min="26" max="32" width="12.6640625" customWidth="1" outlineLevel="1"/>
    <col min="33" max="33" width="14.6640625" customWidth="1"/>
    <col min="34" max="34" width="13.44140625" customWidth="1"/>
    <col min="35" max="35" width="12.6640625" customWidth="1"/>
    <col min="36" max="38" width="12.6640625" customWidth="1" outlineLevel="1"/>
    <col min="39" max="39" width="16.33203125" customWidth="1" outlineLevel="1"/>
    <col min="40" max="40" width="13.5546875" customWidth="1" outlineLevel="1"/>
    <col min="41" max="47" width="12.6640625" customWidth="1" outlineLevel="1"/>
    <col min="48" max="48" width="24.6640625" customWidth="1"/>
    <col min="49" max="49" width="16.33203125" customWidth="1"/>
    <col min="50" max="53" width="12.6640625" customWidth="1"/>
    <col min="55" max="57" width="0" hidden="1" customWidth="1"/>
    <col min="58" max="58" width="11.109375" hidden="1" customWidth="1"/>
    <col min="59" max="59" width="0" hidden="1" customWidth="1"/>
  </cols>
  <sheetData>
    <row r="1" spans="1:58" s="7" customFormat="1" ht="16.2" thickBot="1" x14ac:dyDescent="0.35">
      <c r="B1" s="1">
        <f ca="1">TODAY()</f>
        <v>46198</v>
      </c>
      <c r="C1" s="2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 s="6"/>
      <c r="AM1"/>
      <c r="AN1"/>
      <c r="AO1"/>
      <c r="AP1" s="6"/>
      <c r="AQ1" s="6"/>
      <c r="AR1" s="6"/>
      <c r="AS1" s="6"/>
      <c r="AT1" s="6"/>
      <c r="AU1" s="6"/>
      <c r="AV1"/>
      <c r="AW1"/>
      <c r="AX1"/>
      <c r="AY1"/>
      <c r="AZ1"/>
      <c r="BA1"/>
    </row>
    <row r="2" spans="1:58" ht="16.5" customHeight="1" thickBot="1" x14ac:dyDescent="0.35">
      <c r="A2" s="10"/>
      <c r="B2" s="11"/>
      <c r="C2" s="165" t="s">
        <v>46</v>
      </c>
      <c r="D2" s="166"/>
      <c r="E2" s="166"/>
      <c r="F2" s="166"/>
      <c r="G2" s="166"/>
      <c r="H2" s="166"/>
      <c r="I2" s="166"/>
      <c r="J2" s="166"/>
      <c r="K2" s="167"/>
      <c r="L2" s="94"/>
      <c r="M2" s="168" t="s">
        <v>44</v>
      </c>
      <c r="N2" s="169"/>
      <c r="O2" s="169"/>
      <c r="P2" s="169"/>
      <c r="Q2" s="169"/>
      <c r="R2" s="181" t="s">
        <v>49</v>
      </c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3"/>
      <c r="AG2" s="184" t="s">
        <v>120</v>
      </c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61" t="s">
        <v>66</v>
      </c>
      <c r="AW2" s="162"/>
      <c r="AX2" s="162"/>
      <c r="AY2" s="162"/>
      <c r="AZ2" s="162"/>
      <c r="BA2" s="186"/>
    </row>
    <row r="3" spans="1:58" ht="54.75" customHeight="1" thickBot="1" x14ac:dyDescent="0.35">
      <c r="A3" s="13" t="s">
        <v>36</v>
      </c>
      <c r="B3" s="14" t="s">
        <v>37</v>
      </c>
      <c r="C3" s="15" t="s">
        <v>39</v>
      </c>
      <c r="D3" s="16" t="s">
        <v>77</v>
      </c>
      <c r="E3" s="16" t="s">
        <v>40</v>
      </c>
      <c r="F3" s="16" t="s">
        <v>64</v>
      </c>
      <c r="G3" s="16" t="s">
        <v>65</v>
      </c>
      <c r="H3" s="16" t="s">
        <v>41</v>
      </c>
      <c r="I3" s="16" t="s">
        <v>42</v>
      </c>
      <c r="J3" s="16" t="s">
        <v>47</v>
      </c>
      <c r="K3" s="17" t="s">
        <v>43</v>
      </c>
      <c r="L3" s="17" t="s">
        <v>48</v>
      </c>
      <c r="M3" s="174" t="s">
        <v>45</v>
      </c>
      <c r="N3" s="175"/>
      <c r="O3" s="174" t="s">
        <v>130</v>
      </c>
      <c r="P3" s="176"/>
      <c r="Q3" s="176"/>
      <c r="R3" s="177" t="s">
        <v>57</v>
      </c>
      <c r="S3" s="178"/>
      <c r="T3" s="178"/>
      <c r="U3" s="177" t="s">
        <v>50</v>
      </c>
      <c r="V3" s="178"/>
      <c r="W3" s="179"/>
      <c r="X3" s="178" t="s">
        <v>51</v>
      </c>
      <c r="Y3" s="178"/>
      <c r="Z3" s="180"/>
      <c r="AA3" s="189" t="s">
        <v>52</v>
      </c>
      <c r="AB3" s="178"/>
      <c r="AC3" s="179"/>
      <c r="AD3" s="177" t="s">
        <v>53</v>
      </c>
      <c r="AE3" s="178"/>
      <c r="AF3" s="179"/>
      <c r="AG3" s="187" t="s">
        <v>116</v>
      </c>
      <c r="AH3" s="188"/>
      <c r="AI3" s="190"/>
      <c r="AJ3" s="187" t="s">
        <v>54</v>
      </c>
      <c r="AK3" s="188"/>
      <c r="AL3" s="190"/>
      <c r="AM3" s="187" t="s">
        <v>51</v>
      </c>
      <c r="AN3" s="188"/>
      <c r="AO3" s="191"/>
      <c r="AP3" s="187" t="s">
        <v>55</v>
      </c>
      <c r="AQ3" s="188"/>
      <c r="AR3" s="190"/>
      <c r="AS3" s="187" t="s">
        <v>56</v>
      </c>
      <c r="AT3" s="188"/>
      <c r="AU3" s="188"/>
      <c r="AV3" s="163" t="s">
        <v>67</v>
      </c>
      <c r="AW3" s="164"/>
      <c r="AX3" s="164"/>
      <c r="AY3" s="161" t="s">
        <v>68</v>
      </c>
      <c r="AZ3" s="162"/>
      <c r="BA3" s="186"/>
    </row>
    <row r="4" spans="1:58" ht="15" thickBot="1" x14ac:dyDescent="0.35">
      <c r="A4" s="26"/>
      <c r="B4" s="27"/>
      <c r="C4" s="28"/>
      <c r="D4" s="29"/>
      <c r="E4" s="29"/>
      <c r="F4" s="29"/>
      <c r="G4" s="29"/>
      <c r="H4" s="29"/>
      <c r="I4" s="27"/>
      <c r="J4" s="27"/>
      <c r="K4" s="27"/>
      <c r="L4" s="27"/>
      <c r="M4" s="27" t="s">
        <v>2</v>
      </c>
      <c r="N4" s="27" t="s">
        <v>3</v>
      </c>
      <c r="O4" s="27" t="s">
        <v>1</v>
      </c>
      <c r="P4" s="27" t="s">
        <v>2</v>
      </c>
      <c r="Q4" s="27" t="s">
        <v>3</v>
      </c>
      <c r="R4" s="27" t="s">
        <v>1</v>
      </c>
      <c r="S4" s="27" t="s">
        <v>2</v>
      </c>
      <c r="T4" s="27" t="s">
        <v>3</v>
      </c>
      <c r="U4" s="43" t="s">
        <v>1</v>
      </c>
      <c r="V4" s="27" t="s">
        <v>2</v>
      </c>
      <c r="W4" s="44" t="s">
        <v>3</v>
      </c>
      <c r="X4" s="29" t="s">
        <v>1</v>
      </c>
      <c r="Y4" s="27" t="s">
        <v>2</v>
      </c>
      <c r="Z4" s="27" t="s">
        <v>3</v>
      </c>
      <c r="AA4" s="27" t="s">
        <v>1</v>
      </c>
      <c r="AB4" s="27" t="s">
        <v>2</v>
      </c>
      <c r="AC4" s="27" t="s">
        <v>3</v>
      </c>
      <c r="AD4" s="27" t="s">
        <v>1</v>
      </c>
      <c r="AE4" s="27" t="s">
        <v>2</v>
      </c>
      <c r="AF4" s="27" t="s">
        <v>3</v>
      </c>
      <c r="AG4" s="27"/>
      <c r="AH4" s="27"/>
      <c r="AI4" s="27"/>
      <c r="AJ4" s="27" t="s">
        <v>1</v>
      </c>
      <c r="AK4" s="27" t="s">
        <v>38</v>
      </c>
      <c r="AL4" s="27" t="s">
        <v>3</v>
      </c>
      <c r="AM4" s="27" t="s">
        <v>1</v>
      </c>
      <c r="AN4" s="27" t="s">
        <v>2</v>
      </c>
      <c r="AO4" s="27" t="s">
        <v>3</v>
      </c>
      <c r="AP4" s="27" t="s">
        <v>1</v>
      </c>
      <c r="AQ4" s="27" t="s">
        <v>2</v>
      </c>
      <c r="AR4" s="27" t="s">
        <v>3</v>
      </c>
      <c r="AS4" s="27" t="s">
        <v>1</v>
      </c>
      <c r="AT4" s="27" t="s">
        <v>2</v>
      </c>
      <c r="AU4" s="27" t="s">
        <v>3</v>
      </c>
      <c r="AV4" s="27" t="s">
        <v>1</v>
      </c>
      <c r="AW4" s="27" t="s">
        <v>2</v>
      </c>
      <c r="AX4" s="27" t="s">
        <v>3</v>
      </c>
      <c r="AY4" s="43" t="s">
        <v>1</v>
      </c>
      <c r="AZ4" s="27" t="s">
        <v>2</v>
      </c>
      <c r="BA4" s="44" t="s">
        <v>3</v>
      </c>
      <c r="BC4" s="148" t="s">
        <v>107</v>
      </c>
      <c r="BD4" s="148" t="s">
        <v>109</v>
      </c>
      <c r="BE4" s="148" t="s">
        <v>106</v>
      </c>
      <c r="BF4" s="148" t="s">
        <v>108</v>
      </c>
    </row>
    <row r="5" spans="1:58" ht="29.25" customHeight="1" thickBot="1" x14ac:dyDescent="0.4">
      <c r="A5" s="36"/>
      <c r="B5" s="37" t="s">
        <v>78</v>
      </c>
      <c r="C5" s="38">
        <f>SUM(C6:C36)</f>
        <v>1</v>
      </c>
      <c r="D5" s="63">
        <f>SUM(D6:D36)</f>
        <v>4014557</v>
      </c>
      <c r="E5" s="63">
        <f>SUM(E6:E36)</f>
        <v>0</v>
      </c>
      <c r="F5" s="63">
        <f>SUM(F6:F36)</f>
        <v>7335885.1304000001</v>
      </c>
      <c r="G5" s="63"/>
      <c r="H5" s="63">
        <f>SUM(H6:H36)</f>
        <v>0</v>
      </c>
      <c r="I5" s="63">
        <f>SUM(I6:I36)</f>
        <v>19394.666666666668</v>
      </c>
      <c r="J5" s="63">
        <f>J6</f>
        <v>150</v>
      </c>
      <c r="K5" s="63">
        <f>SUM(K6:K36)</f>
        <v>0</v>
      </c>
      <c r="L5" s="63">
        <f>SUM(L6:L36)</f>
        <v>0</v>
      </c>
      <c r="M5" s="40">
        <f>SUM(M6:M36)</f>
        <v>1</v>
      </c>
      <c r="N5" s="41">
        <f>1-(C5-M5)/C5</f>
        <v>1</v>
      </c>
      <c r="O5" s="40">
        <f>SUM(O6:O36)</f>
        <v>0</v>
      </c>
      <c r="P5" s="40">
        <f>SUM(P6:P36)</f>
        <v>0</v>
      </c>
      <c r="Q5" s="41">
        <f>IFERROR(1-(O5-P5)/O5,0)</f>
        <v>0</v>
      </c>
      <c r="R5" s="63">
        <f>SUM(R6:R36)</f>
        <v>2909200</v>
      </c>
      <c r="S5" s="63">
        <f>SUM(S6:S36)</f>
        <v>3291900</v>
      </c>
      <c r="T5" s="42">
        <f t="shared" ref="T5:T6" si="0">IFERROR(1-(R5-S5)/R5,0)</f>
        <v>1.1315481919428021</v>
      </c>
      <c r="U5" s="67">
        <f>SUM(U6:U36)</f>
        <v>19394.666666666668</v>
      </c>
      <c r="V5" s="63">
        <f>SUM(V6:V36)</f>
        <v>21946</v>
      </c>
      <c r="W5" s="46">
        <f t="shared" ref="W5:W6" si="1">IFERROR(1-(U5-V5)/U5,0)</f>
        <v>1.1315481919428021</v>
      </c>
      <c r="X5" s="71">
        <f>SUM(X6:X36)</f>
        <v>2909200</v>
      </c>
      <c r="Y5" s="63">
        <f>SUM(Y6:Y36)</f>
        <v>3291900</v>
      </c>
      <c r="Z5" s="41">
        <f t="shared" ref="Z5:Z6" si="2">IFERROR(1-(X5-Y5)/X5,0)</f>
        <v>1.1315481919428021</v>
      </c>
      <c r="AA5" s="63">
        <f>SUM(AA6:AA36)</f>
        <v>0</v>
      </c>
      <c r="AB5" s="63">
        <f>SUM(AB6:AB36)</f>
        <v>0</v>
      </c>
      <c r="AC5" s="41">
        <f t="shared" ref="AC5:AC6" si="3">IFERROR(1-(AA5-AB5)/AA5,0)</f>
        <v>0</v>
      </c>
      <c r="AD5" s="63">
        <f>SUM(AD6:AD36)</f>
        <v>0</v>
      </c>
      <c r="AE5" s="63">
        <f>SUM(AE6:AE36)</f>
        <v>0</v>
      </c>
      <c r="AF5" s="41">
        <f t="shared" ref="AF5:AF6" si="4">IFERROR(1-(AD5-AE5)/AD5,0)</f>
        <v>0</v>
      </c>
      <c r="AG5" s="63">
        <f>SUM(AG6:AG36)</f>
        <v>0</v>
      </c>
      <c r="AH5" s="63">
        <f>SUM(AH6:AH36)</f>
        <v>21600</v>
      </c>
      <c r="AI5" s="41">
        <f>IFERROR(1-(AG5-AH5)/AG5,0)</f>
        <v>0</v>
      </c>
      <c r="AJ5" s="63">
        <f>SUM(AJ6:AJ36)</f>
        <v>0</v>
      </c>
      <c r="AK5" s="63">
        <f>SUM(AK6:AK36)</f>
        <v>144</v>
      </c>
      <c r="AL5" s="41">
        <f>IFERROR(1-(AJ5-AK5)/AJ5,0)</f>
        <v>0</v>
      </c>
      <c r="AM5" s="63">
        <f>SUM(AM6:AM36)</f>
        <v>0</v>
      </c>
      <c r="AN5" s="63">
        <f>SUM(AN6:AN36)</f>
        <v>21600</v>
      </c>
      <c r="AO5" s="41">
        <f t="shared" ref="AO5:AO6" si="5">IFERROR(1-(AM5-AN5)/AM5,0)</f>
        <v>0</v>
      </c>
      <c r="AP5" s="63">
        <f>SUM(AP6:AP36)</f>
        <v>0</v>
      </c>
      <c r="AQ5" s="63">
        <f>SUM(AQ6:AQ36)</f>
        <v>144</v>
      </c>
      <c r="AR5" s="41">
        <f>IFERROR(1-(AP5-AQ5)/AP5,0)</f>
        <v>0</v>
      </c>
      <c r="AS5" s="63">
        <f>SUM(AS6:AS36)</f>
        <v>0</v>
      </c>
      <c r="AT5" s="63">
        <f>SUM(AT6:AT36)</f>
        <v>0</v>
      </c>
      <c r="AU5" s="42">
        <f>IFERROR(1-(AS5-AT5)/AS5,0)</f>
        <v>0</v>
      </c>
      <c r="AV5" s="63">
        <f>SUM(AV6:AV36)</f>
        <v>7335885.1304000001</v>
      </c>
      <c r="AW5" s="63">
        <f>SUM(AW6:AW36)</f>
        <v>6975869.8679999998</v>
      </c>
      <c r="AX5" s="42">
        <f>IFERROR(1-(AV5-AW5)/AV5,0)</f>
        <v>0.95092408673247997</v>
      </c>
      <c r="AY5" s="67">
        <f>SUM(AY6:AY36)</f>
        <v>0</v>
      </c>
      <c r="AZ5" s="63">
        <f>SUM(AZ6:AZ36)</f>
        <v>0</v>
      </c>
      <c r="BA5" s="46">
        <f>IFERROR(1-(AY5-AZ5)/AY5,0)</f>
        <v>0</v>
      </c>
      <c r="BC5" s="148">
        <f>(118893.07+8431.68)*1.2</f>
        <v>152789.69999999998</v>
      </c>
      <c r="BD5" s="148">
        <f>5782401.85*1.2</f>
        <v>6938882.2199999997</v>
      </c>
      <c r="BE5" s="148">
        <f>BC5+BD5</f>
        <v>7091671.9199999999</v>
      </c>
      <c r="BF5" s="148">
        <f>F5-BE5</f>
        <v>244213.21040000021</v>
      </c>
    </row>
    <row r="6" spans="1:58" s="113" customFormat="1" outlineLevel="1" x14ac:dyDescent="0.3">
      <c r="A6" s="144">
        <v>1</v>
      </c>
      <c r="B6" s="145" t="s">
        <v>78</v>
      </c>
      <c r="C6" s="145">
        <v>1</v>
      </c>
      <c r="D6" s="96">
        <f>3116357+600000+497000*60%</f>
        <v>4014557</v>
      </c>
      <c r="E6" s="96"/>
      <c r="F6" s="96">
        <f>6537085.1304+600000+497000*40%</f>
        <v>7335885.1304000001</v>
      </c>
      <c r="G6" s="96">
        <f>(6537085.1304+600000+497000*40%-F6)</f>
        <v>0</v>
      </c>
      <c r="H6" s="96"/>
      <c r="I6" s="96">
        <f>(1317000+864000)/150+430000/150+497000/150*0.6</f>
        <v>19394.666666666668</v>
      </c>
      <c r="J6" s="96">
        <v>150</v>
      </c>
      <c r="K6" s="96"/>
      <c r="L6" s="96"/>
      <c r="M6" s="101">
        <v>1</v>
      </c>
      <c r="N6" s="34">
        <f>1-(C6-M6)/C6</f>
        <v>1</v>
      </c>
      <c r="O6" s="101">
        <v>0</v>
      </c>
      <c r="P6" s="101"/>
      <c r="Q6" s="34">
        <f t="shared" ref="Q6" si="6">IFERROR(1-(O6-P6)/O6,0)</f>
        <v>0</v>
      </c>
      <c r="R6" s="96">
        <f>X6+AD6</f>
        <v>2909200</v>
      </c>
      <c r="S6" s="96">
        <f>Y6+AE6</f>
        <v>3291900</v>
      </c>
      <c r="T6" s="35">
        <f t="shared" si="0"/>
        <v>1.1315481919428021</v>
      </c>
      <c r="U6" s="139">
        <f>IF(V6&lt;&gt;0,I6,0)</f>
        <v>19394.666666666668</v>
      </c>
      <c r="V6" s="96">
        <f>20230+648+924+144</f>
        <v>21946</v>
      </c>
      <c r="W6" s="48">
        <f t="shared" si="1"/>
        <v>1.1315481919428021</v>
      </c>
      <c r="X6" s="140">
        <f>IF(Y6&lt;&gt;0,$I6*$J6,0)</f>
        <v>2909200</v>
      </c>
      <c r="Y6" s="96">
        <f>V6*J6</f>
        <v>3291900</v>
      </c>
      <c r="Z6" s="34">
        <f t="shared" si="2"/>
        <v>1.1315481919428021</v>
      </c>
      <c r="AA6" s="96">
        <f>IF(AB6&lt;&gt;0,$K6,0)</f>
        <v>0</v>
      </c>
      <c r="AB6" s="96"/>
      <c r="AC6" s="34">
        <f t="shared" si="3"/>
        <v>0</v>
      </c>
      <c r="AD6" s="96">
        <f>IF(AE6&lt;&gt;0,$L6*$AA6,0)</f>
        <v>0</v>
      </c>
      <c r="AE6" s="96"/>
      <c r="AF6" s="34">
        <f t="shared" si="4"/>
        <v>0</v>
      </c>
      <c r="AG6" s="96">
        <f>AM6+AS6</f>
        <v>0</v>
      </c>
      <c r="AH6" s="96">
        <f>AN6+AT6</f>
        <v>21600</v>
      </c>
      <c r="AI6" s="34">
        <f>IFERROR(1-(AG6-AH6)/AG6,0)</f>
        <v>0</v>
      </c>
      <c r="AJ6" s="100"/>
      <c r="AK6" s="96">
        <v>144</v>
      </c>
      <c r="AL6" s="34">
        <f t="shared" ref="AL6" si="7">IFERROR(1-(AJ6-AK6)/AJ6,0)</f>
        <v>0</v>
      </c>
      <c r="AM6" s="96">
        <f>AJ6*J6</f>
        <v>0</v>
      </c>
      <c r="AN6" s="96">
        <f>AK6*J6</f>
        <v>21600</v>
      </c>
      <c r="AO6" s="34">
        <f t="shared" si="5"/>
        <v>0</v>
      </c>
      <c r="AP6" s="96">
        <f>IF(AQ6&lt;&gt;0,K6,0)</f>
        <v>0</v>
      </c>
      <c r="AQ6" s="96">
        <v>144</v>
      </c>
      <c r="AR6" s="34">
        <f t="shared" ref="AR6" si="8">IFERROR(1-(AP6-AQ6)/AP6,0)</f>
        <v>0</v>
      </c>
      <c r="AS6" s="96">
        <f>AP6*L6</f>
        <v>0</v>
      </c>
      <c r="AT6" s="96"/>
      <c r="AU6" s="35">
        <f t="shared" ref="AU6" si="9">IFERROR(1-(AS6-AT6)/AS6,0)</f>
        <v>0</v>
      </c>
      <c r="AV6" s="146">
        <f>F6</f>
        <v>7335885.1304000001</v>
      </c>
      <c r="AW6" s="147">
        <f>(5681543.37+131681.52)*1.2</f>
        <v>6975869.8679999998</v>
      </c>
      <c r="AX6" s="61">
        <f t="shared" ref="AX6" si="10">IFERROR(1-(AV6-AW6)/AV6,0)</f>
        <v>0.95092408673247997</v>
      </c>
      <c r="AY6" s="146">
        <f>IF(AZ6&lt;&gt;0,I6+K6,0)</f>
        <v>0</v>
      </c>
      <c r="AZ6" s="147"/>
      <c r="BA6" s="62">
        <f t="shared" ref="BA6" si="11">IFERROR(1-(AY6-AZ6)/AY6,0)</f>
        <v>0</v>
      </c>
      <c r="BC6" s="148"/>
      <c r="BD6" s="148"/>
      <c r="BE6" s="148"/>
      <c r="BF6" s="148"/>
    </row>
    <row r="7" spans="1:58" outlineLevel="1" x14ac:dyDescent="0.3">
      <c r="A7" s="19"/>
      <c r="B7" s="4"/>
      <c r="C7" s="4"/>
      <c r="D7" s="65"/>
      <c r="E7" s="65"/>
      <c r="F7" s="64"/>
      <c r="G7" s="64"/>
      <c r="H7" s="65"/>
      <c r="I7" s="65"/>
      <c r="J7" s="65"/>
      <c r="K7" s="65"/>
      <c r="L7" s="65"/>
      <c r="M7" s="5"/>
      <c r="N7" s="9"/>
      <c r="O7" s="3"/>
      <c r="P7" s="3"/>
      <c r="Q7" s="9"/>
      <c r="R7" s="65"/>
      <c r="S7" s="65"/>
      <c r="T7" s="12"/>
      <c r="U7" s="68"/>
      <c r="V7" s="69"/>
      <c r="W7" s="50"/>
      <c r="X7" s="72"/>
      <c r="Y7" s="69"/>
      <c r="Z7" s="9"/>
      <c r="AA7" s="64"/>
      <c r="AB7" s="69"/>
      <c r="AC7" s="9"/>
      <c r="AD7" s="64"/>
      <c r="AE7" s="69"/>
      <c r="AF7" s="9"/>
      <c r="AG7" s="65"/>
      <c r="AH7" s="69"/>
      <c r="AI7" s="9"/>
      <c r="AJ7" s="65"/>
      <c r="AK7" s="69"/>
      <c r="AL7" s="9"/>
      <c r="AM7" s="65"/>
      <c r="AN7" s="69"/>
      <c r="AO7" s="9"/>
      <c r="AP7" s="64"/>
      <c r="AQ7" s="69"/>
      <c r="AR7" s="9"/>
      <c r="AS7" s="65"/>
      <c r="AT7" s="69"/>
      <c r="AU7" s="12"/>
      <c r="AV7" s="68"/>
      <c r="AW7" s="69"/>
      <c r="AX7" s="12"/>
      <c r="AY7" s="75"/>
      <c r="AZ7" s="69"/>
      <c r="BA7" s="50"/>
    </row>
    <row r="8" spans="1:58" outlineLevel="1" x14ac:dyDescent="0.3">
      <c r="A8" s="19"/>
      <c r="B8" s="4"/>
      <c r="C8" s="4"/>
      <c r="D8" s="65"/>
      <c r="E8" s="65"/>
      <c r="F8" s="64"/>
      <c r="G8" s="64"/>
      <c r="H8" s="65"/>
      <c r="I8" s="65"/>
      <c r="J8" s="65"/>
      <c r="K8" s="65"/>
      <c r="L8" s="65"/>
      <c r="M8" s="3"/>
      <c r="N8" s="9"/>
      <c r="O8" s="3"/>
      <c r="P8" s="3"/>
      <c r="Q8" s="9"/>
      <c r="R8" s="65"/>
      <c r="S8" s="65"/>
      <c r="T8" s="12"/>
      <c r="U8" s="68"/>
      <c r="V8" s="65"/>
      <c r="W8" s="50"/>
      <c r="X8" s="72"/>
      <c r="Y8" s="65"/>
      <c r="Z8" s="9"/>
      <c r="AA8" s="64"/>
      <c r="AB8" s="65"/>
      <c r="AC8" s="9"/>
      <c r="AD8" s="64"/>
      <c r="AE8" s="65"/>
      <c r="AF8" s="9"/>
      <c r="AG8" s="65"/>
      <c r="AH8" s="65"/>
      <c r="AI8" s="9"/>
      <c r="AJ8" s="65"/>
      <c r="AK8" s="65"/>
      <c r="AL8" s="9"/>
      <c r="AM8" s="65"/>
      <c r="AN8" s="65"/>
      <c r="AO8" s="9"/>
      <c r="AP8" s="64"/>
      <c r="AQ8" s="65"/>
      <c r="AR8" s="9"/>
      <c r="AS8" s="65"/>
      <c r="AT8" s="65"/>
      <c r="AU8" s="12"/>
      <c r="AV8" s="68"/>
      <c r="AW8" s="65"/>
      <c r="AX8" s="12"/>
      <c r="AY8" s="75"/>
      <c r="AZ8" s="65"/>
      <c r="BA8" s="50"/>
    </row>
    <row r="9" spans="1:58" outlineLevel="1" x14ac:dyDescent="0.3">
      <c r="A9" s="19"/>
      <c r="B9" s="4"/>
      <c r="C9" s="4"/>
      <c r="D9" s="33"/>
      <c r="E9" s="65"/>
      <c r="F9" s="64"/>
      <c r="G9" s="64"/>
      <c r="H9" s="65"/>
      <c r="I9" s="65"/>
      <c r="J9" s="65"/>
      <c r="K9" s="65"/>
      <c r="L9" s="65"/>
      <c r="M9" s="3"/>
      <c r="N9" s="9"/>
      <c r="O9" s="3"/>
      <c r="P9" s="3"/>
      <c r="Q9" s="9"/>
      <c r="R9" s="65"/>
      <c r="S9" s="65"/>
      <c r="T9" s="12"/>
      <c r="U9" s="68"/>
      <c r="V9" s="65"/>
      <c r="W9" s="50"/>
      <c r="X9" s="72"/>
      <c r="Y9" s="65"/>
      <c r="Z9" s="9"/>
      <c r="AA9" s="64"/>
      <c r="AB9" s="65"/>
      <c r="AC9" s="9"/>
      <c r="AD9" s="64"/>
      <c r="AE9" s="65"/>
      <c r="AF9" s="9"/>
      <c r="AG9" s="65"/>
      <c r="AH9" s="65"/>
      <c r="AI9" s="9"/>
      <c r="AJ9" s="65"/>
      <c r="AK9" s="65"/>
      <c r="AL9" s="9"/>
      <c r="AM9" s="65"/>
      <c r="AN9" s="65"/>
      <c r="AO9" s="9"/>
      <c r="AP9" s="64"/>
      <c r="AQ9" s="65"/>
      <c r="AR9" s="9"/>
      <c r="AS9" s="65"/>
      <c r="AT9" s="65"/>
      <c r="AU9" s="12"/>
      <c r="AV9" s="68"/>
      <c r="AW9" s="65"/>
      <c r="AX9" s="12"/>
      <c r="AY9" s="75"/>
      <c r="AZ9" s="65"/>
      <c r="BA9" s="50"/>
    </row>
    <row r="10" spans="1:58" outlineLevel="1" x14ac:dyDescent="0.3">
      <c r="A10" s="19"/>
      <c r="B10" s="4"/>
      <c r="C10" s="4"/>
      <c r="D10" s="65"/>
      <c r="E10" s="65"/>
      <c r="F10" s="64"/>
      <c r="G10" s="64"/>
      <c r="H10" s="65"/>
      <c r="I10" s="65"/>
      <c r="J10" s="65"/>
      <c r="K10" s="65"/>
      <c r="L10" s="65"/>
      <c r="M10" s="3"/>
      <c r="N10" s="9"/>
      <c r="O10" s="3"/>
      <c r="P10" s="3"/>
      <c r="Q10" s="9"/>
      <c r="R10" s="65"/>
      <c r="S10" s="65"/>
      <c r="T10" s="12"/>
      <c r="U10" s="68"/>
      <c r="V10" s="65"/>
      <c r="W10" s="50"/>
      <c r="X10" s="72"/>
      <c r="Y10" s="65"/>
      <c r="Z10" s="9"/>
      <c r="AA10" s="64"/>
      <c r="AB10" s="65"/>
      <c r="AC10" s="9"/>
      <c r="AD10" s="64"/>
      <c r="AE10" s="65"/>
      <c r="AF10" s="9"/>
      <c r="AG10" s="65"/>
      <c r="AH10" s="65"/>
      <c r="AI10" s="9"/>
      <c r="AJ10" s="65"/>
      <c r="AK10" s="65"/>
      <c r="AL10" s="9"/>
      <c r="AM10" s="65"/>
      <c r="AN10" s="65"/>
      <c r="AO10" s="9"/>
      <c r="AP10" s="64"/>
      <c r="AQ10" s="65"/>
      <c r="AR10" s="9"/>
      <c r="AS10" s="65"/>
      <c r="AT10" s="65"/>
      <c r="AU10" s="12"/>
      <c r="AV10" s="68"/>
      <c r="AW10" s="65"/>
      <c r="AX10" s="12"/>
      <c r="AY10" s="75"/>
      <c r="AZ10" s="65"/>
      <c r="BA10" s="50"/>
    </row>
    <row r="11" spans="1:58" outlineLevel="1" x14ac:dyDescent="0.3">
      <c r="A11" s="19"/>
      <c r="B11" s="4"/>
      <c r="C11" s="4"/>
      <c r="D11" s="65"/>
      <c r="E11" s="65"/>
      <c r="F11" s="64"/>
      <c r="G11" s="64"/>
      <c r="H11" s="65"/>
      <c r="I11" s="65"/>
      <c r="J11" s="65"/>
      <c r="K11" s="65"/>
      <c r="L11" s="65"/>
      <c r="M11" s="3"/>
      <c r="N11" s="9"/>
      <c r="O11" s="3"/>
      <c r="P11" s="3"/>
      <c r="Q11" s="9"/>
      <c r="R11" s="64"/>
      <c r="S11" s="64"/>
      <c r="T11" s="12"/>
      <c r="U11" s="68"/>
      <c r="V11" s="65"/>
      <c r="W11" s="50"/>
      <c r="X11" s="72"/>
      <c r="Y11" s="65"/>
      <c r="Z11" s="9"/>
      <c r="AA11" s="64"/>
      <c r="AB11" s="65"/>
      <c r="AC11" s="9"/>
      <c r="AD11" s="64"/>
      <c r="AE11" s="65"/>
      <c r="AF11" s="9"/>
      <c r="AG11" s="65"/>
      <c r="AH11" s="65"/>
      <c r="AI11" s="9"/>
      <c r="AJ11" s="65"/>
      <c r="AK11" s="65"/>
      <c r="AL11" s="9"/>
      <c r="AM11" s="65"/>
      <c r="AN11" s="65"/>
      <c r="AO11" s="9"/>
      <c r="AP11" s="64"/>
      <c r="AQ11" s="65"/>
      <c r="AR11" s="9"/>
      <c r="AS11" s="65"/>
      <c r="AT11" s="65"/>
      <c r="AU11" s="12"/>
      <c r="AV11" s="68"/>
      <c r="AW11" s="65"/>
      <c r="AX11" s="12"/>
      <c r="AY11" s="75"/>
      <c r="AZ11" s="65"/>
      <c r="BA11" s="50"/>
    </row>
    <row r="12" spans="1:58" outlineLevel="1" x14ac:dyDescent="0.3">
      <c r="A12" s="19"/>
      <c r="B12" s="4"/>
      <c r="C12" s="4"/>
      <c r="D12" s="65"/>
      <c r="E12" s="65"/>
      <c r="F12" s="64"/>
      <c r="G12" s="64"/>
      <c r="H12" s="65"/>
      <c r="I12" s="65"/>
      <c r="J12" s="65"/>
      <c r="K12" s="65"/>
      <c r="L12" s="65"/>
      <c r="M12" s="3"/>
      <c r="N12" s="9"/>
      <c r="O12" s="3"/>
      <c r="P12" s="3"/>
      <c r="Q12" s="9"/>
      <c r="R12" s="65"/>
      <c r="S12" s="65"/>
      <c r="T12" s="12"/>
      <c r="U12" s="68"/>
      <c r="V12" s="65"/>
      <c r="W12" s="50"/>
      <c r="X12" s="72"/>
      <c r="Y12" s="65"/>
      <c r="Z12" s="9"/>
      <c r="AA12" s="64"/>
      <c r="AB12" s="65"/>
      <c r="AC12" s="9"/>
      <c r="AD12" s="64"/>
      <c r="AE12" s="65"/>
      <c r="AF12" s="9"/>
      <c r="AG12" s="65"/>
      <c r="AH12" s="64"/>
      <c r="AI12" s="9"/>
      <c r="AJ12" s="65"/>
      <c r="AK12" s="65"/>
      <c r="AL12" s="9"/>
      <c r="AM12" s="65"/>
      <c r="AN12" s="65"/>
      <c r="AO12" s="9"/>
      <c r="AP12" s="64"/>
      <c r="AQ12" s="65"/>
      <c r="AR12" s="9"/>
      <c r="AS12" s="65"/>
      <c r="AT12" s="65"/>
      <c r="AU12" s="12"/>
      <c r="AV12" s="68"/>
      <c r="AW12" s="65"/>
      <c r="AX12" s="12"/>
      <c r="AY12" s="75"/>
      <c r="AZ12" s="65"/>
      <c r="BA12" s="50"/>
    </row>
    <row r="13" spans="1:58" outlineLevel="1" x14ac:dyDescent="0.3">
      <c r="A13" s="19"/>
      <c r="B13" s="4"/>
      <c r="C13" s="4"/>
      <c r="D13" s="65"/>
      <c r="E13" s="65"/>
      <c r="F13" s="64"/>
      <c r="G13" s="64"/>
      <c r="H13" s="65"/>
      <c r="I13" s="65"/>
      <c r="J13" s="65"/>
      <c r="K13" s="65"/>
      <c r="L13" s="65"/>
      <c r="M13" s="3"/>
      <c r="N13" s="9"/>
      <c r="O13" s="3"/>
      <c r="P13" s="3"/>
      <c r="Q13" s="9"/>
      <c r="R13" s="65"/>
      <c r="S13" s="65"/>
      <c r="T13" s="12"/>
      <c r="U13" s="68"/>
      <c r="V13" s="65"/>
      <c r="W13" s="50"/>
      <c r="X13" s="72"/>
      <c r="Y13" s="65"/>
      <c r="Z13" s="9"/>
      <c r="AA13" s="64"/>
      <c r="AB13" s="65"/>
      <c r="AC13" s="9"/>
      <c r="AD13" s="64"/>
      <c r="AE13" s="65"/>
      <c r="AF13" s="9"/>
      <c r="AG13" s="65"/>
      <c r="AH13" s="65"/>
      <c r="AI13" s="9"/>
      <c r="AJ13" s="65"/>
      <c r="AK13" s="65"/>
      <c r="AL13" s="9"/>
      <c r="AM13" s="65"/>
      <c r="AN13" s="65"/>
      <c r="AO13" s="9"/>
      <c r="AP13" s="64"/>
      <c r="AQ13" s="65"/>
      <c r="AR13" s="9"/>
      <c r="AS13" s="65"/>
      <c r="AT13" s="65"/>
      <c r="AU13" s="12"/>
      <c r="AV13" s="68"/>
      <c r="AW13" s="65"/>
      <c r="AX13" s="12"/>
      <c r="AY13" s="75"/>
      <c r="AZ13" s="65"/>
      <c r="BA13" s="50"/>
    </row>
    <row r="14" spans="1:58" outlineLevel="1" x14ac:dyDescent="0.3">
      <c r="A14" s="19"/>
      <c r="B14" s="4"/>
      <c r="C14" s="4"/>
      <c r="D14" s="65"/>
      <c r="E14" s="65"/>
      <c r="F14" s="64"/>
      <c r="G14" s="64"/>
      <c r="H14" s="65"/>
      <c r="I14" s="65"/>
      <c r="J14" s="65"/>
      <c r="K14" s="65"/>
      <c r="L14" s="65"/>
      <c r="M14" s="3"/>
      <c r="N14" s="9"/>
      <c r="O14" s="3"/>
      <c r="P14" s="3"/>
      <c r="Q14" s="9"/>
      <c r="R14" s="65"/>
      <c r="S14" s="65"/>
      <c r="T14" s="12"/>
      <c r="U14" s="68"/>
      <c r="V14" s="65"/>
      <c r="W14" s="50"/>
      <c r="X14" s="72"/>
      <c r="Y14" s="65"/>
      <c r="Z14" s="9"/>
      <c r="AA14" s="64"/>
      <c r="AB14" s="65"/>
      <c r="AC14" s="9"/>
      <c r="AD14" s="64"/>
      <c r="AE14" s="65"/>
      <c r="AF14" s="9"/>
      <c r="AG14" s="65"/>
      <c r="AH14" s="65"/>
      <c r="AI14" s="9"/>
      <c r="AJ14" s="65"/>
      <c r="AK14" s="65"/>
      <c r="AL14" s="9"/>
      <c r="AM14" s="65"/>
      <c r="AN14" s="65"/>
      <c r="AO14" s="9"/>
      <c r="AP14" s="64"/>
      <c r="AQ14" s="65"/>
      <c r="AR14" s="9"/>
      <c r="AS14" s="65"/>
      <c r="AT14" s="65"/>
      <c r="AU14" s="12"/>
      <c r="AV14" s="68"/>
      <c r="AW14" s="65"/>
      <c r="AX14" s="12"/>
      <c r="AY14" s="75"/>
      <c r="AZ14" s="65"/>
      <c r="BA14" s="50"/>
    </row>
    <row r="15" spans="1:58" outlineLevel="1" x14ac:dyDescent="0.3">
      <c r="A15" s="19"/>
      <c r="B15" s="4"/>
      <c r="C15" s="4"/>
      <c r="D15" s="65"/>
      <c r="E15" s="65"/>
      <c r="F15" s="64"/>
      <c r="G15" s="64"/>
      <c r="H15" s="65"/>
      <c r="I15" s="65"/>
      <c r="J15" s="65"/>
      <c r="K15" s="65"/>
      <c r="L15" s="65"/>
      <c r="M15" s="3"/>
      <c r="N15" s="9"/>
      <c r="O15" s="3"/>
      <c r="P15" s="3"/>
      <c r="Q15" s="9"/>
      <c r="R15" s="65"/>
      <c r="S15" s="65"/>
      <c r="T15" s="12"/>
      <c r="U15" s="68"/>
      <c r="V15" s="65"/>
      <c r="W15" s="50"/>
      <c r="X15" s="72"/>
      <c r="Y15" s="65"/>
      <c r="Z15" s="9"/>
      <c r="AA15" s="64"/>
      <c r="AB15" s="65"/>
      <c r="AC15" s="9"/>
      <c r="AD15" s="64"/>
      <c r="AE15" s="65"/>
      <c r="AF15" s="9"/>
      <c r="AG15" s="65"/>
      <c r="AH15" s="65"/>
      <c r="AI15" s="9"/>
      <c r="AJ15" s="65"/>
      <c r="AK15" s="65"/>
      <c r="AL15" s="9"/>
      <c r="AM15" s="65"/>
      <c r="AN15" s="65"/>
      <c r="AO15" s="9"/>
      <c r="AP15" s="64"/>
      <c r="AQ15" s="65"/>
      <c r="AR15" s="9"/>
      <c r="AS15" s="65"/>
      <c r="AT15" s="65"/>
      <c r="AU15" s="12"/>
      <c r="AV15" s="68"/>
      <c r="AW15" s="65"/>
      <c r="AX15" s="12"/>
      <c r="AY15" s="75"/>
      <c r="AZ15" s="65"/>
      <c r="BA15" s="50"/>
    </row>
    <row r="16" spans="1:58" outlineLevel="1" x14ac:dyDescent="0.3">
      <c r="A16" s="19"/>
      <c r="B16" s="4"/>
      <c r="C16" s="4"/>
      <c r="D16" s="65"/>
      <c r="E16" s="65"/>
      <c r="F16" s="64"/>
      <c r="G16" s="64"/>
      <c r="H16" s="65"/>
      <c r="I16" s="65"/>
      <c r="J16" s="65"/>
      <c r="K16" s="65"/>
      <c r="L16" s="65"/>
      <c r="M16" s="3"/>
      <c r="N16" s="9"/>
      <c r="O16" s="3"/>
      <c r="P16" s="3"/>
      <c r="Q16" s="9"/>
      <c r="R16" s="65"/>
      <c r="S16" s="65"/>
      <c r="T16" s="12"/>
      <c r="U16" s="68"/>
      <c r="V16" s="65"/>
      <c r="W16" s="50"/>
      <c r="X16" s="72"/>
      <c r="Y16" s="65"/>
      <c r="Z16" s="9"/>
      <c r="AA16" s="64"/>
      <c r="AB16" s="65"/>
      <c r="AC16" s="9"/>
      <c r="AD16" s="64"/>
      <c r="AE16" s="65"/>
      <c r="AF16" s="9"/>
      <c r="AG16" s="65"/>
      <c r="AH16" s="65"/>
      <c r="AI16" s="9"/>
      <c r="AJ16" s="65"/>
      <c r="AK16" s="65"/>
      <c r="AL16" s="9"/>
      <c r="AM16" s="65"/>
      <c r="AN16" s="65"/>
      <c r="AO16" s="9"/>
      <c r="AP16" s="64"/>
      <c r="AQ16" s="65"/>
      <c r="AR16" s="9"/>
      <c r="AS16" s="65"/>
      <c r="AT16" s="65"/>
      <c r="AU16" s="12"/>
      <c r="AV16" s="68"/>
      <c r="AW16" s="65"/>
      <c r="AX16" s="12"/>
      <c r="AY16" s="75"/>
      <c r="AZ16" s="65"/>
      <c r="BA16" s="50"/>
    </row>
    <row r="17" spans="1:53" outlineLevel="1" x14ac:dyDescent="0.3">
      <c r="A17" s="19"/>
      <c r="B17" s="4"/>
      <c r="C17" s="4"/>
      <c r="D17" s="65"/>
      <c r="E17" s="65"/>
      <c r="F17" s="64"/>
      <c r="G17" s="64"/>
      <c r="H17" s="65"/>
      <c r="I17" s="65"/>
      <c r="J17" s="65"/>
      <c r="K17" s="65"/>
      <c r="L17" s="65"/>
      <c r="M17" s="3"/>
      <c r="N17" s="9"/>
      <c r="O17" s="3"/>
      <c r="P17" s="3"/>
      <c r="Q17" s="9"/>
      <c r="R17" s="65"/>
      <c r="S17" s="65"/>
      <c r="T17" s="12"/>
      <c r="U17" s="68"/>
      <c r="V17" s="65"/>
      <c r="W17" s="50"/>
      <c r="X17" s="72"/>
      <c r="Y17" s="65"/>
      <c r="Z17" s="9"/>
      <c r="AA17" s="64"/>
      <c r="AB17" s="65"/>
      <c r="AC17" s="9"/>
      <c r="AD17" s="64"/>
      <c r="AE17" s="65"/>
      <c r="AF17" s="9"/>
      <c r="AG17" s="65"/>
      <c r="AH17" s="65"/>
      <c r="AI17" s="9"/>
      <c r="AJ17" s="65"/>
      <c r="AK17" s="65"/>
      <c r="AL17" s="9"/>
      <c r="AM17" s="65"/>
      <c r="AN17" s="65"/>
      <c r="AO17" s="9"/>
      <c r="AP17" s="64"/>
      <c r="AQ17" s="65"/>
      <c r="AR17" s="9"/>
      <c r="AS17" s="65"/>
      <c r="AT17" s="65"/>
      <c r="AU17" s="12"/>
      <c r="AV17" s="68"/>
      <c r="AW17" s="65"/>
      <c r="AX17" s="12"/>
      <c r="AY17" s="75"/>
      <c r="AZ17" s="65"/>
      <c r="BA17" s="50"/>
    </row>
    <row r="18" spans="1:53" outlineLevel="1" x14ac:dyDescent="0.3">
      <c r="A18" s="19"/>
      <c r="B18" s="4"/>
      <c r="C18" s="4"/>
      <c r="D18" s="65"/>
      <c r="E18" s="65"/>
      <c r="F18" s="64"/>
      <c r="G18" s="64"/>
      <c r="H18" s="65"/>
      <c r="I18" s="65"/>
      <c r="J18" s="65"/>
      <c r="K18" s="65"/>
      <c r="L18" s="65"/>
      <c r="M18" s="3"/>
      <c r="N18" s="9"/>
      <c r="O18" s="3"/>
      <c r="P18" s="3"/>
      <c r="Q18" s="9"/>
      <c r="R18" s="65"/>
      <c r="S18" s="65"/>
      <c r="T18" s="12"/>
      <c r="U18" s="68"/>
      <c r="V18" s="65"/>
      <c r="W18" s="50"/>
      <c r="X18" s="72"/>
      <c r="Y18" s="65"/>
      <c r="Z18" s="9"/>
      <c r="AA18" s="64"/>
      <c r="AB18" s="65"/>
      <c r="AC18" s="9"/>
      <c r="AD18" s="64"/>
      <c r="AE18" s="65"/>
      <c r="AF18" s="9"/>
      <c r="AG18" s="65"/>
      <c r="AH18" s="65"/>
      <c r="AI18" s="9"/>
      <c r="AJ18" s="65"/>
      <c r="AK18" s="65"/>
      <c r="AL18" s="9"/>
      <c r="AM18" s="65"/>
      <c r="AN18" s="65"/>
      <c r="AO18" s="9"/>
      <c r="AP18" s="64"/>
      <c r="AQ18" s="65"/>
      <c r="AR18" s="9"/>
      <c r="AS18" s="65"/>
      <c r="AT18" s="65"/>
      <c r="AU18" s="12"/>
      <c r="AV18" s="68"/>
      <c r="AW18" s="65"/>
      <c r="AX18" s="12"/>
      <c r="AY18" s="75"/>
      <c r="AZ18" s="65"/>
      <c r="BA18" s="50"/>
    </row>
    <row r="19" spans="1:53" outlineLevel="1" x14ac:dyDescent="0.3">
      <c r="A19" s="19"/>
      <c r="B19" s="4"/>
      <c r="C19" s="4"/>
      <c r="D19" s="65"/>
      <c r="E19" s="65"/>
      <c r="F19" s="64"/>
      <c r="G19" s="64"/>
      <c r="H19" s="65"/>
      <c r="I19" s="65"/>
      <c r="J19" s="65"/>
      <c r="K19" s="65"/>
      <c r="L19" s="65"/>
      <c r="M19" s="3"/>
      <c r="N19" s="9"/>
      <c r="O19" s="3"/>
      <c r="P19" s="3"/>
      <c r="Q19" s="9"/>
      <c r="R19" s="65"/>
      <c r="S19" s="65"/>
      <c r="T19" s="12"/>
      <c r="U19" s="68"/>
      <c r="V19" s="65"/>
      <c r="W19" s="50"/>
      <c r="X19" s="72"/>
      <c r="Y19" s="65"/>
      <c r="Z19" s="9"/>
      <c r="AA19" s="64"/>
      <c r="AB19" s="65"/>
      <c r="AC19" s="9"/>
      <c r="AD19" s="64"/>
      <c r="AE19" s="65"/>
      <c r="AF19" s="9"/>
      <c r="AG19" s="65"/>
      <c r="AH19" s="65"/>
      <c r="AI19" s="9"/>
      <c r="AJ19" s="65"/>
      <c r="AK19" s="65"/>
      <c r="AL19" s="9"/>
      <c r="AM19" s="65"/>
      <c r="AN19" s="65"/>
      <c r="AO19" s="9"/>
      <c r="AP19" s="64"/>
      <c r="AQ19" s="65"/>
      <c r="AR19" s="9"/>
      <c r="AS19" s="65"/>
      <c r="AT19" s="65"/>
      <c r="AU19" s="12"/>
      <c r="AV19" s="68"/>
      <c r="AW19" s="65"/>
      <c r="AX19" s="12"/>
      <c r="AY19" s="75"/>
      <c r="AZ19" s="65"/>
      <c r="BA19" s="50"/>
    </row>
    <row r="20" spans="1:53" outlineLevel="1" x14ac:dyDescent="0.3">
      <c r="A20" s="19"/>
      <c r="B20" s="4"/>
      <c r="C20" s="4"/>
      <c r="D20" s="65"/>
      <c r="E20" s="65"/>
      <c r="F20" s="64"/>
      <c r="G20" s="64"/>
      <c r="H20" s="65"/>
      <c r="I20" s="65"/>
      <c r="J20" s="65"/>
      <c r="K20" s="65"/>
      <c r="L20" s="65"/>
      <c r="M20" s="3"/>
      <c r="N20" s="9"/>
      <c r="O20" s="3"/>
      <c r="P20" s="3"/>
      <c r="Q20" s="9"/>
      <c r="R20" s="65"/>
      <c r="S20" s="65"/>
      <c r="T20" s="12"/>
      <c r="U20" s="68"/>
      <c r="V20" s="65"/>
      <c r="W20" s="50"/>
      <c r="X20" s="72"/>
      <c r="Y20" s="65"/>
      <c r="Z20" s="9"/>
      <c r="AA20" s="64"/>
      <c r="AB20" s="65"/>
      <c r="AC20" s="9"/>
      <c r="AD20" s="64"/>
      <c r="AE20" s="65"/>
      <c r="AF20" s="9"/>
      <c r="AG20" s="65"/>
      <c r="AH20" s="65"/>
      <c r="AI20" s="9"/>
      <c r="AJ20" s="65"/>
      <c r="AK20" s="65"/>
      <c r="AL20" s="9"/>
      <c r="AM20" s="65"/>
      <c r="AN20" s="65"/>
      <c r="AO20" s="9"/>
      <c r="AP20" s="64"/>
      <c r="AQ20" s="65"/>
      <c r="AR20" s="9"/>
      <c r="AS20" s="65"/>
      <c r="AT20" s="65"/>
      <c r="AU20" s="12"/>
      <c r="AV20" s="68"/>
      <c r="AW20" s="65"/>
      <c r="AX20" s="12"/>
      <c r="AY20" s="75"/>
      <c r="AZ20" s="65"/>
      <c r="BA20" s="50"/>
    </row>
    <row r="21" spans="1:53" outlineLevel="1" x14ac:dyDescent="0.3">
      <c r="A21" s="19"/>
      <c r="B21" s="4"/>
      <c r="C21" s="4"/>
      <c r="D21" s="65"/>
      <c r="E21" s="65"/>
      <c r="F21" s="64"/>
      <c r="G21" s="64"/>
      <c r="H21" s="65"/>
      <c r="I21" s="65"/>
      <c r="J21" s="65"/>
      <c r="K21" s="65"/>
      <c r="L21" s="65"/>
      <c r="M21" s="3"/>
      <c r="N21" s="9"/>
      <c r="O21" s="3"/>
      <c r="P21" s="3"/>
      <c r="Q21" s="9"/>
      <c r="R21" s="65"/>
      <c r="S21" s="65"/>
      <c r="T21" s="12"/>
      <c r="U21" s="68"/>
      <c r="V21" s="65"/>
      <c r="W21" s="50"/>
      <c r="X21" s="72"/>
      <c r="Y21" s="65"/>
      <c r="Z21" s="9"/>
      <c r="AA21" s="64"/>
      <c r="AB21" s="65"/>
      <c r="AC21" s="9"/>
      <c r="AD21" s="64"/>
      <c r="AE21" s="65"/>
      <c r="AF21" s="9"/>
      <c r="AG21" s="65"/>
      <c r="AH21" s="65"/>
      <c r="AI21" s="9"/>
      <c r="AJ21" s="65"/>
      <c r="AK21" s="65"/>
      <c r="AL21" s="9"/>
      <c r="AM21" s="65"/>
      <c r="AN21" s="65"/>
      <c r="AO21" s="9"/>
      <c r="AP21" s="64"/>
      <c r="AQ21" s="65"/>
      <c r="AR21" s="9"/>
      <c r="AS21" s="65"/>
      <c r="AT21" s="65"/>
      <c r="AU21" s="12"/>
      <c r="AV21" s="68"/>
      <c r="AW21" s="65"/>
      <c r="AX21" s="12"/>
      <c r="AY21" s="75"/>
      <c r="AZ21" s="65"/>
      <c r="BA21" s="50"/>
    </row>
    <row r="22" spans="1:53" outlineLevel="1" x14ac:dyDescent="0.3">
      <c r="A22" s="19"/>
      <c r="B22" s="4"/>
      <c r="C22" s="4"/>
      <c r="D22" s="65"/>
      <c r="E22" s="65"/>
      <c r="F22" s="64"/>
      <c r="G22" s="64"/>
      <c r="H22" s="65"/>
      <c r="I22" s="65"/>
      <c r="J22" s="65"/>
      <c r="K22" s="65"/>
      <c r="L22" s="65"/>
      <c r="M22" s="3"/>
      <c r="N22" s="9"/>
      <c r="O22" s="3"/>
      <c r="P22" s="3"/>
      <c r="Q22" s="9"/>
      <c r="R22" s="65"/>
      <c r="S22" s="65"/>
      <c r="T22" s="12"/>
      <c r="U22" s="68"/>
      <c r="V22" s="65"/>
      <c r="W22" s="50"/>
      <c r="X22" s="72"/>
      <c r="Y22" s="65"/>
      <c r="Z22" s="9"/>
      <c r="AA22" s="64"/>
      <c r="AB22" s="65"/>
      <c r="AC22" s="9"/>
      <c r="AD22" s="64"/>
      <c r="AE22" s="65"/>
      <c r="AF22" s="9"/>
      <c r="AG22" s="65"/>
      <c r="AH22" s="65"/>
      <c r="AI22" s="9"/>
      <c r="AJ22" s="65"/>
      <c r="AK22" s="65"/>
      <c r="AL22" s="9"/>
      <c r="AM22" s="65"/>
      <c r="AN22" s="65"/>
      <c r="AO22" s="9"/>
      <c r="AP22" s="64"/>
      <c r="AQ22" s="65"/>
      <c r="AR22" s="9"/>
      <c r="AS22" s="65"/>
      <c r="AT22" s="65"/>
      <c r="AU22" s="12"/>
      <c r="AV22" s="68"/>
      <c r="AW22" s="65"/>
      <c r="AX22" s="12"/>
      <c r="AY22" s="75"/>
      <c r="AZ22" s="65"/>
      <c r="BA22" s="50"/>
    </row>
    <row r="23" spans="1:53" outlineLevel="1" x14ac:dyDescent="0.3">
      <c r="A23" s="19"/>
      <c r="B23" s="4"/>
      <c r="C23" s="4"/>
      <c r="D23" s="65"/>
      <c r="E23" s="65"/>
      <c r="F23" s="64"/>
      <c r="G23" s="64"/>
      <c r="H23" s="65"/>
      <c r="I23" s="65"/>
      <c r="J23" s="65"/>
      <c r="K23" s="65"/>
      <c r="L23" s="65"/>
      <c r="M23" s="3"/>
      <c r="N23" s="9"/>
      <c r="O23" s="3"/>
      <c r="P23" s="3"/>
      <c r="Q23" s="9"/>
      <c r="R23" s="65"/>
      <c r="S23" s="65"/>
      <c r="T23" s="12"/>
      <c r="U23" s="68"/>
      <c r="V23" s="65"/>
      <c r="W23" s="50"/>
      <c r="X23" s="72"/>
      <c r="Y23" s="65"/>
      <c r="Z23" s="9"/>
      <c r="AA23" s="64"/>
      <c r="AB23" s="65"/>
      <c r="AC23" s="9"/>
      <c r="AD23" s="64"/>
      <c r="AE23" s="65"/>
      <c r="AF23" s="9"/>
      <c r="AG23" s="65"/>
      <c r="AH23" s="65"/>
      <c r="AI23" s="9"/>
      <c r="AJ23" s="65"/>
      <c r="AK23" s="65"/>
      <c r="AL23" s="9"/>
      <c r="AM23" s="65"/>
      <c r="AN23" s="65"/>
      <c r="AO23" s="9"/>
      <c r="AP23" s="64"/>
      <c r="AQ23" s="65"/>
      <c r="AR23" s="9"/>
      <c r="AS23" s="65"/>
      <c r="AT23" s="65"/>
      <c r="AU23" s="12"/>
      <c r="AV23" s="68"/>
      <c r="AW23" s="65"/>
      <c r="AX23" s="12"/>
      <c r="AY23" s="75"/>
      <c r="AZ23" s="65"/>
      <c r="BA23" s="50"/>
    </row>
    <row r="24" spans="1:53" outlineLevel="1" x14ac:dyDescent="0.3">
      <c r="A24" s="19"/>
      <c r="B24" s="4"/>
      <c r="C24" s="4"/>
      <c r="D24" s="65"/>
      <c r="E24" s="65"/>
      <c r="F24" s="64"/>
      <c r="G24" s="64"/>
      <c r="H24" s="65"/>
      <c r="I24" s="65"/>
      <c r="J24" s="65"/>
      <c r="K24" s="65"/>
      <c r="L24" s="65"/>
      <c r="M24" s="3"/>
      <c r="N24" s="9"/>
      <c r="O24" s="3"/>
      <c r="P24" s="3"/>
      <c r="Q24" s="9"/>
      <c r="R24" s="65"/>
      <c r="S24" s="65"/>
      <c r="T24" s="12"/>
      <c r="U24" s="68"/>
      <c r="V24" s="65"/>
      <c r="W24" s="50"/>
      <c r="X24" s="72"/>
      <c r="Y24" s="65"/>
      <c r="Z24" s="9"/>
      <c r="AA24" s="64"/>
      <c r="AB24" s="65"/>
      <c r="AC24" s="9"/>
      <c r="AD24" s="64"/>
      <c r="AE24" s="65"/>
      <c r="AF24" s="9"/>
      <c r="AG24" s="65"/>
      <c r="AH24" s="65"/>
      <c r="AI24" s="9"/>
      <c r="AJ24" s="65"/>
      <c r="AK24" s="65"/>
      <c r="AL24" s="9"/>
      <c r="AM24" s="65"/>
      <c r="AN24" s="65"/>
      <c r="AO24" s="9"/>
      <c r="AP24" s="64"/>
      <c r="AQ24" s="65"/>
      <c r="AR24" s="9"/>
      <c r="AS24" s="65"/>
      <c r="AT24" s="65"/>
      <c r="AU24" s="12"/>
      <c r="AV24" s="68"/>
      <c r="AW24" s="65"/>
      <c r="AX24" s="12"/>
      <c r="AY24" s="75"/>
      <c r="AZ24" s="65"/>
      <c r="BA24" s="50"/>
    </row>
    <row r="25" spans="1:53" outlineLevel="1" x14ac:dyDescent="0.3">
      <c r="A25" s="19"/>
      <c r="B25" s="4"/>
      <c r="C25" s="4"/>
      <c r="D25" s="65"/>
      <c r="E25" s="65"/>
      <c r="F25" s="64"/>
      <c r="G25" s="64"/>
      <c r="H25" s="65"/>
      <c r="I25" s="65"/>
      <c r="J25" s="65"/>
      <c r="K25" s="65"/>
      <c r="L25" s="65"/>
      <c r="M25" s="3"/>
      <c r="N25" s="9"/>
      <c r="O25" s="3"/>
      <c r="P25" s="3"/>
      <c r="Q25" s="9"/>
      <c r="R25" s="65"/>
      <c r="S25" s="65"/>
      <c r="T25" s="12"/>
      <c r="U25" s="68"/>
      <c r="V25" s="65"/>
      <c r="W25" s="50"/>
      <c r="X25" s="72"/>
      <c r="Y25" s="65"/>
      <c r="Z25" s="9"/>
      <c r="AA25" s="64"/>
      <c r="AB25" s="65"/>
      <c r="AC25" s="9"/>
      <c r="AD25" s="64"/>
      <c r="AE25" s="65"/>
      <c r="AF25" s="9"/>
      <c r="AG25" s="65"/>
      <c r="AH25" s="65"/>
      <c r="AI25" s="9"/>
      <c r="AJ25" s="65"/>
      <c r="AK25" s="65"/>
      <c r="AL25" s="9"/>
      <c r="AM25" s="65"/>
      <c r="AN25" s="65"/>
      <c r="AO25" s="9"/>
      <c r="AP25" s="64"/>
      <c r="AQ25" s="65"/>
      <c r="AR25" s="9"/>
      <c r="AS25" s="65"/>
      <c r="AT25" s="65"/>
      <c r="AU25" s="12"/>
      <c r="AV25" s="68"/>
      <c r="AW25" s="65"/>
      <c r="AX25" s="12"/>
      <c r="AY25" s="75"/>
      <c r="AZ25" s="65"/>
      <c r="BA25" s="50"/>
    </row>
    <row r="26" spans="1:53" outlineLevel="1" x14ac:dyDescent="0.3">
      <c r="A26" s="19"/>
      <c r="B26" s="4"/>
      <c r="C26" s="4"/>
      <c r="D26" s="65"/>
      <c r="E26" s="65"/>
      <c r="F26" s="64"/>
      <c r="G26" s="64"/>
      <c r="H26" s="65"/>
      <c r="I26" s="65"/>
      <c r="J26" s="65"/>
      <c r="K26" s="65"/>
      <c r="L26" s="65"/>
      <c r="M26" s="3"/>
      <c r="N26" s="9"/>
      <c r="O26" s="3"/>
      <c r="P26" s="3"/>
      <c r="Q26" s="9"/>
      <c r="R26" s="65"/>
      <c r="S26" s="65"/>
      <c r="T26" s="12"/>
      <c r="U26" s="68"/>
      <c r="V26" s="65"/>
      <c r="W26" s="50"/>
      <c r="X26" s="72"/>
      <c r="Y26" s="65"/>
      <c r="Z26" s="9"/>
      <c r="AA26" s="64"/>
      <c r="AB26" s="65"/>
      <c r="AC26" s="9"/>
      <c r="AD26" s="64"/>
      <c r="AE26" s="65"/>
      <c r="AF26" s="9"/>
      <c r="AG26" s="65"/>
      <c r="AH26" s="65"/>
      <c r="AI26" s="9"/>
      <c r="AJ26" s="65"/>
      <c r="AK26" s="65"/>
      <c r="AL26" s="9"/>
      <c r="AM26" s="65"/>
      <c r="AN26" s="65"/>
      <c r="AO26" s="9"/>
      <c r="AP26" s="64"/>
      <c r="AQ26" s="65"/>
      <c r="AR26" s="9"/>
      <c r="AS26" s="65"/>
      <c r="AT26" s="65"/>
      <c r="AU26" s="12"/>
      <c r="AV26" s="68"/>
      <c r="AW26" s="65"/>
      <c r="AX26" s="12"/>
      <c r="AY26" s="75"/>
      <c r="AZ26" s="65"/>
      <c r="BA26" s="50"/>
    </row>
    <row r="27" spans="1:53" outlineLevel="1" x14ac:dyDescent="0.3">
      <c r="A27" s="19"/>
      <c r="B27" s="4"/>
      <c r="C27" s="4"/>
      <c r="D27" s="65"/>
      <c r="E27" s="65"/>
      <c r="F27" s="64"/>
      <c r="G27" s="64"/>
      <c r="H27" s="65"/>
      <c r="I27" s="65"/>
      <c r="J27" s="65"/>
      <c r="K27" s="65"/>
      <c r="L27" s="65"/>
      <c r="M27" s="3"/>
      <c r="N27" s="9"/>
      <c r="O27" s="3"/>
      <c r="P27" s="3"/>
      <c r="Q27" s="9"/>
      <c r="R27" s="65"/>
      <c r="S27" s="65"/>
      <c r="T27" s="12"/>
      <c r="U27" s="68"/>
      <c r="V27" s="65"/>
      <c r="W27" s="50"/>
      <c r="X27" s="72"/>
      <c r="Y27" s="65"/>
      <c r="Z27" s="9"/>
      <c r="AA27" s="64"/>
      <c r="AB27" s="65"/>
      <c r="AC27" s="9"/>
      <c r="AD27" s="64"/>
      <c r="AE27" s="65"/>
      <c r="AF27" s="9"/>
      <c r="AG27" s="65"/>
      <c r="AH27" s="65"/>
      <c r="AI27" s="9"/>
      <c r="AJ27" s="65"/>
      <c r="AK27" s="65"/>
      <c r="AL27" s="9"/>
      <c r="AM27" s="65"/>
      <c r="AN27" s="65"/>
      <c r="AO27" s="9"/>
      <c r="AP27" s="64"/>
      <c r="AQ27" s="65"/>
      <c r="AR27" s="9"/>
      <c r="AS27" s="65"/>
      <c r="AT27" s="65"/>
      <c r="AU27" s="12"/>
      <c r="AV27" s="68"/>
      <c r="AW27" s="65"/>
      <c r="AX27" s="12"/>
      <c r="AY27" s="75"/>
      <c r="AZ27" s="65"/>
      <c r="BA27" s="50"/>
    </row>
    <row r="28" spans="1:53" outlineLevel="1" x14ac:dyDescent="0.3">
      <c r="A28" s="19"/>
      <c r="B28" s="4"/>
      <c r="C28" s="4"/>
      <c r="D28" s="65"/>
      <c r="E28" s="65"/>
      <c r="F28" s="64"/>
      <c r="G28" s="64"/>
      <c r="H28" s="65"/>
      <c r="I28" s="65"/>
      <c r="J28" s="65"/>
      <c r="K28" s="65"/>
      <c r="L28" s="65"/>
      <c r="M28" s="3"/>
      <c r="N28" s="9"/>
      <c r="O28" s="3"/>
      <c r="P28" s="3"/>
      <c r="Q28" s="9"/>
      <c r="R28" s="65"/>
      <c r="S28" s="65"/>
      <c r="T28" s="12"/>
      <c r="U28" s="68"/>
      <c r="V28" s="65"/>
      <c r="W28" s="50"/>
      <c r="X28" s="72"/>
      <c r="Y28" s="65"/>
      <c r="Z28" s="9"/>
      <c r="AA28" s="64"/>
      <c r="AB28" s="65"/>
      <c r="AC28" s="9"/>
      <c r="AD28" s="64"/>
      <c r="AE28" s="65"/>
      <c r="AF28" s="9"/>
      <c r="AG28" s="65"/>
      <c r="AH28" s="65"/>
      <c r="AI28" s="9"/>
      <c r="AJ28" s="65"/>
      <c r="AK28" s="65"/>
      <c r="AL28" s="9"/>
      <c r="AM28" s="65"/>
      <c r="AN28" s="65"/>
      <c r="AO28" s="9"/>
      <c r="AP28" s="64"/>
      <c r="AQ28" s="65"/>
      <c r="AR28" s="9"/>
      <c r="AS28" s="65"/>
      <c r="AT28" s="65"/>
      <c r="AU28" s="12"/>
      <c r="AV28" s="68"/>
      <c r="AW28" s="65"/>
      <c r="AX28" s="12"/>
      <c r="AY28" s="75"/>
      <c r="AZ28" s="65"/>
      <c r="BA28" s="50"/>
    </row>
    <row r="29" spans="1:53" outlineLevel="1" x14ac:dyDescent="0.3">
      <c r="A29" s="19"/>
      <c r="B29" s="4"/>
      <c r="C29" s="4"/>
      <c r="D29" s="65"/>
      <c r="E29" s="65"/>
      <c r="F29" s="64"/>
      <c r="G29" s="64"/>
      <c r="H29" s="65"/>
      <c r="I29" s="65"/>
      <c r="J29" s="65"/>
      <c r="K29" s="65"/>
      <c r="L29" s="65"/>
      <c r="M29" s="3"/>
      <c r="N29" s="9"/>
      <c r="O29" s="3"/>
      <c r="P29" s="3"/>
      <c r="Q29" s="9"/>
      <c r="R29" s="65"/>
      <c r="S29" s="65"/>
      <c r="T29" s="12"/>
      <c r="U29" s="68"/>
      <c r="V29" s="65"/>
      <c r="W29" s="50"/>
      <c r="X29" s="72"/>
      <c r="Y29" s="65"/>
      <c r="Z29" s="9"/>
      <c r="AA29" s="64"/>
      <c r="AB29" s="65"/>
      <c r="AC29" s="9"/>
      <c r="AD29" s="64"/>
      <c r="AE29" s="65"/>
      <c r="AF29" s="9"/>
      <c r="AG29" s="65"/>
      <c r="AH29" s="65"/>
      <c r="AI29" s="9"/>
      <c r="AJ29" s="65"/>
      <c r="AK29" s="65"/>
      <c r="AL29" s="9"/>
      <c r="AM29" s="65"/>
      <c r="AN29" s="65"/>
      <c r="AO29" s="9"/>
      <c r="AP29" s="64"/>
      <c r="AQ29" s="65"/>
      <c r="AR29" s="9"/>
      <c r="AS29" s="65"/>
      <c r="AT29" s="65"/>
      <c r="AU29" s="12"/>
      <c r="AV29" s="68"/>
      <c r="AW29" s="65"/>
      <c r="AX29" s="12"/>
      <c r="AY29" s="75"/>
      <c r="AZ29" s="65"/>
      <c r="BA29" s="50"/>
    </row>
    <row r="30" spans="1:53" outlineLevel="1" x14ac:dyDescent="0.3">
      <c r="A30" s="19"/>
      <c r="B30" s="4"/>
      <c r="C30" s="4"/>
      <c r="D30" s="65"/>
      <c r="E30" s="65"/>
      <c r="F30" s="64"/>
      <c r="G30" s="64"/>
      <c r="H30" s="65"/>
      <c r="I30" s="65"/>
      <c r="J30" s="65"/>
      <c r="K30" s="65"/>
      <c r="L30" s="65"/>
      <c r="M30" s="3"/>
      <c r="N30" s="9"/>
      <c r="O30" s="3"/>
      <c r="P30" s="3"/>
      <c r="Q30" s="9"/>
      <c r="R30" s="65"/>
      <c r="S30" s="65"/>
      <c r="T30" s="12"/>
      <c r="U30" s="68"/>
      <c r="V30" s="65"/>
      <c r="W30" s="50"/>
      <c r="X30" s="72"/>
      <c r="Y30" s="65"/>
      <c r="Z30" s="9"/>
      <c r="AA30" s="64"/>
      <c r="AB30" s="65"/>
      <c r="AC30" s="9"/>
      <c r="AD30" s="64"/>
      <c r="AE30" s="65"/>
      <c r="AF30" s="9"/>
      <c r="AG30" s="65"/>
      <c r="AH30" s="65"/>
      <c r="AI30" s="9"/>
      <c r="AJ30" s="65"/>
      <c r="AK30" s="65"/>
      <c r="AL30" s="9"/>
      <c r="AM30" s="65"/>
      <c r="AN30" s="65"/>
      <c r="AO30" s="9"/>
      <c r="AP30" s="64"/>
      <c r="AQ30" s="65"/>
      <c r="AR30" s="9"/>
      <c r="AS30" s="65"/>
      <c r="AT30" s="65"/>
      <c r="AU30" s="12"/>
      <c r="AV30" s="68"/>
      <c r="AW30" s="65"/>
      <c r="AX30" s="12"/>
      <c r="AY30" s="75"/>
      <c r="AZ30" s="65"/>
      <c r="BA30" s="50"/>
    </row>
    <row r="31" spans="1:53" outlineLevel="1" x14ac:dyDescent="0.3">
      <c r="A31" s="19"/>
      <c r="B31" s="4"/>
      <c r="C31" s="4"/>
      <c r="D31" s="65"/>
      <c r="E31" s="65"/>
      <c r="F31" s="64"/>
      <c r="G31" s="64"/>
      <c r="H31" s="65"/>
      <c r="I31" s="65"/>
      <c r="J31" s="65"/>
      <c r="K31" s="65"/>
      <c r="L31" s="65"/>
      <c r="M31" s="3"/>
      <c r="N31" s="9"/>
      <c r="O31" s="3"/>
      <c r="P31" s="3"/>
      <c r="Q31" s="9"/>
      <c r="R31" s="65"/>
      <c r="S31" s="65"/>
      <c r="T31" s="12"/>
      <c r="U31" s="68"/>
      <c r="V31" s="65"/>
      <c r="W31" s="50"/>
      <c r="X31" s="72"/>
      <c r="Y31" s="65"/>
      <c r="Z31" s="9"/>
      <c r="AA31" s="64"/>
      <c r="AB31" s="65"/>
      <c r="AC31" s="9"/>
      <c r="AD31" s="64"/>
      <c r="AE31" s="65"/>
      <c r="AF31" s="9"/>
      <c r="AG31" s="65"/>
      <c r="AH31" s="65"/>
      <c r="AI31" s="9"/>
      <c r="AJ31" s="65"/>
      <c r="AK31" s="65"/>
      <c r="AL31" s="9"/>
      <c r="AM31" s="65"/>
      <c r="AN31" s="65"/>
      <c r="AO31" s="9"/>
      <c r="AP31" s="64"/>
      <c r="AQ31" s="65"/>
      <c r="AR31" s="9"/>
      <c r="AS31" s="65"/>
      <c r="AT31" s="65"/>
      <c r="AU31" s="12"/>
      <c r="AV31" s="68"/>
      <c r="AW31" s="65"/>
      <c r="AX31" s="12"/>
      <c r="AY31" s="75"/>
      <c r="AZ31" s="65"/>
      <c r="BA31" s="50"/>
    </row>
    <row r="32" spans="1:53" outlineLevel="1" x14ac:dyDescent="0.3">
      <c r="A32" s="19"/>
      <c r="B32" s="4"/>
      <c r="C32" s="4"/>
      <c r="D32" s="65"/>
      <c r="E32" s="65"/>
      <c r="F32" s="64"/>
      <c r="G32" s="64"/>
      <c r="H32" s="65"/>
      <c r="I32" s="65"/>
      <c r="J32" s="65"/>
      <c r="K32" s="65"/>
      <c r="L32" s="65"/>
      <c r="M32" s="3"/>
      <c r="N32" s="9"/>
      <c r="O32" s="3"/>
      <c r="P32" s="3"/>
      <c r="Q32" s="9"/>
      <c r="R32" s="65"/>
      <c r="S32" s="65"/>
      <c r="T32" s="12"/>
      <c r="U32" s="68"/>
      <c r="V32" s="65"/>
      <c r="W32" s="50"/>
      <c r="X32" s="72"/>
      <c r="Y32" s="65"/>
      <c r="Z32" s="9"/>
      <c r="AA32" s="64"/>
      <c r="AB32" s="65"/>
      <c r="AC32" s="9"/>
      <c r="AD32" s="64"/>
      <c r="AE32" s="65"/>
      <c r="AF32" s="9"/>
      <c r="AG32" s="65"/>
      <c r="AH32" s="65"/>
      <c r="AI32" s="9"/>
      <c r="AJ32" s="65"/>
      <c r="AK32" s="65"/>
      <c r="AL32" s="9"/>
      <c r="AM32" s="65"/>
      <c r="AN32" s="65"/>
      <c r="AO32" s="9"/>
      <c r="AP32" s="64"/>
      <c r="AQ32" s="65"/>
      <c r="AR32" s="9"/>
      <c r="AS32" s="65"/>
      <c r="AT32" s="65"/>
      <c r="AU32" s="12"/>
      <c r="AV32" s="68"/>
      <c r="AW32" s="65"/>
      <c r="AX32" s="12"/>
      <c r="AY32" s="75"/>
      <c r="AZ32" s="65"/>
      <c r="BA32" s="50"/>
    </row>
    <row r="33" spans="1:53" outlineLevel="1" x14ac:dyDescent="0.3">
      <c r="A33" s="19"/>
      <c r="B33" s="4"/>
      <c r="C33" s="4"/>
      <c r="D33" s="65"/>
      <c r="E33" s="65"/>
      <c r="F33" s="64"/>
      <c r="G33" s="64"/>
      <c r="H33" s="65"/>
      <c r="I33" s="65"/>
      <c r="J33" s="65"/>
      <c r="K33" s="65"/>
      <c r="L33" s="65"/>
      <c r="M33" s="3"/>
      <c r="N33" s="9"/>
      <c r="O33" s="3"/>
      <c r="P33" s="3"/>
      <c r="Q33" s="9"/>
      <c r="R33" s="65"/>
      <c r="S33" s="65"/>
      <c r="T33" s="12"/>
      <c r="U33" s="68"/>
      <c r="V33" s="65"/>
      <c r="W33" s="50"/>
      <c r="X33" s="72"/>
      <c r="Y33" s="65"/>
      <c r="Z33" s="9"/>
      <c r="AA33" s="64"/>
      <c r="AB33" s="65"/>
      <c r="AC33" s="9"/>
      <c r="AD33" s="64"/>
      <c r="AE33" s="65"/>
      <c r="AF33" s="9"/>
      <c r="AG33" s="65"/>
      <c r="AH33" s="65"/>
      <c r="AI33" s="9"/>
      <c r="AJ33" s="65"/>
      <c r="AK33" s="65"/>
      <c r="AL33" s="9"/>
      <c r="AM33" s="65"/>
      <c r="AN33" s="65"/>
      <c r="AO33" s="9"/>
      <c r="AP33" s="64"/>
      <c r="AQ33" s="65"/>
      <c r="AR33" s="9"/>
      <c r="AS33" s="65"/>
      <c r="AT33" s="65"/>
      <c r="AU33" s="12"/>
      <c r="AV33" s="68"/>
      <c r="AW33" s="65"/>
      <c r="AX33" s="12"/>
      <c r="AY33" s="75"/>
      <c r="AZ33" s="65"/>
      <c r="BA33" s="50"/>
    </row>
    <row r="34" spans="1:53" outlineLevel="1" x14ac:dyDescent="0.3">
      <c r="A34" s="19"/>
      <c r="B34" s="4"/>
      <c r="C34" s="4"/>
      <c r="D34" s="65"/>
      <c r="E34" s="65"/>
      <c r="F34" s="64"/>
      <c r="G34" s="64"/>
      <c r="H34" s="65"/>
      <c r="I34" s="65"/>
      <c r="J34" s="65"/>
      <c r="K34" s="65"/>
      <c r="L34" s="65"/>
      <c r="M34" s="3"/>
      <c r="N34" s="9"/>
      <c r="O34" s="3"/>
      <c r="P34" s="3"/>
      <c r="Q34" s="9"/>
      <c r="R34" s="65"/>
      <c r="S34" s="65"/>
      <c r="T34" s="12"/>
      <c r="U34" s="68"/>
      <c r="V34" s="65"/>
      <c r="W34" s="50"/>
      <c r="X34" s="72"/>
      <c r="Y34" s="65"/>
      <c r="Z34" s="9"/>
      <c r="AA34" s="64"/>
      <c r="AB34" s="65"/>
      <c r="AC34" s="9"/>
      <c r="AD34" s="64"/>
      <c r="AE34" s="65"/>
      <c r="AF34" s="9"/>
      <c r="AG34" s="65"/>
      <c r="AH34" s="65"/>
      <c r="AI34" s="9"/>
      <c r="AJ34" s="65"/>
      <c r="AK34" s="65"/>
      <c r="AL34" s="9"/>
      <c r="AM34" s="65"/>
      <c r="AN34" s="65"/>
      <c r="AO34" s="9"/>
      <c r="AP34" s="64"/>
      <c r="AQ34" s="65"/>
      <c r="AR34" s="9"/>
      <c r="AS34" s="65"/>
      <c r="AT34" s="65"/>
      <c r="AU34" s="12"/>
      <c r="AV34" s="68"/>
      <c r="AW34" s="65"/>
      <c r="AX34" s="12"/>
      <c r="AY34" s="75"/>
      <c r="AZ34" s="65"/>
      <c r="BA34" s="50"/>
    </row>
    <row r="35" spans="1:53" outlineLevel="1" x14ac:dyDescent="0.3">
      <c r="A35" s="19"/>
      <c r="B35" s="4"/>
      <c r="C35" s="4"/>
      <c r="D35" s="65"/>
      <c r="E35" s="65"/>
      <c r="F35" s="64"/>
      <c r="G35" s="64"/>
      <c r="H35" s="65"/>
      <c r="I35" s="65"/>
      <c r="J35" s="65"/>
      <c r="K35" s="65"/>
      <c r="L35" s="65"/>
      <c r="M35" s="3"/>
      <c r="N35" s="9"/>
      <c r="O35" s="3"/>
      <c r="P35" s="3"/>
      <c r="Q35" s="9"/>
      <c r="R35" s="65"/>
      <c r="S35" s="65"/>
      <c r="T35" s="12"/>
      <c r="U35" s="68"/>
      <c r="V35" s="65"/>
      <c r="W35" s="50"/>
      <c r="X35" s="72"/>
      <c r="Y35" s="65"/>
      <c r="Z35" s="9"/>
      <c r="AA35" s="64"/>
      <c r="AB35" s="65"/>
      <c r="AC35" s="9"/>
      <c r="AD35" s="64"/>
      <c r="AE35" s="65"/>
      <c r="AF35" s="9"/>
      <c r="AG35" s="65"/>
      <c r="AH35" s="65"/>
      <c r="AI35" s="9"/>
      <c r="AJ35" s="65"/>
      <c r="AK35" s="65"/>
      <c r="AL35" s="9"/>
      <c r="AM35" s="65"/>
      <c r="AN35" s="65"/>
      <c r="AO35" s="9"/>
      <c r="AP35" s="64"/>
      <c r="AQ35" s="65"/>
      <c r="AR35" s="9"/>
      <c r="AS35" s="65"/>
      <c r="AT35" s="65"/>
      <c r="AU35" s="12"/>
      <c r="AV35" s="68"/>
      <c r="AW35" s="65"/>
      <c r="AX35" s="12"/>
      <c r="AY35" s="75"/>
      <c r="AZ35" s="65"/>
      <c r="BA35" s="50"/>
    </row>
    <row r="36" spans="1:53" ht="15" outlineLevel="1" thickBot="1" x14ac:dyDescent="0.35">
      <c r="A36" s="20"/>
      <c r="B36" s="22"/>
      <c r="C36" s="22"/>
      <c r="D36" s="66"/>
      <c r="E36" s="66"/>
      <c r="F36" s="64"/>
      <c r="G36" s="64"/>
      <c r="H36" s="66"/>
      <c r="I36" s="66"/>
      <c r="J36" s="66"/>
      <c r="K36" s="66"/>
      <c r="L36" s="66"/>
      <c r="M36" s="21"/>
      <c r="N36" s="24"/>
      <c r="O36" s="21"/>
      <c r="P36" s="21"/>
      <c r="Q36" s="24"/>
      <c r="R36" s="66"/>
      <c r="S36" s="66"/>
      <c r="T36" s="25"/>
      <c r="U36" s="70"/>
      <c r="V36" s="66"/>
      <c r="W36" s="52"/>
      <c r="X36" s="72"/>
      <c r="Y36" s="66"/>
      <c r="Z36" s="24"/>
      <c r="AA36" s="64"/>
      <c r="AB36" s="66"/>
      <c r="AC36" s="24"/>
      <c r="AD36" s="64"/>
      <c r="AE36" s="66"/>
      <c r="AF36" s="24"/>
      <c r="AG36" s="66"/>
      <c r="AH36" s="66"/>
      <c r="AI36" s="24"/>
      <c r="AJ36" s="66"/>
      <c r="AK36" s="66"/>
      <c r="AL36" s="24"/>
      <c r="AM36" s="66"/>
      <c r="AN36" s="66"/>
      <c r="AO36" s="24"/>
      <c r="AP36" s="64"/>
      <c r="AQ36" s="66"/>
      <c r="AR36" s="24"/>
      <c r="AS36" s="66"/>
      <c r="AT36" s="66"/>
      <c r="AU36" s="25"/>
      <c r="AV36" s="70"/>
      <c r="AW36" s="66"/>
      <c r="AX36" s="25"/>
      <c r="AY36" s="76"/>
      <c r="AZ36" s="66"/>
      <c r="BA36" s="52"/>
    </row>
  </sheetData>
  <mergeCells count="19">
    <mergeCell ref="AS3:AU3"/>
    <mergeCell ref="AV3:AX3"/>
    <mergeCell ref="AY3:BA3"/>
    <mergeCell ref="AA3:AC3"/>
    <mergeCell ref="AD3:AF3"/>
    <mergeCell ref="AG3:AI3"/>
    <mergeCell ref="AJ3:AL3"/>
    <mergeCell ref="AM3:AO3"/>
    <mergeCell ref="AP3:AR3"/>
    <mergeCell ref="C2:K2"/>
    <mergeCell ref="M2:Q2"/>
    <mergeCell ref="R2:AF2"/>
    <mergeCell ref="AG2:AU2"/>
    <mergeCell ref="AV2:BA2"/>
    <mergeCell ref="M3:N3"/>
    <mergeCell ref="O3:Q3"/>
    <mergeCell ref="R3:T3"/>
    <mergeCell ref="U3:W3"/>
    <mergeCell ref="X3:Z3"/>
  </mergeCells>
  <conditionalFormatting sqref="M5:N36">
    <cfRule type="expression" dxfId="193" priority="50">
      <formula>$N5=1</formula>
    </cfRule>
  </conditionalFormatting>
  <conditionalFormatting sqref="O5:Q36">
    <cfRule type="expression" dxfId="192" priority="49">
      <formula>$Q5=1</formula>
    </cfRule>
  </conditionalFormatting>
  <conditionalFormatting sqref="Q5:Q36">
    <cfRule type="cellIs" dxfId="191" priority="51" operator="greaterThan">
      <formula>100</formula>
    </cfRule>
  </conditionalFormatting>
  <conditionalFormatting sqref="R5:T36">
    <cfRule type="expression" dxfId="190" priority="35">
      <formula>$T5&gt;1.3</formula>
    </cfRule>
    <cfRule type="expression" dxfId="189" priority="36">
      <formula>$T5&gt;1</formula>
    </cfRule>
  </conditionalFormatting>
  <conditionalFormatting sqref="U5:W36">
    <cfRule type="expression" dxfId="188" priority="47">
      <formula>$W5&gt;1.3</formula>
    </cfRule>
    <cfRule type="expression" dxfId="187" priority="48">
      <formula>$W5&gt;1</formula>
    </cfRule>
  </conditionalFormatting>
  <conditionalFormatting sqref="X5:Z36">
    <cfRule type="expression" dxfId="186" priority="45">
      <formula>$Z5&gt;1.3</formula>
    </cfRule>
    <cfRule type="expression" dxfId="185" priority="46">
      <formula>$Z5&gt;1</formula>
    </cfRule>
  </conditionalFormatting>
  <conditionalFormatting sqref="AA5:AC36">
    <cfRule type="expression" dxfId="184" priority="43">
      <formula>$AC5&gt;1.3</formula>
    </cfRule>
    <cfRule type="expression" dxfId="183" priority="44">
      <formula>$AC5&gt;1</formula>
    </cfRule>
  </conditionalFormatting>
  <conditionalFormatting sqref="AD5:AF36">
    <cfRule type="expression" dxfId="182" priority="41">
      <formula>$AF5&gt;1.3</formula>
    </cfRule>
    <cfRule type="expression" dxfId="181" priority="42">
      <formula>$AF5&gt;1</formula>
    </cfRule>
  </conditionalFormatting>
  <conditionalFormatting sqref="AG5:AI36">
    <cfRule type="expression" dxfId="180" priority="33">
      <formula>$AI5&gt;1.3</formula>
    </cfRule>
    <cfRule type="expression" dxfId="179" priority="34">
      <formula>$AI5&gt;1</formula>
    </cfRule>
  </conditionalFormatting>
  <conditionalFormatting sqref="AJ5:AL36">
    <cfRule type="expression" dxfId="178" priority="39">
      <formula>$AL5&gt;1.3</formula>
    </cfRule>
    <cfRule type="expression" dxfId="177" priority="40">
      <formula>$AL5&gt;1</formula>
    </cfRule>
  </conditionalFormatting>
  <conditionalFormatting sqref="AM5:AO36">
    <cfRule type="expression" dxfId="176" priority="37">
      <formula>$AO5&gt;1.3</formula>
    </cfRule>
    <cfRule type="expression" dxfId="175" priority="38">
      <formula>$AO5&gt;1</formula>
    </cfRule>
  </conditionalFormatting>
  <conditionalFormatting sqref="AP5:AR36">
    <cfRule type="expression" dxfId="174" priority="31">
      <formula>$AR5&gt;1.3</formula>
    </cfRule>
    <cfRule type="expression" dxfId="173" priority="32">
      <formula>$AR5&gt;1</formula>
    </cfRule>
  </conditionalFormatting>
  <conditionalFormatting sqref="AS5:AU36">
    <cfRule type="expression" dxfId="172" priority="29">
      <formula>$AU5&gt;1.3</formula>
    </cfRule>
    <cfRule type="expression" dxfId="171" priority="30">
      <formula>$AU5&gt;1</formula>
    </cfRule>
  </conditionalFormatting>
  <conditionalFormatting sqref="AV5:AX36">
    <cfRule type="expression" dxfId="170" priority="27">
      <formula>$AX5&gt;1.3</formula>
    </cfRule>
    <cfRule type="expression" dxfId="169" priority="28">
      <formula>$AX5&gt;1</formula>
    </cfRule>
  </conditionalFormatting>
  <conditionalFormatting sqref="AY5:BA36">
    <cfRule type="expression" dxfId="168" priority="25">
      <formula>$BA5&gt;1.3</formula>
    </cfRule>
    <cfRule type="expression" dxfId="167" priority="26">
      <formula>$BA5&gt;1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A6E5-07D5-4614-95C6-B5C87338A629}">
  <dimension ref="A1:BA37"/>
  <sheetViews>
    <sheetView workbookViewId="0">
      <selection activeCell="B11" sqref="B11"/>
    </sheetView>
  </sheetViews>
  <sheetFormatPr defaultRowHeight="14.4" outlineLevelRow="1" outlineLevelCol="1" x14ac:dyDescent="0.3"/>
  <cols>
    <col min="1" max="1" width="4.109375" customWidth="1"/>
    <col min="2" max="2" width="36.6640625" customWidth="1"/>
    <col min="3" max="3" width="7.33203125" style="128" customWidth="1"/>
    <col min="4" max="4" width="11.6640625" customWidth="1" outlineLevel="1"/>
    <col min="5" max="5" width="7.33203125" customWidth="1" outlineLevel="1"/>
    <col min="6" max="6" width="11.33203125" customWidth="1" outlineLevel="1"/>
    <col min="7" max="10" width="7.33203125" customWidth="1" outlineLevel="1"/>
    <col min="11" max="11" width="11" customWidth="1" outlineLevel="1"/>
    <col min="12" max="12" width="7.33203125" customWidth="1" outlineLevel="1"/>
    <col min="13" max="13" width="8.33203125" customWidth="1"/>
    <col min="14" max="14" width="14" customWidth="1"/>
    <col min="15" max="17" width="8.33203125" customWidth="1"/>
    <col min="18" max="18" width="13.44140625" customWidth="1"/>
    <col min="19" max="19" width="10.33203125" customWidth="1"/>
    <col min="20" max="20" width="8.33203125" customWidth="1"/>
    <col min="21" max="23" width="8.33203125" customWidth="1" outlineLevel="1"/>
    <col min="24" max="24" width="10.44140625" bestFit="1" customWidth="1" outlineLevel="1"/>
    <col min="25" max="25" width="11.33203125" customWidth="1" outlineLevel="1"/>
    <col min="26" max="29" width="8.33203125" customWidth="1" outlineLevel="1"/>
    <col min="30" max="30" width="10.6640625" customWidth="1" outlineLevel="1"/>
    <col min="31" max="32" width="8.33203125" customWidth="1" outlineLevel="1"/>
    <col min="33" max="33" width="11.5546875" customWidth="1"/>
    <col min="34" max="34" width="13.44140625" customWidth="1"/>
    <col min="35" max="35" width="8.33203125" customWidth="1"/>
    <col min="36" max="38" width="8.33203125" customWidth="1" outlineLevel="1"/>
    <col min="39" max="39" width="12.6640625" customWidth="1" outlineLevel="1"/>
    <col min="40" max="40" width="13" customWidth="1" outlineLevel="1"/>
    <col min="41" max="47" width="8.33203125" customWidth="1" outlineLevel="1"/>
    <col min="48" max="48" width="12.21875" customWidth="1"/>
    <col min="49" max="49" width="12.5546875" customWidth="1"/>
    <col min="50" max="53" width="8.33203125" customWidth="1"/>
  </cols>
  <sheetData>
    <row r="1" spans="1:53" s="113" customFormat="1" ht="16.2" thickBot="1" x14ac:dyDescent="0.35">
      <c r="B1" s="118"/>
      <c r="C1" s="119"/>
      <c r="AL1" s="120"/>
      <c r="AP1" s="120"/>
      <c r="AQ1" s="120"/>
      <c r="AR1" s="120"/>
      <c r="AS1" s="120"/>
      <c r="AT1" s="120"/>
      <c r="AU1" s="120"/>
    </row>
    <row r="2" spans="1:53" ht="16.5" customHeight="1" thickBot="1" x14ac:dyDescent="0.35">
      <c r="A2" s="10"/>
      <c r="B2" s="11"/>
      <c r="C2" s="165" t="s">
        <v>46</v>
      </c>
      <c r="D2" s="166"/>
      <c r="E2" s="166"/>
      <c r="F2" s="166"/>
      <c r="G2" s="166"/>
      <c r="H2" s="166"/>
      <c r="I2" s="166"/>
      <c r="J2" s="166"/>
      <c r="K2" s="167"/>
      <c r="L2" s="127"/>
      <c r="M2" s="168" t="s">
        <v>44</v>
      </c>
      <c r="N2" s="169"/>
      <c r="O2" s="169"/>
      <c r="P2" s="169"/>
      <c r="Q2" s="169"/>
      <c r="R2" s="181" t="s">
        <v>49</v>
      </c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3"/>
      <c r="AG2" s="184" t="s">
        <v>119</v>
      </c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61" t="s">
        <v>66</v>
      </c>
      <c r="AW2" s="162"/>
      <c r="AX2" s="162"/>
      <c r="AY2" s="162"/>
      <c r="AZ2" s="162"/>
      <c r="BA2" s="186"/>
    </row>
    <row r="3" spans="1:53" ht="54.75" customHeight="1" thickBot="1" x14ac:dyDescent="0.35">
      <c r="A3" s="13" t="s">
        <v>36</v>
      </c>
      <c r="B3" s="14" t="s">
        <v>37</v>
      </c>
      <c r="C3" s="15" t="s">
        <v>39</v>
      </c>
      <c r="D3" s="16" t="s">
        <v>77</v>
      </c>
      <c r="E3" s="16" t="s">
        <v>40</v>
      </c>
      <c r="F3" s="16" t="s">
        <v>64</v>
      </c>
      <c r="G3" s="16" t="s">
        <v>65</v>
      </c>
      <c r="H3" s="16" t="s">
        <v>41</v>
      </c>
      <c r="I3" s="16" t="s">
        <v>42</v>
      </c>
      <c r="J3" s="16" t="s">
        <v>47</v>
      </c>
      <c r="K3" s="17" t="s">
        <v>43</v>
      </c>
      <c r="L3" s="17" t="s">
        <v>48</v>
      </c>
      <c r="M3" s="174" t="s">
        <v>45</v>
      </c>
      <c r="N3" s="175"/>
      <c r="O3" s="174" t="s">
        <v>125</v>
      </c>
      <c r="P3" s="176"/>
      <c r="Q3" s="176"/>
      <c r="R3" s="177" t="s">
        <v>57</v>
      </c>
      <c r="S3" s="178"/>
      <c r="T3" s="178"/>
      <c r="U3" s="177" t="s">
        <v>50</v>
      </c>
      <c r="V3" s="178"/>
      <c r="W3" s="179"/>
      <c r="X3" s="178" t="s">
        <v>51</v>
      </c>
      <c r="Y3" s="178"/>
      <c r="Z3" s="180"/>
      <c r="AA3" s="189" t="s">
        <v>52</v>
      </c>
      <c r="AB3" s="178"/>
      <c r="AC3" s="179"/>
      <c r="AD3" s="177" t="s">
        <v>53</v>
      </c>
      <c r="AE3" s="178"/>
      <c r="AF3" s="179"/>
      <c r="AG3" s="187" t="s">
        <v>124</v>
      </c>
      <c r="AH3" s="188"/>
      <c r="AI3" s="190"/>
      <c r="AJ3" s="187" t="s">
        <v>54</v>
      </c>
      <c r="AK3" s="188"/>
      <c r="AL3" s="190"/>
      <c r="AM3" s="187" t="s">
        <v>51</v>
      </c>
      <c r="AN3" s="188"/>
      <c r="AO3" s="191"/>
      <c r="AP3" s="187" t="s">
        <v>55</v>
      </c>
      <c r="AQ3" s="188"/>
      <c r="AR3" s="190"/>
      <c r="AS3" s="187" t="s">
        <v>56</v>
      </c>
      <c r="AT3" s="188"/>
      <c r="AU3" s="188"/>
      <c r="AV3" s="163" t="s">
        <v>67</v>
      </c>
      <c r="AW3" s="164"/>
      <c r="AX3" s="164"/>
      <c r="AY3" s="161" t="s">
        <v>68</v>
      </c>
      <c r="AZ3" s="162"/>
      <c r="BA3" s="186"/>
    </row>
    <row r="4" spans="1:53" ht="15" thickBot="1" x14ac:dyDescent="0.35">
      <c r="A4" s="26"/>
      <c r="B4" s="27"/>
      <c r="C4" s="28"/>
      <c r="D4" s="29"/>
      <c r="E4" s="29"/>
      <c r="F4" s="29"/>
      <c r="G4" s="29"/>
      <c r="H4" s="29"/>
      <c r="I4" s="27"/>
      <c r="J4" s="27"/>
      <c r="K4" s="27"/>
      <c r="L4" s="27"/>
      <c r="M4" s="27" t="s">
        <v>2</v>
      </c>
      <c r="N4" s="27" t="s">
        <v>3</v>
      </c>
      <c r="O4" s="27" t="s">
        <v>1</v>
      </c>
      <c r="P4" s="27" t="s">
        <v>2</v>
      </c>
      <c r="Q4" s="27" t="s">
        <v>3</v>
      </c>
      <c r="R4" s="27" t="s">
        <v>1</v>
      </c>
      <c r="S4" s="27" t="s">
        <v>2</v>
      </c>
      <c r="T4" s="27" t="s">
        <v>3</v>
      </c>
      <c r="U4" s="43" t="s">
        <v>1</v>
      </c>
      <c r="V4" s="27" t="s">
        <v>2</v>
      </c>
      <c r="W4" s="44" t="s">
        <v>3</v>
      </c>
      <c r="X4" s="29" t="s">
        <v>1</v>
      </c>
      <c r="Y4" s="27" t="s">
        <v>2</v>
      </c>
      <c r="Z4" s="27" t="s">
        <v>3</v>
      </c>
      <c r="AA4" s="27" t="s">
        <v>1</v>
      </c>
      <c r="AB4" s="27" t="s">
        <v>2</v>
      </c>
      <c r="AC4" s="27" t="s">
        <v>3</v>
      </c>
      <c r="AD4" s="27" t="s">
        <v>1</v>
      </c>
      <c r="AE4" s="27" t="s">
        <v>2</v>
      </c>
      <c r="AF4" s="27" t="s">
        <v>3</v>
      </c>
      <c r="AG4" s="27" t="s">
        <v>1</v>
      </c>
      <c r="AH4" s="27" t="s">
        <v>2</v>
      </c>
      <c r="AI4" s="27" t="s">
        <v>3</v>
      </c>
      <c r="AJ4" s="27" t="s">
        <v>1</v>
      </c>
      <c r="AK4" s="27" t="s">
        <v>38</v>
      </c>
      <c r="AL4" s="27" t="s">
        <v>3</v>
      </c>
      <c r="AM4" s="27" t="s">
        <v>1</v>
      </c>
      <c r="AN4" s="27" t="s">
        <v>2</v>
      </c>
      <c r="AO4" s="27" t="s">
        <v>3</v>
      </c>
      <c r="AP4" s="27" t="s">
        <v>1</v>
      </c>
      <c r="AQ4" s="27" t="s">
        <v>2</v>
      </c>
      <c r="AR4" s="27" t="s">
        <v>3</v>
      </c>
      <c r="AS4" s="27" t="s">
        <v>1</v>
      </c>
      <c r="AT4" s="27" t="s">
        <v>2</v>
      </c>
      <c r="AU4" s="27" t="s">
        <v>3</v>
      </c>
      <c r="AV4" s="27" t="s">
        <v>1</v>
      </c>
      <c r="AW4" s="27" t="s">
        <v>2</v>
      </c>
      <c r="AX4" s="27" t="s">
        <v>3</v>
      </c>
      <c r="AY4" s="43" t="s">
        <v>1</v>
      </c>
      <c r="AZ4" s="27" t="s">
        <v>2</v>
      </c>
      <c r="BA4" s="44" t="s">
        <v>3</v>
      </c>
    </row>
    <row r="5" spans="1:53" ht="29.25" customHeight="1" thickBot="1" x14ac:dyDescent="0.4">
      <c r="A5" s="36"/>
      <c r="B5" s="37" t="s">
        <v>105</v>
      </c>
      <c r="C5" s="85">
        <f>SUM(C6:C37)</f>
        <v>1</v>
      </c>
      <c r="D5" s="86">
        <f t="shared" ref="D5:AQ5" si="0">SUM(D6:D37)</f>
        <v>1559890</v>
      </c>
      <c r="E5" s="86">
        <f t="shared" si="0"/>
        <v>0</v>
      </c>
      <c r="F5" s="86">
        <f t="shared" si="0"/>
        <v>4858564.1900000004</v>
      </c>
      <c r="G5" s="86"/>
      <c r="H5" s="86">
        <f t="shared" si="0"/>
        <v>0</v>
      </c>
      <c r="I5" s="86">
        <f t="shared" si="0"/>
        <v>4356</v>
      </c>
      <c r="J5" s="86">
        <f>J6</f>
        <v>150</v>
      </c>
      <c r="K5" s="86">
        <f t="shared" si="0"/>
        <v>2414.6666666666665</v>
      </c>
      <c r="L5" s="86">
        <v>150</v>
      </c>
      <c r="M5" s="39">
        <f t="shared" si="0"/>
        <v>0</v>
      </c>
      <c r="N5" s="98">
        <f>1-(C5-M5)/C5</f>
        <v>0</v>
      </c>
      <c r="O5" s="39">
        <f>SUM(O6:O37)</f>
        <v>1</v>
      </c>
      <c r="P5" s="39">
        <f>SUM(P6:P37)</f>
        <v>0</v>
      </c>
      <c r="Q5" s="98">
        <f>IFERROR(1-(O5-P5)/O5,0)</f>
        <v>0</v>
      </c>
      <c r="R5" s="86">
        <f t="shared" ref="R5:S5" si="1">SUM(R6:R37)</f>
        <v>1015599.9999999999</v>
      </c>
      <c r="S5" s="86">
        <f t="shared" si="1"/>
        <v>867000</v>
      </c>
      <c r="T5" s="97">
        <f t="shared" ref="T5:T6" si="2">IFERROR(1-(R5-S5)/R5,0)</f>
        <v>0.85368255218590006</v>
      </c>
      <c r="U5" s="89">
        <f t="shared" si="0"/>
        <v>4356</v>
      </c>
      <c r="V5" s="86">
        <f t="shared" si="0"/>
        <v>5780</v>
      </c>
      <c r="W5" s="90">
        <f t="shared" ref="W5:W6" si="3">IFERROR(1-(U5-V5)/U5,0)</f>
        <v>1.3269054178145088</v>
      </c>
      <c r="X5" s="91">
        <f t="shared" ref="X5:Y5" si="4">SUM(X6:X37)</f>
        <v>653400</v>
      </c>
      <c r="Y5" s="86">
        <f t="shared" si="4"/>
        <v>867000</v>
      </c>
      <c r="Z5" s="87">
        <f t="shared" ref="Z5:Z6" si="5">IFERROR(1-(X5-Y5)/X5,0)</f>
        <v>1.3269054178145088</v>
      </c>
      <c r="AA5" s="86">
        <f t="shared" si="0"/>
        <v>2414.6666666666665</v>
      </c>
      <c r="AB5" s="86">
        <f t="shared" si="0"/>
        <v>0</v>
      </c>
      <c r="AC5" s="87">
        <f t="shared" ref="AC5:AC6" si="6">IFERROR(1-(AA5-AB5)/AA5,0)</f>
        <v>0</v>
      </c>
      <c r="AD5" s="86">
        <f t="shared" ref="AD5:AE5" si="7">SUM(AD6:AD37)</f>
        <v>362200</v>
      </c>
      <c r="AE5" s="86">
        <f t="shared" si="7"/>
        <v>0</v>
      </c>
      <c r="AF5" s="87">
        <f t="shared" ref="AF5:AF6" si="8">IFERROR(1-(AD5-AE5)/AD5,0)</f>
        <v>0</v>
      </c>
      <c r="AG5" s="86">
        <f t="shared" si="0"/>
        <v>172800</v>
      </c>
      <c r="AH5" s="86">
        <f t="shared" si="0"/>
        <v>193800</v>
      </c>
      <c r="AI5" s="98">
        <f>IFERROR(1-(AG5-AH5)/AG5,0)</f>
        <v>1.1215277777777777</v>
      </c>
      <c r="AJ5" s="86">
        <f t="shared" si="0"/>
        <v>1152</v>
      </c>
      <c r="AK5" s="86">
        <f t="shared" si="0"/>
        <v>1292</v>
      </c>
      <c r="AL5" s="87">
        <f>IFERROR(1-(AJ5-AK5)/AJ5,0)</f>
        <v>1.1215277777777777</v>
      </c>
      <c r="AM5" s="86">
        <f t="shared" ref="AM5:AN5" si="9">SUM(AM6:AM37)</f>
        <v>172800</v>
      </c>
      <c r="AN5" s="86">
        <f t="shared" si="9"/>
        <v>193800</v>
      </c>
      <c r="AO5" s="87">
        <f t="shared" ref="AO5:AO6" si="10">IFERROR(1-(AM5-AN5)/AM5,0)</f>
        <v>1.1215277777777777</v>
      </c>
      <c r="AP5" s="86">
        <f t="shared" si="0"/>
        <v>0</v>
      </c>
      <c r="AQ5" s="86">
        <f t="shared" si="0"/>
        <v>0</v>
      </c>
      <c r="AR5" s="87">
        <f>IFERROR(1-(AP5-AQ5)/AP5,0)</f>
        <v>0</v>
      </c>
      <c r="AS5" s="86">
        <f t="shared" ref="AS5:AW5" si="11">SUM(AS6:AS37)</f>
        <v>0</v>
      </c>
      <c r="AT5" s="86">
        <f t="shared" si="11"/>
        <v>0</v>
      </c>
      <c r="AU5" s="88">
        <f>IFERROR(1-(AS5-AT5)/AS5,0)</f>
        <v>0</v>
      </c>
      <c r="AV5" s="86">
        <f t="shared" si="11"/>
        <v>4858564.1900000004</v>
      </c>
      <c r="AW5" s="86">
        <f t="shared" si="11"/>
        <v>4106111.2559999996</v>
      </c>
      <c r="AX5" s="97">
        <f>IFERROR(1-(AV5-AW5)/AV5,0)</f>
        <v>0.84512853909623842</v>
      </c>
      <c r="AY5" s="89">
        <f t="shared" ref="AY5:AZ5" si="12">SUM(AY6:AY37)</f>
        <v>0</v>
      </c>
      <c r="AZ5" s="86">
        <f t="shared" si="12"/>
        <v>0</v>
      </c>
      <c r="BA5" s="99">
        <f>IFERROR(1-(AY5-AZ5)/AY5,0)</f>
        <v>0</v>
      </c>
    </row>
    <row r="6" spans="1:53" outlineLevel="1" x14ac:dyDescent="0.3">
      <c r="A6" s="19"/>
      <c r="B6" s="4" t="s">
        <v>105</v>
      </c>
      <c r="C6" s="4">
        <v>1</v>
      </c>
      <c r="D6" s="142">
        <v>1559890</v>
      </c>
      <c r="E6" s="142"/>
      <c r="F6" s="143">
        <v>4858564.1900000004</v>
      </c>
      <c r="G6" s="143"/>
      <c r="H6" s="142">
        <v>0</v>
      </c>
      <c r="I6" s="142">
        <f>1122+154+3080</f>
        <v>4356</v>
      </c>
      <c r="J6" s="142">
        <v>150</v>
      </c>
      <c r="K6" s="142">
        <f>288+96+1920+44+10000/150</f>
        <v>2414.6666666666665</v>
      </c>
      <c r="L6" s="142">
        <v>150</v>
      </c>
      <c r="M6" s="3"/>
      <c r="N6" s="9">
        <f>1-(C6-M6)/C6</f>
        <v>0</v>
      </c>
      <c r="O6" s="3">
        <v>1</v>
      </c>
      <c r="P6" s="3"/>
      <c r="Q6" s="9">
        <f t="shared" ref="Q6" si="13">IFERROR(1-(O6-P6)/O6,0)</f>
        <v>0</v>
      </c>
      <c r="R6" s="142">
        <f>(I6+K6)*150</f>
        <v>1015599.9999999999</v>
      </c>
      <c r="S6" s="65">
        <f t="shared" ref="S6" si="14">Y6+AE6</f>
        <v>867000</v>
      </c>
      <c r="T6" s="12">
        <f t="shared" si="2"/>
        <v>0.85368255218590006</v>
      </c>
      <c r="U6" s="68">
        <f>I6</f>
        <v>4356</v>
      </c>
      <c r="V6" s="137">
        <f>572+3916+1292</f>
        <v>5780</v>
      </c>
      <c r="W6" s="50">
        <f t="shared" si="3"/>
        <v>1.3269054178145088</v>
      </c>
      <c r="X6" s="72">
        <f>U6*J6</f>
        <v>653400</v>
      </c>
      <c r="Y6" s="64">
        <f>V6*J6</f>
        <v>867000</v>
      </c>
      <c r="Z6" s="9">
        <f t="shared" si="5"/>
        <v>1.3269054178145088</v>
      </c>
      <c r="AA6" s="64">
        <f>K6</f>
        <v>2414.6666666666665</v>
      </c>
      <c r="AB6" s="96"/>
      <c r="AC6" s="34">
        <f t="shared" si="6"/>
        <v>0</v>
      </c>
      <c r="AD6" s="64">
        <f>K6*L6</f>
        <v>362200</v>
      </c>
      <c r="AE6" s="64">
        <f t="shared" ref="AE6" si="15">AB6*L6</f>
        <v>0</v>
      </c>
      <c r="AF6" s="34">
        <f t="shared" si="8"/>
        <v>0</v>
      </c>
      <c r="AG6" s="142">
        <f t="shared" ref="AG6:AH6" si="16">AM6+AS6</f>
        <v>172800</v>
      </c>
      <c r="AH6" s="142">
        <f t="shared" si="16"/>
        <v>193800</v>
      </c>
      <c r="AI6" s="9">
        <f t="shared" ref="AI6" si="17">IFERROR(1-(AG6-AH6)/AG6,0)</f>
        <v>1.1215277777777777</v>
      </c>
      <c r="AJ6" s="137">
        <v>1152</v>
      </c>
      <c r="AK6" s="137">
        <v>1292</v>
      </c>
      <c r="AL6" s="9">
        <f t="shared" ref="AL6" si="18">IFERROR(1-(AJ6-AK6)/AJ6,0)</f>
        <v>1.1215277777777777</v>
      </c>
      <c r="AM6" s="65">
        <f>AJ6*150</f>
        <v>172800</v>
      </c>
      <c r="AN6" s="64">
        <f>AK6*J6</f>
        <v>193800</v>
      </c>
      <c r="AO6" s="9">
        <f t="shared" si="10"/>
        <v>1.1215277777777777</v>
      </c>
      <c r="AP6" s="64">
        <f t="shared" ref="AP6" si="19">IF(AQ6&lt;&gt;0,K6,0)</f>
        <v>0</v>
      </c>
      <c r="AQ6" s="96"/>
      <c r="AR6" s="34">
        <f t="shared" ref="AR6" si="20">IFERROR(1-(AP6-AQ6)/AP6,0)</f>
        <v>0</v>
      </c>
      <c r="AS6" s="64">
        <f t="shared" ref="AS6" si="21">AP6*L6</f>
        <v>0</v>
      </c>
      <c r="AT6" s="64">
        <f t="shared" ref="AT6" si="22">AQ6*L6</f>
        <v>0</v>
      </c>
      <c r="AU6" s="35">
        <f t="shared" ref="AU6" si="23">IFERROR(1-(AS6-AT6)/AS6,0)</f>
        <v>0</v>
      </c>
      <c r="AV6" s="68">
        <v>4858564.1900000004</v>
      </c>
      <c r="AW6" s="137">
        <f>3421759.38*1.2</f>
        <v>4106111.2559999996</v>
      </c>
      <c r="AX6" s="12">
        <f t="shared" ref="AX6" si="24">IFERROR(1-(AV6-AW6)/AV6,0)</f>
        <v>0.84512853909623842</v>
      </c>
      <c r="AY6" s="75">
        <f t="shared" ref="AY6" si="25">IF(AZ6&lt;&gt;0,G6,0)</f>
        <v>0</v>
      </c>
      <c r="AZ6" s="137"/>
      <c r="BA6" s="50">
        <f t="shared" ref="BA6" si="26">IFERROR(1-(AY6-AZ6)/AY6,0)</f>
        <v>0</v>
      </c>
    </row>
    <row r="7" spans="1:53" outlineLevel="1" x14ac:dyDescent="0.3">
      <c r="A7" s="19"/>
      <c r="B7" s="4"/>
      <c r="C7" s="4"/>
      <c r="D7" s="65"/>
      <c r="E7" s="65"/>
      <c r="F7" s="64"/>
      <c r="G7" s="64"/>
      <c r="H7" s="65"/>
      <c r="I7" s="65"/>
      <c r="J7" s="65"/>
      <c r="K7" s="65"/>
      <c r="L7" s="65"/>
      <c r="M7" s="3"/>
      <c r="N7" s="9"/>
      <c r="O7" s="3"/>
      <c r="P7" s="3"/>
      <c r="Q7" s="9"/>
      <c r="R7" s="65"/>
      <c r="S7" s="65"/>
      <c r="T7" s="12"/>
      <c r="U7" s="68"/>
      <c r="V7" s="65"/>
      <c r="W7" s="50"/>
      <c r="X7" s="72"/>
      <c r="Y7" s="65"/>
      <c r="Z7" s="9"/>
      <c r="AA7" s="64"/>
      <c r="AB7" s="65"/>
      <c r="AC7" s="9"/>
      <c r="AD7" s="64"/>
      <c r="AE7" s="65"/>
      <c r="AF7" s="9"/>
      <c r="AG7" s="65"/>
      <c r="AH7" s="65"/>
      <c r="AI7" s="9"/>
      <c r="AJ7" s="65"/>
      <c r="AK7" s="65"/>
      <c r="AL7" s="9"/>
      <c r="AM7" s="65"/>
      <c r="AN7" s="65"/>
      <c r="AO7" s="9"/>
      <c r="AP7" s="64"/>
      <c r="AQ7" s="65"/>
      <c r="AR7" s="9"/>
      <c r="AS7" s="65"/>
      <c r="AT7" s="65"/>
      <c r="AU7" s="12"/>
      <c r="AV7" s="68"/>
      <c r="AW7" s="65"/>
      <c r="AX7" s="12"/>
      <c r="AY7" s="75"/>
      <c r="AZ7" s="65"/>
      <c r="BA7" s="50"/>
    </row>
    <row r="8" spans="1:53" outlineLevel="1" x14ac:dyDescent="0.3">
      <c r="A8" s="19"/>
      <c r="B8" s="4"/>
      <c r="C8" s="4"/>
      <c r="D8" s="65"/>
      <c r="E8" s="65"/>
      <c r="F8" s="64"/>
      <c r="G8" s="64"/>
      <c r="H8" s="65"/>
      <c r="I8" s="65"/>
      <c r="J8" s="65"/>
      <c r="K8" s="65"/>
      <c r="L8" s="65"/>
      <c r="M8" s="5"/>
      <c r="N8" s="9"/>
      <c r="O8" s="3"/>
      <c r="P8" s="3"/>
      <c r="Q8" s="9"/>
      <c r="R8" s="65"/>
      <c r="S8" s="65"/>
      <c r="T8" s="12"/>
      <c r="U8" s="68"/>
      <c r="V8" s="69"/>
      <c r="W8" s="50"/>
      <c r="X8" s="72"/>
      <c r="Y8" s="69"/>
      <c r="Z8" s="9"/>
      <c r="AA8" s="64"/>
      <c r="AB8" s="69"/>
      <c r="AC8" s="9"/>
      <c r="AD8" s="64"/>
      <c r="AE8" s="69"/>
      <c r="AF8" s="9"/>
      <c r="AG8" s="65"/>
      <c r="AH8" s="69"/>
      <c r="AI8" s="9"/>
      <c r="AJ8" s="65"/>
      <c r="AK8" s="69"/>
      <c r="AL8" s="9"/>
      <c r="AM8" s="65"/>
      <c r="AN8" s="69"/>
      <c r="AO8" s="9"/>
      <c r="AP8" s="64"/>
      <c r="AQ8" s="69"/>
      <c r="AR8" s="9"/>
      <c r="AS8" s="65"/>
      <c r="AT8" s="69"/>
      <c r="AU8" s="12"/>
      <c r="AV8" s="68"/>
      <c r="AW8" s="69"/>
      <c r="AX8" s="12"/>
      <c r="AY8" s="75"/>
      <c r="AZ8" s="69"/>
      <c r="BA8" s="50"/>
    </row>
    <row r="9" spans="1:53" outlineLevel="1" x14ac:dyDescent="0.3">
      <c r="A9" s="19"/>
      <c r="B9" s="4"/>
      <c r="C9" s="4"/>
      <c r="D9" s="65"/>
      <c r="E9" s="65"/>
      <c r="F9" s="64"/>
      <c r="G9" s="64"/>
      <c r="H9" s="65"/>
      <c r="I9" s="65"/>
      <c r="J9" s="65"/>
      <c r="K9" s="65"/>
      <c r="L9" s="65"/>
      <c r="M9" s="3"/>
      <c r="N9" s="9"/>
      <c r="O9" s="3"/>
      <c r="P9" s="3"/>
      <c r="Q9" s="9"/>
      <c r="R9" s="65"/>
      <c r="S9" s="65"/>
      <c r="T9" s="12"/>
      <c r="U9" s="68"/>
      <c r="V9" s="65"/>
      <c r="W9" s="50"/>
      <c r="X9" s="72"/>
      <c r="Y9" s="65"/>
      <c r="Z9" s="9"/>
      <c r="AA9" s="64"/>
      <c r="AB9" s="65"/>
      <c r="AC9" s="9"/>
      <c r="AD9" s="64"/>
      <c r="AE9" s="65"/>
      <c r="AF9" s="9"/>
      <c r="AG9" s="65"/>
      <c r="AH9" s="65"/>
      <c r="AI9" s="9"/>
      <c r="AJ9" s="65"/>
      <c r="AK9" s="65"/>
      <c r="AL9" s="9"/>
      <c r="AM9" s="65"/>
      <c r="AN9" s="65"/>
      <c r="AO9" s="9"/>
      <c r="AP9" s="64"/>
      <c r="AQ9" s="65"/>
      <c r="AR9" s="9"/>
      <c r="AS9" s="65"/>
      <c r="AT9" s="65"/>
      <c r="AU9" s="12"/>
      <c r="AV9" s="68"/>
      <c r="AW9" s="65"/>
      <c r="AX9" s="12"/>
      <c r="AY9" s="75"/>
      <c r="AZ9" s="65"/>
      <c r="BA9" s="50"/>
    </row>
    <row r="10" spans="1:53" outlineLevel="1" x14ac:dyDescent="0.3">
      <c r="A10" s="19"/>
      <c r="B10" s="4"/>
      <c r="C10" s="4"/>
      <c r="D10" s="33"/>
      <c r="E10" s="65"/>
      <c r="F10" s="64"/>
      <c r="G10" s="64"/>
      <c r="H10" s="65"/>
      <c r="I10" s="65"/>
      <c r="J10" s="65"/>
      <c r="K10" s="65"/>
      <c r="L10" s="65"/>
      <c r="M10" s="3"/>
      <c r="N10" s="9"/>
      <c r="O10" s="3"/>
      <c r="P10" s="3"/>
      <c r="Q10" s="9"/>
      <c r="R10" s="65"/>
      <c r="S10" s="65"/>
      <c r="T10" s="12"/>
      <c r="U10" s="68"/>
      <c r="V10" s="65"/>
      <c r="W10" s="50"/>
      <c r="X10" s="72"/>
      <c r="Y10" s="65"/>
      <c r="Z10" s="9"/>
      <c r="AA10" s="64"/>
      <c r="AB10" s="65"/>
      <c r="AC10" s="9"/>
      <c r="AD10" s="64"/>
      <c r="AE10" s="65"/>
      <c r="AF10" s="9"/>
      <c r="AG10" s="65"/>
      <c r="AH10" s="65"/>
      <c r="AI10" s="9"/>
      <c r="AJ10" s="65"/>
      <c r="AK10" s="65"/>
      <c r="AL10" s="9"/>
      <c r="AM10" s="65"/>
      <c r="AN10" s="65"/>
      <c r="AO10" s="9"/>
      <c r="AP10" s="64"/>
      <c r="AQ10" s="65"/>
      <c r="AR10" s="9"/>
      <c r="AS10" s="65"/>
      <c r="AT10" s="65"/>
      <c r="AU10" s="12"/>
      <c r="AV10" s="68"/>
      <c r="AW10" s="65"/>
      <c r="AX10" s="12"/>
      <c r="AY10" s="75"/>
      <c r="AZ10" s="65"/>
      <c r="BA10" s="50"/>
    </row>
    <row r="11" spans="1:53" outlineLevel="1" x14ac:dyDescent="0.3">
      <c r="A11" s="19"/>
      <c r="B11" s="4"/>
      <c r="C11" s="4"/>
      <c r="D11" s="65"/>
      <c r="E11" s="65"/>
      <c r="F11" s="64"/>
      <c r="G11" s="64"/>
      <c r="H11" s="65"/>
      <c r="I11" s="65"/>
      <c r="J11" s="65"/>
      <c r="K11" s="65"/>
      <c r="L11" s="65"/>
      <c r="M11" s="3"/>
      <c r="N11" s="9"/>
      <c r="O11" s="3"/>
      <c r="P11" s="3"/>
      <c r="Q11" s="9"/>
      <c r="R11" s="65"/>
      <c r="S11" s="65"/>
      <c r="T11" s="12"/>
      <c r="U11" s="68"/>
      <c r="V11" s="65"/>
      <c r="W11" s="50"/>
      <c r="X11" s="72"/>
      <c r="Y11" s="65"/>
      <c r="Z11" s="9"/>
      <c r="AA11" s="64"/>
      <c r="AB11" s="65"/>
      <c r="AC11" s="9"/>
      <c r="AD11" s="64"/>
      <c r="AE11" s="65"/>
      <c r="AF11" s="9"/>
      <c r="AG11" s="65"/>
      <c r="AH11" s="65"/>
      <c r="AI11" s="9"/>
      <c r="AJ11" s="65"/>
      <c r="AK11" s="65"/>
      <c r="AL11" s="9"/>
      <c r="AM11" s="65"/>
      <c r="AN11" s="65"/>
      <c r="AO11" s="9"/>
      <c r="AP11" s="64"/>
      <c r="AQ11" s="65"/>
      <c r="AR11" s="9"/>
      <c r="AS11" s="65"/>
      <c r="AT11" s="65"/>
      <c r="AU11" s="12"/>
      <c r="AV11" s="68"/>
      <c r="AW11" s="65"/>
      <c r="AX11" s="12"/>
      <c r="AY11" s="75"/>
      <c r="AZ11" s="65"/>
      <c r="BA11" s="50"/>
    </row>
    <row r="12" spans="1:53" outlineLevel="1" x14ac:dyDescent="0.3">
      <c r="A12" s="19"/>
      <c r="B12" s="4"/>
      <c r="C12" s="4"/>
      <c r="D12" s="65"/>
      <c r="E12" s="65"/>
      <c r="F12" s="64"/>
      <c r="G12" s="64"/>
      <c r="H12" s="65"/>
      <c r="I12" s="65"/>
      <c r="J12" s="65"/>
      <c r="K12" s="65"/>
      <c r="L12" s="65"/>
      <c r="M12" s="3"/>
      <c r="N12" s="9"/>
      <c r="O12" s="3"/>
      <c r="P12" s="3"/>
      <c r="Q12" s="9"/>
      <c r="R12" s="65"/>
      <c r="S12" s="65"/>
      <c r="T12" s="12"/>
      <c r="U12" s="68"/>
      <c r="V12" s="65"/>
      <c r="W12" s="50"/>
      <c r="X12" s="72"/>
      <c r="Y12" s="65"/>
      <c r="Z12" s="9"/>
      <c r="AA12" s="64"/>
      <c r="AB12" s="65"/>
      <c r="AC12" s="9"/>
      <c r="AD12" s="64"/>
      <c r="AE12" s="65"/>
      <c r="AF12" s="9"/>
      <c r="AG12" s="65"/>
      <c r="AH12" s="65"/>
      <c r="AI12" s="9"/>
      <c r="AJ12" s="65"/>
      <c r="AK12" s="65"/>
      <c r="AL12" s="9"/>
      <c r="AM12" s="65"/>
      <c r="AN12" s="65"/>
      <c r="AO12" s="9"/>
      <c r="AP12" s="64"/>
      <c r="AQ12" s="65"/>
      <c r="AR12" s="9"/>
      <c r="AS12" s="65"/>
      <c r="AT12" s="65"/>
      <c r="AU12" s="12"/>
      <c r="AV12" s="68"/>
      <c r="AW12" s="65"/>
      <c r="AX12" s="12"/>
      <c r="AY12" s="75"/>
      <c r="AZ12" s="65"/>
      <c r="BA12" s="50"/>
    </row>
    <row r="13" spans="1:53" outlineLevel="1" x14ac:dyDescent="0.3">
      <c r="A13" s="19"/>
      <c r="B13" s="4"/>
      <c r="C13" s="4"/>
      <c r="D13" s="65"/>
      <c r="E13" s="65"/>
      <c r="F13" s="64"/>
      <c r="G13" s="64"/>
      <c r="H13" s="65"/>
      <c r="I13" s="65"/>
      <c r="J13" s="65"/>
      <c r="K13" s="65"/>
      <c r="L13" s="65"/>
      <c r="M13" s="3"/>
      <c r="N13" s="9"/>
      <c r="O13" s="3"/>
      <c r="P13" s="3"/>
      <c r="Q13" s="9"/>
      <c r="R13" s="65"/>
      <c r="S13" s="65"/>
      <c r="T13" s="12"/>
      <c r="U13" s="68"/>
      <c r="V13" s="65"/>
      <c r="W13" s="50"/>
      <c r="X13" s="72"/>
      <c r="Y13" s="65"/>
      <c r="Z13" s="9"/>
      <c r="AA13" s="64"/>
      <c r="AB13" s="65"/>
      <c r="AC13" s="9"/>
      <c r="AD13" s="64"/>
      <c r="AE13" s="65"/>
      <c r="AF13" s="9"/>
      <c r="AG13" s="65"/>
      <c r="AH13" s="65"/>
      <c r="AI13" s="9"/>
      <c r="AJ13" s="65"/>
      <c r="AK13" s="65"/>
      <c r="AL13" s="9"/>
      <c r="AM13" s="65"/>
      <c r="AN13" s="65"/>
      <c r="AO13" s="9"/>
      <c r="AP13" s="64"/>
      <c r="AQ13" s="65"/>
      <c r="AR13" s="9"/>
      <c r="AS13" s="65"/>
      <c r="AT13" s="65"/>
      <c r="AU13" s="12"/>
      <c r="AV13" s="68"/>
      <c r="AW13" s="65"/>
      <c r="AX13" s="12"/>
      <c r="AY13" s="75"/>
      <c r="AZ13" s="65"/>
      <c r="BA13" s="50"/>
    </row>
    <row r="14" spans="1:53" outlineLevel="1" x14ac:dyDescent="0.3">
      <c r="A14" s="19"/>
      <c r="B14" s="4"/>
      <c r="C14" s="4"/>
      <c r="D14" s="65"/>
      <c r="E14" s="65"/>
      <c r="F14" s="64"/>
      <c r="G14" s="64"/>
      <c r="H14" s="65"/>
      <c r="I14" s="65"/>
      <c r="J14" s="65"/>
      <c r="K14" s="65"/>
      <c r="L14" s="65"/>
      <c r="M14" s="3"/>
      <c r="N14" s="9"/>
      <c r="O14" s="3"/>
      <c r="P14" s="3"/>
      <c r="Q14" s="9"/>
      <c r="R14" s="65"/>
      <c r="S14" s="65"/>
      <c r="T14" s="12"/>
      <c r="U14" s="68"/>
      <c r="V14" s="65"/>
      <c r="W14" s="50"/>
      <c r="X14" s="72"/>
      <c r="Y14" s="65"/>
      <c r="Z14" s="9"/>
      <c r="AA14" s="64"/>
      <c r="AB14" s="65"/>
      <c r="AC14" s="9"/>
      <c r="AD14" s="64"/>
      <c r="AE14" s="65"/>
      <c r="AF14" s="9"/>
      <c r="AG14" s="65"/>
      <c r="AH14" s="65"/>
      <c r="AI14" s="9"/>
      <c r="AJ14" s="65"/>
      <c r="AK14" s="65"/>
      <c r="AL14" s="9"/>
      <c r="AM14" s="65"/>
      <c r="AN14" s="65"/>
      <c r="AO14" s="9"/>
      <c r="AP14" s="64"/>
      <c r="AQ14" s="65"/>
      <c r="AR14" s="9"/>
      <c r="AS14" s="65"/>
      <c r="AT14" s="65"/>
      <c r="AU14" s="12"/>
      <c r="AV14" s="68"/>
      <c r="AW14" s="65"/>
      <c r="AX14" s="12"/>
      <c r="AY14" s="75"/>
      <c r="AZ14" s="65"/>
      <c r="BA14" s="50"/>
    </row>
    <row r="15" spans="1:53" outlineLevel="1" x14ac:dyDescent="0.3">
      <c r="A15" s="19"/>
      <c r="B15" s="4"/>
      <c r="C15" s="4"/>
      <c r="D15" s="65"/>
      <c r="E15" s="65"/>
      <c r="F15" s="64"/>
      <c r="G15" s="64"/>
      <c r="H15" s="65"/>
      <c r="I15" s="65"/>
      <c r="J15" s="65"/>
      <c r="K15" s="65"/>
      <c r="L15" s="65"/>
      <c r="M15" s="3"/>
      <c r="N15" s="9"/>
      <c r="O15" s="3"/>
      <c r="P15" s="3"/>
      <c r="Q15" s="9"/>
      <c r="R15" s="65"/>
      <c r="S15" s="65"/>
      <c r="T15" s="12"/>
      <c r="U15" s="68"/>
      <c r="V15" s="65"/>
      <c r="W15" s="50"/>
      <c r="X15" s="72"/>
      <c r="Y15" s="65"/>
      <c r="Z15" s="9"/>
      <c r="AA15" s="64"/>
      <c r="AB15" s="65"/>
      <c r="AC15" s="9"/>
      <c r="AD15" s="64"/>
      <c r="AE15" s="65"/>
      <c r="AF15" s="9"/>
      <c r="AG15" s="65"/>
      <c r="AH15" s="65"/>
      <c r="AI15" s="9"/>
      <c r="AJ15" s="65"/>
      <c r="AK15" s="65"/>
      <c r="AL15" s="9"/>
      <c r="AM15" s="65"/>
      <c r="AN15" s="65"/>
      <c r="AO15" s="9"/>
      <c r="AP15" s="64"/>
      <c r="AQ15" s="65"/>
      <c r="AR15" s="9"/>
      <c r="AS15" s="65"/>
      <c r="AT15" s="65"/>
      <c r="AU15" s="12"/>
      <c r="AV15" s="68"/>
      <c r="AW15" s="65"/>
      <c r="AX15" s="12"/>
      <c r="AY15" s="75"/>
      <c r="AZ15" s="65"/>
      <c r="BA15" s="50"/>
    </row>
    <row r="16" spans="1:53" outlineLevel="1" x14ac:dyDescent="0.3">
      <c r="A16" s="19"/>
      <c r="B16" s="4"/>
      <c r="C16" s="4"/>
      <c r="D16" s="65"/>
      <c r="E16" s="65"/>
      <c r="F16" s="64"/>
      <c r="G16" s="64"/>
      <c r="H16" s="65"/>
      <c r="I16" s="65"/>
      <c r="J16" s="65"/>
      <c r="K16" s="65"/>
      <c r="L16" s="65"/>
      <c r="M16" s="3"/>
      <c r="N16" s="9"/>
      <c r="O16" s="3"/>
      <c r="P16" s="3"/>
      <c r="Q16" s="9"/>
      <c r="R16" s="65"/>
      <c r="S16" s="65"/>
      <c r="T16" s="12"/>
      <c r="U16" s="68"/>
      <c r="V16" s="65"/>
      <c r="W16" s="50"/>
      <c r="X16" s="72"/>
      <c r="Y16" s="65"/>
      <c r="Z16" s="9"/>
      <c r="AA16" s="64"/>
      <c r="AB16" s="65"/>
      <c r="AC16" s="9"/>
      <c r="AD16" s="64"/>
      <c r="AE16" s="65"/>
      <c r="AF16" s="9"/>
      <c r="AG16" s="65"/>
      <c r="AH16" s="65"/>
      <c r="AI16" s="9"/>
      <c r="AJ16" s="65"/>
      <c r="AK16" s="65"/>
      <c r="AL16" s="9"/>
      <c r="AM16" s="65"/>
      <c r="AN16" s="65"/>
      <c r="AO16" s="9"/>
      <c r="AP16" s="64"/>
      <c r="AQ16" s="65"/>
      <c r="AR16" s="9"/>
      <c r="AS16" s="65"/>
      <c r="AT16" s="65"/>
      <c r="AU16" s="12"/>
      <c r="AV16" s="68"/>
      <c r="AW16" s="65"/>
      <c r="AX16" s="12"/>
      <c r="AY16" s="75"/>
      <c r="AZ16" s="65"/>
      <c r="BA16" s="50"/>
    </row>
    <row r="17" spans="1:53" outlineLevel="1" x14ac:dyDescent="0.3">
      <c r="A17" s="19"/>
      <c r="B17" s="4"/>
      <c r="C17" s="4"/>
      <c r="D17" s="65"/>
      <c r="E17" s="65"/>
      <c r="F17" s="64"/>
      <c r="G17" s="64"/>
      <c r="H17" s="65"/>
      <c r="I17" s="65"/>
      <c r="J17" s="65"/>
      <c r="K17" s="65"/>
      <c r="L17" s="65"/>
      <c r="M17" s="3"/>
      <c r="N17" s="9"/>
      <c r="O17" s="3"/>
      <c r="P17" s="3"/>
      <c r="Q17" s="9"/>
      <c r="R17" s="65"/>
      <c r="S17" s="65"/>
      <c r="T17" s="12"/>
      <c r="U17" s="68"/>
      <c r="V17" s="65"/>
      <c r="W17" s="50"/>
      <c r="X17" s="72"/>
      <c r="Y17" s="65"/>
      <c r="Z17" s="9"/>
      <c r="AA17" s="64"/>
      <c r="AB17" s="65"/>
      <c r="AC17" s="9"/>
      <c r="AD17" s="64"/>
      <c r="AE17" s="65"/>
      <c r="AF17" s="9"/>
      <c r="AG17" s="65"/>
      <c r="AH17" s="65"/>
      <c r="AI17" s="9"/>
      <c r="AJ17" s="65"/>
      <c r="AK17" s="65"/>
      <c r="AL17" s="9"/>
      <c r="AM17" s="65"/>
      <c r="AN17" s="65"/>
      <c r="AO17" s="9"/>
      <c r="AP17" s="64"/>
      <c r="AQ17" s="65"/>
      <c r="AR17" s="9"/>
      <c r="AS17" s="65"/>
      <c r="AT17" s="65"/>
      <c r="AU17" s="12"/>
      <c r="AV17" s="68"/>
      <c r="AW17" s="65"/>
      <c r="AX17" s="12"/>
      <c r="AY17" s="75"/>
      <c r="AZ17" s="65"/>
      <c r="BA17" s="50"/>
    </row>
    <row r="18" spans="1:53" outlineLevel="1" x14ac:dyDescent="0.3">
      <c r="A18" s="19"/>
      <c r="B18" s="4"/>
      <c r="C18" s="4"/>
      <c r="D18" s="65"/>
      <c r="E18" s="65"/>
      <c r="F18" s="64"/>
      <c r="G18" s="64"/>
      <c r="H18" s="65"/>
      <c r="I18" s="65"/>
      <c r="J18" s="65"/>
      <c r="K18" s="65"/>
      <c r="L18" s="65"/>
      <c r="M18" s="3"/>
      <c r="N18" s="9"/>
      <c r="O18" s="3"/>
      <c r="P18" s="3"/>
      <c r="Q18" s="9"/>
      <c r="R18" s="65"/>
      <c r="S18" s="65"/>
      <c r="T18" s="12"/>
      <c r="U18" s="68"/>
      <c r="V18" s="65"/>
      <c r="W18" s="50"/>
      <c r="X18" s="72"/>
      <c r="Y18" s="65"/>
      <c r="Z18" s="9"/>
      <c r="AA18" s="64"/>
      <c r="AB18" s="65"/>
      <c r="AC18" s="9"/>
      <c r="AD18" s="64"/>
      <c r="AE18" s="65"/>
      <c r="AF18" s="9"/>
      <c r="AG18" s="65"/>
      <c r="AH18" s="65"/>
      <c r="AI18" s="9"/>
      <c r="AJ18" s="65"/>
      <c r="AK18" s="65"/>
      <c r="AL18" s="9"/>
      <c r="AM18" s="65"/>
      <c r="AN18" s="65"/>
      <c r="AO18" s="9"/>
      <c r="AP18" s="64"/>
      <c r="AQ18" s="65"/>
      <c r="AR18" s="9"/>
      <c r="AS18" s="65"/>
      <c r="AT18" s="65"/>
      <c r="AU18" s="12"/>
      <c r="AV18" s="68"/>
      <c r="AW18" s="65"/>
      <c r="AX18" s="12"/>
      <c r="AY18" s="75"/>
      <c r="AZ18" s="65"/>
      <c r="BA18" s="50"/>
    </row>
    <row r="19" spans="1:53" outlineLevel="1" x14ac:dyDescent="0.3">
      <c r="A19" s="19"/>
      <c r="B19" s="4"/>
      <c r="C19" s="4"/>
      <c r="D19" s="65"/>
      <c r="E19" s="65"/>
      <c r="F19" s="64"/>
      <c r="G19" s="64"/>
      <c r="H19" s="65"/>
      <c r="I19" s="65"/>
      <c r="J19" s="65"/>
      <c r="K19" s="65"/>
      <c r="L19" s="65"/>
      <c r="M19" s="3"/>
      <c r="N19" s="9"/>
      <c r="O19" s="3"/>
      <c r="P19" s="3"/>
      <c r="Q19" s="9"/>
      <c r="R19" s="65"/>
      <c r="S19" s="65"/>
      <c r="T19" s="12"/>
      <c r="U19" s="68"/>
      <c r="V19" s="65"/>
      <c r="W19" s="50"/>
      <c r="X19" s="72"/>
      <c r="Y19" s="65"/>
      <c r="Z19" s="9"/>
      <c r="AA19" s="64"/>
      <c r="AB19" s="65"/>
      <c r="AC19" s="9"/>
      <c r="AD19" s="64"/>
      <c r="AE19" s="65"/>
      <c r="AF19" s="9"/>
      <c r="AG19" s="65"/>
      <c r="AH19" s="65"/>
      <c r="AI19" s="9"/>
      <c r="AJ19" s="65"/>
      <c r="AK19" s="65"/>
      <c r="AL19" s="9"/>
      <c r="AM19" s="65"/>
      <c r="AN19" s="65"/>
      <c r="AO19" s="9"/>
      <c r="AP19" s="64"/>
      <c r="AQ19" s="65"/>
      <c r="AR19" s="9"/>
      <c r="AS19" s="65"/>
      <c r="AT19" s="65"/>
      <c r="AU19" s="12"/>
      <c r="AV19" s="68"/>
      <c r="AW19" s="65"/>
      <c r="AX19" s="12"/>
      <c r="AY19" s="75"/>
      <c r="AZ19" s="65"/>
      <c r="BA19" s="50"/>
    </row>
    <row r="20" spans="1:53" outlineLevel="1" x14ac:dyDescent="0.3">
      <c r="A20" s="19"/>
      <c r="B20" s="4"/>
      <c r="C20" s="4"/>
      <c r="D20" s="65"/>
      <c r="E20" s="65"/>
      <c r="F20" s="64"/>
      <c r="G20" s="64"/>
      <c r="H20" s="65"/>
      <c r="I20" s="65"/>
      <c r="J20" s="65"/>
      <c r="K20" s="65"/>
      <c r="L20" s="65"/>
      <c r="M20" s="3"/>
      <c r="N20" s="9"/>
      <c r="O20" s="3"/>
      <c r="P20" s="3"/>
      <c r="Q20" s="9"/>
      <c r="R20" s="65"/>
      <c r="S20" s="65"/>
      <c r="T20" s="12"/>
      <c r="U20" s="68"/>
      <c r="V20" s="65"/>
      <c r="W20" s="50"/>
      <c r="X20" s="72"/>
      <c r="Y20" s="65"/>
      <c r="Z20" s="9"/>
      <c r="AA20" s="64"/>
      <c r="AB20" s="65"/>
      <c r="AC20" s="9"/>
      <c r="AD20" s="64"/>
      <c r="AE20" s="65"/>
      <c r="AF20" s="9"/>
      <c r="AG20" s="65"/>
      <c r="AH20" s="65"/>
      <c r="AI20" s="9"/>
      <c r="AJ20" s="65"/>
      <c r="AK20" s="65"/>
      <c r="AL20" s="9"/>
      <c r="AM20" s="65"/>
      <c r="AN20" s="65"/>
      <c r="AO20" s="9"/>
      <c r="AP20" s="64"/>
      <c r="AQ20" s="65"/>
      <c r="AR20" s="9"/>
      <c r="AS20" s="65"/>
      <c r="AT20" s="65"/>
      <c r="AU20" s="12"/>
      <c r="AV20" s="68"/>
      <c r="AW20" s="65"/>
      <c r="AX20" s="12"/>
      <c r="AY20" s="75"/>
      <c r="AZ20" s="65"/>
      <c r="BA20" s="50"/>
    </row>
    <row r="21" spans="1:53" outlineLevel="1" x14ac:dyDescent="0.3">
      <c r="A21" s="19"/>
      <c r="B21" s="4"/>
      <c r="C21" s="4"/>
      <c r="D21" s="65"/>
      <c r="E21" s="65"/>
      <c r="F21" s="64"/>
      <c r="G21" s="64"/>
      <c r="H21" s="65"/>
      <c r="I21" s="65"/>
      <c r="J21" s="65"/>
      <c r="K21" s="65"/>
      <c r="L21" s="65"/>
      <c r="M21" s="3"/>
      <c r="N21" s="9"/>
      <c r="O21" s="3"/>
      <c r="P21" s="3"/>
      <c r="Q21" s="9"/>
      <c r="R21" s="65"/>
      <c r="S21" s="65"/>
      <c r="T21" s="12"/>
      <c r="U21" s="68"/>
      <c r="V21" s="65"/>
      <c r="W21" s="50"/>
      <c r="X21" s="72"/>
      <c r="Y21" s="65"/>
      <c r="Z21" s="9"/>
      <c r="AA21" s="64"/>
      <c r="AB21" s="65"/>
      <c r="AC21" s="9"/>
      <c r="AD21" s="64"/>
      <c r="AE21" s="65"/>
      <c r="AF21" s="9"/>
      <c r="AG21" s="65"/>
      <c r="AH21" s="65"/>
      <c r="AI21" s="9"/>
      <c r="AJ21" s="65"/>
      <c r="AK21" s="65"/>
      <c r="AL21" s="9"/>
      <c r="AM21" s="65"/>
      <c r="AN21" s="65"/>
      <c r="AO21" s="9"/>
      <c r="AP21" s="64"/>
      <c r="AQ21" s="65"/>
      <c r="AR21" s="9"/>
      <c r="AS21" s="65"/>
      <c r="AT21" s="65"/>
      <c r="AU21" s="12"/>
      <c r="AV21" s="68"/>
      <c r="AW21" s="65"/>
      <c r="AX21" s="12"/>
      <c r="AY21" s="75"/>
      <c r="AZ21" s="65"/>
      <c r="BA21" s="50"/>
    </row>
    <row r="22" spans="1:53" outlineLevel="1" x14ac:dyDescent="0.3">
      <c r="A22" s="19"/>
      <c r="B22" s="4"/>
      <c r="C22" s="4"/>
      <c r="D22" s="65"/>
      <c r="E22" s="65"/>
      <c r="F22" s="64"/>
      <c r="G22" s="64"/>
      <c r="H22" s="65"/>
      <c r="I22" s="65"/>
      <c r="J22" s="65"/>
      <c r="K22" s="65"/>
      <c r="L22" s="65"/>
      <c r="M22" s="3"/>
      <c r="N22" s="9"/>
      <c r="O22" s="3"/>
      <c r="P22" s="3"/>
      <c r="Q22" s="9"/>
      <c r="R22" s="65"/>
      <c r="S22" s="65"/>
      <c r="T22" s="12"/>
      <c r="U22" s="68"/>
      <c r="V22" s="65"/>
      <c r="W22" s="50"/>
      <c r="X22" s="72"/>
      <c r="Y22" s="65"/>
      <c r="Z22" s="9"/>
      <c r="AA22" s="64"/>
      <c r="AB22" s="65"/>
      <c r="AC22" s="9"/>
      <c r="AD22" s="64"/>
      <c r="AE22" s="65"/>
      <c r="AF22" s="9"/>
      <c r="AG22" s="65"/>
      <c r="AH22" s="65"/>
      <c r="AI22" s="9"/>
      <c r="AJ22" s="65"/>
      <c r="AK22" s="65"/>
      <c r="AL22" s="9"/>
      <c r="AM22" s="65"/>
      <c r="AN22" s="65"/>
      <c r="AO22" s="9"/>
      <c r="AP22" s="64"/>
      <c r="AQ22" s="65"/>
      <c r="AR22" s="9"/>
      <c r="AS22" s="65"/>
      <c r="AT22" s="65"/>
      <c r="AU22" s="12"/>
      <c r="AV22" s="68"/>
      <c r="AW22" s="65"/>
      <c r="AX22" s="12"/>
      <c r="AY22" s="75"/>
      <c r="AZ22" s="65"/>
      <c r="BA22" s="50"/>
    </row>
    <row r="23" spans="1:53" outlineLevel="1" x14ac:dyDescent="0.3">
      <c r="A23" s="19"/>
      <c r="B23" s="4"/>
      <c r="C23" s="4"/>
      <c r="D23" s="65"/>
      <c r="E23" s="65"/>
      <c r="F23" s="64"/>
      <c r="G23" s="64"/>
      <c r="H23" s="65"/>
      <c r="I23" s="65"/>
      <c r="J23" s="65"/>
      <c r="K23" s="65"/>
      <c r="L23" s="65"/>
      <c r="M23" s="3"/>
      <c r="N23" s="9"/>
      <c r="O23" s="3"/>
      <c r="P23" s="3"/>
      <c r="Q23" s="9"/>
      <c r="R23" s="65"/>
      <c r="S23" s="65"/>
      <c r="T23" s="12"/>
      <c r="U23" s="68"/>
      <c r="V23" s="65"/>
      <c r="W23" s="50"/>
      <c r="X23" s="72"/>
      <c r="Y23" s="65"/>
      <c r="Z23" s="9"/>
      <c r="AA23" s="64"/>
      <c r="AB23" s="65"/>
      <c r="AC23" s="9"/>
      <c r="AD23" s="64"/>
      <c r="AE23" s="65"/>
      <c r="AF23" s="9"/>
      <c r="AG23" s="65"/>
      <c r="AH23" s="65"/>
      <c r="AI23" s="9"/>
      <c r="AJ23" s="65"/>
      <c r="AK23" s="65"/>
      <c r="AL23" s="9"/>
      <c r="AM23" s="65"/>
      <c r="AN23" s="65"/>
      <c r="AO23" s="9"/>
      <c r="AP23" s="64"/>
      <c r="AQ23" s="65"/>
      <c r="AR23" s="9"/>
      <c r="AS23" s="65"/>
      <c r="AT23" s="65"/>
      <c r="AU23" s="12"/>
      <c r="AV23" s="68"/>
      <c r="AW23" s="65"/>
      <c r="AX23" s="12"/>
      <c r="AY23" s="75"/>
      <c r="AZ23" s="65"/>
      <c r="BA23" s="50"/>
    </row>
    <row r="24" spans="1:53" outlineLevel="1" x14ac:dyDescent="0.3">
      <c r="A24" s="19"/>
      <c r="B24" s="4"/>
      <c r="C24" s="4"/>
      <c r="D24" s="65"/>
      <c r="E24" s="65"/>
      <c r="F24" s="64"/>
      <c r="G24" s="64"/>
      <c r="H24" s="65"/>
      <c r="I24" s="65"/>
      <c r="J24" s="65"/>
      <c r="K24" s="65"/>
      <c r="L24" s="65"/>
      <c r="M24" s="3"/>
      <c r="N24" s="9"/>
      <c r="O24" s="3"/>
      <c r="P24" s="3"/>
      <c r="Q24" s="9"/>
      <c r="R24" s="65"/>
      <c r="S24" s="65"/>
      <c r="T24" s="12"/>
      <c r="U24" s="68"/>
      <c r="V24" s="65"/>
      <c r="W24" s="50"/>
      <c r="X24" s="72"/>
      <c r="Y24" s="65"/>
      <c r="Z24" s="9"/>
      <c r="AA24" s="64"/>
      <c r="AB24" s="65"/>
      <c r="AC24" s="9"/>
      <c r="AD24" s="64"/>
      <c r="AE24" s="65"/>
      <c r="AF24" s="9"/>
      <c r="AG24" s="65"/>
      <c r="AH24" s="65"/>
      <c r="AI24" s="9"/>
      <c r="AJ24" s="65"/>
      <c r="AK24" s="65"/>
      <c r="AL24" s="9"/>
      <c r="AM24" s="65"/>
      <c r="AN24" s="65"/>
      <c r="AO24" s="9"/>
      <c r="AP24" s="64"/>
      <c r="AQ24" s="65"/>
      <c r="AR24" s="9"/>
      <c r="AS24" s="65"/>
      <c r="AT24" s="65"/>
      <c r="AU24" s="12"/>
      <c r="AV24" s="68"/>
      <c r="AW24" s="65"/>
      <c r="AX24" s="12"/>
      <c r="AY24" s="75"/>
      <c r="AZ24" s="65"/>
      <c r="BA24" s="50"/>
    </row>
    <row r="25" spans="1:53" outlineLevel="1" x14ac:dyDescent="0.3">
      <c r="A25" s="19"/>
      <c r="B25" s="4"/>
      <c r="C25" s="4"/>
      <c r="D25" s="65"/>
      <c r="E25" s="65"/>
      <c r="F25" s="64"/>
      <c r="G25" s="64"/>
      <c r="H25" s="65"/>
      <c r="I25" s="65"/>
      <c r="J25" s="65"/>
      <c r="K25" s="65"/>
      <c r="L25" s="65"/>
      <c r="M25" s="3"/>
      <c r="N25" s="9"/>
      <c r="O25" s="3"/>
      <c r="P25" s="3"/>
      <c r="Q25" s="9"/>
      <c r="R25" s="65"/>
      <c r="S25" s="65"/>
      <c r="T25" s="12"/>
      <c r="U25" s="68"/>
      <c r="V25" s="65"/>
      <c r="W25" s="50"/>
      <c r="X25" s="72"/>
      <c r="Y25" s="65"/>
      <c r="Z25" s="9"/>
      <c r="AA25" s="64"/>
      <c r="AB25" s="65"/>
      <c r="AC25" s="9"/>
      <c r="AD25" s="64"/>
      <c r="AE25" s="65"/>
      <c r="AF25" s="9"/>
      <c r="AG25" s="65"/>
      <c r="AH25" s="65"/>
      <c r="AI25" s="9"/>
      <c r="AJ25" s="65"/>
      <c r="AK25" s="65"/>
      <c r="AL25" s="9"/>
      <c r="AM25" s="65"/>
      <c r="AN25" s="65"/>
      <c r="AO25" s="9"/>
      <c r="AP25" s="64"/>
      <c r="AQ25" s="65"/>
      <c r="AR25" s="9"/>
      <c r="AS25" s="65"/>
      <c r="AT25" s="65"/>
      <c r="AU25" s="12"/>
      <c r="AV25" s="68"/>
      <c r="AW25" s="65"/>
      <c r="AX25" s="12"/>
      <c r="AY25" s="75"/>
      <c r="AZ25" s="65"/>
      <c r="BA25" s="50"/>
    </row>
    <row r="26" spans="1:53" outlineLevel="1" x14ac:dyDescent="0.3">
      <c r="A26" s="19"/>
      <c r="B26" s="4"/>
      <c r="C26" s="4"/>
      <c r="D26" s="65"/>
      <c r="E26" s="65"/>
      <c r="F26" s="64"/>
      <c r="G26" s="64"/>
      <c r="H26" s="65"/>
      <c r="I26" s="65"/>
      <c r="J26" s="65"/>
      <c r="K26" s="65"/>
      <c r="L26" s="65"/>
      <c r="M26" s="3"/>
      <c r="N26" s="9"/>
      <c r="O26" s="3"/>
      <c r="P26" s="3"/>
      <c r="Q26" s="9"/>
      <c r="R26" s="65"/>
      <c r="S26" s="65"/>
      <c r="T26" s="12"/>
      <c r="U26" s="68"/>
      <c r="V26" s="65"/>
      <c r="W26" s="50"/>
      <c r="X26" s="72"/>
      <c r="Y26" s="65"/>
      <c r="Z26" s="9"/>
      <c r="AA26" s="64"/>
      <c r="AB26" s="65"/>
      <c r="AC26" s="9"/>
      <c r="AD26" s="64"/>
      <c r="AE26" s="65"/>
      <c r="AF26" s="9"/>
      <c r="AG26" s="65"/>
      <c r="AH26" s="65"/>
      <c r="AI26" s="9"/>
      <c r="AJ26" s="65"/>
      <c r="AK26" s="65"/>
      <c r="AL26" s="9"/>
      <c r="AM26" s="65"/>
      <c r="AN26" s="65"/>
      <c r="AO26" s="9"/>
      <c r="AP26" s="64"/>
      <c r="AQ26" s="65"/>
      <c r="AR26" s="9"/>
      <c r="AS26" s="65"/>
      <c r="AT26" s="65"/>
      <c r="AU26" s="12"/>
      <c r="AV26" s="68"/>
      <c r="AW26" s="65"/>
      <c r="AX26" s="12"/>
      <c r="AY26" s="75"/>
      <c r="AZ26" s="65"/>
      <c r="BA26" s="50"/>
    </row>
    <row r="27" spans="1:53" outlineLevel="1" x14ac:dyDescent="0.3">
      <c r="A27" s="19"/>
      <c r="B27" s="4"/>
      <c r="C27" s="4"/>
      <c r="D27" s="65"/>
      <c r="E27" s="65"/>
      <c r="F27" s="64"/>
      <c r="G27" s="64"/>
      <c r="H27" s="65"/>
      <c r="I27" s="65"/>
      <c r="J27" s="65"/>
      <c r="K27" s="65"/>
      <c r="L27" s="65"/>
      <c r="M27" s="3"/>
      <c r="N27" s="9"/>
      <c r="O27" s="3"/>
      <c r="P27" s="3"/>
      <c r="Q27" s="9"/>
      <c r="R27" s="65"/>
      <c r="S27" s="65"/>
      <c r="T27" s="12"/>
      <c r="U27" s="68"/>
      <c r="V27" s="65"/>
      <c r="W27" s="50"/>
      <c r="X27" s="72"/>
      <c r="Y27" s="65"/>
      <c r="Z27" s="9"/>
      <c r="AA27" s="64"/>
      <c r="AB27" s="65"/>
      <c r="AC27" s="9"/>
      <c r="AD27" s="64"/>
      <c r="AE27" s="65"/>
      <c r="AF27" s="9"/>
      <c r="AG27" s="65"/>
      <c r="AH27" s="65"/>
      <c r="AI27" s="9"/>
      <c r="AJ27" s="65"/>
      <c r="AK27" s="65"/>
      <c r="AL27" s="9"/>
      <c r="AM27" s="65"/>
      <c r="AN27" s="65"/>
      <c r="AO27" s="9"/>
      <c r="AP27" s="64"/>
      <c r="AQ27" s="65"/>
      <c r="AR27" s="9"/>
      <c r="AS27" s="65"/>
      <c r="AT27" s="65"/>
      <c r="AU27" s="12"/>
      <c r="AV27" s="68"/>
      <c r="AW27" s="65"/>
      <c r="AX27" s="12"/>
      <c r="AY27" s="75"/>
      <c r="AZ27" s="65"/>
      <c r="BA27" s="50"/>
    </row>
    <row r="28" spans="1:53" outlineLevel="1" x14ac:dyDescent="0.3">
      <c r="A28" s="19"/>
      <c r="B28" s="4"/>
      <c r="C28" s="4"/>
      <c r="D28" s="65"/>
      <c r="E28" s="65"/>
      <c r="F28" s="64"/>
      <c r="G28" s="64"/>
      <c r="H28" s="65"/>
      <c r="I28" s="65"/>
      <c r="J28" s="65"/>
      <c r="K28" s="65"/>
      <c r="L28" s="65"/>
      <c r="M28" s="3"/>
      <c r="N28" s="9"/>
      <c r="O28" s="3"/>
      <c r="P28" s="3"/>
      <c r="Q28" s="9"/>
      <c r="R28" s="65"/>
      <c r="S28" s="65"/>
      <c r="T28" s="12"/>
      <c r="U28" s="68"/>
      <c r="V28" s="65"/>
      <c r="W28" s="50"/>
      <c r="X28" s="72"/>
      <c r="Y28" s="65"/>
      <c r="Z28" s="9"/>
      <c r="AA28" s="64"/>
      <c r="AB28" s="65"/>
      <c r="AC28" s="9"/>
      <c r="AD28" s="64"/>
      <c r="AE28" s="65"/>
      <c r="AF28" s="9"/>
      <c r="AG28" s="65"/>
      <c r="AH28" s="65"/>
      <c r="AI28" s="9"/>
      <c r="AJ28" s="65"/>
      <c r="AK28" s="65"/>
      <c r="AL28" s="9"/>
      <c r="AM28" s="65"/>
      <c r="AN28" s="65"/>
      <c r="AO28" s="9"/>
      <c r="AP28" s="64"/>
      <c r="AQ28" s="65"/>
      <c r="AR28" s="9"/>
      <c r="AS28" s="65"/>
      <c r="AT28" s="65"/>
      <c r="AU28" s="12"/>
      <c r="AV28" s="68"/>
      <c r="AW28" s="65"/>
      <c r="AX28" s="12"/>
      <c r="AY28" s="75"/>
      <c r="AZ28" s="65"/>
      <c r="BA28" s="50"/>
    </row>
    <row r="29" spans="1:53" outlineLevel="1" x14ac:dyDescent="0.3">
      <c r="A29" s="19"/>
      <c r="B29" s="4"/>
      <c r="C29" s="4"/>
      <c r="D29" s="65"/>
      <c r="E29" s="65"/>
      <c r="F29" s="64"/>
      <c r="G29" s="64"/>
      <c r="H29" s="65"/>
      <c r="I29" s="65"/>
      <c r="J29" s="65"/>
      <c r="K29" s="65"/>
      <c r="L29" s="65"/>
      <c r="M29" s="3"/>
      <c r="N29" s="9"/>
      <c r="O29" s="3"/>
      <c r="P29" s="3"/>
      <c r="Q29" s="9"/>
      <c r="R29" s="65"/>
      <c r="S29" s="65"/>
      <c r="T29" s="12"/>
      <c r="U29" s="68"/>
      <c r="V29" s="65"/>
      <c r="W29" s="50"/>
      <c r="X29" s="72"/>
      <c r="Y29" s="65"/>
      <c r="Z29" s="9"/>
      <c r="AA29" s="64"/>
      <c r="AB29" s="65"/>
      <c r="AC29" s="9"/>
      <c r="AD29" s="64"/>
      <c r="AE29" s="65"/>
      <c r="AF29" s="9"/>
      <c r="AG29" s="65"/>
      <c r="AH29" s="65"/>
      <c r="AI29" s="9"/>
      <c r="AJ29" s="65"/>
      <c r="AK29" s="65"/>
      <c r="AL29" s="9"/>
      <c r="AM29" s="65"/>
      <c r="AN29" s="65"/>
      <c r="AO29" s="9"/>
      <c r="AP29" s="64"/>
      <c r="AQ29" s="65"/>
      <c r="AR29" s="9"/>
      <c r="AS29" s="65"/>
      <c r="AT29" s="65"/>
      <c r="AU29" s="12"/>
      <c r="AV29" s="68"/>
      <c r="AW29" s="65"/>
      <c r="AX29" s="12"/>
      <c r="AY29" s="75"/>
      <c r="AZ29" s="65"/>
      <c r="BA29" s="50"/>
    </row>
    <row r="30" spans="1:53" outlineLevel="1" x14ac:dyDescent="0.3">
      <c r="A30" s="19"/>
      <c r="B30" s="4"/>
      <c r="C30" s="4"/>
      <c r="D30" s="65"/>
      <c r="E30" s="65"/>
      <c r="F30" s="64"/>
      <c r="G30" s="64"/>
      <c r="H30" s="65"/>
      <c r="I30" s="65"/>
      <c r="J30" s="65"/>
      <c r="K30" s="65"/>
      <c r="L30" s="65"/>
      <c r="M30" s="3"/>
      <c r="N30" s="9"/>
      <c r="O30" s="3"/>
      <c r="P30" s="3"/>
      <c r="Q30" s="9"/>
      <c r="R30" s="65"/>
      <c r="S30" s="65"/>
      <c r="T30" s="12"/>
      <c r="U30" s="68"/>
      <c r="V30" s="65"/>
      <c r="W30" s="50"/>
      <c r="X30" s="72"/>
      <c r="Y30" s="65"/>
      <c r="Z30" s="9"/>
      <c r="AA30" s="64"/>
      <c r="AB30" s="65"/>
      <c r="AC30" s="9"/>
      <c r="AD30" s="64"/>
      <c r="AE30" s="65"/>
      <c r="AF30" s="9"/>
      <c r="AG30" s="65"/>
      <c r="AH30" s="65"/>
      <c r="AI30" s="9"/>
      <c r="AJ30" s="65"/>
      <c r="AK30" s="65"/>
      <c r="AL30" s="9"/>
      <c r="AM30" s="65"/>
      <c r="AN30" s="65"/>
      <c r="AO30" s="9"/>
      <c r="AP30" s="64"/>
      <c r="AQ30" s="65"/>
      <c r="AR30" s="9"/>
      <c r="AS30" s="65"/>
      <c r="AT30" s="65"/>
      <c r="AU30" s="12"/>
      <c r="AV30" s="68"/>
      <c r="AW30" s="65"/>
      <c r="AX30" s="12"/>
      <c r="AY30" s="75"/>
      <c r="AZ30" s="65"/>
      <c r="BA30" s="50"/>
    </row>
    <row r="31" spans="1:53" outlineLevel="1" x14ac:dyDescent="0.3">
      <c r="A31" s="19"/>
      <c r="B31" s="4"/>
      <c r="C31" s="4"/>
      <c r="D31" s="65"/>
      <c r="E31" s="65"/>
      <c r="F31" s="64"/>
      <c r="G31" s="64"/>
      <c r="H31" s="65"/>
      <c r="I31" s="65"/>
      <c r="J31" s="65"/>
      <c r="K31" s="65"/>
      <c r="L31" s="65"/>
      <c r="M31" s="3"/>
      <c r="N31" s="9"/>
      <c r="O31" s="3"/>
      <c r="P31" s="3"/>
      <c r="Q31" s="9"/>
      <c r="R31" s="65"/>
      <c r="S31" s="65"/>
      <c r="T31" s="12"/>
      <c r="U31" s="68"/>
      <c r="V31" s="65"/>
      <c r="W31" s="50"/>
      <c r="X31" s="72"/>
      <c r="Y31" s="65"/>
      <c r="Z31" s="9"/>
      <c r="AA31" s="64"/>
      <c r="AB31" s="65"/>
      <c r="AC31" s="9"/>
      <c r="AD31" s="64"/>
      <c r="AE31" s="65"/>
      <c r="AF31" s="9"/>
      <c r="AG31" s="65"/>
      <c r="AH31" s="65"/>
      <c r="AI31" s="9"/>
      <c r="AJ31" s="65"/>
      <c r="AK31" s="65"/>
      <c r="AL31" s="9"/>
      <c r="AM31" s="65"/>
      <c r="AN31" s="65"/>
      <c r="AO31" s="9"/>
      <c r="AP31" s="64"/>
      <c r="AQ31" s="65"/>
      <c r="AR31" s="9"/>
      <c r="AS31" s="65"/>
      <c r="AT31" s="65"/>
      <c r="AU31" s="12"/>
      <c r="AV31" s="68"/>
      <c r="AW31" s="65"/>
      <c r="AX31" s="12"/>
      <c r="AY31" s="75"/>
      <c r="AZ31" s="65"/>
      <c r="BA31" s="50"/>
    </row>
    <row r="32" spans="1:53" outlineLevel="1" x14ac:dyDescent="0.3">
      <c r="A32" s="19"/>
      <c r="B32" s="4"/>
      <c r="C32" s="4"/>
      <c r="D32" s="65"/>
      <c r="E32" s="65"/>
      <c r="F32" s="64"/>
      <c r="G32" s="64"/>
      <c r="H32" s="65"/>
      <c r="I32" s="65"/>
      <c r="J32" s="65"/>
      <c r="K32" s="65"/>
      <c r="L32" s="65"/>
      <c r="M32" s="3"/>
      <c r="N32" s="9"/>
      <c r="O32" s="3"/>
      <c r="P32" s="3"/>
      <c r="Q32" s="9"/>
      <c r="R32" s="65"/>
      <c r="S32" s="65"/>
      <c r="T32" s="12"/>
      <c r="U32" s="68"/>
      <c r="V32" s="65"/>
      <c r="W32" s="50"/>
      <c r="X32" s="72"/>
      <c r="Y32" s="65"/>
      <c r="Z32" s="9"/>
      <c r="AA32" s="64"/>
      <c r="AB32" s="65"/>
      <c r="AC32" s="9"/>
      <c r="AD32" s="64"/>
      <c r="AE32" s="65"/>
      <c r="AF32" s="9"/>
      <c r="AG32" s="65"/>
      <c r="AH32" s="65"/>
      <c r="AI32" s="9"/>
      <c r="AJ32" s="65"/>
      <c r="AK32" s="65"/>
      <c r="AL32" s="9"/>
      <c r="AM32" s="65"/>
      <c r="AN32" s="65"/>
      <c r="AO32" s="9"/>
      <c r="AP32" s="64"/>
      <c r="AQ32" s="65"/>
      <c r="AR32" s="9"/>
      <c r="AS32" s="65"/>
      <c r="AT32" s="65"/>
      <c r="AU32" s="12"/>
      <c r="AV32" s="68"/>
      <c r="AW32" s="65"/>
      <c r="AX32" s="12"/>
      <c r="AY32" s="75"/>
      <c r="AZ32" s="65"/>
      <c r="BA32" s="50"/>
    </row>
    <row r="33" spans="1:53" outlineLevel="1" x14ac:dyDescent="0.3">
      <c r="A33" s="19"/>
      <c r="B33" s="4"/>
      <c r="C33" s="4"/>
      <c r="D33" s="65"/>
      <c r="E33" s="65"/>
      <c r="F33" s="64"/>
      <c r="G33" s="64"/>
      <c r="H33" s="65"/>
      <c r="I33" s="65"/>
      <c r="J33" s="65"/>
      <c r="K33" s="65"/>
      <c r="L33" s="65"/>
      <c r="M33" s="3"/>
      <c r="N33" s="9"/>
      <c r="O33" s="3"/>
      <c r="P33" s="3"/>
      <c r="Q33" s="9"/>
      <c r="R33" s="65"/>
      <c r="S33" s="65"/>
      <c r="T33" s="12"/>
      <c r="U33" s="68"/>
      <c r="V33" s="65"/>
      <c r="W33" s="50"/>
      <c r="X33" s="72"/>
      <c r="Y33" s="65"/>
      <c r="Z33" s="9"/>
      <c r="AA33" s="64"/>
      <c r="AB33" s="65"/>
      <c r="AC33" s="9"/>
      <c r="AD33" s="64"/>
      <c r="AE33" s="65"/>
      <c r="AF33" s="9"/>
      <c r="AG33" s="65"/>
      <c r="AH33" s="65"/>
      <c r="AI33" s="9"/>
      <c r="AJ33" s="65"/>
      <c r="AK33" s="65"/>
      <c r="AL33" s="9"/>
      <c r="AM33" s="65"/>
      <c r="AN33" s="65"/>
      <c r="AO33" s="9"/>
      <c r="AP33" s="64"/>
      <c r="AQ33" s="65"/>
      <c r="AR33" s="9"/>
      <c r="AS33" s="65"/>
      <c r="AT33" s="65"/>
      <c r="AU33" s="12"/>
      <c r="AV33" s="68"/>
      <c r="AW33" s="65"/>
      <c r="AX33" s="12"/>
      <c r="AY33" s="75"/>
      <c r="AZ33" s="65"/>
      <c r="BA33" s="50"/>
    </row>
    <row r="34" spans="1:53" outlineLevel="1" x14ac:dyDescent="0.3">
      <c r="A34" s="19"/>
      <c r="B34" s="4"/>
      <c r="C34" s="4"/>
      <c r="D34" s="65"/>
      <c r="E34" s="65"/>
      <c r="F34" s="64"/>
      <c r="G34" s="64"/>
      <c r="H34" s="65"/>
      <c r="I34" s="65"/>
      <c r="J34" s="65"/>
      <c r="K34" s="65"/>
      <c r="L34" s="65"/>
      <c r="M34" s="3"/>
      <c r="N34" s="9"/>
      <c r="O34" s="3"/>
      <c r="P34" s="3"/>
      <c r="Q34" s="9"/>
      <c r="R34" s="65"/>
      <c r="S34" s="65"/>
      <c r="T34" s="12"/>
      <c r="U34" s="68"/>
      <c r="V34" s="65"/>
      <c r="W34" s="50"/>
      <c r="X34" s="72"/>
      <c r="Y34" s="65"/>
      <c r="Z34" s="9"/>
      <c r="AA34" s="64"/>
      <c r="AB34" s="65"/>
      <c r="AC34" s="9"/>
      <c r="AD34" s="64"/>
      <c r="AE34" s="65"/>
      <c r="AF34" s="9"/>
      <c r="AG34" s="65"/>
      <c r="AH34" s="65"/>
      <c r="AI34" s="9"/>
      <c r="AJ34" s="65"/>
      <c r="AK34" s="65"/>
      <c r="AL34" s="9"/>
      <c r="AM34" s="65"/>
      <c r="AN34" s="65"/>
      <c r="AO34" s="9"/>
      <c r="AP34" s="64"/>
      <c r="AQ34" s="65"/>
      <c r="AR34" s="9"/>
      <c r="AS34" s="65"/>
      <c r="AT34" s="65"/>
      <c r="AU34" s="12"/>
      <c r="AV34" s="68"/>
      <c r="AW34" s="65"/>
      <c r="AX34" s="12"/>
      <c r="AY34" s="75"/>
      <c r="AZ34" s="65"/>
      <c r="BA34" s="50"/>
    </row>
    <row r="35" spans="1:53" outlineLevel="1" x14ac:dyDescent="0.3">
      <c r="A35" s="19"/>
      <c r="B35" s="4"/>
      <c r="C35" s="4"/>
      <c r="D35" s="65"/>
      <c r="E35" s="65"/>
      <c r="F35" s="64"/>
      <c r="G35" s="64"/>
      <c r="H35" s="65"/>
      <c r="I35" s="65"/>
      <c r="J35" s="65"/>
      <c r="K35" s="65"/>
      <c r="L35" s="65"/>
      <c r="M35" s="3"/>
      <c r="N35" s="9"/>
      <c r="O35" s="3"/>
      <c r="P35" s="3"/>
      <c r="Q35" s="9"/>
      <c r="R35" s="65"/>
      <c r="S35" s="65"/>
      <c r="T35" s="12"/>
      <c r="U35" s="68"/>
      <c r="V35" s="65"/>
      <c r="W35" s="50"/>
      <c r="X35" s="72"/>
      <c r="Y35" s="65"/>
      <c r="Z35" s="9"/>
      <c r="AA35" s="64"/>
      <c r="AB35" s="65"/>
      <c r="AC35" s="9"/>
      <c r="AD35" s="64"/>
      <c r="AE35" s="65"/>
      <c r="AF35" s="9"/>
      <c r="AG35" s="65"/>
      <c r="AH35" s="65"/>
      <c r="AI35" s="9"/>
      <c r="AJ35" s="65"/>
      <c r="AK35" s="65"/>
      <c r="AL35" s="9"/>
      <c r="AM35" s="65"/>
      <c r="AN35" s="65"/>
      <c r="AO35" s="9"/>
      <c r="AP35" s="64"/>
      <c r="AQ35" s="65"/>
      <c r="AR35" s="9"/>
      <c r="AS35" s="65"/>
      <c r="AT35" s="65"/>
      <c r="AU35" s="12"/>
      <c r="AV35" s="68"/>
      <c r="AW35" s="65"/>
      <c r="AX35" s="12"/>
      <c r="AY35" s="75"/>
      <c r="AZ35" s="65"/>
      <c r="BA35" s="50"/>
    </row>
    <row r="36" spans="1:53" outlineLevel="1" x14ac:dyDescent="0.3">
      <c r="A36" s="19"/>
      <c r="B36" s="4"/>
      <c r="C36" s="4"/>
      <c r="D36" s="65"/>
      <c r="E36" s="65"/>
      <c r="F36" s="64"/>
      <c r="G36" s="64"/>
      <c r="H36" s="65"/>
      <c r="I36" s="65"/>
      <c r="J36" s="65"/>
      <c r="K36" s="65"/>
      <c r="L36" s="65"/>
      <c r="M36" s="3"/>
      <c r="N36" s="9"/>
      <c r="O36" s="3"/>
      <c r="P36" s="3"/>
      <c r="Q36" s="9"/>
      <c r="R36" s="65"/>
      <c r="S36" s="65"/>
      <c r="T36" s="12"/>
      <c r="U36" s="68"/>
      <c r="V36" s="65"/>
      <c r="W36" s="50"/>
      <c r="X36" s="72"/>
      <c r="Y36" s="65"/>
      <c r="Z36" s="9"/>
      <c r="AA36" s="64"/>
      <c r="AB36" s="65"/>
      <c r="AC36" s="9"/>
      <c r="AD36" s="64"/>
      <c r="AE36" s="65"/>
      <c r="AF36" s="9"/>
      <c r="AG36" s="65"/>
      <c r="AH36" s="65"/>
      <c r="AI36" s="9"/>
      <c r="AJ36" s="65"/>
      <c r="AK36" s="65"/>
      <c r="AL36" s="9"/>
      <c r="AM36" s="65"/>
      <c r="AN36" s="65"/>
      <c r="AO36" s="9"/>
      <c r="AP36" s="64"/>
      <c r="AQ36" s="65"/>
      <c r="AR36" s="9"/>
      <c r="AS36" s="65"/>
      <c r="AT36" s="65"/>
      <c r="AU36" s="12"/>
      <c r="AV36" s="68"/>
      <c r="AW36" s="65"/>
      <c r="AX36" s="12"/>
      <c r="AY36" s="75"/>
      <c r="AZ36" s="65"/>
      <c r="BA36" s="50"/>
    </row>
    <row r="37" spans="1:53" ht="15" outlineLevel="1" thickBot="1" x14ac:dyDescent="0.35">
      <c r="A37" s="20"/>
      <c r="B37" s="22"/>
      <c r="C37" s="22"/>
      <c r="D37" s="66"/>
      <c r="E37" s="66"/>
      <c r="F37" s="64"/>
      <c r="G37" s="64"/>
      <c r="H37" s="66"/>
      <c r="I37" s="66"/>
      <c r="J37" s="66"/>
      <c r="K37" s="66"/>
      <c r="L37" s="66"/>
      <c r="M37" s="21"/>
      <c r="N37" s="24"/>
      <c r="O37" s="21"/>
      <c r="P37" s="21"/>
      <c r="Q37" s="24"/>
      <c r="R37" s="66"/>
      <c r="S37" s="66"/>
      <c r="T37" s="25"/>
      <c r="U37" s="70"/>
      <c r="V37" s="66"/>
      <c r="W37" s="52"/>
      <c r="X37" s="72"/>
      <c r="Y37" s="66"/>
      <c r="Z37" s="24"/>
      <c r="AA37" s="64"/>
      <c r="AB37" s="66"/>
      <c r="AC37" s="24"/>
      <c r="AD37" s="64"/>
      <c r="AE37" s="66"/>
      <c r="AF37" s="24"/>
      <c r="AG37" s="66"/>
      <c r="AH37" s="66"/>
      <c r="AI37" s="24"/>
      <c r="AJ37" s="66"/>
      <c r="AK37" s="66"/>
      <c r="AL37" s="24"/>
      <c r="AM37" s="66"/>
      <c r="AN37" s="66"/>
      <c r="AO37" s="24"/>
      <c r="AP37" s="64"/>
      <c r="AQ37" s="66"/>
      <c r="AR37" s="24"/>
      <c r="AS37" s="66"/>
      <c r="AT37" s="66"/>
      <c r="AU37" s="25"/>
      <c r="AV37" s="70"/>
      <c r="AW37" s="66"/>
      <c r="AX37" s="25"/>
      <c r="AY37" s="76"/>
      <c r="AZ37" s="66"/>
      <c r="BA37" s="52"/>
    </row>
  </sheetData>
  <mergeCells count="19">
    <mergeCell ref="AS3:AU3"/>
    <mergeCell ref="AV3:AX3"/>
    <mergeCell ref="AY3:BA3"/>
    <mergeCell ref="AA3:AC3"/>
    <mergeCell ref="AD3:AF3"/>
    <mergeCell ref="AG3:AI3"/>
    <mergeCell ref="AJ3:AL3"/>
    <mergeCell ref="AM3:AO3"/>
    <mergeCell ref="AP3:AR3"/>
    <mergeCell ref="C2:K2"/>
    <mergeCell ref="M2:Q2"/>
    <mergeCell ref="R2:AF2"/>
    <mergeCell ref="AG2:AU2"/>
    <mergeCell ref="AV2:BA2"/>
    <mergeCell ref="M3:N3"/>
    <mergeCell ref="O3:Q3"/>
    <mergeCell ref="R3:T3"/>
    <mergeCell ref="U3:W3"/>
    <mergeCell ref="X3:Z3"/>
  </mergeCells>
  <conditionalFormatting sqref="M5:N37">
    <cfRule type="expression" dxfId="166" priority="34">
      <formula>$N5=1</formula>
    </cfRule>
  </conditionalFormatting>
  <conditionalFormatting sqref="O5:Q37">
    <cfRule type="expression" dxfId="165" priority="33">
      <formula>$Q5=1</formula>
    </cfRule>
  </conditionalFormatting>
  <conditionalFormatting sqref="Q5:Q37">
    <cfRule type="cellIs" dxfId="164" priority="35" operator="greaterThan">
      <formula>100</formula>
    </cfRule>
  </conditionalFormatting>
  <conditionalFormatting sqref="R5:T5">
    <cfRule type="expression" dxfId="163" priority="73">
      <formula>$T5&gt;1.3</formula>
    </cfRule>
    <cfRule type="expression" dxfId="162" priority="74">
      <formula>$T5&gt;1</formula>
    </cfRule>
  </conditionalFormatting>
  <conditionalFormatting sqref="R7:T37">
    <cfRule type="expression" dxfId="161" priority="46">
      <formula>$T7&gt;1.3</formula>
    </cfRule>
    <cfRule type="expression" dxfId="160" priority="47">
      <formula>$T7&gt;1</formula>
    </cfRule>
  </conditionalFormatting>
  <conditionalFormatting sqref="S6:T6">
    <cfRule type="expression" dxfId="159" priority="23">
      <formula>$T6&gt;1.3</formula>
    </cfRule>
    <cfRule type="expression" dxfId="158" priority="24">
      <formula>$T6&gt;1</formula>
    </cfRule>
  </conditionalFormatting>
  <conditionalFormatting sqref="U5:W37">
    <cfRule type="expression" dxfId="157" priority="31">
      <formula>$W5&gt;1.3</formula>
    </cfRule>
    <cfRule type="expression" dxfId="156" priority="32">
      <formula>$W5&gt;1</formula>
    </cfRule>
  </conditionalFormatting>
  <conditionalFormatting sqref="X5:Z37">
    <cfRule type="expression" dxfId="155" priority="13">
      <formula>$Z5&gt;1.3</formula>
    </cfRule>
    <cfRule type="expression" dxfId="154" priority="14">
      <formula>$Z5&gt;1</formula>
    </cfRule>
  </conditionalFormatting>
  <conditionalFormatting sqref="AA5:AC37">
    <cfRule type="expression" dxfId="153" priority="7">
      <formula>$AC5&gt;1.3</formula>
    </cfRule>
    <cfRule type="expression" dxfId="152" priority="8">
      <formula>$AC5&gt;1</formula>
    </cfRule>
  </conditionalFormatting>
  <conditionalFormatting sqref="AD5:AF37">
    <cfRule type="expression" dxfId="151" priority="5">
      <formula>$AF5&gt;1.3</formula>
    </cfRule>
    <cfRule type="expression" dxfId="150" priority="6">
      <formula>$AF5&gt;1</formula>
    </cfRule>
  </conditionalFormatting>
  <conditionalFormatting sqref="AG5:AI37">
    <cfRule type="expression" dxfId="149" priority="21">
      <formula>$AI5&gt;1.3</formula>
    </cfRule>
    <cfRule type="expression" dxfId="148" priority="22">
      <formula>$AI5&gt;1</formula>
    </cfRule>
  </conditionalFormatting>
  <conditionalFormatting sqref="AJ5:AL37">
    <cfRule type="expression" dxfId="147" priority="2">
      <formula>$AL5&gt;1</formula>
    </cfRule>
    <cfRule type="expression" dxfId="146" priority="1">
      <formula>$AL5&gt;1.3</formula>
    </cfRule>
  </conditionalFormatting>
  <conditionalFormatting sqref="AM5:AO37">
    <cfRule type="expression" dxfId="145" priority="15">
      <formula>$AO5&gt;1.3</formula>
    </cfRule>
    <cfRule type="expression" dxfId="144" priority="16">
      <formula>$AO5&gt;1</formula>
    </cfRule>
  </conditionalFormatting>
  <conditionalFormatting sqref="AP5:AR37">
    <cfRule type="expression" dxfId="143" priority="11">
      <formula>$AR5&gt;1.3</formula>
    </cfRule>
    <cfRule type="expression" dxfId="142" priority="12">
      <formula>$AR5&gt;1</formula>
    </cfRule>
  </conditionalFormatting>
  <conditionalFormatting sqref="AS5:AU37">
    <cfRule type="expression" dxfId="141" priority="9">
      <formula>$AU5&gt;1.3</formula>
    </cfRule>
    <cfRule type="expression" dxfId="140" priority="10">
      <formula>$AU5&gt;1</formula>
    </cfRule>
  </conditionalFormatting>
  <conditionalFormatting sqref="AV5:AX37">
    <cfRule type="expression" dxfId="139" priority="19">
      <formula>$AX5&gt;1.3</formula>
    </cfRule>
    <cfRule type="expression" dxfId="138" priority="20">
      <formula>$AX5&gt;1</formula>
    </cfRule>
  </conditionalFormatting>
  <conditionalFormatting sqref="AY5:BA37">
    <cfRule type="expression" dxfId="137" priority="17">
      <formula>$BA5&gt;1.3</formula>
    </cfRule>
    <cfRule type="expression" dxfId="136" priority="18">
      <formula>$BA5&gt;1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9A6B-FBC0-41A0-B971-C7A77193F987}">
  <dimension ref="A1:BF47"/>
  <sheetViews>
    <sheetView topLeftCell="B1" workbookViewId="0">
      <pane xSplit="1" ySplit="3" topLeftCell="AP4" activePane="bottomRight" state="frozen"/>
      <selection activeCell="P41" sqref="P41"/>
      <selection pane="topRight" activeCell="P41" sqref="P41"/>
      <selection pane="bottomLeft" activeCell="P41" sqref="P41"/>
      <selection pane="bottomRight" activeCell="AW9" sqref="AW9"/>
    </sheetView>
  </sheetViews>
  <sheetFormatPr defaultRowHeight="14.4" outlineLevelRow="1" outlineLevelCol="1" x14ac:dyDescent="0.3"/>
  <cols>
    <col min="1" max="1" width="4.109375" customWidth="1"/>
    <col min="2" max="2" width="36.6640625" customWidth="1"/>
    <col min="3" max="3" width="7.6640625" style="2" customWidth="1"/>
    <col min="4" max="12" width="12.6640625" customWidth="1" outlineLevel="1"/>
    <col min="13" max="20" width="12.6640625" customWidth="1"/>
    <col min="21" max="32" width="12.6640625" customWidth="1" outlineLevel="1"/>
    <col min="33" max="35" width="12.6640625" customWidth="1"/>
    <col min="36" max="47" width="12.6640625" customWidth="1" outlineLevel="1"/>
    <col min="48" max="53" width="12.6640625" customWidth="1"/>
    <col min="55" max="59" width="0" hidden="1" customWidth="1"/>
  </cols>
  <sheetData>
    <row r="1" spans="1:58" s="113" customFormat="1" ht="16.2" thickBot="1" x14ac:dyDescent="0.35">
      <c r="B1" s="118">
        <f ca="1">TODAY()</f>
        <v>46198</v>
      </c>
      <c r="C1" s="119"/>
      <c r="AL1" s="120"/>
      <c r="AP1" s="120"/>
      <c r="AQ1" s="120"/>
      <c r="AR1" s="120"/>
      <c r="AS1" s="120"/>
      <c r="AT1" s="120"/>
      <c r="AU1" s="120"/>
    </row>
    <row r="2" spans="1:58" ht="16.5" customHeight="1" thickBot="1" x14ac:dyDescent="0.35">
      <c r="A2" s="10"/>
      <c r="B2" s="11"/>
      <c r="C2" s="165" t="s">
        <v>46</v>
      </c>
      <c r="D2" s="166"/>
      <c r="E2" s="166"/>
      <c r="F2" s="166"/>
      <c r="G2" s="166"/>
      <c r="H2" s="166"/>
      <c r="I2" s="166"/>
      <c r="J2" s="166"/>
      <c r="K2" s="167"/>
      <c r="L2" s="80"/>
      <c r="M2" s="168" t="s">
        <v>44</v>
      </c>
      <c r="N2" s="169"/>
      <c r="O2" s="169"/>
      <c r="P2" s="169"/>
      <c r="Q2" s="169"/>
      <c r="R2" s="181" t="s">
        <v>49</v>
      </c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3"/>
      <c r="AG2" s="184" t="s">
        <v>121</v>
      </c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61" t="s">
        <v>66</v>
      </c>
      <c r="AW2" s="162"/>
      <c r="AX2" s="162"/>
      <c r="AY2" s="162"/>
      <c r="AZ2" s="162"/>
      <c r="BA2" s="186"/>
    </row>
    <row r="3" spans="1:58" ht="54.75" customHeight="1" thickBot="1" x14ac:dyDescent="0.35">
      <c r="A3" s="13" t="s">
        <v>36</v>
      </c>
      <c r="B3" s="14" t="s">
        <v>37</v>
      </c>
      <c r="C3" s="15" t="s">
        <v>39</v>
      </c>
      <c r="D3" s="16" t="s">
        <v>77</v>
      </c>
      <c r="E3" s="16" t="s">
        <v>40</v>
      </c>
      <c r="F3" s="16" t="s">
        <v>64</v>
      </c>
      <c r="G3" s="16" t="s">
        <v>65</v>
      </c>
      <c r="H3" s="16" t="s">
        <v>41</v>
      </c>
      <c r="I3" s="16" t="s">
        <v>42</v>
      </c>
      <c r="J3" s="16" t="s">
        <v>47</v>
      </c>
      <c r="K3" s="17" t="s">
        <v>43</v>
      </c>
      <c r="L3" s="17" t="s">
        <v>48</v>
      </c>
      <c r="M3" s="174" t="s">
        <v>45</v>
      </c>
      <c r="N3" s="175"/>
      <c r="O3" s="174" t="s">
        <v>130</v>
      </c>
      <c r="P3" s="176"/>
      <c r="Q3" s="176"/>
      <c r="R3" s="177" t="s">
        <v>57</v>
      </c>
      <c r="S3" s="178"/>
      <c r="T3" s="178"/>
      <c r="U3" s="177" t="s">
        <v>50</v>
      </c>
      <c r="V3" s="178"/>
      <c r="W3" s="179"/>
      <c r="X3" s="178" t="s">
        <v>51</v>
      </c>
      <c r="Y3" s="178"/>
      <c r="Z3" s="180"/>
      <c r="AA3" s="189" t="s">
        <v>52</v>
      </c>
      <c r="AB3" s="178"/>
      <c r="AC3" s="179"/>
      <c r="AD3" s="177" t="s">
        <v>53</v>
      </c>
      <c r="AE3" s="178"/>
      <c r="AF3" s="179"/>
      <c r="AG3" s="187" t="s">
        <v>131</v>
      </c>
      <c r="AH3" s="188"/>
      <c r="AI3" s="190"/>
      <c r="AJ3" s="187" t="s">
        <v>54</v>
      </c>
      <c r="AK3" s="188"/>
      <c r="AL3" s="190"/>
      <c r="AM3" s="187" t="s">
        <v>51</v>
      </c>
      <c r="AN3" s="188"/>
      <c r="AO3" s="191"/>
      <c r="AP3" s="187" t="s">
        <v>55</v>
      </c>
      <c r="AQ3" s="188"/>
      <c r="AR3" s="190"/>
      <c r="AS3" s="187" t="s">
        <v>56</v>
      </c>
      <c r="AT3" s="188"/>
      <c r="AU3" s="188"/>
      <c r="AV3" s="163" t="s">
        <v>67</v>
      </c>
      <c r="AW3" s="164"/>
      <c r="AX3" s="164"/>
      <c r="AY3" s="161" t="s">
        <v>68</v>
      </c>
      <c r="AZ3" s="162"/>
      <c r="BA3" s="186"/>
    </row>
    <row r="4" spans="1:58" ht="15" thickBot="1" x14ac:dyDescent="0.35">
      <c r="A4" s="26"/>
      <c r="B4" s="27"/>
      <c r="C4" s="28"/>
      <c r="D4" s="29"/>
      <c r="E4" s="29"/>
      <c r="F4" s="29"/>
      <c r="G4" s="29"/>
      <c r="H4" s="29"/>
      <c r="I4" s="27"/>
      <c r="J4" s="27"/>
      <c r="K4" s="27"/>
      <c r="L4" s="27"/>
      <c r="M4" s="27" t="s">
        <v>2</v>
      </c>
      <c r="N4" s="27" t="s">
        <v>3</v>
      </c>
      <c r="O4" s="27" t="s">
        <v>1</v>
      </c>
      <c r="P4" s="27" t="s">
        <v>2</v>
      </c>
      <c r="Q4" s="27" t="s">
        <v>3</v>
      </c>
      <c r="R4" s="27" t="s">
        <v>1</v>
      </c>
      <c r="S4" s="27" t="s">
        <v>2</v>
      </c>
      <c r="T4" s="27" t="s">
        <v>3</v>
      </c>
      <c r="U4" s="43" t="s">
        <v>1</v>
      </c>
      <c r="V4" s="27" t="s">
        <v>2</v>
      </c>
      <c r="W4" s="44" t="s">
        <v>3</v>
      </c>
      <c r="X4" s="29" t="s">
        <v>1</v>
      </c>
      <c r="Y4" s="27" t="s">
        <v>2</v>
      </c>
      <c r="Z4" s="27" t="s">
        <v>3</v>
      </c>
      <c r="AA4" s="27" t="s">
        <v>1</v>
      </c>
      <c r="AB4" s="27" t="s">
        <v>2</v>
      </c>
      <c r="AC4" s="27" t="s">
        <v>3</v>
      </c>
      <c r="AD4" s="27" t="s">
        <v>1</v>
      </c>
      <c r="AE4" s="27" t="s">
        <v>2</v>
      </c>
      <c r="AF4" s="27" t="s">
        <v>3</v>
      </c>
      <c r="AG4" s="27"/>
      <c r="AH4" s="27"/>
      <c r="AI4" s="27"/>
      <c r="AJ4" s="27" t="s">
        <v>1</v>
      </c>
      <c r="AK4" s="27" t="s">
        <v>38</v>
      </c>
      <c r="AL4" s="27" t="s">
        <v>3</v>
      </c>
      <c r="AM4" s="27" t="s">
        <v>1</v>
      </c>
      <c r="AN4" s="27" t="s">
        <v>2</v>
      </c>
      <c r="AO4" s="27" t="s">
        <v>3</v>
      </c>
      <c r="AP4" s="27" t="s">
        <v>1</v>
      </c>
      <c r="AQ4" s="27" t="s">
        <v>2</v>
      </c>
      <c r="AR4" s="27" t="s">
        <v>3</v>
      </c>
      <c r="AS4" s="27" t="s">
        <v>1</v>
      </c>
      <c r="AT4" s="27" t="s">
        <v>2</v>
      </c>
      <c r="AU4" s="27" t="s">
        <v>3</v>
      </c>
      <c r="AV4" s="27" t="s">
        <v>1</v>
      </c>
      <c r="AW4" s="27" t="s">
        <v>2</v>
      </c>
      <c r="AX4" s="27" t="s">
        <v>3</v>
      </c>
      <c r="AY4" s="43" t="s">
        <v>1</v>
      </c>
      <c r="AZ4" s="27" t="s">
        <v>2</v>
      </c>
      <c r="BA4" s="44" t="s">
        <v>3</v>
      </c>
      <c r="BC4" s="148" t="s">
        <v>107</v>
      </c>
      <c r="BD4" s="148" t="s">
        <v>109</v>
      </c>
      <c r="BE4" s="148" t="s">
        <v>106</v>
      </c>
      <c r="BF4" s="148" t="s">
        <v>108</v>
      </c>
    </row>
    <row r="5" spans="1:58" ht="29.25" customHeight="1" thickBot="1" x14ac:dyDescent="0.4">
      <c r="A5" s="36"/>
      <c r="B5" s="37" t="s">
        <v>74</v>
      </c>
      <c r="C5" s="85">
        <f>SUM(C6:C33)</f>
        <v>4</v>
      </c>
      <c r="D5" s="86">
        <f>SUM(D6:D33)</f>
        <v>4383627.5999999996</v>
      </c>
      <c r="E5" s="86">
        <f>SUM(E6:E33)</f>
        <v>0</v>
      </c>
      <c r="F5" s="86">
        <f>SUM(F6:F33)</f>
        <v>8573185.0179999992</v>
      </c>
      <c r="G5" s="86"/>
      <c r="H5" s="86">
        <f>SUM(H6:H33)</f>
        <v>0</v>
      </c>
      <c r="I5" s="86">
        <f>SUM(I6:I33)</f>
        <v>8468</v>
      </c>
      <c r="J5" s="86">
        <f>J6</f>
        <v>150</v>
      </c>
      <c r="K5" s="86">
        <f>SUM(K6:K33)</f>
        <v>3048</v>
      </c>
      <c r="L5" s="86"/>
      <c r="M5" s="39">
        <f>SUM(M6:M33)</f>
        <v>4</v>
      </c>
      <c r="N5" s="87">
        <f>1-(C5-M5)/C5</f>
        <v>1</v>
      </c>
      <c r="O5" s="39">
        <f>SUM(O6:O33)</f>
        <v>0</v>
      </c>
      <c r="P5" s="39">
        <f>SUM(P6:P33)</f>
        <v>0</v>
      </c>
      <c r="Q5" s="98">
        <f>IFERROR(1-(O5-P5)/O5,0)</f>
        <v>0</v>
      </c>
      <c r="R5" s="86">
        <f>SUM(R6:R33)</f>
        <v>2032200</v>
      </c>
      <c r="S5" s="86">
        <f>SUM(S6:S33)</f>
        <v>2176110</v>
      </c>
      <c r="T5" s="97">
        <f t="shared" ref="T5" si="0">IFERROR(1-(R5-S5)/R5,0)</f>
        <v>1.0708148804251549</v>
      </c>
      <c r="U5" s="89">
        <f>SUM(U6:U33)</f>
        <v>8468</v>
      </c>
      <c r="V5" s="86">
        <f>SUM(V6:V33)</f>
        <v>7987.4</v>
      </c>
      <c r="W5" s="99">
        <f t="shared" ref="W5" si="1">IFERROR(1-(U5-V5)/U5,0)</f>
        <v>0.94324515824279631</v>
      </c>
      <c r="X5" s="91">
        <f>SUM(X6:X33)</f>
        <v>1270200</v>
      </c>
      <c r="Y5" s="86">
        <f>SUM(Y6:Y33)</f>
        <v>1198110</v>
      </c>
      <c r="Z5" s="98">
        <f t="shared" ref="Z5" si="2">IFERROR(1-(X5-Y5)/X5,0)</f>
        <v>0.94324515824279642</v>
      </c>
      <c r="AA5" s="86">
        <f>SUM(AA6:AA33)</f>
        <v>3048</v>
      </c>
      <c r="AB5" s="86">
        <f>SUM(AB6:AB33)</f>
        <v>3912</v>
      </c>
      <c r="AC5" s="98">
        <f t="shared" ref="AC5" si="3">IFERROR(1-(AA5-AB5)/AA5,0)</f>
        <v>1.2834645669291338</v>
      </c>
      <c r="AD5" s="86">
        <f>SUM(AD6:AD33)</f>
        <v>762000</v>
      </c>
      <c r="AE5" s="86">
        <f>SUM(AE6:AE33)</f>
        <v>978000</v>
      </c>
      <c r="AF5" s="98">
        <f t="shared" ref="AF5" si="4">IFERROR(1-(AD5-AE5)/AD5,0)</f>
        <v>1.2834645669291338</v>
      </c>
      <c r="AG5" s="86">
        <f>SUM(AG6:AG33)</f>
        <v>0</v>
      </c>
      <c r="AH5" s="86">
        <f>SUM(AH6:AH33)</f>
        <v>0</v>
      </c>
      <c r="AI5" s="98">
        <f>IFERROR(1-(AG5-AH5)/AG5,0)</f>
        <v>0</v>
      </c>
      <c r="AJ5" s="86">
        <f>SUM(AJ6:AJ33)</f>
        <v>0</v>
      </c>
      <c r="AK5" s="86">
        <f>SUM(AK6:AK33)</f>
        <v>0</v>
      </c>
      <c r="AL5" s="98">
        <f>IFERROR(1-(AJ5-AK5)/AJ5,0)</f>
        <v>0</v>
      </c>
      <c r="AM5" s="86">
        <f>SUM(AM6:AM33)</f>
        <v>0</v>
      </c>
      <c r="AN5" s="86">
        <f>SUM(AN6:AN33)</f>
        <v>0</v>
      </c>
      <c r="AO5" s="98">
        <f t="shared" ref="AO5" si="5">IFERROR(1-(AM5-AN5)/AM5,0)</f>
        <v>0</v>
      </c>
      <c r="AP5" s="86">
        <f>SUM(AP6:AP33)</f>
        <v>0</v>
      </c>
      <c r="AQ5" s="86">
        <f>SUM(AQ6:AQ33)</f>
        <v>0</v>
      </c>
      <c r="AR5" s="98">
        <f>IFERROR(1-(AP5-AQ5)/AP5,0)</f>
        <v>0</v>
      </c>
      <c r="AS5" s="86">
        <f>SUM(AS6:AS33)</f>
        <v>0</v>
      </c>
      <c r="AT5" s="86">
        <f>SUM(AT6:AT33)</f>
        <v>0</v>
      </c>
      <c r="AU5" s="97">
        <f>IFERROR(1-(AS5-AT5)/AS5,0)</f>
        <v>0</v>
      </c>
      <c r="AV5" s="86">
        <f>SUM(AV6:AV33)</f>
        <v>8573185.0179999992</v>
      </c>
      <c r="AW5" s="86">
        <f>SUM(AW6:AW33)</f>
        <v>8437496.2559999991</v>
      </c>
      <c r="AX5" s="97">
        <f>IFERROR(1-(AV5-AW5)/AV5,0)</f>
        <v>0.98417288770566458</v>
      </c>
      <c r="AY5" s="89">
        <f>SUM(AY6:AY33)</f>
        <v>0</v>
      </c>
      <c r="AZ5" s="86">
        <f>SUM(AZ6:AZ33)</f>
        <v>0</v>
      </c>
      <c r="BA5" s="90">
        <f>IFERROR(1-(AY5-AZ5)/AY5,0)</f>
        <v>0</v>
      </c>
      <c r="BC5" s="148">
        <f>(2559837.84+931754.16+307373.27)*1.2</f>
        <v>4558758.324</v>
      </c>
      <c r="BD5" s="148">
        <f>3256672.72*1.2</f>
        <v>3908007.264</v>
      </c>
      <c r="BE5" s="148">
        <f>BC5+BD5</f>
        <v>8466765.5879999995</v>
      </c>
      <c r="BF5" s="148">
        <f>F5-BE5</f>
        <v>106419.4299999997</v>
      </c>
    </row>
    <row r="6" spans="1:58" outlineLevel="1" x14ac:dyDescent="0.3">
      <c r="A6" s="19"/>
      <c r="B6" s="95" t="s">
        <v>79</v>
      </c>
      <c r="C6" s="4">
        <v>1</v>
      </c>
      <c r="D6" s="33">
        <f>1023728</f>
        <v>1023728</v>
      </c>
      <c r="E6" s="65"/>
      <c r="F6" s="64">
        <f>(1861342)</f>
        <v>1861342</v>
      </c>
      <c r="G6" s="64"/>
      <c r="H6" s="65"/>
      <c r="I6" s="65">
        <f>396+110+1188</f>
        <v>1694</v>
      </c>
      <c r="J6" s="65">
        <v>150</v>
      </c>
      <c r="K6" s="65">
        <f>96+24+96+453+96</f>
        <v>765</v>
      </c>
      <c r="L6" s="65">
        <v>250</v>
      </c>
      <c r="M6" s="3">
        <v>1</v>
      </c>
      <c r="N6" s="34">
        <f>1-(C6-M6)/C6</f>
        <v>1</v>
      </c>
      <c r="O6" s="3"/>
      <c r="P6" s="3"/>
      <c r="Q6" s="34">
        <f t="shared" ref="Q6:Q9" si="6">IFERROR(1-(O6-P6)/O6,0)</f>
        <v>0</v>
      </c>
      <c r="R6" s="137">
        <f>(I6*J6+K6*L6)*C6</f>
        <v>445350</v>
      </c>
      <c r="S6" s="64">
        <f>Y6+AE6</f>
        <v>445400</v>
      </c>
      <c r="T6" s="35">
        <f t="shared" ref="T6" si="7">IFERROR(1-(R6-S6)/R6,0)</f>
        <v>1.0001122712473336</v>
      </c>
      <c r="U6" s="68">
        <f>IF(V6&lt;&gt;0,I6*C6,0)</f>
        <v>1694</v>
      </c>
      <c r="V6" s="64">
        <f>2516-AB6</f>
        <v>1836</v>
      </c>
      <c r="W6" s="48">
        <f t="shared" ref="W6" si="8">IFERROR(1-(U6-V6)/U6,0)</f>
        <v>1.0838252656434475</v>
      </c>
      <c r="X6" s="72">
        <f>IF(Y6&lt;&gt;0,$U6*$J6,0)</f>
        <v>254100</v>
      </c>
      <c r="Y6" s="64">
        <f>V6*J6</f>
        <v>275400</v>
      </c>
      <c r="Z6" s="34">
        <f t="shared" ref="Z6" si="9">IFERROR(1-(X6-Y6)/X6,0)</f>
        <v>1.0838252656434475</v>
      </c>
      <c r="AA6" s="64">
        <f>IF(AB6&lt;&gt;0,$K6,0)</f>
        <v>765</v>
      </c>
      <c r="AB6" s="64">
        <f>480+200</f>
        <v>680</v>
      </c>
      <c r="AC6" s="34">
        <f t="shared" ref="AC6" si="10">IFERROR(1-(AA6-AB6)/AA6,0)</f>
        <v>0.88888888888888884</v>
      </c>
      <c r="AD6" s="64">
        <f>IF(AE6&lt;&gt;0,$L6*$AA6,0)</f>
        <v>191250</v>
      </c>
      <c r="AE6" s="64">
        <f>AB6*L6</f>
        <v>170000</v>
      </c>
      <c r="AF6" s="34">
        <f t="shared" ref="AF6" si="11">IFERROR(1-(AD6-AE6)/AD6,0)</f>
        <v>0.88888888888888884</v>
      </c>
      <c r="AG6" s="64">
        <f>AM6+AS6</f>
        <v>0</v>
      </c>
      <c r="AH6" s="64">
        <f>AN6+AT6</f>
        <v>0</v>
      </c>
      <c r="AI6" s="34">
        <f>IFERROR(1-(AG6-AH6)/AG6,0)</f>
        <v>0</v>
      </c>
      <c r="AJ6" s="96">
        <f t="shared" ref="AJ6" si="12">O6*I6</f>
        <v>0</v>
      </c>
      <c r="AK6" s="64"/>
      <c r="AL6" s="34">
        <f t="shared" ref="AL6" si="13">IFERROR(1-(AJ6-AK6)/AJ6,0)</f>
        <v>0</v>
      </c>
      <c r="AM6" s="64">
        <f>AJ6*J6</f>
        <v>0</v>
      </c>
      <c r="AN6" s="64">
        <f>AK6*J6</f>
        <v>0</v>
      </c>
      <c r="AO6" s="34">
        <f t="shared" ref="AO6" si="14">IFERROR(1-(AM6-AN6)/AM6,0)</f>
        <v>0</v>
      </c>
      <c r="AP6" s="64">
        <f>IF(AQ6&lt;&gt;0,K6,0)</f>
        <v>0</v>
      </c>
      <c r="AQ6" s="64"/>
      <c r="AR6" s="34">
        <f t="shared" ref="AR6" si="15">IFERROR(1-(AP6-AQ6)/AP6,0)</f>
        <v>0</v>
      </c>
      <c r="AS6" s="64">
        <f>AP6*L6</f>
        <v>0</v>
      </c>
      <c r="AT6" s="64">
        <f>AQ6*L6</f>
        <v>0</v>
      </c>
      <c r="AU6" s="35">
        <f t="shared" ref="AU6" si="16">IFERROR(1-(AS6-AT6)/AS6,0)</f>
        <v>0</v>
      </c>
      <c r="AV6" s="68">
        <f>IF(M6&lt;&gt;0,(F6+H6)*C6,0)</f>
        <v>1861342</v>
      </c>
      <c r="AW6" s="65">
        <f>(1671620.7+34086.33)*1.2</f>
        <v>2046848.436</v>
      </c>
      <c r="AX6" s="61">
        <f t="shared" ref="AX6" si="17">IFERROR(1-(AV6-AW6)/AV6,0)</f>
        <v>1.0996627358110438</v>
      </c>
      <c r="AY6" s="73">
        <f>IF(AZ6&lt;&gt;0,I6+K6,0)</f>
        <v>0</v>
      </c>
      <c r="AZ6" s="74"/>
      <c r="BA6" s="62">
        <f t="shared" ref="BA6" si="18">IFERROR(1-(AY6-AZ6)/AY6,0)</f>
        <v>0</v>
      </c>
    </row>
    <row r="7" spans="1:58" outlineLevel="1" x14ac:dyDescent="0.3">
      <c r="A7" s="19"/>
      <c r="B7" s="95" t="s">
        <v>80</v>
      </c>
      <c r="C7" s="4">
        <v>1</v>
      </c>
      <c r="D7" s="33">
        <f>1023728</f>
        <v>1023728</v>
      </c>
      <c r="E7" s="65"/>
      <c r="F7" s="64">
        <f>(1861342)</f>
        <v>1861342</v>
      </c>
      <c r="G7" s="64"/>
      <c r="H7" s="65"/>
      <c r="I7" s="65">
        <f>396+110+1188</f>
        <v>1694</v>
      </c>
      <c r="J7" s="65">
        <v>150</v>
      </c>
      <c r="K7" s="65">
        <f>96+24+96+453+96</f>
        <v>765</v>
      </c>
      <c r="L7" s="65">
        <v>250</v>
      </c>
      <c r="M7" s="3">
        <v>1</v>
      </c>
      <c r="N7" s="34">
        <f t="shared" ref="N7:N9" si="19">1-(C7-M7)/C7</f>
        <v>1</v>
      </c>
      <c r="O7" s="3"/>
      <c r="P7" s="3"/>
      <c r="Q7" s="34">
        <f t="shared" si="6"/>
        <v>0</v>
      </c>
      <c r="R7" s="137">
        <f>(I7*J7+K7*L7)*C7</f>
        <v>445350</v>
      </c>
      <c r="S7" s="64">
        <f t="shared" ref="S7:S9" si="20">Y7+AE7</f>
        <v>456100</v>
      </c>
      <c r="T7" s="35">
        <f t="shared" ref="T7:T9" si="21">IFERROR(1-(R7-S7)/R7,0)</f>
        <v>1.024138318176715</v>
      </c>
      <c r="U7" s="68">
        <f t="shared" ref="U7:U9" si="22">IF(V7&lt;&gt;0,I7*C7,0)</f>
        <v>1694</v>
      </c>
      <c r="V7" s="65">
        <f>2534-AB7</f>
        <v>1774</v>
      </c>
      <c r="W7" s="48">
        <f t="shared" ref="W7:W9" si="23">IFERROR(1-(U7-V7)/U7,0)</f>
        <v>1.0472255017709564</v>
      </c>
      <c r="X7" s="72">
        <f t="shared" ref="X7:X9" si="24">IF(Y7&lt;&gt;0,$U7*$J7,0)</f>
        <v>254100</v>
      </c>
      <c r="Y7" s="64">
        <f t="shared" ref="Y7:Y9" si="25">V7*J7</f>
        <v>266100</v>
      </c>
      <c r="Z7" s="34">
        <f t="shared" ref="Z7:Z9" si="26">IFERROR(1-(X7-Y7)/X7,0)</f>
        <v>1.0472255017709564</v>
      </c>
      <c r="AA7" s="64">
        <f t="shared" ref="AA7:AA9" si="27">IF(AB7&lt;&gt;0,$K7,0)</f>
        <v>765</v>
      </c>
      <c r="AB7" s="64">
        <f>960-200</f>
        <v>760</v>
      </c>
      <c r="AC7" s="34">
        <f t="shared" ref="AC7:AC9" si="28">IFERROR(1-(AA7-AB7)/AA7,0)</f>
        <v>0.99346405228758172</v>
      </c>
      <c r="AD7" s="64">
        <f t="shared" ref="AD7:AD9" si="29">IF(AE7&lt;&gt;0,$L7*$AA7,0)</f>
        <v>191250</v>
      </c>
      <c r="AE7" s="64">
        <f t="shared" ref="AE7:AE9" si="30">AB7*L7</f>
        <v>190000</v>
      </c>
      <c r="AF7" s="34">
        <f t="shared" ref="AF7:AF9" si="31">IFERROR(1-(AD7-AE7)/AD7,0)</f>
        <v>0.99346405228758172</v>
      </c>
      <c r="AG7" s="64">
        <f t="shared" ref="AG7:AG9" si="32">AM7+AS7</f>
        <v>0</v>
      </c>
      <c r="AH7" s="64">
        <f t="shared" ref="AH7:AH8" si="33">AN7+AT7</f>
        <v>0</v>
      </c>
      <c r="AI7" s="34">
        <f t="shared" ref="AI7:AI9" si="34">IFERROR(1-(AG7-AH7)/AG7,0)</f>
        <v>0</v>
      </c>
      <c r="AJ7" s="96"/>
      <c r="AK7" s="64"/>
      <c r="AL7" s="34">
        <f t="shared" ref="AL7:AL9" si="35">IFERROR(1-(AJ7-AK7)/AJ7,0)</f>
        <v>0</v>
      </c>
      <c r="AM7" s="64">
        <f t="shared" ref="AM7:AM8" si="36">AJ7*J7</f>
        <v>0</v>
      </c>
      <c r="AN7" s="64">
        <f t="shared" ref="AN7:AN9" si="37">AK7*J7</f>
        <v>0</v>
      </c>
      <c r="AO7" s="34">
        <f t="shared" ref="AO7:AO9" si="38">IFERROR(1-(AM7-AN7)/AM7,0)</f>
        <v>0</v>
      </c>
      <c r="AP7" s="64">
        <f t="shared" ref="AP7:AP8" si="39">IF(AQ7&lt;&gt;0,K7,0)</f>
        <v>0</v>
      </c>
      <c r="AQ7" s="64"/>
      <c r="AR7" s="34">
        <f t="shared" ref="AR7:AR9" si="40">IFERROR(1-(AP7-AQ7)/AP7,0)</f>
        <v>0</v>
      </c>
      <c r="AS7" s="64">
        <f t="shared" ref="AS7:AS8" si="41">AP7*L7</f>
        <v>0</v>
      </c>
      <c r="AT7" s="64">
        <f t="shared" ref="AT7:AT8" si="42">AQ7*L7</f>
        <v>0</v>
      </c>
      <c r="AU7" s="35">
        <f t="shared" ref="AU7:AU9" si="43">IFERROR(1-(AS7-AT7)/AS7,0)</f>
        <v>0</v>
      </c>
      <c r="AV7" s="68">
        <v>1861342</v>
      </c>
      <c r="AW7" s="65">
        <f>(1648152.15+33836.86)*1.2</f>
        <v>2018386.8119999999</v>
      </c>
      <c r="AX7" s="12">
        <f t="shared" ref="AX7:AX9" si="44">IFERROR(1-(AV7-AW7)/AV7,0)</f>
        <v>1.0843718199019847</v>
      </c>
      <c r="AY7" s="75">
        <f t="shared" ref="AY7:AY9" si="45">IF(AZ7&lt;&gt;0,I7+K7,0)</f>
        <v>0</v>
      </c>
      <c r="AZ7" s="65"/>
      <c r="BA7" s="50">
        <f t="shared" ref="BA7:BA9" si="46">IFERROR(1-(AY7-AZ7)/AY7,0)</f>
        <v>0</v>
      </c>
    </row>
    <row r="8" spans="1:58" outlineLevel="1" x14ac:dyDescent="0.3">
      <c r="A8" s="19"/>
      <c r="B8" s="95" t="s">
        <v>81</v>
      </c>
      <c r="C8" s="4">
        <v>1</v>
      </c>
      <c r="D8" s="33">
        <f>1168085.8</f>
        <v>1168085.8</v>
      </c>
      <c r="E8" s="65"/>
      <c r="F8" s="64">
        <f>2425250.509</f>
        <v>2425250.5090000001</v>
      </c>
      <c r="G8" s="64"/>
      <c r="H8" s="65"/>
      <c r="I8" s="65">
        <f>480+100+1960</f>
        <v>2540</v>
      </c>
      <c r="J8" s="65">
        <v>150</v>
      </c>
      <c r="K8" s="65">
        <f>120+20+80+443+96</f>
        <v>759</v>
      </c>
      <c r="L8" s="65">
        <v>250</v>
      </c>
      <c r="M8" s="3">
        <v>1</v>
      </c>
      <c r="N8" s="34">
        <f t="shared" si="19"/>
        <v>1</v>
      </c>
      <c r="O8" s="3"/>
      <c r="P8" s="3"/>
      <c r="Q8" s="34">
        <f t="shared" si="6"/>
        <v>0</v>
      </c>
      <c r="R8" s="137">
        <f>(I8*J8+K8*L8)*C8</f>
        <v>570750</v>
      </c>
      <c r="S8" s="64">
        <f t="shared" si="20"/>
        <v>564750</v>
      </c>
      <c r="T8" s="35">
        <f t="shared" si="21"/>
        <v>0.98948751642575561</v>
      </c>
      <c r="U8" s="68">
        <f t="shared" si="22"/>
        <v>2540</v>
      </c>
      <c r="V8" s="65">
        <f>2933-480+32</f>
        <v>2485</v>
      </c>
      <c r="W8" s="48">
        <f t="shared" si="23"/>
        <v>0.97834645669291342</v>
      </c>
      <c r="X8" s="72">
        <f t="shared" si="24"/>
        <v>381000</v>
      </c>
      <c r="Y8" s="64">
        <f t="shared" si="25"/>
        <v>372750</v>
      </c>
      <c r="Z8" s="34">
        <f t="shared" si="26"/>
        <v>0.97834645669291342</v>
      </c>
      <c r="AA8" s="64">
        <f t="shared" si="27"/>
        <v>759</v>
      </c>
      <c r="AB8" s="64">
        <f>480+288</f>
        <v>768</v>
      </c>
      <c r="AC8" s="34">
        <f t="shared" si="28"/>
        <v>1.0118577075098814</v>
      </c>
      <c r="AD8" s="64">
        <f t="shared" si="29"/>
        <v>189750</v>
      </c>
      <c r="AE8" s="64">
        <f t="shared" si="30"/>
        <v>192000</v>
      </c>
      <c r="AF8" s="34">
        <f t="shared" si="31"/>
        <v>1.0118577075098814</v>
      </c>
      <c r="AG8" s="64">
        <f t="shared" si="32"/>
        <v>0</v>
      </c>
      <c r="AH8" s="64">
        <f t="shared" si="33"/>
        <v>0</v>
      </c>
      <c r="AI8" s="34">
        <f t="shared" si="34"/>
        <v>0</v>
      </c>
      <c r="AJ8" s="96">
        <f t="shared" ref="AJ8" si="47">O8*I8</f>
        <v>0</v>
      </c>
      <c r="AK8" s="64"/>
      <c r="AL8" s="34">
        <f t="shared" si="35"/>
        <v>0</v>
      </c>
      <c r="AM8" s="64">
        <f t="shared" si="36"/>
        <v>0</v>
      </c>
      <c r="AN8" s="64">
        <f t="shared" si="37"/>
        <v>0</v>
      </c>
      <c r="AO8" s="34">
        <f t="shared" si="38"/>
        <v>0</v>
      </c>
      <c r="AP8" s="64">
        <f t="shared" si="39"/>
        <v>0</v>
      </c>
      <c r="AQ8" s="64"/>
      <c r="AR8" s="34">
        <f t="shared" si="40"/>
        <v>0</v>
      </c>
      <c r="AS8" s="64">
        <f t="shared" si="41"/>
        <v>0</v>
      </c>
      <c r="AT8" s="64">
        <f t="shared" si="42"/>
        <v>0</v>
      </c>
      <c r="AU8" s="35">
        <f t="shared" si="43"/>
        <v>0</v>
      </c>
      <c r="AV8" s="68">
        <f t="shared" ref="AV8:AV9" si="48">IF(M8&lt;&gt;0,(F8+H8)*C8,0)</f>
        <v>2425250.5090000001</v>
      </c>
      <c r="AW8" s="65">
        <f>(1767685.02+17260.23)*1.2</f>
        <v>2141934.2999999998</v>
      </c>
      <c r="AX8" s="12">
        <f t="shared" si="44"/>
        <v>0.88318064136111873</v>
      </c>
      <c r="AY8" s="75">
        <f t="shared" si="45"/>
        <v>0</v>
      </c>
      <c r="AZ8" s="65"/>
      <c r="BA8" s="50">
        <f t="shared" si="46"/>
        <v>0</v>
      </c>
    </row>
    <row r="9" spans="1:58" outlineLevel="1" x14ac:dyDescent="0.3">
      <c r="A9" s="19"/>
      <c r="B9" s="95" t="s">
        <v>82</v>
      </c>
      <c r="C9" s="4">
        <v>1</v>
      </c>
      <c r="D9" s="33">
        <f>1168085.8</f>
        <v>1168085.8</v>
      </c>
      <c r="E9" s="65"/>
      <c r="F9" s="64">
        <f>2425250.509</f>
        <v>2425250.5090000001</v>
      </c>
      <c r="G9" s="64"/>
      <c r="H9" s="65"/>
      <c r="I9" s="65">
        <f>480+100+1960</f>
        <v>2540</v>
      </c>
      <c r="J9" s="65">
        <v>150</v>
      </c>
      <c r="K9" s="65">
        <f>120+20+80+443+96</f>
        <v>759</v>
      </c>
      <c r="L9" s="65">
        <v>250</v>
      </c>
      <c r="M9" s="3">
        <v>1</v>
      </c>
      <c r="N9" s="34">
        <f t="shared" si="19"/>
        <v>1</v>
      </c>
      <c r="O9" s="3"/>
      <c r="P9" s="3"/>
      <c r="Q9" s="34">
        <f t="shared" si="6"/>
        <v>0</v>
      </c>
      <c r="R9" s="137">
        <f>(I9*J9+K9*L9)*C9</f>
        <v>570750</v>
      </c>
      <c r="S9" s="64">
        <f t="shared" si="20"/>
        <v>709860</v>
      </c>
      <c r="T9" s="35">
        <f t="shared" si="21"/>
        <v>1.2437319316688566</v>
      </c>
      <c r="U9" s="68">
        <f t="shared" si="22"/>
        <v>2540</v>
      </c>
      <c r="V9" s="65">
        <f>407+1412+73.4</f>
        <v>1892.4</v>
      </c>
      <c r="W9" s="48">
        <f t="shared" si="23"/>
        <v>0.74503937007874022</v>
      </c>
      <c r="X9" s="72">
        <f t="shared" si="24"/>
        <v>381000</v>
      </c>
      <c r="Y9" s="64">
        <f t="shared" si="25"/>
        <v>283860</v>
      </c>
      <c r="Z9" s="34">
        <f t="shared" si="26"/>
        <v>0.7450393700787401</v>
      </c>
      <c r="AA9" s="64">
        <f t="shared" si="27"/>
        <v>759</v>
      </c>
      <c r="AB9" s="64">
        <f>1104+600</f>
        <v>1704</v>
      </c>
      <c r="AC9" s="34">
        <f t="shared" si="28"/>
        <v>2.2450592885375493</v>
      </c>
      <c r="AD9" s="64">
        <f t="shared" si="29"/>
        <v>189750</v>
      </c>
      <c r="AE9" s="64">
        <f t="shared" si="30"/>
        <v>426000</v>
      </c>
      <c r="AF9" s="34">
        <f t="shared" si="31"/>
        <v>2.2450592885375493</v>
      </c>
      <c r="AG9" s="64">
        <f t="shared" si="32"/>
        <v>0</v>
      </c>
      <c r="AH9" s="64">
        <f>AN9+AT9</f>
        <v>0</v>
      </c>
      <c r="AI9" s="34">
        <f t="shared" si="34"/>
        <v>0</v>
      </c>
      <c r="AJ9" s="96">
        <v>0</v>
      </c>
      <c r="AK9" s="64"/>
      <c r="AL9" s="34">
        <f t="shared" si="35"/>
        <v>0</v>
      </c>
      <c r="AM9" s="64">
        <v>0</v>
      </c>
      <c r="AN9" s="64">
        <f t="shared" si="37"/>
        <v>0</v>
      </c>
      <c r="AO9" s="34">
        <f t="shared" si="38"/>
        <v>0</v>
      </c>
      <c r="AP9" s="143">
        <v>0</v>
      </c>
      <c r="AQ9" s="64"/>
      <c r="AR9" s="34">
        <f t="shared" si="40"/>
        <v>0</v>
      </c>
      <c r="AS9" s="64">
        <v>0</v>
      </c>
      <c r="AT9" s="64">
        <f>AQ9*L9</f>
        <v>0</v>
      </c>
      <c r="AU9" s="35">
        <f t="shared" si="43"/>
        <v>0</v>
      </c>
      <c r="AV9" s="68">
        <f t="shared" si="48"/>
        <v>2425250.5090000001</v>
      </c>
      <c r="AW9" s="65">
        <f>(1836204.46+22401.13)*1.2</f>
        <v>2230326.7079999996</v>
      </c>
      <c r="AX9" s="12">
        <f t="shared" si="44"/>
        <v>0.91962735384380023</v>
      </c>
      <c r="AY9" s="75">
        <f t="shared" si="45"/>
        <v>0</v>
      </c>
      <c r="AZ9" s="65"/>
      <c r="BA9" s="50">
        <f t="shared" si="46"/>
        <v>0</v>
      </c>
    </row>
    <row r="10" spans="1:58" outlineLevel="1" x14ac:dyDescent="0.3">
      <c r="A10" s="19"/>
      <c r="B10" s="4"/>
      <c r="C10" s="4"/>
      <c r="D10" s="65"/>
      <c r="E10" s="65"/>
      <c r="F10" s="64"/>
      <c r="G10" s="64"/>
      <c r="H10" s="65"/>
      <c r="I10" s="65"/>
      <c r="J10" s="65"/>
      <c r="K10" s="65"/>
      <c r="L10" s="65"/>
      <c r="M10" s="3"/>
      <c r="N10" s="9"/>
      <c r="O10" s="3"/>
      <c r="P10" s="3"/>
      <c r="Q10" s="9"/>
      <c r="R10" s="65"/>
      <c r="S10" s="65"/>
      <c r="T10" s="12"/>
      <c r="U10" s="68"/>
      <c r="V10" s="65"/>
      <c r="W10" s="50"/>
      <c r="X10" s="72"/>
      <c r="Y10" s="65"/>
      <c r="Z10" s="9"/>
      <c r="AA10" s="64"/>
      <c r="AB10" s="65"/>
      <c r="AC10" s="9"/>
      <c r="AD10" s="64"/>
      <c r="AE10" s="65"/>
      <c r="AF10" s="9"/>
      <c r="AG10" s="65"/>
      <c r="AH10" s="65"/>
      <c r="AI10" s="9"/>
      <c r="AJ10" s="65"/>
      <c r="AK10" s="65"/>
      <c r="AL10" s="9"/>
      <c r="AM10" s="65"/>
      <c r="AN10" s="65"/>
      <c r="AO10" s="9"/>
      <c r="AP10" s="64"/>
      <c r="AQ10" s="65"/>
      <c r="AR10" s="9"/>
      <c r="AS10" s="65"/>
      <c r="AT10" s="65"/>
      <c r="AU10" s="12"/>
      <c r="AV10" s="68"/>
      <c r="AW10" s="65"/>
      <c r="AX10" s="12"/>
      <c r="AY10" s="75"/>
      <c r="AZ10" s="65"/>
      <c r="BA10" s="50"/>
    </row>
    <row r="11" spans="1:58" outlineLevel="1" x14ac:dyDescent="0.3">
      <c r="A11" s="19"/>
      <c r="B11" s="4"/>
      <c r="C11" s="4"/>
      <c r="D11" s="65"/>
      <c r="E11" s="65"/>
      <c r="F11" s="64"/>
      <c r="G11" s="64"/>
      <c r="H11" s="65"/>
      <c r="I11" s="65"/>
      <c r="J11" s="65"/>
      <c r="K11" s="65"/>
      <c r="L11" s="65"/>
      <c r="M11" s="3"/>
      <c r="N11" s="9"/>
      <c r="O11" s="3"/>
      <c r="P11" s="3"/>
      <c r="Q11" s="9"/>
      <c r="R11" s="65"/>
      <c r="S11" s="65"/>
      <c r="T11" s="12"/>
      <c r="U11" s="68"/>
      <c r="V11" s="65"/>
      <c r="W11" s="50"/>
      <c r="X11" s="72"/>
      <c r="Y11" s="65"/>
      <c r="Z11" s="9"/>
      <c r="AA11" s="64"/>
      <c r="AB11" s="65"/>
      <c r="AC11" s="9"/>
      <c r="AD11" s="64"/>
      <c r="AE11" s="65"/>
      <c r="AF11" s="9"/>
      <c r="AG11" s="65"/>
      <c r="AH11" s="65"/>
      <c r="AI11" s="9"/>
      <c r="AJ11" s="65"/>
      <c r="AK11" s="65"/>
      <c r="AL11" s="9"/>
      <c r="AM11" s="65"/>
      <c r="AN11" s="65"/>
      <c r="AO11" s="9"/>
      <c r="AP11" s="64"/>
      <c r="AQ11" s="65"/>
      <c r="AR11" s="9"/>
      <c r="AS11" s="65"/>
      <c r="AT11" s="65"/>
      <c r="AU11" s="12"/>
      <c r="AV11" s="68"/>
      <c r="AW11" s="65"/>
      <c r="AX11" s="12"/>
      <c r="AY11" s="75"/>
      <c r="AZ11" s="65"/>
      <c r="BA11" s="50"/>
    </row>
    <row r="12" spans="1:58" outlineLevel="1" x14ac:dyDescent="0.3">
      <c r="A12" s="19"/>
      <c r="B12" s="4"/>
      <c r="C12" s="4"/>
      <c r="D12" s="65"/>
      <c r="E12" s="65"/>
      <c r="F12" s="64"/>
      <c r="G12" s="64"/>
      <c r="H12" s="65"/>
      <c r="I12" s="65"/>
      <c r="J12" s="65"/>
      <c r="K12" s="65"/>
      <c r="L12" s="65"/>
      <c r="M12" s="3"/>
      <c r="N12" s="9"/>
      <c r="O12" s="3"/>
      <c r="P12" s="3"/>
      <c r="Q12" s="9"/>
      <c r="R12" s="65"/>
      <c r="S12" s="65"/>
      <c r="T12" s="12"/>
      <c r="U12" s="68"/>
      <c r="V12" s="65"/>
      <c r="W12" s="50"/>
      <c r="X12" s="72"/>
      <c r="Y12" s="65"/>
      <c r="Z12" s="9"/>
      <c r="AA12" s="64"/>
      <c r="AB12" s="65"/>
      <c r="AC12" s="9"/>
      <c r="AD12" s="64"/>
      <c r="AE12" s="65"/>
      <c r="AF12" s="9"/>
      <c r="AG12" s="65"/>
      <c r="AH12" s="65"/>
      <c r="AI12" s="9"/>
      <c r="AJ12" s="65"/>
      <c r="AK12" s="65"/>
      <c r="AL12" s="9"/>
      <c r="AM12" s="65"/>
      <c r="AN12" s="65"/>
      <c r="AO12" s="9"/>
      <c r="AP12" s="64"/>
      <c r="AQ12" s="65"/>
      <c r="AR12" s="9"/>
      <c r="AS12" s="65"/>
      <c r="AT12" s="65"/>
      <c r="AU12" s="12"/>
      <c r="AV12" s="68"/>
      <c r="AW12" s="65"/>
      <c r="AX12" s="12"/>
      <c r="AY12" s="75"/>
      <c r="AZ12" s="65"/>
      <c r="BA12" s="50"/>
    </row>
    <row r="13" spans="1:58" outlineLevel="1" x14ac:dyDescent="0.3">
      <c r="A13" s="19"/>
      <c r="B13" s="4"/>
      <c r="C13" s="4"/>
      <c r="D13" s="65"/>
      <c r="E13" s="65"/>
      <c r="F13" s="64"/>
      <c r="G13" s="64"/>
      <c r="H13" s="65"/>
      <c r="I13" s="65"/>
      <c r="J13" s="65"/>
      <c r="K13" s="65"/>
      <c r="L13" s="65"/>
      <c r="M13" s="3"/>
      <c r="N13" s="9"/>
      <c r="O13" s="3"/>
      <c r="P13" s="3"/>
      <c r="Q13" s="9"/>
      <c r="R13" s="65"/>
      <c r="S13" s="65"/>
      <c r="T13" s="12"/>
      <c r="U13" s="68"/>
      <c r="V13" s="65"/>
      <c r="W13" s="50"/>
      <c r="X13" s="72"/>
      <c r="Y13" s="65"/>
      <c r="Z13" s="9"/>
      <c r="AA13" s="64"/>
      <c r="AB13" s="65"/>
      <c r="AC13" s="9"/>
      <c r="AD13" s="64"/>
      <c r="AE13" s="65"/>
      <c r="AF13" s="9"/>
      <c r="AG13" s="65"/>
      <c r="AH13" s="65"/>
      <c r="AI13" s="9"/>
      <c r="AJ13" s="65"/>
      <c r="AK13" s="65"/>
      <c r="AL13" s="9"/>
      <c r="AM13" s="65"/>
      <c r="AN13" s="65"/>
      <c r="AO13" s="9"/>
      <c r="AP13" s="64"/>
      <c r="AQ13" s="65"/>
      <c r="AR13" s="9"/>
      <c r="AS13" s="65"/>
      <c r="AT13" s="65"/>
      <c r="AU13" s="12"/>
      <c r="AV13" s="68"/>
      <c r="AW13" s="65"/>
      <c r="AX13" s="12"/>
      <c r="AY13" s="75"/>
      <c r="AZ13" s="65"/>
      <c r="BA13" s="50"/>
    </row>
    <row r="14" spans="1:58" outlineLevel="1" x14ac:dyDescent="0.3">
      <c r="A14" s="19"/>
      <c r="B14" s="4"/>
      <c r="C14" s="4"/>
      <c r="D14" s="65"/>
      <c r="E14" s="65"/>
      <c r="F14" s="64"/>
      <c r="G14" s="64"/>
      <c r="H14" s="65"/>
      <c r="I14" s="65"/>
      <c r="J14" s="65"/>
      <c r="K14" s="65"/>
      <c r="L14" s="65"/>
      <c r="M14" s="3"/>
      <c r="N14" s="9"/>
      <c r="O14" s="3"/>
      <c r="P14" s="3"/>
      <c r="Q14" s="9"/>
      <c r="R14" s="65"/>
      <c r="S14" s="65"/>
      <c r="T14" s="12"/>
      <c r="U14" s="68"/>
      <c r="V14" s="65"/>
      <c r="W14" s="50"/>
      <c r="X14" s="72"/>
      <c r="Y14" s="65"/>
      <c r="Z14" s="9"/>
      <c r="AA14" s="64"/>
      <c r="AB14" s="65"/>
      <c r="AC14" s="9"/>
      <c r="AD14" s="64"/>
      <c r="AE14" s="65"/>
      <c r="AF14" s="9"/>
      <c r="AG14" s="65"/>
      <c r="AH14" s="65"/>
      <c r="AI14" s="9"/>
      <c r="AJ14" s="65"/>
      <c r="AK14" s="65"/>
      <c r="AL14" s="9"/>
      <c r="AM14" s="65"/>
      <c r="AN14" s="65"/>
      <c r="AO14" s="9"/>
      <c r="AP14" s="64"/>
      <c r="AQ14" s="65"/>
      <c r="AR14" s="9"/>
      <c r="AS14" s="65"/>
      <c r="AT14" s="65"/>
      <c r="AU14" s="12"/>
      <c r="AV14" s="68"/>
      <c r="AW14" s="65"/>
      <c r="AX14" s="12"/>
      <c r="AY14" s="75"/>
      <c r="AZ14" s="65"/>
      <c r="BA14" s="50"/>
    </row>
    <row r="15" spans="1:58" outlineLevel="1" x14ac:dyDescent="0.3">
      <c r="A15" s="19"/>
      <c r="B15" s="4"/>
      <c r="C15" s="4"/>
      <c r="D15" s="65"/>
      <c r="E15" s="65"/>
      <c r="F15" s="64"/>
      <c r="G15" s="64"/>
      <c r="H15" s="65"/>
      <c r="I15" s="65"/>
      <c r="J15" s="65"/>
      <c r="K15" s="65"/>
      <c r="L15" s="65"/>
      <c r="M15" s="3"/>
      <c r="N15" s="9"/>
      <c r="O15" s="3"/>
      <c r="P15" s="3"/>
      <c r="Q15" s="9"/>
      <c r="R15" s="65"/>
      <c r="S15" s="65"/>
      <c r="T15" s="12"/>
      <c r="U15" s="68"/>
      <c r="V15" s="65"/>
      <c r="W15" s="50"/>
      <c r="X15" s="72"/>
      <c r="Y15" s="65"/>
      <c r="Z15" s="9"/>
      <c r="AA15" s="64"/>
      <c r="AB15" s="65"/>
      <c r="AC15" s="9"/>
      <c r="AD15" s="64"/>
      <c r="AE15" s="65"/>
      <c r="AF15" s="9"/>
      <c r="AG15" s="65"/>
      <c r="AH15" s="65"/>
      <c r="AI15" s="9"/>
      <c r="AJ15" s="65"/>
      <c r="AK15" s="65"/>
      <c r="AL15" s="9"/>
      <c r="AM15" s="65"/>
      <c r="AN15" s="65"/>
      <c r="AO15" s="9"/>
      <c r="AP15" s="64"/>
      <c r="AQ15" s="65"/>
      <c r="AR15" s="9"/>
      <c r="AS15" s="65"/>
      <c r="AT15" s="65"/>
      <c r="AU15" s="12"/>
      <c r="AV15" s="68"/>
      <c r="AW15" s="65"/>
      <c r="AX15" s="12"/>
      <c r="AY15" s="75"/>
      <c r="AZ15" s="65"/>
      <c r="BA15" s="50"/>
    </row>
    <row r="16" spans="1:58" outlineLevel="1" x14ac:dyDescent="0.3">
      <c r="A16" s="19"/>
      <c r="B16" s="4"/>
      <c r="C16" s="4"/>
      <c r="D16" s="65"/>
      <c r="E16" s="65"/>
      <c r="F16" s="64"/>
      <c r="G16" s="64"/>
      <c r="H16" s="65"/>
      <c r="I16" s="65"/>
      <c r="J16" s="65"/>
      <c r="K16" s="65"/>
      <c r="L16" s="65"/>
      <c r="M16" s="3"/>
      <c r="N16" s="9"/>
      <c r="O16" s="3"/>
      <c r="P16" s="3"/>
      <c r="Q16" s="9"/>
      <c r="R16" s="65"/>
      <c r="S16" s="65"/>
      <c r="T16" s="12"/>
      <c r="U16" s="68"/>
      <c r="V16" s="65"/>
      <c r="W16" s="50"/>
      <c r="X16" s="72"/>
      <c r="Y16" s="65"/>
      <c r="Z16" s="9"/>
      <c r="AA16" s="64"/>
      <c r="AB16" s="65"/>
      <c r="AC16" s="9"/>
      <c r="AD16" s="64"/>
      <c r="AE16" s="65"/>
      <c r="AF16" s="9"/>
      <c r="AG16" s="65"/>
      <c r="AH16" s="65"/>
      <c r="AI16" s="9"/>
      <c r="AJ16" s="65"/>
      <c r="AK16" s="65"/>
      <c r="AL16" s="9"/>
      <c r="AM16" s="65"/>
      <c r="AN16" s="65"/>
      <c r="AO16" s="9"/>
      <c r="AP16" s="64"/>
      <c r="AQ16" s="65"/>
      <c r="AR16" s="9"/>
      <c r="AS16" s="65"/>
      <c r="AT16" s="65"/>
      <c r="AU16" s="12"/>
      <c r="AV16" s="68"/>
      <c r="AW16" s="65"/>
      <c r="AX16" s="12"/>
      <c r="AY16" s="75"/>
      <c r="AZ16" s="65"/>
      <c r="BA16" s="50"/>
    </row>
    <row r="17" spans="1:53" outlineLevel="1" x14ac:dyDescent="0.3">
      <c r="A17" s="19"/>
      <c r="B17" s="4"/>
      <c r="C17" s="4"/>
      <c r="D17" s="65"/>
      <c r="E17" s="65"/>
      <c r="F17" s="64"/>
      <c r="G17" s="64"/>
      <c r="H17" s="65"/>
      <c r="I17" s="65"/>
      <c r="J17" s="65"/>
      <c r="K17" s="65"/>
      <c r="L17" s="65"/>
      <c r="M17" s="3"/>
      <c r="N17" s="9"/>
      <c r="O17" s="3"/>
      <c r="P17" s="3"/>
      <c r="Q17" s="9"/>
      <c r="R17" s="65"/>
      <c r="S17" s="65"/>
      <c r="T17" s="12"/>
      <c r="U17" s="68"/>
      <c r="V17" s="65"/>
      <c r="W17" s="50"/>
      <c r="X17" s="72"/>
      <c r="Y17" s="65"/>
      <c r="Z17" s="9"/>
      <c r="AA17" s="64"/>
      <c r="AB17" s="65"/>
      <c r="AC17" s="9"/>
      <c r="AD17" s="64"/>
      <c r="AE17" s="65"/>
      <c r="AF17" s="9"/>
      <c r="AG17" s="65"/>
      <c r="AH17" s="65"/>
      <c r="AI17" s="9"/>
      <c r="AJ17" s="65"/>
      <c r="AK17" s="65"/>
      <c r="AL17" s="9"/>
      <c r="AM17" s="65"/>
      <c r="AN17" s="65"/>
      <c r="AO17" s="9"/>
      <c r="AP17" s="64"/>
      <c r="AQ17" s="65"/>
      <c r="AR17" s="9"/>
      <c r="AS17" s="65"/>
      <c r="AT17" s="65"/>
      <c r="AU17" s="12"/>
      <c r="AV17" s="68"/>
      <c r="AW17" s="65"/>
      <c r="AX17" s="12"/>
      <c r="AY17" s="75"/>
      <c r="AZ17" s="65"/>
      <c r="BA17" s="50"/>
    </row>
    <row r="18" spans="1:53" outlineLevel="1" x14ac:dyDescent="0.3">
      <c r="A18" s="19"/>
      <c r="B18" s="4"/>
      <c r="C18" s="4"/>
      <c r="D18" s="65"/>
      <c r="E18" s="65"/>
      <c r="F18" s="64"/>
      <c r="G18" s="64"/>
      <c r="H18" s="65"/>
      <c r="I18" s="65"/>
      <c r="J18" s="65"/>
      <c r="K18" s="65"/>
      <c r="L18" s="65"/>
      <c r="M18" s="3"/>
      <c r="N18" s="9"/>
      <c r="O18" s="3"/>
      <c r="P18" s="3"/>
      <c r="Q18" s="9"/>
      <c r="R18" s="65"/>
      <c r="S18" s="65"/>
      <c r="T18" s="12"/>
      <c r="U18" s="68"/>
      <c r="V18" s="65"/>
      <c r="W18" s="50"/>
      <c r="X18" s="72"/>
      <c r="Y18" s="65"/>
      <c r="Z18" s="9"/>
      <c r="AA18" s="64"/>
      <c r="AB18" s="65"/>
      <c r="AC18" s="9"/>
      <c r="AD18" s="64"/>
      <c r="AE18" s="65"/>
      <c r="AF18" s="9"/>
      <c r="AG18" s="65"/>
      <c r="AH18" s="65"/>
      <c r="AI18" s="9"/>
      <c r="AJ18" s="65"/>
      <c r="AK18" s="65"/>
      <c r="AL18" s="9"/>
      <c r="AM18" s="65"/>
      <c r="AN18" s="65"/>
      <c r="AO18" s="9"/>
      <c r="AP18" s="64"/>
      <c r="AQ18" s="65"/>
      <c r="AR18" s="9"/>
      <c r="AS18" s="65"/>
      <c r="AT18" s="65"/>
      <c r="AU18" s="12"/>
      <c r="AV18" s="68"/>
      <c r="AW18" s="65"/>
      <c r="AX18" s="12"/>
      <c r="AY18" s="75"/>
      <c r="AZ18" s="65"/>
      <c r="BA18" s="50"/>
    </row>
    <row r="19" spans="1:53" outlineLevel="1" x14ac:dyDescent="0.3">
      <c r="A19" s="19"/>
      <c r="B19" s="4"/>
      <c r="C19" s="4"/>
      <c r="D19" s="65"/>
      <c r="E19" s="65"/>
      <c r="F19" s="64"/>
      <c r="G19" s="64"/>
      <c r="H19" s="65"/>
      <c r="I19" s="65"/>
      <c r="J19" s="65"/>
      <c r="K19" s="65"/>
      <c r="L19" s="65"/>
      <c r="M19" s="3"/>
      <c r="N19" s="9"/>
      <c r="O19" s="3"/>
      <c r="P19" s="3"/>
      <c r="Q19" s="9"/>
      <c r="R19" s="65"/>
      <c r="S19" s="65"/>
      <c r="T19" s="12"/>
      <c r="U19" s="68"/>
      <c r="V19" s="65"/>
      <c r="W19" s="50"/>
      <c r="X19" s="72"/>
      <c r="Y19" s="65"/>
      <c r="Z19" s="9"/>
      <c r="AA19" s="64"/>
      <c r="AB19" s="65"/>
      <c r="AC19" s="9"/>
      <c r="AD19" s="64"/>
      <c r="AE19" s="65"/>
      <c r="AF19" s="9"/>
      <c r="AG19" s="65"/>
      <c r="AH19" s="65"/>
      <c r="AI19" s="9"/>
      <c r="AJ19" s="65"/>
      <c r="AK19" s="65"/>
      <c r="AL19" s="9"/>
      <c r="AM19" s="65"/>
      <c r="AN19" s="65"/>
      <c r="AO19" s="9"/>
      <c r="AP19" s="64"/>
      <c r="AQ19" s="65"/>
      <c r="AR19" s="9"/>
      <c r="AS19" s="65"/>
      <c r="AT19" s="65"/>
      <c r="AU19" s="12"/>
      <c r="AV19" s="68"/>
      <c r="AW19" s="65"/>
      <c r="AX19" s="12"/>
      <c r="AY19" s="75"/>
      <c r="AZ19" s="65"/>
      <c r="BA19" s="50"/>
    </row>
    <row r="20" spans="1:53" outlineLevel="1" x14ac:dyDescent="0.3">
      <c r="A20" s="19"/>
      <c r="B20" s="4"/>
      <c r="C20" s="4"/>
      <c r="D20" s="65"/>
      <c r="E20" s="65"/>
      <c r="F20" s="64"/>
      <c r="G20" s="64"/>
      <c r="H20" s="65"/>
      <c r="I20" s="65"/>
      <c r="J20" s="65"/>
      <c r="K20" s="65"/>
      <c r="L20" s="65"/>
      <c r="M20" s="3"/>
      <c r="N20" s="9"/>
      <c r="O20" s="3"/>
      <c r="P20" s="3"/>
      <c r="Q20" s="9"/>
      <c r="R20" s="65"/>
      <c r="S20" s="65"/>
      <c r="T20" s="12"/>
      <c r="U20" s="68"/>
      <c r="V20" s="65"/>
      <c r="W20" s="50"/>
      <c r="X20" s="72"/>
      <c r="Y20" s="65"/>
      <c r="Z20" s="9"/>
      <c r="AA20" s="64"/>
      <c r="AB20" s="65"/>
      <c r="AC20" s="9"/>
      <c r="AD20" s="64"/>
      <c r="AE20" s="65"/>
      <c r="AF20" s="9"/>
      <c r="AG20" s="65"/>
      <c r="AH20" s="65"/>
      <c r="AI20" s="9"/>
      <c r="AJ20" s="65"/>
      <c r="AK20" s="65"/>
      <c r="AL20" s="9"/>
      <c r="AM20" s="65"/>
      <c r="AN20" s="65"/>
      <c r="AO20" s="9"/>
      <c r="AP20" s="64"/>
      <c r="AQ20" s="65"/>
      <c r="AR20" s="9"/>
      <c r="AS20" s="65"/>
      <c r="AT20" s="65"/>
      <c r="AU20" s="12"/>
      <c r="AV20" s="68"/>
      <c r="AW20" s="65"/>
      <c r="AX20" s="12"/>
      <c r="AY20" s="75"/>
      <c r="AZ20" s="65"/>
      <c r="BA20" s="50"/>
    </row>
    <row r="21" spans="1:53" outlineLevel="1" x14ac:dyDescent="0.3">
      <c r="A21" s="19"/>
      <c r="B21" s="4"/>
      <c r="C21" s="4"/>
      <c r="D21" s="65"/>
      <c r="E21" s="65"/>
      <c r="F21" s="64"/>
      <c r="G21" s="64"/>
      <c r="H21" s="65"/>
      <c r="I21" s="65"/>
      <c r="J21" s="65"/>
      <c r="K21" s="65"/>
      <c r="L21" s="65"/>
      <c r="M21" s="3"/>
      <c r="N21" s="9"/>
      <c r="O21" s="3"/>
      <c r="P21" s="3"/>
      <c r="Q21" s="9"/>
      <c r="R21" s="65"/>
      <c r="S21" s="65"/>
      <c r="T21" s="12"/>
      <c r="U21" s="68"/>
      <c r="V21" s="65"/>
      <c r="W21" s="50"/>
      <c r="X21" s="72"/>
      <c r="Y21" s="65"/>
      <c r="Z21" s="9"/>
      <c r="AA21" s="64"/>
      <c r="AB21" s="65"/>
      <c r="AC21" s="9"/>
      <c r="AD21" s="64"/>
      <c r="AE21" s="65"/>
      <c r="AF21" s="9"/>
      <c r="AG21" s="65"/>
      <c r="AH21" s="65"/>
      <c r="AI21" s="9"/>
      <c r="AJ21" s="65"/>
      <c r="AK21" s="65"/>
      <c r="AL21" s="9"/>
      <c r="AM21" s="65"/>
      <c r="AN21" s="65"/>
      <c r="AO21" s="9"/>
      <c r="AP21" s="64"/>
      <c r="AQ21" s="65"/>
      <c r="AR21" s="9"/>
      <c r="AS21" s="65"/>
      <c r="AT21" s="65"/>
      <c r="AU21" s="12"/>
      <c r="AV21" s="68"/>
      <c r="AW21" s="65"/>
      <c r="AX21" s="12"/>
      <c r="AY21" s="75"/>
      <c r="AZ21" s="65"/>
      <c r="BA21" s="50"/>
    </row>
    <row r="22" spans="1:53" outlineLevel="1" x14ac:dyDescent="0.3">
      <c r="A22" s="19"/>
      <c r="B22" s="4"/>
      <c r="C22" s="4"/>
      <c r="D22" s="65"/>
      <c r="E22" s="65"/>
      <c r="F22" s="64"/>
      <c r="G22" s="64"/>
      <c r="H22" s="65"/>
      <c r="I22" s="65"/>
      <c r="J22" s="65"/>
      <c r="K22" s="65"/>
      <c r="L22" s="65"/>
      <c r="M22" s="3"/>
      <c r="N22" s="9"/>
      <c r="O22" s="3"/>
      <c r="P22" s="3"/>
      <c r="Q22" s="9"/>
      <c r="R22" s="65"/>
      <c r="S22" s="65"/>
      <c r="T22" s="12"/>
      <c r="U22" s="68"/>
      <c r="V22" s="65"/>
      <c r="W22" s="50"/>
      <c r="X22" s="72"/>
      <c r="Y22" s="65"/>
      <c r="Z22" s="9"/>
      <c r="AA22" s="64"/>
      <c r="AB22" s="65"/>
      <c r="AC22" s="9"/>
      <c r="AD22" s="64"/>
      <c r="AE22" s="65"/>
      <c r="AF22" s="9"/>
      <c r="AG22" s="65"/>
      <c r="AH22" s="65"/>
      <c r="AI22" s="9"/>
      <c r="AJ22" s="65"/>
      <c r="AK22" s="65"/>
      <c r="AL22" s="9"/>
      <c r="AM22" s="65"/>
      <c r="AN22" s="65"/>
      <c r="AO22" s="9"/>
      <c r="AP22" s="64"/>
      <c r="AQ22" s="65"/>
      <c r="AR22" s="9"/>
      <c r="AS22" s="65"/>
      <c r="AT22" s="65"/>
      <c r="AU22" s="12"/>
      <c r="AV22" s="68"/>
      <c r="AW22" s="65"/>
      <c r="AX22" s="12"/>
      <c r="AY22" s="75"/>
      <c r="AZ22" s="65"/>
      <c r="BA22" s="50"/>
    </row>
    <row r="23" spans="1:53" outlineLevel="1" x14ac:dyDescent="0.3">
      <c r="A23" s="19"/>
      <c r="B23" s="4"/>
      <c r="C23" s="4"/>
      <c r="D23" s="65"/>
      <c r="E23" s="65"/>
      <c r="F23" s="64"/>
      <c r="G23" s="64"/>
      <c r="H23" s="65"/>
      <c r="I23" s="65"/>
      <c r="J23" s="65"/>
      <c r="K23" s="65"/>
      <c r="L23" s="65"/>
      <c r="M23" s="3"/>
      <c r="N23" s="9"/>
      <c r="O23" s="3"/>
      <c r="P23" s="3"/>
      <c r="Q23" s="9"/>
      <c r="R23" s="65"/>
      <c r="S23" s="65"/>
      <c r="T23" s="12"/>
      <c r="U23" s="68"/>
      <c r="V23" s="65"/>
      <c r="W23" s="50"/>
      <c r="X23" s="72"/>
      <c r="Y23" s="65"/>
      <c r="Z23" s="9"/>
      <c r="AA23" s="64"/>
      <c r="AB23" s="65"/>
      <c r="AC23" s="9"/>
      <c r="AD23" s="64"/>
      <c r="AE23" s="65"/>
      <c r="AF23" s="9"/>
      <c r="AG23" s="65"/>
      <c r="AH23" s="65"/>
      <c r="AI23" s="9"/>
      <c r="AJ23" s="65"/>
      <c r="AK23" s="65"/>
      <c r="AL23" s="9"/>
      <c r="AM23" s="65"/>
      <c r="AN23" s="65"/>
      <c r="AO23" s="9"/>
      <c r="AP23" s="64"/>
      <c r="AQ23" s="65"/>
      <c r="AR23" s="9"/>
      <c r="AS23" s="65"/>
      <c r="AT23" s="65"/>
      <c r="AU23" s="12"/>
      <c r="AV23" s="68"/>
      <c r="AW23" s="65"/>
      <c r="AX23" s="12"/>
      <c r="AY23" s="75"/>
      <c r="AZ23" s="65"/>
      <c r="BA23" s="50"/>
    </row>
    <row r="24" spans="1:53" outlineLevel="1" x14ac:dyDescent="0.3">
      <c r="A24" s="19"/>
      <c r="B24" s="4"/>
      <c r="C24" s="4"/>
      <c r="D24" s="65"/>
      <c r="E24" s="65"/>
      <c r="F24" s="64"/>
      <c r="G24" s="64"/>
      <c r="H24" s="65"/>
      <c r="I24" s="65"/>
      <c r="J24" s="65"/>
      <c r="K24" s="65"/>
      <c r="L24" s="65"/>
      <c r="M24" s="3"/>
      <c r="N24" s="9"/>
      <c r="O24" s="3"/>
      <c r="P24" s="3"/>
      <c r="Q24" s="9"/>
      <c r="R24" s="65"/>
      <c r="S24" s="65"/>
      <c r="T24" s="12"/>
      <c r="U24" s="68"/>
      <c r="V24" s="65"/>
      <c r="W24" s="50"/>
      <c r="X24" s="72"/>
      <c r="Y24" s="65"/>
      <c r="Z24" s="9"/>
      <c r="AA24" s="64"/>
      <c r="AB24" s="65"/>
      <c r="AC24" s="9"/>
      <c r="AD24" s="64"/>
      <c r="AE24" s="65"/>
      <c r="AF24" s="9"/>
      <c r="AG24" s="65"/>
      <c r="AH24" s="65"/>
      <c r="AI24" s="9"/>
      <c r="AJ24" s="65"/>
      <c r="AK24" s="65"/>
      <c r="AL24" s="9"/>
      <c r="AM24" s="65"/>
      <c r="AN24" s="65"/>
      <c r="AO24" s="9"/>
      <c r="AP24" s="64"/>
      <c r="AQ24" s="65"/>
      <c r="AR24" s="9"/>
      <c r="AS24" s="65"/>
      <c r="AT24" s="65"/>
      <c r="AU24" s="12"/>
      <c r="AV24" s="68"/>
      <c r="AW24" s="65"/>
      <c r="AX24" s="12"/>
      <c r="AY24" s="75"/>
      <c r="AZ24" s="65"/>
      <c r="BA24" s="50"/>
    </row>
    <row r="25" spans="1:53" outlineLevel="1" x14ac:dyDescent="0.3">
      <c r="A25" s="19"/>
      <c r="B25" s="4"/>
      <c r="C25" s="4"/>
      <c r="D25" s="65"/>
      <c r="E25" s="65"/>
      <c r="F25" s="64"/>
      <c r="G25" s="64"/>
      <c r="H25" s="65"/>
      <c r="I25" s="65"/>
      <c r="J25" s="65"/>
      <c r="K25" s="65"/>
      <c r="L25" s="65"/>
      <c r="M25" s="3"/>
      <c r="N25" s="9"/>
      <c r="O25" s="3"/>
      <c r="P25" s="3"/>
      <c r="Q25" s="9"/>
      <c r="R25" s="65"/>
      <c r="S25" s="65"/>
      <c r="T25" s="12"/>
      <c r="U25" s="68"/>
      <c r="V25" s="65"/>
      <c r="W25" s="50"/>
      <c r="X25" s="72"/>
      <c r="Y25" s="65"/>
      <c r="Z25" s="9"/>
      <c r="AA25" s="64"/>
      <c r="AB25" s="65"/>
      <c r="AC25" s="9"/>
      <c r="AD25" s="64"/>
      <c r="AE25" s="65"/>
      <c r="AF25" s="9"/>
      <c r="AG25" s="65"/>
      <c r="AH25" s="65"/>
      <c r="AI25" s="9"/>
      <c r="AJ25" s="65"/>
      <c r="AK25" s="65"/>
      <c r="AL25" s="9"/>
      <c r="AM25" s="65"/>
      <c r="AN25" s="65"/>
      <c r="AO25" s="9"/>
      <c r="AP25" s="64"/>
      <c r="AQ25" s="65"/>
      <c r="AR25" s="9"/>
      <c r="AS25" s="65"/>
      <c r="AT25" s="65"/>
      <c r="AU25" s="12"/>
      <c r="AV25" s="68"/>
      <c r="AW25" s="65"/>
      <c r="AX25" s="12"/>
      <c r="AY25" s="75"/>
      <c r="AZ25" s="65"/>
      <c r="BA25" s="50"/>
    </row>
    <row r="26" spans="1:53" outlineLevel="1" x14ac:dyDescent="0.3">
      <c r="A26" s="19"/>
      <c r="B26" s="4"/>
      <c r="C26" s="4"/>
      <c r="D26" s="65"/>
      <c r="E26" s="65"/>
      <c r="F26" s="64"/>
      <c r="G26" s="64"/>
      <c r="H26" s="65"/>
      <c r="I26" s="65"/>
      <c r="J26" s="65"/>
      <c r="K26" s="65"/>
      <c r="L26" s="65"/>
      <c r="M26" s="3"/>
      <c r="N26" s="9"/>
      <c r="O26" s="3"/>
      <c r="P26" s="3"/>
      <c r="Q26" s="9"/>
      <c r="R26" s="65"/>
      <c r="S26" s="65"/>
      <c r="T26" s="12"/>
      <c r="U26" s="68"/>
      <c r="V26" s="65"/>
      <c r="W26" s="50"/>
      <c r="X26" s="72"/>
      <c r="Y26" s="65"/>
      <c r="Z26" s="9"/>
      <c r="AA26" s="64"/>
      <c r="AB26" s="65"/>
      <c r="AC26" s="9"/>
      <c r="AD26" s="64"/>
      <c r="AE26" s="65"/>
      <c r="AF26" s="9"/>
      <c r="AG26" s="65"/>
      <c r="AH26" s="65"/>
      <c r="AI26" s="9"/>
      <c r="AJ26" s="65"/>
      <c r="AK26" s="65"/>
      <c r="AL26" s="9"/>
      <c r="AM26" s="65"/>
      <c r="AN26" s="65"/>
      <c r="AO26" s="9"/>
      <c r="AP26" s="64"/>
      <c r="AQ26" s="65"/>
      <c r="AR26" s="9"/>
      <c r="AS26" s="65"/>
      <c r="AT26" s="65"/>
      <c r="AU26" s="12"/>
      <c r="AV26" s="68"/>
      <c r="AW26" s="65"/>
      <c r="AX26" s="12"/>
      <c r="AY26" s="75"/>
      <c r="AZ26" s="65"/>
      <c r="BA26" s="50"/>
    </row>
    <row r="27" spans="1:53" outlineLevel="1" x14ac:dyDescent="0.3">
      <c r="A27" s="19"/>
      <c r="B27" s="4"/>
      <c r="C27" s="4"/>
      <c r="D27" s="65"/>
      <c r="E27" s="65"/>
      <c r="F27" s="64"/>
      <c r="G27" s="64"/>
      <c r="H27" s="65"/>
      <c r="I27" s="65"/>
      <c r="J27" s="65"/>
      <c r="K27" s="65"/>
      <c r="L27" s="65"/>
      <c r="M27" s="3"/>
      <c r="N27" s="9"/>
      <c r="O27" s="3"/>
      <c r="P27" s="3"/>
      <c r="Q27" s="9"/>
      <c r="R27" s="65"/>
      <c r="S27" s="65"/>
      <c r="T27" s="12"/>
      <c r="U27" s="68"/>
      <c r="V27" s="65"/>
      <c r="W27" s="50"/>
      <c r="X27" s="72"/>
      <c r="Y27" s="65"/>
      <c r="Z27" s="9"/>
      <c r="AA27" s="64"/>
      <c r="AB27" s="65"/>
      <c r="AC27" s="9"/>
      <c r="AD27" s="64"/>
      <c r="AE27" s="65"/>
      <c r="AF27" s="9"/>
      <c r="AG27" s="65"/>
      <c r="AH27" s="65"/>
      <c r="AI27" s="9"/>
      <c r="AJ27" s="65"/>
      <c r="AK27" s="65"/>
      <c r="AL27" s="9"/>
      <c r="AM27" s="65"/>
      <c r="AN27" s="65"/>
      <c r="AO27" s="9"/>
      <c r="AP27" s="64"/>
      <c r="AQ27" s="65"/>
      <c r="AR27" s="9"/>
      <c r="AS27" s="65"/>
      <c r="AT27" s="65"/>
      <c r="AU27" s="12"/>
      <c r="AV27" s="68"/>
      <c r="AW27" s="65"/>
      <c r="AX27" s="12"/>
      <c r="AY27" s="75"/>
      <c r="AZ27" s="65"/>
      <c r="BA27" s="50"/>
    </row>
    <row r="28" spans="1:53" outlineLevel="1" x14ac:dyDescent="0.3">
      <c r="A28" s="19"/>
      <c r="B28" s="4"/>
      <c r="C28" s="4"/>
      <c r="D28" s="65"/>
      <c r="E28" s="65"/>
      <c r="F28" s="64"/>
      <c r="G28" s="64"/>
      <c r="H28" s="65"/>
      <c r="I28" s="65"/>
      <c r="J28" s="65"/>
      <c r="K28" s="65"/>
      <c r="L28" s="65"/>
      <c r="M28" s="3"/>
      <c r="N28" s="9"/>
      <c r="O28" s="3"/>
      <c r="P28" s="3"/>
      <c r="Q28" s="9"/>
      <c r="R28" s="65"/>
      <c r="S28" s="65"/>
      <c r="T28" s="12"/>
      <c r="U28" s="68"/>
      <c r="V28" s="65"/>
      <c r="W28" s="50"/>
      <c r="X28" s="72"/>
      <c r="Y28" s="65"/>
      <c r="Z28" s="9"/>
      <c r="AA28" s="64"/>
      <c r="AB28" s="65"/>
      <c r="AC28" s="9"/>
      <c r="AD28" s="64"/>
      <c r="AE28" s="65"/>
      <c r="AF28" s="9"/>
      <c r="AG28" s="65"/>
      <c r="AH28" s="65"/>
      <c r="AI28" s="9"/>
      <c r="AJ28" s="65"/>
      <c r="AK28" s="65"/>
      <c r="AL28" s="9"/>
      <c r="AM28" s="65"/>
      <c r="AN28" s="65"/>
      <c r="AO28" s="9"/>
      <c r="AP28" s="64"/>
      <c r="AQ28" s="65"/>
      <c r="AR28" s="9"/>
      <c r="AS28" s="65"/>
      <c r="AT28" s="65"/>
      <c r="AU28" s="12"/>
      <c r="AV28" s="68"/>
      <c r="AW28" s="65"/>
      <c r="AX28" s="12"/>
      <c r="AY28" s="75"/>
      <c r="AZ28" s="65"/>
      <c r="BA28" s="50"/>
    </row>
    <row r="29" spans="1:53" outlineLevel="1" x14ac:dyDescent="0.3">
      <c r="A29" s="19"/>
      <c r="B29" s="4"/>
      <c r="C29" s="4"/>
      <c r="D29" s="65"/>
      <c r="E29" s="65"/>
      <c r="F29" s="64"/>
      <c r="G29" s="64"/>
      <c r="H29" s="65"/>
      <c r="I29" s="65"/>
      <c r="J29" s="65"/>
      <c r="K29" s="65"/>
      <c r="L29" s="65"/>
      <c r="M29" s="3"/>
      <c r="N29" s="9"/>
      <c r="O29" s="3"/>
      <c r="P29" s="3"/>
      <c r="Q29" s="9"/>
      <c r="R29" s="65"/>
      <c r="S29" s="65"/>
      <c r="T29" s="12"/>
      <c r="U29" s="68"/>
      <c r="V29" s="65"/>
      <c r="W29" s="50"/>
      <c r="X29" s="72"/>
      <c r="Y29" s="65"/>
      <c r="Z29" s="9"/>
      <c r="AA29" s="64"/>
      <c r="AB29" s="65"/>
      <c r="AC29" s="9"/>
      <c r="AD29" s="64"/>
      <c r="AE29" s="65"/>
      <c r="AF29" s="9"/>
      <c r="AG29" s="65"/>
      <c r="AH29" s="65"/>
      <c r="AI29" s="9"/>
      <c r="AJ29" s="65"/>
      <c r="AK29" s="65"/>
      <c r="AL29" s="9"/>
      <c r="AM29" s="65"/>
      <c r="AN29" s="65"/>
      <c r="AO29" s="9"/>
      <c r="AP29" s="64"/>
      <c r="AQ29" s="65"/>
      <c r="AR29" s="9"/>
      <c r="AS29" s="65"/>
      <c r="AT29" s="65"/>
      <c r="AU29" s="12"/>
      <c r="AV29" s="68"/>
      <c r="AW29" s="65"/>
      <c r="AX29" s="12"/>
      <c r="AY29" s="75"/>
      <c r="AZ29" s="65"/>
      <c r="BA29" s="50"/>
    </row>
    <row r="30" spans="1:53" outlineLevel="1" x14ac:dyDescent="0.3">
      <c r="A30" s="19"/>
      <c r="B30" s="4"/>
      <c r="C30" s="4"/>
      <c r="D30" s="65"/>
      <c r="E30" s="65"/>
      <c r="F30" s="64"/>
      <c r="G30" s="64"/>
      <c r="H30" s="65"/>
      <c r="I30" s="65"/>
      <c r="J30" s="65"/>
      <c r="K30" s="65"/>
      <c r="L30" s="65"/>
      <c r="M30" s="3"/>
      <c r="N30" s="9"/>
      <c r="O30" s="3"/>
      <c r="P30" s="3"/>
      <c r="Q30" s="9"/>
      <c r="R30" s="65"/>
      <c r="S30" s="65"/>
      <c r="T30" s="12"/>
      <c r="U30" s="68"/>
      <c r="V30" s="65"/>
      <c r="W30" s="50"/>
      <c r="X30" s="72"/>
      <c r="Y30" s="65"/>
      <c r="Z30" s="9"/>
      <c r="AA30" s="64"/>
      <c r="AB30" s="65"/>
      <c r="AC30" s="9"/>
      <c r="AD30" s="64"/>
      <c r="AE30" s="65"/>
      <c r="AF30" s="9"/>
      <c r="AG30" s="65"/>
      <c r="AH30" s="65"/>
      <c r="AI30" s="9"/>
      <c r="AJ30" s="65"/>
      <c r="AK30" s="65"/>
      <c r="AL30" s="9"/>
      <c r="AM30" s="65"/>
      <c r="AN30" s="65"/>
      <c r="AO30" s="9"/>
      <c r="AP30" s="64"/>
      <c r="AQ30" s="65"/>
      <c r="AR30" s="9"/>
      <c r="AS30" s="65"/>
      <c r="AT30" s="65"/>
      <c r="AU30" s="12"/>
      <c r="AV30" s="68"/>
      <c r="AW30" s="65"/>
      <c r="AX30" s="12"/>
      <c r="AY30" s="75"/>
      <c r="AZ30" s="65"/>
      <c r="BA30" s="50"/>
    </row>
    <row r="31" spans="1:53" outlineLevel="1" x14ac:dyDescent="0.3">
      <c r="A31" s="19"/>
      <c r="B31" s="4"/>
      <c r="C31" s="4"/>
      <c r="D31" s="65"/>
      <c r="E31" s="65"/>
      <c r="F31" s="64"/>
      <c r="G31" s="64"/>
      <c r="H31" s="65"/>
      <c r="I31" s="65"/>
      <c r="J31" s="65"/>
      <c r="K31" s="65"/>
      <c r="L31" s="65"/>
      <c r="M31" s="3"/>
      <c r="N31" s="9"/>
      <c r="O31" s="3"/>
      <c r="P31" s="3"/>
      <c r="Q31" s="9"/>
      <c r="R31" s="65"/>
      <c r="S31" s="65"/>
      <c r="T31" s="12"/>
      <c r="U31" s="68"/>
      <c r="V31" s="65"/>
      <c r="W31" s="50"/>
      <c r="X31" s="72"/>
      <c r="Y31" s="65"/>
      <c r="Z31" s="9"/>
      <c r="AA31" s="64"/>
      <c r="AB31" s="65"/>
      <c r="AC31" s="9"/>
      <c r="AD31" s="64"/>
      <c r="AE31" s="65"/>
      <c r="AF31" s="9"/>
      <c r="AG31" s="65"/>
      <c r="AH31" s="65"/>
      <c r="AI31" s="9"/>
      <c r="AJ31" s="65"/>
      <c r="AK31" s="65"/>
      <c r="AL31" s="9"/>
      <c r="AM31" s="65"/>
      <c r="AN31" s="65"/>
      <c r="AO31" s="9"/>
      <c r="AP31" s="64"/>
      <c r="AQ31" s="65"/>
      <c r="AR31" s="9"/>
      <c r="AS31" s="65"/>
      <c r="AT31" s="65"/>
      <c r="AU31" s="12"/>
      <c r="AV31" s="68"/>
      <c r="AW31" s="65"/>
      <c r="AX31" s="12"/>
      <c r="AY31" s="75"/>
      <c r="AZ31" s="65"/>
      <c r="BA31" s="50"/>
    </row>
    <row r="32" spans="1:53" outlineLevel="1" x14ac:dyDescent="0.3">
      <c r="A32" s="19"/>
      <c r="B32" s="4"/>
      <c r="C32" s="4"/>
      <c r="D32" s="65"/>
      <c r="E32" s="65"/>
      <c r="F32" s="64"/>
      <c r="G32" s="64"/>
      <c r="H32" s="65"/>
      <c r="I32" s="65"/>
      <c r="J32" s="65"/>
      <c r="K32" s="65"/>
      <c r="L32" s="65"/>
      <c r="M32" s="3"/>
      <c r="N32" s="9"/>
      <c r="O32" s="3"/>
      <c r="P32" s="3"/>
      <c r="Q32" s="9"/>
      <c r="R32" s="65"/>
      <c r="S32" s="65"/>
      <c r="T32" s="12"/>
      <c r="U32" s="68"/>
      <c r="V32" s="65"/>
      <c r="W32" s="50"/>
      <c r="X32" s="72"/>
      <c r="Y32" s="65"/>
      <c r="Z32" s="9"/>
      <c r="AA32" s="64"/>
      <c r="AB32" s="65"/>
      <c r="AC32" s="9"/>
      <c r="AD32" s="64"/>
      <c r="AE32" s="65"/>
      <c r="AF32" s="9"/>
      <c r="AG32" s="65"/>
      <c r="AH32" s="65"/>
      <c r="AI32" s="9"/>
      <c r="AJ32" s="65"/>
      <c r="AK32" s="65"/>
      <c r="AL32" s="9"/>
      <c r="AM32" s="65"/>
      <c r="AN32" s="65"/>
      <c r="AO32" s="9"/>
      <c r="AP32" s="64"/>
      <c r="AQ32" s="65"/>
      <c r="AR32" s="9"/>
      <c r="AS32" s="65"/>
      <c r="AT32" s="65"/>
      <c r="AU32" s="12"/>
      <c r="AV32" s="68"/>
      <c r="AW32" s="65"/>
      <c r="AX32" s="12"/>
      <c r="AY32" s="75"/>
      <c r="AZ32" s="65"/>
      <c r="BA32" s="50"/>
    </row>
    <row r="33" spans="1:53" ht="15" outlineLevel="1" thickBot="1" x14ac:dyDescent="0.35">
      <c r="A33" s="20"/>
      <c r="B33" s="22"/>
      <c r="C33" s="22"/>
      <c r="D33" s="66"/>
      <c r="E33" s="66"/>
      <c r="F33" s="64"/>
      <c r="G33" s="64"/>
      <c r="H33" s="66"/>
      <c r="I33" s="66"/>
      <c r="J33" s="66"/>
      <c r="K33" s="66"/>
      <c r="L33" s="66"/>
      <c r="M33" s="21"/>
      <c r="N33" s="24"/>
      <c r="O33" s="21"/>
      <c r="P33" s="21"/>
      <c r="Q33" s="24"/>
      <c r="R33" s="66"/>
      <c r="S33" s="66"/>
      <c r="T33" s="25"/>
      <c r="U33" s="70"/>
      <c r="V33" s="66"/>
      <c r="W33" s="52"/>
      <c r="X33" s="72"/>
      <c r="Y33" s="66"/>
      <c r="Z33" s="24"/>
      <c r="AA33" s="64"/>
      <c r="AB33" s="66"/>
      <c r="AC33" s="24"/>
      <c r="AD33" s="64"/>
      <c r="AE33" s="66"/>
      <c r="AF33" s="24"/>
      <c r="AG33" s="66"/>
      <c r="AH33" s="66"/>
      <c r="AI33" s="24"/>
      <c r="AJ33" s="66"/>
      <c r="AK33" s="66"/>
      <c r="AL33" s="24"/>
      <c r="AM33" s="66"/>
      <c r="AN33" s="66"/>
      <c r="AO33" s="24"/>
      <c r="AP33" s="64"/>
      <c r="AQ33" s="66"/>
      <c r="AR33" s="24"/>
      <c r="AS33" s="66"/>
      <c r="AT33" s="66"/>
      <c r="AU33" s="25"/>
      <c r="AV33" s="70"/>
      <c r="AW33" s="66"/>
      <c r="AX33" s="25"/>
      <c r="AY33" s="76"/>
      <c r="AZ33" s="66"/>
      <c r="BA33" s="52"/>
    </row>
    <row r="45" spans="1:53" ht="15" thickBot="1" x14ac:dyDescent="0.35"/>
    <row r="46" spans="1:53" outlineLevel="1" x14ac:dyDescent="0.3">
      <c r="A46" s="30">
        <v>1</v>
      </c>
      <c r="B46" s="32" t="s">
        <v>75</v>
      </c>
      <c r="C46" s="32">
        <v>2</v>
      </c>
      <c r="D46" s="64">
        <f>1023728*2</f>
        <v>2047456</v>
      </c>
      <c r="E46" s="64"/>
      <c r="F46" s="64">
        <f>384493*2</f>
        <v>768986</v>
      </c>
      <c r="G46" s="64">
        <f>(1861342*2-F46)</f>
        <v>2953698</v>
      </c>
      <c r="H46" s="64"/>
      <c r="I46" s="64">
        <f>1694*2</f>
        <v>3388</v>
      </c>
      <c r="J46" s="64">
        <v>150</v>
      </c>
      <c r="K46" s="64">
        <f>765*2</f>
        <v>1530</v>
      </c>
      <c r="L46" s="64">
        <v>250</v>
      </c>
      <c r="M46" s="31">
        <v>1</v>
      </c>
      <c r="N46" s="34">
        <f>1-(C46-M46)/C46</f>
        <v>0.5</v>
      </c>
      <c r="O46" s="31">
        <v>1</v>
      </c>
      <c r="P46" s="31"/>
      <c r="Q46" s="34">
        <f t="shared" ref="Q46" si="49">IFERROR(1-(O46-P46)/O46,0)</f>
        <v>0</v>
      </c>
      <c r="R46" s="64">
        <f>X46+AD46</f>
        <v>890700</v>
      </c>
      <c r="S46" s="64">
        <f>Y46+AE46</f>
        <v>692700</v>
      </c>
      <c r="T46" s="35">
        <f t="shared" ref="T46:T47" si="50">IFERROR(1-(R46-S46)/R46,0)</f>
        <v>0.77770293027955539</v>
      </c>
      <c r="U46" s="68">
        <f>IF(V46&lt;&gt;0,I46,0)</f>
        <v>3388</v>
      </c>
      <c r="V46" s="64">
        <f>4282-AB46</f>
        <v>3778</v>
      </c>
      <c r="W46" s="48">
        <f t="shared" ref="W46:W47" si="51">IFERROR(1-(U46-V46)/U46,0)</f>
        <v>1.115112160566706</v>
      </c>
      <c r="X46" s="72">
        <f>IF(Y46&lt;&gt;0,$I46*$J46,0)</f>
        <v>508200</v>
      </c>
      <c r="Y46" s="64">
        <f>V46*J46</f>
        <v>566700</v>
      </c>
      <c r="Z46" s="34">
        <f t="shared" ref="Z46:Z47" si="52">IFERROR(1-(X46-Y46)/X46,0)</f>
        <v>1.115112160566706</v>
      </c>
      <c r="AA46" s="64">
        <f>IF(AB46&lt;&gt;0,$K46,0)</f>
        <v>1530</v>
      </c>
      <c r="AB46" s="64">
        <v>504</v>
      </c>
      <c r="AC46" s="34">
        <f t="shared" ref="AC46:AC47" si="53">IFERROR(1-(AA46-AB46)/AA46,0)</f>
        <v>0.3294117647058824</v>
      </c>
      <c r="AD46" s="64">
        <f>IF(AE46&lt;&gt;0,$L46*$AA46,0)</f>
        <v>382500</v>
      </c>
      <c r="AE46" s="64">
        <f>AB46*L46</f>
        <v>126000</v>
      </c>
      <c r="AF46" s="34">
        <f t="shared" ref="AF46:AF47" si="54">IFERROR(1-(AD46-AE46)/AD46,0)</f>
        <v>0.3294117647058824</v>
      </c>
      <c r="AG46" s="64">
        <f>AM46+AS46</f>
        <v>890700</v>
      </c>
      <c r="AH46" s="64">
        <f>AN46+AT46</f>
        <v>241600</v>
      </c>
      <c r="AI46" s="34">
        <f>IFERROR(1-(AG46-AH46)/AG46,0)</f>
        <v>0.27124733355787578</v>
      </c>
      <c r="AJ46" s="64">
        <f t="shared" ref="AJ46:AJ47" si="55">O46*I46</f>
        <v>3388</v>
      </c>
      <c r="AK46" s="64">
        <f>1312-AQ46</f>
        <v>864</v>
      </c>
      <c r="AL46" s="34">
        <f t="shared" ref="AL46:AL47" si="56">IFERROR(1-(AJ46-AK46)/AJ46,0)</f>
        <v>0.25501770956316416</v>
      </c>
      <c r="AM46" s="64">
        <f>AJ46*J46</f>
        <v>508200</v>
      </c>
      <c r="AN46" s="64">
        <f>AK46*J46</f>
        <v>129600</v>
      </c>
      <c r="AO46" s="34">
        <f t="shared" ref="AO46:AO47" si="57">IFERROR(1-(AM46-AN46)/AM46,0)</f>
        <v>0.25501770956316416</v>
      </c>
      <c r="AP46" s="64">
        <f>IF(AQ46&lt;&gt;0,K46,0)</f>
        <v>1530</v>
      </c>
      <c r="AQ46" s="64">
        <v>448</v>
      </c>
      <c r="AR46" s="34">
        <f t="shared" ref="AR46:AR47" si="58">IFERROR(1-(AP46-AQ46)/AP46,0)</f>
        <v>0.29281045751633983</v>
      </c>
      <c r="AS46" s="64">
        <f>AP46*L46</f>
        <v>382500</v>
      </c>
      <c r="AT46" s="64">
        <f>AQ46*L46</f>
        <v>112000</v>
      </c>
      <c r="AU46" s="35">
        <f t="shared" ref="AU46:AU47" si="59">IFERROR(1-(AS46-AT46)/AS46,0)</f>
        <v>0.29281045751633983</v>
      </c>
      <c r="AV46" s="73">
        <f>IF(M46&lt;&gt;0,F46+H46,0)</f>
        <v>768986</v>
      </c>
      <c r="AW46" s="74">
        <f>894614*1.2</f>
        <v>1073536.8</v>
      </c>
      <c r="AX46" s="61">
        <f t="shared" ref="AX46:AX47" si="60">IFERROR(1-(AV46-AW46)/AV46,0)</f>
        <v>1.3960420605836779</v>
      </c>
      <c r="AY46" s="73">
        <f>IF(AZ46&lt;&gt;0,I46+K46,0)</f>
        <v>0</v>
      </c>
      <c r="AZ46" s="74"/>
      <c r="BA46" s="62">
        <f t="shared" ref="BA46:BA47" si="61">IFERROR(1-(AY46-AZ46)/AY46,0)</f>
        <v>0</v>
      </c>
    </row>
    <row r="47" spans="1:53" outlineLevel="1" x14ac:dyDescent="0.3">
      <c r="A47" s="19">
        <v>2</v>
      </c>
      <c r="B47" s="4" t="s">
        <v>76</v>
      </c>
      <c r="C47" s="4">
        <v>2</v>
      </c>
      <c r="D47" s="65">
        <f>1168085.8*2</f>
        <v>2336171.6</v>
      </c>
      <c r="E47" s="65"/>
      <c r="F47" s="64">
        <f>443306.05*2</f>
        <v>886612.1</v>
      </c>
      <c r="G47" s="64">
        <f>2425250.509*2-F47</f>
        <v>3963888.9180000001</v>
      </c>
      <c r="H47" s="65"/>
      <c r="I47" s="65">
        <f>2540*2</f>
        <v>5080</v>
      </c>
      <c r="J47" s="65">
        <v>150</v>
      </c>
      <c r="K47" s="65">
        <f>759*2</f>
        <v>1518</v>
      </c>
      <c r="L47" s="65">
        <v>250</v>
      </c>
      <c r="M47" s="3">
        <v>0</v>
      </c>
      <c r="N47" s="9"/>
      <c r="O47" s="3">
        <v>1</v>
      </c>
      <c r="P47" s="3"/>
      <c r="Q47" s="9"/>
      <c r="R47" s="65">
        <f t="shared" ref="R47" si="62">X47+AD47</f>
        <v>0</v>
      </c>
      <c r="S47" s="65">
        <f t="shared" ref="S47" si="63">Y47+AE47</f>
        <v>0</v>
      </c>
      <c r="T47" s="12">
        <f t="shared" si="50"/>
        <v>0</v>
      </c>
      <c r="U47" s="68">
        <f t="shared" ref="U47" si="64">IF(V47&lt;&gt;0,I47,0)</f>
        <v>0</v>
      </c>
      <c r="V47" s="65"/>
      <c r="W47" s="50">
        <f t="shared" si="51"/>
        <v>0</v>
      </c>
      <c r="X47" s="72">
        <f t="shared" ref="X47" si="65">IF(Y47&lt;&gt;0,$I47*$J47,0)</f>
        <v>0</v>
      </c>
      <c r="Y47" s="65"/>
      <c r="Z47" s="9">
        <f t="shared" si="52"/>
        <v>0</v>
      </c>
      <c r="AA47" s="64">
        <f t="shared" ref="AA47" si="66">IF(AB47&lt;&gt;0,$K47,0)</f>
        <v>0</v>
      </c>
      <c r="AB47" s="65"/>
      <c r="AC47" s="9">
        <f t="shared" si="53"/>
        <v>0</v>
      </c>
      <c r="AD47" s="64">
        <f t="shared" ref="AD47" si="67">IF(AE47&lt;&gt;0,$L47*$AA47,0)</f>
        <v>0</v>
      </c>
      <c r="AE47" s="65"/>
      <c r="AF47" s="9">
        <f t="shared" si="54"/>
        <v>0</v>
      </c>
      <c r="AG47" s="65">
        <f t="shared" ref="AG47" si="68">AM47+AS47</f>
        <v>762000</v>
      </c>
      <c r="AH47" s="65">
        <f t="shared" ref="AH47" si="69">AN47+AT47</f>
        <v>0</v>
      </c>
      <c r="AI47" s="9">
        <f t="shared" ref="AI47" si="70">IFERROR(1-(AG47-AH47)/AG47,0)</f>
        <v>0</v>
      </c>
      <c r="AJ47" s="65">
        <f t="shared" si="55"/>
        <v>5080</v>
      </c>
      <c r="AK47" s="65"/>
      <c r="AL47" s="9">
        <f t="shared" si="56"/>
        <v>0</v>
      </c>
      <c r="AM47" s="65">
        <f t="shared" ref="AM47" si="71">AJ47*J47</f>
        <v>762000</v>
      </c>
      <c r="AN47" s="65"/>
      <c r="AO47" s="9">
        <f t="shared" si="57"/>
        <v>0</v>
      </c>
      <c r="AP47" s="64">
        <f t="shared" ref="AP47" si="72">IF(AQ47&lt;&gt;0,K47*L47,0)</f>
        <v>0</v>
      </c>
      <c r="AQ47" s="65"/>
      <c r="AR47" s="9">
        <f t="shared" si="58"/>
        <v>0</v>
      </c>
      <c r="AS47" s="65">
        <f t="shared" ref="AS47" si="73">AP47*L47</f>
        <v>0</v>
      </c>
      <c r="AT47" s="65"/>
      <c r="AU47" s="12">
        <f t="shared" si="59"/>
        <v>0</v>
      </c>
      <c r="AV47" s="68">
        <f t="shared" ref="AV47" si="74">IF(M47&lt;&gt;0,F47+H47,0)</f>
        <v>0</v>
      </c>
      <c r="AW47" s="65"/>
      <c r="AX47" s="12">
        <f t="shared" si="60"/>
        <v>0</v>
      </c>
      <c r="AY47" s="75">
        <f>IF(AZ47&lt;&gt;0,G47,0)</f>
        <v>0</v>
      </c>
      <c r="AZ47" s="65"/>
      <c r="BA47" s="50">
        <f t="shared" si="61"/>
        <v>0</v>
      </c>
    </row>
  </sheetData>
  <mergeCells count="19">
    <mergeCell ref="AS3:AU3"/>
    <mergeCell ref="AV3:AX3"/>
    <mergeCell ref="AY3:BA3"/>
    <mergeCell ref="AA3:AC3"/>
    <mergeCell ref="AD3:AF3"/>
    <mergeCell ref="AG3:AI3"/>
    <mergeCell ref="AJ3:AL3"/>
    <mergeCell ref="AM3:AO3"/>
    <mergeCell ref="AP3:AR3"/>
    <mergeCell ref="C2:K2"/>
    <mergeCell ref="M2:Q2"/>
    <mergeCell ref="R2:AF2"/>
    <mergeCell ref="AG2:AU2"/>
    <mergeCell ref="AV2:BA2"/>
    <mergeCell ref="M3:N3"/>
    <mergeCell ref="O3:Q3"/>
    <mergeCell ref="R3:T3"/>
    <mergeCell ref="U3:W3"/>
    <mergeCell ref="X3:Z3"/>
  </mergeCells>
  <conditionalFormatting sqref="M5:N33">
    <cfRule type="expression" dxfId="135" priority="119">
      <formula>$N5=1</formula>
    </cfRule>
  </conditionalFormatting>
  <conditionalFormatting sqref="M46:N47">
    <cfRule type="expression" dxfId="134" priority="42">
      <formula>$N46=1</formula>
    </cfRule>
  </conditionalFormatting>
  <conditionalFormatting sqref="O5:Q33">
    <cfRule type="expression" dxfId="133" priority="118">
      <formula>$Q5=1</formula>
    </cfRule>
  </conditionalFormatting>
  <conditionalFormatting sqref="O46:Q47">
    <cfRule type="expression" dxfId="132" priority="41">
      <formula>$Q46=1</formula>
    </cfRule>
  </conditionalFormatting>
  <conditionalFormatting sqref="Q5:Q33">
    <cfRule type="cellIs" dxfId="131" priority="120" operator="greaterThan">
      <formula>100</formula>
    </cfRule>
  </conditionalFormatting>
  <conditionalFormatting sqref="Q46:Q47">
    <cfRule type="cellIs" dxfId="130" priority="43" operator="greaterThan">
      <formula>100</formula>
    </cfRule>
  </conditionalFormatting>
  <conditionalFormatting sqref="R5:T33">
    <cfRule type="expression" dxfId="129" priority="1">
      <formula>$T5&gt;1.3</formula>
    </cfRule>
    <cfRule type="expression" dxfId="128" priority="2">
      <formula>$T5&gt;1</formula>
    </cfRule>
  </conditionalFormatting>
  <conditionalFormatting sqref="R46:T47">
    <cfRule type="expression" dxfId="127" priority="27">
      <formula>$T46&gt;1.3</formula>
    </cfRule>
    <cfRule type="expression" dxfId="126" priority="28">
      <formula>$T46&gt;1</formula>
    </cfRule>
  </conditionalFormatting>
  <conditionalFormatting sqref="U5:W33">
    <cfRule type="expression" dxfId="125" priority="44">
      <formula>$W5&gt;1.3</formula>
    </cfRule>
    <cfRule type="expression" dxfId="124" priority="45">
      <formula>$W5&gt;1</formula>
    </cfRule>
  </conditionalFormatting>
  <conditionalFormatting sqref="U46:W47">
    <cfRule type="expression" dxfId="123" priority="39">
      <formula>$W46&gt;1.3</formula>
    </cfRule>
    <cfRule type="expression" dxfId="122" priority="40">
      <formula>$W46&gt;1</formula>
    </cfRule>
  </conditionalFormatting>
  <conditionalFormatting sqref="X5:Z33">
    <cfRule type="expression" dxfId="121" priority="64">
      <formula>$Z5&gt;1.3</formula>
    </cfRule>
    <cfRule type="expression" dxfId="120" priority="65">
      <formula>$Z5&gt;1</formula>
    </cfRule>
  </conditionalFormatting>
  <conditionalFormatting sqref="X46:Z47">
    <cfRule type="expression" dxfId="119" priority="37">
      <formula>$Z46&gt;1.3</formula>
    </cfRule>
    <cfRule type="expression" dxfId="118" priority="38">
      <formula>$Z46&gt;1</formula>
    </cfRule>
  </conditionalFormatting>
  <conditionalFormatting sqref="AA5:AC33">
    <cfRule type="expression" dxfId="117" priority="63">
      <formula>$AC5&gt;1</formula>
    </cfRule>
    <cfRule type="expression" dxfId="116" priority="62">
      <formula>$AC5&gt;1.3</formula>
    </cfRule>
  </conditionalFormatting>
  <conditionalFormatting sqref="AA46:AC47">
    <cfRule type="expression" dxfId="115" priority="35">
      <formula>$AC46&gt;1.3</formula>
    </cfRule>
    <cfRule type="expression" dxfId="114" priority="36">
      <formula>$AC46&gt;1</formula>
    </cfRule>
  </conditionalFormatting>
  <conditionalFormatting sqref="AD5:AF33">
    <cfRule type="expression" dxfId="113" priority="61">
      <formula>$AF5&gt;1</formula>
    </cfRule>
    <cfRule type="expression" dxfId="112" priority="60">
      <formula>$AF5&gt;1.3</formula>
    </cfRule>
  </conditionalFormatting>
  <conditionalFormatting sqref="AD46:AF47">
    <cfRule type="expression" dxfId="111" priority="33">
      <formula>$AF46&gt;1.3</formula>
    </cfRule>
    <cfRule type="expression" dxfId="110" priority="34">
      <formula>$AF46&gt;1</formula>
    </cfRule>
  </conditionalFormatting>
  <conditionalFormatting sqref="AG5:AI33">
    <cfRule type="expression" dxfId="109" priority="55">
      <formula>$AI5&gt;1</formula>
    </cfRule>
    <cfRule type="expression" dxfId="108" priority="54">
      <formula>$AI5&gt;1.3</formula>
    </cfRule>
  </conditionalFormatting>
  <conditionalFormatting sqref="AG46:AI47">
    <cfRule type="expression" dxfId="107" priority="26">
      <formula>$AI46&gt;1</formula>
    </cfRule>
    <cfRule type="expression" dxfId="106" priority="25">
      <formula>$AI46&gt;1.3</formula>
    </cfRule>
  </conditionalFormatting>
  <conditionalFormatting sqref="AJ5:AL33">
    <cfRule type="expression" dxfId="105" priority="58">
      <formula>$AL5&gt;1.3</formula>
    </cfRule>
    <cfRule type="expression" dxfId="104" priority="59">
      <formula>$AL5&gt;1</formula>
    </cfRule>
  </conditionalFormatting>
  <conditionalFormatting sqref="AJ46:AL47">
    <cfRule type="expression" dxfId="103" priority="32">
      <formula>$AL46&gt;1</formula>
    </cfRule>
    <cfRule type="expression" dxfId="102" priority="31">
      <formula>$AL46&gt;1.3</formula>
    </cfRule>
  </conditionalFormatting>
  <conditionalFormatting sqref="AM5:AO33">
    <cfRule type="expression" dxfId="101" priority="56">
      <formula>$AO5&gt;1.3</formula>
    </cfRule>
    <cfRule type="expression" dxfId="100" priority="57">
      <formula>$AO5&gt;1</formula>
    </cfRule>
  </conditionalFormatting>
  <conditionalFormatting sqref="AM46:AO47">
    <cfRule type="expression" dxfId="99" priority="30">
      <formula>$AO46&gt;1</formula>
    </cfRule>
    <cfRule type="expression" dxfId="98" priority="29">
      <formula>$AO46&gt;1.3</formula>
    </cfRule>
  </conditionalFormatting>
  <conditionalFormatting sqref="AP5:AR33">
    <cfRule type="expression" dxfId="97" priority="53">
      <formula>$AR5&gt;1</formula>
    </cfRule>
    <cfRule type="expression" dxfId="96" priority="52">
      <formula>$AR5&gt;1.3</formula>
    </cfRule>
  </conditionalFormatting>
  <conditionalFormatting sqref="AP46:AR47">
    <cfRule type="expression" dxfId="95" priority="24">
      <formula>$AR46&gt;1</formula>
    </cfRule>
    <cfRule type="expression" dxfId="94" priority="23">
      <formula>$AR46&gt;1.3</formula>
    </cfRule>
  </conditionalFormatting>
  <conditionalFormatting sqref="AS5:AU33">
    <cfRule type="expression" dxfId="93" priority="50">
      <formula>$AU5&gt;1.3</formula>
    </cfRule>
    <cfRule type="expression" dxfId="92" priority="51">
      <formula>$AU5&gt;1</formula>
    </cfRule>
  </conditionalFormatting>
  <conditionalFormatting sqref="AS46:AU47">
    <cfRule type="expression" dxfId="91" priority="22">
      <formula>$AU46&gt;1</formula>
    </cfRule>
    <cfRule type="expression" dxfId="90" priority="21">
      <formula>$AU46&gt;1.3</formula>
    </cfRule>
  </conditionalFormatting>
  <conditionalFormatting sqref="AV5:AX33">
    <cfRule type="expression" dxfId="89" priority="9">
      <formula>$AX5&gt;1.3</formula>
    </cfRule>
    <cfRule type="expression" dxfId="88" priority="10">
      <formula>$AX5&gt;1</formula>
    </cfRule>
  </conditionalFormatting>
  <conditionalFormatting sqref="AV46:AX47">
    <cfRule type="expression" dxfId="87" priority="19">
      <formula>$AX46&gt;1.3</formula>
    </cfRule>
    <cfRule type="expression" dxfId="86" priority="20">
      <formula>$AX46&gt;1</formula>
    </cfRule>
  </conditionalFormatting>
  <conditionalFormatting sqref="AY5:BA33">
    <cfRule type="expression" dxfId="85" priority="13">
      <formula>$BA5&gt;1.3</formula>
    </cfRule>
    <cfRule type="expression" dxfId="84" priority="14">
      <formula>$BA5&gt;1</formula>
    </cfRule>
  </conditionalFormatting>
  <conditionalFormatting sqref="AY46:BA47">
    <cfRule type="expression" dxfId="83" priority="18">
      <formula>$BA46&gt;1</formula>
    </cfRule>
    <cfRule type="expression" dxfId="82" priority="17">
      <formula>$BA46&gt;1.3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3EDF-E50D-406F-9059-268FC97A73CB}">
  <dimension ref="A1:BG42"/>
  <sheetViews>
    <sheetView zoomScale="85" zoomScaleNormal="85" workbookViewId="0">
      <pane xSplit="2" ySplit="5" topLeftCell="AM30" activePane="bottomRight" state="frozen"/>
      <selection activeCell="M14" sqref="M14"/>
      <selection pane="topRight" activeCell="M14" sqref="M14"/>
      <selection pane="bottomLeft" activeCell="M14" sqref="M14"/>
      <selection pane="bottomRight" activeCell="AZ34" sqref="AZ34"/>
    </sheetView>
  </sheetViews>
  <sheetFormatPr defaultRowHeight="14.4" outlineLevelRow="1" outlineLevelCol="1" x14ac:dyDescent="0.3"/>
  <cols>
    <col min="1" max="1" width="4.109375" customWidth="1"/>
    <col min="2" max="2" width="36.6640625" customWidth="1"/>
    <col min="3" max="3" width="13.44140625" style="2" customWidth="1"/>
    <col min="4" max="12" width="13.44140625" customWidth="1" outlineLevel="1"/>
    <col min="13" max="20" width="13.44140625" customWidth="1"/>
    <col min="21" max="26" width="13.44140625" customWidth="1" outlineLevel="1"/>
    <col min="27" max="29" width="8.6640625" customWidth="1" outlineLevel="1"/>
    <col min="30" max="31" width="11.5546875" customWidth="1" outlineLevel="1"/>
    <col min="32" max="32" width="8.6640625" customWidth="1" outlineLevel="1"/>
    <col min="33" max="35" width="13.44140625" customWidth="1"/>
    <col min="36" max="41" width="13.44140625" customWidth="1" outlineLevel="1"/>
    <col min="42" max="44" width="9.44140625" customWidth="1" outlineLevel="1"/>
    <col min="45" max="45" width="12.88671875" customWidth="1" outlineLevel="1"/>
    <col min="46" max="46" width="10.33203125" customWidth="1" outlineLevel="1"/>
    <col min="47" max="47" width="6.109375" customWidth="1" outlineLevel="1"/>
    <col min="48" max="48" width="13.44140625" customWidth="1"/>
    <col min="49" max="49" width="18.88671875" customWidth="1"/>
    <col min="50" max="53" width="13.44140625" customWidth="1"/>
    <col min="55" max="55" width="8.88671875" hidden="1" customWidth="1"/>
    <col min="56" max="56" width="9.88671875" hidden="1" customWidth="1"/>
    <col min="57" max="57" width="10.109375" hidden="1" customWidth="1"/>
    <col min="58" max="58" width="10" hidden="1" customWidth="1"/>
    <col min="59" max="60" width="0" hidden="1" customWidth="1"/>
  </cols>
  <sheetData>
    <row r="1" spans="1:59" s="7" customFormat="1" ht="16.2" thickBot="1" x14ac:dyDescent="0.35">
      <c r="B1" s="1">
        <f ca="1">TODAY()</f>
        <v>46198</v>
      </c>
      <c r="C1" s="2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 s="6"/>
      <c r="AM1"/>
      <c r="AN1"/>
      <c r="AO1"/>
      <c r="AP1" s="6"/>
      <c r="AQ1" s="6"/>
      <c r="AR1" s="6"/>
      <c r="AS1" s="6"/>
      <c r="AT1" s="6"/>
      <c r="AU1" s="6"/>
      <c r="AV1"/>
      <c r="AW1"/>
      <c r="AX1"/>
      <c r="AY1"/>
      <c r="AZ1"/>
      <c r="BA1"/>
    </row>
    <row r="2" spans="1:59" ht="16.5" customHeight="1" thickBot="1" x14ac:dyDescent="0.35">
      <c r="A2" s="10"/>
      <c r="B2" s="11"/>
      <c r="C2" s="165" t="s">
        <v>46</v>
      </c>
      <c r="D2" s="166"/>
      <c r="E2" s="166"/>
      <c r="F2" s="166"/>
      <c r="G2" s="166"/>
      <c r="H2" s="166"/>
      <c r="I2" s="166"/>
      <c r="J2" s="166"/>
      <c r="K2" s="167"/>
      <c r="L2" s="80"/>
      <c r="M2" s="168" t="s">
        <v>44</v>
      </c>
      <c r="N2" s="169"/>
      <c r="O2" s="169"/>
      <c r="P2" s="169"/>
      <c r="Q2" s="169"/>
      <c r="R2" s="181" t="s">
        <v>49</v>
      </c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3"/>
      <c r="AG2" s="184" t="s">
        <v>122</v>
      </c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61" t="s">
        <v>66</v>
      </c>
      <c r="AW2" s="162"/>
      <c r="AX2" s="162"/>
      <c r="AY2" s="162"/>
      <c r="AZ2" s="162"/>
      <c r="BA2" s="186"/>
    </row>
    <row r="3" spans="1:59" ht="54.75" customHeight="1" thickBot="1" x14ac:dyDescent="0.35">
      <c r="A3" s="13" t="s">
        <v>36</v>
      </c>
      <c r="B3" s="14" t="s">
        <v>37</v>
      </c>
      <c r="C3" s="15" t="s">
        <v>39</v>
      </c>
      <c r="D3" s="16" t="s">
        <v>77</v>
      </c>
      <c r="E3" s="16" t="s">
        <v>40</v>
      </c>
      <c r="F3" s="16" t="s">
        <v>64</v>
      </c>
      <c r="G3" s="16" t="s">
        <v>65</v>
      </c>
      <c r="H3" s="16" t="s">
        <v>41</v>
      </c>
      <c r="I3" s="16" t="s">
        <v>42</v>
      </c>
      <c r="J3" s="16" t="s">
        <v>47</v>
      </c>
      <c r="K3" s="17" t="s">
        <v>43</v>
      </c>
      <c r="L3" s="17" t="s">
        <v>48</v>
      </c>
      <c r="M3" s="174" t="s">
        <v>45</v>
      </c>
      <c r="N3" s="175"/>
      <c r="O3" s="174" t="s">
        <v>102</v>
      </c>
      <c r="P3" s="176"/>
      <c r="Q3" s="176"/>
      <c r="R3" s="177" t="s">
        <v>57</v>
      </c>
      <c r="S3" s="178"/>
      <c r="T3" s="178"/>
      <c r="U3" s="177" t="s">
        <v>50</v>
      </c>
      <c r="V3" s="178"/>
      <c r="W3" s="179"/>
      <c r="X3" s="178" t="s">
        <v>51</v>
      </c>
      <c r="Y3" s="178"/>
      <c r="Z3" s="180"/>
      <c r="AA3" s="189" t="s">
        <v>52</v>
      </c>
      <c r="AB3" s="178"/>
      <c r="AC3" s="179"/>
      <c r="AD3" s="177" t="s">
        <v>53</v>
      </c>
      <c r="AE3" s="178"/>
      <c r="AF3" s="179"/>
      <c r="AG3" s="187" t="s">
        <v>115</v>
      </c>
      <c r="AH3" s="188"/>
      <c r="AI3" s="190"/>
      <c r="AJ3" s="187" t="s">
        <v>54</v>
      </c>
      <c r="AK3" s="188"/>
      <c r="AL3" s="190"/>
      <c r="AM3" s="187" t="s">
        <v>51</v>
      </c>
      <c r="AN3" s="188"/>
      <c r="AO3" s="191"/>
      <c r="AP3" s="187" t="s">
        <v>55</v>
      </c>
      <c r="AQ3" s="188"/>
      <c r="AR3" s="190"/>
      <c r="AS3" s="187" t="s">
        <v>56</v>
      </c>
      <c r="AT3" s="188"/>
      <c r="AU3" s="188"/>
      <c r="AV3" s="163" t="s">
        <v>67</v>
      </c>
      <c r="AW3" s="164"/>
      <c r="AX3" s="164"/>
      <c r="AY3" s="161" t="s">
        <v>68</v>
      </c>
      <c r="AZ3" s="162"/>
      <c r="BA3" s="186"/>
    </row>
    <row r="4" spans="1:59" ht="15" thickBot="1" x14ac:dyDescent="0.35">
      <c r="A4" s="26"/>
      <c r="B4" s="27"/>
      <c r="C4" s="28"/>
      <c r="D4" s="29"/>
      <c r="E4" s="29"/>
      <c r="F4" s="29"/>
      <c r="G4" s="29"/>
      <c r="H4" s="29"/>
      <c r="I4" s="27"/>
      <c r="J4" s="27"/>
      <c r="K4" s="27"/>
      <c r="L4" s="27"/>
      <c r="M4" s="27" t="s">
        <v>2</v>
      </c>
      <c r="N4" s="27" t="s">
        <v>3</v>
      </c>
      <c r="O4" s="27" t="s">
        <v>1</v>
      </c>
      <c r="P4" s="27" t="s">
        <v>2</v>
      </c>
      <c r="Q4" s="27" t="s">
        <v>3</v>
      </c>
      <c r="R4" s="27" t="s">
        <v>1</v>
      </c>
      <c r="S4" s="27" t="s">
        <v>2</v>
      </c>
      <c r="T4" s="27" t="s">
        <v>3</v>
      </c>
      <c r="U4" s="43" t="s">
        <v>1</v>
      </c>
      <c r="V4" s="27" t="s">
        <v>2</v>
      </c>
      <c r="W4" s="44" t="s">
        <v>3</v>
      </c>
      <c r="X4" s="29" t="s">
        <v>1</v>
      </c>
      <c r="Y4" s="27" t="s">
        <v>2</v>
      </c>
      <c r="Z4" s="27" t="s">
        <v>3</v>
      </c>
      <c r="AA4" s="27" t="s">
        <v>1</v>
      </c>
      <c r="AB4" s="27" t="s">
        <v>2</v>
      </c>
      <c r="AC4" s="27" t="s">
        <v>3</v>
      </c>
      <c r="AD4" s="27" t="s">
        <v>1</v>
      </c>
      <c r="AE4" s="27" t="s">
        <v>2</v>
      </c>
      <c r="AF4" s="27" t="s">
        <v>3</v>
      </c>
      <c r="AG4" s="27"/>
      <c r="AH4" s="27"/>
      <c r="AI4" s="27"/>
      <c r="AJ4" s="27" t="s">
        <v>1</v>
      </c>
      <c r="AK4" s="27" t="s">
        <v>38</v>
      </c>
      <c r="AL4" s="27" t="s">
        <v>3</v>
      </c>
      <c r="AM4" s="27" t="s">
        <v>1</v>
      </c>
      <c r="AN4" s="27" t="s">
        <v>2</v>
      </c>
      <c r="AO4" s="27" t="s">
        <v>3</v>
      </c>
      <c r="AP4" s="27" t="s">
        <v>1</v>
      </c>
      <c r="AQ4" s="27" t="s">
        <v>2</v>
      </c>
      <c r="AR4" s="27" t="s">
        <v>3</v>
      </c>
      <c r="AS4" s="27" t="s">
        <v>1</v>
      </c>
      <c r="AT4" s="27" t="s">
        <v>2</v>
      </c>
      <c r="AU4" s="27" t="s">
        <v>3</v>
      </c>
      <c r="AV4" s="27" t="s">
        <v>1</v>
      </c>
      <c r="AW4" s="27" t="s">
        <v>2</v>
      </c>
      <c r="AX4" s="27" t="s">
        <v>3</v>
      </c>
      <c r="AY4" s="43" t="s">
        <v>1</v>
      </c>
      <c r="AZ4" s="27" t="s">
        <v>2</v>
      </c>
      <c r="BA4" s="44" t="s">
        <v>3</v>
      </c>
      <c r="BC4" s="148" t="s">
        <v>107</v>
      </c>
      <c r="BD4" s="148" t="s">
        <v>109</v>
      </c>
      <c r="BE4" s="148" t="s">
        <v>106</v>
      </c>
      <c r="BF4" s="148" t="s">
        <v>108</v>
      </c>
    </row>
    <row r="5" spans="1:59" s="92" customFormat="1" ht="29.25" customHeight="1" thickBot="1" x14ac:dyDescent="0.4">
      <c r="A5" s="83"/>
      <c r="B5" s="84" t="s">
        <v>0</v>
      </c>
      <c r="C5" s="85">
        <f>SUM(C6:C42)</f>
        <v>32</v>
      </c>
      <c r="D5" s="86">
        <f>SUM(D6:D42)</f>
        <v>8056800</v>
      </c>
      <c r="E5" s="86">
        <f>SUM(E6:E42)</f>
        <v>0</v>
      </c>
      <c r="F5" s="86">
        <f>SUM(F6:F42)</f>
        <v>21168133.759999994</v>
      </c>
      <c r="G5" s="86"/>
      <c r="H5" s="86">
        <f>SUM(H6:H42)</f>
        <v>0</v>
      </c>
      <c r="I5" s="86">
        <f>SUM(I6:I42)</f>
        <v>28540</v>
      </c>
      <c r="J5" s="86">
        <f>J6</f>
        <v>150</v>
      </c>
      <c r="K5" s="86">
        <f>SUM(K6:K42)</f>
        <v>5060</v>
      </c>
      <c r="L5" s="86">
        <v>150</v>
      </c>
      <c r="M5" s="39">
        <f>SUM(M6:M42)</f>
        <v>32</v>
      </c>
      <c r="N5" s="98">
        <f>1-(C5-M5)/C5</f>
        <v>1</v>
      </c>
      <c r="O5" s="39">
        <f>SUM(O6:O42)</f>
        <v>2</v>
      </c>
      <c r="P5" s="39">
        <f>SUM(P6:P42)</f>
        <v>2</v>
      </c>
      <c r="Q5" s="98">
        <f>IFERROR(1-(O5-P5)/O5,0)</f>
        <v>1</v>
      </c>
      <c r="R5" s="86">
        <f>SUM(R6:R42)</f>
        <v>5040000</v>
      </c>
      <c r="S5" s="86">
        <f>SUM(S6:S42)</f>
        <v>6241350</v>
      </c>
      <c r="T5" s="97">
        <f t="shared" ref="T5:T36" si="0">IFERROR(1-(R5-S5)/R5,0)</f>
        <v>1.2383630952380953</v>
      </c>
      <c r="U5" s="89">
        <f>SUM(U6:U42)</f>
        <v>28540</v>
      </c>
      <c r="V5" s="86">
        <f>SUM(V6:V42)</f>
        <v>32932</v>
      </c>
      <c r="W5" s="90">
        <f t="shared" ref="W5:W36" si="1">IFERROR(1-(U5-V5)/U5,0)</f>
        <v>1.1538892782060266</v>
      </c>
      <c r="X5" s="91">
        <f>SUM(X6:X42)</f>
        <v>4281000</v>
      </c>
      <c r="Y5" s="86">
        <f>SUM(Y6:Y42)</f>
        <v>4939800</v>
      </c>
      <c r="Z5" s="87">
        <f t="shared" ref="Z5:Z36" si="2">IFERROR(1-(X5-Y5)/X5,0)</f>
        <v>1.1538892782060266</v>
      </c>
      <c r="AA5" s="86">
        <f>SUM(AA6:AA42)</f>
        <v>5060</v>
      </c>
      <c r="AB5" s="86">
        <f>SUM(AB6:AB42)</f>
        <v>8677</v>
      </c>
      <c r="AC5" s="87">
        <f t="shared" ref="AC5:AC36" si="3">IFERROR(1-(AA5-AB5)/AA5,0)</f>
        <v>1.7148221343873518</v>
      </c>
      <c r="AD5" s="86">
        <f>SUM(AD6:AD42)</f>
        <v>759000</v>
      </c>
      <c r="AE5" s="86">
        <f>SUM(AE6:AE42)</f>
        <v>1301550</v>
      </c>
      <c r="AF5" s="87">
        <f t="shared" ref="AF5:AF36" si="4">IFERROR(1-(AD5-AE5)/AD5,0)</f>
        <v>1.7148221343873518</v>
      </c>
      <c r="AG5" s="86">
        <f>SUM(AG6:AG42)</f>
        <v>0</v>
      </c>
      <c r="AH5" s="86">
        <f>SUM(AH6:AH42)</f>
        <v>0</v>
      </c>
      <c r="AI5" s="98">
        <f>IFERROR(1-(AG5-AH5)/AG5,0)</f>
        <v>0</v>
      </c>
      <c r="AJ5" s="86">
        <f>SUM(AJ6:AJ42)</f>
        <v>0</v>
      </c>
      <c r="AK5" s="86">
        <f>SUM(AK6:AK42)</f>
        <v>0</v>
      </c>
      <c r="AL5" s="87">
        <f>IFERROR(1-(AJ5-AK5)/AJ5,0)</f>
        <v>0</v>
      </c>
      <c r="AM5" s="86">
        <f>SUM(AM6:AM42)</f>
        <v>0</v>
      </c>
      <c r="AN5" s="86">
        <f>SUM(AN6:AN42)</f>
        <v>0</v>
      </c>
      <c r="AO5" s="87">
        <f t="shared" ref="AO5:AO36" si="5">IFERROR(1-(AM5-AN5)/AM5,0)</f>
        <v>0</v>
      </c>
      <c r="AP5" s="86">
        <f>SUM(AP6:AP42)</f>
        <v>0</v>
      </c>
      <c r="AQ5" s="86">
        <f>SUM(AQ6:AQ42)</f>
        <v>0</v>
      </c>
      <c r="AR5" s="87">
        <f>IFERROR(1-(AP5-AQ5)/AP5,0)</f>
        <v>0</v>
      </c>
      <c r="AS5" s="86">
        <f>SUM(AS6:AS42)</f>
        <v>0</v>
      </c>
      <c r="AT5" s="86">
        <f>SUM(AT6:AT42)</f>
        <v>0</v>
      </c>
      <c r="AU5" s="88">
        <f>IFERROR(1-(AS5-AT5)/AS5,0)</f>
        <v>0</v>
      </c>
      <c r="AV5" s="86">
        <f>SUM(AV6:AV42)</f>
        <v>21168133.759999994</v>
      </c>
      <c r="AW5" s="86">
        <f>SUM(AW6:AW42)</f>
        <v>22155821.875999998</v>
      </c>
      <c r="AX5" s="97">
        <f>IFERROR(1-(AV5-AW5)/AV5,0)</f>
        <v>1.04665919665844</v>
      </c>
      <c r="AY5" s="89">
        <f>SUM(AY6:AY42)</f>
        <v>0</v>
      </c>
      <c r="AZ5" s="86">
        <f>SUM(AZ6:AZ42)</f>
        <v>127420.476</v>
      </c>
      <c r="BA5" s="99">
        <f>IFERROR(1-(AY5-AZ5)/AY5,0)</f>
        <v>0</v>
      </c>
      <c r="BC5" s="148">
        <v>5608347</v>
      </c>
      <c r="BD5" s="148">
        <v>16717300</v>
      </c>
      <c r="BE5" s="148">
        <v>22325647</v>
      </c>
      <c r="BF5" s="148">
        <v>-1157513</v>
      </c>
    </row>
    <row r="6" spans="1:59" outlineLevel="1" x14ac:dyDescent="0.3">
      <c r="A6" s="30">
        <v>1</v>
      </c>
      <c r="B6" s="32" t="s">
        <v>4</v>
      </c>
      <c r="C6" s="32">
        <v>1</v>
      </c>
      <c r="D6" s="64">
        <v>251775</v>
      </c>
      <c r="E6" s="64">
        <v>0</v>
      </c>
      <c r="F6" s="64">
        <f>661504.18</f>
        <v>661504.18000000005</v>
      </c>
      <c r="G6" s="64">
        <f>661504.18-F6</f>
        <v>0</v>
      </c>
      <c r="H6" s="64"/>
      <c r="I6" s="64">
        <f>590+460</f>
        <v>1050</v>
      </c>
      <c r="J6" s="64">
        <v>150</v>
      </c>
      <c r="K6" s="64"/>
      <c r="L6" s="64"/>
      <c r="M6" s="31">
        <v>1</v>
      </c>
      <c r="N6" s="34">
        <f>1-(C6-M6)/C6</f>
        <v>1</v>
      </c>
      <c r="O6" s="31"/>
      <c r="P6" s="31"/>
      <c r="Q6" s="34">
        <f t="shared" ref="Q6:Q36" si="6">IFERROR(1-(O6-P6)/O6,0)</f>
        <v>0</v>
      </c>
      <c r="R6" s="64">
        <f>X6+AD6</f>
        <v>157500</v>
      </c>
      <c r="S6" s="64">
        <f>Y6+AE6</f>
        <v>352178.57142857148</v>
      </c>
      <c r="T6" s="35">
        <f t="shared" si="0"/>
        <v>2.2360544217687077</v>
      </c>
      <c r="U6" s="68">
        <f>IF(V6&lt;&gt;0,I6,0)</f>
        <v>1050</v>
      </c>
      <c r="V6" s="64">
        <f>12024/7+4411/7</f>
        <v>2347.8571428571431</v>
      </c>
      <c r="W6" s="48">
        <f t="shared" si="1"/>
        <v>2.2360544217687077</v>
      </c>
      <c r="X6" s="72">
        <f>IF(Y6&lt;&gt;0,$I6*$J6,0)</f>
        <v>157500</v>
      </c>
      <c r="Y6" s="65">
        <f t="shared" ref="Y6:Y35" si="7">V6*J6</f>
        <v>352178.57142857148</v>
      </c>
      <c r="Z6" s="34">
        <f t="shared" si="2"/>
        <v>2.2360544217687077</v>
      </c>
      <c r="AA6" s="64">
        <f>IF(AB6&lt;&gt;0,$K6,0)</f>
        <v>0</v>
      </c>
      <c r="AB6" s="64">
        <v>0</v>
      </c>
      <c r="AC6" s="34">
        <f t="shared" si="3"/>
        <v>0</v>
      </c>
      <c r="AD6" s="64">
        <f>IF(AE6&lt;&gt;0,$L6*$AA6,0)</f>
        <v>0</v>
      </c>
      <c r="AE6" s="64">
        <f>AB6*L6</f>
        <v>0</v>
      </c>
      <c r="AF6" s="34">
        <f t="shared" si="4"/>
        <v>0</v>
      </c>
      <c r="AG6" s="64">
        <f>AM6+AS6</f>
        <v>0</v>
      </c>
      <c r="AH6" s="64">
        <f>AN6+AT6</f>
        <v>0</v>
      </c>
      <c r="AI6" s="34">
        <f>IFERROR(1-(AG6-AH6)/AG6,0)</f>
        <v>0</v>
      </c>
      <c r="AJ6" s="64">
        <f t="shared" ref="AJ6:AJ35" si="8">O6*I6</f>
        <v>0</v>
      </c>
      <c r="AK6" s="64"/>
      <c r="AL6" s="34">
        <f t="shared" ref="AL6:AL36" si="9">IFERROR(1-(AJ6-AK6)/AJ6,0)</f>
        <v>0</v>
      </c>
      <c r="AM6" s="64">
        <f>AJ6*J6</f>
        <v>0</v>
      </c>
      <c r="AN6" s="64"/>
      <c r="AO6" s="34">
        <f t="shared" si="5"/>
        <v>0</v>
      </c>
      <c r="AP6" s="64">
        <f t="shared" ref="AP6:AP26" si="10">IF(AQ6&lt;&gt;0,K6,0)</f>
        <v>0</v>
      </c>
      <c r="AQ6" s="64"/>
      <c r="AR6" s="34">
        <f t="shared" ref="AR6:AR36" si="11">IFERROR(1-(AP6-AQ6)/AP6,0)</f>
        <v>0</v>
      </c>
      <c r="AS6" s="64">
        <f>AP6*L6</f>
        <v>0</v>
      </c>
      <c r="AT6" s="65">
        <f t="shared" ref="AT6:AT30" si="12">AQ6*L6</f>
        <v>0</v>
      </c>
      <c r="AU6" s="35">
        <f t="shared" ref="AU6:AU36" si="13">IFERROR(1-(AS6-AT6)/AS6,0)</f>
        <v>0</v>
      </c>
      <c r="AV6" s="73">
        <f>IF(M6&lt;&gt;0,F6+H6,0)</f>
        <v>661504.18000000005</v>
      </c>
      <c r="AW6" s="93">
        <v>715578</v>
      </c>
      <c r="AX6" s="61">
        <f t="shared" ref="AX6:AX36" si="14">IFERROR(1-(AV6-AW6)/AV6,0)</f>
        <v>1.0817437313850382</v>
      </c>
      <c r="AY6" s="75">
        <f>IF(AZ6&lt;&gt;0,G6,0)</f>
        <v>0</v>
      </c>
      <c r="AZ6" s="93"/>
      <c r="BA6" s="62">
        <f t="shared" ref="BA6:BA36" si="15">IFERROR(1-(AY6-AZ6)/AY6,0)</f>
        <v>0</v>
      </c>
      <c r="BD6" s="92">
        <v>715578</v>
      </c>
      <c r="BE6" t="s">
        <v>110</v>
      </c>
    </row>
    <row r="7" spans="1:59" outlineLevel="1" x14ac:dyDescent="0.3">
      <c r="A7" s="19">
        <v>2</v>
      </c>
      <c r="B7" s="4" t="s">
        <v>5</v>
      </c>
      <c r="C7" s="4">
        <v>1</v>
      </c>
      <c r="D7" s="64">
        <v>251775</v>
      </c>
      <c r="E7" s="64">
        <v>0</v>
      </c>
      <c r="F7" s="64">
        <f t="shared" ref="F7:F37" si="16">661504.18</f>
        <v>661504.18000000005</v>
      </c>
      <c r="G7" s="64">
        <f t="shared" ref="G7:G36" si="17">661504.18-F7</f>
        <v>0</v>
      </c>
      <c r="H7" s="64"/>
      <c r="I7" s="64">
        <f t="shared" ref="I7:I26" si="18">590+460</f>
        <v>1050</v>
      </c>
      <c r="J7" s="64">
        <v>150</v>
      </c>
      <c r="K7" s="64"/>
      <c r="L7" s="64"/>
      <c r="M7" s="3">
        <v>1</v>
      </c>
      <c r="N7" s="9">
        <f t="shared" ref="N7:N36" si="19">1-(C7-M7)/C7</f>
        <v>1</v>
      </c>
      <c r="O7" s="3"/>
      <c r="P7" s="3"/>
      <c r="Q7" s="9">
        <f t="shared" si="6"/>
        <v>0</v>
      </c>
      <c r="R7" s="65">
        <f t="shared" ref="R7:S36" si="20">X7+AD7</f>
        <v>157500</v>
      </c>
      <c r="S7" s="65">
        <f t="shared" si="20"/>
        <v>352178.57142857148</v>
      </c>
      <c r="T7" s="12">
        <f t="shared" si="0"/>
        <v>2.2360544217687077</v>
      </c>
      <c r="U7" s="68">
        <f t="shared" ref="U7:U36" si="21">IF(V7&lt;&gt;0,I7,0)</f>
        <v>1050</v>
      </c>
      <c r="V7" s="64">
        <f t="shared" ref="V7:V12" si="22">12024/7+4411/7</f>
        <v>2347.8571428571431</v>
      </c>
      <c r="W7" s="50">
        <f t="shared" si="1"/>
        <v>2.2360544217687077</v>
      </c>
      <c r="X7" s="72">
        <f t="shared" ref="X7:X36" si="23">IF(Y7&lt;&gt;0,$I7*$J7,0)</f>
        <v>157500</v>
      </c>
      <c r="Y7" s="65">
        <f t="shared" si="7"/>
        <v>352178.57142857148</v>
      </c>
      <c r="Z7" s="9">
        <f t="shared" si="2"/>
        <v>2.2360544217687077</v>
      </c>
      <c r="AA7" s="64">
        <f t="shared" ref="AA7:AA36" si="24">IF(AB7&lt;&gt;0,$K7,0)</f>
        <v>0</v>
      </c>
      <c r="AB7" s="65"/>
      <c r="AC7" s="9">
        <f t="shared" si="3"/>
        <v>0</v>
      </c>
      <c r="AD7" s="64">
        <f t="shared" ref="AD7:AD36" si="25">IF(AE7&lt;&gt;0,$L7*$AA7,0)</f>
        <v>0</v>
      </c>
      <c r="AE7" s="64">
        <f t="shared" ref="AE7:AE36" si="26">AB7*L7</f>
        <v>0</v>
      </c>
      <c r="AF7" s="9">
        <f t="shared" si="4"/>
        <v>0</v>
      </c>
      <c r="AG7" s="65">
        <f t="shared" ref="AG7:AH36" si="27">AM7+AS7</f>
        <v>0</v>
      </c>
      <c r="AH7" s="65">
        <f t="shared" si="27"/>
        <v>0</v>
      </c>
      <c r="AI7" s="9">
        <f t="shared" ref="AI7:AI36" si="28">IFERROR(1-(AG7-AH7)/AG7,0)</f>
        <v>0</v>
      </c>
      <c r="AJ7" s="65">
        <f t="shared" si="8"/>
        <v>0</v>
      </c>
      <c r="AK7" s="65"/>
      <c r="AL7" s="9">
        <f t="shared" si="9"/>
        <v>0</v>
      </c>
      <c r="AM7" s="65">
        <f t="shared" ref="AM7:AM35" si="29">AJ7*J7</f>
        <v>0</v>
      </c>
      <c r="AN7" s="65"/>
      <c r="AO7" s="9">
        <f t="shared" si="5"/>
        <v>0</v>
      </c>
      <c r="AP7" s="64">
        <f t="shared" si="10"/>
        <v>0</v>
      </c>
      <c r="AQ7" s="65"/>
      <c r="AR7" s="9">
        <f t="shared" si="11"/>
        <v>0</v>
      </c>
      <c r="AS7" s="65">
        <f t="shared" ref="AS7:AS35" si="30">AP7*L7</f>
        <v>0</v>
      </c>
      <c r="AT7" s="65">
        <f t="shared" si="12"/>
        <v>0</v>
      </c>
      <c r="AU7" s="12">
        <f t="shared" si="13"/>
        <v>0</v>
      </c>
      <c r="AV7" s="68">
        <f t="shared" ref="AV7:AV36" si="31">IF(M7&lt;&gt;0,F7+H7,0)</f>
        <v>661504.18000000005</v>
      </c>
      <c r="AW7" s="65">
        <v>714406</v>
      </c>
      <c r="AX7" s="12">
        <f t="shared" si="14"/>
        <v>1.0799720116658975</v>
      </c>
      <c r="AY7" s="75">
        <f>IF(AZ7&lt;&gt;0,G7,0)</f>
        <v>0</v>
      </c>
      <c r="AZ7" s="65"/>
      <c r="BA7" s="50">
        <f t="shared" si="15"/>
        <v>0</v>
      </c>
      <c r="BD7" s="92">
        <v>714406</v>
      </c>
      <c r="BE7" t="s">
        <v>110</v>
      </c>
    </row>
    <row r="8" spans="1:59" outlineLevel="1" x14ac:dyDescent="0.3">
      <c r="A8" s="19">
        <v>3</v>
      </c>
      <c r="B8" s="4" t="s">
        <v>6</v>
      </c>
      <c r="C8" s="4">
        <v>1</v>
      </c>
      <c r="D8" s="64">
        <v>251775</v>
      </c>
      <c r="E8" s="64">
        <v>0</v>
      </c>
      <c r="F8" s="64">
        <f t="shared" si="16"/>
        <v>661504.18000000005</v>
      </c>
      <c r="G8" s="64">
        <f t="shared" si="17"/>
        <v>0</v>
      </c>
      <c r="H8" s="64"/>
      <c r="I8" s="64">
        <f t="shared" si="18"/>
        <v>1050</v>
      </c>
      <c r="J8" s="64">
        <v>150</v>
      </c>
      <c r="K8" s="64"/>
      <c r="L8" s="64"/>
      <c r="M8" s="5">
        <v>1</v>
      </c>
      <c r="N8" s="9">
        <f t="shared" si="19"/>
        <v>1</v>
      </c>
      <c r="O8" s="3"/>
      <c r="P8" s="3"/>
      <c r="Q8" s="9">
        <f t="shared" si="6"/>
        <v>0</v>
      </c>
      <c r="R8" s="65">
        <f t="shared" si="20"/>
        <v>157500</v>
      </c>
      <c r="S8" s="65">
        <f t="shared" si="20"/>
        <v>352178.57142857148</v>
      </c>
      <c r="T8" s="12">
        <f t="shared" si="0"/>
        <v>2.2360544217687077</v>
      </c>
      <c r="U8" s="68">
        <f t="shared" si="21"/>
        <v>1050</v>
      </c>
      <c r="V8" s="64">
        <f t="shared" si="22"/>
        <v>2347.8571428571431</v>
      </c>
      <c r="W8" s="50">
        <f t="shared" si="1"/>
        <v>2.2360544217687077</v>
      </c>
      <c r="X8" s="72">
        <f t="shared" si="23"/>
        <v>157500</v>
      </c>
      <c r="Y8" s="65">
        <f t="shared" si="7"/>
        <v>352178.57142857148</v>
      </c>
      <c r="Z8" s="9">
        <f t="shared" si="2"/>
        <v>2.2360544217687077</v>
      </c>
      <c r="AA8" s="64">
        <f t="shared" si="24"/>
        <v>0</v>
      </c>
      <c r="AB8" s="69"/>
      <c r="AC8" s="9">
        <f t="shared" si="3"/>
        <v>0</v>
      </c>
      <c r="AD8" s="64">
        <f t="shared" si="25"/>
        <v>0</v>
      </c>
      <c r="AE8" s="64">
        <f t="shared" si="26"/>
        <v>0</v>
      </c>
      <c r="AF8" s="9">
        <f t="shared" si="4"/>
        <v>0</v>
      </c>
      <c r="AG8" s="65">
        <f t="shared" si="27"/>
        <v>0</v>
      </c>
      <c r="AH8" s="69">
        <f t="shared" si="27"/>
        <v>0</v>
      </c>
      <c r="AI8" s="9">
        <f t="shared" si="28"/>
        <v>0</v>
      </c>
      <c r="AJ8" s="65">
        <f t="shared" si="8"/>
        <v>0</v>
      </c>
      <c r="AK8" s="69"/>
      <c r="AL8" s="9">
        <f t="shared" si="9"/>
        <v>0</v>
      </c>
      <c r="AM8" s="65">
        <f t="shared" si="29"/>
        <v>0</v>
      </c>
      <c r="AN8" s="69"/>
      <c r="AO8" s="9">
        <f t="shared" si="5"/>
        <v>0</v>
      </c>
      <c r="AP8" s="64">
        <f t="shared" si="10"/>
        <v>0</v>
      </c>
      <c r="AQ8" s="69"/>
      <c r="AR8" s="9">
        <f t="shared" si="11"/>
        <v>0</v>
      </c>
      <c r="AS8" s="65">
        <f t="shared" si="30"/>
        <v>0</v>
      </c>
      <c r="AT8" s="65">
        <f t="shared" si="12"/>
        <v>0</v>
      </c>
      <c r="AU8" s="12">
        <f t="shared" si="13"/>
        <v>0</v>
      </c>
      <c r="AV8" s="68">
        <f t="shared" si="31"/>
        <v>661504.18000000005</v>
      </c>
      <c r="AW8" s="65">
        <v>725765</v>
      </c>
      <c r="AX8" s="12">
        <f t="shared" si="14"/>
        <v>1.0971434829028592</v>
      </c>
      <c r="AY8" s="75">
        <f t="shared" ref="AY8:AY36" si="32">IF(AZ8&lt;&gt;0,G8,0)</f>
        <v>0</v>
      </c>
      <c r="AZ8" s="65"/>
      <c r="BA8" s="50">
        <f t="shared" si="15"/>
        <v>0</v>
      </c>
      <c r="BD8" s="92">
        <v>725765</v>
      </c>
      <c r="BE8" t="s">
        <v>110</v>
      </c>
    </row>
    <row r="9" spans="1:59" outlineLevel="1" x14ac:dyDescent="0.3">
      <c r="A9" s="19">
        <v>4</v>
      </c>
      <c r="B9" s="4" t="s">
        <v>7</v>
      </c>
      <c r="C9" s="4">
        <v>1</v>
      </c>
      <c r="D9" s="64">
        <v>251775</v>
      </c>
      <c r="E9" s="64">
        <v>0</v>
      </c>
      <c r="F9" s="64">
        <f t="shared" si="16"/>
        <v>661504.18000000005</v>
      </c>
      <c r="G9" s="64">
        <f t="shared" si="17"/>
        <v>0</v>
      </c>
      <c r="H9" s="64"/>
      <c r="I9" s="64">
        <f t="shared" si="18"/>
        <v>1050</v>
      </c>
      <c r="J9" s="64">
        <v>150</v>
      </c>
      <c r="K9" s="64"/>
      <c r="L9" s="64"/>
      <c r="M9" s="3">
        <v>1</v>
      </c>
      <c r="N9" s="9">
        <f t="shared" si="19"/>
        <v>1</v>
      </c>
      <c r="O9" s="3"/>
      <c r="P9" s="3"/>
      <c r="Q9" s="9">
        <f t="shared" si="6"/>
        <v>0</v>
      </c>
      <c r="R9" s="65">
        <f t="shared" si="20"/>
        <v>157500</v>
      </c>
      <c r="S9" s="65">
        <f t="shared" si="20"/>
        <v>352178.57142857148</v>
      </c>
      <c r="T9" s="12">
        <f t="shared" si="0"/>
        <v>2.2360544217687077</v>
      </c>
      <c r="U9" s="68">
        <f t="shared" si="21"/>
        <v>1050</v>
      </c>
      <c r="V9" s="64">
        <f t="shared" si="22"/>
        <v>2347.8571428571431</v>
      </c>
      <c r="W9" s="50">
        <f t="shared" si="1"/>
        <v>2.2360544217687077</v>
      </c>
      <c r="X9" s="72">
        <f t="shared" si="23"/>
        <v>157500</v>
      </c>
      <c r="Y9" s="65">
        <f t="shared" si="7"/>
        <v>352178.57142857148</v>
      </c>
      <c r="Z9" s="9">
        <f t="shared" si="2"/>
        <v>2.2360544217687077</v>
      </c>
      <c r="AA9" s="64">
        <f t="shared" si="24"/>
        <v>0</v>
      </c>
      <c r="AB9" s="65"/>
      <c r="AC9" s="9">
        <f t="shared" si="3"/>
        <v>0</v>
      </c>
      <c r="AD9" s="64">
        <f t="shared" si="25"/>
        <v>0</v>
      </c>
      <c r="AE9" s="64">
        <f t="shared" si="26"/>
        <v>0</v>
      </c>
      <c r="AF9" s="9">
        <f t="shared" si="4"/>
        <v>0</v>
      </c>
      <c r="AG9" s="65">
        <f t="shared" si="27"/>
        <v>0</v>
      </c>
      <c r="AH9" s="65">
        <f t="shared" si="27"/>
        <v>0</v>
      </c>
      <c r="AI9" s="9">
        <f t="shared" si="28"/>
        <v>0</v>
      </c>
      <c r="AJ9" s="65">
        <f t="shared" si="8"/>
        <v>0</v>
      </c>
      <c r="AK9" s="65"/>
      <c r="AL9" s="9">
        <f t="shared" si="9"/>
        <v>0</v>
      </c>
      <c r="AM9" s="65">
        <f t="shared" si="29"/>
        <v>0</v>
      </c>
      <c r="AN9" s="65"/>
      <c r="AO9" s="9">
        <f t="shared" si="5"/>
        <v>0</v>
      </c>
      <c r="AP9" s="64">
        <f t="shared" si="10"/>
        <v>0</v>
      </c>
      <c r="AQ9" s="65"/>
      <c r="AR9" s="9">
        <f t="shared" si="11"/>
        <v>0</v>
      </c>
      <c r="AS9" s="65">
        <f t="shared" si="30"/>
        <v>0</v>
      </c>
      <c r="AT9" s="65">
        <f t="shared" si="12"/>
        <v>0</v>
      </c>
      <c r="AU9" s="12">
        <f t="shared" si="13"/>
        <v>0</v>
      </c>
      <c r="AV9" s="68">
        <f t="shared" si="31"/>
        <v>661504.18000000005</v>
      </c>
      <c r="AW9" s="65">
        <v>717005</v>
      </c>
      <c r="AX9" s="12">
        <f t="shared" si="14"/>
        <v>1.0839009361966541</v>
      </c>
      <c r="AY9" s="75">
        <f t="shared" si="32"/>
        <v>0</v>
      </c>
      <c r="AZ9" s="65"/>
      <c r="BA9" s="50">
        <f t="shared" si="15"/>
        <v>0</v>
      </c>
      <c r="BD9" s="92">
        <v>717005</v>
      </c>
      <c r="BE9" t="s">
        <v>110</v>
      </c>
    </row>
    <row r="10" spans="1:59" outlineLevel="1" x14ac:dyDescent="0.3">
      <c r="A10" s="19">
        <v>5</v>
      </c>
      <c r="B10" s="4" t="s">
        <v>8</v>
      </c>
      <c r="C10" s="4">
        <v>1</v>
      </c>
      <c r="D10" s="64">
        <v>251775</v>
      </c>
      <c r="E10" s="64">
        <v>0</v>
      </c>
      <c r="F10" s="64">
        <f t="shared" si="16"/>
        <v>661504.18000000005</v>
      </c>
      <c r="G10" s="64">
        <f t="shared" si="17"/>
        <v>0</v>
      </c>
      <c r="H10" s="64"/>
      <c r="I10" s="64">
        <f t="shared" si="18"/>
        <v>1050</v>
      </c>
      <c r="J10" s="64">
        <v>150</v>
      </c>
      <c r="K10" s="64"/>
      <c r="L10" s="64"/>
      <c r="M10" s="3">
        <v>1</v>
      </c>
      <c r="N10" s="9">
        <f t="shared" si="19"/>
        <v>1</v>
      </c>
      <c r="O10" s="3"/>
      <c r="P10" s="3"/>
      <c r="Q10" s="9">
        <f t="shared" si="6"/>
        <v>0</v>
      </c>
      <c r="R10" s="65">
        <f t="shared" si="20"/>
        <v>157500</v>
      </c>
      <c r="S10" s="65">
        <f t="shared" si="20"/>
        <v>352178.57142857148</v>
      </c>
      <c r="T10" s="12">
        <f t="shared" si="0"/>
        <v>2.2360544217687077</v>
      </c>
      <c r="U10" s="68">
        <f t="shared" si="21"/>
        <v>1050</v>
      </c>
      <c r="V10" s="64">
        <f t="shared" si="22"/>
        <v>2347.8571428571431</v>
      </c>
      <c r="W10" s="50">
        <f t="shared" si="1"/>
        <v>2.2360544217687077</v>
      </c>
      <c r="X10" s="72">
        <f t="shared" si="23"/>
        <v>157500</v>
      </c>
      <c r="Y10" s="65">
        <f t="shared" si="7"/>
        <v>352178.57142857148</v>
      </c>
      <c r="Z10" s="9">
        <f t="shared" si="2"/>
        <v>2.2360544217687077</v>
      </c>
      <c r="AA10" s="64">
        <f t="shared" si="24"/>
        <v>0</v>
      </c>
      <c r="AB10" s="65"/>
      <c r="AC10" s="9">
        <f t="shared" si="3"/>
        <v>0</v>
      </c>
      <c r="AD10" s="64">
        <f t="shared" si="25"/>
        <v>0</v>
      </c>
      <c r="AE10" s="64">
        <f t="shared" si="26"/>
        <v>0</v>
      </c>
      <c r="AF10" s="9">
        <f t="shared" si="4"/>
        <v>0</v>
      </c>
      <c r="AG10" s="65">
        <f t="shared" si="27"/>
        <v>0</v>
      </c>
      <c r="AH10" s="65">
        <f t="shared" si="27"/>
        <v>0</v>
      </c>
      <c r="AI10" s="9">
        <f t="shared" si="28"/>
        <v>0</v>
      </c>
      <c r="AJ10" s="65">
        <f t="shared" si="8"/>
        <v>0</v>
      </c>
      <c r="AK10" s="65"/>
      <c r="AL10" s="9">
        <f t="shared" si="9"/>
        <v>0</v>
      </c>
      <c r="AM10" s="65">
        <f t="shared" si="29"/>
        <v>0</v>
      </c>
      <c r="AN10" s="65"/>
      <c r="AO10" s="9">
        <f t="shared" si="5"/>
        <v>0</v>
      </c>
      <c r="AP10" s="64">
        <f t="shared" si="10"/>
        <v>0</v>
      </c>
      <c r="AQ10" s="65"/>
      <c r="AR10" s="9">
        <f t="shared" si="11"/>
        <v>0</v>
      </c>
      <c r="AS10" s="65">
        <f t="shared" si="30"/>
        <v>0</v>
      </c>
      <c r="AT10" s="65">
        <f t="shared" si="12"/>
        <v>0</v>
      </c>
      <c r="AU10" s="12">
        <f t="shared" si="13"/>
        <v>0</v>
      </c>
      <c r="AV10" s="68">
        <f t="shared" si="31"/>
        <v>661504.18000000005</v>
      </c>
      <c r="AW10" s="65">
        <v>723278</v>
      </c>
      <c r="AX10" s="12">
        <f t="shared" si="14"/>
        <v>1.0933838694715428</v>
      </c>
      <c r="AY10" s="75">
        <f>IF(AZ10&lt;&gt;0,G10,0)</f>
        <v>0</v>
      </c>
      <c r="AZ10" s="65"/>
      <c r="BA10" s="50">
        <f t="shared" si="15"/>
        <v>0</v>
      </c>
      <c r="BD10" s="92">
        <v>723278</v>
      </c>
      <c r="BE10" t="s">
        <v>110</v>
      </c>
    </row>
    <row r="11" spans="1:59" outlineLevel="1" x14ac:dyDescent="0.3">
      <c r="A11" s="19">
        <v>6</v>
      </c>
      <c r="B11" s="4" t="s">
        <v>9</v>
      </c>
      <c r="C11" s="4">
        <v>1</v>
      </c>
      <c r="D11" s="64">
        <v>251775</v>
      </c>
      <c r="E11" s="64">
        <v>0</v>
      </c>
      <c r="F11" s="64">
        <f t="shared" si="16"/>
        <v>661504.18000000005</v>
      </c>
      <c r="G11" s="64">
        <f t="shared" si="17"/>
        <v>0</v>
      </c>
      <c r="H11" s="64"/>
      <c r="I11" s="64">
        <f t="shared" si="18"/>
        <v>1050</v>
      </c>
      <c r="J11" s="64">
        <v>150</v>
      </c>
      <c r="K11" s="64"/>
      <c r="L11" s="64"/>
      <c r="M11" s="3">
        <v>1</v>
      </c>
      <c r="N11" s="9">
        <f t="shared" si="19"/>
        <v>1</v>
      </c>
      <c r="O11" s="3"/>
      <c r="P11" s="3"/>
      <c r="Q11" s="9">
        <f t="shared" si="6"/>
        <v>0</v>
      </c>
      <c r="R11" s="65">
        <f t="shared" si="20"/>
        <v>157500</v>
      </c>
      <c r="S11" s="65">
        <f t="shared" si="20"/>
        <v>352178.57142857148</v>
      </c>
      <c r="T11" s="12">
        <f t="shared" si="0"/>
        <v>2.2360544217687077</v>
      </c>
      <c r="U11" s="68">
        <f t="shared" si="21"/>
        <v>1050</v>
      </c>
      <c r="V11" s="64">
        <f t="shared" si="22"/>
        <v>2347.8571428571431</v>
      </c>
      <c r="W11" s="50">
        <f t="shared" si="1"/>
        <v>2.2360544217687077</v>
      </c>
      <c r="X11" s="72">
        <f t="shared" si="23"/>
        <v>157500</v>
      </c>
      <c r="Y11" s="65">
        <f t="shared" si="7"/>
        <v>352178.57142857148</v>
      </c>
      <c r="Z11" s="9">
        <f t="shared" si="2"/>
        <v>2.2360544217687077</v>
      </c>
      <c r="AA11" s="64">
        <f t="shared" si="24"/>
        <v>0</v>
      </c>
      <c r="AB11" s="65"/>
      <c r="AC11" s="9">
        <f t="shared" si="3"/>
        <v>0</v>
      </c>
      <c r="AD11" s="64">
        <f t="shared" si="25"/>
        <v>0</v>
      </c>
      <c r="AE11" s="64">
        <f t="shared" si="26"/>
        <v>0</v>
      </c>
      <c r="AF11" s="9">
        <f t="shared" si="4"/>
        <v>0</v>
      </c>
      <c r="AG11" s="65">
        <f t="shared" si="27"/>
        <v>0</v>
      </c>
      <c r="AH11" s="65">
        <f t="shared" si="27"/>
        <v>0</v>
      </c>
      <c r="AI11" s="9">
        <f t="shared" si="28"/>
        <v>0</v>
      </c>
      <c r="AJ11" s="65">
        <f t="shared" si="8"/>
        <v>0</v>
      </c>
      <c r="AK11" s="65"/>
      <c r="AL11" s="9">
        <f t="shared" si="9"/>
        <v>0</v>
      </c>
      <c r="AM11" s="65">
        <f t="shared" si="29"/>
        <v>0</v>
      </c>
      <c r="AN11" s="65"/>
      <c r="AO11" s="9">
        <f t="shared" si="5"/>
        <v>0</v>
      </c>
      <c r="AP11" s="64">
        <f t="shared" si="10"/>
        <v>0</v>
      </c>
      <c r="AQ11" s="65"/>
      <c r="AR11" s="9">
        <f t="shared" si="11"/>
        <v>0</v>
      </c>
      <c r="AS11" s="65">
        <f t="shared" si="30"/>
        <v>0</v>
      </c>
      <c r="AT11" s="65">
        <f t="shared" si="12"/>
        <v>0</v>
      </c>
      <c r="AU11" s="12">
        <f t="shared" si="13"/>
        <v>0</v>
      </c>
      <c r="AV11" s="68">
        <f t="shared" si="31"/>
        <v>661504.18000000005</v>
      </c>
      <c r="AW11" s="65">
        <v>723127</v>
      </c>
      <c r="AX11" s="12">
        <f t="shared" si="14"/>
        <v>1.0931556018285478</v>
      </c>
      <c r="AY11" s="75">
        <f t="shared" si="32"/>
        <v>0</v>
      </c>
      <c r="AZ11" s="65"/>
      <c r="BA11" s="50">
        <f t="shared" si="15"/>
        <v>0</v>
      </c>
      <c r="BD11" s="92">
        <v>723127</v>
      </c>
      <c r="BE11" t="s">
        <v>110</v>
      </c>
    </row>
    <row r="12" spans="1:59" outlineLevel="1" x14ac:dyDescent="0.3">
      <c r="A12" s="19">
        <v>7</v>
      </c>
      <c r="B12" s="4" t="s">
        <v>10</v>
      </c>
      <c r="C12" s="4">
        <v>1</v>
      </c>
      <c r="D12" s="64">
        <v>251775</v>
      </c>
      <c r="E12" s="64">
        <v>0</v>
      </c>
      <c r="F12" s="64">
        <f t="shared" si="16"/>
        <v>661504.18000000005</v>
      </c>
      <c r="G12" s="64">
        <f t="shared" si="17"/>
        <v>0</v>
      </c>
      <c r="H12" s="64"/>
      <c r="I12" s="64">
        <f t="shared" si="18"/>
        <v>1050</v>
      </c>
      <c r="J12" s="64">
        <v>150</v>
      </c>
      <c r="K12" s="64"/>
      <c r="L12" s="64"/>
      <c r="M12" s="3">
        <v>1</v>
      </c>
      <c r="N12" s="9">
        <f t="shared" si="19"/>
        <v>1</v>
      </c>
      <c r="O12" s="3"/>
      <c r="P12" s="3"/>
      <c r="Q12" s="9">
        <f t="shared" si="6"/>
        <v>0</v>
      </c>
      <c r="R12" s="65">
        <f t="shared" si="20"/>
        <v>157500</v>
      </c>
      <c r="S12" s="65">
        <f t="shared" si="20"/>
        <v>352178.57142857148</v>
      </c>
      <c r="T12" s="12">
        <f t="shared" si="0"/>
        <v>2.2360544217687077</v>
      </c>
      <c r="U12" s="68">
        <f t="shared" si="21"/>
        <v>1050</v>
      </c>
      <c r="V12" s="64">
        <f t="shared" si="22"/>
        <v>2347.8571428571431</v>
      </c>
      <c r="W12" s="50">
        <f t="shared" si="1"/>
        <v>2.2360544217687077</v>
      </c>
      <c r="X12" s="72">
        <f t="shared" si="23"/>
        <v>157500</v>
      </c>
      <c r="Y12" s="65">
        <f t="shared" si="7"/>
        <v>352178.57142857148</v>
      </c>
      <c r="Z12" s="9">
        <f t="shared" si="2"/>
        <v>2.2360544217687077</v>
      </c>
      <c r="AA12" s="64">
        <f t="shared" si="24"/>
        <v>0</v>
      </c>
      <c r="AB12" s="65"/>
      <c r="AC12" s="9">
        <f t="shared" si="3"/>
        <v>0</v>
      </c>
      <c r="AD12" s="64">
        <f t="shared" si="25"/>
        <v>0</v>
      </c>
      <c r="AE12" s="64">
        <f t="shared" si="26"/>
        <v>0</v>
      </c>
      <c r="AF12" s="9">
        <f t="shared" si="4"/>
        <v>0</v>
      </c>
      <c r="AG12" s="65">
        <f t="shared" si="27"/>
        <v>0</v>
      </c>
      <c r="AH12" s="65">
        <f t="shared" si="27"/>
        <v>0</v>
      </c>
      <c r="AI12" s="9">
        <f t="shared" si="28"/>
        <v>0</v>
      </c>
      <c r="AJ12" s="65">
        <f t="shared" si="8"/>
        <v>0</v>
      </c>
      <c r="AK12" s="65"/>
      <c r="AL12" s="9">
        <f t="shared" si="9"/>
        <v>0</v>
      </c>
      <c r="AM12" s="65">
        <f t="shared" si="29"/>
        <v>0</v>
      </c>
      <c r="AN12" s="65"/>
      <c r="AO12" s="9">
        <f t="shared" si="5"/>
        <v>0</v>
      </c>
      <c r="AP12" s="64">
        <f t="shared" si="10"/>
        <v>0</v>
      </c>
      <c r="AQ12" s="65"/>
      <c r="AR12" s="9">
        <f t="shared" si="11"/>
        <v>0</v>
      </c>
      <c r="AS12" s="65">
        <f t="shared" si="30"/>
        <v>0</v>
      </c>
      <c r="AT12" s="65">
        <f t="shared" si="12"/>
        <v>0</v>
      </c>
      <c r="AU12" s="12">
        <f t="shared" si="13"/>
        <v>0</v>
      </c>
      <c r="AV12" s="68">
        <f t="shared" si="31"/>
        <v>661504.18000000005</v>
      </c>
      <c r="AW12" s="65">
        <v>724290</v>
      </c>
      <c r="AX12" s="12">
        <f t="shared" si="14"/>
        <v>1.0949137161914835</v>
      </c>
      <c r="AY12" s="75">
        <f t="shared" si="32"/>
        <v>0</v>
      </c>
      <c r="AZ12" s="65">
        <f>5673.25*1.2</f>
        <v>6807.9</v>
      </c>
      <c r="BA12" s="50">
        <f t="shared" si="15"/>
        <v>0</v>
      </c>
      <c r="BD12" s="92">
        <v>724290</v>
      </c>
      <c r="BE12" t="s">
        <v>110</v>
      </c>
    </row>
    <row r="13" spans="1:59" outlineLevel="1" x14ac:dyDescent="0.3">
      <c r="A13" s="19">
        <v>8</v>
      </c>
      <c r="B13" s="4" t="s">
        <v>11</v>
      </c>
      <c r="C13" s="4">
        <v>1</v>
      </c>
      <c r="D13" s="64">
        <v>251775</v>
      </c>
      <c r="E13" s="64">
        <v>0</v>
      </c>
      <c r="F13" s="64">
        <f t="shared" si="16"/>
        <v>661504.18000000005</v>
      </c>
      <c r="G13" s="64">
        <f t="shared" si="17"/>
        <v>0</v>
      </c>
      <c r="H13" s="64"/>
      <c r="I13" s="64">
        <f t="shared" si="18"/>
        <v>1050</v>
      </c>
      <c r="J13" s="64">
        <v>150</v>
      </c>
      <c r="K13" s="64"/>
      <c r="L13" s="64"/>
      <c r="M13" s="3">
        <v>1</v>
      </c>
      <c r="N13" s="9">
        <f t="shared" si="19"/>
        <v>1</v>
      </c>
      <c r="O13" s="3"/>
      <c r="P13" s="3"/>
      <c r="Q13" s="9">
        <f t="shared" si="6"/>
        <v>0</v>
      </c>
      <c r="R13" s="65">
        <f t="shared" si="20"/>
        <v>157500</v>
      </c>
      <c r="S13" s="65">
        <f t="shared" si="20"/>
        <v>36000</v>
      </c>
      <c r="T13" s="12">
        <f t="shared" si="0"/>
        <v>0.22857142857142854</v>
      </c>
      <c r="U13" s="68">
        <f t="shared" si="21"/>
        <v>1050</v>
      </c>
      <c r="V13" s="65">
        <f>240-AB13</f>
        <v>240</v>
      </c>
      <c r="W13" s="50">
        <f t="shared" si="1"/>
        <v>0.22857142857142854</v>
      </c>
      <c r="X13" s="72">
        <f t="shared" si="23"/>
        <v>157500</v>
      </c>
      <c r="Y13" s="65">
        <f t="shared" si="7"/>
        <v>36000</v>
      </c>
      <c r="Z13" s="9">
        <f t="shared" si="2"/>
        <v>0.22857142857142854</v>
      </c>
      <c r="AA13" s="64">
        <f t="shared" si="24"/>
        <v>0</v>
      </c>
      <c r="AB13" s="65">
        <f>72*0</f>
        <v>0</v>
      </c>
      <c r="AC13" s="9">
        <f t="shared" si="3"/>
        <v>0</v>
      </c>
      <c r="AD13" s="64">
        <f t="shared" si="25"/>
        <v>0</v>
      </c>
      <c r="AE13" s="64">
        <f t="shared" si="26"/>
        <v>0</v>
      </c>
      <c r="AF13" s="9">
        <f t="shared" si="4"/>
        <v>0</v>
      </c>
      <c r="AG13" s="65">
        <f t="shared" si="27"/>
        <v>0</v>
      </c>
      <c r="AH13" s="65">
        <f t="shared" si="27"/>
        <v>0</v>
      </c>
      <c r="AI13" s="9">
        <f t="shared" si="28"/>
        <v>0</v>
      </c>
      <c r="AJ13" s="65">
        <f t="shared" si="8"/>
        <v>0</v>
      </c>
      <c r="AK13" s="65"/>
      <c r="AL13" s="9">
        <f t="shared" si="9"/>
        <v>0</v>
      </c>
      <c r="AM13" s="65">
        <f t="shared" si="29"/>
        <v>0</v>
      </c>
      <c r="AN13" s="65"/>
      <c r="AO13" s="9">
        <f t="shared" si="5"/>
        <v>0</v>
      </c>
      <c r="AP13" s="64">
        <f t="shared" si="10"/>
        <v>0</v>
      </c>
      <c r="AQ13" s="65"/>
      <c r="AR13" s="9">
        <f t="shared" si="11"/>
        <v>0</v>
      </c>
      <c r="AS13" s="65">
        <f t="shared" si="30"/>
        <v>0</v>
      </c>
      <c r="AT13" s="65">
        <f t="shared" si="12"/>
        <v>0</v>
      </c>
      <c r="AU13" s="12">
        <f t="shared" si="13"/>
        <v>0</v>
      </c>
      <c r="AV13" s="68">
        <f t="shared" si="31"/>
        <v>661504.18000000005</v>
      </c>
      <c r="AW13" s="65">
        <v>689776</v>
      </c>
      <c r="AX13" s="12">
        <f t="shared" si="14"/>
        <v>1.0427386868515327</v>
      </c>
      <c r="AY13" s="75">
        <f t="shared" si="32"/>
        <v>0</v>
      </c>
      <c r="AZ13" s="65">
        <f t="shared" ref="AZ13:AZ22" si="33">5673.25*1.2</f>
        <v>6807.9</v>
      </c>
      <c r="BA13" s="50">
        <f t="shared" si="15"/>
        <v>0</v>
      </c>
      <c r="BD13" s="92">
        <v>689776</v>
      </c>
      <c r="BE13" t="s">
        <v>112</v>
      </c>
      <c r="BG13" s="149"/>
    </row>
    <row r="14" spans="1:59" outlineLevel="1" x14ac:dyDescent="0.3">
      <c r="A14" s="19">
        <v>9</v>
      </c>
      <c r="B14" s="4" t="s">
        <v>12</v>
      </c>
      <c r="C14" s="4">
        <v>1</v>
      </c>
      <c r="D14" s="64">
        <v>251775</v>
      </c>
      <c r="E14" s="64">
        <v>0</v>
      </c>
      <c r="F14" s="64">
        <f t="shared" si="16"/>
        <v>661504.18000000005</v>
      </c>
      <c r="G14" s="64">
        <f t="shared" si="17"/>
        <v>0</v>
      </c>
      <c r="H14" s="64"/>
      <c r="I14" s="64">
        <f t="shared" si="18"/>
        <v>1050</v>
      </c>
      <c r="J14" s="64">
        <v>150</v>
      </c>
      <c r="K14" s="64"/>
      <c r="L14" s="64"/>
      <c r="M14" s="3">
        <v>1</v>
      </c>
      <c r="N14" s="9">
        <f t="shared" si="19"/>
        <v>1</v>
      </c>
      <c r="O14" s="3"/>
      <c r="P14" s="3"/>
      <c r="Q14" s="9">
        <f t="shared" si="6"/>
        <v>0</v>
      </c>
      <c r="R14" s="65">
        <f t="shared" si="20"/>
        <v>157500</v>
      </c>
      <c r="S14" s="65">
        <f t="shared" si="20"/>
        <v>14400</v>
      </c>
      <c r="T14" s="12">
        <f t="shared" si="0"/>
        <v>9.1428571428571415E-2</v>
      </c>
      <c r="U14" s="68">
        <f t="shared" si="21"/>
        <v>1050</v>
      </c>
      <c r="V14" s="65">
        <f>96-AB14</f>
        <v>96</v>
      </c>
      <c r="W14" s="50">
        <f t="shared" si="1"/>
        <v>9.1428571428571415E-2</v>
      </c>
      <c r="X14" s="72">
        <f t="shared" si="23"/>
        <v>157500</v>
      </c>
      <c r="Y14" s="65">
        <f t="shared" si="7"/>
        <v>14400</v>
      </c>
      <c r="Z14" s="9">
        <f t="shared" si="2"/>
        <v>9.1428571428571415E-2</v>
      </c>
      <c r="AA14" s="64">
        <f t="shared" si="24"/>
        <v>0</v>
      </c>
      <c r="AB14" s="65">
        <f>72*0</f>
        <v>0</v>
      </c>
      <c r="AC14" s="9">
        <f t="shared" si="3"/>
        <v>0</v>
      </c>
      <c r="AD14" s="64">
        <f t="shared" si="25"/>
        <v>0</v>
      </c>
      <c r="AE14" s="64">
        <f t="shared" si="26"/>
        <v>0</v>
      </c>
      <c r="AF14" s="9">
        <f t="shared" si="4"/>
        <v>0</v>
      </c>
      <c r="AG14" s="65">
        <f t="shared" si="27"/>
        <v>0</v>
      </c>
      <c r="AH14" s="65">
        <f t="shared" si="27"/>
        <v>0</v>
      </c>
      <c r="AI14" s="9">
        <f t="shared" si="28"/>
        <v>0</v>
      </c>
      <c r="AJ14" s="65">
        <f t="shared" si="8"/>
        <v>0</v>
      </c>
      <c r="AK14" s="65"/>
      <c r="AL14" s="9">
        <f t="shared" si="9"/>
        <v>0</v>
      </c>
      <c r="AM14" s="65">
        <f t="shared" si="29"/>
        <v>0</v>
      </c>
      <c r="AN14" s="65"/>
      <c r="AO14" s="9">
        <f t="shared" si="5"/>
        <v>0</v>
      </c>
      <c r="AP14" s="64">
        <f t="shared" si="10"/>
        <v>0</v>
      </c>
      <c r="AQ14" s="65"/>
      <c r="AR14" s="9">
        <f t="shared" si="11"/>
        <v>0</v>
      </c>
      <c r="AS14" s="65">
        <f t="shared" si="30"/>
        <v>0</v>
      </c>
      <c r="AT14" s="65">
        <f t="shared" si="12"/>
        <v>0</v>
      </c>
      <c r="AU14" s="12">
        <f t="shared" si="13"/>
        <v>0</v>
      </c>
      <c r="AV14" s="68">
        <f t="shared" si="31"/>
        <v>661504.18000000005</v>
      </c>
      <c r="AW14" s="65">
        <v>692207</v>
      </c>
      <c r="AX14" s="12">
        <f t="shared" si="14"/>
        <v>1.0464136447331291</v>
      </c>
      <c r="AY14" s="75">
        <f t="shared" si="32"/>
        <v>0</v>
      </c>
      <c r="AZ14" s="65">
        <f t="shared" si="33"/>
        <v>6807.9</v>
      </c>
      <c r="BA14" s="50">
        <f t="shared" si="15"/>
        <v>0</v>
      </c>
      <c r="BD14" s="92">
        <v>692207</v>
      </c>
      <c r="BE14" t="s">
        <v>112</v>
      </c>
      <c r="BG14" s="149"/>
    </row>
    <row r="15" spans="1:59" outlineLevel="1" x14ac:dyDescent="0.3">
      <c r="A15" s="19">
        <v>10</v>
      </c>
      <c r="B15" s="4" t="s">
        <v>13</v>
      </c>
      <c r="C15" s="4">
        <v>1</v>
      </c>
      <c r="D15" s="64">
        <v>251775</v>
      </c>
      <c r="E15" s="64">
        <v>0</v>
      </c>
      <c r="F15" s="64">
        <f t="shared" si="16"/>
        <v>661504.18000000005</v>
      </c>
      <c r="G15" s="64">
        <f t="shared" si="17"/>
        <v>0</v>
      </c>
      <c r="H15" s="64"/>
      <c r="I15" s="64">
        <f t="shared" si="18"/>
        <v>1050</v>
      </c>
      <c r="J15" s="64">
        <v>150</v>
      </c>
      <c r="K15" s="64"/>
      <c r="L15" s="64"/>
      <c r="M15" s="3">
        <v>1</v>
      </c>
      <c r="N15" s="9">
        <f t="shared" si="19"/>
        <v>1</v>
      </c>
      <c r="O15" s="3"/>
      <c r="P15" s="3"/>
      <c r="Q15" s="9">
        <f t="shared" si="6"/>
        <v>0</v>
      </c>
      <c r="R15" s="65">
        <f t="shared" si="20"/>
        <v>157500</v>
      </c>
      <c r="S15" s="65">
        <f t="shared" si="20"/>
        <v>28800</v>
      </c>
      <c r="T15" s="12">
        <f t="shared" si="0"/>
        <v>0.18285714285714283</v>
      </c>
      <c r="U15" s="68">
        <f t="shared" si="21"/>
        <v>1050</v>
      </c>
      <c r="V15" s="65">
        <f>192-AB15</f>
        <v>192</v>
      </c>
      <c r="W15" s="50">
        <f t="shared" si="1"/>
        <v>0.18285714285714283</v>
      </c>
      <c r="X15" s="72">
        <f t="shared" si="23"/>
        <v>157500</v>
      </c>
      <c r="Y15" s="65">
        <f t="shared" si="7"/>
        <v>28800</v>
      </c>
      <c r="Z15" s="9">
        <f t="shared" si="2"/>
        <v>0.18285714285714283</v>
      </c>
      <c r="AA15" s="64">
        <f t="shared" si="24"/>
        <v>0</v>
      </c>
      <c r="AB15" s="65">
        <f>144*0</f>
        <v>0</v>
      </c>
      <c r="AC15" s="9">
        <f t="shared" si="3"/>
        <v>0</v>
      </c>
      <c r="AD15" s="64">
        <f t="shared" si="25"/>
        <v>0</v>
      </c>
      <c r="AE15" s="64">
        <f t="shared" si="26"/>
        <v>0</v>
      </c>
      <c r="AF15" s="9">
        <f t="shared" si="4"/>
        <v>0</v>
      </c>
      <c r="AG15" s="65">
        <f t="shared" si="27"/>
        <v>0</v>
      </c>
      <c r="AH15" s="65">
        <f t="shared" si="27"/>
        <v>0</v>
      </c>
      <c r="AI15" s="9">
        <f t="shared" si="28"/>
        <v>0</v>
      </c>
      <c r="AJ15" s="65">
        <f t="shared" si="8"/>
        <v>0</v>
      </c>
      <c r="AK15" s="65"/>
      <c r="AL15" s="9">
        <f t="shared" si="9"/>
        <v>0</v>
      </c>
      <c r="AM15" s="65">
        <f t="shared" si="29"/>
        <v>0</v>
      </c>
      <c r="AN15" s="65"/>
      <c r="AO15" s="9">
        <f t="shared" si="5"/>
        <v>0</v>
      </c>
      <c r="AP15" s="64">
        <f t="shared" si="10"/>
        <v>0</v>
      </c>
      <c r="AQ15" s="65"/>
      <c r="AR15" s="9">
        <f t="shared" si="11"/>
        <v>0</v>
      </c>
      <c r="AS15" s="65">
        <f t="shared" si="30"/>
        <v>0</v>
      </c>
      <c r="AT15" s="65">
        <f t="shared" si="12"/>
        <v>0</v>
      </c>
      <c r="AU15" s="12">
        <f t="shared" si="13"/>
        <v>0</v>
      </c>
      <c r="AV15" s="68">
        <f t="shared" si="31"/>
        <v>661504.18000000005</v>
      </c>
      <c r="AW15" s="65">
        <v>694501</v>
      </c>
      <c r="AX15" s="12">
        <f t="shared" si="14"/>
        <v>1.0498814988591605</v>
      </c>
      <c r="AY15" s="75">
        <f t="shared" si="32"/>
        <v>0</v>
      </c>
      <c r="AZ15" s="65">
        <f t="shared" si="33"/>
        <v>6807.9</v>
      </c>
      <c r="BA15" s="50">
        <f t="shared" si="15"/>
        <v>0</v>
      </c>
      <c r="BD15" s="92">
        <v>694501</v>
      </c>
      <c r="BE15" t="s">
        <v>112</v>
      </c>
      <c r="BG15" s="149"/>
    </row>
    <row r="16" spans="1:59" outlineLevel="1" x14ac:dyDescent="0.3">
      <c r="A16" s="19">
        <v>11</v>
      </c>
      <c r="B16" s="4" t="s">
        <v>14</v>
      </c>
      <c r="C16" s="4">
        <v>1</v>
      </c>
      <c r="D16" s="64">
        <v>251775</v>
      </c>
      <c r="E16" s="64">
        <v>0</v>
      </c>
      <c r="F16" s="64">
        <f t="shared" si="16"/>
        <v>661504.18000000005</v>
      </c>
      <c r="G16" s="64">
        <f t="shared" si="17"/>
        <v>0</v>
      </c>
      <c r="H16" s="64"/>
      <c r="I16" s="64">
        <f t="shared" si="18"/>
        <v>1050</v>
      </c>
      <c r="J16" s="64">
        <v>150</v>
      </c>
      <c r="K16" s="64"/>
      <c r="L16" s="64"/>
      <c r="M16" s="3">
        <v>1</v>
      </c>
      <c r="N16" s="9">
        <f t="shared" si="19"/>
        <v>1</v>
      </c>
      <c r="O16" s="3"/>
      <c r="P16" s="3"/>
      <c r="Q16" s="9">
        <f t="shared" si="6"/>
        <v>0</v>
      </c>
      <c r="R16" s="65">
        <f t="shared" si="20"/>
        <v>157500</v>
      </c>
      <c r="S16" s="65">
        <f t="shared" si="20"/>
        <v>46800</v>
      </c>
      <c r="T16" s="12">
        <f t="shared" si="0"/>
        <v>0.29714285714285715</v>
      </c>
      <c r="U16" s="68">
        <f t="shared" si="21"/>
        <v>1050</v>
      </c>
      <c r="V16" s="65">
        <f>312-AB16</f>
        <v>312</v>
      </c>
      <c r="W16" s="50">
        <f t="shared" si="1"/>
        <v>0.29714285714285715</v>
      </c>
      <c r="X16" s="72">
        <f t="shared" si="23"/>
        <v>157500</v>
      </c>
      <c r="Y16" s="65">
        <f t="shared" si="7"/>
        <v>46800</v>
      </c>
      <c r="Z16" s="9">
        <f t="shared" si="2"/>
        <v>0.29714285714285715</v>
      </c>
      <c r="AA16" s="64">
        <f t="shared" si="24"/>
        <v>0</v>
      </c>
      <c r="AB16" s="65">
        <f>216*0</f>
        <v>0</v>
      </c>
      <c r="AC16" s="9">
        <f t="shared" si="3"/>
        <v>0</v>
      </c>
      <c r="AD16" s="64">
        <f t="shared" si="25"/>
        <v>0</v>
      </c>
      <c r="AE16" s="64">
        <f t="shared" si="26"/>
        <v>0</v>
      </c>
      <c r="AF16" s="9">
        <f t="shared" si="4"/>
        <v>0</v>
      </c>
      <c r="AG16" s="65">
        <f t="shared" si="27"/>
        <v>0</v>
      </c>
      <c r="AH16" s="65">
        <f t="shared" si="27"/>
        <v>0</v>
      </c>
      <c r="AI16" s="9">
        <f t="shared" si="28"/>
        <v>0</v>
      </c>
      <c r="AJ16" s="65">
        <f t="shared" si="8"/>
        <v>0</v>
      </c>
      <c r="AK16" s="65"/>
      <c r="AL16" s="9">
        <f t="shared" si="9"/>
        <v>0</v>
      </c>
      <c r="AM16" s="65">
        <f t="shared" si="29"/>
        <v>0</v>
      </c>
      <c r="AN16" s="65"/>
      <c r="AO16" s="9">
        <f t="shared" si="5"/>
        <v>0</v>
      </c>
      <c r="AP16" s="64">
        <f t="shared" si="10"/>
        <v>0</v>
      </c>
      <c r="AQ16" s="65"/>
      <c r="AR16" s="9">
        <f t="shared" si="11"/>
        <v>0</v>
      </c>
      <c r="AS16" s="65">
        <f t="shared" si="30"/>
        <v>0</v>
      </c>
      <c r="AT16" s="65">
        <f t="shared" si="12"/>
        <v>0</v>
      </c>
      <c r="AU16" s="12">
        <f t="shared" si="13"/>
        <v>0</v>
      </c>
      <c r="AV16" s="68">
        <f t="shared" si="31"/>
        <v>661504.18000000005</v>
      </c>
      <c r="AW16" s="65">
        <v>674140</v>
      </c>
      <c r="AX16" s="12">
        <f t="shared" si="14"/>
        <v>1.0191016480047035</v>
      </c>
      <c r="AY16" s="75">
        <f t="shared" si="32"/>
        <v>0</v>
      </c>
      <c r="AZ16" s="65">
        <f t="shared" si="33"/>
        <v>6807.9</v>
      </c>
      <c r="BA16" s="50">
        <f t="shared" si="15"/>
        <v>0</v>
      </c>
      <c r="BD16" s="92">
        <v>674140</v>
      </c>
      <c r="BE16" t="s">
        <v>112</v>
      </c>
      <c r="BG16" s="149"/>
    </row>
    <row r="17" spans="1:59" outlineLevel="1" x14ac:dyDescent="0.3">
      <c r="A17" s="19">
        <v>12</v>
      </c>
      <c r="B17" s="4" t="s">
        <v>15</v>
      </c>
      <c r="C17" s="4">
        <v>1</v>
      </c>
      <c r="D17" s="64">
        <v>251775</v>
      </c>
      <c r="E17" s="64">
        <v>0</v>
      </c>
      <c r="F17" s="64">
        <f t="shared" si="16"/>
        <v>661504.18000000005</v>
      </c>
      <c r="G17" s="64">
        <f t="shared" si="17"/>
        <v>0</v>
      </c>
      <c r="H17" s="64"/>
      <c r="I17" s="64">
        <f t="shared" si="18"/>
        <v>1050</v>
      </c>
      <c r="J17" s="64">
        <v>150</v>
      </c>
      <c r="K17" s="64"/>
      <c r="L17" s="64"/>
      <c r="M17" s="3">
        <v>1</v>
      </c>
      <c r="N17" s="9">
        <f t="shared" si="19"/>
        <v>1</v>
      </c>
      <c r="O17" s="3"/>
      <c r="P17" s="3"/>
      <c r="Q17" s="9">
        <f t="shared" si="6"/>
        <v>0</v>
      </c>
      <c r="R17" s="65">
        <f t="shared" si="20"/>
        <v>157500</v>
      </c>
      <c r="S17" s="65">
        <f t="shared" si="20"/>
        <v>61200</v>
      </c>
      <c r="T17" s="12">
        <f t="shared" si="0"/>
        <v>0.38857142857142857</v>
      </c>
      <c r="U17" s="68">
        <f t="shared" si="21"/>
        <v>1050</v>
      </c>
      <c r="V17" s="65">
        <f>408-AB17</f>
        <v>408</v>
      </c>
      <c r="W17" s="50">
        <f t="shared" si="1"/>
        <v>0.38857142857142857</v>
      </c>
      <c r="X17" s="72">
        <f t="shared" si="23"/>
        <v>157500</v>
      </c>
      <c r="Y17" s="65">
        <f t="shared" si="7"/>
        <v>61200</v>
      </c>
      <c r="Z17" s="9">
        <f t="shared" si="2"/>
        <v>0.38857142857142857</v>
      </c>
      <c r="AA17" s="64">
        <f t="shared" si="24"/>
        <v>0</v>
      </c>
      <c r="AB17" s="65">
        <f>288*0</f>
        <v>0</v>
      </c>
      <c r="AC17" s="9">
        <f t="shared" si="3"/>
        <v>0</v>
      </c>
      <c r="AD17" s="64">
        <f t="shared" si="25"/>
        <v>0</v>
      </c>
      <c r="AE17" s="64">
        <f t="shared" si="26"/>
        <v>0</v>
      </c>
      <c r="AF17" s="9">
        <f t="shared" si="4"/>
        <v>0</v>
      </c>
      <c r="AG17" s="65">
        <f t="shared" si="27"/>
        <v>0</v>
      </c>
      <c r="AH17" s="65">
        <f t="shared" si="27"/>
        <v>0</v>
      </c>
      <c r="AI17" s="9">
        <f t="shared" si="28"/>
        <v>0</v>
      </c>
      <c r="AJ17" s="65">
        <f t="shared" si="8"/>
        <v>0</v>
      </c>
      <c r="AK17" s="65"/>
      <c r="AL17" s="9">
        <f t="shared" si="9"/>
        <v>0</v>
      </c>
      <c r="AM17" s="65">
        <f t="shared" si="29"/>
        <v>0</v>
      </c>
      <c r="AN17" s="65"/>
      <c r="AO17" s="9">
        <f t="shared" si="5"/>
        <v>0</v>
      </c>
      <c r="AP17" s="64">
        <f t="shared" si="10"/>
        <v>0</v>
      </c>
      <c r="AQ17" s="65"/>
      <c r="AR17" s="9">
        <f t="shared" si="11"/>
        <v>0</v>
      </c>
      <c r="AS17" s="65">
        <f t="shared" si="30"/>
        <v>0</v>
      </c>
      <c r="AT17" s="65">
        <f t="shared" si="12"/>
        <v>0</v>
      </c>
      <c r="AU17" s="12">
        <f t="shared" si="13"/>
        <v>0</v>
      </c>
      <c r="AV17" s="68">
        <f t="shared" si="31"/>
        <v>661504.18000000005</v>
      </c>
      <c r="AW17" s="65">
        <v>680640</v>
      </c>
      <c r="AX17" s="12">
        <f t="shared" si="14"/>
        <v>1.0289277385972073</v>
      </c>
      <c r="AY17" s="75">
        <f t="shared" si="32"/>
        <v>0</v>
      </c>
      <c r="AZ17" s="65">
        <f t="shared" si="33"/>
        <v>6807.9</v>
      </c>
      <c r="BA17" s="50">
        <f t="shared" si="15"/>
        <v>0</v>
      </c>
      <c r="BD17" s="92">
        <v>680640</v>
      </c>
      <c r="BE17" t="s">
        <v>112</v>
      </c>
      <c r="BG17" s="149"/>
    </row>
    <row r="18" spans="1:59" outlineLevel="1" x14ac:dyDescent="0.3">
      <c r="A18" s="19">
        <v>13</v>
      </c>
      <c r="B18" s="4" t="s">
        <v>16</v>
      </c>
      <c r="C18" s="4">
        <v>1</v>
      </c>
      <c r="D18" s="64">
        <v>251775</v>
      </c>
      <c r="E18" s="64">
        <v>0</v>
      </c>
      <c r="F18" s="64">
        <f t="shared" si="16"/>
        <v>661504.18000000005</v>
      </c>
      <c r="G18" s="64">
        <f t="shared" si="17"/>
        <v>0</v>
      </c>
      <c r="H18" s="64"/>
      <c r="I18" s="64">
        <f t="shared" si="18"/>
        <v>1050</v>
      </c>
      <c r="J18" s="64">
        <v>150</v>
      </c>
      <c r="K18" s="64"/>
      <c r="L18" s="64"/>
      <c r="M18" s="3">
        <v>1</v>
      </c>
      <c r="N18" s="9">
        <f t="shared" si="19"/>
        <v>1</v>
      </c>
      <c r="O18" s="3"/>
      <c r="P18" s="3"/>
      <c r="Q18" s="9">
        <f t="shared" si="6"/>
        <v>0</v>
      </c>
      <c r="R18" s="65">
        <f t="shared" si="20"/>
        <v>157500</v>
      </c>
      <c r="S18" s="65">
        <f t="shared" si="20"/>
        <v>36000</v>
      </c>
      <c r="T18" s="12">
        <f t="shared" si="0"/>
        <v>0.22857142857142854</v>
      </c>
      <c r="U18" s="68">
        <f t="shared" si="21"/>
        <v>1050</v>
      </c>
      <c r="V18" s="65">
        <f>240-AB18</f>
        <v>240</v>
      </c>
      <c r="W18" s="50">
        <f t="shared" si="1"/>
        <v>0.22857142857142854</v>
      </c>
      <c r="X18" s="72">
        <f t="shared" si="23"/>
        <v>157500</v>
      </c>
      <c r="Y18" s="65">
        <f t="shared" si="7"/>
        <v>36000</v>
      </c>
      <c r="Z18" s="9">
        <f t="shared" si="2"/>
        <v>0.22857142857142854</v>
      </c>
      <c r="AA18" s="64">
        <f t="shared" si="24"/>
        <v>0</v>
      </c>
      <c r="AB18" s="65">
        <f>144*0</f>
        <v>0</v>
      </c>
      <c r="AC18" s="9">
        <f t="shared" si="3"/>
        <v>0</v>
      </c>
      <c r="AD18" s="64">
        <f t="shared" si="25"/>
        <v>0</v>
      </c>
      <c r="AE18" s="64">
        <f t="shared" si="26"/>
        <v>0</v>
      </c>
      <c r="AF18" s="9">
        <f t="shared" si="4"/>
        <v>0</v>
      </c>
      <c r="AG18" s="65">
        <f t="shared" si="27"/>
        <v>0</v>
      </c>
      <c r="AH18" s="65">
        <f t="shared" si="27"/>
        <v>0</v>
      </c>
      <c r="AI18" s="9">
        <f t="shared" si="28"/>
        <v>0</v>
      </c>
      <c r="AJ18" s="65">
        <f t="shared" si="8"/>
        <v>0</v>
      </c>
      <c r="AK18" s="65"/>
      <c r="AL18" s="9">
        <f t="shared" si="9"/>
        <v>0</v>
      </c>
      <c r="AM18" s="65">
        <f t="shared" si="29"/>
        <v>0</v>
      </c>
      <c r="AN18" s="65"/>
      <c r="AO18" s="9">
        <f t="shared" si="5"/>
        <v>0</v>
      </c>
      <c r="AP18" s="64">
        <f t="shared" si="10"/>
        <v>0</v>
      </c>
      <c r="AQ18" s="65"/>
      <c r="AR18" s="9">
        <f t="shared" si="11"/>
        <v>0</v>
      </c>
      <c r="AS18" s="65">
        <f t="shared" si="30"/>
        <v>0</v>
      </c>
      <c r="AT18" s="65">
        <f t="shared" si="12"/>
        <v>0</v>
      </c>
      <c r="AU18" s="12">
        <f t="shared" si="13"/>
        <v>0</v>
      </c>
      <c r="AV18" s="68">
        <f t="shared" si="31"/>
        <v>661504.18000000005</v>
      </c>
      <c r="AW18" s="65">
        <v>671226</v>
      </c>
      <c r="AX18" s="12">
        <f t="shared" si="14"/>
        <v>1.0146965360067717</v>
      </c>
      <c r="AY18" s="75">
        <f t="shared" si="32"/>
        <v>0</v>
      </c>
      <c r="AZ18" s="65">
        <f t="shared" si="33"/>
        <v>6807.9</v>
      </c>
      <c r="BA18" s="50">
        <f t="shared" si="15"/>
        <v>0</v>
      </c>
      <c r="BD18" s="92">
        <v>671226</v>
      </c>
      <c r="BE18" t="s">
        <v>112</v>
      </c>
      <c r="BG18" s="149"/>
    </row>
    <row r="19" spans="1:59" outlineLevel="1" x14ac:dyDescent="0.3">
      <c r="A19" s="19">
        <v>14</v>
      </c>
      <c r="B19" s="4" t="s">
        <v>17</v>
      </c>
      <c r="C19" s="4">
        <v>1</v>
      </c>
      <c r="D19" s="64">
        <v>251775</v>
      </c>
      <c r="E19" s="64">
        <v>0</v>
      </c>
      <c r="F19" s="64">
        <f t="shared" si="16"/>
        <v>661504.18000000005</v>
      </c>
      <c r="G19" s="64">
        <f t="shared" si="17"/>
        <v>0</v>
      </c>
      <c r="H19" s="64"/>
      <c r="I19" s="64">
        <f t="shared" si="18"/>
        <v>1050</v>
      </c>
      <c r="J19" s="64">
        <v>150</v>
      </c>
      <c r="K19" s="64"/>
      <c r="L19" s="64"/>
      <c r="M19" s="3">
        <v>1</v>
      </c>
      <c r="N19" s="9">
        <f t="shared" si="19"/>
        <v>1</v>
      </c>
      <c r="O19" s="3"/>
      <c r="P19" s="3"/>
      <c r="Q19" s="9">
        <f t="shared" si="6"/>
        <v>0</v>
      </c>
      <c r="R19" s="65">
        <f t="shared" si="20"/>
        <v>157500</v>
      </c>
      <c r="S19" s="65">
        <f t="shared" si="20"/>
        <v>126000</v>
      </c>
      <c r="T19" s="12">
        <f t="shared" si="0"/>
        <v>0.8</v>
      </c>
      <c r="U19" s="68">
        <f t="shared" si="21"/>
        <v>1050</v>
      </c>
      <c r="V19" s="65">
        <f>840-AB19</f>
        <v>840</v>
      </c>
      <c r="W19" s="50">
        <f t="shared" si="1"/>
        <v>0.8</v>
      </c>
      <c r="X19" s="72">
        <f t="shared" si="23"/>
        <v>157500</v>
      </c>
      <c r="Y19" s="65">
        <f t="shared" si="7"/>
        <v>126000</v>
      </c>
      <c r="Z19" s="9">
        <f t="shared" si="2"/>
        <v>0.8</v>
      </c>
      <c r="AA19" s="64">
        <f t="shared" si="24"/>
        <v>0</v>
      </c>
      <c r="AB19" s="65">
        <f>600*0</f>
        <v>0</v>
      </c>
      <c r="AC19" s="9">
        <f t="shared" si="3"/>
        <v>0</v>
      </c>
      <c r="AD19" s="64">
        <f t="shared" si="25"/>
        <v>0</v>
      </c>
      <c r="AE19" s="64">
        <f t="shared" si="26"/>
        <v>0</v>
      </c>
      <c r="AF19" s="9">
        <f t="shared" si="4"/>
        <v>0</v>
      </c>
      <c r="AG19" s="65">
        <f t="shared" si="27"/>
        <v>0</v>
      </c>
      <c r="AH19" s="65">
        <f t="shared" si="27"/>
        <v>0</v>
      </c>
      <c r="AI19" s="9">
        <f t="shared" si="28"/>
        <v>0</v>
      </c>
      <c r="AJ19" s="65">
        <f t="shared" si="8"/>
        <v>0</v>
      </c>
      <c r="AK19" s="65"/>
      <c r="AL19" s="9">
        <f t="shared" si="9"/>
        <v>0</v>
      </c>
      <c r="AM19" s="65">
        <f t="shared" si="29"/>
        <v>0</v>
      </c>
      <c r="AN19" s="65"/>
      <c r="AO19" s="9">
        <f t="shared" si="5"/>
        <v>0</v>
      </c>
      <c r="AP19" s="64">
        <f t="shared" si="10"/>
        <v>0</v>
      </c>
      <c r="AQ19" s="65"/>
      <c r="AR19" s="9">
        <f t="shared" si="11"/>
        <v>0</v>
      </c>
      <c r="AS19" s="65">
        <f t="shared" si="30"/>
        <v>0</v>
      </c>
      <c r="AT19" s="65">
        <f t="shared" si="12"/>
        <v>0</v>
      </c>
      <c r="AU19" s="12">
        <f t="shared" si="13"/>
        <v>0</v>
      </c>
      <c r="AV19" s="68">
        <f t="shared" si="31"/>
        <v>661504.18000000005</v>
      </c>
      <c r="AW19" s="65">
        <v>682807</v>
      </c>
      <c r="AX19" s="12">
        <f t="shared" si="14"/>
        <v>1.0322036060301236</v>
      </c>
      <c r="AY19" s="75">
        <f t="shared" si="32"/>
        <v>0</v>
      </c>
      <c r="AZ19" s="65">
        <f t="shared" si="33"/>
        <v>6807.9</v>
      </c>
      <c r="BA19" s="50">
        <f t="shared" si="15"/>
        <v>0</v>
      </c>
      <c r="BD19" s="92">
        <v>682807</v>
      </c>
      <c r="BE19" t="s">
        <v>112</v>
      </c>
      <c r="BG19" s="149"/>
    </row>
    <row r="20" spans="1:59" outlineLevel="1" x14ac:dyDescent="0.3">
      <c r="A20" s="19">
        <v>15</v>
      </c>
      <c r="B20" s="4" t="s">
        <v>18</v>
      </c>
      <c r="C20" s="4">
        <v>1</v>
      </c>
      <c r="D20" s="64">
        <v>251775</v>
      </c>
      <c r="E20" s="64">
        <v>0</v>
      </c>
      <c r="F20" s="64">
        <f t="shared" si="16"/>
        <v>661504.18000000005</v>
      </c>
      <c r="G20" s="64">
        <f t="shared" si="17"/>
        <v>0</v>
      </c>
      <c r="H20" s="64"/>
      <c r="I20" s="64">
        <f t="shared" si="18"/>
        <v>1050</v>
      </c>
      <c r="J20" s="64">
        <v>150</v>
      </c>
      <c r="K20" s="64"/>
      <c r="L20" s="64"/>
      <c r="M20" s="3">
        <v>1</v>
      </c>
      <c r="N20" s="9">
        <f t="shared" si="19"/>
        <v>1</v>
      </c>
      <c r="O20" s="3"/>
      <c r="P20" s="3"/>
      <c r="Q20" s="9">
        <f t="shared" si="6"/>
        <v>0</v>
      </c>
      <c r="R20" s="65">
        <f t="shared" si="20"/>
        <v>157500</v>
      </c>
      <c r="S20" s="65">
        <f t="shared" si="20"/>
        <v>67500</v>
      </c>
      <c r="T20" s="12">
        <f t="shared" si="0"/>
        <v>0.4285714285714286</v>
      </c>
      <c r="U20" s="68">
        <f t="shared" si="21"/>
        <v>1050</v>
      </c>
      <c r="V20" s="65">
        <f>450-AB20</f>
        <v>450</v>
      </c>
      <c r="W20" s="50">
        <f t="shared" si="1"/>
        <v>0.4285714285714286</v>
      </c>
      <c r="X20" s="72">
        <f t="shared" si="23"/>
        <v>157500</v>
      </c>
      <c r="Y20" s="65">
        <f t="shared" si="7"/>
        <v>67500</v>
      </c>
      <c r="Z20" s="9">
        <f t="shared" si="2"/>
        <v>0.4285714285714286</v>
      </c>
      <c r="AA20" s="64">
        <f t="shared" si="24"/>
        <v>0</v>
      </c>
      <c r="AB20" s="65">
        <f>264*0</f>
        <v>0</v>
      </c>
      <c r="AC20" s="9">
        <f t="shared" si="3"/>
        <v>0</v>
      </c>
      <c r="AD20" s="64">
        <f t="shared" si="25"/>
        <v>0</v>
      </c>
      <c r="AE20" s="64">
        <f t="shared" si="26"/>
        <v>0</v>
      </c>
      <c r="AF20" s="9">
        <f t="shared" si="4"/>
        <v>0</v>
      </c>
      <c r="AG20" s="65">
        <f t="shared" si="27"/>
        <v>0</v>
      </c>
      <c r="AH20" s="65">
        <f t="shared" si="27"/>
        <v>0</v>
      </c>
      <c r="AI20" s="9">
        <f t="shared" si="28"/>
        <v>0</v>
      </c>
      <c r="AJ20" s="65">
        <f t="shared" si="8"/>
        <v>0</v>
      </c>
      <c r="AK20" s="65"/>
      <c r="AL20" s="9">
        <f t="shared" si="9"/>
        <v>0</v>
      </c>
      <c r="AM20" s="65">
        <f t="shared" si="29"/>
        <v>0</v>
      </c>
      <c r="AN20" s="65"/>
      <c r="AO20" s="9">
        <f t="shared" si="5"/>
        <v>0</v>
      </c>
      <c r="AP20" s="64">
        <f t="shared" si="10"/>
        <v>0</v>
      </c>
      <c r="AQ20" s="65"/>
      <c r="AR20" s="9">
        <f t="shared" si="11"/>
        <v>0</v>
      </c>
      <c r="AS20" s="65">
        <f t="shared" si="30"/>
        <v>0</v>
      </c>
      <c r="AT20" s="65">
        <f t="shared" si="12"/>
        <v>0</v>
      </c>
      <c r="AU20" s="12">
        <f t="shared" si="13"/>
        <v>0</v>
      </c>
      <c r="AV20" s="68">
        <f t="shared" si="31"/>
        <v>661504.18000000005</v>
      </c>
      <c r="AW20" s="65">
        <v>697525</v>
      </c>
      <c r="AX20" s="12">
        <f t="shared" si="14"/>
        <v>1.0544528985440424</v>
      </c>
      <c r="AY20" s="75">
        <f t="shared" si="32"/>
        <v>0</v>
      </c>
      <c r="AZ20" s="65">
        <f t="shared" si="33"/>
        <v>6807.9</v>
      </c>
      <c r="BA20" s="50">
        <f t="shared" si="15"/>
        <v>0</v>
      </c>
      <c r="BD20" s="92">
        <v>697525</v>
      </c>
      <c r="BE20" t="s">
        <v>112</v>
      </c>
      <c r="BG20" s="149"/>
    </row>
    <row r="21" spans="1:59" outlineLevel="1" x14ac:dyDescent="0.3">
      <c r="A21" s="19">
        <v>16</v>
      </c>
      <c r="B21" s="4" t="s">
        <v>19</v>
      </c>
      <c r="C21" s="4">
        <v>1</v>
      </c>
      <c r="D21" s="64">
        <v>251775</v>
      </c>
      <c r="E21" s="64">
        <v>0</v>
      </c>
      <c r="F21" s="64">
        <f t="shared" si="16"/>
        <v>661504.18000000005</v>
      </c>
      <c r="G21" s="64">
        <f t="shared" si="17"/>
        <v>0</v>
      </c>
      <c r="H21" s="64"/>
      <c r="I21" s="64">
        <f t="shared" si="18"/>
        <v>1050</v>
      </c>
      <c r="J21" s="64">
        <v>150</v>
      </c>
      <c r="K21" s="64"/>
      <c r="L21" s="64"/>
      <c r="M21" s="3">
        <v>1</v>
      </c>
      <c r="N21" s="9">
        <f t="shared" si="19"/>
        <v>1</v>
      </c>
      <c r="O21" s="3"/>
      <c r="P21" s="3"/>
      <c r="Q21" s="9">
        <f t="shared" si="6"/>
        <v>0</v>
      </c>
      <c r="R21" s="65">
        <f t="shared" si="20"/>
        <v>157500</v>
      </c>
      <c r="S21" s="65">
        <f t="shared" si="20"/>
        <v>62550</v>
      </c>
      <c r="T21" s="12">
        <f t="shared" si="0"/>
        <v>0.39714285714285713</v>
      </c>
      <c r="U21" s="68">
        <f t="shared" si="21"/>
        <v>1050</v>
      </c>
      <c r="V21" s="65">
        <f>417-AB21</f>
        <v>417</v>
      </c>
      <c r="W21" s="50">
        <f t="shared" si="1"/>
        <v>0.39714285714285713</v>
      </c>
      <c r="X21" s="72">
        <f t="shared" si="23"/>
        <v>157500</v>
      </c>
      <c r="Y21" s="65">
        <f t="shared" si="7"/>
        <v>62550</v>
      </c>
      <c r="Z21" s="9">
        <f t="shared" si="2"/>
        <v>0.39714285714285713</v>
      </c>
      <c r="AA21" s="64">
        <f t="shared" si="24"/>
        <v>0</v>
      </c>
      <c r="AB21" s="65">
        <f t="shared" ref="AB21:AB26" si="34">144*0</f>
        <v>0</v>
      </c>
      <c r="AC21" s="9">
        <f t="shared" si="3"/>
        <v>0</v>
      </c>
      <c r="AD21" s="64">
        <f t="shared" si="25"/>
        <v>0</v>
      </c>
      <c r="AE21" s="64">
        <f t="shared" si="26"/>
        <v>0</v>
      </c>
      <c r="AF21" s="9">
        <f t="shared" si="4"/>
        <v>0</v>
      </c>
      <c r="AG21" s="65">
        <f t="shared" si="27"/>
        <v>0</v>
      </c>
      <c r="AH21" s="65">
        <f t="shared" si="27"/>
        <v>0</v>
      </c>
      <c r="AI21" s="9">
        <f t="shared" si="28"/>
        <v>0</v>
      </c>
      <c r="AJ21" s="65">
        <f t="shared" si="8"/>
        <v>0</v>
      </c>
      <c r="AK21" s="65"/>
      <c r="AL21" s="9">
        <f t="shared" si="9"/>
        <v>0</v>
      </c>
      <c r="AM21" s="65">
        <f t="shared" si="29"/>
        <v>0</v>
      </c>
      <c r="AN21" s="65"/>
      <c r="AO21" s="9">
        <f t="shared" si="5"/>
        <v>0</v>
      </c>
      <c r="AP21" s="64">
        <f t="shared" si="10"/>
        <v>0</v>
      </c>
      <c r="AQ21" s="65"/>
      <c r="AR21" s="9">
        <f t="shared" si="11"/>
        <v>0</v>
      </c>
      <c r="AS21" s="65">
        <f t="shared" si="30"/>
        <v>0</v>
      </c>
      <c r="AT21" s="65">
        <f t="shared" si="12"/>
        <v>0</v>
      </c>
      <c r="AU21" s="12">
        <f t="shared" si="13"/>
        <v>0</v>
      </c>
      <c r="AV21" s="68">
        <f t="shared" si="31"/>
        <v>661504.18000000005</v>
      </c>
      <c r="AW21" s="65">
        <v>704366</v>
      </c>
      <c r="AX21" s="12">
        <f t="shared" si="14"/>
        <v>1.0647944809660914</v>
      </c>
      <c r="AY21" s="75">
        <f t="shared" si="32"/>
        <v>0</v>
      </c>
      <c r="AZ21" s="65">
        <f t="shared" si="33"/>
        <v>6807.9</v>
      </c>
      <c r="BA21" s="50">
        <f t="shared" si="15"/>
        <v>0</v>
      </c>
      <c r="BD21" s="92">
        <v>704366</v>
      </c>
      <c r="BE21" t="s">
        <v>112</v>
      </c>
      <c r="BG21" s="149"/>
    </row>
    <row r="22" spans="1:59" outlineLevel="1" x14ac:dyDescent="0.3">
      <c r="A22" s="19">
        <v>17</v>
      </c>
      <c r="B22" s="4" t="s">
        <v>20</v>
      </c>
      <c r="C22" s="4">
        <v>1</v>
      </c>
      <c r="D22" s="64">
        <v>251775</v>
      </c>
      <c r="E22" s="64">
        <v>0</v>
      </c>
      <c r="F22" s="64">
        <f t="shared" si="16"/>
        <v>661504.18000000005</v>
      </c>
      <c r="G22" s="64">
        <f t="shared" si="17"/>
        <v>0</v>
      </c>
      <c r="H22" s="64"/>
      <c r="I22" s="64">
        <f t="shared" si="18"/>
        <v>1050</v>
      </c>
      <c r="J22" s="64">
        <v>150</v>
      </c>
      <c r="K22" s="64"/>
      <c r="L22" s="64"/>
      <c r="M22" s="3">
        <v>1</v>
      </c>
      <c r="N22" s="9">
        <f t="shared" si="19"/>
        <v>1</v>
      </c>
      <c r="O22" s="3"/>
      <c r="P22" s="3"/>
      <c r="Q22" s="9">
        <f t="shared" si="6"/>
        <v>0</v>
      </c>
      <c r="R22" s="65">
        <f t="shared" si="20"/>
        <v>157500</v>
      </c>
      <c r="S22" s="65">
        <f t="shared" si="20"/>
        <v>84300</v>
      </c>
      <c r="T22" s="12">
        <f t="shared" si="0"/>
        <v>0.53523809523809529</v>
      </c>
      <c r="U22" s="68">
        <f t="shared" si="21"/>
        <v>1050</v>
      </c>
      <c r="V22" s="65">
        <f>562-AB22</f>
        <v>562</v>
      </c>
      <c r="W22" s="50">
        <f t="shared" si="1"/>
        <v>0.53523809523809529</v>
      </c>
      <c r="X22" s="72">
        <f t="shared" si="23"/>
        <v>157500</v>
      </c>
      <c r="Y22" s="65">
        <f t="shared" si="7"/>
        <v>84300</v>
      </c>
      <c r="Z22" s="9">
        <f t="shared" si="2"/>
        <v>0.53523809523809529</v>
      </c>
      <c r="AA22" s="64">
        <f t="shared" si="24"/>
        <v>0</v>
      </c>
      <c r="AB22" s="65">
        <f t="shared" si="34"/>
        <v>0</v>
      </c>
      <c r="AC22" s="9">
        <f t="shared" si="3"/>
        <v>0</v>
      </c>
      <c r="AD22" s="64">
        <f t="shared" si="25"/>
        <v>0</v>
      </c>
      <c r="AE22" s="64">
        <f t="shared" si="26"/>
        <v>0</v>
      </c>
      <c r="AF22" s="9">
        <f t="shared" si="4"/>
        <v>0</v>
      </c>
      <c r="AG22" s="65">
        <f t="shared" si="27"/>
        <v>0</v>
      </c>
      <c r="AH22" s="65">
        <f t="shared" si="27"/>
        <v>0</v>
      </c>
      <c r="AI22" s="9">
        <f t="shared" si="28"/>
        <v>0</v>
      </c>
      <c r="AJ22" s="65">
        <f t="shared" si="8"/>
        <v>0</v>
      </c>
      <c r="AK22" s="65"/>
      <c r="AL22" s="9">
        <f t="shared" si="9"/>
        <v>0</v>
      </c>
      <c r="AM22" s="65">
        <f t="shared" si="29"/>
        <v>0</v>
      </c>
      <c r="AN22" s="65"/>
      <c r="AO22" s="9">
        <f t="shared" si="5"/>
        <v>0</v>
      </c>
      <c r="AP22" s="64">
        <f t="shared" si="10"/>
        <v>0</v>
      </c>
      <c r="AQ22" s="65"/>
      <c r="AR22" s="9">
        <f t="shared" si="11"/>
        <v>0</v>
      </c>
      <c r="AS22" s="65">
        <f t="shared" si="30"/>
        <v>0</v>
      </c>
      <c r="AT22" s="65">
        <f t="shared" si="12"/>
        <v>0</v>
      </c>
      <c r="AU22" s="12">
        <f t="shared" si="13"/>
        <v>0</v>
      </c>
      <c r="AV22" s="68">
        <f t="shared" si="31"/>
        <v>661504.18000000005</v>
      </c>
      <c r="AW22" s="65">
        <v>696402</v>
      </c>
      <c r="AX22" s="12">
        <f t="shared" si="14"/>
        <v>1.0527552524309067</v>
      </c>
      <c r="AY22" s="75">
        <f t="shared" si="32"/>
        <v>0</v>
      </c>
      <c r="AZ22" s="65">
        <f t="shared" si="33"/>
        <v>6807.9</v>
      </c>
      <c r="BA22" s="50">
        <f t="shared" si="15"/>
        <v>0</v>
      </c>
      <c r="BD22" s="92">
        <v>696402</v>
      </c>
      <c r="BE22" t="s">
        <v>112</v>
      </c>
      <c r="BG22" s="149"/>
    </row>
    <row r="23" spans="1:59" outlineLevel="1" x14ac:dyDescent="0.3">
      <c r="A23" s="19">
        <v>18</v>
      </c>
      <c r="B23" s="4" t="s">
        <v>21</v>
      </c>
      <c r="C23" s="4">
        <v>1</v>
      </c>
      <c r="D23" s="64">
        <v>251775</v>
      </c>
      <c r="E23" s="64">
        <v>0</v>
      </c>
      <c r="F23" s="64">
        <f t="shared" si="16"/>
        <v>661504.18000000005</v>
      </c>
      <c r="G23" s="64">
        <f t="shared" si="17"/>
        <v>0</v>
      </c>
      <c r="H23" s="64"/>
      <c r="I23" s="64">
        <f t="shared" si="18"/>
        <v>1050</v>
      </c>
      <c r="J23" s="64">
        <v>150</v>
      </c>
      <c r="K23" s="64"/>
      <c r="L23" s="64"/>
      <c r="M23" s="3">
        <v>1</v>
      </c>
      <c r="N23" s="9">
        <f t="shared" si="19"/>
        <v>1</v>
      </c>
      <c r="O23" s="3"/>
      <c r="P23" s="3"/>
      <c r="Q23" s="9">
        <f t="shared" si="6"/>
        <v>0</v>
      </c>
      <c r="R23" s="65">
        <f t="shared" si="20"/>
        <v>157500</v>
      </c>
      <c r="S23" s="65">
        <f t="shared" si="20"/>
        <v>124350</v>
      </c>
      <c r="T23" s="12">
        <f t="shared" si="0"/>
        <v>0.78952380952380952</v>
      </c>
      <c r="U23" s="68">
        <f t="shared" si="21"/>
        <v>1050</v>
      </c>
      <c r="V23" s="65">
        <f>829-AB23</f>
        <v>829</v>
      </c>
      <c r="W23" s="50">
        <f t="shared" si="1"/>
        <v>0.78952380952380952</v>
      </c>
      <c r="X23" s="72">
        <f t="shared" si="23"/>
        <v>157500</v>
      </c>
      <c r="Y23" s="65">
        <f t="shared" si="7"/>
        <v>124350</v>
      </c>
      <c r="Z23" s="9">
        <f t="shared" si="2"/>
        <v>0.78952380952380952</v>
      </c>
      <c r="AA23" s="64">
        <f t="shared" si="24"/>
        <v>0</v>
      </c>
      <c r="AB23" s="65">
        <f t="shared" si="34"/>
        <v>0</v>
      </c>
      <c r="AC23" s="9">
        <f t="shared" si="3"/>
        <v>0</v>
      </c>
      <c r="AD23" s="64">
        <f t="shared" si="25"/>
        <v>0</v>
      </c>
      <c r="AE23" s="64">
        <f t="shared" si="26"/>
        <v>0</v>
      </c>
      <c r="AF23" s="9">
        <f t="shared" si="4"/>
        <v>0</v>
      </c>
      <c r="AG23" s="65">
        <f t="shared" si="27"/>
        <v>0</v>
      </c>
      <c r="AH23" s="65">
        <f t="shared" si="27"/>
        <v>0</v>
      </c>
      <c r="AI23" s="9">
        <f t="shared" si="28"/>
        <v>0</v>
      </c>
      <c r="AJ23" s="65">
        <f t="shared" si="8"/>
        <v>0</v>
      </c>
      <c r="AK23" s="65"/>
      <c r="AL23" s="9">
        <f t="shared" si="9"/>
        <v>0</v>
      </c>
      <c r="AM23" s="65">
        <f t="shared" si="29"/>
        <v>0</v>
      </c>
      <c r="AN23" s="65"/>
      <c r="AO23" s="9">
        <f t="shared" si="5"/>
        <v>0</v>
      </c>
      <c r="AP23" s="64">
        <f t="shared" si="10"/>
        <v>0</v>
      </c>
      <c r="AQ23" s="65"/>
      <c r="AR23" s="9">
        <f t="shared" si="11"/>
        <v>0</v>
      </c>
      <c r="AS23" s="65">
        <f t="shared" si="30"/>
        <v>0</v>
      </c>
      <c r="AT23" s="65">
        <f t="shared" si="12"/>
        <v>0</v>
      </c>
      <c r="AU23" s="12">
        <f t="shared" si="13"/>
        <v>0</v>
      </c>
      <c r="AV23" s="68">
        <f t="shared" si="31"/>
        <v>661504.18000000005</v>
      </c>
      <c r="AW23" s="65">
        <f>501343.71*1.2</f>
        <v>601612.45200000005</v>
      </c>
      <c r="AX23" s="12">
        <f t="shared" si="14"/>
        <v>0.90946130075852283</v>
      </c>
      <c r="AY23" s="75">
        <f t="shared" si="32"/>
        <v>0</v>
      </c>
      <c r="AZ23" s="65"/>
      <c r="BA23" s="50">
        <f t="shared" si="15"/>
        <v>0</v>
      </c>
      <c r="BD23" s="92">
        <v>602377</v>
      </c>
      <c r="BE23" t="s">
        <v>112</v>
      </c>
      <c r="BG23" s="149"/>
    </row>
    <row r="24" spans="1:59" outlineLevel="1" x14ac:dyDescent="0.3">
      <c r="A24" s="19">
        <v>19</v>
      </c>
      <c r="B24" s="4" t="s">
        <v>22</v>
      </c>
      <c r="C24" s="4">
        <v>1</v>
      </c>
      <c r="D24" s="64">
        <v>251775</v>
      </c>
      <c r="E24" s="64">
        <v>0</v>
      </c>
      <c r="F24" s="64">
        <f t="shared" si="16"/>
        <v>661504.18000000005</v>
      </c>
      <c r="G24" s="64">
        <f t="shared" si="17"/>
        <v>0</v>
      </c>
      <c r="H24" s="64"/>
      <c r="I24" s="64">
        <f t="shared" si="18"/>
        <v>1050</v>
      </c>
      <c r="J24" s="64">
        <v>150</v>
      </c>
      <c r="K24" s="64"/>
      <c r="L24" s="64"/>
      <c r="M24" s="3">
        <v>1</v>
      </c>
      <c r="N24" s="9">
        <f t="shared" si="19"/>
        <v>1</v>
      </c>
      <c r="O24" s="3"/>
      <c r="P24" s="3"/>
      <c r="Q24" s="9">
        <f t="shared" si="6"/>
        <v>0</v>
      </c>
      <c r="R24" s="65">
        <f t="shared" si="20"/>
        <v>157500</v>
      </c>
      <c r="S24" s="65">
        <f t="shared" si="20"/>
        <v>183300</v>
      </c>
      <c r="T24" s="12">
        <f t="shared" si="0"/>
        <v>1.1638095238095238</v>
      </c>
      <c r="U24" s="68">
        <f t="shared" si="21"/>
        <v>1050</v>
      </c>
      <c r="V24" s="65">
        <f>1222-AB24</f>
        <v>1222</v>
      </c>
      <c r="W24" s="50">
        <f t="shared" si="1"/>
        <v>1.1638095238095238</v>
      </c>
      <c r="X24" s="72">
        <f t="shared" si="23"/>
        <v>157500</v>
      </c>
      <c r="Y24" s="65">
        <f t="shared" si="7"/>
        <v>183300</v>
      </c>
      <c r="Z24" s="9">
        <f t="shared" si="2"/>
        <v>1.1638095238095238</v>
      </c>
      <c r="AA24" s="64">
        <f t="shared" si="24"/>
        <v>0</v>
      </c>
      <c r="AB24" s="65">
        <f t="shared" si="34"/>
        <v>0</v>
      </c>
      <c r="AC24" s="9">
        <f t="shared" si="3"/>
        <v>0</v>
      </c>
      <c r="AD24" s="64">
        <f t="shared" si="25"/>
        <v>0</v>
      </c>
      <c r="AE24" s="64">
        <f t="shared" si="26"/>
        <v>0</v>
      </c>
      <c r="AF24" s="9">
        <f t="shared" si="4"/>
        <v>0</v>
      </c>
      <c r="AG24" s="65">
        <f t="shared" si="27"/>
        <v>0</v>
      </c>
      <c r="AH24" s="65">
        <f t="shared" si="27"/>
        <v>0</v>
      </c>
      <c r="AI24" s="9">
        <f t="shared" si="28"/>
        <v>0</v>
      </c>
      <c r="AJ24" s="65">
        <f t="shared" si="8"/>
        <v>0</v>
      </c>
      <c r="AK24" s="65"/>
      <c r="AL24" s="9">
        <f t="shared" si="9"/>
        <v>0</v>
      </c>
      <c r="AM24" s="65">
        <f t="shared" si="29"/>
        <v>0</v>
      </c>
      <c r="AN24" s="65"/>
      <c r="AO24" s="9">
        <f t="shared" si="5"/>
        <v>0</v>
      </c>
      <c r="AP24" s="64">
        <f t="shared" si="10"/>
        <v>0</v>
      </c>
      <c r="AQ24" s="65"/>
      <c r="AR24" s="9">
        <f t="shared" si="11"/>
        <v>0</v>
      </c>
      <c r="AS24" s="65">
        <f t="shared" si="30"/>
        <v>0</v>
      </c>
      <c r="AT24" s="65">
        <f t="shared" si="12"/>
        <v>0</v>
      </c>
      <c r="AU24" s="12">
        <f t="shared" si="13"/>
        <v>0</v>
      </c>
      <c r="AV24" s="68">
        <f t="shared" si="31"/>
        <v>661504.18000000005</v>
      </c>
      <c r="AW24" s="65">
        <f>506178.76*1.2</f>
        <v>607414.51199999999</v>
      </c>
      <c r="AX24" s="12">
        <f t="shared" si="14"/>
        <v>0.91823231109439085</v>
      </c>
      <c r="AY24" s="75">
        <f t="shared" si="32"/>
        <v>0</v>
      </c>
      <c r="AZ24" s="65"/>
      <c r="BA24" s="50">
        <f t="shared" si="15"/>
        <v>0</v>
      </c>
      <c r="BD24" s="92">
        <v>607596</v>
      </c>
      <c r="BE24" t="s">
        <v>112</v>
      </c>
      <c r="BG24" s="149"/>
    </row>
    <row r="25" spans="1:59" outlineLevel="1" x14ac:dyDescent="0.3">
      <c r="A25" s="19">
        <v>20</v>
      </c>
      <c r="B25" s="4" t="s">
        <v>23</v>
      </c>
      <c r="C25" s="4">
        <v>1</v>
      </c>
      <c r="D25" s="64">
        <v>251775</v>
      </c>
      <c r="E25" s="64">
        <v>0</v>
      </c>
      <c r="F25" s="64">
        <f t="shared" si="16"/>
        <v>661504.18000000005</v>
      </c>
      <c r="G25" s="64">
        <f t="shared" si="17"/>
        <v>0</v>
      </c>
      <c r="H25" s="64"/>
      <c r="I25" s="64">
        <f t="shared" si="18"/>
        <v>1050</v>
      </c>
      <c r="J25" s="64">
        <v>150</v>
      </c>
      <c r="K25" s="64"/>
      <c r="L25" s="64"/>
      <c r="M25" s="3">
        <v>1</v>
      </c>
      <c r="N25" s="9">
        <f t="shared" si="19"/>
        <v>1</v>
      </c>
      <c r="O25" s="3"/>
      <c r="P25" s="3"/>
      <c r="Q25" s="9">
        <f t="shared" si="6"/>
        <v>0</v>
      </c>
      <c r="R25" s="65">
        <f t="shared" si="20"/>
        <v>157500</v>
      </c>
      <c r="S25" s="65">
        <f t="shared" si="20"/>
        <v>148200</v>
      </c>
      <c r="T25" s="12">
        <f t="shared" si="0"/>
        <v>0.94095238095238098</v>
      </c>
      <c r="U25" s="68">
        <f t="shared" si="21"/>
        <v>1050</v>
      </c>
      <c r="V25" s="65">
        <f>988-AB25</f>
        <v>988</v>
      </c>
      <c r="W25" s="50">
        <f t="shared" si="1"/>
        <v>0.94095238095238098</v>
      </c>
      <c r="X25" s="72">
        <f t="shared" si="23"/>
        <v>157500</v>
      </c>
      <c r="Y25" s="65">
        <f t="shared" si="7"/>
        <v>148200</v>
      </c>
      <c r="Z25" s="9">
        <f t="shared" si="2"/>
        <v>0.94095238095238098</v>
      </c>
      <c r="AA25" s="64">
        <f t="shared" si="24"/>
        <v>0</v>
      </c>
      <c r="AB25" s="65">
        <f t="shared" si="34"/>
        <v>0</v>
      </c>
      <c r="AC25" s="9">
        <f t="shared" si="3"/>
        <v>0</v>
      </c>
      <c r="AD25" s="64">
        <f t="shared" si="25"/>
        <v>0</v>
      </c>
      <c r="AE25" s="64">
        <f t="shared" si="26"/>
        <v>0</v>
      </c>
      <c r="AF25" s="9">
        <f t="shared" si="4"/>
        <v>0</v>
      </c>
      <c r="AG25" s="65">
        <f t="shared" si="27"/>
        <v>0</v>
      </c>
      <c r="AH25" s="65">
        <f t="shared" si="27"/>
        <v>0</v>
      </c>
      <c r="AI25" s="9">
        <f t="shared" si="28"/>
        <v>0</v>
      </c>
      <c r="AJ25" s="65">
        <f t="shared" si="8"/>
        <v>0</v>
      </c>
      <c r="AK25" s="65"/>
      <c r="AL25" s="9">
        <f t="shared" si="9"/>
        <v>0</v>
      </c>
      <c r="AM25" s="65">
        <f t="shared" si="29"/>
        <v>0</v>
      </c>
      <c r="AN25" s="65"/>
      <c r="AO25" s="9">
        <f t="shared" si="5"/>
        <v>0</v>
      </c>
      <c r="AP25" s="64">
        <f t="shared" si="10"/>
        <v>0</v>
      </c>
      <c r="AQ25" s="65"/>
      <c r="AR25" s="9">
        <f t="shared" si="11"/>
        <v>0</v>
      </c>
      <c r="AS25" s="65">
        <f t="shared" si="30"/>
        <v>0</v>
      </c>
      <c r="AT25" s="65">
        <f t="shared" si="12"/>
        <v>0</v>
      </c>
      <c r="AU25" s="12">
        <f t="shared" si="13"/>
        <v>0</v>
      </c>
      <c r="AV25" s="68">
        <f t="shared" si="31"/>
        <v>661504.18000000005</v>
      </c>
      <c r="AW25" s="65">
        <f>541150.57*1.2</f>
        <v>649380.68399999989</v>
      </c>
      <c r="AX25" s="12">
        <f t="shared" si="14"/>
        <v>0.98167283538555994</v>
      </c>
      <c r="AY25" s="75">
        <f t="shared" si="32"/>
        <v>0</v>
      </c>
      <c r="AZ25" s="65">
        <f>4777.98*1.2</f>
        <v>5733.5759999999991</v>
      </c>
      <c r="BA25" s="50">
        <f t="shared" si="15"/>
        <v>0</v>
      </c>
      <c r="BD25" s="92">
        <v>489788</v>
      </c>
      <c r="BE25" t="s">
        <v>112</v>
      </c>
      <c r="BG25" s="149"/>
    </row>
    <row r="26" spans="1:59" outlineLevel="1" x14ac:dyDescent="0.3">
      <c r="A26" s="19">
        <v>21</v>
      </c>
      <c r="B26" s="4" t="s">
        <v>24</v>
      </c>
      <c r="C26" s="4">
        <v>1</v>
      </c>
      <c r="D26" s="64">
        <v>251775</v>
      </c>
      <c r="E26" s="64">
        <v>0</v>
      </c>
      <c r="F26" s="64">
        <f t="shared" si="16"/>
        <v>661504.18000000005</v>
      </c>
      <c r="G26" s="64">
        <f t="shared" si="17"/>
        <v>0</v>
      </c>
      <c r="H26" s="64"/>
      <c r="I26" s="64">
        <f t="shared" si="18"/>
        <v>1050</v>
      </c>
      <c r="J26" s="64">
        <v>150</v>
      </c>
      <c r="K26" s="64"/>
      <c r="L26" s="64"/>
      <c r="M26" s="3">
        <v>1</v>
      </c>
      <c r="N26" s="9">
        <f t="shared" si="19"/>
        <v>1</v>
      </c>
      <c r="O26" s="3"/>
      <c r="P26" s="3"/>
      <c r="Q26" s="9">
        <f t="shared" si="6"/>
        <v>0</v>
      </c>
      <c r="R26" s="65">
        <f t="shared" si="20"/>
        <v>157500</v>
      </c>
      <c r="S26" s="65">
        <f t="shared" si="20"/>
        <v>133950</v>
      </c>
      <c r="T26" s="12">
        <f t="shared" si="0"/>
        <v>0.8504761904761905</v>
      </c>
      <c r="U26" s="68">
        <f t="shared" si="21"/>
        <v>1050</v>
      </c>
      <c r="V26" s="65">
        <f>893-AB26</f>
        <v>893</v>
      </c>
      <c r="W26" s="50">
        <f t="shared" si="1"/>
        <v>0.8504761904761905</v>
      </c>
      <c r="X26" s="72">
        <f t="shared" si="23"/>
        <v>157500</v>
      </c>
      <c r="Y26" s="65">
        <f t="shared" si="7"/>
        <v>133950</v>
      </c>
      <c r="Z26" s="9">
        <f t="shared" si="2"/>
        <v>0.8504761904761905</v>
      </c>
      <c r="AA26" s="64">
        <f t="shared" si="24"/>
        <v>0</v>
      </c>
      <c r="AB26" s="65">
        <f t="shared" si="34"/>
        <v>0</v>
      </c>
      <c r="AC26" s="9">
        <f t="shared" si="3"/>
        <v>0</v>
      </c>
      <c r="AD26" s="64">
        <f t="shared" si="25"/>
        <v>0</v>
      </c>
      <c r="AE26" s="64">
        <f t="shared" si="26"/>
        <v>0</v>
      </c>
      <c r="AF26" s="9">
        <f t="shared" si="4"/>
        <v>0</v>
      </c>
      <c r="AG26" s="65">
        <f t="shared" si="27"/>
        <v>0</v>
      </c>
      <c r="AH26" s="65">
        <f t="shared" si="27"/>
        <v>0</v>
      </c>
      <c r="AI26" s="9">
        <f t="shared" si="28"/>
        <v>0</v>
      </c>
      <c r="AJ26" s="65">
        <f t="shared" si="8"/>
        <v>0</v>
      </c>
      <c r="AK26" s="65"/>
      <c r="AL26" s="9">
        <f t="shared" si="9"/>
        <v>0</v>
      </c>
      <c r="AM26" s="65">
        <f t="shared" si="29"/>
        <v>0</v>
      </c>
      <c r="AN26" s="65"/>
      <c r="AO26" s="9">
        <f t="shared" si="5"/>
        <v>0</v>
      </c>
      <c r="AP26" s="64">
        <f t="shared" si="10"/>
        <v>0</v>
      </c>
      <c r="AQ26" s="65"/>
      <c r="AR26" s="9">
        <f t="shared" si="11"/>
        <v>0</v>
      </c>
      <c r="AS26" s="65">
        <f t="shared" si="30"/>
        <v>0</v>
      </c>
      <c r="AT26" s="65">
        <f t="shared" si="12"/>
        <v>0</v>
      </c>
      <c r="AU26" s="12">
        <f t="shared" si="13"/>
        <v>0</v>
      </c>
      <c r="AV26" s="68">
        <f t="shared" si="31"/>
        <v>661504.18000000005</v>
      </c>
      <c r="AW26" s="65">
        <f>565733.66*1.2</f>
        <v>678880.39199999999</v>
      </c>
      <c r="AX26" s="12">
        <f t="shared" si="14"/>
        <v>1.0262677281948542</v>
      </c>
      <c r="AY26" s="75">
        <f t="shared" si="32"/>
        <v>0</v>
      </c>
      <c r="AZ26" s="65"/>
      <c r="BA26" s="50">
        <f t="shared" si="15"/>
        <v>0</v>
      </c>
      <c r="BD26" s="92">
        <v>409161</v>
      </c>
      <c r="BE26" t="s">
        <v>111</v>
      </c>
      <c r="BG26" s="149"/>
    </row>
    <row r="27" spans="1:59" outlineLevel="1" x14ac:dyDescent="0.3">
      <c r="A27" s="19">
        <v>22</v>
      </c>
      <c r="B27" s="4" t="s">
        <v>25</v>
      </c>
      <c r="C27" s="4">
        <v>1</v>
      </c>
      <c r="D27" s="64">
        <v>251775</v>
      </c>
      <c r="E27" s="64">
        <v>0</v>
      </c>
      <c r="F27" s="64">
        <f t="shared" si="16"/>
        <v>661504.18000000005</v>
      </c>
      <c r="G27" s="64">
        <f t="shared" si="17"/>
        <v>0</v>
      </c>
      <c r="H27" s="64"/>
      <c r="I27" s="64">
        <v>590</v>
      </c>
      <c r="J27" s="64">
        <v>150</v>
      </c>
      <c r="K27" s="64">
        <f>144+8+288+(3000/150)+(15000/150)*0</f>
        <v>460</v>
      </c>
      <c r="L27" s="64">
        <v>150</v>
      </c>
      <c r="M27" s="3">
        <v>1</v>
      </c>
      <c r="N27" s="9">
        <f t="shared" si="19"/>
        <v>1</v>
      </c>
      <c r="O27" s="3"/>
      <c r="P27" s="3"/>
      <c r="Q27" s="9">
        <f t="shared" si="6"/>
        <v>0</v>
      </c>
      <c r="R27" s="65">
        <f t="shared" si="20"/>
        <v>157500</v>
      </c>
      <c r="S27" s="65">
        <f t="shared" si="20"/>
        <v>152850</v>
      </c>
      <c r="T27" s="12">
        <f t="shared" si="0"/>
        <v>0.97047619047619049</v>
      </c>
      <c r="U27" s="68">
        <f t="shared" si="21"/>
        <v>590</v>
      </c>
      <c r="V27" s="65">
        <f>1019-AB27</f>
        <v>731</v>
      </c>
      <c r="W27" s="50">
        <f t="shared" si="1"/>
        <v>1.2389830508474575</v>
      </c>
      <c r="X27" s="72">
        <f t="shared" si="23"/>
        <v>88500</v>
      </c>
      <c r="Y27" s="65">
        <f t="shared" si="7"/>
        <v>109650</v>
      </c>
      <c r="Z27" s="9">
        <f t="shared" si="2"/>
        <v>1.2389830508474575</v>
      </c>
      <c r="AA27" s="64">
        <f t="shared" si="24"/>
        <v>460</v>
      </c>
      <c r="AB27" s="65">
        <f>240+48</f>
        <v>288</v>
      </c>
      <c r="AC27" s="9">
        <f t="shared" si="3"/>
        <v>0.62608695652173907</v>
      </c>
      <c r="AD27" s="64">
        <f t="shared" si="25"/>
        <v>69000</v>
      </c>
      <c r="AE27" s="64">
        <f t="shared" si="26"/>
        <v>43200</v>
      </c>
      <c r="AF27" s="9">
        <f t="shared" si="4"/>
        <v>0.62608695652173907</v>
      </c>
      <c r="AG27" s="65">
        <f t="shared" si="27"/>
        <v>0</v>
      </c>
      <c r="AH27" s="65">
        <f t="shared" si="27"/>
        <v>0</v>
      </c>
      <c r="AI27" s="9">
        <f t="shared" si="28"/>
        <v>0</v>
      </c>
      <c r="AJ27" s="65">
        <f t="shared" si="8"/>
        <v>0</v>
      </c>
      <c r="AK27" s="65"/>
      <c r="AL27" s="9">
        <f t="shared" si="9"/>
        <v>0</v>
      </c>
      <c r="AM27" s="65">
        <f t="shared" si="29"/>
        <v>0</v>
      </c>
      <c r="AN27" s="65"/>
      <c r="AO27" s="9">
        <f t="shared" si="5"/>
        <v>0</v>
      </c>
      <c r="AP27" s="64">
        <v>0</v>
      </c>
      <c r="AQ27" s="65"/>
      <c r="AR27" s="9">
        <f t="shared" si="11"/>
        <v>0</v>
      </c>
      <c r="AS27" s="65">
        <f t="shared" si="30"/>
        <v>0</v>
      </c>
      <c r="AT27" s="65">
        <f t="shared" si="12"/>
        <v>0</v>
      </c>
      <c r="AU27" s="12">
        <f t="shared" si="13"/>
        <v>0</v>
      </c>
      <c r="AV27" s="68">
        <f t="shared" si="31"/>
        <v>661504.18000000005</v>
      </c>
      <c r="AW27" s="65">
        <f>532143.46*1.2</f>
        <v>638572.15199999989</v>
      </c>
      <c r="AX27" s="12">
        <f t="shared" si="14"/>
        <v>0.96533351006187118</v>
      </c>
      <c r="AY27" s="75">
        <f t="shared" si="32"/>
        <v>0</v>
      </c>
      <c r="AZ27" s="65">
        <f>6500*1.2</f>
        <v>7800</v>
      </c>
      <c r="BA27" s="50">
        <f t="shared" si="15"/>
        <v>0</v>
      </c>
      <c r="BD27" s="92">
        <v>326116</v>
      </c>
      <c r="BE27" t="s">
        <v>111</v>
      </c>
      <c r="BG27" s="149"/>
    </row>
    <row r="28" spans="1:59" outlineLevel="1" x14ac:dyDescent="0.3">
      <c r="A28" s="19">
        <v>23</v>
      </c>
      <c r="B28" s="4" t="s">
        <v>26</v>
      </c>
      <c r="C28" s="4">
        <v>1</v>
      </c>
      <c r="D28" s="64">
        <v>251775</v>
      </c>
      <c r="E28" s="64">
        <v>0</v>
      </c>
      <c r="F28" s="64">
        <f t="shared" si="16"/>
        <v>661504.18000000005</v>
      </c>
      <c r="G28" s="64">
        <f t="shared" si="17"/>
        <v>0</v>
      </c>
      <c r="H28" s="64"/>
      <c r="I28" s="64">
        <v>590</v>
      </c>
      <c r="J28" s="64">
        <v>150</v>
      </c>
      <c r="K28" s="64">
        <f t="shared" ref="K28:K37" si="35">144+8+288+(3000/150)+(15000/150)*0</f>
        <v>460</v>
      </c>
      <c r="L28" s="64">
        <v>150</v>
      </c>
      <c r="M28" s="3">
        <v>1</v>
      </c>
      <c r="N28" s="9">
        <f t="shared" si="19"/>
        <v>1</v>
      </c>
      <c r="O28" s="3"/>
      <c r="P28" s="3"/>
      <c r="Q28" s="9">
        <f t="shared" si="6"/>
        <v>0</v>
      </c>
      <c r="R28" s="65">
        <f t="shared" si="20"/>
        <v>157500</v>
      </c>
      <c r="S28" s="65">
        <f t="shared" si="20"/>
        <v>190650</v>
      </c>
      <c r="T28" s="12">
        <f t="shared" si="0"/>
        <v>1.2104761904761905</v>
      </c>
      <c r="U28" s="68">
        <f t="shared" si="21"/>
        <v>590</v>
      </c>
      <c r="V28" s="65">
        <f>1271-AB28</f>
        <v>743</v>
      </c>
      <c r="W28" s="50">
        <f t="shared" si="1"/>
        <v>1.2593220338983051</v>
      </c>
      <c r="X28" s="72">
        <f t="shared" si="23"/>
        <v>88500</v>
      </c>
      <c r="Y28" s="65">
        <f t="shared" si="7"/>
        <v>111450</v>
      </c>
      <c r="Z28" s="9">
        <f t="shared" si="2"/>
        <v>1.2593220338983051</v>
      </c>
      <c r="AA28" s="64">
        <f t="shared" si="24"/>
        <v>460</v>
      </c>
      <c r="AB28" s="65">
        <f>240+288</f>
        <v>528</v>
      </c>
      <c r="AC28" s="9">
        <f t="shared" si="3"/>
        <v>1.1478260869565218</v>
      </c>
      <c r="AD28" s="64">
        <f t="shared" si="25"/>
        <v>69000</v>
      </c>
      <c r="AE28" s="64">
        <f t="shared" si="26"/>
        <v>79200</v>
      </c>
      <c r="AF28" s="9">
        <f t="shared" si="4"/>
        <v>1.1478260869565218</v>
      </c>
      <c r="AG28" s="65">
        <f t="shared" si="27"/>
        <v>0</v>
      </c>
      <c r="AH28" s="65">
        <f t="shared" si="27"/>
        <v>0</v>
      </c>
      <c r="AI28" s="9">
        <f t="shared" si="28"/>
        <v>0</v>
      </c>
      <c r="AJ28" s="65">
        <f t="shared" si="8"/>
        <v>0</v>
      </c>
      <c r="AK28" s="65"/>
      <c r="AL28" s="9">
        <f t="shared" si="9"/>
        <v>0</v>
      </c>
      <c r="AM28" s="65">
        <f t="shared" si="29"/>
        <v>0</v>
      </c>
      <c r="AN28" s="65"/>
      <c r="AO28" s="9">
        <f t="shared" si="5"/>
        <v>0</v>
      </c>
      <c r="AP28" s="64">
        <v>0</v>
      </c>
      <c r="AQ28" s="65"/>
      <c r="AR28" s="9">
        <f t="shared" si="11"/>
        <v>0</v>
      </c>
      <c r="AS28" s="65">
        <f t="shared" si="30"/>
        <v>0</v>
      </c>
      <c r="AT28" s="65">
        <f t="shared" si="12"/>
        <v>0</v>
      </c>
      <c r="AU28" s="12">
        <f t="shared" si="13"/>
        <v>0</v>
      </c>
      <c r="AV28" s="68">
        <f t="shared" si="31"/>
        <v>661504.18000000005</v>
      </c>
      <c r="AW28" s="65">
        <f>557396.85*1.2</f>
        <v>668876.22</v>
      </c>
      <c r="AX28" s="12">
        <f t="shared" si="14"/>
        <v>1.0111443589063942</v>
      </c>
      <c r="AY28" s="75">
        <f t="shared" si="32"/>
        <v>0</v>
      </c>
      <c r="AZ28" s="65">
        <f t="shared" ref="AZ28:AZ32" si="36">6500*1.2</f>
        <v>7800</v>
      </c>
      <c r="BA28" s="50">
        <f t="shared" si="15"/>
        <v>0</v>
      </c>
      <c r="BD28" s="92">
        <v>323589</v>
      </c>
      <c r="BE28" t="s">
        <v>111</v>
      </c>
      <c r="BG28" s="149"/>
    </row>
    <row r="29" spans="1:59" outlineLevel="1" x14ac:dyDescent="0.3">
      <c r="A29" s="19">
        <v>24</v>
      </c>
      <c r="B29" s="4" t="s">
        <v>27</v>
      </c>
      <c r="C29" s="4">
        <v>1</v>
      </c>
      <c r="D29" s="64">
        <v>251775</v>
      </c>
      <c r="E29" s="64">
        <v>0</v>
      </c>
      <c r="F29" s="64">
        <f t="shared" si="16"/>
        <v>661504.18000000005</v>
      </c>
      <c r="G29" s="64">
        <f t="shared" si="17"/>
        <v>0</v>
      </c>
      <c r="H29" s="64"/>
      <c r="I29" s="64">
        <v>590</v>
      </c>
      <c r="J29" s="64">
        <v>150</v>
      </c>
      <c r="K29" s="64">
        <f t="shared" si="35"/>
        <v>460</v>
      </c>
      <c r="L29" s="64">
        <v>150</v>
      </c>
      <c r="M29" s="3">
        <v>1</v>
      </c>
      <c r="N29" s="9">
        <f t="shared" si="19"/>
        <v>1</v>
      </c>
      <c r="O29" s="3"/>
      <c r="P29" s="3"/>
      <c r="Q29" s="9">
        <f t="shared" si="6"/>
        <v>0</v>
      </c>
      <c r="R29" s="65">
        <f t="shared" si="20"/>
        <v>157500</v>
      </c>
      <c r="S29" s="65">
        <f t="shared" si="20"/>
        <v>237750</v>
      </c>
      <c r="T29" s="12">
        <f t="shared" si="0"/>
        <v>1.5095238095238095</v>
      </c>
      <c r="U29" s="68">
        <f t="shared" si="21"/>
        <v>590</v>
      </c>
      <c r="V29" s="65">
        <f>1585-AB29</f>
        <v>976</v>
      </c>
      <c r="W29" s="50">
        <f t="shared" si="1"/>
        <v>1.6542372881355933</v>
      </c>
      <c r="X29" s="72">
        <f t="shared" si="23"/>
        <v>88500</v>
      </c>
      <c r="Y29" s="65">
        <f t="shared" si="7"/>
        <v>146400</v>
      </c>
      <c r="Z29" s="9">
        <f t="shared" si="2"/>
        <v>1.6542372881355933</v>
      </c>
      <c r="AA29" s="64">
        <f t="shared" si="24"/>
        <v>460</v>
      </c>
      <c r="AB29" s="65">
        <f>489+120</f>
        <v>609</v>
      </c>
      <c r="AC29" s="9">
        <f t="shared" si="3"/>
        <v>1.3239130434782609</v>
      </c>
      <c r="AD29" s="64">
        <f t="shared" si="25"/>
        <v>69000</v>
      </c>
      <c r="AE29" s="64">
        <f t="shared" si="26"/>
        <v>91350</v>
      </c>
      <c r="AF29" s="9">
        <f t="shared" si="4"/>
        <v>1.3239130434782609</v>
      </c>
      <c r="AG29" s="65">
        <f t="shared" si="27"/>
        <v>0</v>
      </c>
      <c r="AH29" s="65">
        <f t="shared" si="27"/>
        <v>0</v>
      </c>
      <c r="AI29" s="9">
        <f t="shared" si="28"/>
        <v>0</v>
      </c>
      <c r="AJ29" s="65">
        <f t="shared" si="8"/>
        <v>0</v>
      </c>
      <c r="AK29" s="65"/>
      <c r="AL29" s="9">
        <f t="shared" si="9"/>
        <v>0</v>
      </c>
      <c r="AM29" s="65">
        <f t="shared" si="29"/>
        <v>0</v>
      </c>
      <c r="AN29" s="65"/>
      <c r="AO29" s="9">
        <f t="shared" si="5"/>
        <v>0</v>
      </c>
      <c r="AP29" s="64"/>
      <c r="AQ29" s="65"/>
      <c r="AR29" s="9">
        <f t="shared" si="11"/>
        <v>0</v>
      </c>
      <c r="AS29" s="65">
        <f t="shared" si="30"/>
        <v>0</v>
      </c>
      <c r="AT29" s="65">
        <f t="shared" si="12"/>
        <v>0</v>
      </c>
      <c r="AU29" s="12">
        <f t="shared" si="13"/>
        <v>0</v>
      </c>
      <c r="AV29" s="68">
        <f t="shared" si="31"/>
        <v>661504.18000000005</v>
      </c>
      <c r="AW29" s="65">
        <f>526364.96*1.2</f>
        <v>631637.95199999993</v>
      </c>
      <c r="AX29" s="12">
        <f t="shared" si="14"/>
        <v>0.95485103661778814</v>
      </c>
      <c r="AY29" s="75">
        <f t="shared" si="32"/>
        <v>0</v>
      </c>
      <c r="AZ29" s="65">
        <f t="shared" si="36"/>
        <v>7800</v>
      </c>
      <c r="BA29" s="50">
        <f t="shared" si="15"/>
        <v>0</v>
      </c>
      <c r="BD29" s="92">
        <v>185381</v>
      </c>
      <c r="BE29" t="s">
        <v>111</v>
      </c>
      <c r="BG29" s="149"/>
    </row>
    <row r="30" spans="1:59" outlineLevel="1" x14ac:dyDescent="0.3">
      <c r="A30" s="19">
        <v>25</v>
      </c>
      <c r="B30" s="4" t="s">
        <v>28</v>
      </c>
      <c r="C30" s="4">
        <v>1</v>
      </c>
      <c r="D30" s="64">
        <v>251775</v>
      </c>
      <c r="E30" s="64">
        <v>0</v>
      </c>
      <c r="F30" s="64">
        <f t="shared" si="16"/>
        <v>661504.18000000005</v>
      </c>
      <c r="G30" s="64">
        <f t="shared" si="17"/>
        <v>0</v>
      </c>
      <c r="H30" s="64"/>
      <c r="I30" s="64">
        <v>590</v>
      </c>
      <c r="J30" s="64">
        <v>150</v>
      </c>
      <c r="K30" s="64">
        <f t="shared" si="35"/>
        <v>460</v>
      </c>
      <c r="L30" s="64">
        <v>150</v>
      </c>
      <c r="M30" s="3">
        <v>1</v>
      </c>
      <c r="N30" s="9">
        <f t="shared" si="19"/>
        <v>1</v>
      </c>
      <c r="O30" s="3"/>
      <c r="P30" s="3"/>
      <c r="Q30" s="9">
        <f t="shared" si="6"/>
        <v>0</v>
      </c>
      <c r="R30" s="65">
        <f t="shared" si="20"/>
        <v>157500</v>
      </c>
      <c r="S30" s="65">
        <f t="shared" si="20"/>
        <v>167550</v>
      </c>
      <c r="T30" s="12">
        <f t="shared" si="0"/>
        <v>1.0638095238095238</v>
      </c>
      <c r="U30" s="68">
        <f t="shared" si="21"/>
        <v>590</v>
      </c>
      <c r="V30" s="65">
        <f>1117-AB30</f>
        <v>745</v>
      </c>
      <c r="W30" s="50">
        <f t="shared" si="1"/>
        <v>1.2627118644067796</v>
      </c>
      <c r="X30" s="72">
        <f t="shared" si="23"/>
        <v>88500</v>
      </c>
      <c r="Y30" s="65">
        <f t="shared" si="7"/>
        <v>111750</v>
      </c>
      <c r="Z30" s="9">
        <f t="shared" si="2"/>
        <v>1.2627118644067796</v>
      </c>
      <c r="AA30" s="64">
        <f t="shared" si="24"/>
        <v>460</v>
      </c>
      <c r="AB30" s="65">
        <f>252+120</f>
        <v>372</v>
      </c>
      <c r="AC30" s="9">
        <f t="shared" si="3"/>
        <v>0.80869565217391304</v>
      </c>
      <c r="AD30" s="64">
        <f t="shared" si="25"/>
        <v>69000</v>
      </c>
      <c r="AE30" s="64">
        <f t="shared" si="26"/>
        <v>55800</v>
      </c>
      <c r="AF30" s="9">
        <f t="shared" si="4"/>
        <v>0.80869565217391304</v>
      </c>
      <c r="AG30" s="65">
        <f t="shared" si="27"/>
        <v>0</v>
      </c>
      <c r="AH30" s="65">
        <f t="shared" si="27"/>
        <v>0</v>
      </c>
      <c r="AI30" s="9">
        <f t="shared" si="28"/>
        <v>0</v>
      </c>
      <c r="AJ30" s="65">
        <f t="shared" si="8"/>
        <v>0</v>
      </c>
      <c r="AK30" s="65"/>
      <c r="AL30" s="9">
        <f t="shared" si="9"/>
        <v>0</v>
      </c>
      <c r="AM30" s="65">
        <f t="shared" si="29"/>
        <v>0</v>
      </c>
      <c r="AN30" s="65"/>
      <c r="AO30" s="9">
        <f t="shared" si="5"/>
        <v>0</v>
      </c>
      <c r="AP30" s="64"/>
      <c r="AQ30" s="65"/>
      <c r="AR30" s="9">
        <f t="shared" si="11"/>
        <v>0</v>
      </c>
      <c r="AS30" s="65">
        <f t="shared" si="30"/>
        <v>0</v>
      </c>
      <c r="AT30" s="65">
        <f t="shared" si="12"/>
        <v>0</v>
      </c>
      <c r="AU30" s="12">
        <f t="shared" si="13"/>
        <v>0</v>
      </c>
      <c r="AV30" s="68">
        <f t="shared" si="31"/>
        <v>661504.18000000005</v>
      </c>
      <c r="AW30" s="65">
        <f>599177.61*1.2</f>
        <v>719013.13199999998</v>
      </c>
      <c r="AX30" s="12">
        <f t="shared" si="14"/>
        <v>1.0869366418818396</v>
      </c>
      <c r="AY30" s="75">
        <f t="shared" si="32"/>
        <v>0</v>
      </c>
      <c r="AZ30" s="65">
        <f t="shared" si="36"/>
        <v>7800</v>
      </c>
      <c r="BA30" s="50">
        <f t="shared" si="15"/>
        <v>0</v>
      </c>
      <c r="BD30" s="92">
        <v>396874</v>
      </c>
      <c r="BE30" t="s">
        <v>111</v>
      </c>
      <c r="BG30" s="149"/>
    </row>
    <row r="31" spans="1:59" outlineLevel="1" x14ac:dyDescent="0.3">
      <c r="A31" s="19">
        <v>26</v>
      </c>
      <c r="B31" s="4" t="s">
        <v>29</v>
      </c>
      <c r="C31" s="4">
        <v>1</v>
      </c>
      <c r="D31" s="64">
        <v>251775</v>
      </c>
      <c r="E31" s="64">
        <v>0</v>
      </c>
      <c r="F31" s="64">
        <f t="shared" si="16"/>
        <v>661504.18000000005</v>
      </c>
      <c r="G31" s="64">
        <f t="shared" si="17"/>
        <v>0</v>
      </c>
      <c r="H31" s="64"/>
      <c r="I31" s="64">
        <v>590</v>
      </c>
      <c r="J31" s="64">
        <v>150</v>
      </c>
      <c r="K31" s="64">
        <f t="shared" si="35"/>
        <v>460</v>
      </c>
      <c r="L31" s="64">
        <v>150</v>
      </c>
      <c r="M31" s="3">
        <v>1</v>
      </c>
      <c r="N31" s="9">
        <f t="shared" si="19"/>
        <v>1</v>
      </c>
      <c r="O31" s="3"/>
      <c r="P31" s="3"/>
      <c r="Q31" s="9">
        <f t="shared" si="6"/>
        <v>0</v>
      </c>
      <c r="R31" s="65">
        <f t="shared" si="20"/>
        <v>157500</v>
      </c>
      <c r="S31" s="65">
        <f t="shared" si="20"/>
        <v>209100</v>
      </c>
      <c r="T31" s="12">
        <f t="shared" si="0"/>
        <v>1.3276190476190477</v>
      </c>
      <c r="U31" s="68">
        <f t="shared" si="21"/>
        <v>590</v>
      </c>
      <c r="V31" s="65">
        <f>1394-AB31</f>
        <v>794</v>
      </c>
      <c r="W31" s="50">
        <f t="shared" si="1"/>
        <v>1.3457627118644067</v>
      </c>
      <c r="X31" s="72">
        <f t="shared" si="23"/>
        <v>88500</v>
      </c>
      <c r="Y31" s="65">
        <f t="shared" si="7"/>
        <v>119100</v>
      </c>
      <c r="Z31" s="9">
        <f t="shared" si="2"/>
        <v>1.3457627118644067</v>
      </c>
      <c r="AA31" s="64">
        <f t="shared" si="24"/>
        <v>460</v>
      </c>
      <c r="AB31" s="65">
        <f>408+192</f>
        <v>600</v>
      </c>
      <c r="AC31" s="9">
        <f t="shared" si="3"/>
        <v>1.3043478260869565</v>
      </c>
      <c r="AD31" s="64">
        <f t="shared" si="25"/>
        <v>69000</v>
      </c>
      <c r="AE31" s="64">
        <f t="shared" si="26"/>
        <v>90000</v>
      </c>
      <c r="AF31" s="9">
        <f t="shared" si="4"/>
        <v>1.3043478260869565</v>
      </c>
      <c r="AG31" s="65">
        <f t="shared" si="27"/>
        <v>0</v>
      </c>
      <c r="AH31" s="65">
        <f t="shared" si="27"/>
        <v>0</v>
      </c>
      <c r="AI31" s="9">
        <f t="shared" si="28"/>
        <v>0</v>
      </c>
      <c r="AJ31" s="65">
        <f t="shared" si="8"/>
        <v>0</v>
      </c>
      <c r="AK31" s="65"/>
      <c r="AL31" s="9">
        <f t="shared" si="9"/>
        <v>0</v>
      </c>
      <c r="AM31" s="65">
        <f t="shared" si="29"/>
        <v>0</v>
      </c>
      <c r="AN31" s="65">
        <f>AK31*J31</f>
        <v>0</v>
      </c>
      <c r="AO31" s="9">
        <f t="shared" si="5"/>
        <v>0</v>
      </c>
      <c r="AP31" s="64">
        <f>IF(AQ31&lt;&gt;0,K31,0)</f>
        <v>0</v>
      </c>
      <c r="AQ31" s="65"/>
      <c r="AR31" s="9">
        <f t="shared" si="11"/>
        <v>0</v>
      </c>
      <c r="AS31" s="65">
        <f t="shared" si="30"/>
        <v>0</v>
      </c>
      <c r="AT31" s="65">
        <f>AQ31*L31</f>
        <v>0</v>
      </c>
      <c r="AU31" s="12">
        <f t="shared" si="13"/>
        <v>0</v>
      </c>
      <c r="AV31" s="68">
        <f t="shared" si="31"/>
        <v>661504.18000000005</v>
      </c>
      <c r="AW31" s="65">
        <f>576033.85*1.2</f>
        <v>691240.62</v>
      </c>
      <c r="AX31" s="12">
        <f t="shared" si="14"/>
        <v>1.0449527620520855</v>
      </c>
      <c r="AY31" s="75">
        <f t="shared" si="32"/>
        <v>0</v>
      </c>
      <c r="AZ31" s="65">
        <f t="shared" si="36"/>
        <v>7800</v>
      </c>
      <c r="BA31" s="50">
        <f t="shared" si="15"/>
        <v>0</v>
      </c>
      <c r="BD31" s="92">
        <v>337387</v>
      </c>
      <c r="BE31" t="s">
        <v>111</v>
      </c>
      <c r="BG31" s="149"/>
    </row>
    <row r="32" spans="1:59" outlineLevel="1" x14ac:dyDescent="0.3">
      <c r="A32" s="19">
        <v>27</v>
      </c>
      <c r="B32" s="4" t="s">
        <v>30</v>
      </c>
      <c r="C32" s="4">
        <v>1</v>
      </c>
      <c r="D32" s="64">
        <v>251775</v>
      </c>
      <c r="E32" s="64">
        <v>0</v>
      </c>
      <c r="F32" s="64">
        <f t="shared" si="16"/>
        <v>661504.18000000005</v>
      </c>
      <c r="G32" s="64">
        <f t="shared" si="17"/>
        <v>0</v>
      </c>
      <c r="H32" s="64"/>
      <c r="I32" s="64">
        <v>590</v>
      </c>
      <c r="J32" s="64">
        <v>150</v>
      </c>
      <c r="K32" s="64">
        <f t="shared" si="35"/>
        <v>460</v>
      </c>
      <c r="L32" s="64">
        <v>150</v>
      </c>
      <c r="M32" s="3">
        <v>1</v>
      </c>
      <c r="N32" s="9">
        <f t="shared" si="19"/>
        <v>1</v>
      </c>
      <c r="O32" s="3"/>
      <c r="P32" s="3"/>
      <c r="Q32" s="9">
        <f t="shared" si="6"/>
        <v>0</v>
      </c>
      <c r="R32" s="65">
        <f t="shared" si="20"/>
        <v>157500</v>
      </c>
      <c r="S32" s="65">
        <f t="shared" si="20"/>
        <v>206400</v>
      </c>
      <c r="T32" s="12">
        <f t="shared" si="0"/>
        <v>1.3104761904761904</v>
      </c>
      <c r="U32" s="68">
        <f t="shared" si="21"/>
        <v>590</v>
      </c>
      <c r="V32" s="65">
        <f>1376-AB32</f>
        <v>712</v>
      </c>
      <c r="W32" s="50">
        <f t="shared" si="1"/>
        <v>1.2067796610169492</v>
      </c>
      <c r="X32" s="72">
        <f t="shared" si="23"/>
        <v>88500</v>
      </c>
      <c r="Y32" s="65">
        <f t="shared" si="7"/>
        <v>106800</v>
      </c>
      <c r="Z32" s="9">
        <f t="shared" si="2"/>
        <v>1.2067796610169492</v>
      </c>
      <c r="AA32" s="64">
        <f t="shared" si="24"/>
        <v>460</v>
      </c>
      <c r="AB32" s="65">
        <f>264+400</f>
        <v>664</v>
      </c>
      <c r="AC32" s="9">
        <f t="shared" si="3"/>
        <v>1.4434782608695653</v>
      </c>
      <c r="AD32" s="64">
        <f t="shared" si="25"/>
        <v>69000</v>
      </c>
      <c r="AE32" s="64">
        <f t="shared" si="26"/>
        <v>99600</v>
      </c>
      <c r="AF32" s="9">
        <f t="shared" si="4"/>
        <v>1.4434782608695653</v>
      </c>
      <c r="AG32" s="65">
        <f t="shared" si="27"/>
        <v>0</v>
      </c>
      <c r="AH32" s="65">
        <f t="shared" si="27"/>
        <v>0</v>
      </c>
      <c r="AI32" s="9">
        <f t="shared" si="28"/>
        <v>0</v>
      </c>
      <c r="AJ32" s="65">
        <f t="shared" si="8"/>
        <v>0</v>
      </c>
      <c r="AK32" s="65"/>
      <c r="AL32" s="9">
        <f t="shared" si="9"/>
        <v>0</v>
      </c>
      <c r="AM32" s="65">
        <f t="shared" si="29"/>
        <v>0</v>
      </c>
      <c r="AN32" s="65">
        <f t="shared" ref="AN32:AN37" si="37">AK32*J32</f>
        <v>0</v>
      </c>
      <c r="AO32" s="9">
        <f t="shared" si="5"/>
        <v>0</v>
      </c>
      <c r="AP32" s="64">
        <f t="shared" ref="AP32:AP35" si="38">IF(AQ32&lt;&gt;0,K32,0)</f>
        <v>0</v>
      </c>
      <c r="AQ32" s="65"/>
      <c r="AR32" s="9">
        <f t="shared" si="11"/>
        <v>0</v>
      </c>
      <c r="AS32" s="65">
        <f t="shared" si="30"/>
        <v>0</v>
      </c>
      <c r="AT32" s="65">
        <f t="shared" ref="AT32:AT36" si="39">AQ32*L32</f>
        <v>0</v>
      </c>
      <c r="AU32" s="12">
        <f t="shared" si="13"/>
        <v>0</v>
      </c>
      <c r="AV32" s="68">
        <f t="shared" si="31"/>
        <v>661504.18000000005</v>
      </c>
      <c r="AW32" s="65">
        <f>590826.95*1.2</f>
        <v>708992.34</v>
      </c>
      <c r="AX32" s="12">
        <f t="shared" si="14"/>
        <v>1.0717881480355875</v>
      </c>
      <c r="AY32" s="75">
        <f t="shared" si="32"/>
        <v>0</v>
      </c>
      <c r="AZ32" s="65">
        <f t="shared" si="36"/>
        <v>7800</v>
      </c>
      <c r="BA32" s="50">
        <f t="shared" si="15"/>
        <v>0</v>
      </c>
      <c r="BD32" s="92">
        <v>308535</v>
      </c>
      <c r="BE32" t="s">
        <v>111</v>
      </c>
      <c r="BG32" s="149"/>
    </row>
    <row r="33" spans="1:59" outlineLevel="1" x14ac:dyDescent="0.3">
      <c r="A33" s="19">
        <v>28</v>
      </c>
      <c r="B33" s="4" t="s">
        <v>31</v>
      </c>
      <c r="C33" s="4">
        <v>1</v>
      </c>
      <c r="D33" s="64">
        <v>251775</v>
      </c>
      <c r="E33" s="64">
        <v>0</v>
      </c>
      <c r="F33" s="64">
        <f t="shared" si="16"/>
        <v>661504.18000000005</v>
      </c>
      <c r="G33" s="64">
        <f t="shared" si="17"/>
        <v>0</v>
      </c>
      <c r="H33" s="64"/>
      <c r="I33" s="64">
        <v>590</v>
      </c>
      <c r="J33" s="64">
        <v>150</v>
      </c>
      <c r="K33" s="64">
        <f t="shared" si="35"/>
        <v>460</v>
      </c>
      <c r="L33" s="64">
        <v>150</v>
      </c>
      <c r="M33" s="3">
        <v>1</v>
      </c>
      <c r="N33" s="9">
        <f t="shared" si="19"/>
        <v>1</v>
      </c>
      <c r="O33" s="3"/>
      <c r="P33" s="3"/>
      <c r="Q33" s="9">
        <f t="shared" si="6"/>
        <v>0</v>
      </c>
      <c r="R33" s="65">
        <f t="shared" si="20"/>
        <v>157500</v>
      </c>
      <c r="S33" s="65">
        <f t="shared" si="20"/>
        <v>231600</v>
      </c>
      <c r="T33" s="12">
        <f t="shared" si="0"/>
        <v>1.4704761904761905</v>
      </c>
      <c r="U33" s="68">
        <f t="shared" si="21"/>
        <v>590</v>
      </c>
      <c r="V33" s="65">
        <f>1544-AB33</f>
        <v>704</v>
      </c>
      <c r="W33" s="50">
        <f t="shared" si="1"/>
        <v>1.1932203389830509</v>
      </c>
      <c r="X33" s="72">
        <f t="shared" si="23"/>
        <v>88500</v>
      </c>
      <c r="Y33" s="65">
        <f t="shared" si="7"/>
        <v>105600</v>
      </c>
      <c r="Z33" s="9">
        <f t="shared" si="2"/>
        <v>1.1932203389830509</v>
      </c>
      <c r="AA33" s="64">
        <f t="shared" si="24"/>
        <v>460</v>
      </c>
      <c r="AB33" s="65">
        <f>576+192+72</f>
        <v>840</v>
      </c>
      <c r="AC33" s="9">
        <f t="shared" si="3"/>
        <v>1.8260869565217392</v>
      </c>
      <c r="AD33" s="64">
        <f t="shared" si="25"/>
        <v>69000</v>
      </c>
      <c r="AE33" s="64">
        <f t="shared" si="26"/>
        <v>126000</v>
      </c>
      <c r="AF33" s="9">
        <f t="shared" si="4"/>
        <v>1.8260869565217392</v>
      </c>
      <c r="AG33" s="65">
        <f t="shared" si="27"/>
        <v>0</v>
      </c>
      <c r="AH33" s="65">
        <f t="shared" si="27"/>
        <v>0</v>
      </c>
      <c r="AI33" s="9">
        <f t="shared" si="28"/>
        <v>0</v>
      </c>
      <c r="AJ33" s="65">
        <f t="shared" si="8"/>
        <v>0</v>
      </c>
      <c r="AK33" s="65"/>
      <c r="AL33" s="9">
        <f t="shared" si="9"/>
        <v>0</v>
      </c>
      <c r="AM33" s="65">
        <f t="shared" si="29"/>
        <v>0</v>
      </c>
      <c r="AN33" s="65">
        <f t="shared" si="37"/>
        <v>0</v>
      </c>
      <c r="AO33" s="9">
        <f t="shared" si="5"/>
        <v>0</v>
      </c>
      <c r="AP33" s="64">
        <f t="shared" si="38"/>
        <v>0</v>
      </c>
      <c r="AQ33" s="65"/>
      <c r="AR33" s="9">
        <f t="shared" si="11"/>
        <v>0</v>
      </c>
      <c r="AS33" s="65">
        <f t="shared" si="30"/>
        <v>0</v>
      </c>
      <c r="AT33" s="65">
        <f t="shared" si="39"/>
        <v>0</v>
      </c>
      <c r="AU33" s="12">
        <f t="shared" si="13"/>
        <v>0</v>
      </c>
      <c r="AV33" s="68">
        <f t="shared" si="31"/>
        <v>661504.18000000005</v>
      </c>
      <c r="AW33" s="65">
        <f>595687.06*1.2</f>
        <v>714824.47200000007</v>
      </c>
      <c r="AX33" s="12">
        <f t="shared" si="14"/>
        <v>1.0806046184016556</v>
      </c>
      <c r="AY33" s="75">
        <f t="shared" si="32"/>
        <v>0</v>
      </c>
      <c r="AZ33" s="65"/>
      <c r="BA33" s="50">
        <f t="shared" si="15"/>
        <v>0</v>
      </c>
      <c r="BD33" s="92">
        <v>256963</v>
      </c>
      <c r="BE33" t="s">
        <v>111</v>
      </c>
      <c r="BG33" s="149"/>
    </row>
    <row r="34" spans="1:59" outlineLevel="1" x14ac:dyDescent="0.3">
      <c r="A34" s="19">
        <v>29</v>
      </c>
      <c r="B34" s="4" t="s">
        <v>32</v>
      </c>
      <c r="C34" s="4">
        <v>1</v>
      </c>
      <c r="D34" s="64">
        <v>251775</v>
      </c>
      <c r="E34" s="64">
        <v>0</v>
      </c>
      <c r="F34" s="64">
        <f t="shared" si="16"/>
        <v>661504.18000000005</v>
      </c>
      <c r="G34" s="64">
        <f t="shared" si="17"/>
        <v>0</v>
      </c>
      <c r="H34" s="64"/>
      <c r="I34" s="64">
        <v>590</v>
      </c>
      <c r="J34" s="64">
        <v>150</v>
      </c>
      <c r="K34" s="64">
        <f t="shared" si="35"/>
        <v>460</v>
      </c>
      <c r="L34" s="64">
        <v>150</v>
      </c>
      <c r="M34" s="3">
        <v>1</v>
      </c>
      <c r="N34" s="9">
        <f t="shared" si="19"/>
        <v>1</v>
      </c>
      <c r="O34" s="3"/>
      <c r="P34" s="3"/>
      <c r="Q34" s="9">
        <f t="shared" si="6"/>
        <v>0</v>
      </c>
      <c r="R34" s="65">
        <f t="shared" si="20"/>
        <v>157500</v>
      </c>
      <c r="S34" s="65">
        <f t="shared" si="20"/>
        <v>392850</v>
      </c>
      <c r="T34" s="12">
        <f t="shared" si="0"/>
        <v>2.4942857142857142</v>
      </c>
      <c r="U34" s="68">
        <f t="shared" si="21"/>
        <v>590</v>
      </c>
      <c r="V34" s="65">
        <f>2619-AB34</f>
        <v>1395</v>
      </c>
      <c r="W34" s="50">
        <f t="shared" si="1"/>
        <v>2.3644067796610169</v>
      </c>
      <c r="X34" s="72">
        <f t="shared" si="23"/>
        <v>88500</v>
      </c>
      <c r="Y34" s="65">
        <f t="shared" si="7"/>
        <v>209250</v>
      </c>
      <c r="Z34" s="9">
        <f t="shared" si="2"/>
        <v>2.3644067796610169</v>
      </c>
      <c r="AA34" s="64">
        <f t="shared" si="24"/>
        <v>460</v>
      </c>
      <c r="AB34" s="65">
        <f>696+528</f>
        <v>1224</v>
      </c>
      <c r="AC34" s="9">
        <f t="shared" si="3"/>
        <v>2.660869565217391</v>
      </c>
      <c r="AD34" s="64">
        <f t="shared" si="25"/>
        <v>69000</v>
      </c>
      <c r="AE34" s="64">
        <f t="shared" si="26"/>
        <v>183600</v>
      </c>
      <c r="AF34" s="9">
        <f t="shared" si="4"/>
        <v>2.660869565217391</v>
      </c>
      <c r="AG34" s="65">
        <f t="shared" si="27"/>
        <v>0</v>
      </c>
      <c r="AH34" s="65">
        <f t="shared" si="27"/>
        <v>0</v>
      </c>
      <c r="AI34" s="9">
        <f t="shared" si="28"/>
        <v>0</v>
      </c>
      <c r="AJ34" s="65">
        <f t="shared" si="8"/>
        <v>0</v>
      </c>
      <c r="AK34" s="65"/>
      <c r="AL34" s="9">
        <f t="shared" si="9"/>
        <v>0</v>
      </c>
      <c r="AM34" s="65">
        <f t="shared" si="29"/>
        <v>0</v>
      </c>
      <c r="AN34" s="65">
        <f t="shared" si="37"/>
        <v>0</v>
      </c>
      <c r="AO34" s="9">
        <f t="shared" si="5"/>
        <v>0</v>
      </c>
      <c r="AP34" s="64">
        <f t="shared" si="38"/>
        <v>0</v>
      </c>
      <c r="AQ34" s="65"/>
      <c r="AR34" s="9">
        <f t="shared" si="11"/>
        <v>0</v>
      </c>
      <c r="AS34" s="65">
        <f t="shared" si="30"/>
        <v>0</v>
      </c>
      <c r="AT34" s="65">
        <f t="shared" si="39"/>
        <v>0</v>
      </c>
      <c r="AU34" s="12">
        <f t="shared" si="13"/>
        <v>0</v>
      </c>
      <c r="AV34" s="68">
        <f t="shared" si="31"/>
        <v>661504.18000000005</v>
      </c>
      <c r="AW34" s="65">
        <f>582965.03*1.2</f>
        <v>699558.03599999996</v>
      </c>
      <c r="AX34" s="12">
        <f t="shared" si="14"/>
        <v>1.0575262517615533</v>
      </c>
      <c r="AY34" s="75">
        <f t="shared" si="32"/>
        <v>0</v>
      </c>
      <c r="AZ34" s="65"/>
      <c r="BA34" s="50">
        <f t="shared" si="15"/>
        <v>0</v>
      </c>
      <c r="BD34" s="92">
        <v>293884</v>
      </c>
      <c r="BE34" t="s">
        <v>111</v>
      </c>
      <c r="BG34" s="149"/>
    </row>
    <row r="35" spans="1:59" outlineLevel="1" x14ac:dyDescent="0.3">
      <c r="A35" s="19">
        <v>30</v>
      </c>
      <c r="B35" s="4" t="s">
        <v>33</v>
      </c>
      <c r="C35" s="4">
        <v>1</v>
      </c>
      <c r="D35" s="64">
        <v>251775</v>
      </c>
      <c r="E35" s="64">
        <v>0</v>
      </c>
      <c r="F35" s="64">
        <f t="shared" si="16"/>
        <v>661504.18000000005</v>
      </c>
      <c r="G35" s="64">
        <f t="shared" si="17"/>
        <v>0</v>
      </c>
      <c r="H35" s="64"/>
      <c r="I35" s="64">
        <v>590</v>
      </c>
      <c r="J35" s="64">
        <v>150</v>
      </c>
      <c r="K35" s="64">
        <f t="shared" si="35"/>
        <v>460</v>
      </c>
      <c r="L35" s="64">
        <v>150</v>
      </c>
      <c r="M35" s="3">
        <v>1</v>
      </c>
      <c r="N35" s="9">
        <f t="shared" si="19"/>
        <v>1</v>
      </c>
      <c r="O35" s="3"/>
      <c r="P35" s="3"/>
      <c r="Q35" s="9">
        <f t="shared" si="6"/>
        <v>0</v>
      </c>
      <c r="R35" s="65">
        <f t="shared" si="20"/>
        <v>157500</v>
      </c>
      <c r="S35" s="65">
        <f t="shared" si="20"/>
        <v>319350</v>
      </c>
      <c r="T35" s="12">
        <f t="shared" si="0"/>
        <v>2.0276190476190479</v>
      </c>
      <c r="U35" s="68">
        <f t="shared" si="21"/>
        <v>590</v>
      </c>
      <c r="V35" s="65">
        <f>2129-AB35</f>
        <v>833</v>
      </c>
      <c r="W35" s="50">
        <f t="shared" si="1"/>
        <v>1.4118644067796611</v>
      </c>
      <c r="X35" s="72">
        <f t="shared" si="23"/>
        <v>88500</v>
      </c>
      <c r="Y35" s="65">
        <f t="shared" si="7"/>
        <v>124950</v>
      </c>
      <c r="Z35" s="9">
        <f t="shared" si="2"/>
        <v>1.4118644067796611</v>
      </c>
      <c r="AA35" s="64">
        <f t="shared" si="24"/>
        <v>460</v>
      </c>
      <c r="AB35" s="65">
        <f>192+336+384+384</f>
        <v>1296</v>
      </c>
      <c r="AC35" s="9">
        <f t="shared" si="3"/>
        <v>2.8173913043478258</v>
      </c>
      <c r="AD35" s="64">
        <f t="shared" si="25"/>
        <v>69000</v>
      </c>
      <c r="AE35" s="64">
        <f t="shared" si="26"/>
        <v>194400</v>
      </c>
      <c r="AF35" s="9">
        <f t="shared" si="4"/>
        <v>2.8173913043478258</v>
      </c>
      <c r="AG35" s="65">
        <f t="shared" si="27"/>
        <v>0</v>
      </c>
      <c r="AH35" s="65">
        <f t="shared" si="27"/>
        <v>0</v>
      </c>
      <c r="AI35" s="9">
        <f t="shared" si="28"/>
        <v>0</v>
      </c>
      <c r="AJ35" s="65">
        <f t="shared" si="8"/>
        <v>0</v>
      </c>
      <c r="AK35" s="65"/>
      <c r="AL35" s="9">
        <f t="shared" si="9"/>
        <v>0</v>
      </c>
      <c r="AM35" s="65">
        <f t="shared" si="29"/>
        <v>0</v>
      </c>
      <c r="AN35" s="65">
        <f t="shared" si="37"/>
        <v>0</v>
      </c>
      <c r="AO35" s="9">
        <f t="shared" si="5"/>
        <v>0</v>
      </c>
      <c r="AP35" s="64">
        <f t="shared" si="38"/>
        <v>0</v>
      </c>
      <c r="AQ35" s="65"/>
      <c r="AR35" s="9">
        <f t="shared" si="11"/>
        <v>0</v>
      </c>
      <c r="AS35" s="65">
        <f t="shared" si="30"/>
        <v>0</v>
      </c>
      <c r="AT35" s="65">
        <f t="shared" si="39"/>
        <v>0</v>
      </c>
      <c r="AU35" s="12">
        <f t="shared" si="13"/>
        <v>0</v>
      </c>
      <c r="AV35" s="68">
        <f t="shared" si="31"/>
        <v>661504.18000000005</v>
      </c>
      <c r="AW35" s="65">
        <f>587419.13*1.2</f>
        <v>704902.95600000001</v>
      </c>
      <c r="AX35" s="12">
        <f t="shared" si="14"/>
        <v>1.0656062007045821</v>
      </c>
      <c r="AY35" s="75">
        <f t="shared" si="32"/>
        <v>0</v>
      </c>
      <c r="AZ35" s="65"/>
      <c r="BA35" s="50">
        <f t="shared" si="15"/>
        <v>0</v>
      </c>
      <c r="BD35" s="92">
        <v>252609</v>
      </c>
      <c r="BE35" t="s">
        <v>111</v>
      </c>
      <c r="BG35" s="149"/>
    </row>
    <row r="36" spans="1:59" outlineLevel="1" x14ac:dyDescent="0.3">
      <c r="A36" s="19">
        <v>31</v>
      </c>
      <c r="B36" s="4" t="s">
        <v>34</v>
      </c>
      <c r="C36" s="4">
        <v>1</v>
      </c>
      <c r="D36" s="64">
        <v>251775</v>
      </c>
      <c r="E36" s="64">
        <v>0</v>
      </c>
      <c r="F36" s="64">
        <f t="shared" si="16"/>
        <v>661504.18000000005</v>
      </c>
      <c r="G36" s="64">
        <f t="shared" si="17"/>
        <v>0</v>
      </c>
      <c r="H36" s="64"/>
      <c r="I36" s="64">
        <v>590</v>
      </c>
      <c r="J36" s="64">
        <v>150</v>
      </c>
      <c r="K36" s="64">
        <f t="shared" si="35"/>
        <v>460</v>
      </c>
      <c r="L36" s="64">
        <v>150</v>
      </c>
      <c r="M36" s="3">
        <v>1</v>
      </c>
      <c r="N36" s="9">
        <f t="shared" si="19"/>
        <v>1</v>
      </c>
      <c r="O36" s="3">
        <v>1</v>
      </c>
      <c r="P36" s="3">
        <v>1</v>
      </c>
      <c r="Q36" s="9">
        <f t="shared" si="6"/>
        <v>1</v>
      </c>
      <c r="R36" s="65">
        <f t="shared" si="20"/>
        <v>157500</v>
      </c>
      <c r="S36" s="65">
        <f t="shared" si="20"/>
        <v>280650</v>
      </c>
      <c r="T36" s="12">
        <f t="shared" si="0"/>
        <v>1.7819047619047619</v>
      </c>
      <c r="U36" s="68">
        <f t="shared" si="21"/>
        <v>590</v>
      </c>
      <c r="V36" s="65">
        <f>1871-AB36</f>
        <v>455</v>
      </c>
      <c r="W36" s="50">
        <f t="shared" si="1"/>
        <v>0.77118644067796605</v>
      </c>
      <c r="X36" s="72">
        <f t="shared" si="23"/>
        <v>88500</v>
      </c>
      <c r="Y36" s="65">
        <f>V36*J36</f>
        <v>68250</v>
      </c>
      <c r="Z36" s="9">
        <f t="shared" si="2"/>
        <v>0.77118644067796605</v>
      </c>
      <c r="AA36" s="64">
        <f t="shared" si="24"/>
        <v>460</v>
      </c>
      <c r="AB36" s="65">
        <f>600+288+528</f>
        <v>1416</v>
      </c>
      <c r="AC36" s="9">
        <f t="shared" si="3"/>
        <v>3.0782608695652174</v>
      </c>
      <c r="AD36" s="64">
        <f t="shared" si="25"/>
        <v>69000</v>
      </c>
      <c r="AE36" s="64">
        <f t="shared" si="26"/>
        <v>212400</v>
      </c>
      <c r="AF36" s="9">
        <f t="shared" si="4"/>
        <v>3.0782608695652174</v>
      </c>
      <c r="AG36" s="65">
        <f t="shared" si="27"/>
        <v>0</v>
      </c>
      <c r="AH36" s="65">
        <f t="shared" si="27"/>
        <v>0</v>
      </c>
      <c r="AI36" s="9">
        <f t="shared" si="28"/>
        <v>0</v>
      </c>
      <c r="AJ36" s="65">
        <v>0</v>
      </c>
      <c r="AK36" s="65"/>
      <c r="AL36" s="9">
        <f t="shared" si="9"/>
        <v>0</v>
      </c>
      <c r="AM36" s="65">
        <v>0</v>
      </c>
      <c r="AN36" s="65">
        <f t="shared" si="37"/>
        <v>0</v>
      </c>
      <c r="AO36" s="9">
        <f t="shared" si="5"/>
        <v>0</v>
      </c>
      <c r="AP36" s="64">
        <f>AS36/150</f>
        <v>0</v>
      </c>
      <c r="AQ36" s="65"/>
      <c r="AR36" s="9">
        <f t="shared" si="11"/>
        <v>0</v>
      </c>
      <c r="AS36" s="65"/>
      <c r="AT36" s="65">
        <f t="shared" si="39"/>
        <v>0</v>
      </c>
      <c r="AU36" s="12">
        <f t="shared" si="13"/>
        <v>0</v>
      </c>
      <c r="AV36" s="68">
        <f t="shared" si="31"/>
        <v>661504.18000000005</v>
      </c>
      <c r="AW36" s="65">
        <f>606032.44*1.2</f>
        <v>727238.92799999996</v>
      </c>
      <c r="AX36" s="12">
        <f t="shared" si="14"/>
        <v>1.0993716290651405</v>
      </c>
      <c r="AY36" s="75">
        <f t="shared" si="32"/>
        <v>0</v>
      </c>
      <c r="AZ36" s="65"/>
      <c r="BA36" s="50">
        <f t="shared" si="15"/>
        <v>0</v>
      </c>
    </row>
    <row r="37" spans="1:59" outlineLevel="1" x14ac:dyDescent="0.3">
      <c r="A37" s="19">
        <v>32</v>
      </c>
      <c r="B37" s="4" t="s">
        <v>35</v>
      </c>
      <c r="C37" s="4">
        <v>1</v>
      </c>
      <c r="D37" s="64">
        <v>251775</v>
      </c>
      <c r="E37" s="64">
        <v>0</v>
      </c>
      <c r="F37" s="64">
        <f t="shared" si="16"/>
        <v>661504.18000000005</v>
      </c>
      <c r="G37" s="64">
        <f t="shared" ref="G37" si="40">661504.18-F37</f>
        <v>0</v>
      </c>
      <c r="H37" s="64"/>
      <c r="I37" s="64">
        <f>70+20+40+460</f>
        <v>590</v>
      </c>
      <c r="J37" s="64">
        <v>150</v>
      </c>
      <c r="K37" s="64">
        <f t="shared" si="35"/>
        <v>460</v>
      </c>
      <c r="L37" s="64">
        <v>150</v>
      </c>
      <c r="M37" s="3">
        <v>1</v>
      </c>
      <c r="N37" s="9">
        <f t="shared" ref="N37" si="41">1-(C37-M37)/C37</f>
        <v>1</v>
      </c>
      <c r="O37" s="3">
        <v>1</v>
      </c>
      <c r="P37" s="3">
        <v>1</v>
      </c>
      <c r="Q37" s="9">
        <f t="shared" ref="Q37" si="42">IFERROR(1-(O37-P37)/O37,0)</f>
        <v>1</v>
      </c>
      <c r="R37" s="65">
        <f t="shared" ref="R37" si="43">X37+AD37</f>
        <v>157500</v>
      </c>
      <c r="S37" s="65">
        <f t="shared" ref="S37" si="44">Y37+AE37</f>
        <v>234000</v>
      </c>
      <c r="T37" s="12">
        <f t="shared" ref="T37" si="45">IFERROR(1-(R37-S37)/R37,0)</f>
        <v>1.4857142857142858</v>
      </c>
      <c r="U37" s="68">
        <f t="shared" ref="U37" si="46">IF(V37&lt;&gt;0,I37,0)</f>
        <v>590</v>
      </c>
      <c r="V37" s="65">
        <f>1560-AB37</f>
        <v>720</v>
      </c>
      <c r="W37" s="50">
        <f t="shared" ref="W37" si="47">IFERROR(1-(U37-V37)/U37,0)</f>
        <v>1.2203389830508475</v>
      </c>
      <c r="X37" s="72">
        <f t="shared" ref="X37" si="48">IF(Y37&lt;&gt;0,$I37*$J37,0)</f>
        <v>88500</v>
      </c>
      <c r="Y37" s="65">
        <f>V37*J37</f>
        <v>108000</v>
      </c>
      <c r="Z37" s="9">
        <f t="shared" ref="Z37" si="49">IFERROR(1-(X37-Y37)/X37,0)</f>
        <v>1.2203389830508475</v>
      </c>
      <c r="AA37" s="64">
        <f t="shared" ref="AA37" si="50">IF(AB37&lt;&gt;0,$K37,0)</f>
        <v>460</v>
      </c>
      <c r="AB37" s="65">
        <v>840</v>
      </c>
      <c r="AC37" s="9">
        <f t="shared" ref="AC37" si="51">IFERROR(1-(AA37-AB37)/AA37,0)</f>
        <v>1.8260869565217392</v>
      </c>
      <c r="AD37" s="64">
        <f t="shared" ref="AD37" si="52">IF(AE37&lt;&gt;0,$L37*$AA37,0)</f>
        <v>69000</v>
      </c>
      <c r="AE37" s="64">
        <f t="shared" ref="AE37" si="53">AB37*L37</f>
        <v>126000</v>
      </c>
      <c r="AF37" s="9">
        <f t="shared" ref="AF37" si="54">IFERROR(1-(AD37-AE37)/AD37,0)</f>
        <v>1.8260869565217392</v>
      </c>
      <c r="AG37" s="65">
        <f t="shared" ref="AG37:AH37" si="55">AM37+AS37</f>
        <v>0</v>
      </c>
      <c r="AH37" s="65">
        <f t="shared" si="55"/>
        <v>0</v>
      </c>
      <c r="AI37" s="9">
        <f t="shared" ref="AI37" si="56">IFERROR(1-(AG37-AH37)/AG37,0)</f>
        <v>0</v>
      </c>
      <c r="AJ37" s="65">
        <v>0</v>
      </c>
      <c r="AK37" s="65"/>
      <c r="AL37" s="9">
        <f t="shared" ref="AL37" si="57">IFERROR(1-(AJ37-AK37)/AJ37,0)</f>
        <v>0</v>
      </c>
      <c r="AM37" s="65">
        <v>0</v>
      </c>
      <c r="AN37" s="65">
        <f t="shared" si="37"/>
        <v>0</v>
      </c>
      <c r="AO37" s="9">
        <f t="shared" ref="AO37" si="58">IFERROR(1-(AM37-AN37)/AM37,0)</f>
        <v>0</v>
      </c>
      <c r="AP37" s="64">
        <f>AS37/150</f>
        <v>0</v>
      </c>
      <c r="AQ37" s="65"/>
      <c r="AR37" s="9">
        <f t="shared" ref="AR37" si="59">IFERROR(1-(AP37-AQ37)/AP37,0)</f>
        <v>0</v>
      </c>
      <c r="AS37" s="65"/>
      <c r="AT37" s="65">
        <f t="shared" ref="AT37" si="60">AQ37*L37</f>
        <v>0</v>
      </c>
      <c r="AU37" s="12">
        <f t="shared" ref="AU37" si="61">IFERROR(1-(AS37-AT37)/AS37,0)</f>
        <v>0</v>
      </c>
      <c r="AV37" s="68">
        <f t="shared" ref="AV37:AV42" si="62">IF(M37&lt;&gt;0,F37+H37,0)</f>
        <v>661504.18000000005</v>
      </c>
      <c r="AW37" s="65">
        <f>655531.69*1.2</f>
        <v>786638.02799999993</v>
      </c>
      <c r="AX37" s="12">
        <f t="shared" ref="AX37" si="63">IFERROR(1-(AV37-AW37)/AV37,0)</f>
        <v>1.1891656194825555</v>
      </c>
      <c r="AY37" s="75">
        <f t="shared" ref="AY37" si="64">IF(AZ37&lt;&gt;0,G37,0)</f>
        <v>0</v>
      </c>
      <c r="AZ37" s="65"/>
      <c r="BA37" s="50">
        <f t="shared" ref="BA37" si="65">IFERROR(1-(AY37-AZ37)/AY37,0)</f>
        <v>0</v>
      </c>
    </row>
    <row r="38" spans="1:59" outlineLevel="1" x14ac:dyDescent="0.3">
      <c r="A38" s="129"/>
      <c r="B38" s="130"/>
      <c r="C38" s="130"/>
      <c r="D38" s="131"/>
      <c r="E38" s="64"/>
      <c r="F38" s="64"/>
      <c r="G38" s="64"/>
      <c r="H38" s="64"/>
      <c r="I38" s="64"/>
      <c r="J38" s="64"/>
      <c r="K38" s="64"/>
      <c r="L38" s="64"/>
      <c r="M38" s="132"/>
      <c r="N38" s="133"/>
      <c r="O38" s="132"/>
      <c r="P38" s="132"/>
      <c r="Q38" s="133"/>
      <c r="R38" s="106"/>
      <c r="S38" s="106"/>
      <c r="T38" s="134"/>
      <c r="U38" s="135"/>
      <c r="V38" s="106"/>
      <c r="W38" s="107"/>
      <c r="X38" s="72"/>
      <c r="Y38" s="106"/>
      <c r="Z38" s="133"/>
      <c r="AA38" s="64"/>
      <c r="AB38" s="106"/>
      <c r="AC38" s="133"/>
      <c r="AD38" s="64"/>
      <c r="AE38" s="64"/>
      <c r="AF38" s="133"/>
      <c r="AG38" s="106"/>
      <c r="AH38" s="106"/>
      <c r="AI38" s="133"/>
      <c r="AJ38" s="106"/>
      <c r="AK38" s="106"/>
      <c r="AL38" s="133"/>
      <c r="AM38" s="106"/>
      <c r="AN38" s="65"/>
      <c r="AO38" s="133"/>
      <c r="AP38" s="64"/>
      <c r="AQ38" s="106"/>
      <c r="AR38" s="133"/>
      <c r="AS38" s="106"/>
      <c r="AT38" s="65"/>
      <c r="AU38" s="134"/>
      <c r="AV38" s="68">
        <f t="shared" si="62"/>
        <v>0</v>
      </c>
      <c r="AW38" s="106"/>
      <c r="AX38" s="134"/>
      <c r="AY38" s="136"/>
      <c r="AZ38" s="106"/>
      <c r="BA38" s="107"/>
      <c r="BC38">
        <v>3348124.8</v>
      </c>
      <c r="BE38" t="s">
        <v>113</v>
      </c>
    </row>
    <row r="39" spans="1:59" outlineLevel="1" x14ac:dyDescent="0.3">
      <c r="A39" s="129"/>
      <c r="B39" s="130"/>
      <c r="C39" s="130"/>
      <c r="D39" s="131"/>
      <c r="E39" s="64"/>
      <c r="F39" s="64"/>
      <c r="G39" s="64"/>
      <c r="H39" s="64"/>
      <c r="I39" s="64"/>
      <c r="J39" s="64"/>
      <c r="K39" s="64"/>
      <c r="L39" s="64"/>
      <c r="M39" s="132"/>
      <c r="N39" s="133"/>
      <c r="O39" s="132"/>
      <c r="P39" s="132"/>
      <c r="Q39" s="133"/>
      <c r="R39" s="106"/>
      <c r="S39" s="106"/>
      <c r="T39" s="134"/>
      <c r="U39" s="135"/>
      <c r="V39" s="106"/>
      <c r="W39" s="107"/>
      <c r="X39" s="72"/>
      <c r="Y39" s="106"/>
      <c r="Z39" s="133"/>
      <c r="AA39" s="64"/>
      <c r="AB39" s="106"/>
      <c r="AC39" s="133"/>
      <c r="AD39" s="64"/>
      <c r="AE39" s="64"/>
      <c r="AF39" s="133"/>
      <c r="AG39" s="106"/>
      <c r="AH39" s="106"/>
      <c r="AI39" s="133"/>
      <c r="AJ39" s="106"/>
      <c r="AK39" s="106"/>
      <c r="AL39" s="133"/>
      <c r="AM39" s="106"/>
      <c r="AN39" s="65"/>
      <c r="AO39" s="133"/>
      <c r="AP39" s="64"/>
      <c r="AQ39" s="106"/>
      <c r="AR39" s="133"/>
      <c r="AS39" s="106"/>
      <c r="AT39" s="65"/>
      <c r="AU39" s="134"/>
      <c r="AV39" s="68">
        <f t="shared" si="62"/>
        <v>0</v>
      </c>
      <c r="AW39" s="106"/>
      <c r="AX39" s="134"/>
      <c r="AY39" s="136"/>
      <c r="AZ39" s="106"/>
      <c r="BA39" s="107"/>
      <c r="BC39">
        <v>2280414</v>
      </c>
      <c r="BE39" t="s">
        <v>113</v>
      </c>
    </row>
    <row r="40" spans="1:59" outlineLevel="1" x14ac:dyDescent="0.3">
      <c r="A40" s="19"/>
      <c r="B40" s="4"/>
      <c r="C40" s="4"/>
      <c r="D40" s="65"/>
      <c r="E40" s="65"/>
      <c r="F40" s="64"/>
      <c r="G40" s="64"/>
      <c r="H40" s="65"/>
      <c r="I40" s="65"/>
      <c r="J40" s="65"/>
      <c r="K40" s="65"/>
      <c r="L40" s="65"/>
      <c r="M40" s="3"/>
      <c r="N40" s="9"/>
      <c r="O40" s="3"/>
      <c r="P40" s="3"/>
      <c r="Q40" s="9"/>
      <c r="R40" s="65"/>
      <c r="S40" s="65"/>
      <c r="T40" s="12"/>
      <c r="U40" s="68"/>
      <c r="V40" s="65"/>
      <c r="W40" s="50"/>
      <c r="X40" s="72"/>
      <c r="Y40" s="65"/>
      <c r="Z40" s="9"/>
      <c r="AA40" s="64"/>
      <c r="AB40" s="65"/>
      <c r="AC40" s="9"/>
      <c r="AD40" s="64"/>
      <c r="AE40" s="65"/>
      <c r="AF40" s="9"/>
      <c r="AG40" s="65"/>
      <c r="AH40" s="65"/>
      <c r="AI40" s="9"/>
      <c r="AJ40" s="65"/>
      <c r="AK40" s="65"/>
      <c r="AL40" s="9"/>
      <c r="AM40" s="65"/>
      <c r="AN40" s="65"/>
      <c r="AO40" s="9"/>
      <c r="AP40" s="64"/>
      <c r="AQ40" s="65"/>
      <c r="AR40" s="9"/>
      <c r="AS40" s="65"/>
      <c r="AT40" s="65"/>
      <c r="AU40" s="12"/>
      <c r="AV40" s="68">
        <f t="shared" si="62"/>
        <v>0</v>
      </c>
      <c r="AW40" s="65"/>
      <c r="AX40" s="12"/>
      <c r="AY40" s="75"/>
      <c r="AZ40" s="65"/>
      <c r="BA40" s="50"/>
    </row>
    <row r="41" spans="1:59" outlineLevel="1" x14ac:dyDescent="0.3">
      <c r="A41" s="129"/>
      <c r="B41" s="130"/>
      <c r="C41" s="130"/>
      <c r="D41" s="131"/>
      <c r="E41" s="64"/>
      <c r="F41" s="64"/>
      <c r="G41" s="64"/>
      <c r="H41" s="64"/>
      <c r="I41" s="64"/>
      <c r="J41" s="64"/>
      <c r="K41" s="64"/>
      <c r="L41" s="64"/>
      <c r="M41" s="132"/>
      <c r="N41" s="133"/>
      <c r="O41" s="132"/>
      <c r="P41" s="132"/>
      <c r="Q41" s="133"/>
      <c r="R41" s="106"/>
      <c r="S41" s="106"/>
      <c r="T41" s="134"/>
      <c r="U41" s="135"/>
      <c r="V41" s="106"/>
      <c r="W41" s="107"/>
      <c r="X41" s="72"/>
      <c r="Y41" s="106"/>
      <c r="Z41" s="133"/>
      <c r="AA41" s="64"/>
      <c r="AB41" s="106"/>
      <c r="AC41" s="133"/>
      <c r="AD41" s="64"/>
      <c r="AE41" s="64"/>
      <c r="AF41" s="133"/>
      <c r="AG41" s="106"/>
      <c r="AH41" s="106"/>
      <c r="AI41" s="133"/>
      <c r="AJ41" s="106"/>
      <c r="AK41" s="106"/>
      <c r="AL41" s="133"/>
      <c r="AM41" s="106"/>
      <c r="AN41" s="65"/>
      <c r="AO41" s="133"/>
      <c r="AP41" s="64"/>
      <c r="AQ41" s="106"/>
      <c r="AR41" s="133"/>
      <c r="AS41" s="106"/>
      <c r="AT41" s="65"/>
      <c r="AU41" s="134"/>
      <c r="AV41" s="68">
        <f t="shared" si="62"/>
        <v>0</v>
      </c>
      <c r="AW41" s="106"/>
      <c r="AX41" s="134"/>
      <c r="AY41" s="136"/>
      <c r="AZ41" s="106"/>
      <c r="BA41" s="107"/>
    </row>
    <row r="42" spans="1:59" ht="15" outlineLevel="1" thickBot="1" x14ac:dyDescent="0.35">
      <c r="A42" s="20"/>
      <c r="B42" s="22"/>
      <c r="C42" s="22"/>
      <c r="D42" s="22"/>
      <c r="E42" s="64"/>
      <c r="F42" s="64"/>
      <c r="G42" s="64"/>
      <c r="H42" s="64"/>
      <c r="I42" s="64"/>
      <c r="J42" s="64"/>
      <c r="K42" s="64"/>
      <c r="L42" s="64"/>
      <c r="M42" s="21"/>
      <c r="N42" s="24"/>
      <c r="O42" s="21"/>
      <c r="P42" s="21"/>
      <c r="Q42" s="24"/>
      <c r="R42" s="66"/>
      <c r="S42" s="66"/>
      <c r="T42" s="25"/>
      <c r="U42" s="70"/>
      <c r="V42" s="66"/>
      <c r="W42" s="52"/>
      <c r="X42" s="72"/>
      <c r="Y42" s="66"/>
      <c r="Z42" s="24"/>
      <c r="AA42" s="64"/>
      <c r="AB42" s="66"/>
      <c r="AC42" s="24"/>
      <c r="AD42" s="64"/>
      <c r="AE42" s="64"/>
      <c r="AF42" s="24"/>
      <c r="AG42" s="66"/>
      <c r="AH42" s="66"/>
      <c r="AI42" s="24"/>
      <c r="AJ42" s="66"/>
      <c r="AK42" s="66"/>
      <c r="AL42" s="24"/>
      <c r="AM42" s="66"/>
      <c r="AN42" s="65"/>
      <c r="AO42" s="24"/>
      <c r="AP42" s="64"/>
      <c r="AQ42" s="66"/>
      <c r="AR42" s="24"/>
      <c r="AS42" s="66"/>
      <c r="AT42" s="65"/>
      <c r="AU42" s="25"/>
      <c r="AV42" s="68">
        <f t="shared" si="62"/>
        <v>0</v>
      </c>
      <c r="AW42" s="66"/>
      <c r="AX42" s="25"/>
      <c r="AY42" s="76"/>
      <c r="AZ42" s="66"/>
      <c r="BA42" s="52"/>
    </row>
  </sheetData>
  <mergeCells count="19">
    <mergeCell ref="AS3:AU3"/>
    <mergeCell ref="AV3:AX3"/>
    <mergeCell ref="AY3:BA3"/>
    <mergeCell ref="AA3:AC3"/>
    <mergeCell ref="AD3:AF3"/>
    <mergeCell ref="AG3:AI3"/>
    <mergeCell ref="AJ3:AL3"/>
    <mergeCell ref="AM3:AO3"/>
    <mergeCell ref="AP3:AR3"/>
    <mergeCell ref="C2:K2"/>
    <mergeCell ref="M2:Q2"/>
    <mergeCell ref="R2:AF2"/>
    <mergeCell ref="AG2:AU2"/>
    <mergeCell ref="AV2:BA2"/>
    <mergeCell ref="M3:N3"/>
    <mergeCell ref="O3:Q3"/>
    <mergeCell ref="R3:T3"/>
    <mergeCell ref="U3:W3"/>
    <mergeCell ref="X3:Z3"/>
  </mergeCells>
  <conditionalFormatting sqref="M5:N42">
    <cfRule type="expression" dxfId="81" priority="34">
      <formula>$N5=1</formula>
    </cfRule>
  </conditionalFormatting>
  <conditionalFormatting sqref="O5:Q42">
    <cfRule type="expression" dxfId="80" priority="33">
      <formula>$Q5=1</formula>
    </cfRule>
  </conditionalFormatting>
  <conditionalFormatting sqref="Q5:Q42">
    <cfRule type="cellIs" dxfId="79" priority="35" operator="greaterThan">
      <formula>100</formula>
    </cfRule>
  </conditionalFormatting>
  <conditionalFormatting sqref="R5:T42">
    <cfRule type="expression" dxfId="78" priority="19">
      <formula>$T5&gt;1.3</formula>
    </cfRule>
    <cfRule type="expression" dxfId="77" priority="20">
      <formula>$T5&gt;1</formula>
    </cfRule>
  </conditionalFormatting>
  <conditionalFormatting sqref="U5:W42">
    <cfRule type="expression" dxfId="76" priority="32">
      <formula>$W5&gt;1</formula>
    </cfRule>
    <cfRule type="expression" dxfId="75" priority="31">
      <formula>$W5&gt;1.3</formula>
    </cfRule>
  </conditionalFormatting>
  <conditionalFormatting sqref="X5:Z42">
    <cfRule type="expression" dxfId="74" priority="29">
      <formula>$Z5&gt;1.3</formula>
    </cfRule>
    <cfRule type="expression" dxfId="73" priority="30">
      <formula>$Z5&gt;1</formula>
    </cfRule>
  </conditionalFormatting>
  <conditionalFormatting sqref="AA5:AC42">
    <cfRule type="expression" dxfId="72" priority="27">
      <formula>$AC5&gt;1.3</formula>
    </cfRule>
    <cfRule type="expression" dxfId="71" priority="28">
      <formula>$AC5&gt;1</formula>
    </cfRule>
  </conditionalFormatting>
  <conditionalFormatting sqref="AD5:AF42">
    <cfRule type="expression" dxfId="70" priority="25">
      <formula>$AF5&gt;1.3</formula>
    </cfRule>
    <cfRule type="expression" dxfId="69" priority="26">
      <formula>$AF5&gt;1</formula>
    </cfRule>
  </conditionalFormatting>
  <conditionalFormatting sqref="AG5:AI42">
    <cfRule type="expression" dxfId="68" priority="17">
      <formula>$AI5&gt;1.3</formula>
    </cfRule>
    <cfRule type="expression" dxfId="67" priority="18">
      <formula>$AI5&gt;1</formula>
    </cfRule>
  </conditionalFormatting>
  <conditionalFormatting sqref="AJ5:AL35 AJ36 AL36">
    <cfRule type="expression" dxfId="66" priority="231">
      <formula>$AL5&gt;1.3</formula>
    </cfRule>
    <cfRule type="expression" dxfId="65" priority="232">
      <formula>$AL5&gt;1</formula>
    </cfRule>
  </conditionalFormatting>
  <conditionalFormatting sqref="AJ37:AL42">
    <cfRule type="expression" dxfId="64" priority="24">
      <formula>$AL37&gt;1</formula>
    </cfRule>
    <cfRule type="expression" dxfId="63" priority="23">
      <formula>$AL37&gt;1.3</formula>
    </cfRule>
  </conditionalFormatting>
  <conditionalFormatting sqref="AK36">
    <cfRule type="expression" dxfId="62" priority="39">
      <formula>$AI36&gt;1</formula>
    </cfRule>
    <cfRule type="expression" dxfId="61" priority="38">
      <formula>$AI36&gt;1.3</formula>
    </cfRule>
  </conditionalFormatting>
  <conditionalFormatting sqref="AM5:AO42">
    <cfRule type="expression" dxfId="60" priority="22">
      <formula>$AO5&gt;1</formula>
    </cfRule>
    <cfRule type="expression" dxfId="59" priority="21">
      <formula>$AO5&gt;1.3</formula>
    </cfRule>
  </conditionalFormatting>
  <conditionalFormatting sqref="AP5:AR42">
    <cfRule type="expression" dxfId="58" priority="16">
      <formula>$AR5&gt;1</formula>
    </cfRule>
    <cfRule type="expression" dxfId="57" priority="15">
      <formula>$AR5&gt;1.3</formula>
    </cfRule>
  </conditionalFormatting>
  <conditionalFormatting sqref="AS36:AS37">
    <cfRule type="expression" dxfId="56" priority="2">
      <formula>$AO36&gt;1</formula>
    </cfRule>
    <cfRule type="expression" dxfId="55" priority="1">
      <formula>$AO36&gt;1.3</formula>
    </cfRule>
  </conditionalFormatting>
  <conditionalFormatting sqref="AS5:AU35">
    <cfRule type="expression" dxfId="54" priority="221">
      <formula>$AU5&gt;1.3</formula>
    </cfRule>
    <cfRule type="expression" dxfId="53" priority="222">
      <formula>$AU5&gt;1</formula>
    </cfRule>
  </conditionalFormatting>
  <conditionalFormatting sqref="AS38:AU42">
    <cfRule type="expression" dxfId="52" priority="14">
      <formula>$AU38&gt;1</formula>
    </cfRule>
    <cfRule type="expression" dxfId="51" priority="13">
      <formula>$AU38&gt;1.3</formula>
    </cfRule>
  </conditionalFormatting>
  <conditionalFormatting sqref="AT36:AU37">
    <cfRule type="expression" dxfId="50" priority="52">
      <formula>$AU36&gt;1.3</formula>
    </cfRule>
    <cfRule type="expression" dxfId="49" priority="53">
      <formula>$AU36&gt;1</formula>
    </cfRule>
  </conditionalFormatting>
  <conditionalFormatting sqref="AV5:AX12 AV13:AV22 AX13:AX22">
    <cfRule type="expression" dxfId="48" priority="219">
      <formula>$AX5&gt;1.3</formula>
    </cfRule>
    <cfRule type="expression" dxfId="47" priority="220">
      <formula>$AX5&gt;1</formula>
    </cfRule>
  </conditionalFormatting>
  <conditionalFormatting sqref="AV23:AX42">
    <cfRule type="expression" dxfId="46" priority="5">
      <formula>$AX23&gt;1.3</formula>
    </cfRule>
    <cfRule type="expression" dxfId="45" priority="6">
      <formula>$AX23&gt;1</formula>
    </cfRule>
  </conditionalFormatting>
  <conditionalFormatting sqref="AW13:AW16 AW18">
    <cfRule type="expression" dxfId="44" priority="207">
      <formula>$BA13&gt;1.3</formula>
    </cfRule>
    <cfRule type="expression" dxfId="43" priority="208">
      <formula>$BA13&gt;1</formula>
    </cfRule>
  </conditionalFormatting>
  <conditionalFormatting sqref="AW17">
    <cfRule type="expression" dxfId="42" priority="205">
      <formula>$AX17&gt;1.3</formula>
    </cfRule>
    <cfRule type="expression" dxfId="41" priority="206">
      <formula>$AX17&gt;1</formula>
    </cfRule>
  </conditionalFormatting>
  <conditionalFormatting sqref="AW19:AW22">
    <cfRule type="expression" dxfId="40" priority="203">
      <formula>$AX19&gt;1.3</formula>
    </cfRule>
    <cfRule type="expression" dxfId="39" priority="204">
      <formula>$AX19&gt;1</formula>
    </cfRule>
  </conditionalFormatting>
  <conditionalFormatting sqref="AY5:BA5 AY6:AY22 BA6:BA22">
    <cfRule type="expression" dxfId="38" priority="217">
      <formula>$BA5&gt;1.3</formula>
    </cfRule>
    <cfRule type="expression" dxfId="37" priority="218">
      <formula>$BA5&gt;1</formula>
    </cfRule>
  </conditionalFormatting>
  <conditionalFormatting sqref="AY23:BA42">
    <cfRule type="expression" dxfId="36" priority="9">
      <formula>$BA23&gt;1.3</formula>
    </cfRule>
    <cfRule type="expression" dxfId="35" priority="10">
      <formula>$BA23&gt;1</formula>
    </cfRule>
  </conditionalFormatting>
  <conditionalFormatting sqref="AZ6:AZ22">
    <cfRule type="expression" dxfId="34" priority="201">
      <formula>$AX6&gt;1.3</formula>
    </cfRule>
    <cfRule type="expression" dxfId="33" priority="202">
      <formula>$AX6&gt;1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3519-18EA-4B4B-B89B-39393B2BD9A5}">
  <dimension ref="A1:BF37"/>
  <sheetViews>
    <sheetView tabSelected="1" workbookViewId="0">
      <pane xSplit="2" ySplit="3" topLeftCell="C4" activePane="bottomRight" state="frozen"/>
      <selection activeCell="P41" sqref="P41"/>
      <selection pane="topRight" activeCell="P41" sqref="P41"/>
      <selection pane="bottomLeft" activeCell="P41" sqref="P41"/>
      <selection pane="bottomRight" activeCell="B10" sqref="B10"/>
    </sheetView>
  </sheetViews>
  <sheetFormatPr defaultRowHeight="14.4" outlineLevelRow="1" outlineLevelCol="1" x14ac:dyDescent="0.3"/>
  <cols>
    <col min="1" max="1" width="4.109375" customWidth="1"/>
    <col min="2" max="2" width="36.6640625" customWidth="1"/>
    <col min="3" max="3" width="6.5546875" style="155" customWidth="1"/>
    <col min="4" max="12" width="12.6640625" customWidth="1" outlineLevel="1"/>
    <col min="13" max="20" width="12.6640625" customWidth="1"/>
    <col min="21" max="32" width="12.6640625" customWidth="1" outlineLevel="1"/>
    <col min="33" max="35" width="12.6640625" customWidth="1"/>
    <col min="36" max="47" width="12.6640625" customWidth="1" outlineLevel="1"/>
    <col min="48" max="53" width="12.6640625" customWidth="1"/>
    <col min="55" max="58" width="0" hidden="1" customWidth="1"/>
  </cols>
  <sheetData>
    <row r="1" spans="1:58" s="113" customFormat="1" ht="16.2" thickBot="1" x14ac:dyDescent="0.35">
      <c r="B1" s="118">
        <f ca="1">TODAY()</f>
        <v>46198</v>
      </c>
      <c r="C1" s="119"/>
      <c r="AL1" s="120"/>
      <c r="AP1" s="120"/>
      <c r="AQ1" s="120"/>
      <c r="AR1" s="120"/>
      <c r="AS1" s="120"/>
      <c r="AT1" s="120"/>
      <c r="AU1" s="120"/>
    </row>
    <row r="2" spans="1:58" ht="16.5" customHeight="1" thickBot="1" x14ac:dyDescent="0.35">
      <c r="A2" s="10"/>
      <c r="B2" s="11"/>
      <c r="C2" s="165" t="s">
        <v>46</v>
      </c>
      <c r="D2" s="166"/>
      <c r="E2" s="166"/>
      <c r="F2" s="166"/>
      <c r="G2" s="166"/>
      <c r="H2" s="166"/>
      <c r="I2" s="166"/>
      <c r="J2" s="166"/>
      <c r="K2" s="167"/>
      <c r="L2" s="154"/>
      <c r="M2" s="168" t="s">
        <v>44</v>
      </c>
      <c r="N2" s="169"/>
      <c r="O2" s="169"/>
      <c r="P2" s="169"/>
      <c r="Q2" s="169"/>
      <c r="R2" s="181" t="s">
        <v>49</v>
      </c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3"/>
      <c r="AG2" s="184" t="s">
        <v>119</v>
      </c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61" t="s">
        <v>66</v>
      </c>
      <c r="AW2" s="162"/>
      <c r="AX2" s="162"/>
      <c r="AY2" s="162"/>
      <c r="AZ2" s="162"/>
      <c r="BA2" s="186"/>
    </row>
    <row r="3" spans="1:58" ht="54.75" customHeight="1" thickBot="1" x14ac:dyDescent="0.35">
      <c r="A3" s="13" t="s">
        <v>36</v>
      </c>
      <c r="B3" s="14" t="s">
        <v>37</v>
      </c>
      <c r="C3" s="15" t="s">
        <v>39</v>
      </c>
      <c r="D3" s="16" t="s">
        <v>77</v>
      </c>
      <c r="E3" s="16" t="s">
        <v>40</v>
      </c>
      <c r="F3" s="16" t="s">
        <v>64</v>
      </c>
      <c r="G3" s="16" t="s">
        <v>65</v>
      </c>
      <c r="H3" s="16" t="s">
        <v>41</v>
      </c>
      <c r="I3" s="16" t="s">
        <v>42</v>
      </c>
      <c r="J3" s="16" t="s">
        <v>47</v>
      </c>
      <c r="K3" s="17" t="s">
        <v>43</v>
      </c>
      <c r="L3" s="17" t="s">
        <v>48</v>
      </c>
      <c r="M3" s="174" t="s">
        <v>45</v>
      </c>
      <c r="N3" s="175"/>
      <c r="O3" s="174" t="s">
        <v>132</v>
      </c>
      <c r="P3" s="176"/>
      <c r="Q3" s="176"/>
      <c r="R3" s="177" t="s">
        <v>57</v>
      </c>
      <c r="S3" s="178"/>
      <c r="T3" s="178"/>
      <c r="U3" s="177" t="s">
        <v>50</v>
      </c>
      <c r="V3" s="178"/>
      <c r="W3" s="179"/>
      <c r="X3" s="178" t="s">
        <v>51</v>
      </c>
      <c r="Y3" s="178"/>
      <c r="Z3" s="180"/>
      <c r="AA3" s="189" t="s">
        <v>52</v>
      </c>
      <c r="AB3" s="178"/>
      <c r="AC3" s="179"/>
      <c r="AD3" s="177" t="s">
        <v>53</v>
      </c>
      <c r="AE3" s="178"/>
      <c r="AF3" s="179"/>
      <c r="AG3" s="187" t="s">
        <v>123</v>
      </c>
      <c r="AH3" s="188"/>
      <c r="AI3" s="190"/>
      <c r="AJ3" s="187" t="s">
        <v>54</v>
      </c>
      <c r="AK3" s="188"/>
      <c r="AL3" s="190"/>
      <c r="AM3" s="187" t="s">
        <v>51</v>
      </c>
      <c r="AN3" s="188"/>
      <c r="AO3" s="191"/>
      <c r="AP3" s="187" t="s">
        <v>55</v>
      </c>
      <c r="AQ3" s="188"/>
      <c r="AR3" s="190"/>
      <c r="AS3" s="187" t="s">
        <v>56</v>
      </c>
      <c r="AT3" s="188"/>
      <c r="AU3" s="188"/>
      <c r="AV3" s="163" t="s">
        <v>67</v>
      </c>
      <c r="AW3" s="164"/>
      <c r="AX3" s="164"/>
      <c r="AY3" s="161" t="s">
        <v>68</v>
      </c>
      <c r="AZ3" s="162"/>
      <c r="BA3" s="186"/>
    </row>
    <row r="4" spans="1:58" ht="15" thickBot="1" x14ac:dyDescent="0.35">
      <c r="A4" s="26"/>
      <c r="B4" s="27"/>
      <c r="C4" s="28"/>
      <c r="D4" s="29"/>
      <c r="E4" s="29"/>
      <c r="F4" s="29"/>
      <c r="G4" s="29"/>
      <c r="H4" s="29"/>
      <c r="I4" s="27"/>
      <c r="J4" s="27"/>
      <c r="K4" s="27"/>
      <c r="L4" s="27"/>
      <c r="M4" s="27" t="s">
        <v>2</v>
      </c>
      <c r="N4" s="27" t="s">
        <v>3</v>
      </c>
      <c r="O4" s="27" t="s">
        <v>1</v>
      </c>
      <c r="P4" s="27" t="s">
        <v>2</v>
      </c>
      <c r="Q4" s="27" t="s">
        <v>3</v>
      </c>
      <c r="R4" s="27" t="s">
        <v>1</v>
      </c>
      <c r="S4" s="27" t="s">
        <v>2</v>
      </c>
      <c r="T4" s="27" t="s">
        <v>3</v>
      </c>
      <c r="U4" s="43" t="s">
        <v>1</v>
      </c>
      <c r="V4" s="27" t="s">
        <v>2</v>
      </c>
      <c r="W4" s="44" t="s">
        <v>3</v>
      </c>
      <c r="X4" s="29" t="s">
        <v>1</v>
      </c>
      <c r="Y4" s="27" t="s">
        <v>2</v>
      </c>
      <c r="Z4" s="27" t="s">
        <v>3</v>
      </c>
      <c r="AA4" s="27" t="s">
        <v>1</v>
      </c>
      <c r="AB4" s="27" t="s">
        <v>2</v>
      </c>
      <c r="AC4" s="27" t="s">
        <v>3</v>
      </c>
      <c r="AD4" s="27" t="s">
        <v>1</v>
      </c>
      <c r="AE4" s="27" t="s">
        <v>2</v>
      </c>
      <c r="AF4" s="27" t="s">
        <v>3</v>
      </c>
      <c r="AG4" s="27" t="s">
        <v>1</v>
      </c>
      <c r="AH4" s="27" t="s">
        <v>2</v>
      </c>
      <c r="AI4" s="27" t="s">
        <v>3</v>
      </c>
      <c r="AJ4" s="27" t="s">
        <v>1</v>
      </c>
      <c r="AK4" s="27" t="s">
        <v>38</v>
      </c>
      <c r="AL4" s="27" t="s">
        <v>3</v>
      </c>
      <c r="AM4" s="27" t="s">
        <v>1</v>
      </c>
      <c r="AN4" s="27" t="s">
        <v>2</v>
      </c>
      <c r="AO4" s="27" t="s">
        <v>3</v>
      </c>
      <c r="AP4" s="27" t="s">
        <v>1</v>
      </c>
      <c r="AQ4" s="27" t="s">
        <v>2</v>
      </c>
      <c r="AR4" s="27" t="s">
        <v>3</v>
      </c>
      <c r="AS4" s="27" t="s">
        <v>1</v>
      </c>
      <c r="AT4" s="27" t="s">
        <v>2</v>
      </c>
      <c r="AU4" s="27" t="s">
        <v>3</v>
      </c>
      <c r="AV4" s="27" t="s">
        <v>1</v>
      </c>
      <c r="AW4" s="27" t="s">
        <v>2</v>
      </c>
      <c r="AX4" s="27" t="s">
        <v>3</v>
      </c>
      <c r="AY4" s="43" t="s">
        <v>1</v>
      </c>
      <c r="AZ4" s="27" t="s">
        <v>2</v>
      </c>
      <c r="BA4" s="44" t="s">
        <v>3</v>
      </c>
      <c r="BC4" s="148" t="s">
        <v>107</v>
      </c>
      <c r="BD4" s="148" t="s">
        <v>109</v>
      </c>
      <c r="BE4" s="148" t="s">
        <v>106</v>
      </c>
      <c r="BF4" s="148" t="s">
        <v>108</v>
      </c>
    </row>
    <row r="5" spans="1:58" ht="29.25" customHeight="1" thickBot="1" x14ac:dyDescent="0.4">
      <c r="A5" s="36"/>
      <c r="B5" s="37" t="s">
        <v>128</v>
      </c>
      <c r="C5" s="85">
        <f>SUM(C6:C37)</f>
        <v>2</v>
      </c>
      <c r="D5" s="86">
        <f t="shared" ref="D5:AQ5" si="0">SUM(D6:D37)</f>
        <v>2005147.83</v>
      </c>
      <c r="E5" s="86">
        <f t="shared" si="0"/>
        <v>0</v>
      </c>
      <c r="F5" s="86">
        <f t="shared" si="0"/>
        <v>3423314.96</v>
      </c>
      <c r="G5" s="86"/>
      <c r="H5" s="86">
        <f t="shared" si="0"/>
        <v>0</v>
      </c>
      <c r="I5" s="86">
        <f t="shared" si="0"/>
        <v>3951</v>
      </c>
      <c r="J5" s="86">
        <f>J6</f>
        <v>150</v>
      </c>
      <c r="K5" s="86">
        <f t="shared" si="0"/>
        <v>1424</v>
      </c>
      <c r="L5" s="86">
        <f>L6</f>
        <v>200</v>
      </c>
      <c r="M5" s="39">
        <f t="shared" si="0"/>
        <v>0</v>
      </c>
      <c r="N5" s="98">
        <f>1-(C5-M5)/C5</f>
        <v>0</v>
      </c>
      <c r="O5" s="39">
        <f>SUM(O6:O37)</f>
        <v>1</v>
      </c>
      <c r="P5" s="39">
        <f>SUM(P6:P37)</f>
        <v>0</v>
      </c>
      <c r="Q5" s="98">
        <f>IFERROR(1-(O5-P5)/O5,0)</f>
        <v>0</v>
      </c>
      <c r="R5" s="86">
        <f t="shared" ref="R5:S5" si="1">SUM(R6:R37)</f>
        <v>415600</v>
      </c>
      <c r="S5" s="86">
        <f t="shared" si="1"/>
        <v>0</v>
      </c>
      <c r="T5" s="97">
        <f t="shared" ref="T5:T6" si="2">IFERROR(1-(R5-S5)/R5,0)</f>
        <v>0</v>
      </c>
      <c r="U5" s="89">
        <f t="shared" si="0"/>
        <v>3951</v>
      </c>
      <c r="V5" s="86">
        <f t="shared" si="0"/>
        <v>2229</v>
      </c>
      <c r="W5" s="99">
        <f t="shared" ref="W5:W6" si="3">IFERROR(1-(U5-V5)/U5,0)</f>
        <v>0.56416097190584669</v>
      </c>
      <c r="X5" s="91">
        <f t="shared" ref="X5:Y5" si="4">SUM(X6:X37)</f>
        <v>689000</v>
      </c>
      <c r="Y5" s="86">
        <f t="shared" si="4"/>
        <v>445800</v>
      </c>
      <c r="Z5" s="99">
        <f t="shared" ref="Z5:Z6" si="5">IFERROR(1-(X5-Y5)/X5,0)</f>
        <v>0.64702467343976777</v>
      </c>
      <c r="AA5" s="86">
        <f t="shared" si="0"/>
        <v>864</v>
      </c>
      <c r="AB5" s="86">
        <f t="shared" si="0"/>
        <v>0</v>
      </c>
      <c r="AC5" s="87">
        <f t="shared" ref="AC5:AC6" si="6">IFERROR(1-(AA5-AB5)/AA5,0)</f>
        <v>0</v>
      </c>
      <c r="AD5" s="86">
        <f t="shared" ref="AD5:AE5" si="7">SUM(AD6:AD37)</f>
        <v>302400</v>
      </c>
      <c r="AE5" s="86">
        <f t="shared" si="7"/>
        <v>0</v>
      </c>
      <c r="AF5" s="87">
        <f t="shared" ref="AF5:AF6" si="8">IFERROR(1-(AD5-AE5)/AD5,0)</f>
        <v>0</v>
      </c>
      <c r="AG5" s="86">
        <f t="shared" si="0"/>
        <v>792200</v>
      </c>
      <c r="AH5" s="86">
        <f t="shared" si="0"/>
        <v>0</v>
      </c>
      <c r="AI5" s="98">
        <f>IFERROR(1-(AG5-AH5)/AG5,0)</f>
        <v>0</v>
      </c>
      <c r="AJ5" s="86">
        <f t="shared" si="0"/>
        <v>696</v>
      </c>
      <c r="AK5" s="86">
        <f t="shared" si="0"/>
        <v>0</v>
      </c>
      <c r="AL5" s="98">
        <f>IFERROR(1-(AJ5-AK5)/AJ5,0)</f>
        <v>0</v>
      </c>
      <c r="AM5" s="86">
        <f t="shared" ref="AM5:AN5" si="9">SUM(AM6:AM37)</f>
        <v>104400</v>
      </c>
      <c r="AN5" s="86">
        <f t="shared" si="9"/>
        <v>0</v>
      </c>
      <c r="AO5" s="98">
        <f t="shared" ref="AO5:AO6" si="10">IFERROR(1-(AM5-AN5)/AM5,0)</f>
        <v>0</v>
      </c>
      <c r="AP5" s="86">
        <f t="shared" si="0"/>
        <v>0</v>
      </c>
      <c r="AQ5" s="86">
        <f t="shared" si="0"/>
        <v>0</v>
      </c>
      <c r="AR5" s="87">
        <f>IFERROR(1-(AP5-AQ5)/AP5,0)</f>
        <v>0</v>
      </c>
      <c r="AS5" s="86">
        <f t="shared" ref="AS5:AW5" si="11">SUM(AS6:AS37)</f>
        <v>0</v>
      </c>
      <c r="AT5" s="86">
        <f t="shared" si="11"/>
        <v>0</v>
      </c>
      <c r="AU5" s="88">
        <f>IFERROR(1-(AS5-AT5)/AS5,0)</f>
        <v>0</v>
      </c>
      <c r="AV5" s="86">
        <f t="shared" si="11"/>
        <v>1711992</v>
      </c>
      <c r="AW5" s="86">
        <f t="shared" si="11"/>
        <v>0</v>
      </c>
      <c r="AX5" s="88">
        <f>IFERROR(1-(AV5-AW5)/AV5,0)</f>
        <v>0</v>
      </c>
      <c r="AY5" s="89">
        <f t="shared" ref="AY5:AZ5" si="12">SUM(AY6:AY37)</f>
        <v>206605</v>
      </c>
      <c r="AZ5" s="86">
        <f t="shared" si="12"/>
        <v>0</v>
      </c>
      <c r="BA5" s="90">
        <f>IFERROR(1-(AY5-AZ5)/AY5,0)</f>
        <v>0</v>
      </c>
      <c r="BC5" s="148">
        <f>(183851.68+26022.78+279471.33)*1.2</f>
        <v>587214.94799999997</v>
      </c>
      <c r="BD5" s="148">
        <v>0</v>
      </c>
      <c r="BE5" s="148">
        <f>BC5+BD5</f>
        <v>587214.94799999997</v>
      </c>
      <c r="BF5" s="148">
        <f>F5-BE5</f>
        <v>2836100.0120000001</v>
      </c>
    </row>
    <row r="6" spans="1:58" outlineLevel="1" x14ac:dyDescent="0.3">
      <c r="A6" s="30"/>
      <c r="B6" s="4" t="s">
        <v>129</v>
      </c>
      <c r="C6" s="32">
        <v>1</v>
      </c>
      <c r="D6" s="64">
        <v>1252147.83</v>
      </c>
      <c r="E6" s="64"/>
      <c r="F6" s="64">
        <v>1711322.96</v>
      </c>
      <c r="G6" s="64">
        <f>659430-F6</f>
        <v>-1051892.96</v>
      </c>
      <c r="H6" s="64"/>
      <c r="I6" s="64">
        <v>2024</v>
      </c>
      <c r="J6" s="64">
        <v>150</v>
      </c>
      <c r="K6" s="64">
        <v>560</v>
      </c>
      <c r="L6" s="64">
        <v>200</v>
      </c>
      <c r="M6" s="31"/>
      <c r="N6" s="9">
        <f t="shared" ref="N6" si="13">1-(C6-M6)/C6</f>
        <v>0</v>
      </c>
      <c r="O6" s="31">
        <v>1</v>
      </c>
      <c r="P6" s="31"/>
      <c r="Q6" s="9">
        <f t="shared" ref="Q6" si="14">IFERROR(1-(O6-P6)/O6,0)</f>
        <v>0</v>
      </c>
      <c r="R6" s="137">
        <f>(I6*J6+K6*L6)*C6</f>
        <v>415600</v>
      </c>
      <c r="S6" s="64">
        <f>Y6+AE6</f>
        <v>0</v>
      </c>
      <c r="T6" s="35">
        <f t="shared" si="2"/>
        <v>0</v>
      </c>
      <c r="U6" s="68">
        <f>I6</f>
        <v>2024</v>
      </c>
      <c r="V6" s="64"/>
      <c r="W6" s="48">
        <f t="shared" si="3"/>
        <v>0</v>
      </c>
      <c r="X6" s="72">
        <f>U6*J6</f>
        <v>303600</v>
      </c>
      <c r="Y6" s="64">
        <f>V6*J6</f>
        <v>0</v>
      </c>
      <c r="Z6" s="34">
        <f t="shared" si="5"/>
        <v>0</v>
      </c>
      <c r="AA6" s="64">
        <f>IF(AB6&lt;&gt;0,$K6,0)</f>
        <v>0</v>
      </c>
      <c r="AB6" s="64">
        <v>0</v>
      </c>
      <c r="AC6" s="34">
        <f t="shared" si="6"/>
        <v>0</v>
      </c>
      <c r="AD6" s="64">
        <f>IF(AE6&lt;&gt;0,$L6*$AA6,0)</f>
        <v>0</v>
      </c>
      <c r="AE6" s="64"/>
      <c r="AF6" s="34">
        <f t="shared" si="8"/>
        <v>0</v>
      </c>
      <c r="AG6" s="64">
        <f>(AJ6+AP6)*J6</f>
        <v>104400</v>
      </c>
      <c r="AH6" s="64">
        <f>AN6+AT6</f>
        <v>0</v>
      </c>
      <c r="AI6" s="34">
        <f>IFERROR(1-(AG6-AH6)/AG6,0)</f>
        <v>0</v>
      </c>
      <c r="AJ6" s="64">
        <v>696</v>
      </c>
      <c r="AK6" s="64"/>
      <c r="AL6" s="34">
        <f t="shared" ref="AL6" si="15">IFERROR(1-(AJ6-AK6)/AJ6,0)</f>
        <v>0</v>
      </c>
      <c r="AM6" s="64">
        <f>AJ6*150</f>
        <v>104400</v>
      </c>
      <c r="AN6" s="64">
        <f>AK6*J6</f>
        <v>0</v>
      </c>
      <c r="AO6" s="34">
        <f t="shared" si="10"/>
        <v>0</v>
      </c>
      <c r="AP6" s="64">
        <f>IF(AQ6&lt;&gt;0,K6*L6,0)</f>
        <v>0</v>
      </c>
      <c r="AQ6" s="64"/>
      <c r="AR6" s="34">
        <f t="shared" ref="AR6" si="16">IFERROR(1-(AP6-AQ6)/AP6,0)</f>
        <v>0</v>
      </c>
      <c r="AS6" s="64">
        <f>AP6*L6</f>
        <v>0</v>
      </c>
      <c r="AT6" s="64"/>
      <c r="AU6" s="35">
        <f t="shared" ref="AU6" si="17">IFERROR(1-(AS6-AT6)/AS6,0)</f>
        <v>0</v>
      </c>
      <c r="AV6" s="73">
        <f>IF(M6&lt;&gt;0,F6+H6,0)</f>
        <v>0</v>
      </c>
      <c r="AW6" s="74"/>
      <c r="AX6" s="61">
        <f t="shared" ref="AX6" si="18">IFERROR(1-(AV6-AW6)/AV6,0)</f>
        <v>0</v>
      </c>
      <c r="AY6" s="73">
        <f>IF(AZ6&lt;&gt;0,I6+K6,0)</f>
        <v>0</v>
      </c>
      <c r="AZ6" s="74"/>
      <c r="BA6" s="62">
        <f t="shared" ref="BA6" si="19">IFERROR(1-(AY6-AZ6)/AY6,0)</f>
        <v>0</v>
      </c>
    </row>
    <row r="7" spans="1:58" outlineLevel="1" x14ac:dyDescent="0.3">
      <c r="A7" s="19"/>
      <c r="B7" s="4" t="s">
        <v>133</v>
      </c>
      <c r="C7" s="4">
        <v>1</v>
      </c>
      <c r="D7" s="65">
        <v>753000</v>
      </c>
      <c r="E7" s="65"/>
      <c r="F7" s="64">
        <f>1918597-206605</f>
        <v>1711992</v>
      </c>
      <c r="G7" s="64">
        <v>206605</v>
      </c>
      <c r="H7" s="65"/>
      <c r="I7" s="65">
        <v>1927</v>
      </c>
      <c r="J7" s="65">
        <v>200</v>
      </c>
      <c r="K7" s="65">
        <v>864</v>
      </c>
      <c r="L7" s="65">
        <v>350</v>
      </c>
      <c r="M7" s="3"/>
      <c r="N7" s="9"/>
      <c r="O7" s="3"/>
      <c r="P7" s="3"/>
      <c r="Q7" s="9"/>
      <c r="R7" s="65"/>
      <c r="S7" s="65"/>
      <c r="T7" s="12"/>
      <c r="U7" s="68">
        <f>I7</f>
        <v>1927</v>
      </c>
      <c r="V7" s="193">
        <v>2229</v>
      </c>
      <c r="W7" s="50"/>
      <c r="X7" s="72">
        <f>U7*J7</f>
        <v>385400</v>
      </c>
      <c r="Y7" s="193">
        <f>V7*J7</f>
        <v>445800</v>
      </c>
      <c r="Z7" s="9"/>
      <c r="AA7" s="64">
        <f>K7</f>
        <v>864</v>
      </c>
      <c r="AB7" s="65"/>
      <c r="AC7" s="9"/>
      <c r="AD7" s="64">
        <f>AA7*L7</f>
        <v>302400</v>
      </c>
      <c r="AE7" s="65"/>
      <c r="AF7" s="9"/>
      <c r="AG7" s="65">
        <f>AD7+X7</f>
        <v>687800</v>
      </c>
      <c r="AH7" s="65"/>
      <c r="AI7" s="9"/>
      <c r="AJ7" s="65"/>
      <c r="AK7" s="65"/>
      <c r="AL7" s="9"/>
      <c r="AM7" s="65"/>
      <c r="AN7" s="65"/>
      <c r="AO7" s="9"/>
      <c r="AP7" s="64"/>
      <c r="AQ7" s="65"/>
      <c r="AR7" s="9"/>
      <c r="AS7" s="65"/>
      <c r="AT7" s="65"/>
      <c r="AU7" s="12"/>
      <c r="AV7" s="68">
        <f>F7</f>
        <v>1711992</v>
      </c>
      <c r="AW7" s="65" t="s">
        <v>134</v>
      </c>
      <c r="AX7" s="12"/>
      <c r="AY7" s="75">
        <f>G7</f>
        <v>206605</v>
      </c>
      <c r="AZ7" s="65" t="s">
        <v>134</v>
      </c>
      <c r="BA7" s="50"/>
    </row>
    <row r="8" spans="1:58" outlineLevel="1" x14ac:dyDescent="0.3">
      <c r="A8" s="19"/>
      <c r="B8" s="4"/>
      <c r="C8" s="4"/>
      <c r="D8" s="65"/>
      <c r="E8" s="65"/>
      <c r="F8" s="64"/>
      <c r="G8" s="64"/>
      <c r="H8" s="65"/>
      <c r="I8" s="65"/>
      <c r="J8" s="65"/>
      <c r="K8" s="65"/>
      <c r="L8" s="65"/>
      <c r="M8" s="5"/>
      <c r="N8" s="9"/>
      <c r="O8" s="3"/>
      <c r="P8" s="3"/>
      <c r="Q8" s="9"/>
      <c r="R8" s="65"/>
      <c r="S8" s="65"/>
      <c r="T8" s="12"/>
      <c r="U8" s="68"/>
      <c r="V8" s="69"/>
      <c r="W8" s="50"/>
      <c r="X8" s="72"/>
      <c r="Y8" s="69"/>
      <c r="Z8" s="9"/>
      <c r="AA8" s="64"/>
      <c r="AB8" s="69"/>
      <c r="AC8" s="9"/>
      <c r="AD8" s="64"/>
      <c r="AE8" s="69"/>
      <c r="AF8" s="9"/>
      <c r="AG8" s="65"/>
      <c r="AH8" s="69"/>
      <c r="AI8" s="9"/>
      <c r="AJ8" s="65"/>
      <c r="AK8" s="69"/>
      <c r="AL8" s="9"/>
      <c r="AM8" s="65"/>
      <c r="AN8" s="69"/>
      <c r="AO8" s="9"/>
      <c r="AP8" s="64"/>
      <c r="AQ8" s="69"/>
      <c r="AR8" s="9"/>
      <c r="AS8" s="65"/>
      <c r="AT8" s="69"/>
      <c r="AU8" s="12"/>
      <c r="AV8" s="68"/>
      <c r="AW8" s="69"/>
      <c r="AX8" s="12"/>
      <c r="AY8" s="75"/>
      <c r="AZ8" s="69"/>
      <c r="BA8" s="50"/>
    </row>
    <row r="9" spans="1:58" outlineLevel="1" x14ac:dyDescent="0.3">
      <c r="A9" s="19"/>
      <c r="B9" s="4"/>
      <c r="C9" s="4"/>
      <c r="D9" s="65"/>
      <c r="E9" s="65"/>
      <c r="F9" s="64"/>
      <c r="G9" s="64"/>
      <c r="H9" s="65"/>
      <c r="I9" s="65"/>
      <c r="J9" s="65"/>
      <c r="K9" s="65"/>
      <c r="L9" s="65"/>
      <c r="M9" s="3"/>
      <c r="N9" s="9"/>
      <c r="O9" s="3"/>
      <c r="P9" s="3"/>
      <c r="Q9" s="9"/>
      <c r="R9" s="65"/>
      <c r="S9" s="65"/>
      <c r="T9" s="12"/>
      <c r="U9" s="68"/>
      <c r="V9" s="65"/>
      <c r="W9" s="50"/>
      <c r="X9" s="72"/>
      <c r="Y9" s="65"/>
      <c r="Z9" s="9"/>
      <c r="AA9" s="64"/>
      <c r="AB9" s="65"/>
      <c r="AC9" s="9"/>
      <c r="AD9" s="64"/>
      <c r="AE9" s="65"/>
      <c r="AF9" s="9"/>
      <c r="AG9" s="65"/>
      <c r="AH9" s="65"/>
      <c r="AI9" s="9"/>
      <c r="AJ9" s="65"/>
      <c r="AK9" s="65"/>
      <c r="AL9" s="9"/>
      <c r="AM9" s="65"/>
      <c r="AN9" s="65"/>
      <c r="AO9" s="9"/>
      <c r="AP9" s="64"/>
      <c r="AQ9" s="65"/>
      <c r="AR9" s="9"/>
      <c r="AS9" s="65"/>
      <c r="AT9" s="65"/>
      <c r="AU9" s="12"/>
      <c r="AV9" s="68"/>
      <c r="AW9" s="65"/>
      <c r="AX9" s="12"/>
      <c r="AY9" s="75"/>
      <c r="AZ9" s="65"/>
      <c r="BA9" s="50"/>
    </row>
    <row r="10" spans="1:58" outlineLevel="1" x14ac:dyDescent="0.3">
      <c r="A10" s="19"/>
      <c r="B10" s="4"/>
      <c r="C10" s="4"/>
      <c r="D10" s="33"/>
      <c r="E10" s="65"/>
      <c r="F10" s="64"/>
      <c r="G10" s="64"/>
      <c r="H10" s="65"/>
      <c r="I10" s="65"/>
      <c r="J10" s="65"/>
      <c r="K10" s="65"/>
      <c r="L10" s="65"/>
      <c r="M10" s="3"/>
      <c r="N10" s="9"/>
      <c r="O10" s="3"/>
      <c r="P10" s="3"/>
      <c r="Q10" s="9"/>
      <c r="R10" s="65"/>
      <c r="S10" s="65"/>
      <c r="T10" s="12"/>
      <c r="U10" s="68"/>
      <c r="V10" s="65"/>
      <c r="W10" s="50"/>
      <c r="X10" s="72"/>
      <c r="Y10" s="65"/>
      <c r="Z10" s="9"/>
      <c r="AA10" s="64"/>
      <c r="AB10" s="65"/>
      <c r="AC10" s="9"/>
      <c r="AD10" s="64"/>
      <c r="AE10" s="65"/>
      <c r="AF10" s="9"/>
      <c r="AG10" s="65"/>
      <c r="AH10" s="65"/>
      <c r="AI10" s="9"/>
      <c r="AJ10" s="65"/>
      <c r="AK10" s="65"/>
      <c r="AL10" s="9"/>
      <c r="AM10" s="65"/>
      <c r="AN10" s="65"/>
      <c r="AO10" s="9"/>
      <c r="AP10" s="64"/>
      <c r="AQ10" s="65"/>
      <c r="AR10" s="9"/>
      <c r="AS10" s="65"/>
      <c r="AT10" s="65"/>
      <c r="AU10" s="12"/>
      <c r="AV10" s="68"/>
      <c r="AW10" s="65"/>
      <c r="AX10" s="12"/>
      <c r="AY10" s="75"/>
      <c r="AZ10" s="65"/>
      <c r="BA10" s="50"/>
    </row>
    <row r="11" spans="1:58" outlineLevel="1" x14ac:dyDescent="0.3">
      <c r="A11" s="19"/>
      <c r="B11" s="4"/>
      <c r="C11" s="4"/>
      <c r="D11" s="65"/>
      <c r="E11" s="65"/>
      <c r="F11" s="64"/>
      <c r="G11" s="64"/>
      <c r="H11" s="65"/>
      <c r="I11" s="65"/>
      <c r="J11" s="65"/>
      <c r="K11" s="65"/>
      <c r="L11" s="65"/>
      <c r="M11" s="3"/>
      <c r="N11" s="9"/>
      <c r="O11" s="3"/>
      <c r="P11" s="3"/>
      <c r="Q11" s="9"/>
      <c r="R11" s="65"/>
      <c r="S11" s="65"/>
      <c r="T11" s="12"/>
      <c r="U11" s="68"/>
      <c r="V11" s="65"/>
      <c r="W11" s="50"/>
      <c r="X11" s="72"/>
      <c r="Y11" s="65"/>
      <c r="Z11" s="9"/>
      <c r="AA11" s="64"/>
      <c r="AB11" s="65"/>
      <c r="AC11" s="9"/>
      <c r="AD11" s="64"/>
      <c r="AE11" s="65"/>
      <c r="AF11" s="9"/>
      <c r="AG11" s="65"/>
      <c r="AH11" s="65"/>
      <c r="AI11" s="9"/>
      <c r="AJ11" s="65"/>
      <c r="AK11" s="65"/>
      <c r="AL11" s="9"/>
      <c r="AM11" s="65"/>
      <c r="AN11" s="65"/>
      <c r="AO11" s="9"/>
      <c r="AP11" s="64"/>
      <c r="AQ11" s="65"/>
      <c r="AR11" s="9"/>
      <c r="AS11" s="65"/>
      <c r="AT11" s="65"/>
      <c r="AU11" s="12"/>
      <c r="AV11" s="68"/>
      <c r="AW11" s="65"/>
      <c r="AX11" s="12"/>
      <c r="AY11" s="75"/>
      <c r="AZ11" s="65"/>
      <c r="BA11" s="50"/>
    </row>
    <row r="12" spans="1:58" outlineLevel="1" x14ac:dyDescent="0.3">
      <c r="A12" s="19"/>
      <c r="B12" s="4"/>
      <c r="C12" s="4"/>
      <c r="D12" s="65"/>
      <c r="E12" s="65"/>
      <c r="F12" s="64"/>
      <c r="G12" s="64"/>
      <c r="H12" s="65"/>
      <c r="I12" s="65"/>
      <c r="J12" s="65"/>
      <c r="K12" s="65"/>
      <c r="L12" s="65"/>
      <c r="M12" s="3"/>
      <c r="N12" s="9"/>
      <c r="O12" s="3"/>
      <c r="P12" s="3"/>
      <c r="Q12" s="9"/>
      <c r="R12" s="65"/>
      <c r="S12" s="65"/>
      <c r="T12" s="12"/>
      <c r="U12" s="68"/>
      <c r="V12" s="65"/>
      <c r="W12" s="50"/>
      <c r="X12" s="72"/>
      <c r="Y12" s="65"/>
      <c r="Z12" s="9"/>
      <c r="AA12" s="64"/>
      <c r="AB12" s="65"/>
      <c r="AC12" s="9"/>
      <c r="AD12" s="64"/>
      <c r="AE12" s="65"/>
      <c r="AF12" s="9"/>
      <c r="AG12" s="65"/>
      <c r="AH12" s="65"/>
      <c r="AI12" s="9"/>
      <c r="AJ12" s="65"/>
      <c r="AK12" s="65"/>
      <c r="AL12" s="9"/>
      <c r="AM12" s="65"/>
      <c r="AN12" s="65"/>
      <c r="AO12" s="9"/>
      <c r="AP12" s="64"/>
      <c r="AQ12" s="65"/>
      <c r="AR12" s="9"/>
      <c r="AS12" s="65"/>
      <c r="AT12" s="65"/>
      <c r="AU12" s="12"/>
      <c r="AV12" s="68"/>
      <c r="AW12" s="65"/>
      <c r="AX12" s="12"/>
      <c r="AY12" s="75"/>
      <c r="AZ12" s="65"/>
      <c r="BA12" s="50"/>
    </row>
    <row r="13" spans="1:58" outlineLevel="1" x14ac:dyDescent="0.3">
      <c r="A13" s="19"/>
      <c r="B13" s="4"/>
      <c r="C13" s="4"/>
      <c r="D13" s="65"/>
      <c r="E13" s="65"/>
      <c r="F13" s="64"/>
      <c r="G13" s="64"/>
      <c r="H13" s="65"/>
      <c r="I13" s="65"/>
      <c r="J13" s="65"/>
      <c r="K13" s="65"/>
      <c r="L13" s="65"/>
      <c r="M13" s="3"/>
      <c r="N13" s="9"/>
      <c r="O13" s="3"/>
      <c r="P13" s="3"/>
      <c r="Q13" s="9"/>
      <c r="R13" s="65"/>
      <c r="S13" s="65"/>
      <c r="T13" s="12"/>
      <c r="U13" s="68"/>
      <c r="V13" s="65"/>
      <c r="W13" s="50"/>
      <c r="X13" s="72"/>
      <c r="Y13" s="65"/>
      <c r="Z13" s="9"/>
      <c r="AA13" s="64"/>
      <c r="AB13" s="65"/>
      <c r="AC13" s="9"/>
      <c r="AD13" s="64"/>
      <c r="AE13" s="65"/>
      <c r="AF13" s="9"/>
      <c r="AG13" s="65"/>
      <c r="AH13" s="65"/>
      <c r="AI13" s="9"/>
      <c r="AJ13" s="65"/>
      <c r="AK13" s="65"/>
      <c r="AL13" s="9"/>
      <c r="AM13" s="65"/>
      <c r="AN13" s="65"/>
      <c r="AO13" s="9"/>
      <c r="AP13" s="64"/>
      <c r="AQ13" s="65"/>
      <c r="AR13" s="9"/>
      <c r="AS13" s="65"/>
      <c r="AT13" s="65"/>
      <c r="AU13" s="12"/>
      <c r="AV13" s="68"/>
      <c r="AW13" s="65"/>
      <c r="AX13" s="12"/>
      <c r="AY13" s="75"/>
      <c r="AZ13" s="65"/>
      <c r="BA13" s="50"/>
    </row>
    <row r="14" spans="1:58" outlineLevel="1" x14ac:dyDescent="0.3">
      <c r="A14" s="19"/>
      <c r="B14" s="4"/>
      <c r="C14" s="4"/>
      <c r="D14" s="65"/>
      <c r="E14" s="65"/>
      <c r="F14" s="64"/>
      <c r="G14" s="64"/>
      <c r="H14" s="65"/>
      <c r="I14" s="65"/>
      <c r="J14" s="65"/>
      <c r="K14" s="65"/>
      <c r="L14" s="65"/>
      <c r="M14" s="3"/>
      <c r="N14" s="9"/>
      <c r="O14" s="3"/>
      <c r="P14" s="3"/>
      <c r="Q14" s="9"/>
      <c r="R14" s="65"/>
      <c r="S14" s="65"/>
      <c r="T14" s="12"/>
      <c r="U14" s="68"/>
      <c r="V14" s="65"/>
      <c r="W14" s="50"/>
      <c r="X14" s="72"/>
      <c r="Y14" s="65"/>
      <c r="Z14" s="9"/>
      <c r="AA14" s="64"/>
      <c r="AB14" s="65"/>
      <c r="AC14" s="9"/>
      <c r="AD14" s="64"/>
      <c r="AE14" s="65"/>
      <c r="AF14" s="9"/>
      <c r="AG14" s="65"/>
      <c r="AH14" s="65"/>
      <c r="AI14" s="9"/>
      <c r="AJ14" s="65"/>
      <c r="AK14" s="65"/>
      <c r="AL14" s="9"/>
      <c r="AM14" s="65"/>
      <c r="AN14" s="65"/>
      <c r="AO14" s="9"/>
      <c r="AP14" s="64"/>
      <c r="AQ14" s="65"/>
      <c r="AR14" s="9"/>
      <c r="AS14" s="65"/>
      <c r="AT14" s="65"/>
      <c r="AU14" s="12"/>
      <c r="AV14" s="68"/>
      <c r="AW14" s="65"/>
      <c r="AX14" s="12"/>
      <c r="AY14" s="75"/>
      <c r="AZ14" s="65"/>
      <c r="BA14" s="50"/>
    </row>
    <row r="15" spans="1:58" outlineLevel="1" x14ac:dyDescent="0.3">
      <c r="A15" s="19"/>
      <c r="B15" s="4"/>
      <c r="C15" s="4"/>
      <c r="D15" s="65"/>
      <c r="E15" s="65"/>
      <c r="F15" s="64"/>
      <c r="G15" s="64"/>
      <c r="H15" s="65"/>
      <c r="I15" s="65"/>
      <c r="J15" s="65"/>
      <c r="K15" s="65"/>
      <c r="L15" s="65"/>
      <c r="M15" s="3"/>
      <c r="N15" s="9"/>
      <c r="O15" s="3"/>
      <c r="P15" s="3"/>
      <c r="Q15" s="9"/>
      <c r="R15" s="65"/>
      <c r="S15" s="65"/>
      <c r="T15" s="12"/>
      <c r="U15" s="68"/>
      <c r="V15" s="65"/>
      <c r="W15" s="50"/>
      <c r="X15" s="72"/>
      <c r="Y15" s="65"/>
      <c r="Z15" s="9"/>
      <c r="AA15" s="64"/>
      <c r="AB15" s="65"/>
      <c r="AC15" s="9"/>
      <c r="AD15" s="64"/>
      <c r="AE15" s="65"/>
      <c r="AF15" s="9"/>
      <c r="AG15" s="65"/>
      <c r="AH15" s="65"/>
      <c r="AI15" s="9"/>
      <c r="AJ15" s="65"/>
      <c r="AK15" s="65"/>
      <c r="AL15" s="9"/>
      <c r="AM15" s="65"/>
      <c r="AN15" s="65"/>
      <c r="AO15" s="9"/>
      <c r="AP15" s="64"/>
      <c r="AQ15" s="65"/>
      <c r="AR15" s="9"/>
      <c r="AS15" s="65"/>
      <c r="AT15" s="65"/>
      <c r="AU15" s="12"/>
      <c r="AV15" s="68"/>
      <c r="AW15" s="65"/>
      <c r="AX15" s="12"/>
      <c r="AY15" s="75"/>
      <c r="AZ15" s="65"/>
      <c r="BA15" s="50"/>
    </row>
    <row r="16" spans="1:58" outlineLevel="1" x14ac:dyDescent="0.3">
      <c r="A16" s="19"/>
      <c r="B16" s="4"/>
      <c r="C16" s="4"/>
      <c r="D16" s="65"/>
      <c r="E16" s="65"/>
      <c r="F16" s="64"/>
      <c r="G16" s="64"/>
      <c r="H16" s="65"/>
      <c r="I16" s="65"/>
      <c r="J16" s="65"/>
      <c r="K16" s="65"/>
      <c r="L16" s="65"/>
      <c r="M16" s="3"/>
      <c r="N16" s="9"/>
      <c r="O16" s="3"/>
      <c r="P16" s="3"/>
      <c r="Q16" s="9"/>
      <c r="R16" s="65"/>
      <c r="S16" s="65"/>
      <c r="T16" s="12"/>
      <c r="U16" s="68"/>
      <c r="V16" s="65"/>
      <c r="W16" s="50"/>
      <c r="X16" s="72"/>
      <c r="Y16" s="65"/>
      <c r="Z16" s="9"/>
      <c r="AA16" s="64"/>
      <c r="AB16" s="65"/>
      <c r="AC16" s="9"/>
      <c r="AD16" s="64"/>
      <c r="AE16" s="65"/>
      <c r="AF16" s="9"/>
      <c r="AG16" s="65"/>
      <c r="AH16" s="65"/>
      <c r="AI16" s="9"/>
      <c r="AJ16" s="65"/>
      <c r="AK16" s="65"/>
      <c r="AL16" s="9"/>
      <c r="AM16" s="65"/>
      <c r="AN16" s="65"/>
      <c r="AO16" s="9"/>
      <c r="AP16" s="64"/>
      <c r="AQ16" s="65"/>
      <c r="AR16" s="9"/>
      <c r="AS16" s="65"/>
      <c r="AT16" s="65"/>
      <c r="AU16" s="12"/>
      <c r="AV16" s="68"/>
      <c r="AW16" s="65"/>
      <c r="AX16" s="12"/>
      <c r="AY16" s="75"/>
      <c r="AZ16" s="65"/>
      <c r="BA16" s="50"/>
    </row>
    <row r="17" spans="1:53" outlineLevel="1" x14ac:dyDescent="0.3">
      <c r="A17" s="19"/>
      <c r="B17" s="4"/>
      <c r="C17" s="4"/>
      <c r="D17" s="65"/>
      <c r="E17" s="65"/>
      <c r="F17" s="64"/>
      <c r="G17" s="64"/>
      <c r="H17" s="65"/>
      <c r="I17" s="65"/>
      <c r="J17" s="65"/>
      <c r="K17" s="65"/>
      <c r="L17" s="65"/>
      <c r="M17" s="3"/>
      <c r="N17" s="9"/>
      <c r="O17" s="3"/>
      <c r="P17" s="3"/>
      <c r="Q17" s="9"/>
      <c r="R17" s="65"/>
      <c r="S17" s="65"/>
      <c r="T17" s="12"/>
      <c r="U17" s="68"/>
      <c r="V17" s="65"/>
      <c r="W17" s="50"/>
      <c r="X17" s="72"/>
      <c r="Y17" s="65"/>
      <c r="Z17" s="9"/>
      <c r="AA17" s="64"/>
      <c r="AB17" s="65"/>
      <c r="AC17" s="9"/>
      <c r="AD17" s="64"/>
      <c r="AE17" s="65"/>
      <c r="AF17" s="9"/>
      <c r="AG17" s="65"/>
      <c r="AH17" s="65"/>
      <c r="AI17" s="9"/>
      <c r="AJ17" s="65"/>
      <c r="AK17" s="65"/>
      <c r="AL17" s="9"/>
      <c r="AM17" s="65"/>
      <c r="AN17" s="65"/>
      <c r="AO17" s="9"/>
      <c r="AP17" s="64"/>
      <c r="AQ17" s="65"/>
      <c r="AR17" s="9"/>
      <c r="AS17" s="65"/>
      <c r="AT17" s="65"/>
      <c r="AU17" s="12"/>
      <c r="AV17" s="68"/>
      <c r="AW17" s="65"/>
      <c r="AX17" s="12"/>
      <c r="AY17" s="75"/>
      <c r="AZ17" s="65"/>
      <c r="BA17" s="50"/>
    </row>
    <row r="18" spans="1:53" outlineLevel="1" x14ac:dyDescent="0.3">
      <c r="A18" s="19"/>
      <c r="B18" s="4"/>
      <c r="C18" s="4"/>
      <c r="D18" s="65"/>
      <c r="E18" s="65"/>
      <c r="F18" s="64"/>
      <c r="G18" s="64"/>
      <c r="H18" s="65"/>
      <c r="I18" s="65"/>
      <c r="J18" s="65"/>
      <c r="K18" s="65"/>
      <c r="L18" s="65"/>
      <c r="M18" s="3"/>
      <c r="N18" s="9"/>
      <c r="O18" s="3"/>
      <c r="P18" s="3"/>
      <c r="Q18" s="9"/>
      <c r="R18" s="65"/>
      <c r="S18" s="65"/>
      <c r="T18" s="12"/>
      <c r="U18" s="68"/>
      <c r="V18" s="65"/>
      <c r="W18" s="50"/>
      <c r="X18" s="72"/>
      <c r="Y18" s="65"/>
      <c r="Z18" s="9"/>
      <c r="AA18" s="64"/>
      <c r="AB18" s="65"/>
      <c r="AC18" s="9"/>
      <c r="AD18" s="64"/>
      <c r="AE18" s="65"/>
      <c r="AF18" s="9"/>
      <c r="AG18" s="65"/>
      <c r="AH18" s="65"/>
      <c r="AI18" s="9"/>
      <c r="AJ18" s="65"/>
      <c r="AK18" s="65"/>
      <c r="AL18" s="9"/>
      <c r="AM18" s="65"/>
      <c r="AN18" s="65"/>
      <c r="AO18" s="9"/>
      <c r="AP18" s="64"/>
      <c r="AQ18" s="65"/>
      <c r="AR18" s="9"/>
      <c r="AS18" s="65"/>
      <c r="AT18" s="65"/>
      <c r="AU18" s="12"/>
      <c r="AV18" s="68"/>
      <c r="AW18" s="65"/>
      <c r="AX18" s="12"/>
      <c r="AY18" s="75"/>
      <c r="AZ18" s="65"/>
      <c r="BA18" s="50"/>
    </row>
    <row r="19" spans="1:53" outlineLevel="1" x14ac:dyDescent="0.3">
      <c r="A19" s="19"/>
      <c r="B19" s="4"/>
      <c r="C19" s="4"/>
      <c r="D19" s="65"/>
      <c r="E19" s="65"/>
      <c r="F19" s="64"/>
      <c r="G19" s="64"/>
      <c r="H19" s="65"/>
      <c r="I19" s="65"/>
      <c r="J19" s="65"/>
      <c r="K19" s="65"/>
      <c r="L19" s="65"/>
      <c r="M19" s="3"/>
      <c r="N19" s="9"/>
      <c r="O19" s="3"/>
      <c r="P19" s="3"/>
      <c r="Q19" s="9"/>
      <c r="R19" s="65"/>
      <c r="S19" s="65"/>
      <c r="T19" s="12"/>
      <c r="U19" s="68"/>
      <c r="V19" s="65"/>
      <c r="W19" s="50"/>
      <c r="X19" s="72"/>
      <c r="Y19" s="65"/>
      <c r="Z19" s="9"/>
      <c r="AA19" s="64"/>
      <c r="AB19" s="65"/>
      <c r="AC19" s="9"/>
      <c r="AD19" s="64"/>
      <c r="AE19" s="65"/>
      <c r="AF19" s="9"/>
      <c r="AG19" s="65"/>
      <c r="AH19" s="65"/>
      <c r="AI19" s="9"/>
      <c r="AJ19" s="65"/>
      <c r="AK19" s="65"/>
      <c r="AL19" s="9"/>
      <c r="AM19" s="65"/>
      <c r="AN19" s="65"/>
      <c r="AO19" s="9"/>
      <c r="AP19" s="64"/>
      <c r="AQ19" s="65"/>
      <c r="AR19" s="9"/>
      <c r="AS19" s="65"/>
      <c r="AT19" s="65"/>
      <c r="AU19" s="12"/>
      <c r="AV19" s="68"/>
      <c r="AW19" s="65"/>
      <c r="AX19" s="12"/>
      <c r="AY19" s="75"/>
      <c r="AZ19" s="65"/>
      <c r="BA19" s="50"/>
    </row>
    <row r="20" spans="1:53" outlineLevel="1" x14ac:dyDescent="0.3">
      <c r="A20" s="19"/>
      <c r="B20" s="4"/>
      <c r="C20" s="4"/>
      <c r="D20" s="65"/>
      <c r="E20" s="65"/>
      <c r="F20" s="64"/>
      <c r="G20" s="64"/>
      <c r="H20" s="65"/>
      <c r="I20" s="65"/>
      <c r="J20" s="65"/>
      <c r="K20" s="65"/>
      <c r="L20" s="65"/>
      <c r="M20" s="3"/>
      <c r="N20" s="9"/>
      <c r="O20" s="3"/>
      <c r="P20" s="3"/>
      <c r="Q20" s="9"/>
      <c r="R20" s="65"/>
      <c r="S20" s="65"/>
      <c r="T20" s="12"/>
      <c r="U20" s="68"/>
      <c r="V20" s="65"/>
      <c r="W20" s="50"/>
      <c r="X20" s="72"/>
      <c r="Y20" s="65"/>
      <c r="Z20" s="9"/>
      <c r="AA20" s="64"/>
      <c r="AB20" s="65"/>
      <c r="AC20" s="9"/>
      <c r="AD20" s="64"/>
      <c r="AE20" s="65"/>
      <c r="AF20" s="9"/>
      <c r="AG20" s="65"/>
      <c r="AH20" s="65"/>
      <c r="AI20" s="9"/>
      <c r="AJ20" s="65"/>
      <c r="AK20" s="65"/>
      <c r="AL20" s="9"/>
      <c r="AM20" s="65"/>
      <c r="AN20" s="65"/>
      <c r="AO20" s="9"/>
      <c r="AP20" s="64"/>
      <c r="AQ20" s="65"/>
      <c r="AR20" s="9"/>
      <c r="AS20" s="65"/>
      <c r="AT20" s="65"/>
      <c r="AU20" s="12"/>
      <c r="AV20" s="68"/>
      <c r="AW20" s="65"/>
      <c r="AX20" s="12"/>
      <c r="AY20" s="75"/>
      <c r="AZ20" s="65"/>
      <c r="BA20" s="50"/>
    </row>
    <row r="21" spans="1:53" outlineLevel="1" x14ac:dyDescent="0.3">
      <c r="A21" s="19"/>
      <c r="B21" s="4"/>
      <c r="C21" s="4"/>
      <c r="D21" s="65"/>
      <c r="E21" s="65"/>
      <c r="F21" s="64"/>
      <c r="G21" s="64"/>
      <c r="H21" s="65"/>
      <c r="I21" s="65"/>
      <c r="J21" s="65"/>
      <c r="K21" s="65"/>
      <c r="L21" s="65"/>
      <c r="M21" s="3"/>
      <c r="N21" s="9"/>
      <c r="O21" s="3"/>
      <c r="P21" s="3"/>
      <c r="Q21" s="9"/>
      <c r="R21" s="65"/>
      <c r="S21" s="65"/>
      <c r="T21" s="12"/>
      <c r="U21" s="68"/>
      <c r="V21" s="65"/>
      <c r="W21" s="50"/>
      <c r="X21" s="72"/>
      <c r="Y21" s="65"/>
      <c r="Z21" s="9"/>
      <c r="AA21" s="64"/>
      <c r="AB21" s="65"/>
      <c r="AC21" s="9"/>
      <c r="AD21" s="64"/>
      <c r="AE21" s="65"/>
      <c r="AF21" s="9"/>
      <c r="AG21" s="65"/>
      <c r="AH21" s="65"/>
      <c r="AI21" s="9"/>
      <c r="AJ21" s="65"/>
      <c r="AK21" s="65"/>
      <c r="AL21" s="9"/>
      <c r="AM21" s="65"/>
      <c r="AN21" s="65"/>
      <c r="AO21" s="9"/>
      <c r="AP21" s="64"/>
      <c r="AQ21" s="65"/>
      <c r="AR21" s="9"/>
      <c r="AS21" s="65"/>
      <c r="AT21" s="65"/>
      <c r="AU21" s="12"/>
      <c r="AV21" s="68"/>
      <c r="AW21" s="65"/>
      <c r="AX21" s="12"/>
      <c r="AY21" s="75"/>
      <c r="AZ21" s="65"/>
      <c r="BA21" s="50"/>
    </row>
    <row r="22" spans="1:53" outlineLevel="1" x14ac:dyDescent="0.3">
      <c r="A22" s="19"/>
      <c r="B22" s="4"/>
      <c r="C22" s="4"/>
      <c r="D22" s="65"/>
      <c r="E22" s="65"/>
      <c r="F22" s="64"/>
      <c r="G22" s="64"/>
      <c r="H22" s="65"/>
      <c r="I22" s="65"/>
      <c r="J22" s="65"/>
      <c r="K22" s="65"/>
      <c r="L22" s="65"/>
      <c r="M22" s="3"/>
      <c r="N22" s="9"/>
      <c r="O22" s="3"/>
      <c r="P22" s="3"/>
      <c r="Q22" s="9"/>
      <c r="R22" s="65"/>
      <c r="S22" s="65"/>
      <c r="T22" s="12"/>
      <c r="U22" s="68"/>
      <c r="V22" s="65"/>
      <c r="W22" s="50"/>
      <c r="X22" s="72"/>
      <c r="Y22" s="65"/>
      <c r="Z22" s="9"/>
      <c r="AA22" s="64"/>
      <c r="AB22" s="65"/>
      <c r="AC22" s="9"/>
      <c r="AD22" s="64"/>
      <c r="AE22" s="65"/>
      <c r="AF22" s="9"/>
      <c r="AG22" s="65"/>
      <c r="AH22" s="65"/>
      <c r="AI22" s="9"/>
      <c r="AJ22" s="65"/>
      <c r="AK22" s="65"/>
      <c r="AL22" s="9"/>
      <c r="AM22" s="65"/>
      <c r="AN22" s="65"/>
      <c r="AO22" s="9"/>
      <c r="AP22" s="64"/>
      <c r="AQ22" s="65"/>
      <c r="AR22" s="9"/>
      <c r="AS22" s="65"/>
      <c r="AT22" s="65"/>
      <c r="AU22" s="12"/>
      <c r="AV22" s="68"/>
      <c r="AW22" s="65"/>
      <c r="AX22" s="12"/>
      <c r="AY22" s="75"/>
      <c r="AZ22" s="65"/>
      <c r="BA22" s="50"/>
    </row>
    <row r="23" spans="1:53" outlineLevel="1" x14ac:dyDescent="0.3">
      <c r="A23" s="19"/>
      <c r="B23" s="4"/>
      <c r="C23" s="4"/>
      <c r="D23" s="65"/>
      <c r="E23" s="65"/>
      <c r="F23" s="64"/>
      <c r="G23" s="64"/>
      <c r="H23" s="65"/>
      <c r="I23" s="65"/>
      <c r="J23" s="65"/>
      <c r="K23" s="65"/>
      <c r="L23" s="65"/>
      <c r="M23" s="3"/>
      <c r="N23" s="9"/>
      <c r="O23" s="3"/>
      <c r="P23" s="3"/>
      <c r="Q23" s="9"/>
      <c r="R23" s="65"/>
      <c r="S23" s="65"/>
      <c r="T23" s="12"/>
      <c r="U23" s="68"/>
      <c r="V23" s="65"/>
      <c r="W23" s="50"/>
      <c r="X23" s="72"/>
      <c r="Y23" s="65"/>
      <c r="Z23" s="9"/>
      <c r="AA23" s="64"/>
      <c r="AB23" s="65"/>
      <c r="AC23" s="9"/>
      <c r="AD23" s="64"/>
      <c r="AE23" s="65"/>
      <c r="AF23" s="9"/>
      <c r="AG23" s="65"/>
      <c r="AH23" s="65"/>
      <c r="AI23" s="9"/>
      <c r="AJ23" s="65"/>
      <c r="AK23" s="65"/>
      <c r="AL23" s="9"/>
      <c r="AM23" s="65"/>
      <c r="AN23" s="65"/>
      <c r="AO23" s="9"/>
      <c r="AP23" s="64"/>
      <c r="AQ23" s="65"/>
      <c r="AR23" s="9"/>
      <c r="AS23" s="65"/>
      <c r="AT23" s="65"/>
      <c r="AU23" s="12"/>
      <c r="AV23" s="68"/>
      <c r="AW23" s="65"/>
      <c r="AX23" s="12"/>
      <c r="AY23" s="75"/>
      <c r="AZ23" s="65"/>
      <c r="BA23" s="50"/>
    </row>
    <row r="24" spans="1:53" outlineLevel="1" x14ac:dyDescent="0.3">
      <c r="A24" s="19"/>
      <c r="B24" s="4"/>
      <c r="C24" s="4"/>
      <c r="D24" s="65"/>
      <c r="E24" s="65"/>
      <c r="F24" s="64"/>
      <c r="G24" s="64"/>
      <c r="H24" s="65"/>
      <c r="I24" s="65"/>
      <c r="J24" s="65"/>
      <c r="K24" s="65"/>
      <c r="L24" s="65"/>
      <c r="M24" s="3"/>
      <c r="N24" s="9"/>
      <c r="O24" s="3"/>
      <c r="P24" s="3"/>
      <c r="Q24" s="9"/>
      <c r="R24" s="65"/>
      <c r="S24" s="65"/>
      <c r="T24" s="12"/>
      <c r="U24" s="68"/>
      <c r="V24" s="65"/>
      <c r="W24" s="50"/>
      <c r="X24" s="72"/>
      <c r="Y24" s="65"/>
      <c r="Z24" s="9"/>
      <c r="AA24" s="64"/>
      <c r="AB24" s="65"/>
      <c r="AC24" s="9"/>
      <c r="AD24" s="64"/>
      <c r="AE24" s="65"/>
      <c r="AF24" s="9"/>
      <c r="AG24" s="65"/>
      <c r="AH24" s="65"/>
      <c r="AI24" s="9"/>
      <c r="AJ24" s="65"/>
      <c r="AK24" s="65"/>
      <c r="AL24" s="9"/>
      <c r="AM24" s="65"/>
      <c r="AN24" s="65"/>
      <c r="AO24" s="9"/>
      <c r="AP24" s="64"/>
      <c r="AQ24" s="65"/>
      <c r="AR24" s="9"/>
      <c r="AS24" s="65"/>
      <c r="AT24" s="65"/>
      <c r="AU24" s="12"/>
      <c r="AV24" s="68"/>
      <c r="AW24" s="65"/>
      <c r="AX24" s="12"/>
      <c r="AY24" s="75"/>
      <c r="AZ24" s="65"/>
      <c r="BA24" s="50"/>
    </row>
    <row r="25" spans="1:53" outlineLevel="1" x14ac:dyDescent="0.3">
      <c r="A25" s="19"/>
      <c r="B25" s="4"/>
      <c r="C25" s="4"/>
      <c r="D25" s="65"/>
      <c r="E25" s="65"/>
      <c r="F25" s="64"/>
      <c r="G25" s="64"/>
      <c r="H25" s="65"/>
      <c r="I25" s="65"/>
      <c r="J25" s="65"/>
      <c r="K25" s="65"/>
      <c r="L25" s="65"/>
      <c r="M25" s="3"/>
      <c r="N25" s="9"/>
      <c r="O25" s="3"/>
      <c r="P25" s="3"/>
      <c r="Q25" s="9"/>
      <c r="R25" s="65"/>
      <c r="S25" s="65"/>
      <c r="T25" s="12"/>
      <c r="U25" s="68"/>
      <c r="V25" s="65"/>
      <c r="W25" s="50"/>
      <c r="X25" s="72"/>
      <c r="Y25" s="65"/>
      <c r="Z25" s="9"/>
      <c r="AA25" s="64"/>
      <c r="AB25" s="65"/>
      <c r="AC25" s="9"/>
      <c r="AD25" s="64"/>
      <c r="AE25" s="65"/>
      <c r="AF25" s="9"/>
      <c r="AG25" s="65"/>
      <c r="AH25" s="65"/>
      <c r="AI25" s="9"/>
      <c r="AJ25" s="65"/>
      <c r="AK25" s="65"/>
      <c r="AL25" s="9"/>
      <c r="AM25" s="65"/>
      <c r="AN25" s="65"/>
      <c r="AO25" s="9"/>
      <c r="AP25" s="64"/>
      <c r="AQ25" s="65"/>
      <c r="AR25" s="9"/>
      <c r="AS25" s="65"/>
      <c r="AT25" s="65"/>
      <c r="AU25" s="12"/>
      <c r="AV25" s="68"/>
      <c r="AW25" s="65"/>
      <c r="AX25" s="12"/>
      <c r="AY25" s="75"/>
      <c r="AZ25" s="65"/>
      <c r="BA25" s="50"/>
    </row>
    <row r="26" spans="1:53" outlineLevel="1" x14ac:dyDescent="0.3">
      <c r="A26" s="19"/>
      <c r="B26" s="4"/>
      <c r="C26" s="4"/>
      <c r="D26" s="65"/>
      <c r="E26" s="65"/>
      <c r="F26" s="64"/>
      <c r="G26" s="64"/>
      <c r="H26" s="65"/>
      <c r="I26" s="65"/>
      <c r="J26" s="65"/>
      <c r="K26" s="65"/>
      <c r="L26" s="65"/>
      <c r="M26" s="3"/>
      <c r="N26" s="9"/>
      <c r="O26" s="3"/>
      <c r="P26" s="3"/>
      <c r="Q26" s="9"/>
      <c r="R26" s="65"/>
      <c r="S26" s="65"/>
      <c r="T26" s="12"/>
      <c r="U26" s="68"/>
      <c r="V26" s="65"/>
      <c r="W26" s="50"/>
      <c r="X26" s="72"/>
      <c r="Y26" s="65"/>
      <c r="Z26" s="9"/>
      <c r="AA26" s="64"/>
      <c r="AB26" s="65"/>
      <c r="AC26" s="9"/>
      <c r="AD26" s="64"/>
      <c r="AE26" s="65"/>
      <c r="AF26" s="9"/>
      <c r="AG26" s="65"/>
      <c r="AH26" s="65"/>
      <c r="AI26" s="9"/>
      <c r="AJ26" s="65"/>
      <c r="AK26" s="65"/>
      <c r="AL26" s="9"/>
      <c r="AM26" s="65"/>
      <c r="AN26" s="65"/>
      <c r="AO26" s="9"/>
      <c r="AP26" s="64"/>
      <c r="AQ26" s="65"/>
      <c r="AR26" s="9"/>
      <c r="AS26" s="65"/>
      <c r="AT26" s="65"/>
      <c r="AU26" s="12"/>
      <c r="AV26" s="68"/>
      <c r="AW26" s="65"/>
      <c r="AX26" s="12"/>
      <c r="AY26" s="75"/>
      <c r="AZ26" s="65"/>
      <c r="BA26" s="50"/>
    </row>
    <row r="27" spans="1:53" outlineLevel="1" x14ac:dyDescent="0.3">
      <c r="A27" s="19"/>
      <c r="B27" s="4"/>
      <c r="C27" s="4"/>
      <c r="D27" s="65"/>
      <c r="E27" s="65"/>
      <c r="F27" s="64"/>
      <c r="G27" s="64"/>
      <c r="H27" s="65"/>
      <c r="I27" s="65"/>
      <c r="J27" s="65"/>
      <c r="K27" s="65"/>
      <c r="L27" s="65"/>
      <c r="M27" s="3"/>
      <c r="N27" s="9"/>
      <c r="O27" s="3"/>
      <c r="P27" s="3"/>
      <c r="Q27" s="9"/>
      <c r="R27" s="65"/>
      <c r="S27" s="65"/>
      <c r="T27" s="12"/>
      <c r="U27" s="68"/>
      <c r="V27" s="65"/>
      <c r="W27" s="50"/>
      <c r="X27" s="72"/>
      <c r="Y27" s="65"/>
      <c r="Z27" s="9"/>
      <c r="AA27" s="64"/>
      <c r="AB27" s="65"/>
      <c r="AC27" s="9"/>
      <c r="AD27" s="64"/>
      <c r="AE27" s="65"/>
      <c r="AF27" s="9"/>
      <c r="AG27" s="65"/>
      <c r="AH27" s="65"/>
      <c r="AI27" s="9"/>
      <c r="AJ27" s="65"/>
      <c r="AK27" s="65"/>
      <c r="AL27" s="9"/>
      <c r="AM27" s="65"/>
      <c r="AN27" s="65"/>
      <c r="AO27" s="9"/>
      <c r="AP27" s="64"/>
      <c r="AQ27" s="65"/>
      <c r="AR27" s="9"/>
      <c r="AS27" s="65"/>
      <c r="AT27" s="65"/>
      <c r="AU27" s="12"/>
      <c r="AV27" s="68"/>
      <c r="AW27" s="65"/>
      <c r="AX27" s="12"/>
      <c r="AY27" s="75"/>
      <c r="AZ27" s="65"/>
      <c r="BA27" s="50"/>
    </row>
    <row r="28" spans="1:53" outlineLevel="1" x14ac:dyDescent="0.3">
      <c r="A28" s="19"/>
      <c r="B28" s="4"/>
      <c r="C28" s="4"/>
      <c r="D28" s="65"/>
      <c r="E28" s="65"/>
      <c r="F28" s="64"/>
      <c r="G28" s="64"/>
      <c r="H28" s="65"/>
      <c r="I28" s="65"/>
      <c r="J28" s="65"/>
      <c r="K28" s="65"/>
      <c r="L28" s="65"/>
      <c r="M28" s="3"/>
      <c r="N28" s="9"/>
      <c r="O28" s="3"/>
      <c r="P28" s="3"/>
      <c r="Q28" s="9"/>
      <c r="R28" s="65"/>
      <c r="S28" s="65"/>
      <c r="T28" s="12"/>
      <c r="U28" s="68"/>
      <c r="V28" s="65"/>
      <c r="W28" s="50"/>
      <c r="X28" s="72"/>
      <c r="Y28" s="65"/>
      <c r="Z28" s="9"/>
      <c r="AA28" s="64"/>
      <c r="AB28" s="65"/>
      <c r="AC28" s="9"/>
      <c r="AD28" s="64"/>
      <c r="AE28" s="65"/>
      <c r="AF28" s="9"/>
      <c r="AG28" s="65"/>
      <c r="AH28" s="65"/>
      <c r="AI28" s="9"/>
      <c r="AJ28" s="65"/>
      <c r="AK28" s="65"/>
      <c r="AL28" s="9"/>
      <c r="AM28" s="65"/>
      <c r="AN28" s="65"/>
      <c r="AO28" s="9"/>
      <c r="AP28" s="64"/>
      <c r="AQ28" s="65"/>
      <c r="AR28" s="9"/>
      <c r="AS28" s="65"/>
      <c r="AT28" s="65"/>
      <c r="AU28" s="12"/>
      <c r="AV28" s="68"/>
      <c r="AW28" s="65"/>
      <c r="AX28" s="12"/>
      <c r="AY28" s="75"/>
      <c r="AZ28" s="65"/>
      <c r="BA28" s="50"/>
    </row>
    <row r="29" spans="1:53" outlineLevel="1" x14ac:dyDescent="0.3">
      <c r="A29" s="19"/>
      <c r="B29" s="4"/>
      <c r="C29" s="4"/>
      <c r="D29" s="65"/>
      <c r="E29" s="65"/>
      <c r="F29" s="64"/>
      <c r="G29" s="64"/>
      <c r="H29" s="65"/>
      <c r="I29" s="65"/>
      <c r="J29" s="65"/>
      <c r="K29" s="65"/>
      <c r="L29" s="65"/>
      <c r="M29" s="3"/>
      <c r="N29" s="9"/>
      <c r="O29" s="3"/>
      <c r="P29" s="3"/>
      <c r="Q29" s="9"/>
      <c r="R29" s="65"/>
      <c r="S29" s="65"/>
      <c r="T29" s="12"/>
      <c r="U29" s="68"/>
      <c r="V29" s="65"/>
      <c r="W29" s="50"/>
      <c r="X29" s="72"/>
      <c r="Y29" s="65"/>
      <c r="Z29" s="9"/>
      <c r="AA29" s="64"/>
      <c r="AB29" s="65"/>
      <c r="AC29" s="9"/>
      <c r="AD29" s="64"/>
      <c r="AE29" s="65"/>
      <c r="AF29" s="9"/>
      <c r="AG29" s="65"/>
      <c r="AH29" s="65"/>
      <c r="AI29" s="9"/>
      <c r="AJ29" s="65"/>
      <c r="AK29" s="65"/>
      <c r="AL29" s="9"/>
      <c r="AM29" s="65"/>
      <c r="AN29" s="65"/>
      <c r="AO29" s="9"/>
      <c r="AP29" s="64"/>
      <c r="AQ29" s="65"/>
      <c r="AR29" s="9"/>
      <c r="AS29" s="65"/>
      <c r="AT29" s="65"/>
      <c r="AU29" s="12"/>
      <c r="AV29" s="68"/>
      <c r="AW29" s="65"/>
      <c r="AX29" s="12"/>
      <c r="AY29" s="75"/>
      <c r="AZ29" s="65"/>
      <c r="BA29" s="50"/>
    </row>
    <row r="30" spans="1:53" outlineLevel="1" x14ac:dyDescent="0.3">
      <c r="A30" s="19"/>
      <c r="B30" s="4"/>
      <c r="C30" s="4"/>
      <c r="D30" s="65"/>
      <c r="E30" s="65"/>
      <c r="F30" s="64"/>
      <c r="G30" s="64"/>
      <c r="H30" s="65"/>
      <c r="I30" s="65"/>
      <c r="J30" s="65"/>
      <c r="K30" s="65"/>
      <c r="L30" s="65"/>
      <c r="M30" s="3"/>
      <c r="N30" s="9"/>
      <c r="O30" s="3"/>
      <c r="P30" s="3"/>
      <c r="Q30" s="9"/>
      <c r="R30" s="65"/>
      <c r="S30" s="65"/>
      <c r="T30" s="12"/>
      <c r="U30" s="68"/>
      <c r="V30" s="65"/>
      <c r="W30" s="50"/>
      <c r="X30" s="72"/>
      <c r="Y30" s="65"/>
      <c r="Z30" s="9"/>
      <c r="AA30" s="64"/>
      <c r="AB30" s="65"/>
      <c r="AC30" s="9"/>
      <c r="AD30" s="64"/>
      <c r="AE30" s="65"/>
      <c r="AF30" s="9"/>
      <c r="AG30" s="65"/>
      <c r="AH30" s="65"/>
      <c r="AI30" s="9"/>
      <c r="AJ30" s="65"/>
      <c r="AK30" s="65"/>
      <c r="AL30" s="9"/>
      <c r="AM30" s="65"/>
      <c r="AN30" s="65"/>
      <c r="AO30" s="9"/>
      <c r="AP30" s="64"/>
      <c r="AQ30" s="65"/>
      <c r="AR30" s="9"/>
      <c r="AS30" s="65"/>
      <c r="AT30" s="65"/>
      <c r="AU30" s="12"/>
      <c r="AV30" s="68"/>
      <c r="AW30" s="65"/>
      <c r="AX30" s="12"/>
      <c r="AY30" s="75"/>
      <c r="AZ30" s="65"/>
      <c r="BA30" s="50"/>
    </row>
    <row r="31" spans="1:53" outlineLevel="1" x14ac:dyDescent="0.3">
      <c r="A31" s="19"/>
      <c r="B31" s="4"/>
      <c r="C31" s="4"/>
      <c r="D31" s="65"/>
      <c r="E31" s="65"/>
      <c r="F31" s="64"/>
      <c r="G31" s="64"/>
      <c r="H31" s="65"/>
      <c r="I31" s="65"/>
      <c r="J31" s="65"/>
      <c r="K31" s="65"/>
      <c r="L31" s="65"/>
      <c r="M31" s="3"/>
      <c r="N31" s="9"/>
      <c r="O31" s="3"/>
      <c r="P31" s="3"/>
      <c r="Q31" s="9"/>
      <c r="R31" s="65"/>
      <c r="S31" s="65"/>
      <c r="T31" s="12"/>
      <c r="U31" s="68"/>
      <c r="V31" s="65"/>
      <c r="W31" s="50"/>
      <c r="X31" s="72"/>
      <c r="Y31" s="65"/>
      <c r="Z31" s="9"/>
      <c r="AA31" s="64"/>
      <c r="AB31" s="65"/>
      <c r="AC31" s="9"/>
      <c r="AD31" s="64"/>
      <c r="AE31" s="65"/>
      <c r="AF31" s="9"/>
      <c r="AG31" s="65"/>
      <c r="AH31" s="65"/>
      <c r="AI31" s="9"/>
      <c r="AJ31" s="65"/>
      <c r="AK31" s="65"/>
      <c r="AL31" s="9"/>
      <c r="AM31" s="65"/>
      <c r="AN31" s="65"/>
      <c r="AO31" s="9"/>
      <c r="AP31" s="64"/>
      <c r="AQ31" s="65"/>
      <c r="AR31" s="9"/>
      <c r="AS31" s="65"/>
      <c r="AT31" s="65"/>
      <c r="AU31" s="12"/>
      <c r="AV31" s="68"/>
      <c r="AW31" s="65"/>
      <c r="AX31" s="12"/>
      <c r="AY31" s="75"/>
      <c r="AZ31" s="65"/>
      <c r="BA31" s="50"/>
    </row>
    <row r="32" spans="1:53" outlineLevel="1" x14ac:dyDescent="0.3">
      <c r="A32" s="19"/>
      <c r="B32" s="4"/>
      <c r="C32" s="4"/>
      <c r="D32" s="65"/>
      <c r="E32" s="65"/>
      <c r="F32" s="64"/>
      <c r="G32" s="64"/>
      <c r="H32" s="65"/>
      <c r="I32" s="65"/>
      <c r="J32" s="65"/>
      <c r="K32" s="65"/>
      <c r="L32" s="65"/>
      <c r="M32" s="3"/>
      <c r="N32" s="9"/>
      <c r="O32" s="3"/>
      <c r="P32" s="3"/>
      <c r="Q32" s="9"/>
      <c r="R32" s="65"/>
      <c r="S32" s="65"/>
      <c r="T32" s="12"/>
      <c r="U32" s="68"/>
      <c r="V32" s="65"/>
      <c r="W32" s="50"/>
      <c r="X32" s="72"/>
      <c r="Y32" s="65"/>
      <c r="Z32" s="9"/>
      <c r="AA32" s="64"/>
      <c r="AB32" s="65"/>
      <c r="AC32" s="9"/>
      <c r="AD32" s="64"/>
      <c r="AE32" s="65"/>
      <c r="AF32" s="9"/>
      <c r="AG32" s="65"/>
      <c r="AH32" s="65"/>
      <c r="AI32" s="9"/>
      <c r="AJ32" s="65"/>
      <c r="AK32" s="65"/>
      <c r="AL32" s="9"/>
      <c r="AM32" s="65"/>
      <c r="AN32" s="65"/>
      <c r="AO32" s="9"/>
      <c r="AP32" s="64"/>
      <c r="AQ32" s="65"/>
      <c r="AR32" s="9"/>
      <c r="AS32" s="65"/>
      <c r="AT32" s="65"/>
      <c r="AU32" s="12"/>
      <c r="AV32" s="68"/>
      <c r="AW32" s="65"/>
      <c r="AX32" s="12"/>
      <c r="AY32" s="75"/>
      <c r="AZ32" s="65"/>
      <c r="BA32" s="50"/>
    </row>
    <row r="33" spans="1:53" outlineLevel="1" x14ac:dyDescent="0.3">
      <c r="A33" s="19"/>
      <c r="B33" s="4"/>
      <c r="C33" s="4"/>
      <c r="D33" s="65"/>
      <c r="E33" s="65"/>
      <c r="F33" s="64"/>
      <c r="G33" s="64"/>
      <c r="H33" s="65"/>
      <c r="I33" s="65"/>
      <c r="J33" s="65"/>
      <c r="K33" s="65"/>
      <c r="L33" s="65"/>
      <c r="M33" s="3"/>
      <c r="N33" s="9"/>
      <c r="O33" s="3"/>
      <c r="P33" s="3"/>
      <c r="Q33" s="9"/>
      <c r="R33" s="65"/>
      <c r="S33" s="65"/>
      <c r="T33" s="12"/>
      <c r="U33" s="68"/>
      <c r="V33" s="65"/>
      <c r="W33" s="50"/>
      <c r="X33" s="72"/>
      <c r="Y33" s="65"/>
      <c r="Z33" s="9"/>
      <c r="AA33" s="64"/>
      <c r="AB33" s="65"/>
      <c r="AC33" s="9"/>
      <c r="AD33" s="64"/>
      <c r="AE33" s="65"/>
      <c r="AF33" s="9"/>
      <c r="AG33" s="65"/>
      <c r="AH33" s="65"/>
      <c r="AI33" s="9"/>
      <c r="AJ33" s="65"/>
      <c r="AK33" s="65"/>
      <c r="AL33" s="9"/>
      <c r="AM33" s="65"/>
      <c r="AN33" s="65"/>
      <c r="AO33" s="9"/>
      <c r="AP33" s="64"/>
      <c r="AQ33" s="65"/>
      <c r="AR33" s="9"/>
      <c r="AS33" s="65"/>
      <c r="AT33" s="65"/>
      <c r="AU33" s="12"/>
      <c r="AV33" s="68"/>
      <c r="AW33" s="65"/>
      <c r="AX33" s="12"/>
      <c r="AY33" s="75"/>
      <c r="AZ33" s="65"/>
      <c r="BA33" s="50"/>
    </row>
    <row r="34" spans="1:53" outlineLevel="1" x14ac:dyDescent="0.3">
      <c r="A34" s="19"/>
      <c r="B34" s="4"/>
      <c r="C34" s="4"/>
      <c r="D34" s="65"/>
      <c r="E34" s="65"/>
      <c r="F34" s="64"/>
      <c r="G34" s="64"/>
      <c r="H34" s="65"/>
      <c r="I34" s="65"/>
      <c r="J34" s="65"/>
      <c r="K34" s="65"/>
      <c r="L34" s="65"/>
      <c r="M34" s="3"/>
      <c r="N34" s="9"/>
      <c r="O34" s="3"/>
      <c r="P34" s="3"/>
      <c r="Q34" s="9"/>
      <c r="R34" s="65"/>
      <c r="S34" s="65"/>
      <c r="T34" s="12"/>
      <c r="U34" s="68"/>
      <c r="V34" s="65"/>
      <c r="W34" s="50"/>
      <c r="X34" s="72"/>
      <c r="Y34" s="65"/>
      <c r="Z34" s="9"/>
      <c r="AA34" s="64"/>
      <c r="AB34" s="65"/>
      <c r="AC34" s="9"/>
      <c r="AD34" s="64"/>
      <c r="AE34" s="65"/>
      <c r="AF34" s="9"/>
      <c r="AG34" s="65"/>
      <c r="AH34" s="65"/>
      <c r="AI34" s="9"/>
      <c r="AJ34" s="65"/>
      <c r="AK34" s="65"/>
      <c r="AL34" s="9"/>
      <c r="AM34" s="65"/>
      <c r="AN34" s="65"/>
      <c r="AO34" s="9"/>
      <c r="AP34" s="64"/>
      <c r="AQ34" s="65"/>
      <c r="AR34" s="9"/>
      <c r="AS34" s="65"/>
      <c r="AT34" s="65"/>
      <c r="AU34" s="12"/>
      <c r="AV34" s="68"/>
      <c r="AW34" s="65"/>
      <c r="AX34" s="12"/>
      <c r="AY34" s="75"/>
      <c r="AZ34" s="65"/>
      <c r="BA34" s="50"/>
    </row>
    <row r="35" spans="1:53" outlineLevel="1" x14ac:dyDescent="0.3">
      <c r="A35" s="19"/>
      <c r="B35" s="4"/>
      <c r="C35" s="4"/>
      <c r="D35" s="65"/>
      <c r="E35" s="65"/>
      <c r="F35" s="64"/>
      <c r="G35" s="64"/>
      <c r="H35" s="65"/>
      <c r="I35" s="65"/>
      <c r="J35" s="65"/>
      <c r="K35" s="65"/>
      <c r="L35" s="65"/>
      <c r="M35" s="3"/>
      <c r="N35" s="9"/>
      <c r="O35" s="3"/>
      <c r="P35" s="3"/>
      <c r="Q35" s="9"/>
      <c r="R35" s="65"/>
      <c r="S35" s="65"/>
      <c r="T35" s="12"/>
      <c r="U35" s="68"/>
      <c r="V35" s="65"/>
      <c r="W35" s="50"/>
      <c r="X35" s="72"/>
      <c r="Y35" s="65"/>
      <c r="Z35" s="9"/>
      <c r="AA35" s="64"/>
      <c r="AB35" s="65"/>
      <c r="AC35" s="9"/>
      <c r="AD35" s="64"/>
      <c r="AE35" s="65"/>
      <c r="AF35" s="9"/>
      <c r="AG35" s="65"/>
      <c r="AH35" s="65"/>
      <c r="AI35" s="9"/>
      <c r="AJ35" s="65"/>
      <c r="AK35" s="65"/>
      <c r="AL35" s="9"/>
      <c r="AM35" s="65"/>
      <c r="AN35" s="65"/>
      <c r="AO35" s="9"/>
      <c r="AP35" s="64"/>
      <c r="AQ35" s="65"/>
      <c r="AR35" s="9"/>
      <c r="AS35" s="65"/>
      <c r="AT35" s="65"/>
      <c r="AU35" s="12"/>
      <c r="AV35" s="68"/>
      <c r="AW35" s="65"/>
      <c r="AX35" s="12"/>
      <c r="AY35" s="75"/>
      <c r="AZ35" s="65"/>
      <c r="BA35" s="50"/>
    </row>
    <row r="36" spans="1:53" outlineLevel="1" x14ac:dyDescent="0.3">
      <c r="A36" s="19"/>
      <c r="B36" s="4"/>
      <c r="C36" s="4"/>
      <c r="D36" s="65"/>
      <c r="E36" s="65"/>
      <c r="F36" s="64"/>
      <c r="G36" s="64"/>
      <c r="H36" s="65"/>
      <c r="I36" s="65"/>
      <c r="J36" s="65"/>
      <c r="K36" s="65"/>
      <c r="L36" s="65"/>
      <c r="M36" s="3"/>
      <c r="N36" s="9"/>
      <c r="O36" s="3"/>
      <c r="P36" s="3"/>
      <c r="Q36" s="9"/>
      <c r="R36" s="65"/>
      <c r="S36" s="65"/>
      <c r="T36" s="12"/>
      <c r="U36" s="68"/>
      <c r="V36" s="65"/>
      <c r="W36" s="50"/>
      <c r="X36" s="72"/>
      <c r="Y36" s="65"/>
      <c r="Z36" s="9"/>
      <c r="AA36" s="64"/>
      <c r="AB36" s="65"/>
      <c r="AC36" s="9"/>
      <c r="AD36" s="64"/>
      <c r="AE36" s="65"/>
      <c r="AF36" s="9"/>
      <c r="AG36" s="65"/>
      <c r="AH36" s="65"/>
      <c r="AI36" s="9"/>
      <c r="AJ36" s="65"/>
      <c r="AK36" s="65"/>
      <c r="AL36" s="9"/>
      <c r="AM36" s="65"/>
      <c r="AN36" s="65"/>
      <c r="AO36" s="9"/>
      <c r="AP36" s="64"/>
      <c r="AQ36" s="65"/>
      <c r="AR36" s="9"/>
      <c r="AS36" s="65"/>
      <c r="AT36" s="65"/>
      <c r="AU36" s="12"/>
      <c r="AV36" s="68"/>
      <c r="AW36" s="65"/>
      <c r="AX36" s="12"/>
      <c r="AY36" s="75"/>
      <c r="AZ36" s="65"/>
      <c r="BA36" s="50"/>
    </row>
    <row r="37" spans="1:53" ht="15" outlineLevel="1" thickBot="1" x14ac:dyDescent="0.35">
      <c r="A37" s="20"/>
      <c r="B37" s="22"/>
      <c r="C37" s="22"/>
      <c r="D37" s="66"/>
      <c r="E37" s="66"/>
      <c r="F37" s="64"/>
      <c r="G37" s="64"/>
      <c r="H37" s="66"/>
      <c r="I37" s="66"/>
      <c r="J37" s="66"/>
      <c r="K37" s="66"/>
      <c r="L37" s="66"/>
      <c r="M37" s="21"/>
      <c r="N37" s="24"/>
      <c r="O37" s="21"/>
      <c r="P37" s="21"/>
      <c r="Q37" s="24"/>
      <c r="R37" s="66"/>
      <c r="S37" s="66"/>
      <c r="T37" s="25"/>
      <c r="U37" s="70"/>
      <c r="V37" s="66"/>
      <c r="W37" s="52"/>
      <c r="X37" s="72"/>
      <c r="Y37" s="66"/>
      <c r="Z37" s="24"/>
      <c r="AA37" s="64"/>
      <c r="AB37" s="66"/>
      <c r="AC37" s="24"/>
      <c r="AD37" s="64"/>
      <c r="AE37" s="66"/>
      <c r="AF37" s="24"/>
      <c r="AG37" s="66"/>
      <c r="AH37" s="66"/>
      <c r="AI37" s="24"/>
      <c r="AJ37" s="66"/>
      <c r="AK37" s="66"/>
      <c r="AL37" s="24"/>
      <c r="AM37" s="66"/>
      <c r="AN37" s="66"/>
      <c r="AO37" s="24"/>
      <c r="AP37" s="64"/>
      <c r="AQ37" s="66"/>
      <c r="AR37" s="24"/>
      <c r="AS37" s="66"/>
      <c r="AT37" s="66"/>
      <c r="AU37" s="25"/>
      <c r="AV37" s="70"/>
      <c r="AW37" s="66"/>
      <c r="AX37" s="25"/>
      <c r="AY37" s="76"/>
      <c r="AZ37" s="66"/>
      <c r="BA37" s="52"/>
    </row>
  </sheetData>
  <mergeCells count="19">
    <mergeCell ref="AS3:AU3"/>
    <mergeCell ref="AV3:AX3"/>
    <mergeCell ref="AY3:BA3"/>
    <mergeCell ref="AA3:AC3"/>
    <mergeCell ref="AD3:AF3"/>
    <mergeCell ref="AG3:AI3"/>
    <mergeCell ref="AJ3:AL3"/>
    <mergeCell ref="AM3:AO3"/>
    <mergeCell ref="AP3:AR3"/>
    <mergeCell ref="C2:K2"/>
    <mergeCell ref="M2:Q2"/>
    <mergeCell ref="R2:AF2"/>
    <mergeCell ref="AG2:AU2"/>
    <mergeCell ref="AV2:BA2"/>
    <mergeCell ref="M3:N3"/>
    <mergeCell ref="O3:Q3"/>
    <mergeCell ref="R3:T3"/>
    <mergeCell ref="U3:W3"/>
    <mergeCell ref="X3:Z3"/>
  </mergeCells>
  <conditionalFormatting sqref="M5:N37">
    <cfRule type="expression" dxfId="32" priority="7">
      <formula>$N5=1</formula>
    </cfRule>
  </conditionalFormatting>
  <conditionalFormatting sqref="O5:Q37">
    <cfRule type="expression" dxfId="31" priority="5">
      <formula>$Q5=1</formula>
    </cfRule>
  </conditionalFormatting>
  <conditionalFormatting sqref="Q5:Q37">
    <cfRule type="cellIs" dxfId="30" priority="6" operator="greaterThan">
      <formula>100</formula>
    </cfRule>
  </conditionalFormatting>
  <conditionalFormatting sqref="R5:T37">
    <cfRule type="expression" dxfId="29" priority="8">
      <formula>$T5&gt;1.3</formula>
    </cfRule>
    <cfRule type="expression" dxfId="28" priority="9">
      <formula>$T5&gt;1</formula>
    </cfRule>
  </conditionalFormatting>
  <conditionalFormatting sqref="U5:W6 U8:W37 U7 W7">
    <cfRule type="expression" dxfId="27" priority="33">
      <formula>$W5&gt;1</formula>
    </cfRule>
    <cfRule type="expression" dxfId="26" priority="32">
      <formula>$W5&gt;1.3</formula>
    </cfRule>
  </conditionalFormatting>
  <conditionalFormatting sqref="X5:Y5">
    <cfRule type="expression" dxfId="25" priority="55">
      <formula>$Z5&gt;1</formula>
    </cfRule>
    <cfRule type="expression" dxfId="24" priority="54">
      <formula>$Z5&gt;1.3</formula>
    </cfRule>
  </conditionalFormatting>
  <conditionalFormatting sqref="X6:Z6 X8:Z37 X7 Z7">
    <cfRule type="expression" dxfId="23" priority="30">
      <formula>$Z6&gt;1.3</formula>
    </cfRule>
    <cfRule type="expression" dxfId="22" priority="31">
      <formula>$Z6&gt;1</formula>
    </cfRule>
  </conditionalFormatting>
  <conditionalFormatting sqref="Z5">
    <cfRule type="expression" dxfId="21" priority="3">
      <formula>$W5&gt;1.3</formula>
    </cfRule>
    <cfRule type="expression" dxfId="20" priority="4">
      <formula>$W5&gt;1</formula>
    </cfRule>
  </conditionalFormatting>
  <conditionalFormatting sqref="AA5:AC37">
    <cfRule type="expression" dxfId="19" priority="28">
      <formula>$AC5&gt;1.3</formula>
    </cfRule>
    <cfRule type="expression" dxfId="18" priority="29">
      <formula>$AC5&gt;1</formula>
    </cfRule>
  </conditionalFormatting>
  <conditionalFormatting sqref="AD5:AF37">
    <cfRule type="expression" dxfId="17" priority="26">
      <formula>$AF5&gt;1.3</formula>
    </cfRule>
    <cfRule type="expression" dxfId="16" priority="27">
      <formula>$AF5&gt;1</formula>
    </cfRule>
  </conditionalFormatting>
  <conditionalFormatting sqref="AG5:AI37">
    <cfRule type="expression" dxfId="15" priority="18">
      <formula>$AI5&gt;1.3</formula>
    </cfRule>
    <cfRule type="expression" dxfId="14" priority="19">
      <formula>$AI5&gt;1</formula>
    </cfRule>
  </conditionalFormatting>
  <conditionalFormatting sqref="AJ5:AL37">
    <cfRule type="expression" dxfId="13" priority="25">
      <formula>$AL5&gt;1</formula>
    </cfRule>
    <cfRule type="expression" dxfId="12" priority="24">
      <formula>$AL5&gt;1.3</formula>
    </cfRule>
  </conditionalFormatting>
  <conditionalFormatting sqref="AM5:AO37">
    <cfRule type="expression" dxfId="11" priority="22">
      <formula>$AO5&gt;1.3</formula>
    </cfRule>
    <cfRule type="expression" dxfId="10" priority="23">
      <formula>$AO5&gt;1</formula>
    </cfRule>
  </conditionalFormatting>
  <conditionalFormatting sqref="AP5:AR37">
    <cfRule type="expression" dxfId="9" priority="17">
      <formula>$AR5&gt;1</formula>
    </cfRule>
    <cfRule type="expression" dxfId="8" priority="16">
      <formula>$AR5&gt;1.3</formula>
    </cfRule>
  </conditionalFormatting>
  <conditionalFormatting sqref="AS5:AU37">
    <cfRule type="expression" dxfId="7" priority="14">
      <formula>$AU5&gt;1.3</formula>
    </cfRule>
    <cfRule type="expression" dxfId="6" priority="15">
      <formula>$AU5&gt;1</formula>
    </cfRule>
  </conditionalFormatting>
  <conditionalFormatting sqref="AV5:AX37">
    <cfRule type="expression" dxfId="5" priority="12">
      <formula>$AX5&gt;1.3</formula>
    </cfRule>
    <cfRule type="expression" dxfId="4" priority="13">
      <formula>$AX5&gt;1</formula>
    </cfRule>
  </conditionalFormatting>
  <conditionalFormatting sqref="AY5:BA6 AY8:BA37 AY7 BA7">
    <cfRule type="expression" dxfId="3" priority="11">
      <formula>$BA5&gt;1</formula>
    </cfRule>
    <cfRule type="expression" dxfId="2" priority="10">
      <formula>$BA5&gt;1.3</formula>
    </cfRule>
  </conditionalFormatting>
  <conditionalFormatting sqref="AZ7">
    <cfRule type="expression" dxfId="1" priority="1">
      <formula>$AX7&gt;1.3</formula>
    </cfRule>
    <cfRule type="expression" dxfId="0" priority="2">
      <formula>$AX7&gt;1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1C28-9B75-4996-8602-E95C80B80832}">
  <dimension ref="A1:H6"/>
  <sheetViews>
    <sheetView workbookViewId="0">
      <selection activeCell="B7" sqref="B7"/>
    </sheetView>
  </sheetViews>
  <sheetFormatPr defaultRowHeight="14.4" x14ac:dyDescent="0.3"/>
  <sheetData>
    <row r="1" spans="1:8" x14ac:dyDescent="0.3">
      <c r="A1" s="192" t="s">
        <v>89</v>
      </c>
      <c r="B1" s="192"/>
      <c r="C1" s="192"/>
      <c r="D1" s="192"/>
      <c r="E1" s="192"/>
      <c r="F1" s="192"/>
    </row>
    <row r="2" spans="1:8" x14ac:dyDescent="0.3">
      <c r="A2" t="s">
        <v>83</v>
      </c>
      <c r="B2" t="s">
        <v>58</v>
      </c>
      <c r="C2" t="s">
        <v>90</v>
      </c>
      <c r="D2" t="s">
        <v>93</v>
      </c>
      <c r="E2" t="s">
        <v>87</v>
      </c>
      <c r="F2" t="s">
        <v>88</v>
      </c>
      <c r="G2" t="s">
        <v>91</v>
      </c>
      <c r="H2" t="s">
        <v>92</v>
      </c>
    </row>
    <row r="3" spans="1:8" x14ac:dyDescent="0.3">
      <c r="A3" t="s">
        <v>84</v>
      </c>
      <c r="B3">
        <v>95.7</v>
      </c>
      <c r="E3">
        <v>7</v>
      </c>
      <c r="G3">
        <f>SUM(B3:C3)</f>
        <v>95.7</v>
      </c>
      <c r="H3">
        <f>SUM(E3:F3)</f>
        <v>7</v>
      </c>
    </row>
    <row r="4" spans="1:8" x14ac:dyDescent="0.3">
      <c r="A4" t="s">
        <v>85</v>
      </c>
      <c r="B4">
        <v>13.32</v>
      </c>
      <c r="C4">
        <f>17.74+18.98+18.75</f>
        <v>55.47</v>
      </c>
      <c r="E4">
        <v>5</v>
      </c>
      <c r="F4">
        <v>2</v>
      </c>
      <c r="G4">
        <f>SUM(B4:C4)</f>
        <v>68.789999999999992</v>
      </c>
      <c r="H4">
        <f>SUM(E4:F4)</f>
        <v>7</v>
      </c>
    </row>
    <row r="5" spans="1:8" x14ac:dyDescent="0.3">
      <c r="A5" t="s">
        <v>86</v>
      </c>
      <c r="B5">
        <f>11.45+15.13</f>
        <v>26.58</v>
      </c>
      <c r="D5">
        <v>14.67</v>
      </c>
      <c r="E5">
        <v>16</v>
      </c>
      <c r="F5">
        <v>1</v>
      </c>
      <c r="G5">
        <f>SUM(B5:C5)</f>
        <v>26.58</v>
      </c>
      <c r="H5">
        <f>SUM(E5:F5)</f>
        <v>17</v>
      </c>
    </row>
    <row r="6" spans="1:8" x14ac:dyDescent="0.3">
      <c r="A6" t="s">
        <v>98</v>
      </c>
      <c r="B6">
        <f>4.34+4.76</f>
        <v>9.1</v>
      </c>
      <c r="E6">
        <v>2</v>
      </c>
    </row>
  </sheetData>
  <mergeCells count="1">
    <mergeCell ref="A1:F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МКБориспільська</vt:lpstr>
      <vt:lpstr>МК Астарта.Тищенки</vt:lpstr>
      <vt:lpstr>МК Глобино</vt:lpstr>
      <vt:lpstr>МК Чорноморськ</vt:lpstr>
      <vt:lpstr>МК Кривий Ріг</vt:lpstr>
      <vt:lpstr>Кернел Кухня</vt:lpstr>
      <vt:lpstr>МД ПРООН Черкаси  ДСНС</vt:lpstr>
      <vt:lpstr>МД ВООЗ 2025</vt:lpstr>
      <vt:lpstr>ООН 2025</vt:lpstr>
      <vt:lpstr>Оріль</vt:lpstr>
      <vt:lpstr>факт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1c support</cp:lastModifiedBy>
  <cp:lastPrinted>2025-12-08T15:32:03Z</cp:lastPrinted>
  <dcterms:created xsi:type="dcterms:W3CDTF">2025-12-02T06:01:40Z</dcterms:created>
  <dcterms:modified xsi:type="dcterms:W3CDTF">2026-06-25T08:51:13Z</dcterms:modified>
</cp:coreProperties>
</file>
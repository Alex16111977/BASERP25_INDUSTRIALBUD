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blic\Фінансовий відділ\! ІНШЕ\Постернак А\ПРОИЗВОДСТВО\"/>
    </mc:Choice>
  </mc:AlternateContent>
  <xr:revisionPtr revIDLastSave="0" documentId="8_{5D61E525-4188-46D7-92FD-10F2E438B06F}" xr6:coauthVersionLast="45" xr6:coauthVersionMax="45" xr10:uidLastSave="{00000000-0000-0000-0000-000000000000}"/>
  <bookViews>
    <workbookView xWindow="-120" yWindow="-120" windowWidth="29040" windowHeight="15990" tabRatio="833" firstSheet="9" activeTab="9" xr2:uid="{00000000-000D-0000-FFFF-FFFF00000000}"/>
  </bookViews>
  <sheets>
    <sheet name="2022" sheetId="6" state="hidden" r:id="rId1"/>
    <sheet name="2022 перевірка" sheetId="7" state="hidden" r:id="rId2"/>
    <sheet name="15.09.2025" sheetId="97" state="hidden" r:id="rId3"/>
    <sheet name="22.09.2025" sheetId="98" state="hidden" r:id="rId4"/>
    <sheet name="29.09.2025" sheetId="99" state="hidden" r:id="rId5"/>
    <sheet name="06.10.2025" sheetId="100" state="hidden" r:id="rId6"/>
    <sheet name="13.10.2025" sheetId="102" state="hidden" r:id="rId7"/>
    <sheet name="20.10.2025" sheetId="103" state="hidden" r:id="rId8"/>
    <sheet name="26.10.2025" sheetId="105" state="hidden" r:id="rId9"/>
    <sheet name="24,07,2026" sheetId="147" r:id="rId10"/>
    <sheet name="ТМЦ_Глобино" sheetId="101" state="hidden" r:id="rId11"/>
  </sheets>
  <definedNames>
    <definedName name="_xlnm.Print_Area" localSheetId="0">'2022'!$A$5:$Q$89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51" i="147" l="1"/>
  <c r="E51" i="147"/>
  <c r="E110" i="147"/>
  <c r="O51" i="147"/>
  <c r="H51" i="147" l="1"/>
  <c r="H34" i="147" l="1"/>
  <c r="F51" i="147"/>
  <c r="F59" i="147"/>
  <c r="F122" i="147"/>
  <c r="K59" i="147" l="1"/>
  <c r="E34" i="147" l="1"/>
  <c r="E59" i="147"/>
  <c r="H59" i="147"/>
  <c r="C145" i="147" l="1"/>
  <c r="C144" i="147"/>
  <c r="G144" i="147" l="1"/>
  <c r="G143" i="147" s="1"/>
  <c r="G142" i="147" s="1"/>
  <c r="K143" i="147"/>
  <c r="J143" i="147"/>
  <c r="I143" i="147"/>
  <c r="H143" i="147"/>
  <c r="H142" i="147" s="1"/>
  <c r="H147" i="147" s="1"/>
  <c r="F143" i="147"/>
  <c r="F142" i="147" s="1"/>
  <c r="F147" i="147" s="1"/>
  <c r="E143" i="147"/>
  <c r="E142" i="147" s="1"/>
  <c r="E147" i="147" s="1"/>
  <c r="D143" i="147"/>
  <c r="D142" i="147" s="1"/>
  <c r="D147" i="147" s="1"/>
  <c r="C143" i="147"/>
  <c r="C142" i="147" s="1"/>
  <c r="C147" i="147" s="1"/>
  <c r="K142" i="147"/>
  <c r="J142" i="147"/>
  <c r="J147" i="147" s="1"/>
  <c r="I142" i="147"/>
  <c r="I147" i="147" s="1"/>
  <c r="G116" i="147"/>
  <c r="J115" i="147"/>
  <c r="J114" i="147" s="1"/>
  <c r="J118" i="147" s="1"/>
  <c r="I115" i="147"/>
  <c r="I114" i="147" s="1"/>
  <c r="I118" i="147" s="1"/>
  <c r="H115" i="147"/>
  <c r="H114" i="147" s="1"/>
  <c r="H118" i="147" s="1"/>
  <c r="F115" i="147"/>
  <c r="F114" i="147" s="1"/>
  <c r="F118" i="147" s="1"/>
  <c r="E115" i="147"/>
  <c r="E114" i="147" s="1"/>
  <c r="E118" i="147" s="1"/>
  <c r="D115" i="147"/>
  <c r="D114" i="147" s="1"/>
  <c r="D118" i="147" s="1"/>
  <c r="C115" i="147"/>
  <c r="C114" i="147" s="1"/>
  <c r="C118" i="147" s="1"/>
  <c r="G147" i="147" l="1"/>
  <c r="G118" i="147"/>
  <c r="K115" i="147"/>
  <c r="K114" i="147" s="1"/>
  <c r="K118" i="147" s="1"/>
  <c r="G115" i="147"/>
  <c r="G114" i="147" s="1"/>
  <c r="C55" i="147" l="1"/>
  <c r="G56" i="147"/>
  <c r="K56" i="147" s="1"/>
  <c r="G55" i="147"/>
  <c r="G54" i="147" s="1"/>
  <c r="G53" i="147" s="1"/>
  <c r="I54" i="147"/>
  <c r="H54" i="147"/>
  <c r="F54" i="147"/>
  <c r="E54" i="147"/>
  <c r="E53" i="147" s="1"/>
  <c r="D54" i="147"/>
  <c r="D53" i="147" s="1"/>
  <c r="C54" i="147"/>
  <c r="C53" i="147" s="1"/>
  <c r="I53" i="147"/>
  <c r="H53" i="147"/>
  <c r="F53" i="147"/>
  <c r="C136" i="147"/>
  <c r="J55" i="147" l="1"/>
  <c r="J54" i="147" s="1"/>
  <c r="J53" i="147" s="1"/>
  <c r="K55" i="147" l="1"/>
  <c r="K54" i="147" s="1"/>
  <c r="K53" i="147" s="1"/>
  <c r="J51" i="147" l="1"/>
  <c r="F38" i="147" l="1"/>
  <c r="F32" i="147"/>
  <c r="E32" i="147"/>
  <c r="K41" i="147" l="1"/>
  <c r="G136" i="147" l="1"/>
  <c r="K135" i="147"/>
  <c r="J135" i="147"/>
  <c r="I135" i="147"/>
  <c r="I134" i="147" s="1"/>
  <c r="I139" i="147" s="1"/>
  <c r="H135" i="147"/>
  <c r="E135" i="147"/>
  <c r="D135" i="147"/>
  <c r="D134" i="147" s="1"/>
  <c r="D139" i="147" s="1"/>
  <c r="K134" i="147"/>
  <c r="J134" i="147"/>
  <c r="J139" i="147" s="1"/>
  <c r="H134" i="147"/>
  <c r="H139" i="147" s="1"/>
  <c r="E134" i="147"/>
  <c r="E139" i="147" s="1"/>
  <c r="F129" i="147"/>
  <c r="G129" i="147" s="1"/>
  <c r="G128" i="147" s="1"/>
  <c r="G127" i="147" s="1"/>
  <c r="C129" i="147"/>
  <c r="K128" i="147"/>
  <c r="J128" i="147"/>
  <c r="J127" i="147" s="1"/>
  <c r="J132" i="147" s="1"/>
  <c r="I128" i="147"/>
  <c r="I127" i="147" s="1"/>
  <c r="I132" i="147" s="1"/>
  <c r="H128" i="147"/>
  <c r="H127" i="147" s="1"/>
  <c r="H132" i="147" s="1"/>
  <c r="F128" i="147"/>
  <c r="F127" i="147" s="1"/>
  <c r="F132" i="147" s="1"/>
  <c r="E128" i="147"/>
  <c r="E127" i="147" s="1"/>
  <c r="E132" i="147" s="1"/>
  <c r="D128" i="147"/>
  <c r="D127" i="147" s="1"/>
  <c r="D132" i="147" s="1"/>
  <c r="C128" i="147"/>
  <c r="C127" i="147" s="1"/>
  <c r="C132" i="147" s="1"/>
  <c r="K127" i="147"/>
  <c r="K132" i="147" s="1"/>
  <c r="G122" i="147"/>
  <c r="J121" i="147"/>
  <c r="J120" i="147" s="1"/>
  <c r="J125" i="147" s="1"/>
  <c r="I121" i="147"/>
  <c r="I120" i="147" s="1"/>
  <c r="I125" i="147" s="1"/>
  <c r="H121" i="147"/>
  <c r="H120" i="147" s="1"/>
  <c r="H125" i="147" s="1"/>
  <c r="E121" i="147"/>
  <c r="E120" i="147" s="1"/>
  <c r="E125" i="147" s="1"/>
  <c r="D121" i="147"/>
  <c r="D120" i="147" s="1"/>
  <c r="D125" i="147" s="1"/>
  <c r="C121" i="147"/>
  <c r="C120" i="147" s="1"/>
  <c r="C125" i="147" s="1"/>
  <c r="G110" i="147"/>
  <c r="C110" i="147"/>
  <c r="C109" i="147" s="1"/>
  <c r="C108" i="147" s="1"/>
  <c r="C112" i="147" s="1"/>
  <c r="J109" i="147"/>
  <c r="J108" i="147" s="1"/>
  <c r="J112" i="147" s="1"/>
  <c r="H109" i="147"/>
  <c r="H108" i="147" s="1"/>
  <c r="H112" i="147" s="1"/>
  <c r="G109" i="147"/>
  <c r="G108" i="147" s="1"/>
  <c r="F109" i="147"/>
  <c r="E109" i="147"/>
  <c r="E108" i="147" s="1"/>
  <c r="E112" i="147" s="1"/>
  <c r="D109" i="147"/>
  <c r="F108" i="147"/>
  <c r="F112" i="147" s="1"/>
  <c r="D108" i="147"/>
  <c r="D112" i="147" s="1"/>
  <c r="G105" i="147"/>
  <c r="G104" i="147"/>
  <c r="G103" i="147"/>
  <c r="C103" i="147"/>
  <c r="I102" i="147"/>
  <c r="F102" i="147"/>
  <c r="G102" i="147" s="1"/>
  <c r="K102" i="147" s="1"/>
  <c r="I101" i="147"/>
  <c r="F101" i="147"/>
  <c r="G101" i="147" s="1"/>
  <c r="I100" i="147"/>
  <c r="F100" i="147"/>
  <c r="G100" i="147" s="1"/>
  <c r="K100" i="147" s="1"/>
  <c r="I99" i="147"/>
  <c r="F99" i="147"/>
  <c r="G99" i="147" s="1"/>
  <c r="K99" i="147" s="1"/>
  <c r="I98" i="147"/>
  <c r="F98" i="147"/>
  <c r="G98" i="147" s="1"/>
  <c r="K98" i="147" s="1"/>
  <c r="I97" i="147"/>
  <c r="F97" i="147"/>
  <c r="G97" i="147" s="1"/>
  <c r="K97" i="147" s="1"/>
  <c r="I96" i="147"/>
  <c r="F96" i="147"/>
  <c r="G96" i="147" s="1"/>
  <c r="I95" i="147"/>
  <c r="F95" i="147"/>
  <c r="G95" i="147" s="1"/>
  <c r="K95" i="147" s="1"/>
  <c r="I94" i="147"/>
  <c r="F94" i="147"/>
  <c r="G94" i="147" s="1"/>
  <c r="K94" i="147" s="1"/>
  <c r="I93" i="147"/>
  <c r="F93" i="147"/>
  <c r="G93" i="147" s="1"/>
  <c r="K93" i="147" s="1"/>
  <c r="I92" i="147"/>
  <c r="F92" i="147"/>
  <c r="G92" i="147" s="1"/>
  <c r="K92" i="147" s="1"/>
  <c r="I91" i="147"/>
  <c r="F91" i="147"/>
  <c r="G91" i="147" s="1"/>
  <c r="K91" i="147" s="1"/>
  <c r="H90" i="147"/>
  <c r="F90" i="147"/>
  <c r="G90" i="147" s="1"/>
  <c r="K90" i="147" s="1"/>
  <c r="H89" i="147"/>
  <c r="F89" i="147"/>
  <c r="G89" i="147" s="1"/>
  <c r="K89" i="147" s="1"/>
  <c r="H88" i="147"/>
  <c r="F88" i="147"/>
  <c r="G88" i="147" s="1"/>
  <c r="K88" i="147" s="1"/>
  <c r="H87" i="147"/>
  <c r="F87" i="147"/>
  <c r="G87" i="147" s="1"/>
  <c r="K87" i="147" s="1"/>
  <c r="H86" i="147"/>
  <c r="F86" i="147"/>
  <c r="G86" i="147" s="1"/>
  <c r="K86" i="147" s="1"/>
  <c r="H85" i="147"/>
  <c r="F85" i="147"/>
  <c r="G85" i="147" s="1"/>
  <c r="K85" i="147" s="1"/>
  <c r="H84" i="147"/>
  <c r="F84" i="147"/>
  <c r="G84" i="147" s="1"/>
  <c r="K84" i="147" s="1"/>
  <c r="H83" i="147"/>
  <c r="F83" i="147"/>
  <c r="G83" i="147" s="1"/>
  <c r="H82" i="147"/>
  <c r="F82" i="147"/>
  <c r="G82" i="147" s="1"/>
  <c r="K82" i="147" s="1"/>
  <c r="H81" i="147"/>
  <c r="F81" i="147"/>
  <c r="G81" i="147" s="1"/>
  <c r="K81" i="147" s="1"/>
  <c r="H80" i="147"/>
  <c r="F80" i="147"/>
  <c r="G80" i="147" s="1"/>
  <c r="K80" i="147" s="1"/>
  <c r="H79" i="147"/>
  <c r="F79" i="147"/>
  <c r="G79" i="147" s="1"/>
  <c r="K79" i="147" s="1"/>
  <c r="H78" i="147"/>
  <c r="F78" i="147"/>
  <c r="G78" i="147" s="1"/>
  <c r="K78" i="147" s="1"/>
  <c r="H77" i="147"/>
  <c r="F77" i="147"/>
  <c r="G77" i="147" s="1"/>
  <c r="K77" i="147" s="1"/>
  <c r="H76" i="147"/>
  <c r="F76" i="147"/>
  <c r="G76" i="147" s="1"/>
  <c r="H75" i="147"/>
  <c r="F75" i="147"/>
  <c r="G75" i="147" s="1"/>
  <c r="K75" i="147" s="1"/>
  <c r="F74" i="147"/>
  <c r="G74" i="147" s="1"/>
  <c r="K74" i="147" s="1"/>
  <c r="F73" i="147"/>
  <c r="G73" i="147" s="1"/>
  <c r="K73" i="147" s="1"/>
  <c r="F72" i="147"/>
  <c r="G72" i="147" s="1"/>
  <c r="K72" i="147" s="1"/>
  <c r="F71" i="147"/>
  <c r="G71" i="147" s="1"/>
  <c r="K71" i="147" s="1"/>
  <c r="F70" i="147"/>
  <c r="E70" i="147"/>
  <c r="C70" i="147"/>
  <c r="C69" i="147" s="1"/>
  <c r="C68" i="147" s="1"/>
  <c r="C106" i="147" s="1"/>
  <c r="J69" i="147"/>
  <c r="J68" i="147" s="1"/>
  <c r="J106" i="147" s="1"/>
  <c r="D69" i="147"/>
  <c r="D68" i="147" s="1"/>
  <c r="D106" i="147" s="1"/>
  <c r="G65" i="147"/>
  <c r="K65" i="147" s="1"/>
  <c r="G64" i="147"/>
  <c r="K64" i="147" s="1"/>
  <c r="G63" i="147"/>
  <c r="K63" i="147" s="1"/>
  <c r="G62" i="147"/>
  <c r="K62" i="147" s="1"/>
  <c r="G61" i="147"/>
  <c r="K61" i="147" s="1"/>
  <c r="G60" i="147"/>
  <c r="K60" i="147" s="1"/>
  <c r="G59" i="147"/>
  <c r="G58" i="147" s="1"/>
  <c r="G57" i="147" s="1"/>
  <c r="J58" i="147"/>
  <c r="J57" i="147" s="1"/>
  <c r="J66" i="147" s="1"/>
  <c r="I58" i="147"/>
  <c r="I57" i="147" s="1"/>
  <c r="I66" i="147" s="1"/>
  <c r="H58" i="147"/>
  <c r="H57" i="147" s="1"/>
  <c r="H66" i="147" s="1"/>
  <c r="F58" i="147"/>
  <c r="F57" i="147" s="1"/>
  <c r="F66" i="147" s="1"/>
  <c r="E58" i="147"/>
  <c r="E57" i="147" s="1"/>
  <c r="E66" i="147" s="1"/>
  <c r="D58" i="147"/>
  <c r="D57" i="147" s="1"/>
  <c r="D66" i="147" s="1"/>
  <c r="C58" i="147"/>
  <c r="C57" i="147" s="1"/>
  <c r="C66" i="147" s="1"/>
  <c r="G52" i="147"/>
  <c r="K52" i="147" s="1"/>
  <c r="G51" i="147"/>
  <c r="G50" i="147" s="1"/>
  <c r="G49" i="147" s="1"/>
  <c r="J50" i="147"/>
  <c r="J49" i="147" s="1"/>
  <c r="I50" i="147"/>
  <c r="I49" i="147" s="1"/>
  <c r="H50" i="147"/>
  <c r="H49" i="147" s="1"/>
  <c r="F50" i="147"/>
  <c r="F49" i="147" s="1"/>
  <c r="E50" i="147"/>
  <c r="E49" i="147" s="1"/>
  <c r="D50" i="147"/>
  <c r="C50" i="147"/>
  <c r="C49" i="147" s="1"/>
  <c r="D49" i="147"/>
  <c r="F40" i="147"/>
  <c r="G40" i="147" s="1"/>
  <c r="K40" i="147" s="1"/>
  <c r="C40" i="147"/>
  <c r="G39" i="147"/>
  <c r="K39" i="147" s="1"/>
  <c r="C39" i="147"/>
  <c r="G38" i="147"/>
  <c r="K38" i="147" s="1"/>
  <c r="L38" i="147" s="1"/>
  <c r="C38" i="147"/>
  <c r="G37" i="147"/>
  <c r="K37" i="147" s="1"/>
  <c r="L37" i="147" s="1"/>
  <c r="C37" i="147"/>
  <c r="G36" i="147"/>
  <c r="K36" i="147" s="1"/>
  <c r="C36" i="147"/>
  <c r="G35" i="147"/>
  <c r="C35" i="147"/>
  <c r="C34" i="147"/>
  <c r="F34" i="147" s="1"/>
  <c r="G34" i="147" s="1"/>
  <c r="K34" i="147" s="1"/>
  <c r="E33" i="147"/>
  <c r="C33" i="147"/>
  <c r="F33" i="147" s="1"/>
  <c r="G32" i="147"/>
  <c r="F31" i="147"/>
  <c r="E31" i="147"/>
  <c r="G31" i="147" s="1"/>
  <c r="K31" i="147" s="1"/>
  <c r="C31" i="147"/>
  <c r="F30" i="147"/>
  <c r="G30" i="147" s="1"/>
  <c r="K30" i="147" s="1"/>
  <c r="F29" i="147"/>
  <c r="E29" i="147"/>
  <c r="G29" i="147" s="1"/>
  <c r="K29" i="147" s="1"/>
  <c r="F28" i="147"/>
  <c r="E28" i="147"/>
  <c r="G28" i="147" s="1"/>
  <c r="K28" i="147" s="1"/>
  <c r="C28" i="147"/>
  <c r="F27" i="147"/>
  <c r="E27" i="147"/>
  <c r="G27" i="147" s="1"/>
  <c r="I26" i="147"/>
  <c r="I25" i="147" s="1"/>
  <c r="I48" i="147" s="1"/>
  <c r="H26" i="147"/>
  <c r="H25" i="147" s="1"/>
  <c r="H48" i="147" s="1"/>
  <c r="D26" i="147"/>
  <c r="D25" i="147" s="1"/>
  <c r="D48" i="147" s="1"/>
  <c r="G22" i="147"/>
  <c r="G21" i="147"/>
  <c r="K21" i="147" s="1"/>
  <c r="G20" i="147"/>
  <c r="K20" i="147" s="1"/>
  <c r="G19" i="147"/>
  <c r="K19" i="147" s="1"/>
  <c r="C19" i="147"/>
  <c r="F18" i="147"/>
  <c r="F17" i="147" s="1"/>
  <c r="F16" i="147" s="1"/>
  <c r="F23" i="147" s="1"/>
  <c r="C18" i="147"/>
  <c r="J17" i="147"/>
  <c r="J16" i="147" s="1"/>
  <c r="J23" i="147" s="1"/>
  <c r="I17" i="147"/>
  <c r="I16" i="147" s="1"/>
  <c r="I23" i="147" s="1"/>
  <c r="H17" i="147"/>
  <c r="H16" i="147" s="1"/>
  <c r="H23" i="147" s="1"/>
  <c r="E17" i="147"/>
  <c r="E16" i="147" s="1"/>
  <c r="E23" i="147" s="1"/>
  <c r="D17" i="147"/>
  <c r="D16" i="147" s="1"/>
  <c r="D23" i="147" s="1"/>
  <c r="G13" i="147"/>
  <c r="G12" i="147"/>
  <c r="G11" i="147"/>
  <c r="G10" i="147"/>
  <c r="J9" i="147"/>
  <c r="J8" i="147" s="1"/>
  <c r="J7" i="147" s="1"/>
  <c r="G9" i="147"/>
  <c r="K9" i="147" s="1"/>
  <c r="K8" i="147" s="1"/>
  <c r="K7" i="147" s="1"/>
  <c r="I8" i="147"/>
  <c r="I7" i="147" s="1"/>
  <c r="I14" i="147" s="1"/>
  <c r="H8" i="147"/>
  <c r="H7" i="147" s="1"/>
  <c r="H14" i="147" s="1"/>
  <c r="F8" i="147"/>
  <c r="F7" i="147" s="1"/>
  <c r="F14" i="147" s="1"/>
  <c r="E8" i="147"/>
  <c r="E7" i="147" s="1"/>
  <c r="E14" i="147" s="1"/>
  <c r="G14" i="147" s="1"/>
  <c r="D8" i="147"/>
  <c r="D7" i="147" s="1"/>
  <c r="D14" i="147" s="1"/>
  <c r="C8" i="147"/>
  <c r="C7" i="147" s="1"/>
  <c r="C14" i="147" s="1"/>
  <c r="G66" i="147" l="1"/>
  <c r="G112" i="147"/>
  <c r="K96" i="147"/>
  <c r="C17" i="147"/>
  <c r="C16" i="147" s="1"/>
  <c r="C23" i="147" s="1"/>
  <c r="G70" i="147"/>
  <c r="G8" i="147"/>
  <c r="G7" i="147" s="1"/>
  <c r="K83" i="147"/>
  <c r="K101" i="147"/>
  <c r="K76" i="147"/>
  <c r="K69" i="147" s="1"/>
  <c r="K68" i="147" s="1"/>
  <c r="K106" i="147" s="1"/>
  <c r="F69" i="147"/>
  <c r="F68" i="147" s="1"/>
  <c r="F106" i="147" s="1"/>
  <c r="G132" i="147"/>
  <c r="I109" i="147"/>
  <c r="I108" i="147" s="1"/>
  <c r="I112" i="147" s="1"/>
  <c r="C135" i="147"/>
  <c r="C134" i="147" s="1"/>
  <c r="C139" i="147" s="1"/>
  <c r="F135" i="147"/>
  <c r="F134" i="147" s="1"/>
  <c r="F139" i="147" s="1"/>
  <c r="G139" i="147" s="1"/>
  <c r="K58" i="147"/>
  <c r="K57" i="147" s="1"/>
  <c r="K66" i="147" s="1"/>
  <c r="C26" i="147"/>
  <c r="C25" i="147" s="1"/>
  <c r="C48" i="147" s="1"/>
  <c r="H69" i="147"/>
  <c r="H68" i="147" s="1"/>
  <c r="H106" i="147" s="1"/>
  <c r="F26" i="147"/>
  <c r="F25" i="147" s="1"/>
  <c r="F48" i="147" s="1"/>
  <c r="I69" i="147"/>
  <c r="I68" i="147" s="1"/>
  <c r="I106" i="147" s="1"/>
  <c r="F121" i="147"/>
  <c r="F120" i="147" s="1"/>
  <c r="F125" i="147" s="1"/>
  <c r="G125" i="147" s="1"/>
  <c r="L32" i="147"/>
  <c r="K32" i="147"/>
  <c r="G23" i="147"/>
  <c r="K50" i="147"/>
  <c r="K49" i="147" s="1"/>
  <c r="K121" i="147"/>
  <c r="K120" i="147" s="1"/>
  <c r="K125" i="147" s="1"/>
  <c r="G121" i="147"/>
  <c r="G120" i="147" s="1"/>
  <c r="K14" i="147"/>
  <c r="G33" i="147"/>
  <c r="K33" i="147" s="1"/>
  <c r="L33" i="147" s="1"/>
  <c r="G69" i="147"/>
  <c r="G68" i="147" s="1"/>
  <c r="K27" i="147"/>
  <c r="G26" i="147"/>
  <c r="G25" i="147" s="1"/>
  <c r="G48" i="147" s="1"/>
  <c r="G135" i="147"/>
  <c r="G134" i="147" s="1"/>
  <c r="G18" i="147"/>
  <c r="E26" i="147"/>
  <c r="E25" i="147" s="1"/>
  <c r="E48" i="147" s="1"/>
  <c r="E69" i="147"/>
  <c r="E68" i="147" s="1"/>
  <c r="E106" i="147" s="1"/>
  <c r="G106" i="147" s="1"/>
  <c r="J35" i="147"/>
  <c r="J26" i="147" s="1"/>
  <c r="J25" i="147" s="1"/>
  <c r="J48" i="147" s="1"/>
  <c r="J14" i="147"/>
  <c r="H140" i="147" l="1"/>
  <c r="F140" i="147"/>
  <c r="I140" i="147"/>
  <c r="K110" i="147"/>
  <c r="K109" i="147" s="1"/>
  <c r="K108" i="147" s="1"/>
  <c r="K112" i="147" s="1"/>
  <c r="G17" i="147"/>
  <c r="G16" i="147" s="1"/>
  <c r="K18" i="147"/>
  <c r="K17" i="147" s="1"/>
  <c r="K16" i="147" s="1"/>
  <c r="K23" i="147" s="1"/>
  <c r="K35" i="147"/>
  <c r="J140" i="147"/>
  <c r="G140" i="147"/>
  <c r="K26" i="147"/>
  <c r="K25" i="147" s="1"/>
  <c r="E140" i="147"/>
  <c r="K48" i="147" l="1"/>
  <c r="K140" i="147"/>
  <c r="G72" i="105" l="1"/>
  <c r="G71" i="105"/>
  <c r="G70" i="105"/>
  <c r="G69" i="105"/>
  <c r="H68" i="105"/>
  <c r="G68" i="105"/>
  <c r="F68" i="105"/>
  <c r="E68" i="105"/>
  <c r="D68" i="105"/>
  <c r="C68" i="105"/>
  <c r="H67" i="105"/>
  <c r="H73" i="105" s="1"/>
  <c r="G67" i="105"/>
  <c r="F67" i="105"/>
  <c r="F73" i="105" s="1"/>
  <c r="E67" i="105"/>
  <c r="E73" i="105" s="1"/>
  <c r="G73" i="105" s="1"/>
  <c r="D67" i="105"/>
  <c r="D73" i="105" s="1"/>
  <c r="C67" i="105"/>
  <c r="C73" i="105" s="1"/>
  <c r="H65" i="105"/>
  <c r="F65" i="105"/>
  <c r="E65" i="105"/>
  <c r="G65" i="105" s="1"/>
  <c r="G64" i="105"/>
  <c r="G63" i="105"/>
  <c r="H62" i="105"/>
  <c r="G62" i="105"/>
  <c r="H61" i="105"/>
  <c r="G61" i="105"/>
  <c r="F61" i="105"/>
  <c r="E61" i="105"/>
  <c r="D61" i="105"/>
  <c r="C61" i="105"/>
  <c r="H60" i="105"/>
  <c r="G60" i="105"/>
  <c r="F60" i="105"/>
  <c r="E60" i="105"/>
  <c r="D60" i="105"/>
  <c r="D65" i="105" s="1"/>
  <c r="C60" i="105"/>
  <c r="C65" i="105" s="1"/>
  <c r="H58" i="105"/>
  <c r="F58" i="105"/>
  <c r="E58" i="105"/>
  <c r="G58" i="105" s="1"/>
  <c r="D58" i="105"/>
  <c r="C58" i="105"/>
  <c r="G57" i="105"/>
  <c r="G56" i="105"/>
  <c r="G54" i="105" s="1"/>
  <c r="G53" i="105" s="1"/>
  <c r="G55" i="105"/>
  <c r="H54" i="105"/>
  <c r="F54" i="105"/>
  <c r="E54" i="105"/>
  <c r="D54" i="105"/>
  <c r="C54" i="105"/>
  <c r="H53" i="105"/>
  <c r="F53" i="105"/>
  <c r="E53" i="105"/>
  <c r="D53" i="105"/>
  <c r="C53" i="105"/>
  <c r="D51" i="105"/>
  <c r="F50" i="105"/>
  <c r="G50" i="105" s="1"/>
  <c r="G49" i="105"/>
  <c r="G48" i="105"/>
  <c r="G47" i="105"/>
  <c r="F46" i="105"/>
  <c r="G46" i="105" s="1"/>
  <c r="G45" i="105"/>
  <c r="G44" i="105"/>
  <c r="G43" i="105"/>
  <c r="G42" i="105"/>
  <c r="G41" i="105"/>
  <c r="G40" i="105"/>
  <c r="E39" i="105"/>
  <c r="G39" i="105" s="1"/>
  <c r="G38" i="105"/>
  <c r="E37" i="105"/>
  <c r="G37" i="105" s="1"/>
  <c r="G36" i="105"/>
  <c r="G35" i="105"/>
  <c r="G34" i="105"/>
  <c r="G33" i="105"/>
  <c r="G32" i="105"/>
  <c r="G31" i="105"/>
  <c r="H30" i="105"/>
  <c r="G30" i="105"/>
  <c r="E30" i="105"/>
  <c r="E27" i="105" s="1"/>
  <c r="E26" i="105" s="1"/>
  <c r="E51" i="105" s="1"/>
  <c r="G51" i="105" s="1"/>
  <c r="C30" i="105"/>
  <c r="G29" i="105"/>
  <c r="F28" i="105"/>
  <c r="F27" i="105" s="1"/>
  <c r="F26" i="105" s="1"/>
  <c r="F51" i="105" s="1"/>
  <c r="C28" i="105"/>
  <c r="C27" i="105" s="1"/>
  <c r="C26" i="105" s="1"/>
  <c r="C51" i="105" s="1"/>
  <c r="H27" i="105"/>
  <c r="H26" i="105" s="1"/>
  <c r="H51" i="105" s="1"/>
  <c r="D27" i="105"/>
  <c r="D26" i="105"/>
  <c r="G23" i="105"/>
  <c r="G22" i="105"/>
  <c r="G21" i="105"/>
  <c r="C21" i="105"/>
  <c r="C20" i="105" s="1"/>
  <c r="C16" i="105" s="1"/>
  <c r="C24" i="105" s="1"/>
  <c r="H20" i="105"/>
  <c r="G20" i="105"/>
  <c r="F20" i="105"/>
  <c r="E20" i="105"/>
  <c r="G19" i="105"/>
  <c r="G17" i="105" s="1"/>
  <c r="G16" i="105" s="1"/>
  <c r="G18" i="105"/>
  <c r="H17" i="105"/>
  <c r="F17" i="105"/>
  <c r="E17" i="105"/>
  <c r="D17" i="105"/>
  <c r="C17" i="105"/>
  <c r="H14" i="105"/>
  <c r="F14" i="105"/>
  <c r="E14" i="105"/>
  <c r="G14" i="105" s="1"/>
  <c r="D14" i="105"/>
  <c r="C14" i="105"/>
  <c r="G13" i="105"/>
  <c r="G12" i="105"/>
  <c r="G8" i="105" s="1"/>
  <c r="G7" i="105" s="1"/>
  <c r="G11" i="105"/>
  <c r="G10" i="105"/>
  <c r="G9" i="105"/>
  <c r="H8" i="105"/>
  <c r="F8" i="105"/>
  <c r="E8" i="105"/>
  <c r="D8" i="105"/>
  <c r="C8" i="105"/>
  <c r="H7" i="105"/>
  <c r="F7" i="105"/>
  <c r="E7" i="105"/>
  <c r="D7" i="105"/>
  <c r="C7" i="105"/>
  <c r="H16" i="105" l="1"/>
  <c r="H24" i="105" s="1"/>
  <c r="F16" i="105"/>
  <c r="F24" i="105" s="1"/>
  <c r="E16" i="105"/>
  <c r="E24" i="105" s="1"/>
  <c r="G24" i="105" s="1"/>
  <c r="G28" i="105"/>
  <c r="G27" i="105" s="1"/>
  <c r="G26" i="105" s="1"/>
  <c r="D21" i="105"/>
  <c r="D20" i="105" s="1"/>
  <c r="D16" i="105" s="1"/>
  <c r="D24" i="105" s="1"/>
  <c r="E7" i="101" l="1"/>
  <c r="F49" i="103" l="1"/>
  <c r="F29" i="103"/>
  <c r="E9" i="103" l="1"/>
  <c r="G71" i="103" l="1"/>
  <c r="G70" i="103"/>
  <c r="G69" i="103"/>
  <c r="G68" i="103"/>
  <c r="H67" i="103"/>
  <c r="G67" i="103"/>
  <c r="F67" i="103"/>
  <c r="E67" i="103"/>
  <c r="D67" i="103"/>
  <c r="C67" i="103"/>
  <c r="H66" i="103"/>
  <c r="H72" i="103" s="1"/>
  <c r="G66" i="103"/>
  <c r="F66" i="103"/>
  <c r="F72" i="103" s="1"/>
  <c r="E66" i="103"/>
  <c r="E72" i="103" s="1"/>
  <c r="G72" i="103" s="1"/>
  <c r="D66" i="103"/>
  <c r="D72" i="103" s="1"/>
  <c r="C66" i="103"/>
  <c r="C72" i="103" s="1"/>
  <c r="H64" i="103"/>
  <c r="G64" i="103"/>
  <c r="F64" i="103"/>
  <c r="E64" i="103"/>
  <c r="G63" i="103"/>
  <c r="G62" i="103"/>
  <c r="G60" i="103" s="1"/>
  <c r="G59" i="103" s="1"/>
  <c r="G61" i="103"/>
  <c r="H60" i="103"/>
  <c r="F60" i="103"/>
  <c r="E60" i="103"/>
  <c r="D60" i="103"/>
  <c r="C60" i="103"/>
  <c r="C59" i="103" s="1"/>
  <c r="C64" i="103" s="1"/>
  <c r="H59" i="103"/>
  <c r="F59" i="103"/>
  <c r="E59" i="103"/>
  <c r="D59" i="103"/>
  <c r="D64" i="103" s="1"/>
  <c r="F57" i="103"/>
  <c r="E57" i="103"/>
  <c r="G57" i="103" s="1"/>
  <c r="G56" i="103"/>
  <c r="G55" i="103"/>
  <c r="G54" i="103"/>
  <c r="G53" i="103" s="1"/>
  <c r="G52" i="103" s="1"/>
  <c r="H53" i="103"/>
  <c r="H52" i="103" s="1"/>
  <c r="H57" i="103" s="1"/>
  <c r="F53" i="103"/>
  <c r="E53" i="103"/>
  <c r="D53" i="103"/>
  <c r="C53" i="103"/>
  <c r="F52" i="103"/>
  <c r="E52" i="103"/>
  <c r="D52" i="103"/>
  <c r="D57" i="103" s="1"/>
  <c r="C52" i="103"/>
  <c r="C57" i="103" s="1"/>
  <c r="G49" i="103"/>
  <c r="G48" i="103"/>
  <c r="G47" i="103"/>
  <c r="G46" i="103"/>
  <c r="F45" i="103"/>
  <c r="G45" i="103" s="1"/>
  <c r="G44" i="103"/>
  <c r="G43" i="103"/>
  <c r="G42" i="103"/>
  <c r="G41" i="103"/>
  <c r="G40" i="103"/>
  <c r="G39" i="103"/>
  <c r="G38" i="103"/>
  <c r="G37" i="103"/>
  <c r="G36" i="103"/>
  <c r="G35" i="103"/>
  <c r="G34" i="103"/>
  <c r="G33" i="103"/>
  <c r="G32" i="103"/>
  <c r="G31" i="103"/>
  <c r="G30" i="103"/>
  <c r="G29" i="103"/>
  <c r="C29" i="103"/>
  <c r="G28" i="103"/>
  <c r="F27" i="103"/>
  <c r="G27" i="103" s="1"/>
  <c r="C27" i="103"/>
  <c r="H26" i="103"/>
  <c r="H25" i="103" s="1"/>
  <c r="H50" i="103" s="1"/>
  <c r="E26" i="103"/>
  <c r="E25" i="103" s="1"/>
  <c r="E50" i="103" s="1"/>
  <c r="D26" i="103"/>
  <c r="D25" i="103" s="1"/>
  <c r="D50" i="103" s="1"/>
  <c r="C26" i="103"/>
  <c r="C25" i="103" s="1"/>
  <c r="C50" i="103" s="1"/>
  <c r="G22" i="103"/>
  <c r="G21" i="103"/>
  <c r="G19" i="103" s="1"/>
  <c r="G20" i="103"/>
  <c r="C20" i="103"/>
  <c r="D20" i="103" s="1"/>
  <c r="D19" i="103" s="1"/>
  <c r="D15" i="103" s="1"/>
  <c r="D23" i="103" s="1"/>
  <c r="H19" i="103"/>
  <c r="F19" i="103"/>
  <c r="E19" i="103"/>
  <c r="C19" i="103"/>
  <c r="C15" i="103" s="1"/>
  <c r="C23" i="103" s="1"/>
  <c r="H16" i="103"/>
  <c r="H15" i="103" s="1"/>
  <c r="H23" i="103" s="1"/>
  <c r="E16" i="103"/>
  <c r="E15" i="103" s="1"/>
  <c r="E23" i="103" s="1"/>
  <c r="G17" i="103"/>
  <c r="F16" i="103"/>
  <c r="D16" i="103"/>
  <c r="C16" i="103"/>
  <c r="D13" i="103"/>
  <c r="C13" i="103"/>
  <c r="G12" i="103"/>
  <c r="G11" i="103"/>
  <c r="G10" i="103"/>
  <c r="E8" i="103"/>
  <c r="E7" i="103" s="1"/>
  <c r="E13" i="103" s="1"/>
  <c r="H8" i="103"/>
  <c r="H7" i="103" s="1"/>
  <c r="H13" i="103" s="1"/>
  <c r="F8" i="103"/>
  <c r="F7" i="103" s="1"/>
  <c r="F13" i="103" s="1"/>
  <c r="D8" i="103"/>
  <c r="C8" i="103"/>
  <c r="D7" i="103"/>
  <c r="C7" i="103"/>
  <c r="G26" i="103" l="1"/>
  <c r="G25" i="103" s="1"/>
  <c r="F15" i="103"/>
  <c r="F23" i="103" s="1"/>
  <c r="G23" i="103" s="1"/>
  <c r="G13" i="103"/>
  <c r="G18" i="103"/>
  <c r="G16" i="103" s="1"/>
  <c r="G15" i="103" s="1"/>
  <c r="F26" i="103"/>
  <c r="F25" i="103" s="1"/>
  <c r="F50" i="103" s="1"/>
  <c r="G50" i="103" s="1"/>
  <c r="G9" i="103"/>
  <c r="G8" i="103" s="1"/>
  <c r="G7" i="103" s="1"/>
  <c r="E9" i="102"/>
  <c r="G10" i="102"/>
  <c r="G55" i="102" l="1"/>
  <c r="G61" i="102" l="1"/>
  <c r="G71" i="102" l="1"/>
  <c r="G70" i="102"/>
  <c r="G69" i="102"/>
  <c r="G68" i="102"/>
  <c r="H67" i="102"/>
  <c r="G67" i="102"/>
  <c r="F67" i="102"/>
  <c r="F66" i="102" s="1"/>
  <c r="F72" i="102" s="1"/>
  <c r="E67" i="102"/>
  <c r="D67" i="102"/>
  <c r="C67" i="102"/>
  <c r="H66" i="102"/>
  <c r="H72" i="102" s="1"/>
  <c r="G66" i="102"/>
  <c r="E66" i="102"/>
  <c r="E72" i="102" s="1"/>
  <c r="D66" i="102"/>
  <c r="D72" i="102" s="1"/>
  <c r="C66" i="102"/>
  <c r="C72" i="102" s="1"/>
  <c r="G63" i="102"/>
  <c r="G62" i="102"/>
  <c r="G60" i="102" s="1"/>
  <c r="G59" i="102" s="1"/>
  <c r="H60" i="102"/>
  <c r="F60" i="102"/>
  <c r="F59" i="102" s="1"/>
  <c r="F64" i="102" s="1"/>
  <c r="E60" i="102"/>
  <c r="E59" i="102" s="1"/>
  <c r="E64" i="102" s="1"/>
  <c r="D60" i="102"/>
  <c r="C60" i="102"/>
  <c r="H59" i="102"/>
  <c r="H64" i="102" s="1"/>
  <c r="D59" i="102"/>
  <c r="D64" i="102" s="1"/>
  <c r="C59" i="102"/>
  <c r="C64" i="102" s="1"/>
  <c r="F57" i="102"/>
  <c r="C57" i="102"/>
  <c r="G56" i="102"/>
  <c r="G54" i="102"/>
  <c r="G53" i="102" s="1"/>
  <c r="G52" i="102" s="1"/>
  <c r="H53" i="102"/>
  <c r="H52" i="102" s="1"/>
  <c r="H57" i="102" s="1"/>
  <c r="F53" i="102"/>
  <c r="E53" i="102"/>
  <c r="E52" i="102" s="1"/>
  <c r="E57" i="102" s="1"/>
  <c r="G57" i="102" s="1"/>
  <c r="D53" i="102"/>
  <c r="D52" i="102" s="1"/>
  <c r="D57" i="102" s="1"/>
  <c r="C53" i="102"/>
  <c r="F52" i="102"/>
  <c r="C52" i="102"/>
  <c r="G49" i="102"/>
  <c r="G48" i="102"/>
  <c r="G47" i="102"/>
  <c r="G46" i="102"/>
  <c r="F45" i="102"/>
  <c r="G45" i="102" s="1"/>
  <c r="G44" i="102"/>
  <c r="G43" i="102"/>
  <c r="G42" i="102"/>
  <c r="G41" i="102"/>
  <c r="G40" i="102"/>
  <c r="G39" i="102"/>
  <c r="G38" i="102"/>
  <c r="G37" i="102"/>
  <c r="G36" i="102"/>
  <c r="G35" i="102"/>
  <c r="G34" i="102"/>
  <c r="G33" i="102"/>
  <c r="G32" i="102"/>
  <c r="G31" i="102"/>
  <c r="G30" i="102"/>
  <c r="G29" i="102"/>
  <c r="C29" i="102"/>
  <c r="G28" i="102"/>
  <c r="F27" i="102"/>
  <c r="G27" i="102" s="1"/>
  <c r="C27" i="102"/>
  <c r="H26" i="102"/>
  <c r="H25" i="102" s="1"/>
  <c r="H50" i="102" s="1"/>
  <c r="E26" i="102"/>
  <c r="E25" i="102" s="1"/>
  <c r="E50" i="102" s="1"/>
  <c r="D26" i="102"/>
  <c r="D25" i="102" s="1"/>
  <c r="D50" i="102" s="1"/>
  <c r="C26" i="102"/>
  <c r="C25" i="102" s="1"/>
  <c r="C50" i="102" s="1"/>
  <c r="G22" i="102"/>
  <c r="G21" i="102"/>
  <c r="G20" i="102"/>
  <c r="C20" i="102"/>
  <c r="D20" i="102" s="1"/>
  <c r="D19" i="102" s="1"/>
  <c r="D15" i="102" s="1"/>
  <c r="D23" i="102" s="1"/>
  <c r="H19" i="102"/>
  <c r="G19" i="102"/>
  <c r="F19" i="102"/>
  <c r="E19" i="102"/>
  <c r="C19" i="102"/>
  <c r="C15" i="102" s="1"/>
  <c r="C23" i="102" s="1"/>
  <c r="H16" i="102"/>
  <c r="H15" i="102" s="1"/>
  <c r="H23" i="102" s="1"/>
  <c r="E16" i="102"/>
  <c r="E15" i="102" s="1"/>
  <c r="E23" i="102" s="1"/>
  <c r="G17" i="102"/>
  <c r="F16" i="102"/>
  <c r="D16" i="102"/>
  <c r="C16" i="102"/>
  <c r="D13" i="102"/>
  <c r="G12" i="102"/>
  <c r="G11" i="102"/>
  <c r="G9" i="102"/>
  <c r="G8" i="102" s="1"/>
  <c r="G7" i="102" s="1"/>
  <c r="H8" i="102"/>
  <c r="H7" i="102" s="1"/>
  <c r="H13" i="102" s="1"/>
  <c r="F8" i="102"/>
  <c r="F7" i="102" s="1"/>
  <c r="F13" i="102" s="1"/>
  <c r="E8" i="102"/>
  <c r="E7" i="102" s="1"/>
  <c r="E13" i="102" s="1"/>
  <c r="D8" i="102"/>
  <c r="C8" i="102"/>
  <c r="C7" i="102" s="1"/>
  <c r="C13" i="102" s="1"/>
  <c r="D7" i="102"/>
  <c r="G72" i="102" l="1"/>
  <c r="G64" i="102"/>
  <c r="F15" i="102"/>
  <c r="F23" i="102" s="1"/>
  <c r="G23" i="102" s="1"/>
  <c r="G26" i="102"/>
  <c r="G25" i="102" s="1"/>
  <c r="G13" i="102"/>
  <c r="G18" i="102"/>
  <c r="G16" i="102" s="1"/>
  <c r="G15" i="102" s="1"/>
  <c r="F26" i="102"/>
  <c r="F25" i="102" s="1"/>
  <c r="F50" i="102" s="1"/>
  <c r="G50" i="102" s="1"/>
  <c r="H16" i="100" l="1"/>
  <c r="G17" i="100" l="1"/>
  <c r="H15" i="100"/>
  <c r="H14" i="100" s="1"/>
  <c r="H22" i="100" s="1"/>
  <c r="F15" i="100"/>
  <c r="E15" i="100"/>
  <c r="D15" i="100"/>
  <c r="C15" i="100"/>
  <c r="G69" i="100"/>
  <c r="G68" i="100"/>
  <c r="G67" i="100"/>
  <c r="G66" i="100"/>
  <c r="H65" i="100"/>
  <c r="G65" i="100"/>
  <c r="F65" i="100"/>
  <c r="E65" i="100"/>
  <c r="D65" i="100"/>
  <c r="C65" i="100"/>
  <c r="H64" i="100"/>
  <c r="H70" i="100" s="1"/>
  <c r="G64" i="100"/>
  <c r="F64" i="100"/>
  <c r="F70" i="100" s="1"/>
  <c r="E64" i="100"/>
  <c r="E70" i="100" s="1"/>
  <c r="G70" i="100" s="1"/>
  <c r="D64" i="100"/>
  <c r="D70" i="100" s="1"/>
  <c r="C64" i="100"/>
  <c r="C70" i="100" s="1"/>
  <c r="G61" i="100"/>
  <c r="G60" i="100"/>
  <c r="G59" i="100"/>
  <c r="G58" i="100" s="1"/>
  <c r="G57" i="100" s="1"/>
  <c r="H58" i="100"/>
  <c r="H57" i="100" s="1"/>
  <c r="H62" i="100" s="1"/>
  <c r="F58" i="100"/>
  <c r="F57" i="100" s="1"/>
  <c r="F62" i="100" s="1"/>
  <c r="E58" i="100"/>
  <c r="E57" i="100" s="1"/>
  <c r="E62" i="100" s="1"/>
  <c r="G62" i="100" s="1"/>
  <c r="D58" i="100"/>
  <c r="C58" i="100"/>
  <c r="D57" i="100"/>
  <c r="D62" i="100" s="1"/>
  <c r="C57" i="100"/>
  <c r="C62" i="100" s="1"/>
  <c r="G54" i="100"/>
  <c r="G53" i="100"/>
  <c r="G52" i="100" s="1"/>
  <c r="G51" i="100" s="1"/>
  <c r="H52" i="100"/>
  <c r="H51" i="100" s="1"/>
  <c r="H55" i="100" s="1"/>
  <c r="F52" i="100"/>
  <c r="E52" i="100"/>
  <c r="D52" i="100"/>
  <c r="C52" i="100"/>
  <c r="F51" i="100"/>
  <c r="F55" i="100" s="1"/>
  <c r="E51" i="100"/>
  <c r="E55" i="100" s="1"/>
  <c r="G55" i="100" s="1"/>
  <c r="D51" i="100"/>
  <c r="D55" i="100" s="1"/>
  <c r="C51" i="100"/>
  <c r="C55" i="100" s="1"/>
  <c r="G48" i="100"/>
  <c r="G47" i="100"/>
  <c r="G46" i="100"/>
  <c r="F45" i="100"/>
  <c r="G45" i="100" s="1"/>
  <c r="G44" i="100"/>
  <c r="F44" i="100"/>
  <c r="G43" i="100"/>
  <c r="G42" i="100"/>
  <c r="G41" i="100"/>
  <c r="G40" i="100"/>
  <c r="G39" i="100"/>
  <c r="G38" i="100"/>
  <c r="F37" i="100"/>
  <c r="G37" i="100" s="1"/>
  <c r="G36" i="100"/>
  <c r="G35" i="100"/>
  <c r="G34" i="100"/>
  <c r="G33" i="100"/>
  <c r="G32" i="100"/>
  <c r="G31" i="100"/>
  <c r="G30" i="100"/>
  <c r="G29" i="100"/>
  <c r="G28" i="100"/>
  <c r="C28" i="100"/>
  <c r="G27" i="100"/>
  <c r="F26" i="100"/>
  <c r="G26" i="100" s="1"/>
  <c r="C26" i="100"/>
  <c r="H25" i="100"/>
  <c r="H24" i="100" s="1"/>
  <c r="H49" i="100" s="1"/>
  <c r="F25" i="100"/>
  <c r="F24" i="100" s="1"/>
  <c r="F49" i="100" s="1"/>
  <c r="E25" i="100"/>
  <c r="E24" i="100" s="1"/>
  <c r="E49" i="100" s="1"/>
  <c r="G49" i="100" s="1"/>
  <c r="D25" i="100"/>
  <c r="D24" i="100" s="1"/>
  <c r="D49" i="100" s="1"/>
  <c r="C25" i="100"/>
  <c r="C24" i="100" s="1"/>
  <c r="C49" i="100" s="1"/>
  <c r="G21" i="100"/>
  <c r="G20" i="100"/>
  <c r="G19" i="100"/>
  <c r="G18" i="100" s="1"/>
  <c r="C19" i="100"/>
  <c r="D19" i="100" s="1"/>
  <c r="D18" i="100" s="1"/>
  <c r="H18" i="100"/>
  <c r="F18" i="100"/>
  <c r="E18" i="100"/>
  <c r="C18" i="100"/>
  <c r="G16" i="100"/>
  <c r="G11" i="100"/>
  <c r="G10" i="100"/>
  <c r="G9" i="100"/>
  <c r="G8" i="100" s="1"/>
  <c r="G7" i="100" s="1"/>
  <c r="H8" i="100"/>
  <c r="H7" i="100" s="1"/>
  <c r="H12" i="100" s="1"/>
  <c r="F8" i="100"/>
  <c r="F7" i="100" s="1"/>
  <c r="F12" i="100" s="1"/>
  <c r="E8" i="100"/>
  <c r="E7" i="100" s="1"/>
  <c r="E12" i="100" s="1"/>
  <c r="G12" i="100" s="1"/>
  <c r="D8" i="100"/>
  <c r="D7" i="100" s="1"/>
  <c r="D12" i="100" s="1"/>
  <c r="C8" i="100"/>
  <c r="C7" i="100" s="1"/>
  <c r="C12" i="100" s="1"/>
  <c r="G15" i="100" l="1"/>
  <c r="G14" i="100" s="1"/>
  <c r="G25" i="100"/>
  <c r="G24" i="100" s="1"/>
  <c r="E14" i="100"/>
  <c r="E22" i="100" s="1"/>
  <c r="D14" i="100"/>
  <c r="D22" i="100" s="1"/>
  <c r="C14" i="100"/>
  <c r="C22" i="100" s="1"/>
  <c r="F14" i="100"/>
  <c r="F22" i="100" s="1"/>
  <c r="F43" i="99"/>
  <c r="F36" i="99"/>
  <c r="F44" i="99"/>
  <c r="F25" i="99"/>
  <c r="G22" i="100" l="1"/>
  <c r="D18" i="99"/>
  <c r="C18" i="99"/>
  <c r="C15" i="99" s="1"/>
  <c r="G68" i="99"/>
  <c r="G67" i="99"/>
  <c r="G66" i="99"/>
  <c r="G65" i="99"/>
  <c r="G64" i="99" s="1"/>
  <c r="G63" i="99" s="1"/>
  <c r="H64" i="99"/>
  <c r="F64" i="99"/>
  <c r="F63" i="99" s="1"/>
  <c r="F69" i="99" s="1"/>
  <c r="E64" i="99"/>
  <c r="D64" i="99"/>
  <c r="C64" i="99"/>
  <c r="H63" i="99"/>
  <c r="H69" i="99" s="1"/>
  <c r="E63" i="99"/>
  <c r="E69" i="99" s="1"/>
  <c r="D63" i="99"/>
  <c r="D69" i="99" s="1"/>
  <c r="C63" i="99"/>
  <c r="C69" i="99" s="1"/>
  <c r="G60" i="99"/>
  <c r="G59" i="99"/>
  <c r="G57" i="99" s="1"/>
  <c r="G56" i="99" s="1"/>
  <c r="G58" i="99"/>
  <c r="H57" i="99"/>
  <c r="H56" i="99" s="1"/>
  <c r="H61" i="99" s="1"/>
  <c r="F57" i="99"/>
  <c r="F56" i="99" s="1"/>
  <c r="F61" i="99" s="1"/>
  <c r="E57" i="99"/>
  <c r="E56" i="99" s="1"/>
  <c r="E61" i="99" s="1"/>
  <c r="G61" i="99" s="1"/>
  <c r="D57" i="99"/>
  <c r="D56" i="99" s="1"/>
  <c r="D61" i="99" s="1"/>
  <c r="C57" i="99"/>
  <c r="C56" i="99"/>
  <c r="C61" i="99" s="1"/>
  <c r="G53" i="99"/>
  <c r="G52" i="99"/>
  <c r="H51" i="99"/>
  <c r="H50" i="99" s="1"/>
  <c r="H54" i="99" s="1"/>
  <c r="F51" i="99"/>
  <c r="E51" i="99"/>
  <c r="D51" i="99"/>
  <c r="C51" i="99"/>
  <c r="F50" i="99"/>
  <c r="F54" i="99" s="1"/>
  <c r="E50" i="99"/>
  <c r="E54" i="99" s="1"/>
  <c r="G54" i="99" s="1"/>
  <c r="D50" i="99"/>
  <c r="D54" i="99" s="1"/>
  <c r="C50" i="99"/>
  <c r="C54" i="99" s="1"/>
  <c r="G47" i="99"/>
  <c r="G46" i="99"/>
  <c r="G45" i="99"/>
  <c r="G44" i="99"/>
  <c r="G43" i="99"/>
  <c r="G42" i="99"/>
  <c r="G41" i="99"/>
  <c r="G40" i="99"/>
  <c r="G39" i="99"/>
  <c r="G38" i="99"/>
  <c r="G37" i="99"/>
  <c r="G36" i="99"/>
  <c r="G35" i="99"/>
  <c r="G34" i="99"/>
  <c r="G33" i="99"/>
  <c r="G32" i="99"/>
  <c r="G31" i="99"/>
  <c r="G30" i="99"/>
  <c r="G29" i="99"/>
  <c r="G28" i="99"/>
  <c r="G27" i="99"/>
  <c r="C27" i="99"/>
  <c r="G26" i="99"/>
  <c r="G25" i="99"/>
  <c r="C25" i="99"/>
  <c r="H24" i="99"/>
  <c r="H23" i="99" s="1"/>
  <c r="H48" i="99" s="1"/>
  <c r="F24" i="99"/>
  <c r="F23" i="99" s="1"/>
  <c r="F48" i="99" s="1"/>
  <c r="E24" i="99"/>
  <c r="E23" i="99" s="1"/>
  <c r="E48" i="99" s="1"/>
  <c r="D24" i="99"/>
  <c r="D23" i="99" s="1"/>
  <c r="D48" i="99" s="1"/>
  <c r="C24" i="99"/>
  <c r="C23" i="99" s="1"/>
  <c r="C48" i="99" s="1"/>
  <c r="G20" i="99"/>
  <c r="G19" i="99"/>
  <c r="G18" i="99"/>
  <c r="H17" i="99"/>
  <c r="G17" i="99"/>
  <c r="F17" i="99"/>
  <c r="E17" i="99"/>
  <c r="D17" i="99"/>
  <c r="G16" i="99"/>
  <c r="H15" i="99"/>
  <c r="G15" i="99"/>
  <c r="F15" i="99"/>
  <c r="E15" i="99"/>
  <c r="D15" i="99"/>
  <c r="G11" i="99"/>
  <c r="G10" i="99"/>
  <c r="G9" i="99"/>
  <c r="H8" i="99"/>
  <c r="H7" i="99" s="1"/>
  <c r="H12" i="99" s="1"/>
  <c r="G8" i="99"/>
  <c r="G7" i="99" s="1"/>
  <c r="F8" i="99"/>
  <c r="F7" i="99" s="1"/>
  <c r="F12" i="99" s="1"/>
  <c r="E8" i="99"/>
  <c r="E7" i="99" s="1"/>
  <c r="E12" i="99" s="1"/>
  <c r="D8" i="99"/>
  <c r="D7" i="99" s="1"/>
  <c r="D12" i="99" s="1"/>
  <c r="C8" i="99"/>
  <c r="C7" i="99" s="1"/>
  <c r="C12" i="99" s="1"/>
  <c r="G51" i="99" l="1"/>
  <c r="G50" i="99" s="1"/>
  <c r="G69" i="99"/>
  <c r="H14" i="99"/>
  <c r="H21" i="99" s="1"/>
  <c r="E14" i="99"/>
  <c r="E21" i="99" s="1"/>
  <c r="F14" i="99"/>
  <c r="F21" i="99" s="1"/>
  <c r="G14" i="99"/>
  <c r="D14" i="99"/>
  <c r="D21" i="99" s="1"/>
  <c r="C17" i="99"/>
  <c r="C14" i="99" s="1"/>
  <c r="C21" i="99" s="1"/>
  <c r="G24" i="99"/>
  <c r="G23" i="99" s="1"/>
  <c r="G48" i="99"/>
  <c r="G12" i="99"/>
  <c r="D16" i="98"/>
  <c r="C16" i="98"/>
  <c r="G21" i="99" l="1"/>
  <c r="E25" i="98"/>
  <c r="H9" i="98" l="1"/>
  <c r="G68" i="98" l="1"/>
  <c r="G67" i="98"/>
  <c r="G66" i="98"/>
  <c r="G65" i="98"/>
  <c r="H64" i="98"/>
  <c r="H63" i="98" s="1"/>
  <c r="H69" i="98" s="1"/>
  <c r="F64" i="98"/>
  <c r="E64" i="98"/>
  <c r="D64" i="98"/>
  <c r="C64" i="98"/>
  <c r="F63" i="98"/>
  <c r="F69" i="98" s="1"/>
  <c r="E63" i="98"/>
  <c r="E69" i="98" s="1"/>
  <c r="D63" i="98"/>
  <c r="D69" i="98" s="1"/>
  <c r="C63" i="98"/>
  <c r="C69" i="98" s="1"/>
  <c r="G60" i="98"/>
  <c r="G59" i="98"/>
  <c r="G58" i="98"/>
  <c r="G57" i="98" s="1"/>
  <c r="G56" i="98" s="1"/>
  <c r="H57" i="98"/>
  <c r="H56" i="98" s="1"/>
  <c r="H61" i="98" s="1"/>
  <c r="F57" i="98"/>
  <c r="F56" i="98" s="1"/>
  <c r="F61" i="98" s="1"/>
  <c r="E57" i="98"/>
  <c r="E56" i="98" s="1"/>
  <c r="E61" i="98" s="1"/>
  <c r="G61" i="98" s="1"/>
  <c r="D57" i="98"/>
  <c r="C57" i="98"/>
  <c r="C56" i="98" s="1"/>
  <c r="C61" i="98" s="1"/>
  <c r="D56" i="98"/>
  <c r="D61" i="98" s="1"/>
  <c r="G53" i="98"/>
  <c r="G52" i="98"/>
  <c r="H51" i="98"/>
  <c r="H50" i="98" s="1"/>
  <c r="H54" i="98" s="1"/>
  <c r="F51" i="98"/>
  <c r="F50" i="98" s="1"/>
  <c r="F54" i="98" s="1"/>
  <c r="E51" i="98"/>
  <c r="D51" i="98"/>
  <c r="C51" i="98"/>
  <c r="C50" i="98" s="1"/>
  <c r="C54" i="98" s="1"/>
  <c r="E50" i="98"/>
  <c r="E54" i="98" s="1"/>
  <c r="D50" i="98"/>
  <c r="D54" i="98" s="1"/>
  <c r="G47" i="98"/>
  <c r="G46" i="98"/>
  <c r="G45" i="98"/>
  <c r="G44" i="98"/>
  <c r="G43" i="98"/>
  <c r="G42" i="98"/>
  <c r="G41" i="98"/>
  <c r="G40" i="98"/>
  <c r="G39" i="98"/>
  <c r="G38" i="98"/>
  <c r="G37" i="98"/>
  <c r="F24" i="98"/>
  <c r="F23" i="98" s="1"/>
  <c r="F48" i="98" s="1"/>
  <c r="G35" i="98"/>
  <c r="G34" i="98"/>
  <c r="G33" i="98"/>
  <c r="G32" i="98"/>
  <c r="G31" i="98"/>
  <c r="G30" i="98"/>
  <c r="G29" i="98"/>
  <c r="G28" i="98"/>
  <c r="G27" i="98"/>
  <c r="C27" i="98"/>
  <c r="G26" i="98"/>
  <c r="G25" i="98"/>
  <c r="C25" i="98"/>
  <c r="H24" i="98"/>
  <c r="H23" i="98" s="1"/>
  <c r="H48" i="98" s="1"/>
  <c r="E24" i="98"/>
  <c r="E23" i="98" s="1"/>
  <c r="E48" i="98" s="1"/>
  <c r="D24" i="98"/>
  <c r="D23" i="98" s="1"/>
  <c r="D48" i="98" s="1"/>
  <c r="C24" i="98"/>
  <c r="C23" i="98" s="1"/>
  <c r="C48" i="98" s="1"/>
  <c r="G20" i="98"/>
  <c r="G19" i="98"/>
  <c r="G18" i="98"/>
  <c r="H17" i="98"/>
  <c r="F17" i="98"/>
  <c r="E17" i="98"/>
  <c r="D17" i="98"/>
  <c r="C17" i="98"/>
  <c r="G16" i="98"/>
  <c r="G15" i="98" s="1"/>
  <c r="H15" i="98"/>
  <c r="H14" i="98" s="1"/>
  <c r="H21" i="98" s="1"/>
  <c r="F15" i="98"/>
  <c r="E15" i="98"/>
  <c r="D15" i="98"/>
  <c r="C15" i="98"/>
  <c r="G11" i="98"/>
  <c r="G10" i="98"/>
  <c r="G9" i="98"/>
  <c r="G8" i="98" s="1"/>
  <c r="G7" i="98" s="1"/>
  <c r="H8" i="98"/>
  <c r="H7" i="98" s="1"/>
  <c r="H12" i="98" s="1"/>
  <c r="F8" i="98"/>
  <c r="F7" i="98" s="1"/>
  <c r="F12" i="98" s="1"/>
  <c r="E8" i="98"/>
  <c r="E7" i="98" s="1"/>
  <c r="E12" i="98" s="1"/>
  <c r="D8" i="98"/>
  <c r="D7" i="98" s="1"/>
  <c r="D12" i="98" s="1"/>
  <c r="C8" i="98"/>
  <c r="C7" i="98" s="1"/>
  <c r="C12" i="98" s="1"/>
  <c r="G51" i="98" l="1"/>
  <c r="G50" i="98" s="1"/>
  <c r="G69" i="98"/>
  <c r="D14" i="98"/>
  <c r="D21" i="98" s="1"/>
  <c r="C14" i="98"/>
  <c r="C21" i="98" s="1"/>
  <c r="F14" i="98"/>
  <c r="F21" i="98" s="1"/>
  <c r="E14" i="98"/>
  <c r="E21" i="98" s="1"/>
  <c r="G21" i="98" s="1"/>
  <c r="G54" i="98"/>
  <c r="G64" i="98"/>
  <c r="G63" i="98" s="1"/>
  <c r="G17" i="98"/>
  <c r="G14" i="98" s="1"/>
  <c r="G48" i="98"/>
  <c r="G12" i="98"/>
  <c r="G36" i="98"/>
  <c r="G24" i="98" s="1"/>
  <c r="G23" i="98" s="1"/>
  <c r="G36" i="97"/>
  <c r="H31" i="97" l="1"/>
  <c r="H28" i="97"/>
  <c r="H32" i="97"/>
  <c r="C27" i="97"/>
  <c r="C25" i="97"/>
  <c r="H40" i="97"/>
  <c r="H46" i="97"/>
  <c r="H45" i="97"/>
  <c r="H44" i="97"/>
  <c r="H43" i="97"/>
  <c r="H42" i="97" l="1"/>
  <c r="H71" i="97" l="1"/>
  <c r="H70" i="97"/>
  <c r="H69" i="97"/>
  <c r="H68" i="97"/>
  <c r="I67" i="97"/>
  <c r="H67" i="97"/>
  <c r="G67" i="97"/>
  <c r="F67" i="97"/>
  <c r="E67" i="97"/>
  <c r="D67" i="97"/>
  <c r="C67" i="97"/>
  <c r="C66" i="97" s="1"/>
  <c r="C72" i="97" s="1"/>
  <c r="I66" i="97"/>
  <c r="I72" i="97" s="1"/>
  <c r="H66" i="97"/>
  <c r="G66" i="97"/>
  <c r="G72" i="97" s="1"/>
  <c r="F66" i="97"/>
  <c r="F72" i="97" s="1"/>
  <c r="E66" i="97"/>
  <c r="E72" i="97" s="1"/>
  <c r="D66" i="97"/>
  <c r="D72" i="97" s="1"/>
  <c r="H63" i="97"/>
  <c r="H62" i="97"/>
  <c r="H61" i="97"/>
  <c r="H60" i="97"/>
  <c r="H59" i="97"/>
  <c r="H58" i="97"/>
  <c r="I57" i="97"/>
  <c r="I56" i="97" s="1"/>
  <c r="I64" i="97" s="1"/>
  <c r="G57" i="97"/>
  <c r="G56" i="97" s="1"/>
  <c r="G64" i="97" s="1"/>
  <c r="F57" i="97"/>
  <c r="F56" i="97" s="1"/>
  <c r="F64" i="97" s="1"/>
  <c r="E57" i="97"/>
  <c r="D57" i="97"/>
  <c r="C57" i="97"/>
  <c r="C56" i="97" s="1"/>
  <c r="C64" i="97" s="1"/>
  <c r="E56" i="97"/>
  <c r="E64" i="97" s="1"/>
  <c r="D56" i="97"/>
  <c r="D64" i="97" s="1"/>
  <c r="H52" i="97"/>
  <c r="H34" i="97"/>
  <c r="H33" i="97"/>
  <c r="H30" i="97"/>
  <c r="H29" i="97"/>
  <c r="H27" i="97"/>
  <c r="H26" i="97"/>
  <c r="H36" i="97"/>
  <c r="H35" i="97"/>
  <c r="H38" i="97"/>
  <c r="H37" i="97"/>
  <c r="H39" i="97"/>
  <c r="H19" i="97"/>
  <c r="H18" i="97"/>
  <c r="I17" i="97"/>
  <c r="G17" i="97"/>
  <c r="F17" i="97"/>
  <c r="E17" i="97"/>
  <c r="D17" i="97"/>
  <c r="I15" i="97"/>
  <c r="G15" i="97"/>
  <c r="F15" i="97"/>
  <c r="E15" i="97"/>
  <c r="D15" i="97"/>
  <c r="C17" i="97"/>
  <c r="C15" i="97"/>
  <c r="C14" i="97" s="1"/>
  <c r="C21" i="97" s="1"/>
  <c r="H53" i="97"/>
  <c r="H51" i="97"/>
  <c r="H50" i="97" s="1"/>
  <c r="I51" i="97"/>
  <c r="I50" i="97" s="1"/>
  <c r="I54" i="97" s="1"/>
  <c r="G51" i="97"/>
  <c r="G50" i="97" s="1"/>
  <c r="G54" i="97" s="1"/>
  <c r="F51" i="97"/>
  <c r="F50" i="97" s="1"/>
  <c r="F54" i="97" s="1"/>
  <c r="H54" i="97" s="1"/>
  <c r="E51" i="97"/>
  <c r="E50" i="97" s="1"/>
  <c r="E54" i="97" s="1"/>
  <c r="D51" i="97"/>
  <c r="D50" i="97" s="1"/>
  <c r="D54" i="97" s="1"/>
  <c r="C51" i="97"/>
  <c r="C50" i="97"/>
  <c r="C54" i="97" s="1"/>
  <c r="H47" i="97"/>
  <c r="H41" i="97"/>
  <c r="H25" i="97"/>
  <c r="I24" i="97"/>
  <c r="I23" i="97" s="1"/>
  <c r="I48" i="97" s="1"/>
  <c r="G24" i="97"/>
  <c r="G23" i="97" s="1"/>
  <c r="G48" i="97" s="1"/>
  <c r="F24" i="97"/>
  <c r="F23" i="97" s="1"/>
  <c r="F48" i="97" s="1"/>
  <c r="E24" i="97"/>
  <c r="E23" i="97" s="1"/>
  <c r="E48" i="97" s="1"/>
  <c r="D24" i="97"/>
  <c r="D23" i="97" s="1"/>
  <c r="D48" i="97" s="1"/>
  <c r="C24" i="97"/>
  <c r="C23" i="97" s="1"/>
  <c r="C48" i="97" s="1"/>
  <c r="H20" i="97"/>
  <c r="H16" i="97"/>
  <c r="H48" i="97" l="1"/>
  <c r="H72" i="97"/>
  <c r="H57" i="97"/>
  <c r="H56" i="97" s="1"/>
  <c r="H64" i="97"/>
  <c r="H15" i="97"/>
  <c r="H24" i="97"/>
  <c r="H23" i="97" s="1"/>
  <c r="H17" i="97"/>
  <c r="H11" i="97"/>
  <c r="H10" i="97"/>
  <c r="H9" i="97"/>
  <c r="I8" i="97"/>
  <c r="I7" i="97" s="1"/>
  <c r="I12" i="97" s="1"/>
  <c r="G8" i="97"/>
  <c r="G7" i="97" s="1"/>
  <c r="G12" i="97" s="1"/>
  <c r="F8" i="97"/>
  <c r="F7" i="97" s="1"/>
  <c r="F12" i="97" s="1"/>
  <c r="E8" i="97"/>
  <c r="E7" i="97" s="1"/>
  <c r="E12" i="97" s="1"/>
  <c r="D8" i="97"/>
  <c r="D7" i="97" s="1"/>
  <c r="D12" i="97" s="1"/>
  <c r="C8" i="97"/>
  <c r="C7" i="97" s="1"/>
  <c r="C12" i="97" s="1"/>
  <c r="H12" i="97" l="1"/>
  <c r="H8" i="97"/>
  <c r="H7" i="97" s="1"/>
  <c r="J164" i="7" l="1"/>
  <c r="G93" i="7" l="1"/>
  <c r="G40" i="7" l="1"/>
  <c r="G39" i="7" s="1"/>
  <c r="D40" i="7"/>
  <c r="J138" i="7" l="1"/>
  <c r="F136" i="7"/>
  <c r="G205" i="7" l="1"/>
  <c r="G137" i="7" l="1"/>
  <c r="G136" i="7"/>
  <c r="G134" i="7"/>
  <c r="G199" i="7"/>
  <c r="I205" i="7"/>
  <c r="F165" i="7" l="1"/>
  <c r="F168" i="7"/>
  <c r="F182" i="7"/>
  <c r="F188" i="7"/>
  <c r="J137" i="7" l="1"/>
  <c r="J147" i="7" l="1"/>
  <c r="J152" i="7" s="1"/>
  <c r="J146" i="7" l="1"/>
  <c r="J133" i="7"/>
  <c r="J132" i="7" s="1"/>
  <c r="J212" i="7"/>
  <c r="J209" i="7" s="1"/>
  <c r="J208" i="7" s="1"/>
  <c r="J144" i="7"/>
  <c r="J95" i="7"/>
  <c r="E211" i="7"/>
  <c r="E212" i="7"/>
  <c r="E213" i="7"/>
  <c r="E214" i="7"/>
  <c r="E215" i="7"/>
  <c r="J8" i="7" l="1"/>
  <c r="J7" i="7" s="1"/>
  <c r="E36" i="7"/>
  <c r="D39" i="7" l="1"/>
  <c r="H117" i="7" l="1"/>
  <c r="F117" i="7"/>
  <c r="E201" i="7" l="1"/>
  <c r="E202" i="7"/>
  <c r="E203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58" i="7"/>
  <c r="E159" i="7"/>
  <c r="E157" i="7"/>
  <c r="E149" i="7"/>
  <c r="E150" i="7"/>
  <c r="E151" i="7"/>
  <c r="E135" i="7"/>
  <c r="E136" i="7"/>
  <c r="E137" i="7"/>
  <c r="E138" i="7"/>
  <c r="E139" i="7"/>
  <c r="E140" i="7"/>
  <c r="E141" i="7"/>
  <c r="E142" i="7"/>
  <c r="E143" i="7"/>
  <c r="E95" i="7"/>
  <c r="E96" i="7"/>
  <c r="E97" i="7"/>
  <c r="E98" i="7"/>
  <c r="E99" i="7"/>
  <c r="E100" i="7"/>
  <c r="E101" i="7"/>
  <c r="E102" i="7"/>
  <c r="E105" i="7"/>
  <c r="E106" i="7"/>
  <c r="E108" i="7"/>
  <c r="E109" i="7"/>
  <c r="E110" i="7"/>
  <c r="E112" i="7"/>
  <c r="E113" i="7"/>
  <c r="E114" i="7"/>
  <c r="E115" i="7"/>
  <c r="E117" i="7"/>
  <c r="E118" i="7"/>
  <c r="E119" i="7"/>
  <c r="E120" i="7"/>
  <c r="E122" i="7"/>
  <c r="E123" i="7"/>
  <c r="E124" i="7"/>
  <c r="E125" i="7"/>
  <c r="E126" i="7"/>
  <c r="E127" i="7"/>
  <c r="E128" i="7"/>
  <c r="E129" i="7"/>
  <c r="E93" i="7"/>
  <c r="E44" i="7"/>
  <c r="E45" i="7"/>
  <c r="E46" i="7"/>
  <c r="E47" i="7"/>
  <c r="E48" i="7"/>
  <c r="E51" i="7"/>
  <c r="E53" i="7"/>
  <c r="E55" i="7"/>
  <c r="E56" i="7"/>
  <c r="E57" i="7"/>
  <c r="E60" i="7"/>
  <c r="E61" i="7"/>
  <c r="E63" i="7"/>
  <c r="E65" i="7"/>
  <c r="E67" i="7"/>
  <c r="E68" i="7"/>
  <c r="E69" i="7"/>
  <c r="E70" i="7"/>
  <c r="E71" i="7"/>
  <c r="E72" i="7"/>
  <c r="E73" i="7"/>
  <c r="E74" i="7"/>
  <c r="E75" i="7"/>
  <c r="E76" i="7"/>
  <c r="E78" i="7"/>
  <c r="E79" i="7"/>
  <c r="E80" i="7"/>
  <c r="E81" i="7"/>
  <c r="E10" i="7"/>
  <c r="E11" i="7"/>
  <c r="E14" i="7"/>
  <c r="E15" i="7"/>
  <c r="E17" i="7"/>
  <c r="E20" i="7"/>
  <c r="E21" i="7"/>
  <c r="E22" i="7"/>
  <c r="E24" i="7"/>
  <c r="E27" i="7"/>
  <c r="E29" i="7"/>
  <c r="E30" i="7"/>
  <c r="E31" i="7"/>
  <c r="E32" i="7"/>
  <c r="E33" i="7"/>
  <c r="E34" i="7"/>
  <c r="E35" i="7"/>
  <c r="E9" i="7"/>
  <c r="G209" i="7" l="1"/>
  <c r="G208" i="7" s="1"/>
  <c r="D209" i="7"/>
  <c r="D208" i="7" s="1"/>
  <c r="C209" i="7"/>
  <c r="C208" i="7" s="1"/>
  <c r="F210" i="7"/>
  <c r="H210" i="7"/>
  <c r="H209" i="7" s="1"/>
  <c r="H208" i="7" s="1"/>
  <c r="F209" i="7" l="1"/>
  <c r="F208" i="7" s="1"/>
  <c r="E210" i="7"/>
  <c r="G198" i="7"/>
  <c r="C199" i="7"/>
  <c r="C198" i="7" s="1"/>
  <c r="F200" i="7"/>
  <c r="F199" i="7" s="1"/>
  <c r="F198" i="7" l="1"/>
  <c r="E200" i="7"/>
  <c r="E199" i="7" s="1"/>
  <c r="D163" i="7"/>
  <c r="D162" i="7" s="1"/>
  <c r="C163" i="7"/>
  <c r="C162" i="7" s="1"/>
  <c r="E182" i="7"/>
  <c r="H165" i="7"/>
  <c r="H163" i="7" s="1"/>
  <c r="H196" i="7" s="1"/>
  <c r="E165" i="7"/>
  <c r="I194" i="7"/>
  <c r="H162" i="7" l="1"/>
  <c r="J64" i="7"/>
  <c r="J40" i="7" s="1"/>
  <c r="J39" i="7" s="1"/>
  <c r="H147" i="7" l="1"/>
  <c r="H146" i="7" s="1"/>
  <c r="G147" i="7"/>
  <c r="G146" i="7" s="1"/>
  <c r="F147" i="7"/>
  <c r="F146" i="7" s="1"/>
  <c r="C148" i="7"/>
  <c r="E148" i="7" s="1"/>
  <c r="H152" i="7" l="1"/>
  <c r="F152" i="7"/>
  <c r="I135" i="7"/>
  <c r="I136" i="7"/>
  <c r="I137" i="7"/>
  <c r="I138" i="7"/>
  <c r="I139" i="7"/>
  <c r="I140" i="7"/>
  <c r="I141" i="7"/>
  <c r="I142" i="7"/>
  <c r="I143" i="7"/>
  <c r="G133" i="7"/>
  <c r="G144" i="7" s="1"/>
  <c r="F133" i="7"/>
  <c r="F132" i="7" s="1"/>
  <c r="H133" i="7"/>
  <c r="H144" i="7" s="1"/>
  <c r="G132" i="7" l="1"/>
  <c r="H132" i="7"/>
  <c r="F144" i="7"/>
  <c r="J92" i="7"/>
  <c r="J91" i="7" s="1"/>
  <c r="D92" i="7"/>
  <c r="D130" i="7" s="1"/>
  <c r="C92" i="7"/>
  <c r="C130" i="7" s="1"/>
  <c r="J130" i="7" l="1"/>
  <c r="D91" i="7"/>
  <c r="C91" i="7"/>
  <c r="G92" i="7"/>
  <c r="G91" i="7" s="1"/>
  <c r="E121" i="7" l="1"/>
  <c r="F111" i="7"/>
  <c r="E111" i="7" s="1"/>
  <c r="F49" i="7" l="1"/>
  <c r="E49" i="7" s="1"/>
  <c r="F43" i="7"/>
  <c r="F41" i="7" l="1"/>
  <c r="E41" i="7" l="1"/>
  <c r="F62" i="7"/>
  <c r="E62" i="7" s="1"/>
  <c r="I215" i="7" l="1"/>
  <c r="I214" i="7"/>
  <c r="I213" i="7"/>
  <c r="I212" i="7"/>
  <c r="I211" i="7"/>
  <c r="H216" i="7"/>
  <c r="I210" i="7"/>
  <c r="J216" i="7"/>
  <c r="G216" i="7"/>
  <c r="D216" i="7"/>
  <c r="C216" i="7"/>
  <c r="I204" i="7"/>
  <c r="I203" i="7"/>
  <c r="I202" i="7"/>
  <c r="I201" i="7"/>
  <c r="H200" i="7"/>
  <c r="I200" i="7"/>
  <c r="J199" i="7"/>
  <c r="J198" i="7" s="1"/>
  <c r="J206" i="7" s="1"/>
  <c r="G206" i="7"/>
  <c r="D199" i="7"/>
  <c r="D198" i="7" s="1"/>
  <c r="D206" i="7" s="1"/>
  <c r="C206" i="7"/>
  <c r="J196" i="7"/>
  <c r="I195" i="7"/>
  <c r="I191" i="7"/>
  <c r="I189" i="7"/>
  <c r="I188" i="7"/>
  <c r="I187" i="7"/>
  <c r="I181" i="7"/>
  <c r="I180" i="7"/>
  <c r="I179" i="7"/>
  <c r="I177" i="7"/>
  <c r="I174" i="7"/>
  <c r="I171" i="7"/>
  <c r="I170" i="7"/>
  <c r="I169" i="7"/>
  <c r="I168" i="7"/>
  <c r="F164" i="7"/>
  <c r="J163" i="7"/>
  <c r="J162" i="7" s="1"/>
  <c r="G163" i="7"/>
  <c r="D196" i="7"/>
  <c r="J160" i="7"/>
  <c r="H160" i="7"/>
  <c r="G160" i="7"/>
  <c r="F160" i="7"/>
  <c r="I158" i="7"/>
  <c r="E156" i="7"/>
  <c r="I157" i="7"/>
  <c r="J156" i="7"/>
  <c r="J155" i="7" s="1"/>
  <c r="H156" i="7"/>
  <c r="H155" i="7" s="1"/>
  <c r="G156" i="7"/>
  <c r="G155" i="7" s="1"/>
  <c r="F156" i="7"/>
  <c r="F155" i="7" s="1"/>
  <c r="D156" i="7"/>
  <c r="D160" i="7" s="1"/>
  <c r="C156" i="7"/>
  <c r="C160" i="7" s="1"/>
  <c r="G152" i="7"/>
  <c r="I151" i="7"/>
  <c r="I150" i="7"/>
  <c r="I149" i="7"/>
  <c r="C147" i="7"/>
  <c r="C146" i="7" s="1"/>
  <c r="D147" i="7"/>
  <c r="I134" i="7"/>
  <c r="C134" i="7"/>
  <c r="D133" i="7"/>
  <c r="D144" i="7" s="1"/>
  <c r="G130" i="7"/>
  <c r="F116" i="7"/>
  <c r="E116" i="7" s="1"/>
  <c r="F107" i="7"/>
  <c r="E107" i="7" s="1"/>
  <c r="H104" i="7"/>
  <c r="F104" i="7"/>
  <c r="E104" i="7" s="1"/>
  <c r="F103" i="7"/>
  <c r="E103" i="7" s="1"/>
  <c r="F94" i="7"/>
  <c r="E94" i="7" s="1"/>
  <c r="H93" i="7"/>
  <c r="I79" i="7"/>
  <c r="I78" i="7"/>
  <c r="H77" i="7"/>
  <c r="F77" i="7"/>
  <c r="I76" i="7"/>
  <c r="I75" i="7"/>
  <c r="I74" i="7"/>
  <c r="I73" i="7"/>
  <c r="I72" i="7"/>
  <c r="I71" i="7"/>
  <c r="I70" i="7"/>
  <c r="I69" i="7"/>
  <c r="I68" i="7"/>
  <c r="I67" i="7"/>
  <c r="H66" i="7"/>
  <c r="F66" i="7"/>
  <c r="I65" i="7"/>
  <c r="H64" i="7"/>
  <c r="F64" i="7"/>
  <c r="E64" i="7" s="1"/>
  <c r="I63" i="7"/>
  <c r="H62" i="7"/>
  <c r="I62" i="7"/>
  <c r="I61" i="7"/>
  <c r="I60" i="7"/>
  <c r="H59" i="7"/>
  <c r="F59" i="7"/>
  <c r="E59" i="7" s="1"/>
  <c r="F58" i="7"/>
  <c r="E58" i="7" s="1"/>
  <c r="I57" i="7"/>
  <c r="I56" i="7"/>
  <c r="I55" i="7"/>
  <c r="H54" i="7"/>
  <c r="F54" i="7"/>
  <c r="E54" i="7" s="1"/>
  <c r="I53" i="7"/>
  <c r="H52" i="7"/>
  <c r="F52" i="7"/>
  <c r="I51" i="7"/>
  <c r="F50" i="7"/>
  <c r="E50" i="7" s="1"/>
  <c r="I48" i="7"/>
  <c r="I46" i="7"/>
  <c r="I45" i="7"/>
  <c r="I43" i="7"/>
  <c r="C43" i="7"/>
  <c r="C40" i="7" s="1"/>
  <c r="C39" i="7" s="1"/>
  <c r="H42" i="7"/>
  <c r="F42" i="7"/>
  <c r="I41" i="7"/>
  <c r="J87" i="7"/>
  <c r="G87" i="7"/>
  <c r="D87" i="7"/>
  <c r="I35" i="7"/>
  <c r="I34" i="7"/>
  <c r="I33" i="7"/>
  <c r="I32" i="7"/>
  <c r="I31" i="7"/>
  <c r="I30" i="7"/>
  <c r="I29" i="7"/>
  <c r="H28" i="7"/>
  <c r="F28" i="7"/>
  <c r="I27" i="7"/>
  <c r="H26" i="7"/>
  <c r="F26" i="7"/>
  <c r="I26" i="7" s="1"/>
  <c r="C26" i="7"/>
  <c r="H25" i="7"/>
  <c r="G25" i="7"/>
  <c r="F25" i="7"/>
  <c r="C25" i="7"/>
  <c r="I24" i="7"/>
  <c r="H23" i="7"/>
  <c r="F23" i="7"/>
  <c r="E23" i="7" s="1"/>
  <c r="I22" i="7"/>
  <c r="I21" i="7"/>
  <c r="I20" i="7"/>
  <c r="H20" i="7"/>
  <c r="F19" i="7"/>
  <c r="E19" i="7" s="1"/>
  <c r="H18" i="7"/>
  <c r="F18" i="7"/>
  <c r="I18" i="7" s="1"/>
  <c r="C18" i="7"/>
  <c r="I17" i="7"/>
  <c r="H17" i="7"/>
  <c r="F16" i="7"/>
  <c r="C16" i="7"/>
  <c r="I15" i="7"/>
  <c r="I14" i="7"/>
  <c r="I13" i="7"/>
  <c r="H13" i="7"/>
  <c r="C13" i="7"/>
  <c r="E13" i="7" s="1"/>
  <c r="I12" i="7"/>
  <c r="C12" i="7"/>
  <c r="I11" i="7"/>
  <c r="I10" i="7"/>
  <c r="H10" i="7"/>
  <c r="I9" i="7"/>
  <c r="J37" i="7"/>
  <c r="D8" i="7"/>
  <c r="D7" i="7" s="1"/>
  <c r="D37" i="7" s="1"/>
  <c r="F40" i="7" l="1"/>
  <c r="F39" i="7" s="1"/>
  <c r="F87" i="7" s="1"/>
  <c r="I87" i="7" s="1"/>
  <c r="H40" i="7"/>
  <c r="H39" i="7" s="1"/>
  <c r="H87" i="7" s="1"/>
  <c r="E16" i="7"/>
  <c r="E18" i="7"/>
  <c r="E12" i="7"/>
  <c r="C8" i="7"/>
  <c r="C7" i="7" s="1"/>
  <c r="C37" i="7" s="1"/>
  <c r="E43" i="7"/>
  <c r="C87" i="7"/>
  <c r="I52" i="7"/>
  <c r="E52" i="7"/>
  <c r="E25" i="7"/>
  <c r="E26" i="7"/>
  <c r="I28" i="7"/>
  <c r="E28" i="7"/>
  <c r="F163" i="7"/>
  <c r="F162" i="7" s="1"/>
  <c r="E164" i="7"/>
  <c r="C133" i="7"/>
  <c r="C132" i="7" s="1"/>
  <c r="E134" i="7"/>
  <c r="I42" i="7"/>
  <c r="E42" i="7"/>
  <c r="I66" i="7"/>
  <c r="E66" i="7"/>
  <c r="I77" i="7"/>
  <c r="E77" i="7"/>
  <c r="I133" i="7"/>
  <c r="I132" i="7" s="1"/>
  <c r="G162" i="7"/>
  <c r="G196" i="7"/>
  <c r="G8" i="7"/>
  <c r="G7" i="7" s="1"/>
  <c r="G37" i="7" s="1"/>
  <c r="I16" i="7"/>
  <c r="F8" i="7"/>
  <c r="F7" i="7" s="1"/>
  <c r="F37" i="7" s="1"/>
  <c r="I209" i="7"/>
  <c r="I208" i="7" s="1"/>
  <c r="H199" i="7"/>
  <c r="H198" i="7" s="1"/>
  <c r="H206" i="7" s="1"/>
  <c r="I199" i="7"/>
  <c r="I198" i="7" s="1"/>
  <c r="H92" i="7"/>
  <c r="F92" i="7"/>
  <c r="F206" i="7"/>
  <c r="I206" i="7" s="1"/>
  <c r="F216" i="7"/>
  <c r="I216" i="7" s="1"/>
  <c r="I156" i="7"/>
  <c r="I155" i="7" s="1"/>
  <c r="D155" i="7"/>
  <c r="I144" i="7"/>
  <c r="I54" i="7"/>
  <c r="I152" i="7"/>
  <c r="C155" i="7"/>
  <c r="E198" i="7"/>
  <c r="E206" i="7" s="1"/>
  <c r="I19" i="7"/>
  <c r="D132" i="7"/>
  <c r="I25" i="7"/>
  <c r="I165" i="7"/>
  <c r="C196" i="7"/>
  <c r="I59" i="7"/>
  <c r="I182" i="7"/>
  <c r="H8" i="7"/>
  <c r="H7" i="7" s="1"/>
  <c r="H37" i="7" s="1"/>
  <c r="I23" i="7"/>
  <c r="I49" i="7"/>
  <c r="D152" i="7"/>
  <c r="D146" i="7"/>
  <c r="E155" i="7"/>
  <c r="E160" i="7"/>
  <c r="I50" i="7"/>
  <c r="I58" i="7"/>
  <c r="I64" i="7"/>
  <c r="F196" i="7"/>
  <c r="I164" i="7"/>
  <c r="I148" i="7"/>
  <c r="I160" i="7"/>
  <c r="I186" i="7"/>
  <c r="C152" i="7"/>
  <c r="G42" i="6"/>
  <c r="F43" i="6"/>
  <c r="I57" i="6"/>
  <c r="I171" i="6"/>
  <c r="I40" i="7" l="1"/>
  <c r="I39" i="7" s="1"/>
  <c r="I196" i="7"/>
  <c r="E40" i="7"/>
  <c r="E8" i="7"/>
  <c r="E7" i="7" s="1"/>
  <c r="E37" i="7" s="1"/>
  <c r="C144" i="7"/>
  <c r="I147" i="7"/>
  <c r="I146" i="7" s="1"/>
  <c r="I8" i="7"/>
  <c r="I7" i="7" s="1"/>
  <c r="I37" i="7"/>
  <c r="E163" i="7"/>
  <c r="E162" i="7" s="1"/>
  <c r="I163" i="7"/>
  <c r="I162" i="7" s="1"/>
  <c r="E92" i="7"/>
  <c r="E91" i="7" s="1"/>
  <c r="E209" i="7"/>
  <c r="E208" i="7" s="1"/>
  <c r="E216" i="7" s="1"/>
  <c r="E133" i="7"/>
  <c r="F130" i="7"/>
  <c r="F91" i="7"/>
  <c r="H91" i="7"/>
  <c r="H130" i="7"/>
  <c r="E147" i="7"/>
  <c r="E39" i="7"/>
  <c r="E87" i="7" s="1"/>
  <c r="H204" i="6"/>
  <c r="E196" i="7" l="1"/>
  <c r="E152" i="7"/>
  <c r="E146" i="7"/>
  <c r="E130" i="7"/>
  <c r="I93" i="7"/>
  <c r="I130" i="7"/>
  <c r="E132" i="7"/>
  <c r="E144" i="7"/>
  <c r="F204" i="6"/>
  <c r="I92" i="7" l="1"/>
  <c r="I91" i="7" s="1"/>
  <c r="M149" i="6"/>
  <c r="M150" i="6"/>
  <c r="M151" i="6"/>
  <c r="M152" i="6"/>
  <c r="M153" i="6"/>
  <c r="M154" i="6"/>
  <c r="H146" i="6"/>
  <c r="G146" i="6"/>
  <c r="F131" i="6" l="1"/>
  <c r="F120" i="6"/>
  <c r="F119" i="6"/>
  <c r="H123" i="6"/>
  <c r="F123" i="6"/>
  <c r="H107" i="6"/>
  <c r="F107" i="6"/>
  <c r="F106" i="6"/>
  <c r="M70" i="6" l="1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H64" i="6"/>
  <c r="F64" i="6"/>
  <c r="I51" i="6"/>
  <c r="F44" i="6" l="1"/>
  <c r="H78" i="6"/>
  <c r="F78" i="6"/>
  <c r="H214" i="6" l="1"/>
  <c r="F214" i="6"/>
  <c r="J42" i="6" l="1"/>
  <c r="C66" i="6"/>
  <c r="H66" i="6"/>
  <c r="F66" i="6"/>
  <c r="E70" i="6" l="1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M67" i="6" l="1"/>
  <c r="E67" i="6" s="1"/>
  <c r="I67" i="6"/>
  <c r="M137" i="6" l="1"/>
  <c r="I137" i="6"/>
  <c r="I72" i="6" l="1"/>
  <c r="I74" i="6"/>
  <c r="I73" i="6"/>
  <c r="M69" i="6"/>
  <c r="E69" i="6" s="1"/>
  <c r="I69" i="6"/>
  <c r="H59" i="6"/>
  <c r="F59" i="6"/>
  <c r="H50" i="6"/>
  <c r="F50" i="6"/>
  <c r="J160" i="6" l="1"/>
  <c r="F160" i="6"/>
  <c r="I160" i="6" s="1"/>
  <c r="F190" i="6" l="1"/>
  <c r="F184" i="6"/>
  <c r="N200" i="6" l="1"/>
  <c r="N176" i="6"/>
  <c r="I68" i="6" l="1"/>
  <c r="I70" i="6"/>
  <c r="I71" i="6"/>
  <c r="I75" i="6"/>
  <c r="I76" i="6"/>
  <c r="I77" i="6"/>
  <c r="I78" i="6"/>
  <c r="I79" i="6"/>
  <c r="I80" i="6"/>
  <c r="I86" i="6"/>
  <c r="H62" i="6" l="1"/>
  <c r="H191" i="6" l="1"/>
  <c r="F191" i="6"/>
  <c r="F177" i="6"/>
  <c r="H106" i="6" l="1"/>
  <c r="F62" i="6" l="1"/>
  <c r="H58" i="6"/>
  <c r="F58" i="6"/>
  <c r="H54" i="6"/>
  <c r="F54" i="6"/>
  <c r="H49" i="6" l="1"/>
  <c r="F49" i="6"/>
  <c r="I207" i="6" l="1"/>
  <c r="M206" i="6" l="1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E196" i="6" s="1"/>
  <c r="M198" i="6"/>
  <c r="J176" i="6"/>
  <c r="J175" i="6" s="1"/>
  <c r="I193" i="6"/>
  <c r="I196" i="6"/>
  <c r="J200" i="6"/>
  <c r="F121" i="6" l="1"/>
  <c r="M109" i="6"/>
  <c r="E109" i="6" s="1"/>
  <c r="I109" i="6"/>
  <c r="M108" i="6"/>
  <c r="E108" i="6" s="1"/>
  <c r="I108" i="6"/>
  <c r="Q109" i="6" l="1"/>
  <c r="O109" i="6"/>
  <c r="Q108" i="6"/>
  <c r="O108" i="6"/>
  <c r="I170" i="6" l="1"/>
  <c r="B227" i="6"/>
  <c r="M219" i="6"/>
  <c r="E219" i="6" s="1"/>
  <c r="I219" i="6"/>
  <c r="I218" i="6"/>
  <c r="O218" i="6" s="1"/>
  <c r="M217" i="6"/>
  <c r="I217" i="6"/>
  <c r="M216" i="6"/>
  <c r="I216" i="6"/>
  <c r="I215" i="6"/>
  <c r="O215" i="6" s="1"/>
  <c r="M214" i="6"/>
  <c r="E214" i="6" s="1"/>
  <c r="I214" i="6"/>
  <c r="T213" i="6"/>
  <c r="T212" i="6" s="1"/>
  <c r="T220" i="6" s="1"/>
  <c r="S213" i="6"/>
  <c r="S212" i="6" s="1"/>
  <c r="S220" i="6" s="1"/>
  <c r="R213" i="6"/>
  <c r="R212" i="6" s="1"/>
  <c r="R220" i="6" s="1"/>
  <c r="P213" i="6"/>
  <c r="P212" i="6" s="1"/>
  <c r="P220" i="6" s="1"/>
  <c r="N213" i="6"/>
  <c r="N212" i="6" s="1"/>
  <c r="N220" i="6" s="1"/>
  <c r="L213" i="6"/>
  <c r="L212" i="6" s="1"/>
  <c r="L220" i="6" s="1"/>
  <c r="K213" i="6"/>
  <c r="K212" i="6" s="1"/>
  <c r="K220" i="6" s="1"/>
  <c r="J213" i="6"/>
  <c r="J212" i="6" s="1"/>
  <c r="J220" i="6" s="1"/>
  <c r="H213" i="6"/>
  <c r="H212" i="6" s="1"/>
  <c r="H220" i="6" s="1"/>
  <c r="G213" i="6"/>
  <c r="G212" i="6" s="1"/>
  <c r="G220" i="6" s="1"/>
  <c r="F213" i="6"/>
  <c r="F212" i="6" s="1"/>
  <c r="F220" i="6" s="1"/>
  <c r="D213" i="6"/>
  <c r="D212" i="6" s="1"/>
  <c r="D220" i="6" s="1"/>
  <c r="C213" i="6"/>
  <c r="C212" i="6" s="1"/>
  <c r="C220" i="6" s="1"/>
  <c r="M209" i="6"/>
  <c r="E209" i="6" s="1"/>
  <c r="I209" i="6"/>
  <c r="I208" i="6"/>
  <c r="O208" i="6" s="1"/>
  <c r="M205" i="6"/>
  <c r="I205" i="6"/>
  <c r="M207" i="6"/>
  <c r="I206" i="6"/>
  <c r="I204" i="6"/>
  <c r="T203" i="6"/>
  <c r="T202" i="6" s="1"/>
  <c r="T210" i="6" s="1"/>
  <c r="S203" i="6"/>
  <c r="S202" i="6" s="1"/>
  <c r="S210" i="6" s="1"/>
  <c r="R203" i="6"/>
  <c r="R202" i="6" s="1"/>
  <c r="R210" i="6" s="1"/>
  <c r="P203" i="6"/>
  <c r="P202" i="6" s="1"/>
  <c r="P210" i="6" s="1"/>
  <c r="N203" i="6"/>
  <c r="N202" i="6" s="1"/>
  <c r="N210" i="6" s="1"/>
  <c r="L203" i="6"/>
  <c r="L202" i="6" s="1"/>
  <c r="L210" i="6" s="1"/>
  <c r="K203" i="6"/>
  <c r="K202" i="6" s="1"/>
  <c r="K210" i="6" s="1"/>
  <c r="H203" i="6"/>
  <c r="H202" i="6" s="1"/>
  <c r="H210" i="6" s="1"/>
  <c r="G203" i="6"/>
  <c r="G202" i="6" s="1"/>
  <c r="G210" i="6" s="1"/>
  <c r="F203" i="6"/>
  <c r="F202" i="6" s="1"/>
  <c r="F210" i="6" s="1"/>
  <c r="D203" i="6"/>
  <c r="D202" i="6" s="1"/>
  <c r="D210" i="6" s="1"/>
  <c r="C203" i="6"/>
  <c r="C202" i="6" s="1"/>
  <c r="C210" i="6" s="1"/>
  <c r="T200" i="6"/>
  <c r="S200" i="6"/>
  <c r="R200" i="6"/>
  <c r="P200" i="6"/>
  <c r="L200" i="6"/>
  <c r="K200" i="6"/>
  <c r="H200" i="6"/>
  <c r="G200" i="6"/>
  <c r="M199" i="6"/>
  <c r="E199" i="6" s="1"/>
  <c r="I199" i="6"/>
  <c r="I198" i="6"/>
  <c r="E198" i="6"/>
  <c r="I195" i="6"/>
  <c r="E195" i="6"/>
  <c r="I194" i="6"/>
  <c r="O194" i="6" s="1"/>
  <c r="E194" i="6"/>
  <c r="E193" i="6"/>
  <c r="I192" i="6"/>
  <c r="E192" i="6"/>
  <c r="I191" i="6"/>
  <c r="E191" i="6"/>
  <c r="I190" i="6"/>
  <c r="E190" i="6"/>
  <c r="I189" i="6"/>
  <c r="E189" i="6"/>
  <c r="I188" i="6"/>
  <c r="E188" i="6"/>
  <c r="I187" i="6"/>
  <c r="E187" i="6"/>
  <c r="I186" i="6"/>
  <c r="E186" i="6"/>
  <c r="I185" i="6"/>
  <c r="O185" i="6" s="1"/>
  <c r="E185" i="6"/>
  <c r="I184" i="6"/>
  <c r="O184" i="6" s="1"/>
  <c r="E184" i="6"/>
  <c r="I183" i="6"/>
  <c r="E183" i="6"/>
  <c r="I182" i="6"/>
  <c r="O182" i="6" s="1"/>
  <c r="E182" i="6"/>
  <c r="I181" i="6"/>
  <c r="O181" i="6" s="1"/>
  <c r="E181" i="6"/>
  <c r="F180" i="6"/>
  <c r="I180" i="6" s="1"/>
  <c r="F178" i="6"/>
  <c r="I178" i="6" s="1"/>
  <c r="M177" i="6"/>
  <c r="I177" i="6"/>
  <c r="T176" i="6"/>
  <c r="T175" i="6" s="1"/>
  <c r="S176" i="6"/>
  <c r="S175" i="6" s="1"/>
  <c r="R176" i="6"/>
  <c r="R175" i="6" s="1"/>
  <c r="P176" i="6"/>
  <c r="P175" i="6" s="1"/>
  <c r="N175" i="6"/>
  <c r="L176" i="6"/>
  <c r="L175" i="6" s="1"/>
  <c r="K176" i="6"/>
  <c r="K175" i="6" s="1"/>
  <c r="H176" i="6"/>
  <c r="H175" i="6" s="1"/>
  <c r="G176" i="6"/>
  <c r="G175" i="6" s="1"/>
  <c r="D176" i="6"/>
  <c r="D200" i="6" s="1"/>
  <c r="C176" i="6"/>
  <c r="T173" i="6"/>
  <c r="S173" i="6"/>
  <c r="R173" i="6"/>
  <c r="P173" i="6"/>
  <c r="N173" i="6"/>
  <c r="L173" i="6"/>
  <c r="K173" i="6"/>
  <c r="J173" i="6"/>
  <c r="G173" i="6"/>
  <c r="M170" i="6"/>
  <c r="M173" i="6" s="1"/>
  <c r="T169" i="6"/>
  <c r="T168" i="6" s="1"/>
  <c r="S169" i="6"/>
  <c r="S168" i="6" s="1"/>
  <c r="R169" i="6"/>
  <c r="R168" i="6" s="1"/>
  <c r="P169" i="6"/>
  <c r="P168" i="6" s="1"/>
  <c r="N169" i="6"/>
  <c r="N168" i="6" s="1"/>
  <c r="L169" i="6"/>
  <c r="L168" i="6" s="1"/>
  <c r="K169" i="6"/>
  <c r="K168" i="6" s="1"/>
  <c r="J169" i="6"/>
  <c r="J168" i="6" s="1"/>
  <c r="G169" i="6"/>
  <c r="G168" i="6" s="1"/>
  <c r="D169" i="6"/>
  <c r="D173" i="6" s="1"/>
  <c r="C169" i="6"/>
  <c r="C173" i="6" s="1"/>
  <c r="T165" i="6"/>
  <c r="S165" i="6"/>
  <c r="R165" i="6"/>
  <c r="P165" i="6"/>
  <c r="N165" i="6"/>
  <c r="L165" i="6"/>
  <c r="K165" i="6"/>
  <c r="G165" i="6"/>
  <c r="F165" i="6"/>
  <c r="M164" i="6"/>
  <c r="E164" i="6" s="1"/>
  <c r="I164" i="6"/>
  <c r="I163" i="6"/>
  <c r="O163" i="6" s="1"/>
  <c r="M162" i="6"/>
  <c r="I162" i="6"/>
  <c r="M161" i="6"/>
  <c r="I161" i="6"/>
  <c r="H160" i="6"/>
  <c r="H165" i="6" s="1"/>
  <c r="C160" i="6"/>
  <c r="C159" i="6" s="1"/>
  <c r="C165" i="6" s="1"/>
  <c r="T159" i="6"/>
  <c r="T158" i="6" s="1"/>
  <c r="S159" i="6"/>
  <c r="S158" i="6" s="1"/>
  <c r="R159" i="6"/>
  <c r="R158" i="6" s="1"/>
  <c r="P159" i="6"/>
  <c r="P158" i="6" s="1"/>
  <c r="N159" i="6"/>
  <c r="N158" i="6" s="1"/>
  <c r="L159" i="6"/>
  <c r="L158" i="6" s="1"/>
  <c r="K159" i="6"/>
  <c r="K158" i="6" s="1"/>
  <c r="G159" i="6"/>
  <c r="G158" i="6" s="1"/>
  <c r="F159" i="6"/>
  <c r="F158" i="6" s="1"/>
  <c r="D159" i="6"/>
  <c r="D165" i="6" s="1"/>
  <c r="T156" i="6"/>
  <c r="S156" i="6"/>
  <c r="R156" i="6"/>
  <c r="P156" i="6"/>
  <c r="N156" i="6"/>
  <c r="L156" i="6"/>
  <c r="K156" i="6"/>
  <c r="J156" i="6"/>
  <c r="H156" i="6"/>
  <c r="G156" i="6"/>
  <c r="F156" i="6"/>
  <c r="M155" i="6"/>
  <c r="I155" i="6"/>
  <c r="I152" i="6"/>
  <c r="I151" i="6"/>
  <c r="N145" i="6"/>
  <c r="N144" i="6" s="1"/>
  <c r="I150" i="6"/>
  <c r="I149" i="6"/>
  <c r="M148" i="6"/>
  <c r="C148" i="6"/>
  <c r="M147" i="6"/>
  <c r="I147" i="6"/>
  <c r="M146" i="6"/>
  <c r="I146" i="6"/>
  <c r="C146" i="6"/>
  <c r="T145" i="6"/>
  <c r="T144" i="6" s="1"/>
  <c r="S145" i="6"/>
  <c r="S144" i="6" s="1"/>
  <c r="R145" i="6"/>
  <c r="R144" i="6" s="1"/>
  <c r="P145" i="6"/>
  <c r="P144" i="6" s="1"/>
  <c r="L145" i="6"/>
  <c r="L144" i="6" s="1"/>
  <c r="K145" i="6"/>
  <c r="K144" i="6" s="1"/>
  <c r="J145" i="6"/>
  <c r="J144" i="6" s="1"/>
  <c r="H145" i="6"/>
  <c r="H144" i="6" s="1"/>
  <c r="G145" i="6"/>
  <c r="G144" i="6" s="1"/>
  <c r="F145" i="6"/>
  <c r="F144" i="6" s="1"/>
  <c r="D145" i="6"/>
  <c r="D156" i="6" s="1"/>
  <c r="T142" i="6"/>
  <c r="S142" i="6"/>
  <c r="R142" i="6"/>
  <c r="P142" i="6"/>
  <c r="N142" i="6"/>
  <c r="L142" i="6"/>
  <c r="K142" i="6"/>
  <c r="J142" i="6"/>
  <c r="G142" i="6"/>
  <c r="M141" i="6"/>
  <c r="E141" i="6" s="1"/>
  <c r="I141" i="6"/>
  <c r="M140" i="6"/>
  <c r="I140" i="6"/>
  <c r="M139" i="6"/>
  <c r="I139" i="6"/>
  <c r="M138" i="6"/>
  <c r="I138" i="6"/>
  <c r="M136" i="6"/>
  <c r="I136" i="6"/>
  <c r="M135" i="6"/>
  <c r="I135" i="6"/>
  <c r="M134" i="6"/>
  <c r="I134" i="6"/>
  <c r="M133" i="6"/>
  <c r="I133" i="6"/>
  <c r="M132" i="6"/>
  <c r="I132" i="6"/>
  <c r="M131" i="6"/>
  <c r="I131" i="6"/>
  <c r="M130" i="6"/>
  <c r="I130" i="6"/>
  <c r="H130" i="6"/>
  <c r="M129" i="6"/>
  <c r="F129" i="6"/>
  <c r="I129" i="6" s="1"/>
  <c r="M128" i="6"/>
  <c r="I128" i="6"/>
  <c r="M127" i="6"/>
  <c r="I127" i="6"/>
  <c r="M126" i="6"/>
  <c r="F126" i="6"/>
  <c r="I126" i="6" s="1"/>
  <c r="M125" i="6"/>
  <c r="I125" i="6"/>
  <c r="M124" i="6"/>
  <c r="I124" i="6"/>
  <c r="M123" i="6"/>
  <c r="I123" i="6"/>
  <c r="M122" i="6"/>
  <c r="I122" i="6"/>
  <c r="M121" i="6"/>
  <c r="I121" i="6"/>
  <c r="M120" i="6"/>
  <c r="I120" i="6"/>
  <c r="M119" i="6"/>
  <c r="I119" i="6"/>
  <c r="M118" i="6"/>
  <c r="F118" i="6"/>
  <c r="M117" i="6"/>
  <c r="I117" i="6"/>
  <c r="M116" i="6"/>
  <c r="I116" i="6"/>
  <c r="M115" i="6"/>
  <c r="H115" i="6"/>
  <c r="F115" i="6"/>
  <c r="I115" i="6" s="1"/>
  <c r="M114" i="6"/>
  <c r="F114" i="6"/>
  <c r="I114" i="6" s="1"/>
  <c r="M113" i="6"/>
  <c r="I113" i="6"/>
  <c r="M112" i="6"/>
  <c r="F112" i="6"/>
  <c r="I112" i="6" s="1"/>
  <c r="M111" i="6"/>
  <c r="I111" i="6"/>
  <c r="M110" i="6"/>
  <c r="I110" i="6"/>
  <c r="M107" i="6"/>
  <c r="I107" i="6"/>
  <c r="M106" i="6"/>
  <c r="M105" i="6"/>
  <c r="H105" i="6"/>
  <c r="F105" i="6"/>
  <c r="M104" i="6"/>
  <c r="I104" i="6"/>
  <c r="H104" i="6"/>
  <c r="T103" i="6"/>
  <c r="T102" i="6" s="1"/>
  <c r="S103" i="6"/>
  <c r="S102" i="6" s="1"/>
  <c r="R103" i="6"/>
  <c r="R102" i="6" s="1"/>
  <c r="P103" i="6"/>
  <c r="P102" i="6" s="1"/>
  <c r="N103" i="6"/>
  <c r="N102" i="6" s="1"/>
  <c r="L103" i="6"/>
  <c r="L102" i="6" s="1"/>
  <c r="K103" i="6"/>
  <c r="K102" i="6" s="1"/>
  <c r="J103" i="6"/>
  <c r="J102" i="6" s="1"/>
  <c r="G103" i="6"/>
  <c r="G102" i="6" s="1"/>
  <c r="D103" i="6"/>
  <c r="D142" i="6" s="1"/>
  <c r="C103" i="6"/>
  <c r="C142" i="6" s="1"/>
  <c r="M98" i="6"/>
  <c r="E98" i="6" s="1"/>
  <c r="I98" i="6"/>
  <c r="I97" i="6"/>
  <c r="O97" i="6" s="1"/>
  <c r="M96" i="6"/>
  <c r="I96" i="6"/>
  <c r="M95" i="6"/>
  <c r="H95" i="6"/>
  <c r="H92" i="6" s="1"/>
  <c r="H91" i="6" s="1"/>
  <c r="H99" i="6" s="1"/>
  <c r="F95" i="6"/>
  <c r="F92" i="6" s="1"/>
  <c r="F91" i="6" s="1"/>
  <c r="F99" i="6" s="1"/>
  <c r="I94" i="6"/>
  <c r="O94" i="6" s="1"/>
  <c r="C94" i="6"/>
  <c r="C92" i="6" s="1"/>
  <c r="C91" i="6" s="1"/>
  <c r="C99" i="6" s="1"/>
  <c r="M93" i="6"/>
  <c r="E93" i="6" s="1"/>
  <c r="I93" i="6"/>
  <c r="T92" i="6"/>
  <c r="T91" i="6" s="1"/>
  <c r="T99" i="6" s="1"/>
  <c r="S92" i="6"/>
  <c r="S91" i="6" s="1"/>
  <c r="S99" i="6" s="1"/>
  <c r="R92" i="6"/>
  <c r="R91" i="6" s="1"/>
  <c r="R99" i="6" s="1"/>
  <c r="P92" i="6"/>
  <c r="P91" i="6" s="1"/>
  <c r="P99" i="6" s="1"/>
  <c r="N92" i="6"/>
  <c r="N91" i="6" s="1"/>
  <c r="N99" i="6" s="1"/>
  <c r="L92" i="6"/>
  <c r="L91" i="6" s="1"/>
  <c r="L99" i="6" s="1"/>
  <c r="K92" i="6"/>
  <c r="K91" i="6" s="1"/>
  <c r="K99" i="6" s="1"/>
  <c r="J92" i="6"/>
  <c r="J91" i="6" s="1"/>
  <c r="J99" i="6" s="1"/>
  <c r="G92" i="6"/>
  <c r="G91" i="6" s="1"/>
  <c r="G99" i="6" s="1"/>
  <c r="D92" i="6"/>
  <c r="D91" i="6" s="1"/>
  <c r="D99" i="6" s="1"/>
  <c r="M88" i="6"/>
  <c r="E88" i="6" s="1"/>
  <c r="I88" i="6"/>
  <c r="M87" i="6"/>
  <c r="E87" i="6" s="1"/>
  <c r="I87" i="6"/>
  <c r="M68" i="6"/>
  <c r="E68" i="6" s="1"/>
  <c r="M66" i="6"/>
  <c r="E66" i="6" s="1"/>
  <c r="I66" i="6"/>
  <c r="M65" i="6"/>
  <c r="E65" i="6" s="1"/>
  <c r="I65" i="6"/>
  <c r="M64" i="6"/>
  <c r="E64" i="6" s="1"/>
  <c r="I64" i="6"/>
  <c r="M63" i="6"/>
  <c r="E63" i="6" s="1"/>
  <c r="I63" i="6"/>
  <c r="M62" i="6"/>
  <c r="I62" i="6"/>
  <c r="C62" i="6"/>
  <c r="M61" i="6"/>
  <c r="E61" i="6" s="1"/>
  <c r="I61" i="6"/>
  <c r="M60" i="6"/>
  <c r="E60" i="6" s="1"/>
  <c r="I60" i="6"/>
  <c r="M59" i="6"/>
  <c r="E59" i="6" s="1"/>
  <c r="I59" i="6"/>
  <c r="M58" i="6"/>
  <c r="E58" i="6" s="1"/>
  <c r="I58" i="6"/>
  <c r="M57" i="6"/>
  <c r="E57" i="6" s="1"/>
  <c r="I56" i="6"/>
  <c r="O56" i="6" s="1"/>
  <c r="E56" i="6"/>
  <c r="M55" i="6"/>
  <c r="E55" i="6" s="1"/>
  <c r="I55" i="6"/>
  <c r="M54" i="6"/>
  <c r="I54" i="6"/>
  <c r="M53" i="6"/>
  <c r="E53" i="6" s="1"/>
  <c r="I53" i="6"/>
  <c r="M52" i="6"/>
  <c r="H52" i="6"/>
  <c r="G41" i="6"/>
  <c r="G89" i="6" s="1"/>
  <c r="F52" i="6"/>
  <c r="M51" i="6"/>
  <c r="O51" i="6" s="1"/>
  <c r="M50" i="6"/>
  <c r="I50" i="6"/>
  <c r="M49" i="6"/>
  <c r="C49" i="6"/>
  <c r="M48" i="6"/>
  <c r="E48" i="6" s="1"/>
  <c r="I48" i="6"/>
  <c r="M47" i="6"/>
  <c r="E47" i="6" s="1"/>
  <c r="I47" i="6"/>
  <c r="M46" i="6"/>
  <c r="E46" i="6" s="1"/>
  <c r="I46" i="6"/>
  <c r="M45" i="6"/>
  <c r="F45" i="6"/>
  <c r="I45" i="6" s="1"/>
  <c r="C45" i="6"/>
  <c r="M44" i="6"/>
  <c r="H44" i="6"/>
  <c r="I44" i="6"/>
  <c r="M43" i="6"/>
  <c r="I43" i="6"/>
  <c r="T42" i="6"/>
  <c r="T41" i="6" s="1"/>
  <c r="T89" i="6" s="1"/>
  <c r="S42" i="6"/>
  <c r="S41" i="6" s="1"/>
  <c r="S89" i="6" s="1"/>
  <c r="R42" i="6"/>
  <c r="R41" i="6" s="1"/>
  <c r="R89" i="6" s="1"/>
  <c r="P42" i="6"/>
  <c r="P41" i="6" s="1"/>
  <c r="P89" i="6" s="1"/>
  <c r="N42" i="6"/>
  <c r="N41" i="6" s="1"/>
  <c r="N89" i="6" s="1"/>
  <c r="L42" i="6"/>
  <c r="L41" i="6" s="1"/>
  <c r="L89" i="6" s="1"/>
  <c r="K42" i="6"/>
  <c r="K41" i="6" s="1"/>
  <c r="K89" i="6" s="1"/>
  <c r="J41" i="6"/>
  <c r="J89" i="6" s="1"/>
  <c r="D42" i="6"/>
  <c r="D41" i="6" s="1"/>
  <c r="D89" i="6" s="1"/>
  <c r="M38" i="6"/>
  <c r="I38" i="6"/>
  <c r="M37" i="6"/>
  <c r="I37" i="6"/>
  <c r="M36" i="6"/>
  <c r="E36" i="6" s="1"/>
  <c r="I36" i="6"/>
  <c r="M35" i="6"/>
  <c r="E35" i="6" s="1"/>
  <c r="I35" i="6"/>
  <c r="M34" i="6"/>
  <c r="E34" i="6" s="1"/>
  <c r="I34" i="6"/>
  <c r="M33" i="6"/>
  <c r="E33" i="6" s="1"/>
  <c r="I33" i="6"/>
  <c r="M32" i="6"/>
  <c r="E32" i="6" s="1"/>
  <c r="I32" i="6"/>
  <c r="M31" i="6"/>
  <c r="E31" i="6" s="1"/>
  <c r="I31" i="6"/>
  <c r="M30" i="6"/>
  <c r="E30" i="6" s="1"/>
  <c r="I30" i="6"/>
  <c r="M29" i="6"/>
  <c r="H29" i="6"/>
  <c r="F29" i="6"/>
  <c r="I29" i="6" s="1"/>
  <c r="M28" i="6"/>
  <c r="E28" i="6" s="1"/>
  <c r="I28" i="6"/>
  <c r="M27" i="6"/>
  <c r="H27" i="6"/>
  <c r="F27" i="6"/>
  <c r="I27" i="6" s="1"/>
  <c r="C27" i="6"/>
  <c r="M26" i="6"/>
  <c r="H26" i="6"/>
  <c r="G26" i="6"/>
  <c r="G8" i="6" s="1"/>
  <c r="G7" i="6" s="1"/>
  <c r="G39" i="6" s="1"/>
  <c r="F26" i="6"/>
  <c r="C26" i="6"/>
  <c r="M25" i="6"/>
  <c r="E25" i="6" s="1"/>
  <c r="I25" i="6"/>
  <c r="M24" i="6"/>
  <c r="H24" i="6"/>
  <c r="F24" i="6"/>
  <c r="I24" i="6" s="1"/>
  <c r="M23" i="6"/>
  <c r="E23" i="6" s="1"/>
  <c r="I23" i="6"/>
  <c r="M22" i="6"/>
  <c r="I22" i="6"/>
  <c r="M21" i="6"/>
  <c r="I21" i="6"/>
  <c r="H21" i="6"/>
  <c r="N20" i="6"/>
  <c r="N8" i="6" s="1"/>
  <c r="N7" i="6" s="1"/>
  <c r="N39" i="6" s="1"/>
  <c r="M20" i="6"/>
  <c r="F20" i="6"/>
  <c r="I20" i="6" s="1"/>
  <c r="M19" i="6"/>
  <c r="H19" i="6"/>
  <c r="F19" i="6"/>
  <c r="I19" i="6" s="1"/>
  <c r="C19" i="6"/>
  <c r="M18" i="6"/>
  <c r="E18" i="6" s="1"/>
  <c r="I18" i="6"/>
  <c r="H18" i="6"/>
  <c r="M17" i="6"/>
  <c r="F17" i="6"/>
  <c r="I17" i="6" s="1"/>
  <c r="C17" i="6"/>
  <c r="M16" i="6"/>
  <c r="E16" i="6" s="1"/>
  <c r="I16" i="6"/>
  <c r="M15" i="6"/>
  <c r="I15" i="6"/>
  <c r="M14" i="6"/>
  <c r="I14" i="6"/>
  <c r="H14" i="6"/>
  <c r="C14" i="6"/>
  <c r="M13" i="6"/>
  <c r="I13" i="6"/>
  <c r="C13" i="6"/>
  <c r="M12" i="6"/>
  <c r="H12" i="6"/>
  <c r="F12" i="6"/>
  <c r="C12" i="6"/>
  <c r="M11" i="6"/>
  <c r="H11" i="6"/>
  <c r="F11" i="6"/>
  <c r="M10" i="6"/>
  <c r="E10" i="6" s="1"/>
  <c r="I10" i="6"/>
  <c r="H10" i="6"/>
  <c r="M9" i="6"/>
  <c r="E9" i="6" s="1"/>
  <c r="I9" i="6"/>
  <c r="T8" i="6"/>
  <c r="S8" i="6"/>
  <c r="S7" i="6" s="1"/>
  <c r="S39" i="6" s="1"/>
  <c r="R8" i="6"/>
  <c r="R7" i="6" s="1"/>
  <c r="R39" i="6" s="1"/>
  <c r="P8" i="6"/>
  <c r="P7" i="6" s="1"/>
  <c r="P39" i="6" s="1"/>
  <c r="L8" i="6"/>
  <c r="L7" i="6" s="1"/>
  <c r="L39" i="6" s="1"/>
  <c r="K8" i="6"/>
  <c r="K7" i="6" s="1"/>
  <c r="K39" i="6" s="1"/>
  <c r="J8" i="6"/>
  <c r="J7" i="6" s="1"/>
  <c r="J39" i="6" s="1"/>
  <c r="D8" i="6"/>
  <c r="D7" i="6" s="1"/>
  <c r="D39" i="6" s="1"/>
  <c r="T7" i="6"/>
  <c r="T39" i="6" s="1"/>
  <c r="E62" i="6" l="1"/>
  <c r="C42" i="6"/>
  <c r="I156" i="6"/>
  <c r="O48" i="6"/>
  <c r="I165" i="6"/>
  <c r="O113" i="6"/>
  <c r="Q18" i="6"/>
  <c r="O32" i="6"/>
  <c r="Q93" i="6"/>
  <c r="Q217" i="6"/>
  <c r="Q216" i="6"/>
  <c r="Q214" i="6"/>
  <c r="O161" i="6"/>
  <c r="O155" i="6"/>
  <c r="E213" i="6"/>
  <c r="E212" i="6" s="1"/>
  <c r="E220" i="6" s="1"/>
  <c r="Q219" i="6"/>
  <c r="M176" i="6"/>
  <c r="M175" i="6" s="1"/>
  <c r="M142" i="6"/>
  <c r="E14" i="6"/>
  <c r="E146" i="6"/>
  <c r="O16" i="6"/>
  <c r="Q147" i="6"/>
  <c r="O54" i="6"/>
  <c r="O22" i="6"/>
  <c r="O21" i="6"/>
  <c r="O35" i="6"/>
  <c r="Q24" i="6"/>
  <c r="O87" i="6"/>
  <c r="O17" i="6"/>
  <c r="O60" i="6"/>
  <c r="O23" i="6"/>
  <c r="E52" i="6"/>
  <c r="O61" i="6"/>
  <c r="E21" i="6"/>
  <c r="O55" i="6"/>
  <c r="E19" i="6"/>
  <c r="O19" i="6"/>
  <c r="O33" i="6"/>
  <c r="O27" i="6"/>
  <c r="O36" i="6"/>
  <c r="O58" i="6"/>
  <c r="D175" i="6"/>
  <c r="O15" i="6"/>
  <c r="H142" i="6"/>
  <c r="O112" i="6"/>
  <c r="Q141" i="6"/>
  <c r="E180" i="6"/>
  <c r="Q205" i="6"/>
  <c r="O141" i="6"/>
  <c r="Q45" i="6"/>
  <c r="O57" i="6"/>
  <c r="O25" i="6"/>
  <c r="O9" i="6"/>
  <c r="E17" i="6"/>
  <c r="E24" i="6"/>
  <c r="O37" i="6"/>
  <c r="I52" i="6"/>
  <c r="O52" i="6" s="1"/>
  <c r="D144" i="6"/>
  <c r="I145" i="6"/>
  <c r="I144" i="6" s="1"/>
  <c r="Q161" i="6"/>
  <c r="I220" i="6"/>
  <c r="Q14" i="6"/>
  <c r="O31" i="6"/>
  <c r="F142" i="6"/>
  <c r="I142" i="6" s="1"/>
  <c r="H159" i="6"/>
  <c r="H158" i="6" s="1"/>
  <c r="E170" i="6"/>
  <c r="E169" i="6" s="1"/>
  <c r="E22" i="6"/>
  <c r="O62" i="6"/>
  <c r="I95" i="6"/>
  <c r="O95" i="6" s="1"/>
  <c r="C102" i="6"/>
  <c r="E104" i="6"/>
  <c r="M156" i="6"/>
  <c r="O156" i="6" s="1"/>
  <c r="D168" i="6"/>
  <c r="M169" i="6"/>
  <c r="M168" i="6" s="1"/>
  <c r="O217" i="6"/>
  <c r="O10" i="6"/>
  <c r="O14" i="6"/>
  <c r="O18" i="6"/>
  <c r="O59" i="6"/>
  <c r="Q104" i="6"/>
  <c r="E107" i="6"/>
  <c r="I118" i="6"/>
  <c r="O146" i="6"/>
  <c r="I159" i="6"/>
  <c r="I158" i="6" s="1"/>
  <c r="F176" i="6"/>
  <c r="F175" i="6" s="1"/>
  <c r="F200" i="6"/>
  <c r="I200" i="6" s="1"/>
  <c r="M213" i="6"/>
  <c r="M212" i="6" s="1"/>
  <c r="M220" i="6" s="1"/>
  <c r="O46" i="6"/>
  <c r="O44" i="6"/>
  <c r="H42" i="6"/>
  <c r="H41" i="6" s="1"/>
  <c r="H89" i="6" s="1"/>
  <c r="O205" i="6"/>
  <c r="Q22" i="6"/>
  <c r="O24" i="6"/>
  <c r="O28" i="6"/>
  <c r="E45" i="6"/>
  <c r="E92" i="6"/>
  <c r="E91" i="6" s="1"/>
  <c r="E99" i="6" s="1"/>
  <c r="Q146" i="6"/>
  <c r="C158" i="6"/>
  <c r="E13" i="6"/>
  <c r="Q17" i="6"/>
  <c r="O147" i="6"/>
  <c r="F173" i="6"/>
  <c r="O199" i="6"/>
  <c r="Q209" i="6"/>
  <c r="C8" i="6"/>
  <c r="C7" i="6" s="1"/>
  <c r="C39" i="6" s="1"/>
  <c r="E27" i="6"/>
  <c r="O29" i="6"/>
  <c r="O38" i="6"/>
  <c r="E43" i="6"/>
  <c r="E50" i="6"/>
  <c r="H169" i="6"/>
  <c r="H168" i="6" s="1"/>
  <c r="M200" i="6"/>
  <c r="I213" i="6"/>
  <c r="I212" i="6" s="1"/>
  <c r="Q9" i="6"/>
  <c r="O53" i="6"/>
  <c r="I99" i="6"/>
  <c r="H103" i="6"/>
  <c r="H102" i="6" s="1"/>
  <c r="E106" i="6"/>
  <c r="Q155" i="6"/>
  <c r="C168" i="6"/>
  <c r="E178" i="6"/>
  <c r="Q199" i="6"/>
  <c r="Q207" i="6"/>
  <c r="O209" i="6"/>
  <c r="Q43" i="6"/>
  <c r="O43" i="6"/>
  <c r="E20" i="6"/>
  <c r="O34" i="6"/>
  <c r="Q96" i="6"/>
  <c r="O96" i="6"/>
  <c r="O20" i="6"/>
  <c r="E54" i="6"/>
  <c r="O47" i="6"/>
  <c r="E11" i="6"/>
  <c r="F8" i="6"/>
  <c r="F7" i="6" s="1"/>
  <c r="F39" i="6" s="1"/>
  <c r="I39" i="6" s="1"/>
  <c r="I11" i="6"/>
  <c r="Q13" i="6"/>
  <c r="O13" i="6"/>
  <c r="O30" i="6"/>
  <c r="M42" i="6"/>
  <c r="M41" i="6" s="1"/>
  <c r="M89" i="6" s="1"/>
  <c r="O45" i="6"/>
  <c r="H8" i="6"/>
  <c r="H7" i="6" s="1"/>
  <c r="H39" i="6" s="1"/>
  <c r="Q23" i="6"/>
  <c r="Q44" i="6"/>
  <c r="O50" i="6"/>
  <c r="Q98" i="6"/>
  <c r="O98" i="6"/>
  <c r="M8" i="6"/>
  <c r="M7" i="6" s="1"/>
  <c r="M39" i="6" s="1"/>
  <c r="E29" i="6"/>
  <c r="E148" i="6"/>
  <c r="M145" i="6"/>
  <c r="M144" i="6" s="1"/>
  <c r="Q148" i="6"/>
  <c r="O148" i="6"/>
  <c r="E26" i="6"/>
  <c r="I26" i="6"/>
  <c r="E12" i="6"/>
  <c r="I12" i="6"/>
  <c r="E49" i="6"/>
  <c r="I49" i="6"/>
  <c r="O49" i="6" s="1"/>
  <c r="Q88" i="6"/>
  <c r="O88" i="6"/>
  <c r="D102" i="6"/>
  <c r="Q180" i="6"/>
  <c r="O180" i="6"/>
  <c r="M92" i="6"/>
  <c r="M91" i="6" s="1"/>
  <c r="M99" i="6" s="1"/>
  <c r="Q162" i="6"/>
  <c r="O162" i="6"/>
  <c r="C41" i="6"/>
  <c r="C89" i="6" s="1"/>
  <c r="E44" i="6"/>
  <c r="E105" i="6"/>
  <c r="I105" i="6"/>
  <c r="F103" i="6"/>
  <c r="F102" i="6" s="1"/>
  <c r="Q177" i="6"/>
  <c r="O177" i="6"/>
  <c r="I176" i="6"/>
  <c r="I175" i="6" s="1"/>
  <c r="Q107" i="6"/>
  <c r="O107" i="6"/>
  <c r="I210" i="6"/>
  <c r="I203" i="6"/>
  <c r="I202" i="6" s="1"/>
  <c r="O206" i="6"/>
  <c r="Q10" i="6"/>
  <c r="O93" i="6"/>
  <c r="M103" i="6"/>
  <c r="M102" i="6" s="1"/>
  <c r="F42" i="6"/>
  <c r="F41" i="6" s="1"/>
  <c r="F89" i="6" s="1"/>
  <c r="I89" i="6" s="1"/>
  <c r="J165" i="6"/>
  <c r="M160" i="6"/>
  <c r="J159" i="6"/>
  <c r="J158" i="6" s="1"/>
  <c r="Q164" i="6"/>
  <c r="C175" i="6"/>
  <c r="C200" i="6"/>
  <c r="Q178" i="6"/>
  <c r="O178" i="6"/>
  <c r="O216" i="6"/>
  <c r="I106" i="6"/>
  <c r="C145" i="6"/>
  <c r="E147" i="6"/>
  <c r="E155" i="6"/>
  <c r="D158" i="6"/>
  <c r="O164" i="6"/>
  <c r="H173" i="6"/>
  <c r="E177" i="6"/>
  <c r="E176" i="6" s="1"/>
  <c r="O214" i="6"/>
  <c r="O219" i="6"/>
  <c r="O149" i="6"/>
  <c r="F169" i="6"/>
  <c r="F168" i="6" s="1"/>
  <c r="O207" i="6"/>
  <c r="O104" i="6"/>
  <c r="E145" i="6" l="1"/>
  <c r="Q213" i="6"/>
  <c r="Q212" i="6" s="1"/>
  <c r="Q220" i="6" s="1"/>
  <c r="O142" i="6"/>
  <c r="O145" i="6"/>
  <c r="O144" i="6" s="1"/>
  <c r="Q156" i="6"/>
  <c r="Q95" i="6"/>
  <c r="Q92" i="6" s="1"/>
  <c r="Q91" i="6" s="1"/>
  <c r="Q99" i="6" s="1"/>
  <c r="O176" i="6"/>
  <c r="O175" i="6" s="1"/>
  <c r="I92" i="6"/>
  <c r="I91" i="6" s="1"/>
  <c r="Q145" i="6"/>
  <c r="Q144" i="6" s="1"/>
  <c r="E103" i="6"/>
  <c r="E102" i="6" s="1"/>
  <c r="O92" i="6"/>
  <c r="O91" i="6" s="1"/>
  <c r="O99" i="6" s="1"/>
  <c r="E42" i="6"/>
  <c r="E8" i="6"/>
  <c r="E7" i="6" s="1"/>
  <c r="E39" i="6" s="1"/>
  <c r="O200" i="6"/>
  <c r="E41" i="6"/>
  <c r="E89" i="6" s="1"/>
  <c r="E144" i="6"/>
  <c r="E156" i="6"/>
  <c r="O39" i="6"/>
  <c r="M165" i="6"/>
  <c r="O165" i="6" s="1"/>
  <c r="E160" i="6"/>
  <c r="E159" i="6" s="1"/>
  <c r="M159" i="6"/>
  <c r="M158" i="6" s="1"/>
  <c r="Q160" i="6"/>
  <c r="Q12" i="6"/>
  <c r="O12" i="6"/>
  <c r="Q176" i="6"/>
  <c r="Q175" i="6" s="1"/>
  <c r="Q200" i="6"/>
  <c r="Q11" i="6"/>
  <c r="O11" i="6"/>
  <c r="I8" i="6"/>
  <c r="I7" i="6" s="1"/>
  <c r="I169" i="6"/>
  <c r="I168" i="6" s="1"/>
  <c r="I173" i="6"/>
  <c r="O173" i="6" s="1"/>
  <c r="Q170" i="6"/>
  <c r="O170" i="6"/>
  <c r="O169" i="6" s="1"/>
  <c r="O168" i="6" s="1"/>
  <c r="I42" i="6"/>
  <c r="I41" i="6" s="1"/>
  <c r="O213" i="6"/>
  <c r="O212" i="6" s="1"/>
  <c r="O220" i="6" s="1"/>
  <c r="Q105" i="6"/>
  <c r="O105" i="6"/>
  <c r="O103" i="6" s="1"/>
  <c r="O102" i="6" s="1"/>
  <c r="O42" i="6"/>
  <c r="O41" i="6" s="1"/>
  <c r="O89" i="6" s="1"/>
  <c r="E200" i="6"/>
  <c r="E175" i="6"/>
  <c r="O160" i="6"/>
  <c r="O159" i="6" s="1"/>
  <c r="O158" i="6" s="1"/>
  <c r="E142" i="6"/>
  <c r="Q42" i="6"/>
  <c r="Q41" i="6" s="1"/>
  <c r="Q89" i="6" s="1"/>
  <c r="Q106" i="6"/>
  <c r="O106" i="6"/>
  <c r="I103" i="6"/>
  <c r="I102" i="6" s="1"/>
  <c r="E173" i="6"/>
  <c r="E168" i="6"/>
  <c r="C144" i="6"/>
  <c r="C156" i="6"/>
  <c r="O8" i="6" l="1"/>
  <c r="O7" i="6" s="1"/>
  <c r="Q8" i="6"/>
  <c r="Q7" i="6" s="1"/>
  <c r="Q39" i="6" s="1"/>
  <c r="E165" i="6"/>
  <c r="E158" i="6"/>
  <c r="Q103" i="6"/>
  <c r="Q102" i="6" s="1"/>
  <c r="Q142" i="6"/>
  <c r="Q169" i="6"/>
  <c r="Q168" i="6" s="1"/>
  <c r="Q173" i="6"/>
  <c r="Q165" i="6"/>
  <c r="Q159" i="6"/>
  <c r="Q158" i="6" s="1"/>
  <c r="J203" i="6" l="1"/>
  <c r="J202" i="6" s="1"/>
  <c r="J210" i="6" s="1"/>
  <c r="M204" i="6"/>
  <c r="M203" i="6"/>
  <c r="M202" i="6" s="1"/>
  <c r="M210" i="6" s="1"/>
  <c r="O204" i="6" l="1"/>
  <c r="O203" i="6" s="1"/>
  <c r="O202" i="6" s="1"/>
  <c r="O210" i="6" s="1"/>
  <c r="E204" i="6"/>
  <c r="E203" i="6" s="1"/>
  <c r="E202" i="6" s="1"/>
  <c r="E210" i="6" s="1"/>
  <c r="Q204" i="6"/>
  <c r="Q203" i="6" s="1"/>
  <c r="Q202" i="6" s="1"/>
  <c r="Q210" i="6" s="1"/>
  <c r="I14" i="97" l="1"/>
  <c r="I21" i="97" s="1"/>
  <c r="E14" i="97"/>
  <c r="E21" i="97" s="1"/>
  <c r="D14" i="97"/>
  <c r="D21" i="97" s="1"/>
  <c r="G14" i="97"/>
  <c r="G21" i="97" s="1"/>
  <c r="F14" i="97"/>
  <c r="F21" i="97" s="1"/>
  <c r="H14" i="97"/>
  <c r="H21" i="9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6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6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6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G5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I5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18E52A48-04C4-42AC-AE55-CDC31EFB3AF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FB3159FA-3DD1-4EBC-A0F2-34767D16533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2F8026C3-0D26-439A-8746-87FE05C7CD3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87681B0D-430A-4CD2-84DD-F311768CD2EB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1F864B20-F5B6-40CD-8844-4F919D0428A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C7E3B775-321C-437B-B88A-09D8AFB5046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BD21D675-D052-4609-8013-BAA51F5684D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C090B1B7-CF17-48AA-A196-9DF75C3FFC8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2F3EBF40-B58F-47F1-BC55-D86D90930824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20AC636B-414A-4EB7-9477-3AFC84CFAB4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B13F5F3F-9316-4AB0-AC14-D27D8ABFC316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BA6E37EA-F73B-47F9-957B-2E0A55BA666A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AB13A9BF-D645-46FA-8D20-74FE24674C22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AD91B4BD-616A-4BFE-A323-C807DE2479A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CA66FF23-3501-484B-8DC3-C06DC61FA111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705B30B6-9AF9-4FE0-9A78-AFA68B2993A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0C6EA7B3-D8A3-4BE0-A99C-3AE88790A7E1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06648EE2-C9C9-45AE-8240-CAB6CA018665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5" authorId="0" shapeId="0" xr:uid="{A2703D3D-299B-45C9-83E9-CE4AA0271C8D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Дт 361 в 1С Бух</t>
        </r>
      </text>
    </comment>
    <comment ref="F5" authorId="0" shapeId="0" xr:uid="{05DE93D0-B2A2-4ED1-87F2-FEBA457565BC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Кт 361 в 1С Бух</t>
        </r>
      </text>
    </comment>
    <comment ref="H5" authorId="0" shapeId="0" xr:uid="{1E945834-F012-4ED6-86C2-7A1AAC27F82E}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Заполняет ПТО</t>
        </r>
      </text>
    </comment>
  </commentList>
</comments>
</file>

<file path=xl/sharedStrings.xml><?xml version="1.0" encoding="utf-8"?>
<sst xmlns="http://schemas.openxmlformats.org/spreadsheetml/2006/main" count="1358" uniqueCount="545">
  <si>
    <t>Контрагент</t>
  </si>
  <si>
    <t>Договор</t>
  </si>
  <si>
    <t>Отклонение всего грн.</t>
  </si>
  <si>
    <t>Выполненные работы грн.</t>
  </si>
  <si>
    <t>Оплачено грн.</t>
  </si>
  <si>
    <t>Итого</t>
  </si>
  <si>
    <t>Сумма ДЦ поданной на рассмотрение</t>
  </si>
  <si>
    <t>Фактические данные на дату составления отчета</t>
  </si>
  <si>
    <t>Поданные акты на рассмотрении</t>
  </si>
  <si>
    <t>Заявка на авансирование</t>
  </si>
  <si>
    <t>Акты поданные в предыдущих периодах</t>
  </si>
  <si>
    <t>Акты поданные в отчетном месяце</t>
  </si>
  <si>
    <t>Аванс, грн.</t>
  </si>
  <si>
    <t>Примечание</t>
  </si>
  <si>
    <t>Задолженность перед Индастриал, грн.</t>
  </si>
  <si>
    <t>Дц 1</t>
  </si>
  <si>
    <t>Демонтажные работы</t>
  </si>
  <si>
    <t>Планируемые Акты на следующий период</t>
  </si>
  <si>
    <t>Дата составления отчета - 15.06.2018г.</t>
  </si>
  <si>
    <t>Сумма материалов в поданом  акте , грн.</t>
  </si>
  <si>
    <t>Матералы в подписаных актах</t>
  </si>
  <si>
    <t xml:space="preserve">Дог. №__________ від “___” __________2019  року       </t>
  </si>
  <si>
    <t>Доп №2</t>
  </si>
  <si>
    <t>КЕРНЕЛ ТОВ</t>
  </si>
  <si>
    <t>СТАРОКОНСТАНТИНОВ</t>
  </si>
  <si>
    <t>Фундаменти</t>
  </si>
  <si>
    <t>Земля ШРОТ</t>
  </si>
  <si>
    <t>СТАРОКОНСТАНТИНОВ ЗАВОД</t>
  </si>
  <si>
    <t>Доп № 3 нории</t>
  </si>
  <si>
    <t>Доп № 4 автоприем</t>
  </si>
  <si>
    <t>Доп № 1 временная дорога</t>
  </si>
  <si>
    <t>Доп № 5 МК Автоприем</t>
  </si>
  <si>
    <t>Доп № 6 Автоприем ДОП</t>
  </si>
  <si>
    <t>Доп № 2 Шрот</t>
  </si>
  <si>
    <t>Доп № 6 Лаборатория</t>
  </si>
  <si>
    <t>Доп № 7 ЖД отгрузка</t>
  </si>
  <si>
    <t>Доп № 6.1 Временная дорога возле Лаборатории</t>
  </si>
  <si>
    <t>Доп № 8 ПМ 3 Сушка</t>
  </si>
  <si>
    <t>Кропивницкий</t>
  </si>
  <si>
    <t>ЗБ ростверки</t>
  </si>
  <si>
    <t>Доп № 10 ПОДЛИВКА ОПОР</t>
  </si>
  <si>
    <t>Доп № 11 Фундаменты отргузка ШРОТА</t>
  </si>
  <si>
    <t>Доп № 13 КМ отргузка ШРОТА</t>
  </si>
  <si>
    <t>Доп № 14 Временная Дорога ЖД</t>
  </si>
  <si>
    <t>Доп № 16 Фундаменты опор галереи</t>
  </si>
  <si>
    <t>Доп №1 улаштування доріг та огорожи</t>
  </si>
  <si>
    <t>Доп № 4 Временная дорога ШРОТА</t>
  </si>
  <si>
    <t>Доп № 18 КМ ЖД Галерея</t>
  </si>
  <si>
    <t>13 мк еа</t>
  </si>
  <si>
    <t>Доп № 5 Тимчасова дорога  фунд Шроту КПП №3</t>
  </si>
  <si>
    <t>Доп № 6 Тимчасова дорога навколо фундаментів ШРОТУ</t>
  </si>
  <si>
    <t>Доп № 6.1 Лаборатория ДОП Благоустрий</t>
  </si>
  <si>
    <t>Доп № 20 ЖД отгрузка АР</t>
  </si>
  <si>
    <t>Доп № 17 Залізобетонні конструкції вагонних вагів (РП-2020-016-ВВ)</t>
  </si>
  <si>
    <t>Доп № 21 Металоконструкції естакади інженерних мереж</t>
  </si>
  <si>
    <t>Дог14.01-14,2-КБ-ЕА</t>
  </si>
  <si>
    <t>13-МК-ЕА</t>
  </si>
  <si>
    <t>02/11/2020-КБ-ЕА</t>
  </si>
  <si>
    <t>Металоконструкції транспортної галереї відходів</t>
  </si>
  <si>
    <t>Металоконструкції станцій наливу олії в автотранспорт та залізничні цистерни (корпус 3.4.4, 3.4.5)</t>
  </si>
  <si>
    <t>Фундамненти транспортної галереї відходів</t>
  </si>
  <si>
    <t>ДУ 1</t>
  </si>
  <si>
    <t>Доп № 19 Временная Дорога Лаборатори 2 подъезды к лаборатории</t>
  </si>
  <si>
    <t>Дог 14.1-14.2-АР-ЕА</t>
  </si>
  <si>
    <t>Доп № 9 ЖД ОТГРУЗКА КМ+доп</t>
  </si>
  <si>
    <t>№15/04/20-ЕА від 04.05.20 р.</t>
  </si>
  <si>
    <t>№14.1-14.2-КМ-ЕА від 05.10.2020 р.</t>
  </si>
  <si>
    <t>№05/01/21-КБ-ЕА від 05.01.2021 р.</t>
  </si>
  <si>
    <t>№12/01/21МК-ЕА від 12.01.2021 р.</t>
  </si>
  <si>
    <t>№25/11/19-СтМЄЗ від 25.11.2019</t>
  </si>
  <si>
    <t>№3.3-СтМЄЗ від 15.04.2020</t>
  </si>
  <si>
    <t>№3.3.3-КБ-СтМЄЗ від 15.12.2020 р.</t>
  </si>
  <si>
    <t xml:space="preserve">№3.4.4-3.4.5-КМ-СтМЄЗ </t>
  </si>
  <si>
    <t>Підливка опор фунд Шрот</t>
  </si>
  <si>
    <t>Львов</t>
  </si>
  <si>
    <t>ОЛИЯР</t>
  </si>
  <si>
    <t>Улаштування Паль</t>
  </si>
  <si>
    <t>Улаштування Ростверків</t>
  </si>
  <si>
    <t>Улаштування МК</t>
  </si>
  <si>
    <t>№ 23122020 від 23 грудня 2020 р.</t>
  </si>
  <si>
    <t>Фундамент під блок модулі</t>
  </si>
  <si>
    <t>Ожыдаемые оплаты по АВР за минусом авансов и гарантийных</t>
  </si>
  <si>
    <t>АР станцій наливу олії в автотранспорт та залізничні цистерни (корпус 3.4.4, 3.4.5)</t>
  </si>
  <si>
    <t xml:space="preserve">№ 3.33-КМ-СтОЕЗ від 24.03.2021р. </t>
  </si>
  <si>
    <t>Засипка, підбетонка</t>
  </si>
  <si>
    <t>Сумма утвержденного соглашения</t>
  </si>
  <si>
    <t>Остаток работ по соглашению</t>
  </si>
  <si>
    <t>Общая сумма оперативного выполнения</t>
  </si>
  <si>
    <t>Итоговая задолженность , грн.</t>
  </si>
  <si>
    <t>Ожидаемый аванс в текущем месяце</t>
  </si>
  <si>
    <t>Общий итог, грн</t>
  </si>
  <si>
    <t>Фундамент зерносушарок ПМ4</t>
  </si>
  <si>
    <t>Підлоги цеху рафінації</t>
  </si>
  <si>
    <t>Ладыжин</t>
  </si>
  <si>
    <t>МХП</t>
  </si>
  <si>
    <t>Монтаж Каркаса здания</t>
  </si>
  <si>
    <t>Доп работы по монтажу каркаса</t>
  </si>
  <si>
    <t>Фундаменты</t>
  </si>
  <si>
    <t>9.5-9.8-ЕА</t>
  </si>
  <si>
    <t>№06/11/20</t>
  </si>
  <si>
    <t>№20/07/20-ЕА</t>
  </si>
  <si>
    <t>№18-КБ-ЕА</t>
  </si>
  <si>
    <t>№05/11/2020-КМ-ЕА</t>
  </si>
  <si>
    <t>№05/01/21</t>
  </si>
  <si>
    <t>№06/04/21/МК-ЕА</t>
  </si>
  <si>
    <t xml:space="preserve">№23/02/21-КБ-ЕА  </t>
  </si>
  <si>
    <t>№ 12/11/2020Стмез</t>
  </si>
  <si>
    <t>№13/11/2020-СтМЄЗ</t>
  </si>
  <si>
    <t xml:space="preserve">№17/12/2020-СтМЄЗ </t>
  </si>
  <si>
    <t xml:space="preserve">№05/02/20-СтМЄЗ </t>
  </si>
  <si>
    <t>№3.4.5-СтМЄЗ-ТД від 20.04.21 р.</t>
  </si>
  <si>
    <t>Влаштування тимчасової дороги до станцій наливу олії</t>
  </si>
  <si>
    <t>Договір підряду №09-09-20 від 09.09.2020 р.</t>
  </si>
  <si>
    <t>Договір підряду №16-03-20 від 16.03.2020 р.</t>
  </si>
  <si>
    <t>№ 11/01/20-ЕА</t>
  </si>
  <si>
    <t>Стрычковы фундаменти</t>
  </si>
  <si>
    <t>Влаштування фундаментів під обладнання Фо-26 - Фо-36</t>
  </si>
  <si>
    <t>Влаштування фундаментів Фо-1 - Фо-21 під обладнання</t>
  </si>
  <si>
    <t>Влаштування фундаментів Фо-37 - Фо-43 під обладнання (+монтаж анкерів Фо22-Фо24)</t>
  </si>
  <si>
    <t>Монтаж обладнання цеху рафінації та дезодорації олії</t>
  </si>
  <si>
    <t>20/04/21-КБ-ЕА</t>
  </si>
  <si>
    <t>Метталоконструкции</t>
  </si>
  <si>
    <t>Откидные мостки ЖД прийом</t>
  </si>
  <si>
    <t>ДАТА  ОПЛАТЫ</t>
  </si>
  <si>
    <t>АР отргузка ШРОТА</t>
  </si>
  <si>
    <t>№ 3.3.3–ВМ-СтОЕЗ</t>
  </si>
  <si>
    <t>Откидные мостки шрот</t>
  </si>
  <si>
    <t>№ 3.4.3-НС-КМ-СтОЕЗ</t>
  </si>
  <si>
    <r>
      <t xml:space="preserve">№ </t>
    </r>
    <r>
      <rPr>
        <sz val="10"/>
        <rFont val="Arial"/>
        <family val="2"/>
        <charset val="204"/>
      </rPr>
      <t>14.1-14.2 - ВМ – ЕА</t>
    </r>
  </si>
  <si>
    <t>Славута</t>
  </si>
  <si>
    <t>«Реконструкція елеваторного комплексу</t>
  </si>
  <si>
    <t>№18/05/2021</t>
  </si>
  <si>
    <t>ТОВ "ІННОВАГРО"</t>
  </si>
  <si>
    <t>Монтаж трубопроводів</t>
  </si>
  <si>
    <t>Монтаж єкранів</t>
  </si>
  <si>
    <t>Насосная маслобакового хозяйства АР</t>
  </si>
  <si>
    <t>Перероблення колон (К32,33,35,36,37,38)+Перобка КМД (30т)</t>
  </si>
  <si>
    <t>Насосная маслобакового хозяйства КМ</t>
  </si>
  <si>
    <t xml:space="preserve">№ 20-05-21-ГП </t>
  </si>
  <si>
    <t>ТОВ "НІЖИНСЬКИЙ ЖИРКОМБІНАТ"</t>
  </si>
  <si>
    <t>8.1-8.4-КБ-ЕА</t>
  </si>
  <si>
    <t>Монтаж хім анкерів</t>
  </si>
  <si>
    <t>ДЦ ТП</t>
  </si>
  <si>
    <t>Влаштування тимчасовох дороги зі щебню біля складу шроту та пункту навантаження олії</t>
  </si>
  <si>
    <t>Естакада інжеренних мереж. Конструкції бетонні 10/05/18-4.12.1-КБ</t>
  </si>
  <si>
    <t>Естакада інжеренних мереж. Конструкції металеві 10/05/18-4.12.1-КМ</t>
  </si>
  <si>
    <t>№14/07/2021-ТД-СтОЕЗ від 17.07.2021р.</t>
  </si>
  <si>
    <t xml:space="preserve">Підливка колон і обладнання </t>
  </si>
  <si>
    <t>Влаштування фундаментів допоміжних споруд</t>
  </si>
  <si>
    <t>Фундаменты на лебёдку</t>
  </si>
  <si>
    <t>Очистка и покраска метала</t>
  </si>
  <si>
    <t>10/05/18-4.12.1-КБ</t>
  </si>
  <si>
    <t>Влаштування Шпильок</t>
  </si>
  <si>
    <t>ЗАПОРОЖЬЕ</t>
  </si>
  <si>
    <t>ПрАТ ЗАПОРІЗЬКИЙ ОЛІЙЖИРКОМБІНАТ</t>
  </si>
  <si>
    <t>№ 3-35 від 14 07 2021</t>
  </si>
  <si>
    <t xml:space="preserve">Проектування </t>
  </si>
  <si>
    <t>№ 3-50 від 26 08 2021</t>
  </si>
  <si>
    <t>16/08/2021-АР-СтМЕЗ</t>
  </si>
  <si>
    <t>09/08/2021СтМЕЗ</t>
  </si>
  <si>
    <t>3.3.3-АР-СтМЕЗ</t>
  </si>
  <si>
    <t>Фаферки МК</t>
  </si>
  <si>
    <t>Влаштування перекриттів та топінг</t>
  </si>
  <si>
    <t>Перегородки та перемички</t>
  </si>
  <si>
    <t>Сходи СХ 1</t>
  </si>
  <si>
    <t>Сходи Сх2</t>
  </si>
  <si>
    <t>Електромонтаж</t>
  </si>
  <si>
    <t>Станція очистки ПАЛІ</t>
  </si>
  <si>
    <t>3.4.3-АР-СтОЕЗ</t>
  </si>
  <si>
    <t>Влаштування котловану для ємності-накопичувача</t>
  </si>
  <si>
    <t>Рахунок</t>
  </si>
  <si>
    <t>Фундаменты операторської</t>
  </si>
  <si>
    <t xml:space="preserve">Влаштування стійок і рам (Ст-Ст10; Рм1-Рм6) </t>
  </si>
  <si>
    <t>Опалення, вентиляція</t>
  </si>
  <si>
    <t>Договір №4.2-СтОЕЗ від 07.09.2021р.</t>
  </si>
  <si>
    <t>Договір №4.2-АП-СтОЕЗ від 01.10.2021р.</t>
  </si>
  <si>
    <t>Сходи Сх 3-СХ 8</t>
  </si>
  <si>
    <t>КМ КЖ Градирня</t>
  </si>
  <si>
    <t>Договір підряду №12-10/21  від 12.10.2021 р.</t>
  </si>
  <si>
    <t>Глухов</t>
  </si>
  <si>
    <t>Катеринивке ТОВ</t>
  </si>
  <si>
    <t>Договір підряду №27/09/21-ГП  від 27.09.2021 р.</t>
  </si>
  <si>
    <t>Будівництво силосного складу зберігання зерна на 5200 тон в селі Катеринівка Сумської області</t>
  </si>
  <si>
    <t>Утепление фундаментов</t>
  </si>
  <si>
    <t>Огородження перекриттів ОГП</t>
  </si>
  <si>
    <t>Монтаж додаткового обладнання</t>
  </si>
  <si>
    <t>Фарбування трубопроводів</t>
  </si>
  <si>
    <t>Монтаж Запірної арматури</t>
  </si>
  <si>
    <t>Монтаж трубопроводов оборотного водопостач</t>
  </si>
  <si>
    <t>Фундамент под турбину и кранбалку</t>
  </si>
  <si>
    <t>Металлоконструкции кранбалки</t>
  </si>
  <si>
    <t>Операторская</t>
  </si>
  <si>
    <t>Пол в машинном зале</t>
  </si>
  <si>
    <t>Влаштування паропроводу.</t>
  </si>
  <si>
    <t xml:space="preserve">Влаштування дренажів. </t>
  </si>
  <si>
    <t xml:space="preserve">Влаштування конденсатрів. </t>
  </si>
  <si>
    <t>Оздоблювальні роботи, установка воріт, установка вікон</t>
  </si>
  <si>
    <t>Загальнобудівельні роботи по влаштуванню приміщення ГРП 6</t>
  </si>
  <si>
    <t>Влаштування перехідних галерей та опор</t>
  </si>
  <si>
    <t>Металоконструкції станцій наливу олії в автотранспорт та залізничні цистерни (корпус 3.4.4, 3.4.5) ДОП</t>
  </si>
  <si>
    <t>Станція очистки господарчо-побутових та промислових стоків (КБ+Форшахта)</t>
  </si>
  <si>
    <t>Договір №4.2-КБ-СтОЕЗ від 02.11.2021р.</t>
  </si>
  <si>
    <t>Огородження сходів, сходових отворів, круглих отворів</t>
  </si>
  <si>
    <t>Договір  3.4.4-3.4.5--КМ/1-СтОЕЗ від 01.11.2021 р.</t>
  </si>
  <si>
    <t>№3.3.1-3.3.2 - КБ - СтОЕЗ від 29.03.2021р.</t>
  </si>
  <si>
    <t>Влаштування тимчасової дороги навколо станції очистки господарчо-побутових та промислових стоків</t>
  </si>
  <si>
    <t>Дог.№4.2-ТД-СтОЕЗ від 16.11.2021р.</t>
  </si>
  <si>
    <t>Станція водопідготовки. Насосна пожежогасіння. Конструкції металеві 10/05/18-4.4, 4.4.1-КМ</t>
  </si>
  <si>
    <t>Дог.№4.4,4.4.1-КМ-СтОЕЗ від 07.12.2021р.</t>
  </si>
  <si>
    <t>Станція очистки господарчо-побутових та промислових стоків (Додаткові роботи)</t>
  </si>
  <si>
    <t>ДУ№1 Договір №4.2-КБ-СтОЕЗ від 02.11.2021р.</t>
  </si>
  <si>
    <t>Станція водопідготовки. Насосна пожежогасіння. Архітектурні рішення 10/05/18-4.4, 4.4.1-АР</t>
  </si>
  <si>
    <t>Дог.№4.4,4.4.1-АР-СтОЕЗ від 08.12.2021р.</t>
  </si>
  <si>
    <t>Виготовлення та монтаж МК норійної вежі, опор, ферм та площадок згідно креслень  183/2-КМ11, аркуш 1-16</t>
  </si>
  <si>
    <t>ДОГОВІР ПІДРЯДУ № 09-12/21</t>
  </si>
  <si>
    <t>Дог.№4.2-КМ-СтОЕЗ від 29.11.2021р.</t>
  </si>
  <si>
    <t>Станція очистки господарчо-побутових та промислових стоків (Конструкції металеві)</t>
  </si>
  <si>
    <t>№13-МК/1-ЕА від 04.10.2021р.</t>
  </si>
  <si>
    <t xml:space="preserve"> Договір № 14.1-14.2-КМ-ОП від 07.12.2021р.</t>
  </si>
  <si>
    <t>Доп работы КМ ЖД прием (трос и мостики)</t>
  </si>
  <si>
    <t>Доп работы КМ Автоприем (мостики)</t>
  </si>
  <si>
    <t>№14.1-14.2-КБ/1-ЕА від 06.10.2021р.</t>
  </si>
  <si>
    <t>Доп работы КМ ЖД прием (ЖБ плита)</t>
  </si>
  <si>
    <t>Пусконалагоджувальні роботи</t>
  </si>
  <si>
    <t>Влаштування пожежної драбини</t>
  </si>
  <si>
    <t>3.3.1.3-3.3.2-КБ-СтОЕЗ від 29.03.21</t>
  </si>
  <si>
    <t>Резервуар каналізаційних стоків. Конструкції бетонні 10/05/18-4.5.3, 4.5.4-КБ1</t>
  </si>
  <si>
    <t>Естакада інжеренних мереж. Конструкції бетонні 10/05/18-4.12.4-КБ6</t>
  </si>
  <si>
    <t>Естакада інжеренних мереж. Конструкції бетонні 10/05/18-4.12.4-КБ4</t>
  </si>
  <si>
    <t>Естакада інженерних мереж. Конструкції металеві 10/05/18-4.12.5-КМ6</t>
  </si>
  <si>
    <t>Турбина стройчасть КЖ</t>
  </si>
  <si>
    <t>Турбина стройчасть КМ</t>
  </si>
  <si>
    <t>НЕЖИН 3</t>
  </si>
  <si>
    <t>Монтаж преса-гранулятора ГТ -520 РЭ</t>
  </si>
  <si>
    <t>Влаштування градирен 2 шт</t>
  </si>
  <si>
    <t>Влаштування балки для крана</t>
  </si>
  <si>
    <t>Зовнішні мережі В1</t>
  </si>
  <si>
    <t>Зовнішні мережі В 2</t>
  </si>
  <si>
    <t>ТП 2</t>
  </si>
  <si>
    <t>Кабельна естакада</t>
  </si>
  <si>
    <t>ЗВК</t>
  </si>
  <si>
    <t>Монтаж олія наповнення флексітанків</t>
  </si>
  <si>
    <t>Додаткові роботи (Дефектний Акт№5,№2)</t>
  </si>
  <si>
    <t>Додаткові роботи (Дефектний Акт№7,№9,№10,№11,№14,№15,№17)</t>
  </si>
  <si>
    <t>Додаткові роботи (Дефектний Акт№16,№19,№20)</t>
  </si>
  <si>
    <t>Станція водопідготовки. Насосна пожежогасіння. Архітектурні рішення 10/05/18-4.4, 4.4.1-АР (отделка)</t>
  </si>
  <si>
    <t>Естакада інжеренних мереж. КМ 10/05/18-4.12.4-КМ4</t>
  </si>
  <si>
    <t>Естакада інжеренних мереж. Конструкції бетонні 10/05/18-4.12.4-КБ8</t>
  </si>
  <si>
    <t>Естакада інженерних мереж. Конструкції металеві 10/05/18-4.12.5-КМ8</t>
  </si>
  <si>
    <t>Естакада інженерних мереж. Конструкції металеві 10/05/18-4.12.5-КМ 5</t>
  </si>
  <si>
    <t>Додаткові роботи (Дефектний Акт№18, №22, №23)</t>
  </si>
  <si>
    <t>улаштування плити монолітної (Пм4-1шт), Насосна пожежогасіння (поз.4.4.1 по ГП)</t>
  </si>
  <si>
    <t>ДОГОВІР ПІДРЯДУ № 4.4.1–ПМ4-СтОЕЗ «18» січня 2022 року</t>
  </si>
  <si>
    <t>Вузол очистки автомобыльних цистерн</t>
  </si>
  <si>
    <t>Дог.№17/02/2022-СтОЕЗ-КМ4 від 17.02.2022р.</t>
  </si>
  <si>
    <t>Дог.№18/02/2022-СтОЕЗ-КМ5 від 18.02.2022р.</t>
  </si>
  <si>
    <t>Дог. № 01/02/2022 - СтОЕЗ – КБ4 від 01.02.2022р.</t>
  </si>
  <si>
    <t>Дог.№ 02/02/2022 - СтОЕЗ – КБ6 від 02.02.2022р.</t>
  </si>
  <si>
    <t>Розвантаження, та перемыщення обладнання</t>
  </si>
  <si>
    <t>Будівництво каркасу оліє-пресового цеху №2 доп</t>
  </si>
  <si>
    <t>Влаштування фундаментів допоміжних споруд оліє-пресового цеху ДОП</t>
  </si>
  <si>
    <t>Вспомогательные фундаменты ДУ</t>
  </si>
  <si>
    <t>№29/07/2021-КБ-СтМЕЗ від 29.07.2021р.</t>
  </si>
  <si>
    <t xml:space="preserve">№ 3.3.3-КМ-СтОЕЗ від 24.03.2021р. </t>
  </si>
  <si>
    <t>Дог.№4.5.4-КБ-СтОЕЗ від 22.02.2022р.</t>
  </si>
  <si>
    <t>Дог.№4.4,4.4.1-АР-СтОЕЗ-ВО від 18.02.2022р</t>
  </si>
  <si>
    <t>Дог.№19/02/2022-СтОЕЗ-КБ8 від 19.02.2022р.</t>
  </si>
  <si>
    <t>Дог.№21/02/2022-СтОЕЗ-КМ8 від 21.02.2022р.</t>
  </si>
  <si>
    <t>повернення коштів</t>
  </si>
  <si>
    <t>ДЦ№1</t>
  </si>
  <si>
    <t>ДЦ№2</t>
  </si>
  <si>
    <t>ДЦ№3</t>
  </si>
  <si>
    <t>ДЦ№8</t>
  </si>
  <si>
    <t>ДЦ№6</t>
  </si>
  <si>
    <t>ДЦ№9</t>
  </si>
  <si>
    <t>ДЦ№5</t>
  </si>
  <si>
    <t>ДЦ№3/3</t>
  </si>
  <si>
    <t>ДЦ№7/7</t>
  </si>
  <si>
    <t>ДЦ№4/4</t>
  </si>
  <si>
    <t>Фахферки МК</t>
  </si>
  <si>
    <t>Влаштування ємностей для градирень 2 шт</t>
  </si>
  <si>
    <t>ДЦ№3/4</t>
  </si>
  <si>
    <t>ДЦ№3/5</t>
  </si>
  <si>
    <t>ДЦ№3/2</t>
  </si>
  <si>
    <t>ДЦ№3/1</t>
  </si>
  <si>
    <t>Зворотня засипка</t>
  </si>
  <si>
    <t>ДЦ№4/1</t>
  </si>
  <si>
    <t>ДЦ№4/2</t>
  </si>
  <si>
    <t>Стрічкові фундаменти</t>
  </si>
  <si>
    <t>ДЦ№4/6</t>
  </si>
  <si>
    <t>ДЦ№7/1</t>
  </si>
  <si>
    <t>ДЦ№7/9</t>
  </si>
  <si>
    <t>ДЦ№7/5</t>
  </si>
  <si>
    <t>ДЦ№4/3</t>
  </si>
  <si>
    <t>ДЦ№4/5</t>
  </si>
  <si>
    <t>ДЦ№4/7</t>
  </si>
  <si>
    <t>ДЦ№7/8</t>
  </si>
  <si>
    <t>ДЦ№5/1</t>
  </si>
  <si>
    <t>ДЦ№5/2</t>
  </si>
  <si>
    <t>ДЦ№7/2</t>
  </si>
  <si>
    <t>ДЦ№6/1</t>
  </si>
  <si>
    <t>ДЦ№6/2</t>
  </si>
  <si>
    <t>ДЦ№7/4</t>
  </si>
  <si>
    <t>ДЦ№7/6</t>
  </si>
  <si>
    <t>ДЦ№7/3</t>
  </si>
  <si>
    <t>ДЦ№10</t>
  </si>
  <si>
    <t>Додаткові роботи (Дефектний Акт№18,)</t>
  </si>
  <si>
    <t>ДЦ№11</t>
  </si>
  <si>
    <t>ДЦ№7/11</t>
  </si>
  <si>
    <t>ДЦ№7/10</t>
  </si>
  <si>
    <t>Монтаж градирень</t>
  </si>
  <si>
    <t>ДУ№1 Дог.№389-10 від 19.02.2021р.</t>
  </si>
  <si>
    <t>Дог.№389-10 від 19.02.2021р.</t>
  </si>
  <si>
    <t>Дог.№396-10 від 19.02.2021р.</t>
  </si>
  <si>
    <t>Металоконструкции</t>
  </si>
  <si>
    <t>ДУ№2 Дог.№389-10 від 19.02.2021р.</t>
  </si>
  <si>
    <t>ДУ№3 Дог.№389-10 від 19.02.2021р.</t>
  </si>
  <si>
    <t xml:space="preserve">ТХ №406-10 від 02.06.2021 </t>
  </si>
  <si>
    <t>ДУ№2 №396-10 від 23.03.2021</t>
  </si>
  <si>
    <t>ДУ№5 Дог.№389-10 від 19.02.2021р.</t>
  </si>
  <si>
    <t>ДУ№4 №396-10 від 23.03.2021</t>
  </si>
  <si>
    <t>Додаткові роботи</t>
  </si>
  <si>
    <t>ДУ 2</t>
  </si>
  <si>
    <t>ДУ 3</t>
  </si>
  <si>
    <t>Договір підряду №24-01/22 від 24.01.2022р.</t>
  </si>
  <si>
    <t>Ремонт з/б конструкцій пандусу</t>
  </si>
  <si>
    <t>ТОВ Придніпровський МЕЗ</t>
  </si>
  <si>
    <t>Проектні роботи</t>
  </si>
  <si>
    <t>Дог.№15/09-2021 від 15.09.2021р.</t>
  </si>
  <si>
    <t>Ду№2</t>
  </si>
  <si>
    <t>Металоконструкції</t>
  </si>
  <si>
    <t>№05/01/21-ЕА від 05.01.2021р.</t>
  </si>
  <si>
    <t>№ 14.1-14.2 - ВМ – ЕА</t>
  </si>
  <si>
    <t>СТАРОКОНСТАНТИНОВ (ЕНСЕЛКО)</t>
  </si>
  <si>
    <t>Зовнішні мережі К 2</t>
  </si>
  <si>
    <t>Влаштування утеплення паропроводів</t>
  </si>
  <si>
    <t>Влаштування вентиляції</t>
  </si>
  <si>
    <t>Влаштування благоустрою території</t>
  </si>
  <si>
    <t>Придбання та монтаж насосів 3шт</t>
  </si>
  <si>
    <t xml:space="preserve">Монтаж  конденсатора </t>
  </si>
  <si>
    <t>Влаштування конденсаторопроводів</t>
  </si>
  <si>
    <t>Влаштування додаткової вентиляції операторської</t>
  </si>
  <si>
    <t>Монтаж турбоагрегата</t>
  </si>
  <si>
    <t xml:space="preserve">Монтаж системи масляного охолодження турбіни </t>
  </si>
  <si>
    <t>Монтаж  насосної станції дозаціїї ескалантів та трубопроводів</t>
  </si>
  <si>
    <t>Поставка та монтаж  Градирень</t>
  </si>
  <si>
    <t>Електромонтажні роботи п.2.1</t>
  </si>
  <si>
    <t>Естакада інжеренних мереж. Конструкції бетонні 10/05/18-4.12.7-КБ7</t>
  </si>
  <si>
    <t>Естакада інженерних мереж. Конструкції металеві 10/05/18-4.12.7-КМ7</t>
  </si>
  <si>
    <t>КБ Станція очистки (відкачування води, бетонні роботи)</t>
  </si>
  <si>
    <t>№15/07/2021-ТД-ЕА від 15.07.2021р.</t>
  </si>
  <si>
    <t>Влаштування майданчику біля зерносушарок та ЖД Прийому</t>
  </si>
  <si>
    <t>Акты поданные на Заказчика</t>
  </si>
  <si>
    <t>ПАТ Олійноекстракційний завод</t>
  </si>
  <si>
    <t>Дог.№16/06-К від 16.06.2022р.</t>
  </si>
  <si>
    <t>Спецтехніка</t>
  </si>
  <si>
    <t>Тимчасова дорога біля ОБГ</t>
  </si>
  <si>
    <t>Дог.№ 3.4 - СтОЕЗ – ТД від 11.07.2022</t>
  </si>
  <si>
    <t>Підсилення металоконструкцій наливу масла на жд</t>
  </si>
  <si>
    <t>Дог. № 3.4.5-КМ-СтОЕЗ від 19.07.2022р.</t>
  </si>
  <si>
    <t>Дог. № 4.12.5-КМ6-СтОЕЗ від 19.07.2022р.</t>
  </si>
  <si>
    <t>Договір підряду № 17/12/24 від 17.12.2024</t>
  </si>
  <si>
    <t>Договір генерального підряду № 5/0725/18 від 18.07</t>
  </si>
  <si>
    <t>АСТАРТА АГРО ПРОТЕЇН ТОВ</t>
  </si>
  <si>
    <t>АГРОФІРМА ІМ. ДОВЖЕНКА ТОВ (Астарта.Тищенки)</t>
  </si>
  <si>
    <t>ДОГОВІР Глобине 2 № 12/09/2024 -ГП від 12.09.2024</t>
  </si>
  <si>
    <t>362 911 772,58</t>
  </si>
  <si>
    <t>Глобино-2</t>
  </si>
  <si>
    <t>ГЛОБИНСЬКИЙ ПЕРЕРОБНИЙ ЗАВОД ТОВ</t>
  </si>
  <si>
    <t>ДОГОВІР ПІДРЯДУ № 05/03/2025-ГП від05.03.2025</t>
  </si>
  <si>
    <t>КАТЕРИНОПІЛЬСЬКИЙ ЕЛЕВАТОР ТОВ (МХП Катеринополь)</t>
  </si>
  <si>
    <t>Договір № 0301/25КЕ/Ю от 03.01.2025від 03.01.2025</t>
  </si>
  <si>
    <t>Договір № 0703ШД від 07.03.2025</t>
  </si>
  <si>
    <t>Договір № 09/05/2025ВО від 09.05.2025</t>
  </si>
  <si>
    <t>Договір № 18/03/2025ВО від 18.03.2025</t>
  </si>
  <si>
    <t>Договір № 31/03/2025/ВО від 31.03.2025</t>
  </si>
  <si>
    <t>ДУ 1 від 12.03.2025 (охолодження шроту)</t>
  </si>
  <si>
    <t>ДУ 2 від 14.03.2025 охолодж.макухи</t>
  </si>
  <si>
    <t>ДУ 2 від 24.03.2025 (насосна,градирня)</t>
  </si>
  <si>
    <t>ДУ 3 від 24.03.2025 (Транспортна галерея)</t>
  </si>
  <si>
    <t>ДУ 4 від 30.04.25 (рама під гусину шию)</t>
  </si>
  <si>
    <t>ДУ 5 від 15.05.2025</t>
  </si>
  <si>
    <t xml:space="preserve">ДУ 6 від 04.06.2025 </t>
  </si>
  <si>
    <t>ДУ 8 від 14.08.2025</t>
  </si>
  <si>
    <t>ДУ від 18.02.2025 (Пункт відвантаження)</t>
  </si>
  <si>
    <t>КОМРАД ТРЕЙД  ТОВ (КМД-2)</t>
  </si>
  <si>
    <t>ДУ № 4 до ДОГОВОРУ №13092024 від13.09.2024</t>
  </si>
  <si>
    <t>НІЖИНСЬКИЙ ЖИРКОМБІНАТ ПрАТ (Нежин-4)</t>
  </si>
  <si>
    <t>Договір генпідряду №15/05/25 від 15.05.2025</t>
  </si>
  <si>
    <t>РЕТАЛ УКРАЇНА ТОВ (Ретал.ГПУ)</t>
  </si>
  <si>
    <t>Договір підряду № 19/02/25 від 19.02.2025</t>
  </si>
  <si>
    <t xml:space="preserve"> ДУ 9 Дог№ 0301/25КЕ/Ю  Охолодження макухи</t>
  </si>
  <si>
    <t>Виготовлення і монтаж Цех екстракції</t>
  </si>
  <si>
    <t>Демонтаж. Под відвантаження шроту на жд транспорт</t>
  </si>
  <si>
    <t>Трубопроводи цех екстракції</t>
  </si>
  <si>
    <t>Монтаж екстрактора і тостера цеха екстракції</t>
  </si>
  <si>
    <t>Пункт відвантаження гранулеваного лушпиння АР</t>
  </si>
  <si>
    <t>Пункт відвантаження гранулеваного лушпиння КМ</t>
  </si>
  <si>
    <t>Виготовлення і монтаж Цех екстракції КМ</t>
  </si>
  <si>
    <t xml:space="preserve">ДУ Транспортна галерея </t>
  </si>
  <si>
    <t>Підсилення кріплення циклону та бункера на Охолодженні шроту ТХ</t>
  </si>
  <si>
    <t>ДУ Монтаж сходинок</t>
  </si>
  <si>
    <t>ДУ ТХ (фланці)</t>
  </si>
  <si>
    <t>ДУ 7 Дог№ 0301/25КЕ/Ю</t>
  </si>
  <si>
    <t>Охолодження шроту перенос циклона (деф. акт)</t>
  </si>
  <si>
    <t>Дог№ 12/05/2025/ВО</t>
  </si>
  <si>
    <t>Демонтаж технологічного обладнання та самопливної обв'язки існуючої ділянки грануляції соєвого шроту</t>
  </si>
  <si>
    <t>ДУ 1 Дог№ 09/05/2025/ВО</t>
  </si>
  <si>
    <t>ДУ Монтаж технологічного обладнання олійно-екстракційного цеху - Фарбування трубопровдів</t>
  </si>
  <si>
    <t>ДУ 1 Дог№ 31/03/2025/ВО</t>
  </si>
  <si>
    <t>Ділянка охолодження шроту, покрівля,  АР.</t>
  </si>
  <si>
    <t>ДУ №10 від 09.09_Дог№ 0301/25КЕ/Ю</t>
  </si>
  <si>
    <t>ДУ додаткові роботи Виготовлення і монтаж М/К Охолодження макухи</t>
  </si>
  <si>
    <t>* оплата 4 639,33 грн</t>
  </si>
  <si>
    <t>* оплата 239 205,74 грн.</t>
  </si>
  <si>
    <t>ДУ ТХ  цех екстракції (фланці) ДУ 2 Дог№ 09/05/2025/ВО</t>
  </si>
  <si>
    <t>29 068,89</t>
  </si>
  <si>
    <t>481 192,56</t>
  </si>
  <si>
    <t>709 712,45</t>
  </si>
  <si>
    <t>47 841,15</t>
  </si>
  <si>
    <t>ДУ №1 від 23 вересня 2025 року ДО ДОГОВОРУ ГЕНЕРАЛЬНОГО ПІДРЯДУ №  5/0725/18 від 18 липня 2025 року</t>
  </si>
  <si>
    <t>ДУ 3 Дог№ 09/05/2025/ВО Підсилення кріплення циклону та бункера на Охолодженні шроту ТХ</t>
  </si>
  <si>
    <t>* из них 13 722 685,66 подано 26/09/25; 8 819 237,17 подано 03/10/25</t>
  </si>
  <si>
    <t>Договір поставки №10/09/2025 від 10.09.2025р.</t>
  </si>
  <si>
    <t>поставка ТМЦ</t>
  </si>
  <si>
    <t>Оригинал</t>
  </si>
  <si>
    <t>Дата</t>
  </si>
  <si>
    <t>Номер</t>
  </si>
  <si>
    <t>Вид операції</t>
  </si>
  <si>
    <t>Сума</t>
  </si>
  <si>
    <t>Продаж, комісія</t>
  </si>
  <si>
    <t>Так</t>
  </si>
  <si>
    <t>19.09.2025 20:00:00</t>
  </si>
  <si>
    <t>ІБ00-000057</t>
  </si>
  <si>
    <t>02.10.2025 12:35:30</t>
  </si>
  <si>
    <t>ІБ00-000058</t>
  </si>
  <si>
    <t>03.10.2025 14:24:06</t>
  </si>
  <si>
    <t>ІБ00-000059</t>
  </si>
  <si>
    <t>ДУ 2 від 17.09.2025 № 09/05/2025ВО від 09.05.2025</t>
  </si>
  <si>
    <t>Договір про надання інжинірингових послуг №15/04/2</t>
  </si>
  <si>
    <t>Додаткові роботи по улаштуванню під'їзних доріг для початку будівництва</t>
  </si>
  <si>
    <t>Продажа ТМЦ</t>
  </si>
  <si>
    <t>20.10.2025 00:00:00</t>
  </si>
  <si>
    <t>ІБ00-000063</t>
  </si>
  <si>
    <t>ДУ №5 До договору №13092024 від 13.09.2024 р.</t>
  </si>
  <si>
    <t>ДУ № 4 до ДОГОВОРУ №13092024 від 13.09.2024</t>
  </si>
  <si>
    <t>Доп.работы ДУ №2</t>
  </si>
  <si>
    <t>22.10.2025 11:13:52</t>
  </si>
  <si>
    <t>ІБ00-000065</t>
  </si>
  <si>
    <t>* по Бух.базе проведен, по информации реестра - отправлен на Заказчика</t>
  </si>
  <si>
    <t>УВБК ООН (МД ООН 2025)</t>
  </si>
  <si>
    <t>Договір пiдряду N 28/12/2023 ООН (РАМКОВИЙ ДОГОВІР НА НАДАННЯ БУДІВЕЛЬНИХ ПОСЛУГ)</t>
  </si>
  <si>
    <t>ДРУЖБА-НОВА СТОВ (Кернел Кухня)</t>
  </si>
  <si>
    <t>Договір підряду 16/09/25-1 Глобине СПК біг-бег</t>
  </si>
  <si>
    <t>Договір підряду 16/09/25-2 Глобине Пож рез-7.1-7.3</t>
  </si>
  <si>
    <t>Договір підряду 16/09/25-3 Глобине  Транспортна  галерея-3.4</t>
  </si>
  <si>
    <t>Договір підряду 24/09/25 Глобине Форшахта</t>
  </si>
  <si>
    <t>Договір підряду №08/08/25 Глобине( Естакада, Тран 3,5)</t>
  </si>
  <si>
    <t>Глобине Форшахта</t>
  </si>
  <si>
    <t>237_3_4_КБ,_КМ_Р_Транспортна_галерея_rev_1_0 Транспортна галерея 3.4 - КМ</t>
  </si>
  <si>
    <t>237-4.1-АБ-Р-Склад зберігання соєвого концентрату в біг-бегах-rev 1.0</t>
  </si>
  <si>
    <t>СПК</t>
  </si>
  <si>
    <t>Договір підряду09/04-25 від 09.04.2025 ГлобинеСПК</t>
  </si>
  <si>
    <t>Задолженность, грн. (аванс-)</t>
  </si>
  <si>
    <t>Договір підряду 01/10/25 Глобине Естакада 1.0</t>
  </si>
  <si>
    <t>РАМКОВИЙ ДОГОВІР НА НАДАННЯ БУДІВЕЛЬНИХ ПОСЛУГ</t>
  </si>
  <si>
    <t>Договір підряду 15/10/25, 46,16т; 40кд</t>
  </si>
  <si>
    <t>Гарантийные платежи</t>
  </si>
  <si>
    <t>Сумма незарегестрированного НДС по проведенным актам</t>
  </si>
  <si>
    <t>ИТОГО сумма к получению</t>
  </si>
  <si>
    <t>237-7.1, 7.2, 7.3-КБ-Р-Пожежні резервуари-rev 1.3 (водопровідна камера) - 122059грн
237-9-АБ Р ГРП_rev1.1ГРП - 122059грн
237-5.1 - 5.8, 5.9-КМ-Р-Резервуарний парк меляси-rev 1.3, Насосна та сходи з галереями. - 656026грн</t>
  </si>
  <si>
    <t>237_1-25.6-КМ-Р-Транспортна галерея-rev 1.3 - 990 000грн
3.5 -  КМ (237-3.5-КБ, КМ-Р Естакада інженерних комунікацій rev 1.1) - 914 500грн
Транспортна галерея 3.3 (237-3.3-КБ2, КМ2-Р Градирня. Естакада оборотного водопостачання-rev 1.3) - 108 607,5грн</t>
  </si>
  <si>
    <t>237-6.2-КБ-КМ-Р-Естакада інженерних комунікацій rev 1.0 - 414 540грн -12,6т
237-3.1.1-Р-АБ Рез-парк розчинника rev 1.3 - 149 859,5грн - 4,555т
237-3.1.1-КМ-Р-Рез-парк розчинника-rev 1.1 - 260 239 грн - 7,91т</t>
  </si>
  <si>
    <t>237-4.2-КМ-Р-Пункт-навантаження-rev-1.1 соєвого протеїнового концентрату и меляси на автотранспорт -  4.2 - 1 518 664грн-46,16т
237-2-КМ-Р-Ваги автомобільні з навісом на 2 проїздом-rev 1.0 - 408 157,4грн - 12,406т</t>
  </si>
  <si>
    <t>оон 32</t>
  </si>
  <si>
    <t>оон 33</t>
  </si>
  <si>
    <t>оон 34</t>
  </si>
  <si>
    <t>оон 35</t>
  </si>
  <si>
    <t>оон 29</t>
  </si>
  <si>
    <t>оон 30</t>
  </si>
  <si>
    <t>оон 31</t>
  </si>
  <si>
    <t>договір поставки</t>
  </si>
  <si>
    <t>оон 55 запоріжжя</t>
  </si>
  <si>
    <t>оон 56 запоріжжя</t>
  </si>
  <si>
    <t>оон 54 запоріжжя</t>
  </si>
  <si>
    <t>оон 53 запоріжжя</t>
  </si>
  <si>
    <t>оон 52 запоріжжя</t>
  </si>
  <si>
    <t>оон 51 запоріжжя</t>
  </si>
  <si>
    <t>оон 50 запоріжжя</t>
  </si>
  <si>
    <t>оон 49 запоріжжя</t>
  </si>
  <si>
    <t>оон 48 запоріжжя</t>
  </si>
  <si>
    <t>оон 47 запоріжжя</t>
  </si>
  <si>
    <t>оон 46 запоріжжя</t>
  </si>
  <si>
    <t>оон 45 запоріжжя</t>
  </si>
  <si>
    <t>оон 44 запоріжжя</t>
  </si>
  <si>
    <t>оон 43 запоріжжя</t>
  </si>
  <si>
    <t>оон 42 запоріжжя</t>
  </si>
  <si>
    <t>оон 41 запоріжжя</t>
  </si>
  <si>
    <t>оон 40 запоріжжя</t>
  </si>
  <si>
    <t>оон 39 запоріжжя</t>
  </si>
  <si>
    <t>оон 38 запоріжжя</t>
  </si>
  <si>
    <t>оон 37 запоріжжя</t>
  </si>
  <si>
    <t>оон 36 полтава</t>
  </si>
  <si>
    <t>оон 57 кіровоград</t>
  </si>
  <si>
    <t>оон 58 кіровоград</t>
  </si>
  <si>
    <t>оон 59 полтава</t>
  </si>
  <si>
    <t>оон 60 полтава</t>
  </si>
  <si>
    <t>Поставка, монтаж та випробування збірного бетонного резервуару для приватної каналізації</t>
  </si>
  <si>
    <t>Договір поставки № 28/10/24 від 28.10.24 (Договір 01/11/2024 вiд 01.11.2024р КУХНЯ)+ду6</t>
  </si>
  <si>
    <t>19/01-26-1, 237-3.1.5-КМ-Р — Естакада інженерних комунікацій</t>
  </si>
  <si>
    <t>19/01/26-1, 237-3.6-КБ-Р — Аварійний резервуар розчинника</t>
  </si>
  <si>
    <t>19/01/26-1, 237-6.4-КМ-Р — Естакада</t>
  </si>
  <si>
    <t>19/01/26-1, 237-6-АБ-Р — Навіс</t>
  </si>
  <si>
    <t>21/01/26, 237-8-КБ-Р - Каналізаційна насосна станція</t>
  </si>
  <si>
    <t>21/01/26, 237-АБ-13 - Пост охорони</t>
  </si>
  <si>
    <t>Договід підряду 19/01-26-1 19.01.26</t>
  </si>
  <si>
    <t>Договід підряду 21/01-26 21.01.26</t>
  </si>
  <si>
    <t>ДОГОВІР ПІДРЯДУ № 20/01/25</t>
  </si>
  <si>
    <t>Наливна естакада побічних продуктів до авто</t>
  </si>
  <si>
    <t>Будівля компресорної зі станцією по виробництву азоту</t>
  </si>
  <si>
    <t>Кернел Ойл Технолоджіз №1601-26 (МК Черноморск)</t>
  </si>
  <si>
    <t>Contract 10499944</t>
  </si>
  <si>
    <t>ПРООН Contract 10499944 (МД ПРООН Черкаси  ДСНС)</t>
  </si>
  <si>
    <t>МД ПРООН Черкаси  ДСНС</t>
  </si>
  <si>
    <t>28+2+2 відгрузили(15.12-56буд, 2 січень, 2 лютий),7акти+13поданіакти</t>
  </si>
  <si>
    <t>Майданчик складування відходів виробництва на Об’єкті будівництва</t>
  </si>
  <si>
    <t>ДОГОВІР ПІДРЯДУ № 20/01/26</t>
  </si>
  <si>
    <t>164 519,63</t>
  </si>
  <si>
    <t>ПрАТ "ОРІЛЬ-ЛІДЕР"</t>
  </si>
  <si>
    <t>Договір поставки  №БА1103/2026  від 11.03.2026</t>
  </si>
  <si>
    <t>Договір надання послуг №1203/2026  від 12.03.2026</t>
  </si>
  <si>
    <t>Договір підряду 06/04/26-МК Кривий РІГ</t>
  </si>
  <si>
    <t xml:space="preserve">ПАТ "Кривий Ріг Цемент" (Кривий Ріг) </t>
  </si>
  <si>
    <t xml:space="preserve"> </t>
  </si>
  <si>
    <t>МД Вооз ЕМS Мала 2026</t>
  </si>
  <si>
    <t>МК Каменец Цемент</t>
  </si>
  <si>
    <t xml:space="preserve">ПОДІЛЬСЬКИЙ ЦЕМЕНТ АТ  (МК Каменец Цемент) </t>
  </si>
  <si>
    <t>10 календарних дней</t>
  </si>
  <si>
    <t>УВБК ООН (МД ООН Админ)</t>
  </si>
  <si>
    <t>МД ООН Админ</t>
  </si>
  <si>
    <t>МД IRS 2026</t>
  </si>
  <si>
    <t>МД IRS 2026 15 м (МД IRS 2026)</t>
  </si>
  <si>
    <t>МД IRS 2026 30 м (МД IRS 2026)</t>
  </si>
  <si>
    <t xml:space="preserve">Доп Акт по чищення швеллера </t>
  </si>
  <si>
    <t>МД ООН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</si>
</sst>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₴_-;\-* #,##0.00_₴_-;_-* &quot;-&quot;??_₴_-;_-@_-"/>
    <numFmt numFmtId="165" formatCode="_-* #,##0.00\ _₽_-;\-* #,##0.00\ _₽_-;_-* &quot;-&quot;??\ _₽_-;_-@_-"/>
    <numFmt numFmtId="166" formatCode="#,##0.00_ ;[Red]\-#,##0.00\ "/>
    <numFmt numFmtId="167" formatCode="_-* #,##0.00_р_._-;\-* #,##0.00_р_._-;_-* &quot;-&quot;??_р_._-;_-@_-"/>
    <numFmt numFmtId="168" formatCode="0.000"/>
    <numFmt numFmtId="169" formatCode="_-* #,##0.00\ _г_р_н_._-;\-* #,##0.00\ _г_р_н_._-;_-* &quot;-&quot;??\ _г_р_н_._-;_-@_-"/>
    <numFmt numFmtId="170" formatCode="#,##0.00\ _₴"/>
  </numFmts>
  <fonts count="79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rgb="FF003F2F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8"/>
      <name val="Arial"/>
      <family val="2"/>
      <charset val="204"/>
    </font>
    <font>
      <sz val="8"/>
      <color theme="6" tint="-0.499984740745262"/>
      <name val="Arial"/>
      <family val="2"/>
      <charset val="204"/>
    </font>
    <font>
      <sz val="8"/>
      <color rgb="FF00B05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8"/>
      <color rgb="FF00B050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Times New Roman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u/>
      <sz val="8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u/>
      <sz val="8"/>
      <color rgb="FF000000"/>
      <name val="Arial"/>
      <family val="2"/>
      <charset val="204"/>
    </font>
    <font>
      <b/>
      <i/>
      <sz val="8"/>
      <color rgb="FF000000"/>
      <name val="Arial"/>
      <family val="2"/>
      <charset val="204"/>
    </font>
    <font>
      <sz val="9"/>
      <name val="Times New Roman"/>
      <family val="1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1"/>
      <color indexed="8"/>
      <name val="Calibri"/>
      <family val="2"/>
      <charset val="204"/>
    </font>
    <font>
      <sz val="10"/>
      <name val="Arial"/>
      <family val="2"/>
    </font>
    <font>
      <sz val="12"/>
      <color indexed="8"/>
      <name val="Verdana"/>
      <family val="2"/>
      <charset val="204"/>
    </font>
    <font>
      <sz val="10"/>
      <name val="Tahoma"/>
      <family val="2"/>
      <charset val="204"/>
    </font>
    <font>
      <sz val="11"/>
      <color indexed="8"/>
      <name val="Calibri"/>
      <family val="2"/>
    </font>
    <font>
      <sz val="10"/>
      <name val="Arial Cyr"/>
      <family val="2"/>
      <charset val="204"/>
    </font>
    <font>
      <sz val="8"/>
      <color theme="1"/>
      <name val="Arial"/>
      <family val="2"/>
      <charset val="204"/>
    </font>
    <font>
      <b/>
      <u/>
      <sz val="8"/>
      <color rgb="FF00B050"/>
      <name val="Arial"/>
      <family val="2"/>
      <charset val="204"/>
    </font>
    <font>
      <sz val="8"/>
      <color rgb="FFFF0000"/>
      <name val="Arial"/>
      <family val="2"/>
      <charset val="204"/>
    </font>
    <font>
      <sz val="11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  <font>
      <b/>
      <sz val="11"/>
      <color rgb="FF003F2F"/>
      <name val="Arial"/>
      <family val="2"/>
      <charset val="204"/>
    </font>
    <font>
      <b/>
      <sz val="9"/>
      <color rgb="FF003F2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4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1"/>
      <scheme val="minor"/>
    </font>
    <font>
      <i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8"/>
      <name val="Arial"/>
      <family val="2"/>
      <charset val="204"/>
    </font>
    <font>
      <sz val="8"/>
      <name val="Times New Roman"/>
      <family val="1"/>
      <charset val="204"/>
    </font>
    <font>
      <b/>
      <sz val="9"/>
      <name val="Arial"/>
      <family val="2"/>
      <charset val="204"/>
    </font>
    <font>
      <sz val="9"/>
      <color theme="1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 style="medium">
        <color indexed="64"/>
      </top>
      <bottom/>
      <diagonal/>
    </border>
    <border>
      <left style="thin">
        <color rgb="FFB3AC86"/>
      </left>
      <right style="thin">
        <color rgb="FFB3AC86"/>
      </right>
      <top style="medium">
        <color indexed="64"/>
      </top>
      <bottom/>
      <diagonal/>
    </border>
    <border>
      <left style="thin">
        <color rgb="FFB3AC86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3AC86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 style="medium">
        <color indexed="64"/>
      </top>
      <bottom style="medium">
        <color indexed="64"/>
      </bottom>
      <diagonal/>
    </border>
    <border>
      <left style="thin">
        <color rgb="FFB3AC86"/>
      </left>
      <right style="thin">
        <color rgb="FFB3AC86"/>
      </right>
      <top style="medium">
        <color indexed="64"/>
      </top>
      <bottom style="medium">
        <color indexed="64"/>
      </bottom>
      <diagonal/>
    </border>
    <border>
      <left/>
      <right style="thin">
        <color rgb="FFB3AC86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medium">
        <color indexed="64"/>
      </right>
      <top/>
      <bottom/>
      <diagonal/>
    </border>
    <border>
      <left style="thin">
        <color rgb="FFACC8BD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rgb="FFACC8BD"/>
      </left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rgb="FFACC8B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ACC8BD"/>
      </left>
      <right/>
      <top/>
      <bottom/>
      <diagonal/>
    </border>
    <border>
      <left style="medium">
        <color indexed="64"/>
      </left>
      <right style="thin">
        <color rgb="FFACC8BD"/>
      </right>
      <top/>
      <bottom/>
      <diagonal/>
    </border>
    <border>
      <left style="thin">
        <color rgb="FFACC8BD"/>
      </left>
      <right style="thin">
        <color rgb="FFACC8BD"/>
      </right>
      <top/>
      <bottom/>
      <diagonal/>
    </border>
    <border>
      <left style="thin">
        <color rgb="FFACC8BD"/>
      </left>
      <right style="medium">
        <color indexed="64"/>
      </right>
      <top/>
      <bottom/>
      <diagonal/>
    </border>
    <border>
      <left/>
      <right style="thin">
        <color rgb="FFACC8BD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3AC86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B3AC86"/>
      </right>
      <top/>
      <bottom style="medium">
        <color indexed="64"/>
      </bottom>
      <diagonal/>
    </border>
    <border>
      <left style="thin">
        <color rgb="FFB3AC86"/>
      </left>
      <right style="thin">
        <color rgb="FFB3AC86"/>
      </right>
      <top/>
      <bottom style="medium">
        <color indexed="64"/>
      </bottom>
      <diagonal/>
    </border>
    <border>
      <left style="thin">
        <color rgb="FFB3AC86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B3AC86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3AC86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ACC8BD"/>
      </left>
      <right style="medium">
        <color rgb="FFACC8BD"/>
      </right>
      <top style="medium">
        <color rgb="FFACC8BD"/>
      </top>
      <bottom style="medium">
        <color rgb="FFACC8BD"/>
      </bottom>
      <diagonal/>
    </border>
    <border>
      <left/>
      <right style="thin">
        <color rgb="FFB3AC86"/>
      </right>
      <top style="medium">
        <color indexed="64"/>
      </top>
      <bottom/>
      <diagonal/>
    </border>
    <border>
      <left/>
      <right style="thin">
        <color rgb="FFACC8BD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</borders>
  <cellStyleXfs count="658">
    <xf numFmtId="0" fontId="0" fillId="0" borderId="0"/>
    <xf numFmtId="0" fontId="22" fillId="0" borderId="0"/>
    <xf numFmtId="0" fontId="32" fillId="0" borderId="0"/>
    <xf numFmtId="0" fontId="33" fillId="0" borderId="0"/>
    <xf numFmtId="0" fontId="21" fillId="0" borderId="0"/>
    <xf numFmtId="165" fontId="21" fillId="0" borderId="0" applyFont="0" applyFill="0" applyBorder="0" applyAlignment="0" applyProtection="0"/>
    <xf numFmtId="0" fontId="32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0" fillId="0" borderId="0"/>
    <xf numFmtId="0" fontId="27" fillId="0" borderId="0"/>
    <xf numFmtId="0" fontId="27" fillId="0" borderId="0"/>
    <xf numFmtId="165" fontId="20" fillId="0" borderId="0" applyFont="0" applyFill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0" fontId="32" fillId="0" borderId="0"/>
    <xf numFmtId="0" fontId="35" fillId="0" borderId="0"/>
    <xf numFmtId="0" fontId="18" fillId="0" borderId="0"/>
    <xf numFmtId="0" fontId="36" fillId="0" borderId="0"/>
    <xf numFmtId="165" fontId="3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7" fillId="0" borderId="0"/>
    <xf numFmtId="49" fontId="39" fillId="0" borderId="0">
      <alignment horizontal="left" vertical="center" wrapText="1"/>
    </xf>
    <xf numFmtId="0" fontId="40" fillId="0" borderId="4">
      <alignment horizontal="left" vertical="center" wrapText="1"/>
    </xf>
    <xf numFmtId="0" fontId="40" fillId="0" borderId="5">
      <alignment horizontal="left" vertical="center" wrapText="1"/>
    </xf>
    <xf numFmtId="0" fontId="40" fillId="0" borderId="6">
      <alignment horizontal="center" vertical="center" wrapText="1"/>
    </xf>
    <xf numFmtId="0" fontId="40" fillId="0" borderId="6">
      <alignment horizontal="right" vertical="center" wrapText="1"/>
    </xf>
    <xf numFmtId="49" fontId="40" fillId="0" borderId="7">
      <alignment horizontal="right" vertical="top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49" fontId="41" fillId="0" borderId="5">
      <alignment horizontal="left" vertical="center" wrapText="1"/>
    </xf>
    <xf numFmtId="0" fontId="41" fillId="0" borderId="6">
      <alignment horizontal="right" vertical="center" wrapText="1"/>
    </xf>
    <xf numFmtId="49" fontId="41" fillId="0" borderId="6">
      <alignment horizontal="right" vertical="center" wrapText="1"/>
    </xf>
    <xf numFmtId="0" fontId="41" fillId="0" borderId="6">
      <alignment horizontal="left" vertical="center" wrapText="1"/>
    </xf>
    <xf numFmtId="49" fontId="41" fillId="0" borderId="6">
      <alignment horizontal="center" vertical="center" wrapText="1"/>
    </xf>
    <xf numFmtId="0" fontId="40" fillId="0" borderId="8">
      <alignment horizontal="left" vertical="center" wrapText="1"/>
    </xf>
    <xf numFmtId="49" fontId="41" fillId="0" borderId="9">
      <alignment horizontal="center" vertical="top" wrapText="1"/>
    </xf>
    <xf numFmtId="0" fontId="41" fillId="0" borderId="6">
      <alignment horizontal="left" wrapText="1"/>
    </xf>
    <xf numFmtId="0" fontId="41" fillId="0" borderId="10">
      <alignment horizontal="left" vertical="center" wrapText="1"/>
    </xf>
    <xf numFmtId="49" fontId="41" fillId="0" borderId="5">
      <alignment horizontal="left" vertical="center" wrapText="1"/>
    </xf>
    <xf numFmtId="0" fontId="40" fillId="0" borderId="11">
      <alignment horizontal="left" vertical="center" wrapText="1"/>
    </xf>
    <xf numFmtId="0" fontId="40" fillId="0" borderId="12">
      <alignment horizontal="left" vertical="center" wrapText="1"/>
    </xf>
    <xf numFmtId="49" fontId="41" fillId="0" borderId="6">
      <alignment horizontal="right" vertical="center" wrapText="1"/>
    </xf>
    <xf numFmtId="0" fontId="41" fillId="0" borderId="6">
      <alignment horizontal="left" wrapText="1"/>
    </xf>
    <xf numFmtId="0" fontId="41" fillId="0" borderId="10">
      <alignment horizontal="left" vertical="center" wrapText="1"/>
    </xf>
    <xf numFmtId="49" fontId="42" fillId="0" borderId="13">
      <alignment horizontal="center" vertical="center" wrapText="1"/>
    </xf>
    <xf numFmtId="0" fontId="40" fillId="0" borderId="11">
      <alignment horizontal="left" vertical="center" wrapText="1"/>
    </xf>
    <xf numFmtId="0" fontId="40" fillId="0" borderId="12">
      <alignment horizontal="left" vertical="center" wrapText="1"/>
    </xf>
    <xf numFmtId="0" fontId="40" fillId="0" borderId="10">
      <alignment horizontal="left" vertical="center" wrapText="1"/>
    </xf>
    <xf numFmtId="0" fontId="40" fillId="0" borderId="14">
      <alignment horizontal="left" vertical="center" wrapText="1"/>
    </xf>
    <xf numFmtId="0" fontId="40" fillId="0" borderId="15">
      <alignment horizontal="left" vertical="center" wrapText="1"/>
    </xf>
    <xf numFmtId="49" fontId="41" fillId="0" borderId="16">
      <alignment horizontal="left" vertical="center" wrapText="1"/>
    </xf>
    <xf numFmtId="0" fontId="40" fillId="0" borderId="17">
      <alignment horizontal="left" vertical="center" wrapText="1"/>
    </xf>
    <xf numFmtId="0" fontId="40" fillId="0" borderId="18">
      <alignment horizontal="left" vertical="center" wrapText="1"/>
    </xf>
    <xf numFmtId="49" fontId="41" fillId="0" borderId="14">
      <alignment horizontal="right" vertical="center" wrapText="1"/>
    </xf>
    <xf numFmtId="0" fontId="41" fillId="0" borderId="14">
      <alignment horizontal="left" vertical="center" wrapText="1"/>
    </xf>
    <xf numFmtId="49" fontId="40" fillId="0" borderId="19">
      <alignment horizontal="center" vertical="center" wrapText="1"/>
    </xf>
    <xf numFmtId="0" fontId="41" fillId="0" borderId="20">
      <alignment horizontal="left" vertical="center" wrapText="1"/>
    </xf>
    <xf numFmtId="49" fontId="41" fillId="0" borderId="20">
      <alignment horizontal="left" wrapText="1"/>
    </xf>
    <xf numFmtId="0" fontId="40" fillId="0" borderId="21">
      <alignment horizontal="left" vertical="center" wrapText="1"/>
    </xf>
    <xf numFmtId="0" fontId="40" fillId="0" borderId="22">
      <alignment horizontal="left" vertical="center" wrapText="1"/>
    </xf>
    <xf numFmtId="49" fontId="41" fillId="0" borderId="23">
      <alignment horizontal="right" vertical="center" wrapText="1"/>
    </xf>
    <xf numFmtId="0" fontId="41" fillId="0" borderId="24">
      <alignment horizontal="left" vertical="center" wrapText="1"/>
    </xf>
    <xf numFmtId="0" fontId="40" fillId="0" borderId="20">
      <alignment horizontal="left" vertical="center" wrapText="1"/>
    </xf>
    <xf numFmtId="49" fontId="41" fillId="0" borderId="10">
      <alignment horizontal="right" vertical="center" wrapText="1"/>
    </xf>
    <xf numFmtId="0" fontId="41" fillId="0" borderId="25">
      <alignment horizontal="left" vertical="center" wrapText="1"/>
    </xf>
    <xf numFmtId="49" fontId="41" fillId="0" borderId="25">
      <alignment horizontal="left" vertical="center" wrapText="1"/>
    </xf>
    <xf numFmtId="49" fontId="41" fillId="0" borderId="5">
      <alignment horizontal="center" vertical="center" wrapText="1"/>
    </xf>
    <xf numFmtId="0" fontId="41" fillId="0" borderId="26">
      <alignment horizontal="left" vertical="center" wrapText="1"/>
    </xf>
    <xf numFmtId="0" fontId="41" fillId="0" borderId="27">
      <alignment horizontal="left" vertical="center" wrapText="1"/>
    </xf>
    <xf numFmtId="0" fontId="41" fillId="0" borderId="13">
      <alignment horizontal="right" vertical="center" wrapText="1"/>
    </xf>
    <xf numFmtId="0" fontId="41" fillId="0" borderId="28">
      <alignment horizontal="left" vertical="center" wrapText="1"/>
    </xf>
    <xf numFmtId="49" fontId="40" fillId="0" borderId="29">
      <alignment horizontal="left" vertical="center" wrapText="1"/>
    </xf>
    <xf numFmtId="0" fontId="40" fillId="0" borderId="30">
      <alignment horizontal="left" vertical="center" wrapText="1"/>
    </xf>
    <xf numFmtId="49" fontId="40" fillId="0" borderId="31">
      <alignment horizontal="right" vertical="center" wrapText="1"/>
    </xf>
    <xf numFmtId="49" fontId="40" fillId="0" borderId="7">
      <alignment horizontal="left" vertical="center" wrapText="1"/>
    </xf>
    <xf numFmtId="49" fontId="40" fillId="0" borderId="10">
      <alignment horizontal="right" vertical="center" wrapText="1"/>
    </xf>
    <xf numFmtId="0" fontId="41" fillId="0" borderId="11">
      <alignment horizontal="left" vertical="center" wrapText="1"/>
    </xf>
    <xf numFmtId="0" fontId="40" fillId="0" borderId="26">
      <alignment horizontal="center" vertical="center" wrapText="1"/>
    </xf>
    <xf numFmtId="0" fontId="41" fillId="0" borderId="12">
      <alignment horizontal="left" vertical="center" wrapText="1"/>
    </xf>
    <xf numFmtId="0" fontId="41" fillId="0" borderId="11">
      <alignment horizontal="left" vertical="center" wrapText="1"/>
    </xf>
    <xf numFmtId="0" fontId="41" fillId="0" borderId="12">
      <alignment horizontal="left" vertical="center" wrapText="1"/>
    </xf>
    <xf numFmtId="49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0" fillId="0" borderId="26">
      <alignment horizontal="left" vertical="center" wrapText="1"/>
    </xf>
    <xf numFmtId="49" fontId="40" fillId="0" borderId="0">
      <alignment horizontal="left" vertical="center"/>
    </xf>
    <xf numFmtId="0" fontId="40" fillId="0" borderId="0">
      <alignment horizontal="left" vertical="center"/>
    </xf>
    <xf numFmtId="0" fontId="40" fillId="0" borderId="27">
      <alignment horizontal="center" vertical="center" wrapText="1"/>
    </xf>
    <xf numFmtId="0" fontId="40" fillId="0" borderId="29">
      <alignment horizontal="left" vertical="center" wrapText="1"/>
    </xf>
    <xf numFmtId="49" fontId="41" fillId="0" borderId="9">
      <alignment horizontal="center" vertical="center" wrapText="1"/>
    </xf>
    <xf numFmtId="0" fontId="40" fillId="0" borderId="32">
      <alignment horizontal="center" vertical="center" wrapText="1"/>
    </xf>
    <xf numFmtId="0" fontId="40" fillId="0" borderId="0">
      <alignment horizontal="left" vertical="center" wrapText="1"/>
    </xf>
    <xf numFmtId="0" fontId="40" fillId="0" borderId="33">
      <alignment horizontal="left" vertical="center" wrapText="1"/>
    </xf>
    <xf numFmtId="0" fontId="40" fillId="0" borderId="34">
      <alignment horizontal="left" vertical="center" wrapText="1"/>
    </xf>
    <xf numFmtId="0" fontId="40" fillId="0" borderId="7">
      <alignment horizontal="left" vertical="center" wrapText="1"/>
    </xf>
    <xf numFmtId="49" fontId="40" fillId="0" borderId="6">
      <alignment horizontal="center" vertical="center" wrapText="1"/>
    </xf>
    <xf numFmtId="49" fontId="40" fillId="0" borderId="10">
      <alignment horizontal="center" vertical="center" wrapText="1"/>
    </xf>
    <xf numFmtId="49" fontId="40" fillId="0" borderId="5">
      <alignment horizontal="center" vertical="center" wrapText="1"/>
    </xf>
    <xf numFmtId="0" fontId="40" fillId="0" borderId="7">
      <alignment horizontal="center" vertical="center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0" fontId="41" fillId="0" borderId="11">
      <alignment horizontal="center" vertical="center" wrapText="1"/>
    </xf>
    <xf numFmtId="49" fontId="43" fillId="0" borderId="0">
      <alignment horizontal="center" vertical="center" wrapText="1"/>
    </xf>
    <xf numFmtId="0" fontId="41" fillId="0" borderId="11">
      <alignment horizontal="right" vertical="center" wrapText="1"/>
    </xf>
    <xf numFmtId="0" fontId="41" fillId="0" borderId="12">
      <alignment horizontal="right" vertical="center" wrapText="1"/>
    </xf>
    <xf numFmtId="0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1" fillId="0" borderId="6">
      <alignment horizontal="right" vertical="center" wrapText="1"/>
    </xf>
    <xf numFmtId="0" fontId="41" fillId="0" borderId="6">
      <alignment horizontal="left" vertical="center" wrapText="1"/>
    </xf>
    <xf numFmtId="0" fontId="41" fillId="0" borderId="6">
      <alignment horizontal="center" vertical="center" wrapText="1"/>
    </xf>
    <xf numFmtId="49" fontId="41" fillId="0" borderId="6">
      <alignment horizontal="left" vertical="center" wrapText="1"/>
    </xf>
    <xf numFmtId="0" fontId="41" fillId="0" borderId="11">
      <alignment horizontal="center" vertical="center" wrapText="1"/>
    </xf>
    <xf numFmtId="0" fontId="41" fillId="0" borderId="11">
      <alignment horizontal="right" vertical="center" wrapText="1"/>
    </xf>
    <xf numFmtId="49" fontId="40" fillId="0" borderId="0">
      <alignment horizontal="left" vertical="center" wrapText="1"/>
    </xf>
    <xf numFmtId="0" fontId="41" fillId="0" borderId="12">
      <alignment horizontal="right" vertical="center" wrapText="1"/>
    </xf>
    <xf numFmtId="0" fontId="41" fillId="0" borderId="10">
      <alignment horizontal="right" vertical="center" wrapText="1"/>
    </xf>
    <xf numFmtId="0" fontId="41" fillId="0" borderId="5">
      <alignment horizontal="left" vertical="center" wrapText="1"/>
    </xf>
    <xf numFmtId="0" fontId="41" fillId="0" borderId="6">
      <alignment horizontal="right" vertical="center" wrapText="1"/>
    </xf>
    <xf numFmtId="0" fontId="41" fillId="0" borderId="6">
      <alignment horizontal="left" vertical="center" wrapText="1"/>
    </xf>
    <xf numFmtId="49" fontId="40" fillId="0" borderId="6">
      <alignment horizontal="center" vertical="center" wrapText="1"/>
    </xf>
    <xf numFmtId="49" fontId="40" fillId="0" borderId="6">
      <alignment horizontal="left" vertical="center" wrapText="1"/>
    </xf>
    <xf numFmtId="49" fontId="40" fillId="0" borderId="25">
      <alignment horizontal="left" vertical="center" wrapText="1"/>
    </xf>
    <xf numFmtId="49" fontId="40" fillId="0" borderId="6">
      <alignment horizontal="right" vertical="center" wrapText="1"/>
    </xf>
    <xf numFmtId="49" fontId="44" fillId="0" borderId="25">
      <alignment horizontal="center" wrapText="1"/>
    </xf>
    <xf numFmtId="49" fontId="39" fillId="0" borderId="0">
      <alignment horizontal="center" vertical="center" wrapText="1"/>
    </xf>
    <xf numFmtId="49" fontId="44" fillId="0" borderId="13">
      <alignment horizontal="center" wrapText="1"/>
    </xf>
    <xf numFmtId="49" fontId="40" fillId="0" borderId="5">
      <alignment horizontal="left" vertical="center" wrapText="1"/>
    </xf>
    <xf numFmtId="0" fontId="40" fillId="0" borderId="6">
      <alignment horizontal="left" vertical="center" wrapText="1"/>
    </xf>
    <xf numFmtId="49" fontId="40" fillId="0" borderId="7">
      <alignment horizontal="center" vertical="top" wrapText="1"/>
    </xf>
    <xf numFmtId="49" fontId="40" fillId="0" borderId="9">
      <alignment horizontal="center" vertical="top" wrapText="1"/>
    </xf>
    <xf numFmtId="0" fontId="40" fillId="0" borderId="35">
      <alignment horizontal="left" vertical="center" wrapText="1"/>
    </xf>
    <xf numFmtId="0" fontId="40" fillId="0" borderId="7">
      <alignment horizontal="left" vertical="center" wrapText="1"/>
    </xf>
    <xf numFmtId="0" fontId="40" fillId="0" borderId="7">
      <alignment horizontal="right" vertical="top" wrapText="1"/>
    </xf>
    <xf numFmtId="0" fontId="40" fillId="0" borderId="9">
      <alignment horizontal="left" vertical="center" wrapText="1"/>
    </xf>
    <xf numFmtId="0" fontId="40" fillId="0" borderId="36">
      <alignment horizontal="left" vertical="center" wrapText="1"/>
    </xf>
    <xf numFmtId="0" fontId="39" fillId="0" borderId="0">
      <alignment horizontal="center" vertical="center" wrapText="1"/>
    </xf>
    <xf numFmtId="49" fontId="40" fillId="0" borderId="25">
      <alignment horizontal="center" vertical="center" wrapText="1"/>
    </xf>
    <xf numFmtId="49" fontId="40" fillId="0" borderId="25">
      <alignment horizontal="right" vertical="center" wrapText="1"/>
    </xf>
    <xf numFmtId="49" fontId="40" fillId="0" borderId="28">
      <alignment horizontal="left" vertical="center" wrapText="1"/>
    </xf>
    <xf numFmtId="0" fontId="40" fillId="0" borderId="25">
      <alignment horizontal="left" vertical="center" wrapText="1"/>
    </xf>
    <xf numFmtId="49" fontId="40" fillId="0" borderId="29">
      <alignment horizontal="center" vertical="top" wrapText="1"/>
    </xf>
    <xf numFmtId="49" fontId="40" fillId="0" borderId="31">
      <alignment horizontal="center" vertical="top" wrapText="1"/>
    </xf>
    <xf numFmtId="0" fontId="40" fillId="0" borderId="29">
      <alignment horizontal="right" vertical="top" wrapText="1"/>
    </xf>
    <xf numFmtId="0" fontId="40" fillId="0" borderId="31">
      <alignment horizontal="left" vertical="center" wrapText="1"/>
    </xf>
    <xf numFmtId="0" fontId="40" fillId="0" borderId="7">
      <alignment horizontal="center" vertical="center" wrapText="1"/>
    </xf>
    <xf numFmtId="0" fontId="40" fillId="0" borderId="7">
      <alignment horizontal="right" vertical="center" wrapText="1"/>
    </xf>
    <xf numFmtId="0" fontId="40" fillId="0" borderId="0">
      <alignment horizontal="center" vertical="center" wrapText="1"/>
    </xf>
    <xf numFmtId="0" fontId="40" fillId="0" borderId="9">
      <alignment horizontal="right" vertical="center" wrapText="1"/>
    </xf>
    <xf numFmtId="49" fontId="40" fillId="0" borderId="36">
      <alignment horizontal="left" vertical="center" wrapText="1"/>
    </xf>
    <xf numFmtId="49" fontId="40" fillId="0" borderId="7">
      <alignment horizontal="center" vertical="center" wrapText="1"/>
    </xf>
    <xf numFmtId="49" fontId="40" fillId="0" borderId="7">
      <alignment horizontal="right" vertical="center" wrapText="1"/>
    </xf>
    <xf numFmtId="0" fontId="40" fillId="0" borderId="29">
      <alignment horizontal="center" vertical="center" wrapText="1"/>
    </xf>
    <xf numFmtId="0" fontId="40" fillId="0" borderId="29">
      <alignment horizontal="right" vertical="center" wrapText="1"/>
    </xf>
    <xf numFmtId="0" fontId="40" fillId="0" borderId="31">
      <alignment horizontal="right" vertical="center" wrapText="1"/>
    </xf>
    <xf numFmtId="49" fontId="40" fillId="0" borderId="35">
      <alignment horizontal="left" vertical="center" wrapText="1"/>
    </xf>
    <xf numFmtId="49" fontId="40" fillId="0" borderId="29">
      <alignment horizontal="center" vertical="center" wrapText="1"/>
    </xf>
    <xf numFmtId="49" fontId="40" fillId="0" borderId="29">
      <alignment horizontal="right" vertical="center" wrapText="1"/>
    </xf>
    <xf numFmtId="0" fontId="41" fillId="0" borderId="0">
      <alignment horizontal="right" vertical="center" wrapText="1"/>
    </xf>
    <xf numFmtId="0" fontId="41" fillId="0" borderId="26">
      <alignment horizontal="center" vertical="center" wrapText="1"/>
    </xf>
    <xf numFmtId="0" fontId="41" fillId="0" borderId="26">
      <alignment horizontal="right" vertical="center" wrapText="1"/>
    </xf>
    <xf numFmtId="0" fontId="41" fillId="0" borderId="27">
      <alignment horizontal="right" vertical="center" wrapText="1"/>
    </xf>
    <xf numFmtId="49" fontId="42" fillId="0" borderId="13">
      <alignment horizontal="center" wrapText="1"/>
    </xf>
    <xf numFmtId="49" fontId="41" fillId="0" borderId="5">
      <alignment horizontal="left" vertical="center" wrapText="1"/>
    </xf>
    <xf numFmtId="49" fontId="41" fillId="0" borderId="6">
      <alignment horizontal="right" vertical="center" wrapText="1"/>
    </xf>
    <xf numFmtId="0" fontId="40" fillId="0" borderId="8">
      <alignment horizontal="left" vertical="center" wrapText="1"/>
    </xf>
    <xf numFmtId="0" fontId="40" fillId="0" borderId="4">
      <alignment horizontal="left" vertical="center" wrapText="1"/>
    </xf>
    <xf numFmtId="0" fontId="40" fillId="0" borderId="34">
      <alignment horizontal="left" vertical="center" wrapText="1"/>
    </xf>
    <xf numFmtId="49" fontId="41" fillId="0" borderId="9">
      <alignment horizontal="center" vertical="top" wrapText="1"/>
    </xf>
    <xf numFmtId="49" fontId="40" fillId="0" borderId="0">
      <alignment horizontal="right" vertical="center"/>
    </xf>
    <xf numFmtId="0" fontId="40" fillId="0" borderId="33">
      <alignment horizontal="left" vertical="center" wrapText="1"/>
    </xf>
    <xf numFmtId="0" fontId="45" fillId="0" borderId="6">
      <alignment horizontal="center" vertical="center" wrapText="1"/>
    </xf>
    <xf numFmtId="49" fontId="45" fillId="0" borderId="6">
      <alignment horizontal="left" vertical="center" wrapText="1"/>
    </xf>
    <xf numFmtId="0" fontId="45" fillId="0" borderId="11">
      <alignment horizontal="center" vertical="center" wrapText="1"/>
    </xf>
    <xf numFmtId="0" fontId="45" fillId="0" borderId="11">
      <alignment horizontal="right" vertical="center" wrapText="1"/>
    </xf>
    <xf numFmtId="0" fontId="45" fillId="0" borderId="12">
      <alignment horizontal="right" vertical="center" wrapText="1"/>
    </xf>
    <xf numFmtId="0" fontId="45" fillId="0" borderId="10">
      <alignment horizontal="right" vertical="center" wrapText="1"/>
    </xf>
    <xf numFmtId="0" fontId="45" fillId="0" borderId="5">
      <alignment horizontal="left" vertical="center" wrapText="1"/>
    </xf>
    <xf numFmtId="0" fontId="45" fillId="0" borderId="6">
      <alignment horizontal="right" vertical="center" wrapText="1"/>
    </xf>
    <xf numFmtId="0" fontId="45" fillId="0" borderId="6">
      <alignment horizontal="left" vertical="center" wrapText="1"/>
    </xf>
    <xf numFmtId="167" fontId="17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" fillId="0" borderId="0"/>
    <xf numFmtId="0" fontId="14" fillId="0" borderId="0"/>
    <xf numFmtId="0" fontId="13" fillId="0" borderId="0"/>
    <xf numFmtId="168" fontId="49" fillId="0" borderId="0"/>
    <xf numFmtId="0" fontId="47" fillId="0" borderId="0">
      <alignment horizontal="left" vertical="center"/>
    </xf>
    <xf numFmtId="0" fontId="47" fillId="0" borderId="4">
      <alignment horizontal="right" vertical="center"/>
    </xf>
    <xf numFmtId="0" fontId="47" fillId="0" borderId="4">
      <alignment horizontal="right" vertical="center" wrapText="1"/>
    </xf>
    <xf numFmtId="0" fontId="47" fillId="0" borderId="25">
      <alignment horizontal="center" vertical="center" wrapText="1"/>
    </xf>
    <xf numFmtId="0" fontId="47" fillId="0" borderId="38">
      <alignment horizontal="center" vertical="center" wrapText="1"/>
    </xf>
    <xf numFmtId="0" fontId="47" fillId="0" borderId="6">
      <alignment horizontal="center" vertical="center" wrapText="1"/>
    </xf>
    <xf numFmtId="0" fontId="48" fillId="0" borderId="0">
      <alignment horizontal="left" vertical="center"/>
    </xf>
    <xf numFmtId="0" fontId="47" fillId="0" borderId="25">
      <alignment horizontal="left" vertical="center" wrapText="1"/>
    </xf>
    <xf numFmtId="0" fontId="47" fillId="0" borderId="29">
      <alignment horizontal="left" vertical="center" wrapText="1"/>
    </xf>
    <xf numFmtId="0" fontId="47" fillId="0" borderId="29">
      <alignment horizontal="center" vertical="center" wrapText="1"/>
    </xf>
    <xf numFmtId="0" fontId="47" fillId="0" borderId="29">
      <alignment horizontal="center" vertical="center" wrapText="1"/>
    </xf>
    <xf numFmtId="0" fontId="47" fillId="0" borderId="39">
      <alignment horizontal="left" vertical="center" wrapText="1"/>
    </xf>
    <xf numFmtId="0" fontId="47" fillId="0" borderId="39">
      <alignment horizontal="center" vertical="center" wrapText="1"/>
    </xf>
    <xf numFmtId="0" fontId="47" fillId="0" borderId="39">
      <alignment horizontal="center" vertical="center" wrapText="1"/>
    </xf>
    <xf numFmtId="0" fontId="48" fillId="0" borderId="40">
      <alignment horizontal="left" vertical="center" wrapText="1"/>
    </xf>
    <xf numFmtId="0" fontId="48" fillId="0" borderId="40">
      <alignment horizontal="center" vertical="center" wrapText="1"/>
    </xf>
    <xf numFmtId="0" fontId="48" fillId="0" borderId="40">
      <alignment horizontal="center" vertical="center" wrapText="1"/>
    </xf>
    <xf numFmtId="0" fontId="48" fillId="0" borderId="0">
      <alignment horizontal="right" vertical="center"/>
    </xf>
    <xf numFmtId="0" fontId="47" fillId="0" borderId="41">
      <alignment horizontal="left" vertical="center" wrapText="1"/>
    </xf>
    <xf numFmtId="0" fontId="47" fillId="0" borderId="41">
      <alignment horizontal="center" vertical="center" wrapText="1"/>
    </xf>
    <xf numFmtId="0" fontId="47" fillId="0" borderId="41">
      <alignment horizontal="center" vertical="center" wrapText="1"/>
    </xf>
    <xf numFmtId="0" fontId="47" fillId="0" borderId="7">
      <alignment horizontal="left" vertical="center" wrapText="1"/>
    </xf>
    <xf numFmtId="0" fontId="47" fillId="0" borderId="7">
      <alignment horizontal="center" vertical="center" wrapText="1"/>
    </xf>
    <xf numFmtId="0" fontId="47" fillId="0" borderId="7">
      <alignment horizontal="center" vertical="center" wrapText="1"/>
    </xf>
    <xf numFmtId="0" fontId="47" fillId="0" borderId="26">
      <alignment horizontal="left" vertical="center" wrapText="1"/>
    </xf>
    <xf numFmtId="0" fontId="47" fillId="0" borderId="0">
      <alignment horizontal="left" vertical="center"/>
    </xf>
    <xf numFmtId="0" fontId="47" fillId="0" borderId="0">
      <alignment horizontal="left" vertical="center" wrapText="1"/>
    </xf>
    <xf numFmtId="0" fontId="48" fillId="0" borderId="0">
      <alignment horizontal="left" vertical="center"/>
    </xf>
    <xf numFmtId="0" fontId="47" fillId="0" borderId="0">
      <alignment horizontal="left" vertical="center" wrapText="1"/>
    </xf>
    <xf numFmtId="0" fontId="48" fillId="0" borderId="0">
      <alignment horizontal="center" vertical="center" wrapText="1"/>
    </xf>
    <xf numFmtId="0" fontId="47" fillId="0" borderId="4">
      <alignment horizontal="left" vertical="center"/>
    </xf>
    <xf numFmtId="0" fontId="50" fillId="0" borderId="0"/>
    <xf numFmtId="0" fontId="33" fillId="0" borderId="0"/>
    <xf numFmtId="0" fontId="33" fillId="0" borderId="0"/>
    <xf numFmtId="0" fontId="51" fillId="0" borderId="0"/>
    <xf numFmtId="0" fontId="52" fillId="0" borderId="0"/>
    <xf numFmtId="0" fontId="52" fillId="0" borderId="0"/>
    <xf numFmtId="0" fontId="13" fillId="0" borderId="0"/>
    <xf numFmtId="0" fontId="51" fillId="0" borderId="0"/>
    <xf numFmtId="167" fontId="51" fillId="0" borderId="0" applyFont="0" applyFill="0" applyBorder="0" applyAlignment="0" applyProtection="0"/>
    <xf numFmtId="0" fontId="53" fillId="0" borderId="0" applyNumberFormat="0" applyFill="0" applyBorder="0" applyProtection="0">
      <alignment vertical="top" wrapText="1"/>
    </xf>
    <xf numFmtId="167" fontId="53" fillId="0" borderId="0" applyFont="0" applyFill="0" applyBorder="0" applyAlignment="0" applyProtection="0"/>
    <xf numFmtId="0" fontId="53" fillId="0" borderId="0" applyNumberFormat="0" applyFill="0" applyBorder="0" applyProtection="0">
      <alignment vertical="top" wrapText="1"/>
    </xf>
    <xf numFmtId="0" fontId="53" fillId="0" borderId="0" applyNumberFormat="0" applyFill="0" applyBorder="0" applyProtection="0">
      <alignment vertical="top" wrapText="1"/>
    </xf>
    <xf numFmtId="0" fontId="27" fillId="0" borderId="0"/>
    <xf numFmtId="0" fontId="33" fillId="0" borderId="0"/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54" fillId="0" borderId="0">
      <alignment vertical="top"/>
    </xf>
    <xf numFmtId="0" fontId="32" fillId="0" borderId="0"/>
    <xf numFmtId="0" fontId="54" fillId="0" borderId="0">
      <alignment vertical="top"/>
    </xf>
    <xf numFmtId="0" fontId="54" fillId="0" borderId="0">
      <alignment vertical="top"/>
    </xf>
    <xf numFmtId="0" fontId="56" fillId="0" borderId="0"/>
    <xf numFmtId="0" fontId="27" fillId="0" borderId="0"/>
    <xf numFmtId="0" fontId="12" fillId="0" borderId="0"/>
    <xf numFmtId="0" fontId="32" fillId="0" borderId="0"/>
    <xf numFmtId="169" fontId="55" fillId="0" borderId="0" applyFont="0" applyFill="0" applyBorder="0" applyAlignment="0" applyProtection="0"/>
    <xf numFmtId="169" fontId="55" fillId="0" borderId="0" applyFont="0" applyFill="0" applyBorder="0" applyAlignment="0" applyProtection="0"/>
    <xf numFmtId="0" fontId="11" fillId="0" borderId="0"/>
    <xf numFmtId="167" fontId="3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165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33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27" fillId="0" borderId="0"/>
    <xf numFmtId="0" fontId="32" fillId="0" borderId="0"/>
    <xf numFmtId="169" fontId="55" fillId="0" borderId="0" applyFont="0" applyFill="0" applyBorder="0" applyAlignment="0" applyProtection="0"/>
    <xf numFmtId="0" fontId="10" fillId="0" borderId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67" fillId="0" borderId="0"/>
    <xf numFmtId="0" fontId="8" fillId="0" borderId="0"/>
    <xf numFmtId="0" fontId="68" fillId="0" borderId="0"/>
    <xf numFmtId="0" fontId="8" fillId="0" borderId="0"/>
    <xf numFmtId="0" fontId="7" fillId="0" borderId="0"/>
    <xf numFmtId="164" fontId="55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2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70" fillId="0" borderId="0"/>
    <xf numFmtId="165" fontId="3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2" fillId="0" borderId="0"/>
    <xf numFmtId="0" fontId="24" fillId="0" borderId="0"/>
    <xf numFmtId="0" fontId="22" fillId="0" borderId="0"/>
    <xf numFmtId="0" fontId="4" fillId="0" borderId="0"/>
    <xf numFmtId="0" fontId="3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</cellStyleXfs>
  <cellXfs count="475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  <xf numFmtId="0" fontId="24" fillId="0" borderId="0" xfId="0" applyFont="1" applyAlignment="1">
      <alignment horizontal="left" vertical="center" wrapText="1"/>
    </xf>
    <xf numFmtId="4" fontId="24" fillId="0" borderId="0" xfId="0" applyNumberFormat="1" applyFont="1" applyAlignment="1">
      <alignment horizontal="right" vertical="top"/>
    </xf>
    <xf numFmtId="0" fontId="28" fillId="0" borderId="0" xfId="0" applyFont="1" applyAlignment="1">
      <alignment horizontal="left"/>
    </xf>
    <xf numFmtId="4" fontId="30" fillId="0" borderId="0" xfId="0" applyNumberFormat="1" applyFont="1" applyAlignment="1">
      <alignment horizontal="right"/>
    </xf>
    <xf numFmtId="0" fontId="24" fillId="0" borderId="0" xfId="0" applyFont="1" applyAlignment="1">
      <alignment horizontal="left"/>
    </xf>
    <xf numFmtId="166" fontId="31" fillId="0" borderId="1" xfId="0" applyNumberFormat="1" applyFont="1" applyBorder="1" applyAlignment="1">
      <alignment horizontal="right" vertical="top"/>
    </xf>
    <xf numFmtId="14" fontId="29" fillId="0" borderId="0" xfId="0" applyNumberFormat="1" applyFont="1" applyAlignment="1">
      <alignment horizontal="left"/>
    </xf>
    <xf numFmtId="166" fontId="24" fillId="0" borderId="0" xfId="0" applyNumberFormat="1" applyFont="1"/>
    <xf numFmtId="4" fontId="24" fillId="0" borderId="0" xfId="1" applyNumberFormat="1" applyFont="1" applyAlignment="1">
      <alignment horizontal="right" vertical="top"/>
    </xf>
    <xf numFmtId="4" fontId="0" fillId="0" borderId="0" xfId="0" applyNumberFormat="1" applyAlignment="1">
      <alignment horizontal="left"/>
    </xf>
    <xf numFmtId="166" fontId="0" fillId="0" borderId="0" xfId="0" applyNumberFormat="1"/>
    <xf numFmtId="166" fontId="24" fillId="0" borderId="0" xfId="0" applyNumberFormat="1" applyFont="1" applyAlignment="1">
      <alignment horizontal="right" vertical="top"/>
    </xf>
    <xf numFmtId="4" fontId="24" fillId="7" borderId="0" xfId="0" applyNumberFormat="1" applyFont="1" applyFill="1" applyAlignment="1">
      <alignment horizontal="right" vertical="top"/>
    </xf>
    <xf numFmtId="0" fontId="24" fillId="7" borderId="0" xfId="0" applyFont="1" applyFill="1" applyAlignment="1">
      <alignment horizontal="left" vertical="center" wrapText="1"/>
    </xf>
    <xf numFmtId="4" fontId="0" fillId="0" borderId="0" xfId="0" applyNumberFormat="1"/>
    <xf numFmtId="0" fontId="31" fillId="0" borderId="0" xfId="0" applyFont="1"/>
    <xf numFmtId="0" fontId="23" fillId="0" borderId="0" xfId="0" applyFont="1" applyAlignment="1">
      <alignment horizontal="left" vertical="top"/>
    </xf>
    <xf numFmtId="4" fontId="23" fillId="0" borderId="0" xfId="0" applyNumberFormat="1" applyFont="1" applyAlignment="1">
      <alignment horizontal="right" vertical="top"/>
    </xf>
    <xf numFmtId="0" fontId="23" fillId="5" borderId="50" xfId="0" applyFont="1" applyFill="1" applyBorder="1" applyAlignment="1">
      <alignment horizontal="left" vertical="top" wrapText="1"/>
    </xf>
    <xf numFmtId="0" fontId="23" fillId="5" borderId="58" xfId="0" applyFont="1" applyFill="1" applyBorder="1" applyAlignment="1">
      <alignment horizontal="left" vertical="center" wrapText="1"/>
    </xf>
    <xf numFmtId="166" fontId="25" fillId="5" borderId="59" xfId="0" applyNumberFormat="1" applyFont="1" applyFill="1" applyBorder="1" applyAlignment="1">
      <alignment horizontal="right" vertical="top"/>
    </xf>
    <xf numFmtId="166" fontId="25" fillId="5" borderId="60" xfId="0" applyNumberFormat="1" applyFont="1" applyFill="1" applyBorder="1" applyAlignment="1">
      <alignment horizontal="right" vertical="top"/>
    </xf>
    <xf numFmtId="166" fontId="25" fillId="5" borderId="61" xfId="0" applyNumberFormat="1" applyFont="1" applyFill="1" applyBorder="1" applyAlignment="1">
      <alignment horizontal="right" vertical="top"/>
    </xf>
    <xf numFmtId="166" fontId="25" fillId="5" borderId="58" xfId="0" applyNumberFormat="1" applyFont="1" applyFill="1" applyBorder="1" applyAlignment="1">
      <alignment horizontal="right" vertical="top"/>
    </xf>
    <xf numFmtId="166" fontId="25" fillId="5" borderId="44" xfId="0" applyNumberFormat="1" applyFont="1" applyFill="1" applyBorder="1" applyAlignment="1">
      <alignment horizontal="right" vertical="top"/>
    </xf>
    <xf numFmtId="0" fontId="24" fillId="4" borderId="66" xfId="0" applyFont="1" applyFill="1" applyBorder="1" applyAlignment="1">
      <alignment horizontal="left" vertical="top" wrapText="1" indent="2"/>
    </xf>
    <xf numFmtId="0" fontId="24" fillId="4" borderId="66" xfId="0" applyFont="1" applyFill="1" applyBorder="1" applyAlignment="1">
      <alignment horizontal="left" vertical="center" wrapText="1"/>
    </xf>
    <xf numFmtId="166" fontId="26" fillId="4" borderId="67" xfId="0" applyNumberFormat="1" applyFont="1" applyFill="1" applyBorder="1" applyAlignment="1">
      <alignment horizontal="right" vertical="top"/>
    </xf>
    <xf numFmtId="166" fontId="26" fillId="4" borderId="68" xfId="0" applyNumberFormat="1" applyFont="1" applyFill="1" applyBorder="1" applyAlignment="1">
      <alignment horizontal="right" vertical="top"/>
    </xf>
    <xf numFmtId="166" fontId="26" fillId="4" borderId="69" xfId="0" applyNumberFormat="1" applyFont="1" applyFill="1" applyBorder="1" applyAlignment="1">
      <alignment horizontal="right" vertical="top"/>
    </xf>
    <xf numFmtId="166" fontId="26" fillId="4" borderId="66" xfId="0" applyNumberFormat="1" applyFont="1" applyFill="1" applyBorder="1" applyAlignment="1">
      <alignment horizontal="right" vertical="top"/>
    </xf>
    <xf numFmtId="166" fontId="26" fillId="4" borderId="65" xfId="0" applyNumberFormat="1" applyFont="1" applyFill="1" applyBorder="1" applyAlignment="1">
      <alignment horizontal="right" vertical="top"/>
    </xf>
    <xf numFmtId="166" fontId="26" fillId="4" borderId="70" xfId="0" applyNumberFormat="1" applyFont="1" applyFill="1" applyBorder="1" applyAlignment="1">
      <alignment horizontal="right" vertical="top"/>
    </xf>
    <xf numFmtId="0" fontId="24" fillId="0" borderId="37" xfId="0" applyFont="1" applyBorder="1" applyAlignment="1">
      <alignment horizontal="left" vertical="center" wrapText="1"/>
    </xf>
    <xf numFmtId="166" fontId="31" fillId="0" borderId="37" xfId="0" applyNumberFormat="1" applyFont="1" applyBorder="1" applyAlignment="1">
      <alignment horizontal="right" vertical="top"/>
    </xf>
    <xf numFmtId="4" fontId="27" fillId="0" borderId="37" xfId="0" applyNumberFormat="1" applyFont="1" applyBorder="1"/>
    <xf numFmtId="166" fontId="24" fillId="0" borderId="37" xfId="0" applyNumberFormat="1" applyFont="1" applyBorder="1" applyAlignment="1">
      <alignment horizontal="right" vertical="top"/>
    </xf>
    <xf numFmtId="4" fontId="26" fillId="0" borderId="37" xfId="0" applyNumberFormat="1" applyFont="1" applyBorder="1" applyAlignment="1">
      <alignment horizontal="right" vertical="top"/>
    </xf>
    <xf numFmtId="166" fontId="26" fillId="0" borderId="37" xfId="0" applyNumberFormat="1" applyFont="1" applyBorder="1" applyAlignment="1">
      <alignment horizontal="right" vertical="top"/>
    </xf>
    <xf numFmtId="4" fontId="31" fillId="0" borderId="37" xfId="0" applyNumberFormat="1" applyFont="1" applyBorder="1" applyAlignment="1">
      <alignment horizontal="right" vertical="top"/>
    </xf>
    <xf numFmtId="4" fontId="24" fillId="0" borderId="37" xfId="0" applyNumberFormat="1" applyFont="1" applyBorder="1" applyAlignment="1">
      <alignment horizontal="right" vertical="top"/>
    </xf>
    <xf numFmtId="4" fontId="24" fillId="0" borderId="37" xfId="1" applyNumberFormat="1" applyFont="1" applyBorder="1" applyAlignment="1">
      <alignment horizontal="right" vertical="top"/>
    </xf>
    <xf numFmtId="0" fontId="31" fillId="0" borderId="37" xfId="0" applyFont="1" applyBorder="1" applyAlignment="1">
      <alignment horizontal="left" vertical="center" wrapText="1"/>
    </xf>
    <xf numFmtId="0" fontId="24" fillId="0" borderId="42" xfId="0" applyFont="1" applyBorder="1" applyAlignment="1">
      <alignment horizontal="left" vertical="center" wrapText="1"/>
    </xf>
    <xf numFmtId="0" fontId="31" fillId="0" borderId="42" xfId="0" applyFont="1" applyBorder="1" applyAlignment="1">
      <alignment horizontal="left" vertical="center" wrapText="1"/>
    </xf>
    <xf numFmtId="166" fontId="31" fillId="0" borderId="43" xfId="0" applyNumberFormat="1" applyFont="1" applyBorder="1" applyAlignment="1">
      <alignment horizontal="right" vertical="top"/>
    </xf>
    <xf numFmtId="4" fontId="31" fillId="0" borderId="43" xfId="1" applyNumberFormat="1" applyFont="1" applyBorder="1" applyAlignment="1">
      <alignment horizontal="right" vertical="top"/>
    </xf>
    <xf numFmtId="4" fontId="31" fillId="7" borderId="43" xfId="1" applyNumberFormat="1" applyFont="1" applyFill="1" applyBorder="1" applyAlignment="1">
      <alignment horizontal="right" vertical="top"/>
    </xf>
    <xf numFmtId="166" fontId="31" fillId="7" borderId="43" xfId="0" applyNumberFormat="1" applyFont="1" applyFill="1" applyBorder="1" applyAlignment="1">
      <alignment horizontal="right" vertical="top"/>
    </xf>
    <xf numFmtId="4" fontId="24" fillId="0" borderId="43" xfId="0" applyNumberFormat="1" applyFont="1" applyBorder="1" applyAlignment="1">
      <alignment horizontal="right" vertical="top"/>
    </xf>
    <xf numFmtId="4" fontId="31" fillId="0" borderId="43" xfId="0" applyNumberFormat="1" applyFont="1" applyBorder="1" applyAlignment="1">
      <alignment horizontal="right" vertical="top"/>
    </xf>
    <xf numFmtId="4" fontId="24" fillId="0" borderId="43" xfId="1" applyNumberFormat="1" applyFont="1" applyBorder="1" applyAlignment="1">
      <alignment horizontal="right" vertical="top"/>
    </xf>
    <xf numFmtId="166" fontId="31" fillId="0" borderId="78" xfId="0" applyNumberFormat="1" applyFont="1" applyBorder="1" applyAlignment="1">
      <alignment horizontal="right" vertical="top"/>
    </xf>
    <xf numFmtId="166" fontId="24" fillId="0" borderId="79" xfId="0" applyNumberFormat="1" applyFont="1" applyBorder="1" applyAlignment="1">
      <alignment horizontal="right" vertical="top"/>
    </xf>
    <xf numFmtId="4" fontId="31" fillId="0" borderId="78" xfId="0" applyNumberFormat="1" applyFont="1" applyBorder="1" applyAlignment="1">
      <alignment horizontal="right" vertical="top"/>
    </xf>
    <xf numFmtId="4" fontId="24" fillId="0" borderId="78" xfId="0" applyNumberFormat="1" applyFont="1" applyBorder="1" applyAlignment="1">
      <alignment horizontal="right" vertical="top"/>
    </xf>
    <xf numFmtId="166" fontId="31" fillId="0" borderId="79" xfId="0" applyNumberFormat="1" applyFont="1" applyBorder="1" applyAlignment="1">
      <alignment horizontal="right" vertical="top"/>
    </xf>
    <xf numFmtId="4" fontId="34" fillId="0" borderId="78" xfId="0" applyNumberFormat="1" applyFont="1" applyBorder="1" applyAlignment="1">
      <alignment horizontal="right" vertical="top"/>
    </xf>
    <xf numFmtId="166" fontId="26" fillId="0" borderId="43" xfId="0" applyNumberFormat="1" applyFont="1" applyBorder="1" applyAlignment="1">
      <alignment horizontal="right" vertical="top"/>
    </xf>
    <xf numFmtId="166" fontId="26" fillId="0" borderId="79" xfId="0" applyNumberFormat="1" applyFont="1" applyBorder="1" applyAlignment="1">
      <alignment horizontal="right" vertical="top"/>
    </xf>
    <xf numFmtId="4" fontId="24" fillId="0" borderId="78" xfId="1" applyNumberFormat="1" applyFont="1" applyBorder="1" applyAlignment="1">
      <alignment horizontal="right" vertical="top"/>
    </xf>
    <xf numFmtId="0" fontId="61" fillId="3" borderId="3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top" wrapText="1"/>
    </xf>
    <xf numFmtId="0" fontId="61" fillId="3" borderId="3" xfId="0" applyFont="1" applyFill="1" applyBorder="1" applyAlignment="1">
      <alignment horizontal="center" vertical="top" wrapText="1"/>
    </xf>
    <xf numFmtId="0" fontId="62" fillId="2" borderId="71" xfId="0" applyFont="1" applyFill="1" applyBorder="1" applyAlignment="1">
      <alignment horizontal="left" vertical="top"/>
    </xf>
    <xf numFmtId="0" fontId="62" fillId="2" borderId="72" xfId="0" applyFont="1" applyFill="1" applyBorder="1" applyAlignment="1">
      <alignment horizontal="left" vertical="top"/>
    </xf>
    <xf numFmtId="4" fontId="62" fillId="2" borderId="73" xfId="0" applyNumberFormat="1" applyFont="1" applyFill="1" applyBorder="1" applyAlignment="1">
      <alignment horizontal="right" vertical="top"/>
    </xf>
    <xf numFmtId="4" fontId="62" fillId="2" borderId="74" xfId="0" applyNumberFormat="1" applyFont="1" applyFill="1" applyBorder="1" applyAlignment="1">
      <alignment horizontal="right" vertical="top"/>
    </xf>
    <xf numFmtId="4" fontId="62" fillId="2" borderId="75" xfId="0" applyNumberFormat="1" applyFont="1" applyFill="1" applyBorder="1" applyAlignment="1">
      <alignment horizontal="right" vertical="top"/>
    </xf>
    <xf numFmtId="4" fontId="62" fillId="2" borderId="72" xfId="0" applyNumberFormat="1" applyFont="1" applyFill="1" applyBorder="1" applyAlignment="1">
      <alignment horizontal="right" vertical="top"/>
    </xf>
    <xf numFmtId="4" fontId="62" fillId="2" borderId="76" xfId="0" applyNumberFormat="1" applyFont="1" applyFill="1" applyBorder="1" applyAlignment="1">
      <alignment horizontal="right" vertical="top"/>
    </xf>
    <xf numFmtId="4" fontId="62" fillId="2" borderId="77" xfId="0" applyNumberFormat="1" applyFont="1" applyFill="1" applyBorder="1" applyAlignment="1">
      <alignment horizontal="right" vertical="top"/>
    </xf>
    <xf numFmtId="166" fontId="26" fillId="0" borderId="42" xfId="0" applyNumberFormat="1" applyFont="1" applyBorder="1" applyAlignment="1">
      <alignment horizontal="right" vertical="top"/>
    </xf>
    <xf numFmtId="4" fontId="24" fillId="0" borderId="42" xfId="0" applyNumberFormat="1" applyFont="1" applyBorder="1" applyAlignment="1">
      <alignment horizontal="right" vertical="top"/>
    </xf>
    <xf numFmtId="166" fontId="31" fillId="0" borderId="42" xfId="0" applyNumberFormat="1" applyFont="1" applyBorder="1" applyAlignment="1">
      <alignment horizontal="right" vertical="top"/>
    </xf>
    <xf numFmtId="166" fontId="26" fillId="0" borderId="81" xfId="0" applyNumberFormat="1" applyFont="1" applyBorder="1" applyAlignment="1">
      <alignment horizontal="right" vertical="top"/>
    </xf>
    <xf numFmtId="166" fontId="31" fillId="0" borderId="81" xfId="0" applyNumberFormat="1" applyFont="1" applyBorder="1" applyAlignment="1">
      <alignment horizontal="right" vertical="top"/>
    </xf>
    <xf numFmtId="166" fontId="26" fillId="4" borderId="37" xfId="0" applyNumberFormat="1" applyFont="1" applyFill="1" applyBorder="1" applyAlignment="1">
      <alignment horizontal="right" vertical="top"/>
    </xf>
    <xf numFmtId="166" fontId="26" fillId="4" borderId="78" xfId="0" applyNumberFormat="1" applyFont="1" applyFill="1" applyBorder="1" applyAlignment="1">
      <alignment horizontal="right" vertical="top"/>
    </xf>
    <xf numFmtId="166" fontId="26" fillId="4" borderId="79" xfId="0" applyNumberFormat="1" applyFont="1" applyFill="1" applyBorder="1" applyAlignment="1">
      <alignment horizontal="right" vertical="top"/>
    </xf>
    <xf numFmtId="166" fontId="26" fillId="0" borderId="78" xfId="0" applyNumberFormat="1" applyFont="1" applyBorder="1" applyAlignment="1">
      <alignment horizontal="right" vertical="top"/>
    </xf>
    <xf numFmtId="4" fontId="62" fillId="2" borderId="84" xfId="0" applyNumberFormat="1" applyFont="1" applyFill="1" applyBorder="1" applyAlignment="1">
      <alignment horizontal="right" vertical="top"/>
    </xf>
    <xf numFmtId="166" fontId="26" fillId="4" borderId="86" xfId="0" applyNumberFormat="1" applyFont="1" applyFill="1" applyBorder="1" applyAlignment="1">
      <alignment horizontal="right" vertical="top"/>
    </xf>
    <xf numFmtId="166" fontId="25" fillId="5" borderId="87" xfId="0" applyNumberFormat="1" applyFont="1" applyFill="1" applyBorder="1" applyAlignment="1">
      <alignment horizontal="right" vertical="top"/>
    </xf>
    <xf numFmtId="166" fontId="25" fillId="5" borderId="89" xfId="0" applyNumberFormat="1" applyFont="1" applyFill="1" applyBorder="1" applyAlignment="1">
      <alignment horizontal="right" vertical="top"/>
    </xf>
    <xf numFmtId="166" fontId="26" fillId="4" borderId="90" xfId="0" applyNumberFormat="1" applyFont="1" applyFill="1" applyBorder="1" applyAlignment="1">
      <alignment horizontal="right" vertical="top"/>
    </xf>
    <xf numFmtId="4" fontId="62" fillId="2" borderId="91" xfId="0" applyNumberFormat="1" applyFont="1" applyFill="1" applyBorder="1" applyAlignment="1">
      <alignment horizontal="right" vertical="top"/>
    </xf>
    <xf numFmtId="166" fontId="25" fillId="5" borderId="63" xfId="0" applyNumberFormat="1" applyFont="1" applyFill="1" applyBorder="1" applyAlignment="1">
      <alignment horizontal="right" vertical="top"/>
    </xf>
    <xf numFmtId="4" fontId="62" fillId="2" borderId="92" xfId="0" applyNumberFormat="1" applyFont="1" applyFill="1" applyBorder="1" applyAlignment="1">
      <alignment horizontal="right" vertical="top"/>
    </xf>
    <xf numFmtId="4" fontId="26" fillId="0" borderId="42" xfId="0" applyNumberFormat="1" applyFont="1" applyBorder="1" applyAlignment="1">
      <alignment horizontal="right" vertical="top"/>
    </xf>
    <xf numFmtId="4" fontId="24" fillId="0" borderId="42" xfId="1" applyNumberFormat="1" applyFont="1" applyBorder="1" applyAlignment="1">
      <alignment horizontal="right" vertical="top"/>
    </xf>
    <xf numFmtId="4" fontId="31" fillId="0" borderId="42" xfId="1" applyNumberFormat="1" applyFont="1" applyBorder="1" applyAlignment="1">
      <alignment horizontal="right" vertical="top"/>
    </xf>
    <xf numFmtId="0" fontId="63" fillId="3" borderId="46" xfId="0" applyFont="1" applyFill="1" applyBorder="1" applyAlignment="1">
      <alignment horizontal="center" vertical="center" wrapText="1"/>
    </xf>
    <xf numFmtId="0" fontId="63" fillId="3" borderId="80" xfId="0" applyFont="1" applyFill="1" applyBorder="1" applyAlignment="1">
      <alignment horizontal="center" vertical="center" wrapText="1"/>
    </xf>
    <xf numFmtId="0" fontId="63" fillId="4" borderId="64" xfId="0" applyFont="1" applyFill="1" applyBorder="1" applyAlignment="1">
      <alignment horizontal="center" vertical="center" wrapText="1"/>
    </xf>
    <xf numFmtId="0" fontId="63" fillId="3" borderId="52" xfId="0" applyFont="1" applyFill="1" applyBorder="1" applyAlignment="1">
      <alignment horizontal="center" vertical="center" wrapText="1"/>
    </xf>
    <xf numFmtId="0" fontId="63" fillId="3" borderId="53" xfId="0" applyFont="1" applyFill="1" applyBorder="1" applyAlignment="1">
      <alignment horizontal="center" vertical="center" wrapText="1"/>
    </xf>
    <xf numFmtId="0" fontId="63" fillId="3" borderId="51" xfId="0" applyFont="1" applyFill="1" applyBorder="1" applyAlignment="1">
      <alignment horizontal="center" vertical="center" wrapText="1"/>
    </xf>
    <xf numFmtId="0" fontId="63" fillId="3" borderId="87" xfId="0" applyFont="1" applyFill="1" applyBorder="1" applyAlignment="1">
      <alignment horizontal="center" vertical="center" wrapText="1"/>
    </xf>
    <xf numFmtId="0" fontId="63" fillId="3" borderId="89" xfId="0" applyFont="1" applyFill="1" applyBorder="1" applyAlignment="1">
      <alignment horizontal="center" vertical="center" wrapText="1"/>
    </xf>
    <xf numFmtId="0" fontId="63" fillId="3" borderId="56" xfId="0" applyFont="1" applyFill="1" applyBorder="1" applyAlignment="1">
      <alignment horizontal="center" vertical="center" wrapText="1"/>
    </xf>
    <xf numFmtId="0" fontId="63" fillId="3" borderId="57" xfId="0" applyFont="1" applyFill="1" applyBorder="1" applyAlignment="1">
      <alignment horizontal="center" vertical="center" wrapText="1"/>
    </xf>
    <xf numFmtId="166" fontId="24" fillId="0" borderId="43" xfId="0" applyNumberFormat="1" applyFont="1" applyBorder="1" applyAlignment="1">
      <alignment horizontal="right" vertical="top"/>
    </xf>
    <xf numFmtId="166" fontId="26" fillId="4" borderId="96" xfId="0" applyNumberFormat="1" applyFont="1" applyFill="1" applyBorder="1" applyAlignment="1">
      <alignment horizontal="right" vertical="top"/>
    </xf>
    <xf numFmtId="166" fontId="26" fillId="4" borderId="97" xfId="0" applyNumberFormat="1" applyFont="1" applyFill="1" applyBorder="1" applyAlignment="1">
      <alignment horizontal="right" vertical="top"/>
    </xf>
    <xf numFmtId="0" fontId="0" fillId="0" borderId="98" xfId="0" applyBorder="1"/>
    <xf numFmtId="0" fontId="31" fillId="0" borderId="98" xfId="0" applyFont="1" applyBorder="1"/>
    <xf numFmtId="4" fontId="0" fillId="0" borderId="98" xfId="0" applyNumberFormat="1" applyBorder="1"/>
    <xf numFmtId="166" fontId="0" fillId="0" borderId="81" xfId="0" applyNumberFormat="1" applyBorder="1"/>
    <xf numFmtId="166" fontId="24" fillId="0" borderId="81" xfId="0" applyNumberFormat="1" applyFont="1" applyBorder="1" applyAlignment="1">
      <alignment horizontal="right" vertical="top"/>
    </xf>
    <xf numFmtId="0" fontId="24" fillId="4" borderId="37" xfId="0" applyFont="1" applyFill="1" applyBorder="1" applyAlignment="1">
      <alignment horizontal="left" vertical="top" wrapText="1" indent="2"/>
    </xf>
    <xf numFmtId="4" fontId="24" fillId="7" borderId="37" xfId="0" applyNumberFormat="1" applyFont="1" applyFill="1" applyBorder="1" applyAlignment="1">
      <alignment horizontal="right" vertical="top"/>
    </xf>
    <xf numFmtId="0" fontId="24" fillId="4" borderId="42" xfId="0" applyFont="1" applyFill="1" applyBorder="1" applyAlignment="1">
      <alignment horizontal="left" vertical="center" wrapText="1"/>
    </xf>
    <xf numFmtId="166" fontId="25" fillId="5" borderId="43" xfId="0" applyNumberFormat="1" applyFont="1" applyFill="1" applyBorder="1" applyAlignment="1">
      <alignment horizontal="right" vertical="top"/>
    </xf>
    <xf numFmtId="166" fontId="26" fillId="4" borderId="43" xfId="0" applyNumberFormat="1" applyFont="1" applyFill="1" applyBorder="1" applyAlignment="1">
      <alignment horizontal="right" vertical="top"/>
    </xf>
    <xf numFmtId="166" fontId="25" fillId="5" borderId="82" xfId="0" applyNumberFormat="1" applyFont="1" applyFill="1" applyBorder="1" applyAlignment="1">
      <alignment horizontal="right" vertical="top"/>
    </xf>
    <xf numFmtId="166" fontId="25" fillId="5" borderId="99" xfId="0" applyNumberFormat="1" applyFont="1" applyFill="1" applyBorder="1" applyAlignment="1">
      <alignment horizontal="right" vertical="top"/>
    </xf>
    <xf numFmtId="166" fontId="25" fillId="5" borderId="83" xfId="0" applyNumberFormat="1" applyFont="1" applyFill="1" applyBorder="1" applyAlignment="1">
      <alignment horizontal="right" vertical="top"/>
    </xf>
    <xf numFmtId="166" fontId="24" fillId="0" borderId="78" xfId="0" applyNumberFormat="1" applyFont="1" applyBorder="1" applyAlignment="1">
      <alignment horizontal="right" vertical="top"/>
    </xf>
    <xf numFmtId="0" fontId="24" fillId="0" borderId="100" xfId="0" applyFont="1" applyBorder="1" applyAlignment="1">
      <alignment horizontal="left" vertical="center" wrapText="1"/>
    </xf>
    <xf numFmtId="0" fontId="24" fillId="0" borderId="101" xfId="0" applyFont="1" applyBorder="1" applyAlignment="1">
      <alignment horizontal="left" vertical="center" wrapText="1"/>
    </xf>
    <xf numFmtId="4" fontId="24" fillId="0" borderId="102" xfId="0" applyNumberFormat="1" applyFont="1" applyBorder="1" applyAlignment="1">
      <alignment horizontal="right" vertical="top"/>
    </xf>
    <xf numFmtId="4" fontId="24" fillId="0" borderId="100" xfId="0" applyNumberFormat="1" applyFont="1" applyBorder="1" applyAlignment="1">
      <alignment horizontal="right" vertical="top"/>
    </xf>
    <xf numFmtId="166" fontId="24" fillId="0" borderId="103" xfId="0" applyNumberFormat="1" applyFont="1" applyBorder="1" applyAlignment="1">
      <alignment horizontal="right" vertical="top"/>
    </xf>
    <xf numFmtId="4" fontId="24" fillId="0" borderId="102" xfId="1" applyNumberFormat="1" applyFont="1" applyBorder="1" applyAlignment="1">
      <alignment horizontal="right" vertical="top"/>
    </xf>
    <xf numFmtId="4" fontId="24" fillId="0" borderId="100" xfId="1" applyNumberFormat="1" applyFont="1" applyBorder="1" applyAlignment="1">
      <alignment horizontal="right" vertical="top"/>
    </xf>
    <xf numFmtId="166" fontId="26" fillId="0" borderId="103" xfId="0" applyNumberFormat="1" applyFont="1" applyBorder="1" applyAlignment="1">
      <alignment horizontal="right" vertical="top"/>
    </xf>
    <xf numFmtId="166" fontId="26" fillId="0" borderId="104" xfId="0" applyNumberFormat="1" applyFont="1" applyBorder="1" applyAlignment="1">
      <alignment horizontal="right" vertical="top"/>
    </xf>
    <xf numFmtId="166" fontId="26" fillId="0" borderId="100" xfId="0" applyNumberFormat="1" applyFont="1" applyBorder="1" applyAlignment="1">
      <alignment horizontal="right" vertical="top"/>
    </xf>
    <xf numFmtId="0" fontId="62" fillId="2" borderId="87" xfId="0" applyFont="1" applyFill="1" applyBorder="1" applyAlignment="1">
      <alignment horizontal="left" vertical="top"/>
    </xf>
    <xf numFmtId="4" fontId="62" fillId="2" borderId="44" xfId="0" applyNumberFormat="1" applyFont="1" applyFill="1" applyBorder="1" applyAlignment="1">
      <alignment horizontal="right" vertical="top"/>
    </xf>
    <xf numFmtId="166" fontId="25" fillId="5" borderId="105" xfId="0" applyNumberFormat="1" applyFont="1" applyFill="1" applyBorder="1" applyAlignment="1">
      <alignment horizontal="right" vertical="top"/>
    </xf>
    <xf numFmtId="166" fontId="26" fillId="4" borderId="42" xfId="0" applyNumberFormat="1" applyFont="1" applyFill="1" applyBorder="1" applyAlignment="1">
      <alignment horizontal="right" vertical="top"/>
    </xf>
    <xf numFmtId="4" fontId="24" fillId="0" borderId="101" xfId="1" applyNumberFormat="1" applyFont="1" applyBorder="1" applyAlignment="1">
      <alignment horizontal="right" vertical="top"/>
    </xf>
    <xf numFmtId="4" fontId="62" fillId="2" borderId="50" xfId="0" applyNumberFormat="1" applyFont="1" applyFill="1" applyBorder="1" applyAlignment="1">
      <alignment horizontal="right" vertical="top"/>
    </xf>
    <xf numFmtId="166" fontId="25" fillId="5" borderId="106" xfId="0" applyNumberFormat="1" applyFont="1" applyFill="1" applyBorder="1" applyAlignment="1">
      <alignment horizontal="right" vertical="top"/>
    </xf>
    <xf numFmtId="166" fontId="26" fillId="4" borderId="81" xfId="0" applyNumberFormat="1" applyFont="1" applyFill="1" applyBorder="1" applyAlignment="1">
      <alignment horizontal="right" vertical="top"/>
    </xf>
    <xf numFmtId="166" fontId="26" fillId="0" borderId="107" xfId="0" applyNumberFormat="1" applyFont="1" applyBorder="1" applyAlignment="1">
      <alignment horizontal="right" vertical="top"/>
    </xf>
    <xf numFmtId="166" fontId="25" fillId="5" borderId="108" xfId="0" applyNumberFormat="1" applyFont="1" applyFill="1" applyBorder="1" applyAlignment="1">
      <alignment horizontal="right" vertical="top"/>
    </xf>
    <xf numFmtId="166" fontId="26" fillId="4" borderId="108" xfId="0" applyNumberFormat="1" applyFont="1" applyFill="1" applyBorder="1" applyAlignment="1">
      <alignment horizontal="right" vertical="top"/>
    </xf>
    <xf numFmtId="166" fontId="26" fillId="0" borderId="101" xfId="0" applyNumberFormat="1" applyFont="1" applyBorder="1" applyAlignment="1">
      <alignment horizontal="right" vertical="top"/>
    </xf>
    <xf numFmtId="166" fontId="25" fillId="5" borderId="109" xfId="0" applyNumberFormat="1" applyFont="1" applyFill="1" applyBorder="1" applyAlignment="1">
      <alignment horizontal="right" vertical="top"/>
    </xf>
    <xf numFmtId="166" fontId="25" fillId="5" borderId="110" xfId="0" applyNumberFormat="1" applyFont="1" applyFill="1" applyBorder="1" applyAlignment="1">
      <alignment horizontal="right" vertical="top"/>
    </xf>
    <xf numFmtId="166" fontId="26" fillId="4" borderId="98" xfId="0" applyNumberFormat="1" applyFont="1" applyFill="1" applyBorder="1" applyAlignment="1">
      <alignment horizontal="right" vertical="top"/>
    </xf>
    <xf numFmtId="166" fontId="26" fillId="0" borderId="102" xfId="0" applyNumberFormat="1" applyFont="1" applyBorder="1" applyAlignment="1">
      <alignment horizontal="right" vertical="top"/>
    </xf>
    <xf numFmtId="166" fontId="25" fillId="5" borderId="111" xfId="0" applyNumberFormat="1" applyFont="1" applyFill="1" applyBorder="1" applyAlignment="1">
      <alignment horizontal="right" vertical="top"/>
    </xf>
    <xf numFmtId="4" fontId="62" fillId="2" borderId="63" xfId="0" applyNumberFormat="1" applyFont="1" applyFill="1" applyBorder="1" applyAlignment="1">
      <alignment horizontal="right" vertical="top"/>
    </xf>
    <xf numFmtId="4" fontId="0" fillId="0" borderId="81" xfId="0" applyNumberFormat="1" applyBorder="1"/>
    <xf numFmtId="0" fontId="0" fillId="0" borderId="81" xfId="0" applyBorder="1"/>
    <xf numFmtId="166" fontId="59" fillId="0" borderId="81" xfId="0" applyNumberFormat="1" applyFont="1" applyBorder="1" applyAlignment="1">
      <alignment horizontal="right" vertical="top"/>
    </xf>
    <xf numFmtId="0" fontId="0" fillId="0" borderId="107" xfId="0" applyBorder="1"/>
    <xf numFmtId="4" fontId="59" fillId="0" borderId="81" xfId="0" applyNumberFormat="1" applyFont="1" applyBorder="1"/>
    <xf numFmtId="0" fontId="61" fillId="5" borderId="37" xfId="0" applyFont="1" applyFill="1" applyBorder="1" applyAlignment="1">
      <alignment horizontal="left" vertical="top" wrapText="1"/>
    </xf>
    <xf numFmtId="0" fontId="61" fillId="6" borderId="42" xfId="0" applyFont="1" applyFill="1" applyBorder="1" applyAlignment="1">
      <alignment horizontal="left" vertical="center" wrapText="1"/>
    </xf>
    <xf numFmtId="0" fontId="62" fillId="8" borderId="82" xfId="0" applyFont="1" applyFill="1" applyBorder="1" applyAlignment="1">
      <alignment horizontal="left" vertical="top" wrapText="1"/>
    </xf>
    <xf numFmtId="0" fontId="24" fillId="4" borderId="78" xfId="0" applyFont="1" applyFill="1" applyBorder="1" applyAlignment="1">
      <alignment horizontal="left" vertical="top" wrapText="1" indent="2"/>
    </xf>
    <xf numFmtId="0" fontId="24" fillId="0" borderId="78" xfId="0" applyFont="1" applyBorder="1" applyAlignment="1">
      <alignment horizontal="left" vertical="center" wrapText="1"/>
    </xf>
    <xf numFmtId="0" fontId="24" fillId="0" borderId="102" xfId="0" applyFont="1" applyBorder="1" applyAlignment="1">
      <alignment horizontal="left" vertical="center" wrapText="1"/>
    </xf>
    <xf numFmtId="4" fontId="62" fillId="2" borderId="93" xfId="0" applyNumberFormat="1" applyFont="1" applyFill="1" applyBorder="1" applyAlignment="1">
      <alignment horizontal="right" vertical="top"/>
    </xf>
    <xf numFmtId="4" fontId="62" fillId="2" borderId="88" xfId="0" applyNumberFormat="1" applyFont="1" applyFill="1" applyBorder="1" applyAlignment="1">
      <alignment horizontal="right" vertical="top"/>
    </xf>
    <xf numFmtId="0" fontId="62" fillId="8" borderId="105" xfId="0" applyFont="1" applyFill="1" applyBorder="1" applyAlignment="1">
      <alignment horizontal="left" vertical="center" wrapText="1"/>
    </xf>
    <xf numFmtId="4" fontId="62" fillId="2" borderId="94" xfId="0" applyNumberFormat="1" applyFont="1" applyFill="1" applyBorder="1" applyAlignment="1">
      <alignment horizontal="right" vertical="top"/>
    </xf>
    <xf numFmtId="4" fontId="62" fillId="2" borderId="87" xfId="0" applyNumberFormat="1" applyFont="1" applyFill="1" applyBorder="1" applyAlignment="1">
      <alignment horizontal="right" vertical="top"/>
    </xf>
    <xf numFmtId="166" fontId="34" fillId="0" borderId="78" xfId="0" applyNumberFormat="1" applyFont="1" applyBorder="1" applyAlignment="1">
      <alignment horizontal="right" vertical="top"/>
    </xf>
    <xf numFmtId="4" fontId="24" fillId="0" borderId="79" xfId="0" applyNumberFormat="1" applyFont="1" applyBorder="1" applyAlignment="1">
      <alignment horizontal="right" vertical="top"/>
    </xf>
    <xf numFmtId="4" fontId="62" fillId="2" borderId="89" xfId="0" applyNumberFormat="1" applyFont="1" applyFill="1" applyBorder="1" applyAlignment="1">
      <alignment horizontal="right" vertical="top"/>
    </xf>
    <xf numFmtId="0" fontId="0" fillId="0" borderId="113" xfId="0" applyBorder="1"/>
    <xf numFmtId="166" fontId="0" fillId="0" borderId="98" xfId="0" applyNumberFormat="1" applyBorder="1"/>
    <xf numFmtId="0" fontId="62" fillId="2" borderId="87" xfId="0" applyFont="1" applyFill="1" applyBorder="1" applyAlignment="1">
      <alignment horizontal="center" vertical="center"/>
    </xf>
    <xf numFmtId="0" fontId="60" fillId="2" borderId="89" xfId="0" applyFont="1" applyFill="1" applyBorder="1" applyAlignment="1">
      <alignment horizontal="center" vertical="center"/>
    </xf>
    <xf numFmtId="4" fontId="62" fillId="2" borderId="87" xfId="0" applyNumberFormat="1" applyFont="1" applyFill="1" applyBorder="1" applyAlignment="1">
      <alignment horizontal="center" vertical="center"/>
    </xf>
    <xf numFmtId="4" fontId="62" fillId="2" borderId="93" xfId="0" applyNumberFormat="1" applyFont="1" applyFill="1" applyBorder="1" applyAlignment="1">
      <alignment horizontal="center" vertical="center"/>
    </xf>
    <xf numFmtId="4" fontId="62" fillId="2" borderId="88" xfId="0" applyNumberFormat="1" applyFont="1" applyFill="1" applyBorder="1" applyAlignment="1">
      <alignment horizontal="center" vertical="center"/>
    </xf>
    <xf numFmtId="4" fontId="62" fillId="2" borderId="89" xfId="0" applyNumberFormat="1" applyFont="1" applyFill="1" applyBorder="1" applyAlignment="1">
      <alignment horizontal="center" vertical="center"/>
    </xf>
    <xf numFmtId="4" fontId="62" fillId="2" borderId="44" xfId="0" applyNumberFormat="1" applyFont="1" applyFill="1" applyBorder="1" applyAlignment="1">
      <alignment horizontal="center" vertical="center"/>
    </xf>
    <xf numFmtId="4" fontId="62" fillId="2" borderId="9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62" fillId="2" borderId="52" xfId="0" applyNumberFormat="1" applyFont="1" applyFill="1" applyBorder="1" applyAlignment="1">
      <alignment horizontal="center" vertical="center"/>
    </xf>
    <xf numFmtId="4" fontId="62" fillId="2" borderId="50" xfId="0" applyNumberFormat="1" applyFont="1" applyFill="1" applyBorder="1" applyAlignment="1">
      <alignment horizontal="center" vertical="center"/>
    </xf>
    <xf numFmtId="4" fontId="62" fillId="2" borderId="54" xfId="0" applyNumberFormat="1" applyFont="1" applyFill="1" applyBorder="1" applyAlignment="1">
      <alignment horizontal="center" vertical="center"/>
    </xf>
    <xf numFmtId="4" fontId="24" fillId="0" borderId="112" xfId="0" applyNumberFormat="1" applyFont="1" applyBorder="1" applyAlignment="1">
      <alignment horizontal="right" vertical="top"/>
    </xf>
    <xf numFmtId="4" fontId="24" fillId="0" borderId="84" xfId="0" applyNumberFormat="1" applyFont="1" applyBorder="1" applyAlignment="1">
      <alignment horizontal="right" vertical="top"/>
    </xf>
    <xf numFmtId="166" fontId="24" fillId="0" borderId="85" xfId="0" applyNumberFormat="1" applyFont="1" applyBorder="1" applyAlignment="1">
      <alignment horizontal="right" vertical="top"/>
    </xf>
    <xf numFmtId="166" fontId="26" fillId="0" borderId="114" xfId="0" applyNumberFormat="1" applyFont="1" applyBorder="1" applyAlignment="1">
      <alignment horizontal="right" vertical="top"/>
    </xf>
    <xf numFmtId="166" fontId="24" fillId="0" borderId="42" xfId="0" applyNumberFormat="1" applyFont="1" applyBorder="1" applyAlignment="1">
      <alignment horizontal="right" vertical="top"/>
    </xf>
    <xf numFmtId="0" fontId="62" fillId="5" borderId="82" xfId="0" applyFont="1" applyFill="1" applyBorder="1" applyAlignment="1">
      <alignment horizontal="center" vertical="center" wrapText="1"/>
    </xf>
    <xf numFmtId="0" fontId="62" fillId="5" borderId="105" xfId="0" applyFont="1" applyFill="1" applyBorder="1" applyAlignment="1">
      <alignment horizontal="center" vertical="center" wrapText="1"/>
    </xf>
    <xf numFmtId="0" fontId="62" fillId="2" borderId="89" xfId="0" applyFont="1" applyFill="1" applyBorder="1" applyAlignment="1">
      <alignment horizontal="left" vertical="top"/>
    </xf>
    <xf numFmtId="4" fontId="24" fillId="0" borderId="81" xfId="1" applyNumberFormat="1" applyFont="1" applyBorder="1" applyAlignment="1">
      <alignment horizontal="right" vertical="top"/>
    </xf>
    <xf numFmtId="4" fontId="24" fillId="0" borderId="114" xfId="1" applyNumberFormat="1" applyFont="1" applyBorder="1" applyAlignment="1">
      <alignment horizontal="right" vertical="top"/>
    </xf>
    <xf numFmtId="4" fontId="24" fillId="0" borderId="107" xfId="1" applyNumberFormat="1" applyFont="1" applyBorder="1" applyAlignment="1">
      <alignment horizontal="right" vertical="top"/>
    </xf>
    <xf numFmtId="14" fontId="24" fillId="0" borderId="37" xfId="0" applyNumberFormat="1" applyFont="1" applyBorder="1" applyAlignment="1">
      <alignment horizontal="left" vertical="center" wrapText="1"/>
    </xf>
    <xf numFmtId="4" fontId="24" fillId="0" borderId="98" xfId="0" applyNumberFormat="1" applyFont="1" applyBorder="1"/>
    <xf numFmtId="4" fontId="24" fillId="7" borderId="37" xfId="1" applyNumberFormat="1" applyFont="1" applyFill="1" applyBorder="1" applyAlignment="1">
      <alignment horizontal="right" vertical="top"/>
    </xf>
    <xf numFmtId="0" fontId="24" fillId="7" borderId="37" xfId="0" applyFont="1" applyFill="1" applyBorder="1" applyAlignment="1">
      <alignment horizontal="left" vertical="center" wrapText="1"/>
    </xf>
    <xf numFmtId="4" fontId="24" fillId="7" borderId="78" xfId="0" applyNumberFormat="1" applyFont="1" applyFill="1" applyBorder="1" applyAlignment="1">
      <alignment horizontal="right" vertical="top"/>
    </xf>
    <xf numFmtId="166" fontId="24" fillId="7" borderId="79" xfId="0" applyNumberFormat="1" applyFont="1" applyFill="1" applyBorder="1" applyAlignment="1">
      <alignment horizontal="right" vertical="top"/>
    </xf>
    <xf numFmtId="4" fontId="57" fillId="7" borderId="42" xfId="1" applyNumberFormat="1" applyFont="1" applyFill="1" applyBorder="1" applyAlignment="1">
      <alignment horizontal="right" vertical="top"/>
    </xf>
    <xf numFmtId="166" fontId="26" fillId="7" borderId="81" xfId="0" applyNumberFormat="1" applyFont="1" applyFill="1" applyBorder="1" applyAlignment="1">
      <alignment horizontal="right" vertical="top"/>
    </xf>
    <xf numFmtId="4" fontId="31" fillId="7" borderId="43" xfId="0" applyNumberFormat="1" applyFont="1" applyFill="1" applyBorder="1" applyAlignment="1">
      <alignment horizontal="right" vertical="top"/>
    </xf>
    <xf numFmtId="4" fontId="24" fillId="7" borderId="42" xfId="0" applyNumberFormat="1" applyFont="1" applyFill="1" applyBorder="1" applyAlignment="1">
      <alignment horizontal="right" vertical="top"/>
    </xf>
    <xf numFmtId="166" fontId="26" fillId="7" borderId="78" xfId="0" applyNumberFormat="1" applyFont="1" applyFill="1" applyBorder="1" applyAlignment="1">
      <alignment horizontal="right" vertical="top"/>
    </xf>
    <xf numFmtId="4" fontId="31" fillId="7" borderId="42" xfId="0" applyNumberFormat="1" applyFont="1" applyFill="1" applyBorder="1" applyAlignment="1">
      <alignment horizontal="right" vertical="top"/>
    </xf>
    <xf numFmtId="166" fontId="26" fillId="7" borderId="37" xfId="0" applyNumberFormat="1" applyFont="1" applyFill="1" applyBorder="1" applyAlignment="1">
      <alignment horizontal="right" vertical="top"/>
    </xf>
    <xf numFmtId="166" fontId="26" fillId="7" borderId="79" xfId="0" applyNumberFormat="1" applyFont="1" applyFill="1" applyBorder="1" applyAlignment="1">
      <alignment horizontal="right" vertical="top"/>
    </xf>
    <xf numFmtId="4" fontId="0" fillId="7" borderId="98" xfId="0" applyNumberFormat="1" applyFill="1" applyBorder="1"/>
    <xf numFmtId="0" fontId="0" fillId="7" borderId="0" xfId="0" applyFill="1"/>
    <xf numFmtId="4" fontId="24" fillId="9" borderId="37" xfId="1" applyNumberFormat="1" applyFont="1" applyFill="1" applyBorder="1" applyAlignment="1">
      <alignment horizontal="right" vertical="top"/>
    </xf>
    <xf numFmtId="4" fontId="24" fillId="9" borderId="37" xfId="0" applyNumberFormat="1" applyFont="1" applyFill="1" applyBorder="1" applyAlignment="1">
      <alignment horizontal="right" vertical="top"/>
    </xf>
    <xf numFmtId="4" fontId="26" fillId="9" borderId="37" xfId="0" applyNumberFormat="1" applyFont="1" applyFill="1" applyBorder="1" applyAlignment="1">
      <alignment horizontal="right" vertical="top"/>
    </xf>
    <xf numFmtId="170" fontId="46" fillId="7" borderId="42" xfId="185" applyNumberFormat="1" applyFont="1" applyFill="1" applyBorder="1" applyAlignment="1">
      <alignment horizontal="right" vertical="center"/>
    </xf>
    <xf numFmtId="166" fontId="31" fillId="7" borderId="37" xfId="0" applyNumberFormat="1" applyFont="1" applyFill="1" applyBorder="1" applyAlignment="1">
      <alignment horizontal="right" vertical="top"/>
    </xf>
    <xf numFmtId="4" fontId="29" fillId="9" borderId="37" xfId="1" applyNumberFormat="1" applyFont="1" applyFill="1" applyBorder="1" applyAlignment="1">
      <alignment horizontal="right" vertical="top"/>
    </xf>
    <xf numFmtId="14" fontId="59" fillId="0" borderId="0" xfId="0" applyNumberFormat="1" applyFont="1"/>
    <xf numFmtId="4" fontId="57" fillId="9" borderId="37" xfId="1" applyNumberFormat="1" applyFont="1" applyFill="1" applyBorder="1" applyAlignment="1">
      <alignment horizontal="right" vertical="top"/>
    </xf>
    <xf numFmtId="4" fontId="66" fillId="0" borderId="0" xfId="0" applyNumberFormat="1" applyFont="1"/>
    <xf numFmtId="0" fontId="24" fillId="6" borderId="42" xfId="0" applyFont="1" applyFill="1" applyBorder="1" applyAlignment="1">
      <alignment horizontal="left" vertical="center" wrapText="1"/>
    </xf>
    <xf numFmtId="4" fontId="24" fillId="9" borderId="78" xfId="1" applyNumberFormat="1" applyFont="1" applyFill="1" applyBorder="1" applyAlignment="1">
      <alignment horizontal="right" vertical="top"/>
    </xf>
    <xf numFmtId="4" fontId="31" fillId="0" borderId="0" xfId="0" applyNumberFormat="1" applyFont="1"/>
    <xf numFmtId="4" fontId="59" fillId="0" borderId="0" xfId="0" applyNumberFormat="1" applyFont="1"/>
    <xf numFmtId="166" fontId="26" fillId="9" borderId="43" xfId="0" applyNumberFormat="1" applyFont="1" applyFill="1" applyBorder="1" applyAlignment="1">
      <alignment horizontal="right" vertical="top"/>
    </xf>
    <xf numFmtId="4" fontId="24" fillId="9" borderId="43" xfId="0" applyNumberFormat="1" applyFont="1" applyFill="1" applyBorder="1" applyAlignment="1">
      <alignment horizontal="right" vertical="top"/>
    </xf>
    <xf numFmtId="0" fontId="24" fillId="0" borderId="0" xfId="0" applyFont="1" applyAlignment="1">
      <alignment vertical="center" wrapText="1"/>
    </xf>
    <xf numFmtId="0" fontId="24" fillId="0" borderId="117" xfId="0" applyFont="1" applyBorder="1" applyAlignment="1">
      <alignment horizontal="right" vertical="top" wrapText="1"/>
    </xf>
    <xf numFmtId="4" fontId="24" fillId="7" borderId="43" xfId="0" applyNumberFormat="1" applyFont="1" applyFill="1" applyBorder="1" applyAlignment="1">
      <alignment horizontal="right" vertical="top"/>
    </xf>
    <xf numFmtId="4" fontId="59" fillId="0" borderId="43" xfId="0" applyNumberFormat="1" applyFont="1" applyBorder="1" applyAlignment="1">
      <alignment horizontal="right" vertical="top"/>
    </xf>
    <xf numFmtId="0" fontId="24" fillId="7" borderId="42" xfId="0" applyFont="1" applyFill="1" applyBorder="1" applyAlignment="1">
      <alignment horizontal="left" vertical="center" wrapText="1"/>
    </xf>
    <xf numFmtId="4" fontId="24" fillId="7" borderId="100" xfId="0" applyNumberFormat="1" applyFont="1" applyFill="1" applyBorder="1" applyAlignment="1">
      <alignment horizontal="right" vertical="top"/>
    </xf>
    <xf numFmtId="0" fontId="63" fillId="3" borderId="118" xfId="0" applyFont="1" applyFill="1" applyBorder="1" applyAlignment="1">
      <alignment horizontal="center" vertical="center" wrapText="1"/>
    </xf>
    <xf numFmtId="166" fontId="25" fillId="5" borderId="119" xfId="0" applyNumberFormat="1" applyFont="1" applyFill="1" applyBorder="1" applyAlignment="1">
      <alignment horizontal="right" vertical="top"/>
    </xf>
    <xf numFmtId="4" fontId="58" fillId="0" borderId="43" xfId="1" applyNumberFormat="1" applyFont="1" applyBorder="1" applyAlignment="1">
      <alignment horizontal="right" vertical="top"/>
    </xf>
    <xf numFmtId="4" fontId="24" fillId="7" borderId="43" xfId="1" applyNumberFormat="1" applyFont="1" applyFill="1" applyBorder="1" applyAlignment="1">
      <alignment horizontal="right" vertical="top"/>
    </xf>
    <xf numFmtId="4" fontId="23" fillId="0" borderId="48" xfId="0" applyNumberFormat="1" applyFont="1" applyBorder="1" applyAlignment="1">
      <alignment horizontal="right" vertical="top"/>
    </xf>
    <xf numFmtId="4" fontId="23" fillId="0" borderId="49" xfId="0" applyNumberFormat="1" applyFont="1" applyBorder="1" applyAlignment="1">
      <alignment horizontal="right" vertical="top"/>
    </xf>
    <xf numFmtId="4" fontId="24" fillId="9" borderId="78" xfId="0" applyNumberFormat="1" applyFont="1" applyFill="1" applyBorder="1" applyAlignment="1">
      <alignment horizontal="right" vertical="top"/>
    </xf>
    <xf numFmtId="4" fontId="29" fillId="0" borderId="98" xfId="0" applyNumberFormat="1" applyFont="1" applyBorder="1"/>
    <xf numFmtId="0" fontId="62" fillId="6" borderId="82" xfId="0" applyFont="1" applyFill="1" applyBorder="1" applyAlignment="1">
      <alignment horizontal="left" vertical="top" wrapText="1"/>
    </xf>
    <xf numFmtId="0" fontId="62" fillId="6" borderId="105" xfId="0" applyFont="1" applyFill="1" applyBorder="1" applyAlignment="1">
      <alignment horizontal="left" vertical="center" wrapText="1"/>
    </xf>
    <xf numFmtId="0" fontId="62" fillId="9" borderId="82" xfId="0" applyFont="1" applyFill="1" applyBorder="1" applyAlignment="1">
      <alignment horizontal="left" vertical="top" wrapText="1"/>
    </xf>
    <xf numFmtId="0" fontId="62" fillId="9" borderId="105" xfId="0" applyFont="1" applyFill="1" applyBorder="1" applyAlignment="1">
      <alignment horizontal="left" vertical="center" wrapText="1"/>
    </xf>
    <xf numFmtId="4" fontId="59" fillId="7" borderId="37" xfId="0" applyNumberFormat="1" applyFont="1" applyFill="1" applyBorder="1" applyAlignment="1">
      <alignment horizontal="right" vertical="top"/>
    </xf>
    <xf numFmtId="4" fontId="57" fillId="7" borderId="37" xfId="1" applyNumberFormat="1" applyFont="1" applyFill="1" applyBorder="1" applyAlignment="1">
      <alignment horizontal="right" vertical="top"/>
    </xf>
    <xf numFmtId="4" fontId="59" fillId="0" borderId="78" xfId="0" applyNumberFormat="1" applyFont="1" applyBorder="1" applyAlignment="1">
      <alignment horizontal="right" vertical="top"/>
    </xf>
    <xf numFmtId="0" fontId="24" fillId="10" borderId="42" xfId="0" applyFont="1" applyFill="1" applyBorder="1" applyAlignment="1">
      <alignment horizontal="left" vertical="center" wrapText="1"/>
    </xf>
    <xf numFmtId="166" fontId="26" fillId="7" borderId="42" xfId="0" applyNumberFormat="1" applyFont="1" applyFill="1" applyBorder="1" applyAlignment="1">
      <alignment horizontal="right" vertical="top"/>
    </xf>
    <xf numFmtId="166" fontId="24" fillId="7" borderId="43" xfId="0" applyNumberFormat="1" applyFont="1" applyFill="1" applyBorder="1" applyAlignment="1">
      <alignment horizontal="right" vertical="top"/>
    </xf>
    <xf numFmtId="166" fontId="26" fillId="7" borderId="43" xfId="0" applyNumberFormat="1" applyFont="1" applyFill="1" applyBorder="1" applyAlignment="1">
      <alignment horizontal="right" vertical="top"/>
    </xf>
    <xf numFmtId="16" fontId="24" fillId="0" borderId="78" xfId="0" applyNumberFormat="1" applyFont="1" applyBorder="1" applyAlignment="1">
      <alignment horizontal="left" vertical="center" wrapText="1"/>
    </xf>
    <xf numFmtId="4" fontId="24" fillId="7" borderId="104" xfId="1" applyNumberFormat="1" applyFont="1" applyFill="1" applyBorder="1" applyAlignment="1">
      <alignment horizontal="right" vertical="top"/>
    </xf>
    <xf numFmtId="0" fontId="69" fillId="0" borderId="0" xfId="0" applyFont="1" applyAlignment="1">
      <alignment wrapText="1"/>
    </xf>
    <xf numFmtId="166" fontId="26" fillId="6" borderId="81" xfId="0" applyNumberFormat="1" applyFont="1" applyFill="1" applyBorder="1" applyAlignment="1">
      <alignment horizontal="right" vertical="top"/>
    </xf>
    <xf numFmtId="166" fontId="59" fillId="7" borderId="43" xfId="0" applyNumberFormat="1" applyFont="1" applyFill="1" applyBorder="1" applyAlignment="1">
      <alignment horizontal="right" vertical="top"/>
    </xf>
    <xf numFmtId="166" fontId="59" fillId="0" borderId="43" xfId="0" applyNumberFormat="1" applyFont="1" applyBorder="1" applyAlignment="1">
      <alignment horizontal="right" vertical="top"/>
    </xf>
    <xf numFmtId="4" fontId="57" fillId="0" borderId="43" xfId="1" applyNumberFormat="1" applyFont="1" applyBorder="1" applyAlignment="1">
      <alignment horizontal="right" vertical="top"/>
    </xf>
    <xf numFmtId="4" fontId="62" fillId="2" borderId="121" xfId="0" applyNumberFormat="1" applyFont="1" applyFill="1" applyBorder="1" applyAlignment="1">
      <alignment horizontal="right" vertical="top"/>
    </xf>
    <xf numFmtId="4" fontId="62" fillId="2" borderId="123" xfId="0" applyNumberFormat="1" applyFont="1" applyFill="1" applyBorder="1" applyAlignment="1">
      <alignment horizontal="right" vertical="top"/>
    </xf>
    <xf numFmtId="4" fontId="62" fillId="2" borderId="124" xfId="0" applyNumberFormat="1" applyFont="1" applyFill="1" applyBorder="1" applyAlignment="1">
      <alignment horizontal="right" vertical="top"/>
    </xf>
    <xf numFmtId="4" fontId="62" fillId="2" borderId="122" xfId="0" applyNumberFormat="1" applyFont="1" applyFill="1" applyBorder="1" applyAlignment="1">
      <alignment horizontal="right" vertical="top"/>
    </xf>
    <xf numFmtId="4" fontId="62" fillId="2" borderId="125" xfId="0" applyNumberFormat="1" applyFont="1" applyFill="1" applyBorder="1" applyAlignment="1">
      <alignment horizontal="right" vertical="top"/>
    </xf>
    <xf numFmtId="0" fontId="62" fillId="5" borderId="82" xfId="0" applyFont="1" applyFill="1" applyBorder="1" applyAlignment="1">
      <alignment horizontal="left" vertical="top" wrapText="1"/>
    </xf>
    <xf numFmtId="0" fontId="62" fillId="5" borderId="105" xfId="0" applyFont="1" applyFill="1" applyBorder="1" applyAlignment="1">
      <alignment horizontal="left" vertical="center" wrapText="1"/>
    </xf>
    <xf numFmtId="166" fontId="24" fillId="7" borderId="78" xfId="0" applyNumberFormat="1" applyFont="1" applyFill="1" applyBorder="1" applyAlignment="1">
      <alignment horizontal="right" vertical="top"/>
    </xf>
    <xf numFmtId="4" fontId="27" fillId="7" borderId="37" xfId="0" applyNumberFormat="1" applyFont="1" applyFill="1" applyBorder="1"/>
    <xf numFmtId="4" fontId="26" fillId="7" borderId="42" xfId="0" applyNumberFormat="1" applyFont="1" applyFill="1" applyBorder="1" applyAlignment="1">
      <alignment horizontal="right" vertical="top"/>
    </xf>
    <xf numFmtId="166" fontId="24" fillId="7" borderId="42" xfId="0" applyNumberFormat="1" applyFont="1" applyFill="1" applyBorder="1" applyAlignment="1">
      <alignment horizontal="right" vertical="top"/>
    </xf>
    <xf numFmtId="166" fontId="24" fillId="7" borderId="37" xfId="0" applyNumberFormat="1" applyFont="1" applyFill="1" applyBorder="1" applyAlignment="1">
      <alignment horizontal="right" vertical="top"/>
    </xf>
    <xf numFmtId="0" fontId="24" fillId="7" borderId="100" xfId="0" applyFont="1" applyFill="1" applyBorder="1" applyAlignment="1">
      <alignment horizontal="left" vertical="center" wrapText="1"/>
    </xf>
    <xf numFmtId="4" fontId="31" fillId="7" borderId="37" xfId="0" applyNumberFormat="1" applyFont="1" applyFill="1" applyBorder="1" applyAlignment="1">
      <alignment horizontal="right" vertical="top"/>
    </xf>
    <xf numFmtId="4" fontId="24" fillId="7" borderId="78" xfId="1" applyNumberFormat="1" applyFont="1" applyFill="1" applyBorder="1" applyAlignment="1">
      <alignment horizontal="right" vertical="top"/>
    </xf>
    <xf numFmtId="14" fontId="24" fillId="7" borderId="37" xfId="0" applyNumberFormat="1" applyFont="1" applyFill="1" applyBorder="1" applyAlignment="1">
      <alignment horizontal="left" vertical="center" wrapText="1"/>
    </xf>
    <xf numFmtId="4" fontId="26" fillId="7" borderId="37" xfId="0" applyNumberFormat="1" applyFont="1" applyFill="1" applyBorder="1" applyAlignment="1">
      <alignment horizontal="right" vertical="top"/>
    </xf>
    <xf numFmtId="0" fontId="24" fillId="7" borderId="78" xfId="0" applyFont="1" applyFill="1" applyBorder="1" applyAlignment="1">
      <alignment horizontal="left" vertical="center" wrapText="1"/>
    </xf>
    <xf numFmtId="166" fontId="24" fillId="7" borderId="115" xfId="0" applyNumberFormat="1" applyFont="1" applyFill="1" applyBorder="1" applyAlignment="1">
      <alignment horizontal="right" vertical="top"/>
    </xf>
    <xf numFmtId="4" fontId="24" fillId="7" borderId="115" xfId="1" applyNumberFormat="1" applyFont="1" applyFill="1" applyBorder="1" applyAlignment="1">
      <alignment horizontal="right" vertical="top"/>
    </xf>
    <xf numFmtId="4" fontId="26" fillId="7" borderId="43" xfId="0" applyNumberFormat="1" applyFont="1" applyFill="1" applyBorder="1" applyAlignment="1">
      <alignment horizontal="right" vertical="top"/>
    </xf>
    <xf numFmtId="166" fontId="26" fillId="7" borderId="108" xfId="0" applyNumberFormat="1" applyFont="1" applyFill="1" applyBorder="1" applyAlignment="1">
      <alignment horizontal="right" vertical="top"/>
    </xf>
    <xf numFmtId="0" fontId="24" fillId="7" borderId="37" xfId="0" applyFont="1" applyFill="1" applyBorder="1" applyAlignment="1">
      <alignment horizontal="right" vertical="top" wrapText="1"/>
    </xf>
    <xf numFmtId="166" fontId="34" fillId="7" borderId="78" xfId="0" applyNumberFormat="1" applyFont="1" applyFill="1" applyBorder="1" applyAlignment="1">
      <alignment horizontal="right" vertical="top"/>
    </xf>
    <xf numFmtId="0" fontId="24" fillId="7" borderId="102" xfId="0" applyFont="1" applyFill="1" applyBorder="1" applyAlignment="1">
      <alignment horizontal="left" vertical="center" wrapText="1"/>
    </xf>
    <xf numFmtId="0" fontId="24" fillId="7" borderId="101" xfId="0" applyFont="1" applyFill="1" applyBorder="1" applyAlignment="1">
      <alignment horizontal="left" vertical="center" wrapText="1"/>
    </xf>
    <xf numFmtId="4" fontId="24" fillId="7" borderId="102" xfId="0" applyNumberFormat="1" applyFont="1" applyFill="1" applyBorder="1" applyAlignment="1">
      <alignment horizontal="right" vertical="top"/>
    </xf>
    <xf numFmtId="4" fontId="24" fillId="7" borderId="102" xfId="1" applyNumberFormat="1" applyFont="1" applyFill="1" applyBorder="1" applyAlignment="1">
      <alignment horizontal="right" vertical="top"/>
    </xf>
    <xf numFmtId="4" fontId="24" fillId="7" borderId="100" xfId="1" applyNumberFormat="1" applyFont="1" applyFill="1" applyBorder="1" applyAlignment="1">
      <alignment horizontal="right" vertical="top"/>
    </xf>
    <xf numFmtId="166" fontId="26" fillId="7" borderId="102" xfId="0" applyNumberFormat="1" applyFont="1" applyFill="1" applyBorder="1" applyAlignment="1">
      <alignment horizontal="right" vertical="top"/>
    </xf>
    <xf numFmtId="4" fontId="59" fillId="7" borderId="78" xfId="0" applyNumberFormat="1" applyFont="1" applyFill="1" applyBorder="1" applyAlignment="1">
      <alignment horizontal="right" vertical="top"/>
    </xf>
    <xf numFmtId="4" fontId="62" fillId="2" borderId="73" xfId="0" applyNumberFormat="1" applyFont="1" applyFill="1" applyBorder="1" applyAlignment="1">
      <alignment horizontal="center" vertical="center"/>
    </xf>
    <xf numFmtId="4" fontId="62" fillId="2" borderId="76" xfId="0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/>
    </xf>
    <xf numFmtId="0" fontId="61" fillId="3" borderId="126" xfId="0" applyFont="1" applyFill="1" applyBorder="1" applyAlignment="1">
      <alignment horizontal="center" vertical="center" wrapText="1"/>
    </xf>
    <xf numFmtId="0" fontId="24" fillId="7" borderId="128" xfId="0" applyFont="1" applyFill="1" applyBorder="1" applyAlignment="1">
      <alignment horizontal="left" vertical="center" wrapText="1"/>
    </xf>
    <xf numFmtId="4" fontId="24" fillId="7" borderId="127" xfId="0" applyNumberFormat="1" applyFont="1" applyFill="1" applyBorder="1" applyAlignment="1">
      <alignment horizontal="right" vertical="top"/>
    </xf>
    <xf numFmtId="4" fontId="24" fillId="7" borderId="120" xfId="0" applyNumberFormat="1" applyFont="1" applyFill="1" applyBorder="1" applyAlignment="1">
      <alignment horizontal="right" vertical="top"/>
    </xf>
    <xf numFmtId="166" fontId="24" fillId="7" borderId="129" xfId="0" applyNumberFormat="1" applyFont="1" applyFill="1" applyBorder="1" applyAlignment="1">
      <alignment horizontal="right" vertical="top"/>
    </xf>
    <xf numFmtId="4" fontId="24" fillId="7" borderId="120" xfId="1" applyNumberFormat="1" applyFont="1" applyFill="1" applyBorder="1" applyAlignment="1">
      <alignment horizontal="right" vertical="top"/>
    </xf>
    <xf numFmtId="166" fontId="26" fillId="7" borderId="65" xfId="0" applyNumberFormat="1" applyFont="1" applyFill="1" applyBorder="1" applyAlignment="1">
      <alignment horizontal="right" vertical="top"/>
    </xf>
    <xf numFmtId="166" fontId="59" fillId="7" borderId="37" xfId="0" applyNumberFormat="1" applyFont="1" applyFill="1" applyBorder="1" applyAlignment="1">
      <alignment horizontal="right" vertical="top"/>
    </xf>
    <xf numFmtId="4" fontId="24" fillId="7" borderId="127" xfId="1" applyNumberFormat="1" applyFont="1" applyFill="1" applyBorder="1" applyAlignment="1">
      <alignment horizontal="right" vertical="top"/>
    </xf>
    <xf numFmtId="4" fontId="24" fillId="7" borderId="130" xfId="1" applyNumberFormat="1" applyFont="1" applyFill="1" applyBorder="1" applyAlignment="1">
      <alignment horizontal="right" vertical="top"/>
    </xf>
    <xf numFmtId="0" fontId="61" fillId="5" borderId="42" xfId="0" applyFont="1" applyFill="1" applyBorder="1" applyAlignment="1">
      <alignment horizontal="left" vertical="top" wrapText="1"/>
    </xf>
    <xf numFmtId="0" fontId="24" fillId="4" borderId="42" xfId="0" applyFont="1" applyFill="1" applyBorder="1" applyAlignment="1">
      <alignment horizontal="left" vertical="top" wrapText="1" indent="2"/>
    </xf>
    <xf numFmtId="0" fontId="24" fillId="7" borderId="42" xfId="0" applyFont="1" applyFill="1" applyBorder="1" applyAlignment="1">
      <alignment horizontal="center" vertical="center" wrapText="1"/>
    </xf>
    <xf numFmtId="0" fontId="62" fillId="2" borderId="71" xfId="0" applyFont="1" applyFill="1" applyBorder="1" applyAlignment="1">
      <alignment horizontal="center" vertical="center"/>
    </xf>
    <xf numFmtId="0" fontId="23" fillId="5" borderId="44" xfId="0" applyFont="1" applyFill="1" applyBorder="1" applyAlignment="1">
      <alignment horizontal="left" vertical="center" wrapText="1"/>
    </xf>
    <xf numFmtId="0" fontId="24" fillId="4" borderId="81" xfId="0" applyFont="1" applyFill="1" applyBorder="1" applyAlignment="1">
      <alignment horizontal="left" vertical="center" wrapText="1"/>
    </xf>
    <xf numFmtId="0" fontId="24" fillId="7" borderId="81" xfId="0" applyFont="1" applyFill="1" applyBorder="1" applyAlignment="1">
      <alignment horizontal="left" vertical="center" wrapText="1"/>
    </xf>
    <xf numFmtId="0" fontId="69" fillId="7" borderId="65" xfId="0" applyFont="1" applyFill="1" applyBorder="1" applyAlignment="1">
      <alignment wrapText="1"/>
    </xf>
    <xf numFmtId="0" fontId="60" fillId="2" borderId="76" xfId="0" applyFont="1" applyFill="1" applyBorder="1" applyAlignment="1">
      <alignment horizontal="center" vertical="center"/>
    </xf>
    <xf numFmtId="4" fontId="26" fillId="7" borderId="79" xfId="0" applyNumberFormat="1" applyFont="1" applyFill="1" applyBorder="1" applyAlignment="1">
      <alignment horizontal="right" vertical="top"/>
    </xf>
    <xf numFmtId="4" fontId="24" fillId="7" borderId="79" xfId="1" applyNumberFormat="1" applyFont="1" applyFill="1" applyBorder="1" applyAlignment="1">
      <alignment horizontal="right" vertical="top"/>
    </xf>
    <xf numFmtId="4" fontId="57" fillId="7" borderId="78" xfId="1" applyNumberFormat="1" applyFont="1" applyFill="1" applyBorder="1" applyAlignment="1">
      <alignment horizontal="right" vertical="top"/>
    </xf>
    <xf numFmtId="166" fontId="24" fillId="7" borderId="81" xfId="0" applyNumberFormat="1" applyFont="1" applyFill="1" applyBorder="1" applyAlignment="1">
      <alignment horizontal="right" vertical="top"/>
    </xf>
    <xf numFmtId="4" fontId="24" fillId="7" borderId="81" xfId="0" applyNumberFormat="1" applyFont="1" applyFill="1" applyBorder="1" applyAlignment="1">
      <alignment horizontal="right" vertical="top"/>
    </xf>
    <xf numFmtId="166" fontId="31" fillId="7" borderId="81" xfId="0" applyNumberFormat="1" applyFont="1" applyFill="1" applyBorder="1" applyAlignment="1">
      <alignment horizontal="right" vertical="top"/>
    </xf>
    <xf numFmtId="4" fontId="31" fillId="7" borderId="81" xfId="1" applyNumberFormat="1" applyFont="1" applyFill="1" applyBorder="1" applyAlignment="1">
      <alignment horizontal="right" vertical="top"/>
    </xf>
    <xf numFmtId="4" fontId="31" fillId="7" borderId="81" xfId="0" applyNumberFormat="1" applyFont="1" applyFill="1" applyBorder="1" applyAlignment="1">
      <alignment horizontal="right" vertical="top"/>
    </xf>
    <xf numFmtId="4" fontId="59" fillId="7" borderId="81" xfId="0" applyNumberFormat="1" applyFont="1" applyFill="1" applyBorder="1" applyAlignment="1">
      <alignment horizontal="right" vertical="top"/>
    </xf>
    <xf numFmtId="0" fontId="63" fillId="3" borderId="45" xfId="0" applyFont="1" applyFill="1" applyBorder="1" applyAlignment="1">
      <alignment horizontal="center" vertical="center" wrapText="1"/>
    </xf>
    <xf numFmtId="0" fontId="63" fillId="3" borderId="47" xfId="0" applyFont="1" applyFill="1" applyBorder="1" applyAlignment="1">
      <alignment horizontal="center" vertical="center" wrapText="1"/>
    </xf>
    <xf numFmtId="4" fontId="57" fillId="7" borderId="79" xfId="1" applyNumberFormat="1" applyFont="1" applyFill="1" applyBorder="1" applyAlignment="1">
      <alignment horizontal="right" vertical="top"/>
    </xf>
    <xf numFmtId="0" fontId="63" fillId="3" borderId="44" xfId="0" applyFont="1" applyFill="1" applyBorder="1" applyAlignment="1">
      <alignment horizontal="center" vertical="center" wrapText="1"/>
    </xf>
    <xf numFmtId="0" fontId="62" fillId="5" borderId="131" xfId="0" applyFont="1" applyFill="1" applyBorder="1" applyAlignment="1">
      <alignment horizontal="center" vertical="center" wrapText="1"/>
    </xf>
    <xf numFmtId="0" fontId="24" fillId="4" borderId="115" xfId="0" applyFont="1" applyFill="1" applyBorder="1" applyAlignment="1">
      <alignment horizontal="left" vertical="top" wrapText="1" indent="2"/>
    </xf>
    <xf numFmtId="0" fontId="24" fillId="7" borderId="115" xfId="0" applyFont="1" applyFill="1" applyBorder="1" applyAlignment="1">
      <alignment horizontal="left" vertical="center" wrapText="1"/>
    </xf>
    <xf numFmtId="0" fontId="62" fillId="5" borderId="106" xfId="0" applyFont="1" applyFill="1" applyBorder="1" applyAlignment="1">
      <alignment horizontal="center" vertical="center" wrapText="1"/>
    </xf>
    <xf numFmtId="0" fontId="62" fillId="2" borderId="76" xfId="0" applyFont="1" applyFill="1" applyBorder="1" applyAlignment="1">
      <alignment horizontal="left" vertical="top"/>
    </xf>
    <xf numFmtId="4" fontId="24" fillId="7" borderId="81" xfId="1" applyNumberFormat="1" applyFont="1" applyFill="1" applyBorder="1" applyAlignment="1">
      <alignment horizontal="right" vertical="top"/>
    </xf>
    <xf numFmtId="166" fontId="26" fillId="4" borderId="37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4" fontId="26" fillId="0" borderId="37" xfId="0" applyNumberFormat="1" applyFont="1" applyFill="1" applyBorder="1" applyAlignment="1">
      <alignment horizontal="center" vertical="center"/>
    </xf>
    <xf numFmtId="166" fontId="71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63" fillId="3" borderId="37" xfId="0" applyFont="1" applyFill="1" applyBorder="1" applyAlignment="1">
      <alignment horizontal="center" vertical="center" wrapText="1"/>
    </xf>
    <xf numFmtId="0" fontId="63" fillId="4" borderId="37" xfId="0" applyFont="1" applyFill="1" applyBorder="1" applyAlignment="1">
      <alignment horizontal="center" vertical="center" wrapText="1"/>
    </xf>
    <xf numFmtId="166" fontId="25" fillId="5" borderId="37" xfId="0" applyNumberFormat="1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left" vertical="center" wrapText="1"/>
    </xf>
    <xf numFmtId="0" fontId="24" fillId="0" borderId="37" xfId="343" applyNumberFormat="1" applyFont="1" applyBorder="1" applyAlignment="1">
      <alignment horizontal="left" vertical="center" wrapText="1"/>
    </xf>
    <xf numFmtId="166" fontId="26" fillId="0" borderId="37" xfId="0" applyNumberFormat="1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60" fillId="2" borderId="37" xfId="0" applyFont="1" applyFill="1" applyBorder="1" applyAlignment="1">
      <alignment horizontal="center" vertical="center"/>
    </xf>
    <xf numFmtId="4" fontId="62" fillId="2" borderId="37" xfId="0" applyNumberFormat="1" applyFont="1" applyFill="1" applyBorder="1" applyAlignment="1">
      <alignment horizontal="center" vertical="center"/>
    </xf>
    <xf numFmtId="0" fontId="72" fillId="4" borderId="37" xfId="0" applyFont="1" applyFill="1" applyBorder="1" applyAlignment="1">
      <alignment horizontal="left" vertical="top" wrapText="1" indent="2"/>
    </xf>
    <xf numFmtId="0" fontId="24" fillId="0" borderId="37" xfId="343" applyNumberFormat="1" applyFont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4" fontId="0" fillId="0" borderId="0" xfId="0" applyNumberFormat="1" applyFill="1" applyAlignment="1">
      <alignment horizontal="left"/>
    </xf>
    <xf numFmtId="166" fontId="0" fillId="0" borderId="0" xfId="0" applyNumberFormat="1" applyFill="1" applyAlignment="1">
      <alignment horizontal="left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4" fontId="26" fillId="6" borderId="37" xfId="0" applyNumberFormat="1" applyFont="1" applyFill="1" applyBorder="1" applyAlignment="1">
      <alignment horizontal="center" vertical="center"/>
    </xf>
    <xf numFmtId="166" fontId="24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29" fillId="0" borderId="0" xfId="0" applyFont="1" applyFill="1" applyAlignment="1">
      <alignment horizontal="left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6" fillId="6" borderId="37" xfId="0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73" fillId="11" borderId="132" xfId="449" applyNumberFormat="1" applyFont="1" applyFill="1" applyBorder="1" applyAlignment="1">
      <alignment horizontal="left" vertical="top"/>
    </xf>
    <xf numFmtId="0" fontId="74" fillId="11" borderId="132" xfId="449" applyNumberFormat="1" applyFont="1" applyFill="1" applyBorder="1" applyAlignment="1">
      <alignment horizontal="left" vertical="top"/>
    </xf>
    <xf numFmtId="0" fontId="75" fillId="0" borderId="133" xfId="448" applyNumberFormat="1" applyFont="1" applyBorder="1" applyAlignment="1">
      <alignment vertical="top" wrapText="1" indent="2"/>
    </xf>
    <xf numFmtId="4" fontId="74" fillId="11" borderId="132" xfId="449" applyNumberFormat="1" applyFont="1" applyFill="1" applyBorder="1" applyAlignment="1">
      <alignment horizontal="right" vertical="top"/>
    </xf>
    <xf numFmtId="166" fontId="24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0" fontId="74" fillId="0" borderId="132" xfId="449" applyNumberFormat="1" applyFont="1" applyFill="1" applyBorder="1" applyAlignment="1">
      <alignment horizontal="left" vertical="top"/>
    </xf>
    <xf numFmtId="4" fontId="74" fillId="0" borderId="132" xfId="449" applyNumberFormat="1" applyFont="1" applyFill="1" applyBorder="1" applyAlignment="1">
      <alignment horizontal="right" vertical="top"/>
    </xf>
    <xf numFmtId="166" fontId="23" fillId="5" borderId="37" xfId="0" applyNumberFormat="1" applyFont="1" applyFill="1" applyBorder="1" applyAlignment="1">
      <alignment horizontal="center" vertical="center"/>
    </xf>
    <xf numFmtId="166" fontId="24" fillId="4" borderId="37" xfId="0" applyNumberFormat="1" applyFont="1" applyFill="1" applyBorder="1" applyAlignment="1">
      <alignment horizontal="center" vertical="center"/>
    </xf>
    <xf numFmtId="0" fontId="24" fillId="0" borderId="37" xfId="343" applyFont="1" applyBorder="1" applyAlignment="1">
      <alignment horizontal="left" vertical="center" wrapText="1"/>
    </xf>
    <xf numFmtId="4" fontId="24" fillId="0" borderId="37" xfId="0" applyNumberFormat="1" applyFont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/>
    </xf>
    <xf numFmtId="166" fontId="71" fillId="0" borderId="37" xfId="0" applyNumberFormat="1" applyFont="1" applyBorder="1" applyAlignment="1">
      <alignment horizontal="center" vertical="center"/>
    </xf>
    <xf numFmtId="4" fontId="22" fillId="0" borderId="133" xfId="450" applyNumberFormat="1" applyBorder="1" applyAlignment="1">
      <alignment horizontal="right" vertical="top"/>
    </xf>
    <xf numFmtId="166" fontId="24" fillId="6" borderId="37" xfId="0" applyNumberFormat="1" applyFont="1" applyFill="1" applyBorder="1" applyAlignment="1">
      <alignment horizontal="center" vertical="center"/>
    </xf>
    <xf numFmtId="166" fontId="71" fillId="6" borderId="37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4" fillId="0" borderId="133" xfId="448" applyFont="1" applyBorder="1" applyAlignment="1">
      <alignment vertical="top" wrapText="1" indent="2"/>
    </xf>
    <xf numFmtId="4" fontId="24" fillId="0" borderId="37" xfId="0" applyNumberFormat="1" applyFont="1" applyFill="1" applyBorder="1" applyAlignment="1">
      <alignment horizontal="center" vertical="center"/>
    </xf>
    <xf numFmtId="166" fontId="24" fillId="0" borderId="37" xfId="0" applyNumberFormat="1" applyFont="1" applyBorder="1" applyAlignment="1">
      <alignment horizontal="center" vertical="center" wrapText="1"/>
    </xf>
    <xf numFmtId="4" fontId="24" fillId="0" borderId="133" xfId="451" applyNumberFormat="1" applyFont="1" applyBorder="1" applyAlignment="1">
      <alignment horizontal="center" vertical="center" wrapText="1"/>
    </xf>
    <xf numFmtId="166" fontId="57" fillId="0" borderId="37" xfId="0" applyNumberFormat="1" applyFont="1" applyFill="1" applyBorder="1" applyAlignment="1">
      <alignment horizontal="center" vertical="center"/>
    </xf>
    <xf numFmtId="0" fontId="76" fillId="0" borderId="37" xfId="343" applyFont="1" applyBorder="1" applyAlignment="1">
      <alignment horizontal="left" vertical="center" wrapText="1"/>
    </xf>
    <xf numFmtId="0" fontId="62" fillId="0" borderId="37" xfId="0" applyFont="1" applyFill="1" applyBorder="1" applyAlignment="1">
      <alignment horizontal="center" vertical="center"/>
    </xf>
    <xf numFmtId="0" fontId="60" fillId="0" borderId="37" xfId="0" applyFont="1" applyFill="1" applyBorder="1" applyAlignment="1">
      <alignment horizontal="center" vertical="center"/>
    </xf>
    <xf numFmtId="4" fontId="62" fillId="0" borderId="37" xfId="0" applyNumberFormat="1" applyFont="1" applyFill="1" applyBorder="1" applyAlignment="1">
      <alignment horizontal="center" vertical="center"/>
    </xf>
    <xf numFmtId="0" fontId="24" fillId="0" borderId="37" xfId="343" applyNumberFormat="1" applyFont="1" applyFill="1" applyBorder="1" applyAlignment="1">
      <alignment horizontal="left" vertical="center" wrapText="1"/>
    </xf>
    <xf numFmtId="0" fontId="24" fillId="0" borderId="37" xfId="0" applyFont="1" applyFill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left" vertical="center" wrapText="1"/>
    </xf>
    <xf numFmtId="166" fontId="24" fillId="7" borderId="37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0" xfId="0"/>
    <xf numFmtId="0" fontId="24" fillId="4" borderId="37" xfId="0" applyFont="1" applyFill="1" applyBorder="1" applyAlignment="1">
      <alignment horizontal="left" vertical="top" wrapText="1" indent="2"/>
    </xf>
    <xf numFmtId="0" fontId="24" fillId="7" borderId="37" xfId="0" applyFont="1" applyFill="1" applyBorder="1" applyAlignment="1">
      <alignment horizontal="left" vertical="center" wrapText="1"/>
    </xf>
    <xf numFmtId="166" fontId="24" fillId="4" borderId="37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166" fontId="71" fillId="0" borderId="37" xfId="0" applyNumberFormat="1" applyFont="1" applyFill="1" applyBorder="1" applyAlignment="1">
      <alignment horizontal="center" vertical="center"/>
    </xf>
    <xf numFmtId="0" fontId="24" fillId="4" borderId="37" xfId="0" applyFont="1" applyFill="1" applyBorder="1" applyAlignment="1">
      <alignment horizontal="left" vertical="center" wrapText="1"/>
    </xf>
    <xf numFmtId="0" fontId="24" fillId="0" borderId="37" xfId="343" applyNumberFormat="1" applyFont="1" applyBorder="1" applyAlignment="1">
      <alignment horizontal="left" vertical="center" wrapText="1"/>
    </xf>
    <xf numFmtId="166" fontId="24" fillId="0" borderId="37" xfId="0" applyNumberFormat="1" applyFont="1" applyFill="1" applyBorder="1" applyAlignment="1">
      <alignment horizontal="center" vertical="center"/>
    </xf>
    <xf numFmtId="0" fontId="62" fillId="2" borderId="37" xfId="0" applyFont="1" applyFill="1" applyBorder="1" applyAlignment="1">
      <alignment horizontal="center" vertical="center"/>
    </xf>
    <xf numFmtId="0" fontId="60" fillId="2" borderId="37" xfId="0" applyFont="1" applyFill="1" applyBorder="1" applyAlignment="1">
      <alignment horizontal="center" vertical="center"/>
    </xf>
    <xf numFmtId="4" fontId="62" fillId="2" borderId="37" xfId="0" applyNumberFormat="1" applyFont="1" applyFill="1" applyBorder="1" applyAlignment="1">
      <alignment horizontal="center" vertical="center"/>
    </xf>
    <xf numFmtId="0" fontId="24" fillId="0" borderId="37" xfId="343" applyFont="1" applyBorder="1" applyAlignment="1">
      <alignment horizontal="left" vertical="center" wrapText="1"/>
    </xf>
    <xf numFmtId="0" fontId="0" fillId="0" borderId="37" xfId="0" applyBorder="1"/>
    <xf numFmtId="0" fontId="24" fillId="0" borderId="37" xfId="0" applyFont="1" applyBorder="1"/>
    <xf numFmtId="4" fontId="24" fillId="0" borderId="37" xfId="451" applyNumberFormat="1" applyFont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46" fillId="0" borderId="0" xfId="0" applyFont="1" applyAlignment="1">
      <alignment horizontal="center"/>
    </xf>
    <xf numFmtId="166" fontId="78" fillId="0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1" fillId="3" borderId="37" xfId="0" applyFont="1" applyFill="1" applyBorder="1" applyAlignment="1">
      <alignment horizontal="center" vertical="center" wrapText="1"/>
    </xf>
    <xf numFmtId="166" fontId="24" fillId="7" borderId="37" xfId="0" applyNumberFormat="1" applyFont="1" applyFill="1" applyBorder="1" applyAlignment="1">
      <alignment horizontal="center" vertical="center"/>
    </xf>
    <xf numFmtId="4" fontId="24" fillId="0" borderId="0" xfId="0" applyNumberFormat="1" applyFont="1"/>
    <xf numFmtId="166" fontId="24" fillId="7" borderId="37" xfId="0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22" fillId="0" borderId="135" xfId="656" applyNumberFormat="1" applyFont="1" applyBorder="1" applyAlignment="1">
      <alignment vertical="top" wrapText="1"/>
    </xf>
    <xf numFmtId="0" fontId="24" fillId="0" borderId="0" xfId="0" applyFont="1"/>
    <xf numFmtId="16" fontId="0" fillId="0" borderId="0" xfId="0" applyNumberFormat="1"/>
    <xf numFmtId="4" fontId="24" fillId="7" borderId="37" xfId="0" applyNumberFormat="1" applyFont="1" applyFill="1" applyBorder="1" applyAlignment="1">
      <alignment horizontal="left" vertical="center" wrapText="1"/>
    </xf>
    <xf numFmtId="4" fontId="22" fillId="0" borderId="135" xfId="657" applyNumberFormat="1" applyFont="1" applyBorder="1" applyAlignment="1">
      <alignment horizontal="right" vertical="top"/>
    </xf>
    <xf numFmtId="166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61" fillId="3" borderId="50" xfId="0" applyFont="1" applyFill="1" applyBorder="1" applyAlignment="1">
      <alignment horizontal="center" vertical="center" wrapText="1"/>
    </xf>
    <xf numFmtId="0" fontId="61" fillId="3" borderId="62" xfId="0" applyFont="1" applyFill="1" applyBorder="1" applyAlignment="1">
      <alignment horizontal="center" vertical="center" wrapText="1"/>
    </xf>
    <xf numFmtId="0" fontId="61" fillId="3" borderId="63" xfId="0" applyFont="1" applyFill="1" applyBorder="1" applyAlignment="1">
      <alignment horizontal="center" vertical="center" wrapText="1"/>
    </xf>
    <xf numFmtId="0" fontId="61" fillId="3" borderId="64" xfId="0" applyFont="1" applyFill="1" applyBorder="1" applyAlignment="1">
      <alignment horizontal="center" vertical="center" wrapText="1"/>
    </xf>
    <xf numFmtId="0" fontId="61" fillId="3" borderId="65" xfId="0" applyFont="1" applyFill="1" applyBorder="1" applyAlignment="1">
      <alignment horizontal="center" vertical="center" wrapText="1"/>
    </xf>
    <xf numFmtId="0" fontId="61" fillId="3" borderId="95" xfId="0" applyFont="1" applyFill="1" applyBorder="1" applyAlignment="1">
      <alignment horizontal="center" vertical="center" wrapText="1"/>
    </xf>
    <xf numFmtId="0" fontId="61" fillId="3" borderId="49" xfId="0" applyFont="1" applyFill="1" applyBorder="1" applyAlignment="1">
      <alignment horizontal="center" vertical="center" wrapText="1"/>
    </xf>
    <xf numFmtId="0" fontId="64" fillId="3" borderId="95" xfId="0" applyFont="1" applyFill="1" applyBorder="1" applyAlignment="1">
      <alignment horizontal="center" vertical="center" wrapText="1"/>
    </xf>
    <xf numFmtId="0" fontId="64" fillId="3" borderId="49" xfId="0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14" fontId="65" fillId="0" borderId="116" xfId="0" applyNumberFormat="1" applyFont="1" applyBorder="1" applyAlignment="1">
      <alignment horizontal="center"/>
    </xf>
    <xf numFmtId="0" fontId="65" fillId="0" borderId="116" xfId="0" applyFont="1" applyBorder="1" applyAlignment="1">
      <alignment horizontal="center"/>
    </xf>
    <xf numFmtId="0" fontId="61" fillId="3" borderId="45" xfId="0" applyFont="1" applyFill="1" applyBorder="1" applyAlignment="1">
      <alignment horizontal="center" vertical="center" wrapText="1"/>
    </xf>
    <xf numFmtId="0" fontId="61" fillId="3" borderId="55" xfId="0" applyFont="1" applyFill="1" applyBorder="1" applyAlignment="1">
      <alignment horizontal="center" vertical="center" wrapText="1"/>
    </xf>
    <xf numFmtId="0" fontId="61" fillId="3" borderId="46" xfId="0" applyFont="1" applyFill="1" applyBorder="1" applyAlignment="1">
      <alignment horizontal="center" vertical="center" wrapText="1"/>
    </xf>
    <xf numFmtId="0" fontId="61" fillId="3" borderId="56" xfId="0" applyFont="1" applyFill="1" applyBorder="1" applyAlignment="1">
      <alignment horizontal="center" vertical="center" wrapText="1"/>
    </xf>
    <xf numFmtId="0" fontId="61" fillId="3" borderId="47" xfId="0" applyFont="1" applyFill="1" applyBorder="1" applyAlignment="1">
      <alignment horizontal="center" vertical="center" wrapText="1"/>
    </xf>
    <xf numFmtId="0" fontId="61" fillId="3" borderId="57" xfId="0" applyFont="1" applyFill="1" applyBorder="1" applyAlignment="1">
      <alignment horizontal="center" vertical="center" wrapText="1"/>
    </xf>
    <xf numFmtId="0" fontId="61" fillId="3" borderId="48" xfId="0" applyFont="1" applyFill="1" applyBorder="1" applyAlignment="1">
      <alignment horizontal="center" vertical="center" wrapText="1"/>
    </xf>
    <xf numFmtId="0" fontId="61" fillId="3" borderId="0" xfId="0" applyFont="1" applyFill="1" applyAlignment="1">
      <alignment horizontal="center" vertical="center" wrapText="1"/>
    </xf>
    <xf numFmtId="14" fontId="65" fillId="0" borderId="50" xfId="0" applyNumberFormat="1" applyFont="1" applyBorder="1" applyAlignment="1">
      <alignment horizontal="center" vertical="center"/>
    </xf>
    <xf numFmtId="14" fontId="65" fillId="0" borderId="62" xfId="0" applyNumberFormat="1" applyFont="1" applyBorder="1" applyAlignment="1">
      <alignment horizontal="center" vertical="center"/>
    </xf>
    <xf numFmtId="14" fontId="65" fillId="0" borderId="63" xfId="0" applyNumberFormat="1" applyFont="1" applyBorder="1" applyAlignment="1">
      <alignment horizontal="center" vertical="center"/>
    </xf>
    <xf numFmtId="4" fontId="24" fillId="7" borderId="120" xfId="1" applyNumberFormat="1" applyFont="1" applyFill="1" applyBorder="1" applyAlignment="1">
      <alignment horizontal="center" vertical="center"/>
    </xf>
    <xf numFmtId="4" fontId="24" fillId="7" borderId="104" xfId="1" applyNumberFormat="1" applyFont="1" applyFill="1" applyBorder="1" applyAlignment="1">
      <alignment horizontal="center" vertical="center"/>
    </xf>
    <xf numFmtId="4" fontId="24" fillId="7" borderId="130" xfId="1" applyNumberFormat="1" applyFont="1" applyFill="1" applyBorder="1" applyAlignment="1">
      <alignment horizontal="center" vertical="center"/>
    </xf>
    <xf numFmtId="166" fontId="24" fillId="7" borderId="37" xfId="0" applyNumberFormat="1" applyFont="1" applyFill="1" applyBorder="1" applyAlignment="1">
      <alignment horizontal="center" vertical="center"/>
    </xf>
    <xf numFmtId="166" fontId="26" fillId="7" borderId="37" xfId="0" applyNumberFormat="1" applyFont="1" applyFill="1" applyBorder="1" applyAlignment="1">
      <alignment horizontal="center" vertical="center"/>
    </xf>
    <xf numFmtId="0" fontId="62" fillId="5" borderId="37" xfId="0" applyFont="1" applyFill="1" applyBorder="1" applyAlignment="1">
      <alignment horizontal="left" vertical="center" wrapText="1"/>
    </xf>
    <xf numFmtId="0" fontId="61" fillId="3" borderId="37" xfId="0" applyFont="1" applyFill="1" applyBorder="1" applyAlignment="1">
      <alignment horizontal="center" vertical="center" wrapText="1"/>
    </xf>
    <xf numFmtId="0" fontId="61" fillId="6" borderId="37" xfId="0" applyFont="1" applyFill="1" applyBorder="1" applyAlignment="1">
      <alignment horizontal="center" vertical="center" wrapText="1"/>
    </xf>
    <xf numFmtId="0" fontId="77" fillId="3" borderId="100" xfId="0" applyFont="1" applyFill="1" applyBorder="1" applyAlignment="1">
      <alignment horizontal="center" vertical="center" wrapText="1"/>
    </xf>
    <xf numFmtId="0" fontId="77" fillId="3" borderId="134" xfId="0" applyFont="1" applyFill="1" applyBorder="1" applyAlignment="1">
      <alignment horizontal="center" vertical="center" wrapText="1"/>
    </xf>
  </cellXfs>
  <cellStyles count="658">
    <cellStyle name="Comma 2" xfId="230" xr:uid="{00000000-0005-0000-0000-000000000000}"/>
    <cellStyle name="Excel Built-in Normal" xfId="188" xr:uid="{00000000-0005-0000-0000-000001000000}"/>
    <cellStyle name="IvkDocStyle 1" xfId="26" xr:uid="{00000000-0005-0000-0000-000002000000}"/>
    <cellStyle name="IvkDocStyle 1 2" xfId="189" xr:uid="{00000000-0005-0000-0000-000003000000}"/>
    <cellStyle name="IvkDocStyle 10" xfId="27" xr:uid="{00000000-0005-0000-0000-000004000000}"/>
    <cellStyle name="IvkDocStyle 10 2" xfId="190" xr:uid="{00000000-0005-0000-0000-000005000000}"/>
    <cellStyle name="IvkDocStyle 100" xfId="28" xr:uid="{00000000-0005-0000-0000-000006000000}"/>
    <cellStyle name="IvkDocStyle 101" xfId="29" xr:uid="{00000000-0005-0000-0000-000007000000}"/>
    <cellStyle name="IvkDocStyle 102" xfId="30" xr:uid="{00000000-0005-0000-0000-000008000000}"/>
    <cellStyle name="IvkDocStyle 103" xfId="31" xr:uid="{00000000-0005-0000-0000-000009000000}"/>
    <cellStyle name="IvkDocStyle 104" xfId="32" xr:uid="{00000000-0005-0000-0000-00000A000000}"/>
    <cellStyle name="IvkDocStyle 105" xfId="33" xr:uid="{00000000-0005-0000-0000-00000B000000}"/>
    <cellStyle name="IvkDocStyle 106" xfId="34" xr:uid="{00000000-0005-0000-0000-00000C000000}"/>
    <cellStyle name="IvkDocStyle 107" xfId="35" xr:uid="{00000000-0005-0000-0000-00000D000000}"/>
    <cellStyle name="IvkDocStyle 108" xfId="36" xr:uid="{00000000-0005-0000-0000-00000E000000}"/>
    <cellStyle name="IvkDocStyle 109" xfId="37" xr:uid="{00000000-0005-0000-0000-00000F000000}"/>
    <cellStyle name="IvkDocStyle 11" xfId="38" xr:uid="{00000000-0005-0000-0000-000010000000}"/>
    <cellStyle name="IvkDocStyle 11 2" xfId="191" xr:uid="{00000000-0005-0000-0000-000011000000}"/>
    <cellStyle name="IvkDocStyle 110" xfId="39" xr:uid="{00000000-0005-0000-0000-000012000000}"/>
    <cellStyle name="IvkDocStyle 111" xfId="40" xr:uid="{00000000-0005-0000-0000-000013000000}"/>
    <cellStyle name="IvkDocStyle 112" xfId="41" xr:uid="{00000000-0005-0000-0000-000014000000}"/>
    <cellStyle name="IvkDocStyle 113" xfId="42" xr:uid="{00000000-0005-0000-0000-000015000000}"/>
    <cellStyle name="IvkDocStyle 114" xfId="43" xr:uid="{00000000-0005-0000-0000-000016000000}"/>
    <cellStyle name="IvkDocStyle 115" xfId="44" xr:uid="{00000000-0005-0000-0000-000017000000}"/>
    <cellStyle name="IvkDocStyle 116" xfId="45" xr:uid="{00000000-0005-0000-0000-000018000000}"/>
    <cellStyle name="IvkDocStyle 117" xfId="46" xr:uid="{00000000-0005-0000-0000-000019000000}"/>
    <cellStyle name="IvkDocStyle 118" xfId="47" xr:uid="{00000000-0005-0000-0000-00001A000000}"/>
    <cellStyle name="IvkDocStyle 119" xfId="48" xr:uid="{00000000-0005-0000-0000-00001B000000}"/>
    <cellStyle name="IvkDocStyle 12" xfId="49" xr:uid="{00000000-0005-0000-0000-00001C000000}"/>
    <cellStyle name="IvkDocStyle 12 2" xfId="192" xr:uid="{00000000-0005-0000-0000-00001D000000}"/>
    <cellStyle name="IvkDocStyle 120" xfId="50" xr:uid="{00000000-0005-0000-0000-00001E000000}"/>
    <cellStyle name="IvkDocStyle 121" xfId="51" xr:uid="{00000000-0005-0000-0000-00001F000000}"/>
    <cellStyle name="IvkDocStyle 122" xfId="52" xr:uid="{00000000-0005-0000-0000-000020000000}"/>
    <cellStyle name="IvkDocStyle 123" xfId="53" xr:uid="{00000000-0005-0000-0000-000021000000}"/>
    <cellStyle name="IvkDocStyle 124" xfId="54" xr:uid="{00000000-0005-0000-0000-000022000000}"/>
    <cellStyle name="IvkDocStyle 125" xfId="55" xr:uid="{00000000-0005-0000-0000-000023000000}"/>
    <cellStyle name="IvkDocStyle 126" xfId="56" xr:uid="{00000000-0005-0000-0000-000024000000}"/>
    <cellStyle name="IvkDocStyle 127" xfId="57" xr:uid="{00000000-0005-0000-0000-000025000000}"/>
    <cellStyle name="IvkDocStyle 128" xfId="58" xr:uid="{00000000-0005-0000-0000-000026000000}"/>
    <cellStyle name="IvkDocStyle 129" xfId="59" xr:uid="{00000000-0005-0000-0000-000027000000}"/>
    <cellStyle name="IvkDocStyle 13" xfId="60" xr:uid="{00000000-0005-0000-0000-000028000000}"/>
    <cellStyle name="IvkDocStyle 13 2" xfId="193" xr:uid="{00000000-0005-0000-0000-000029000000}"/>
    <cellStyle name="IvkDocStyle 130" xfId="61" xr:uid="{00000000-0005-0000-0000-00002A000000}"/>
    <cellStyle name="IvkDocStyle 131" xfId="62" xr:uid="{00000000-0005-0000-0000-00002B000000}"/>
    <cellStyle name="IvkDocStyle 132" xfId="63" xr:uid="{00000000-0005-0000-0000-00002C000000}"/>
    <cellStyle name="IvkDocStyle 133" xfId="64" xr:uid="{00000000-0005-0000-0000-00002D000000}"/>
    <cellStyle name="IvkDocStyle 134" xfId="65" xr:uid="{00000000-0005-0000-0000-00002E000000}"/>
    <cellStyle name="IvkDocStyle 135" xfId="66" xr:uid="{00000000-0005-0000-0000-00002F000000}"/>
    <cellStyle name="IvkDocStyle 136" xfId="67" xr:uid="{00000000-0005-0000-0000-000030000000}"/>
    <cellStyle name="IvkDocStyle 137" xfId="68" xr:uid="{00000000-0005-0000-0000-000031000000}"/>
    <cellStyle name="IvkDocStyle 138" xfId="69" xr:uid="{00000000-0005-0000-0000-000032000000}"/>
    <cellStyle name="IvkDocStyle 139" xfId="70" xr:uid="{00000000-0005-0000-0000-000033000000}"/>
    <cellStyle name="IvkDocStyle 14" xfId="71" xr:uid="{00000000-0005-0000-0000-000034000000}"/>
    <cellStyle name="IvkDocStyle 140" xfId="72" xr:uid="{00000000-0005-0000-0000-000035000000}"/>
    <cellStyle name="IvkDocStyle 141" xfId="73" xr:uid="{00000000-0005-0000-0000-000036000000}"/>
    <cellStyle name="IvkDocStyle 142" xfId="74" xr:uid="{00000000-0005-0000-0000-000037000000}"/>
    <cellStyle name="IvkDocStyle 143" xfId="75" xr:uid="{00000000-0005-0000-0000-000038000000}"/>
    <cellStyle name="IvkDocStyle 144" xfId="76" xr:uid="{00000000-0005-0000-0000-000039000000}"/>
    <cellStyle name="IvkDocStyle 145" xfId="77" xr:uid="{00000000-0005-0000-0000-00003A000000}"/>
    <cellStyle name="IvkDocStyle 146" xfId="78" xr:uid="{00000000-0005-0000-0000-00003B000000}"/>
    <cellStyle name="IvkDocStyle 147" xfId="79" xr:uid="{00000000-0005-0000-0000-00003C000000}"/>
    <cellStyle name="IvkDocStyle 148" xfId="80" xr:uid="{00000000-0005-0000-0000-00003D000000}"/>
    <cellStyle name="IvkDocStyle 149" xfId="81" xr:uid="{00000000-0005-0000-0000-00003E000000}"/>
    <cellStyle name="IvkDocStyle 15" xfId="82" xr:uid="{00000000-0005-0000-0000-00003F000000}"/>
    <cellStyle name="IvkDocStyle 150" xfId="83" xr:uid="{00000000-0005-0000-0000-000040000000}"/>
    <cellStyle name="IvkDocStyle 151" xfId="84" xr:uid="{00000000-0005-0000-0000-000041000000}"/>
    <cellStyle name="IvkDocStyle 152" xfId="85" xr:uid="{00000000-0005-0000-0000-000042000000}"/>
    <cellStyle name="IvkDocStyle 153" xfId="86" xr:uid="{00000000-0005-0000-0000-000043000000}"/>
    <cellStyle name="IvkDocStyle 154" xfId="87" xr:uid="{00000000-0005-0000-0000-000044000000}"/>
    <cellStyle name="IvkDocStyle 155" xfId="88" xr:uid="{00000000-0005-0000-0000-000045000000}"/>
    <cellStyle name="IvkDocStyle 156" xfId="89" xr:uid="{00000000-0005-0000-0000-000046000000}"/>
    <cellStyle name="IvkDocStyle 157" xfId="90" xr:uid="{00000000-0005-0000-0000-000047000000}"/>
    <cellStyle name="IvkDocStyle 16" xfId="91" xr:uid="{00000000-0005-0000-0000-000048000000}"/>
    <cellStyle name="IvkDocStyle 17" xfId="92" xr:uid="{00000000-0005-0000-0000-000049000000}"/>
    <cellStyle name="IvkDocStyle 18" xfId="93" xr:uid="{00000000-0005-0000-0000-00004A000000}"/>
    <cellStyle name="IvkDocStyle 19" xfId="94" xr:uid="{00000000-0005-0000-0000-00004B000000}"/>
    <cellStyle name="IvkDocStyle 19 2" xfId="194" xr:uid="{00000000-0005-0000-0000-00004C000000}"/>
    <cellStyle name="IvkDocStyle 2" xfId="95" xr:uid="{00000000-0005-0000-0000-00004D000000}"/>
    <cellStyle name="IvkDocStyle 2 2" xfId="195" xr:uid="{00000000-0005-0000-0000-00004E000000}"/>
    <cellStyle name="IvkDocStyle 20" xfId="96" xr:uid="{00000000-0005-0000-0000-00004F000000}"/>
    <cellStyle name="IvkDocStyle 20 2" xfId="196" xr:uid="{00000000-0005-0000-0000-000050000000}"/>
    <cellStyle name="IvkDocStyle 21" xfId="97" xr:uid="{00000000-0005-0000-0000-000051000000}"/>
    <cellStyle name="IvkDocStyle 21 2" xfId="197" xr:uid="{00000000-0005-0000-0000-000052000000}"/>
    <cellStyle name="IvkDocStyle 22" xfId="98" xr:uid="{00000000-0005-0000-0000-000053000000}"/>
    <cellStyle name="IvkDocStyle 22 2" xfId="198" xr:uid="{00000000-0005-0000-0000-000054000000}"/>
    <cellStyle name="IvkDocStyle 23" xfId="99" xr:uid="{00000000-0005-0000-0000-000055000000}"/>
    <cellStyle name="IvkDocStyle 23 2" xfId="199" xr:uid="{00000000-0005-0000-0000-000056000000}"/>
    <cellStyle name="IvkDocStyle 24" xfId="100" xr:uid="{00000000-0005-0000-0000-000057000000}"/>
    <cellStyle name="IvkDocStyle 24 2" xfId="200" xr:uid="{00000000-0005-0000-0000-000058000000}"/>
    <cellStyle name="IvkDocStyle 25" xfId="101" xr:uid="{00000000-0005-0000-0000-000059000000}"/>
    <cellStyle name="IvkDocStyle 25 2" xfId="201" xr:uid="{00000000-0005-0000-0000-00005A000000}"/>
    <cellStyle name="IvkDocStyle 26" xfId="102" xr:uid="{00000000-0005-0000-0000-00005B000000}"/>
    <cellStyle name="IvkDocStyle 26 2" xfId="202" xr:uid="{00000000-0005-0000-0000-00005C000000}"/>
    <cellStyle name="IvkDocStyle 27" xfId="103" xr:uid="{00000000-0005-0000-0000-00005D000000}"/>
    <cellStyle name="IvkDocStyle 27 2" xfId="203" xr:uid="{00000000-0005-0000-0000-00005E000000}"/>
    <cellStyle name="IvkDocStyle 28" xfId="104" xr:uid="{00000000-0005-0000-0000-00005F000000}"/>
    <cellStyle name="IvkDocStyle 28 2" xfId="204" xr:uid="{00000000-0005-0000-0000-000060000000}"/>
    <cellStyle name="IvkDocStyle 29" xfId="105" xr:uid="{00000000-0005-0000-0000-000061000000}"/>
    <cellStyle name="IvkDocStyle 29 2" xfId="205" xr:uid="{00000000-0005-0000-0000-000062000000}"/>
    <cellStyle name="IvkDocStyle 3" xfId="106" xr:uid="{00000000-0005-0000-0000-000063000000}"/>
    <cellStyle name="IvkDocStyle 3 2" xfId="206" xr:uid="{00000000-0005-0000-0000-000064000000}"/>
    <cellStyle name="IvkDocStyle 30" xfId="107" xr:uid="{00000000-0005-0000-0000-000065000000}"/>
    <cellStyle name="IvkDocStyle 30 2" xfId="207" xr:uid="{00000000-0005-0000-0000-000066000000}"/>
    <cellStyle name="IvkDocStyle 31" xfId="108" xr:uid="{00000000-0005-0000-0000-000067000000}"/>
    <cellStyle name="IvkDocStyle 31 2" xfId="208" xr:uid="{00000000-0005-0000-0000-000068000000}"/>
    <cellStyle name="IvkDocStyle 32" xfId="109" xr:uid="{00000000-0005-0000-0000-000069000000}"/>
    <cellStyle name="IvkDocStyle 32 2" xfId="209" xr:uid="{00000000-0005-0000-0000-00006A000000}"/>
    <cellStyle name="IvkDocStyle 33" xfId="110" xr:uid="{00000000-0005-0000-0000-00006B000000}"/>
    <cellStyle name="IvkDocStyle 33 2" xfId="210" xr:uid="{00000000-0005-0000-0000-00006C000000}"/>
    <cellStyle name="IvkDocStyle 34" xfId="111" xr:uid="{00000000-0005-0000-0000-00006D000000}"/>
    <cellStyle name="IvkDocStyle 34 2" xfId="211" xr:uid="{00000000-0005-0000-0000-00006E000000}"/>
    <cellStyle name="IvkDocStyle 35" xfId="112" xr:uid="{00000000-0005-0000-0000-00006F000000}"/>
    <cellStyle name="IvkDocStyle 35 2" xfId="212" xr:uid="{00000000-0005-0000-0000-000070000000}"/>
    <cellStyle name="IvkDocStyle 36" xfId="113" xr:uid="{00000000-0005-0000-0000-000071000000}"/>
    <cellStyle name="IvkDocStyle 36 2" xfId="213" xr:uid="{00000000-0005-0000-0000-000072000000}"/>
    <cellStyle name="IvkDocStyle 37" xfId="114" xr:uid="{00000000-0005-0000-0000-000073000000}"/>
    <cellStyle name="IvkDocStyle 38" xfId="115" xr:uid="{00000000-0005-0000-0000-000074000000}"/>
    <cellStyle name="IvkDocStyle 39" xfId="116" xr:uid="{00000000-0005-0000-0000-000075000000}"/>
    <cellStyle name="IvkDocStyle 39 2" xfId="214" xr:uid="{00000000-0005-0000-0000-000076000000}"/>
    <cellStyle name="IvkDocStyle 4" xfId="117" xr:uid="{00000000-0005-0000-0000-000077000000}"/>
    <cellStyle name="IvkDocStyle 4 2" xfId="215" xr:uid="{00000000-0005-0000-0000-000078000000}"/>
    <cellStyle name="IvkDocStyle 40" xfId="118" xr:uid="{00000000-0005-0000-0000-000079000000}"/>
    <cellStyle name="IvkDocStyle 41" xfId="119" xr:uid="{00000000-0005-0000-0000-00007A000000}"/>
    <cellStyle name="IvkDocStyle 42" xfId="120" xr:uid="{00000000-0005-0000-0000-00007B000000}"/>
    <cellStyle name="IvkDocStyle 43" xfId="121" xr:uid="{00000000-0005-0000-0000-00007C000000}"/>
    <cellStyle name="IvkDocStyle 44" xfId="122" xr:uid="{00000000-0005-0000-0000-00007D000000}"/>
    <cellStyle name="IvkDocStyle 45" xfId="123" xr:uid="{00000000-0005-0000-0000-00007E000000}"/>
    <cellStyle name="IvkDocStyle 46" xfId="124" xr:uid="{00000000-0005-0000-0000-00007F000000}"/>
    <cellStyle name="IvkDocStyle 47" xfId="125" xr:uid="{00000000-0005-0000-0000-000080000000}"/>
    <cellStyle name="IvkDocStyle 48" xfId="126" xr:uid="{00000000-0005-0000-0000-000081000000}"/>
    <cellStyle name="IvkDocStyle 49" xfId="127" xr:uid="{00000000-0005-0000-0000-000082000000}"/>
    <cellStyle name="IvkDocStyle 5" xfId="128" xr:uid="{00000000-0005-0000-0000-000083000000}"/>
    <cellStyle name="IvkDocStyle 5 2" xfId="216" xr:uid="{00000000-0005-0000-0000-000084000000}"/>
    <cellStyle name="IvkDocStyle 50" xfId="129" xr:uid="{00000000-0005-0000-0000-000085000000}"/>
    <cellStyle name="IvkDocStyle 51" xfId="130" xr:uid="{00000000-0005-0000-0000-000086000000}"/>
    <cellStyle name="IvkDocStyle 52" xfId="131" xr:uid="{00000000-0005-0000-0000-000087000000}"/>
    <cellStyle name="IvkDocStyle 53" xfId="132" xr:uid="{00000000-0005-0000-0000-000088000000}"/>
    <cellStyle name="IvkDocStyle 54" xfId="133" xr:uid="{00000000-0005-0000-0000-000089000000}"/>
    <cellStyle name="IvkDocStyle 55" xfId="134" xr:uid="{00000000-0005-0000-0000-00008A000000}"/>
    <cellStyle name="IvkDocStyle 56" xfId="135" xr:uid="{00000000-0005-0000-0000-00008B000000}"/>
    <cellStyle name="IvkDocStyle 57" xfId="136" xr:uid="{00000000-0005-0000-0000-00008C000000}"/>
    <cellStyle name="IvkDocStyle 58" xfId="137" xr:uid="{00000000-0005-0000-0000-00008D000000}"/>
    <cellStyle name="IvkDocStyle 59" xfId="138" xr:uid="{00000000-0005-0000-0000-00008E000000}"/>
    <cellStyle name="IvkDocStyle 6" xfId="139" xr:uid="{00000000-0005-0000-0000-00008F000000}"/>
    <cellStyle name="IvkDocStyle 6 2" xfId="217" xr:uid="{00000000-0005-0000-0000-000090000000}"/>
    <cellStyle name="IvkDocStyle 60" xfId="140" xr:uid="{00000000-0005-0000-0000-000091000000}"/>
    <cellStyle name="IvkDocStyle 61" xfId="141" xr:uid="{00000000-0005-0000-0000-000092000000}"/>
    <cellStyle name="IvkDocStyle 62" xfId="142" xr:uid="{00000000-0005-0000-0000-000093000000}"/>
    <cellStyle name="IvkDocStyle 63" xfId="143" xr:uid="{00000000-0005-0000-0000-000094000000}"/>
    <cellStyle name="IvkDocStyle 64" xfId="144" xr:uid="{00000000-0005-0000-0000-000095000000}"/>
    <cellStyle name="IvkDocStyle 65" xfId="145" xr:uid="{00000000-0005-0000-0000-000096000000}"/>
    <cellStyle name="IvkDocStyle 66" xfId="146" xr:uid="{00000000-0005-0000-0000-000097000000}"/>
    <cellStyle name="IvkDocStyle 67" xfId="147" xr:uid="{00000000-0005-0000-0000-000098000000}"/>
    <cellStyle name="IvkDocStyle 68" xfId="148" xr:uid="{00000000-0005-0000-0000-000099000000}"/>
    <cellStyle name="IvkDocStyle 69" xfId="149" xr:uid="{00000000-0005-0000-0000-00009A000000}"/>
    <cellStyle name="IvkDocStyle 7" xfId="150" xr:uid="{00000000-0005-0000-0000-00009B000000}"/>
    <cellStyle name="IvkDocStyle 7 2" xfId="218" xr:uid="{00000000-0005-0000-0000-00009C000000}"/>
    <cellStyle name="IvkDocStyle 70" xfId="151" xr:uid="{00000000-0005-0000-0000-00009D000000}"/>
    <cellStyle name="IvkDocStyle 71" xfId="152" xr:uid="{00000000-0005-0000-0000-00009E000000}"/>
    <cellStyle name="IvkDocStyle 72" xfId="153" xr:uid="{00000000-0005-0000-0000-00009F000000}"/>
    <cellStyle name="IvkDocStyle 73" xfId="154" xr:uid="{00000000-0005-0000-0000-0000A0000000}"/>
    <cellStyle name="IvkDocStyle 74" xfId="155" xr:uid="{00000000-0005-0000-0000-0000A1000000}"/>
    <cellStyle name="IvkDocStyle 75" xfId="156" xr:uid="{00000000-0005-0000-0000-0000A2000000}"/>
    <cellStyle name="IvkDocStyle 76" xfId="157" xr:uid="{00000000-0005-0000-0000-0000A3000000}"/>
    <cellStyle name="IvkDocStyle 77" xfId="158" xr:uid="{00000000-0005-0000-0000-0000A4000000}"/>
    <cellStyle name="IvkDocStyle 78" xfId="159" xr:uid="{00000000-0005-0000-0000-0000A5000000}"/>
    <cellStyle name="IvkDocStyle 79" xfId="160" xr:uid="{00000000-0005-0000-0000-0000A6000000}"/>
    <cellStyle name="IvkDocStyle 8" xfId="161" xr:uid="{00000000-0005-0000-0000-0000A7000000}"/>
    <cellStyle name="IvkDocStyle 80" xfId="162" xr:uid="{00000000-0005-0000-0000-0000A8000000}"/>
    <cellStyle name="IvkDocStyle 81" xfId="163" xr:uid="{00000000-0005-0000-0000-0000A9000000}"/>
    <cellStyle name="IvkDocStyle 82" xfId="164" xr:uid="{00000000-0005-0000-0000-0000AA000000}"/>
    <cellStyle name="IvkDocStyle 83" xfId="165" xr:uid="{00000000-0005-0000-0000-0000AB000000}"/>
    <cellStyle name="IvkDocStyle 84" xfId="166" xr:uid="{00000000-0005-0000-0000-0000AC000000}"/>
    <cellStyle name="IvkDocStyle 85" xfId="167" xr:uid="{00000000-0005-0000-0000-0000AD000000}"/>
    <cellStyle name="IvkDocStyle 86" xfId="168" xr:uid="{00000000-0005-0000-0000-0000AE000000}"/>
    <cellStyle name="IvkDocStyle 87" xfId="169" xr:uid="{00000000-0005-0000-0000-0000AF000000}"/>
    <cellStyle name="IvkDocStyle 88" xfId="170" xr:uid="{00000000-0005-0000-0000-0000B0000000}"/>
    <cellStyle name="IvkDocStyle 89" xfId="171" xr:uid="{00000000-0005-0000-0000-0000B1000000}"/>
    <cellStyle name="IvkDocStyle 9" xfId="172" xr:uid="{00000000-0005-0000-0000-0000B2000000}"/>
    <cellStyle name="IvkDocStyle 9 2" xfId="219" xr:uid="{00000000-0005-0000-0000-0000B3000000}"/>
    <cellStyle name="IvkDocStyle 90" xfId="173" xr:uid="{00000000-0005-0000-0000-0000B4000000}"/>
    <cellStyle name="IvkDocStyle 91" xfId="174" xr:uid="{00000000-0005-0000-0000-0000B5000000}"/>
    <cellStyle name="IvkDocStyle 92" xfId="175" xr:uid="{00000000-0005-0000-0000-0000B6000000}"/>
    <cellStyle name="IvkDocStyle 93" xfId="176" xr:uid="{00000000-0005-0000-0000-0000B7000000}"/>
    <cellStyle name="IvkDocStyle 94" xfId="177" xr:uid="{00000000-0005-0000-0000-0000B8000000}"/>
    <cellStyle name="IvkDocStyle 95" xfId="178" xr:uid="{00000000-0005-0000-0000-0000B9000000}"/>
    <cellStyle name="IvkDocStyle 96" xfId="179" xr:uid="{00000000-0005-0000-0000-0000BA000000}"/>
    <cellStyle name="IvkDocStyle 97" xfId="180" xr:uid="{00000000-0005-0000-0000-0000BB000000}"/>
    <cellStyle name="IvkDocStyle 98" xfId="181" xr:uid="{00000000-0005-0000-0000-0000BC000000}"/>
    <cellStyle name="IvkDocStyle 99" xfId="182" xr:uid="{00000000-0005-0000-0000-0000BD000000}"/>
    <cellStyle name="Normal 2" xfId="222" xr:uid="{00000000-0005-0000-0000-0000BE000000}"/>
    <cellStyle name="Normal 3" xfId="229" xr:uid="{00000000-0005-0000-0000-0000BF000000}"/>
    <cellStyle name="Normal_Cost Plan Alupka -- Notes -- Issue 1" xfId="236" xr:uid="{00000000-0005-0000-0000-0000C0000000}"/>
    <cellStyle name="TableStyleLight1 2" xfId="246" xr:uid="{00000000-0005-0000-0000-0000C1000000}"/>
    <cellStyle name="TableStyleLight1_первоначальные работы" xfId="223" xr:uid="{00000000-0005-0000-0000-0000C2000000}"/>
    <cellStyle name="Обычный" xfId="0" builtinId="0"/>
    <cellStyle name="Обычный 10" xfId="21" xr:uid="{00000000-0005-0000-0000-0000C4000000}"/>
    <cellStyle name="Обычный 10 2" xfId="245" xr:uid="{00000000-0005-0000-0000-0000C5000000}"/>
    <cellStyle name="Обычный 10 3" xfId="242" xr:uid="{00000000-0005-0000-0000-0000C6000000}"/>
    <cellStyle name="Обычный 10 4" xfId="294" xr:uid="{00000000-0005-0000-0000-0000C7000000}"/>
    <cellStyle name="Обычный 10 4 2" xfId="401" xr:uid="{CF6EE337-4D0A-43B3-A78A-6F694014C1F4}"/>
    <cellStyle name="Обычный 10 4 2 2" xfId="609" xr:uid="{AD87B92B-868A-4CB7-8910-8F93DCFFF13D}"/>
    <cellStyle name="Обычный 10 4 3" xfId="507" xr:uid="{37B7B69D-A9A1-47A7-A4BF-035DF6C5FF3A}"/>
    <cellStyle name="Обычный 10 5" xfId="358" xr:uid="{FCD7715D-BA59-4209-A9FD-2B0E3DC37EB5}"/>
    <cellStyle name="Обычный 10 5 2" xfId="566" xr:uid="{044E3D6E-D98F-4A60-9D79-D018AB3F4441}"/>
    <cellStyle name="Обычный 10 6" xfId="464" xr:uid="{D6875DDE-E24C-4CD3-B832-62D7D70509E4}"/>
    <cellStyle name="Обычный 11" xfId="22" xr:uid="{00000000-0005-0000-0000-0000C8000000}"/>
    <cellStyle name="Обычный 11 2" xfId="243" xr:uid="{00000000-0005-0000-0000-0000C9000000}"/>
    <cellStyle name="Обычный 12" xfId="25" xr:uid="{00000000-0005-0000-0000-0000CA000000}"/>
    <cellStyle name="Обычный 12 2" xfId="296" xr:uid="{00000000-0005-0000-0000-0000CB000000}"/>
    <cellStyle name="Обычный 12 2 2" xfId="403" xr:uid="{3D793F3F-3137-4C2A-8B48-2C048F523AFC}"/>
    <cellStyle name="Обычный 12 2 2 2" xfId="611" xr:uid="{77F45AE9-2C90-4ECE-91F2-1F105D63ECAB}"/>
    <cellStyle name="Обычный 12 2 3" xfId="509" xr:uid="{E6F92ABE-FE8C-48DB-82A4-DC9DD56C204C}"/>
    <cellStyle name="Обычный 12 3" xfId="340" xr:uid="{00000000-0005-0000-0000-0000CC000000}"/>
    <cellStyle name="Обычный 12 3 2" xfId="445" xr:uid="{D7C5E6A0-6CB4-49E5-99F7-FF7B364DFB7B}"/>
    <cellStyle name="Обычный 12 3 2 2" xfId="653" xr:uid="{32E057AB-9395-4CBE-810F-89E6EB344BD2}"/>
    <cellStyle name="Обычный 12 3 3" xfId="551" xr:uid="{AC787110-0967-4754-8901-07CCD13FA562}"/>
    <cellStyle name="Обычный 12 4" xfId="360" xr:uid="{0C9C3630-C932-43B1-AF60-685195D612C7}"/>
    <cellStyle name="Обычный 12 4 2" xfId="568" xr:uid="{8AF133EB-DE41-4ABE-8759-A0E9874BAB10}"/>
    <cellStyle name="Обычный 12 5" xfId="466" xr:uid="{C329C07C-751B-4914-A47D-73A48EAA7CBC}"/>
    <cellStyle name="Обычный 13" xfId="187" xr:uid="{00000000-0005-0000-0000-0000CD000000}"/>
    <cellStyle name="Обычный 13 2" xfId="186" xr:uid="{00000000-0005-0000-0000-0000CE000000}"/>
    <cellStyle name="Обычный 13 2 2" xfId="262" xr:uid="{00000000-0005-0000-0000-0000CF000000}"/>
    <cellStyle name="Обычный 13 2 2 2" xfId="272" xr:uid="{00000000-0005-0000-0000-0000D0000000}"/>
    <cellStyle name="Обычный 13 2 2 2 2" xfId="319" xr:uid="{00000000-0005-0000-0000-0000D1000000}"/>
    <cellStyle name="Обычный 13 2 2 2 2 2" xfId="338" xr:uid="{00000000-0005-0000-0000-0000D2000000}"/>
    <cellStyle name="Обычный 13 2 2 2 2 2 2" xfId="443" xr:uid="{8F48639C-0979-4F68-BAF7-1E4E8B9F385B}"/>
    <cellStyle name="Обычный 13 2 2 2 2 2 2 2" xfId="651" xr:uid="{B8EBB527-4837-40BE-91F6-88E711CCDF17}"/>
    <cellStyle name="Обычный 13 2 2 2 2 2 3" xfId="549" xr:uid="{5015E803-1328-4065-BEC6-FDC54E315A78}"/>
    <cellStyle name="Обычный 13 2 2 2 2 3" xfId="330" xr:uid="{00000000-0005-0000-0000-0000D3000000}"/>
    <cellStyle name="Обычный 13 2 2 2 2 3 2" xfId="437" xr:uid="{8759D7B7-ED40-4851-B49A-6715D9545507}"/>
    <cellStyle name="Обычный 13 2 2 2 2 3 2 2" xfId="645" xr:uid="{0F476FA2-D193-42A9-AA9C-2546440BFECA}"/>
    <cellStyle name="Обычный 13 2 2 2 2 3 3" xfId="543" xr:uid="{3AE9729E-5F75-4CA3-90DA-8F829329CB12}"/>
    <cellStyle name="Обычный 13 2 2 2 2 4" xfId="426" xr:uid="{21C2F328-D879-419C-AE5F-6638564BCDB8}"/>
    <cellStyle name="Обычный 13 2 2 2 2 4 2" xfId="634" xr:uid="{12485AA7-366A-48E9-90B9-F002BF648DCB}"/>
    <cellStyle name="Обычный 13 2 2 2 2 5" xfId="532" xr:uid="{5DB6501E-B577-4082-97F4-93458E94D3CE}"/>
    <cellStyle name="Обычный 13 2 2 2 3" xfId="335" xr:uid="{00000000-0005-0000-0000-0000D4000000}"/>
    <cellStyle name="Обычный 13 2 2 2 3 2" xfId="440" xr:uid="{D505D42A-27C6-4F29-BC97-8F9EA5C25068}"/>
    <cellStyle name="Обычный 13 2 2 2 3 2 2" xfId="648" xr:uid="{BC952722-6A9A-44F7-A9F0-86213C13AE65}"/>
    <cellStyle name="Обычный 13 2 2 2 3 3" xfId="546" xr:uid="{1C38F486-37A4-4002-A033-893F36C39F30}"/>
    <cellStyle name="Обычный 13 2 2 2 4" xfId="327" xr:uid="{00000000-0005-0000-0000-0000D5000000}"/>
    <cellStyle name="Обычный 13 2 2 2 4 2" xfId="434" xr:uid="{8AAD5390-E42E-438C-A6AF-7BF73B7E2D0B}"/>
    <cellStyle name="Обычный 13 2 2 2 4 2 2" xfId="642" xr:uid="{3E56AD72-94BB-43B2-BA46-0239396CD01E}"/>
    <cellStyle name="Обычный 13 2 2 2 4 3" xfId="540" xr:uid="{B2E5AA83-F663-40CB-A01A-AAF5EB601279}"/>
    <cellStyle name="Обычный 13 2 2 2 5" xfId="383" xr:uid="{DD7DEAB3-C882-4F9D-88C7-D6F308E75968}"/>
    <cellStyle name="Обычный 13 2 2 2 5 2" xfId="591" xr:uid="{DD639C69-5086-4EED-A5AC-E2F8EB2B96BF}"/>
    <cellStyle name="Обычный 13 2 2 2 6" xfId="489" xr:uid="{89AF3735-67FA-4F62-B2FF-9A3060F2DAB9}"/>
    <cellStyle name="Обычный 13 2 2 3" xfId="313" xr:uid="{00000000-0005-0000-0000-0000D6000000}"/>
    <cellStyle name="Обычный 13 2 2 3 2" xfId="420" xr:uid="{E53EED08-C74D-4825-AE22-8E56D6C6D16E}"/>
    <cellStyle name="Обычный 13 2 2 3 2 2" xfId="628" xr:uid="{E1C69734-D9F3-4E48-80CA-4E6BA5745B56}"/>
    <cellStyle name="Обычный 13 2 2 3 3" xfId="526" xr:uid="{76776D34-FD35-4818-862E-7D6319EBC358}"/>
    <cellStyle name="Обычный 13 2 2 4" xfId="377" xr:uid="{BBC0F6E3-C7B4-4C00-921D-906F81DF03C2}"/>
    <cellStyle name="Обычный 13 2 2 4 2" xfId="585" xr:uid="{F281C33E-6985-4FC8-94E7-B496997665A3}"/>
    <cellStyle name="Обычный 13 2 2 5" xfId="483" xr:uid="{62615937-565F-405B-AEB4-6B483A1E65DE}"/>
    <cellStyle name="Обычный 13 2 3" xfId="258" xr:uid="{00000000-0005-0000-0000-0000D7000000}"/>
    <cellStyle name="Обычный 13 2 3 2" xfId="309" xr:uid="{00000000-0005-0000-0000-0000D8000000}"/>
    <cellStyle name="Обычный 13 2 3 2 2" xfId="416" xr:uid="{9096946B-7F33-4278-94D4-8D692979E263}"/>
    <cellStyle name="Обычный 13 2 3 2 2 2" xfId="624" xr:uid="{EA8FE372-51C8-42A6-BCD6-A401FD9CEA06}"/>
    <cellStyle name="Обычный 13 2 3 2 3" xfId="522" xr:uid="{DD6BAAE6-6DCB-4B61-9671-DE42D4713E4D}"/>
    <cellStyle name="Обычный 13 2 3 3" xfId="373" xr:uid="{94C5C8E4-40FB-4920-90EE-F2FD62D1A10D}"/>
    <cellStyle name="Обычный 13 2 3 3 2" xfId="581" xr:uid="{D0F15B36-C744-4FF0-AD0C-9CA67DFF8F7B}"/>
    <cellStyle name="Обычный 13 2 3 4" xfId="479" xr:uid="{71FE9C56-6249-4941-AEA9-B4C65542B812}"/>
    <cellStyle name="Обычный 13 2 4" xfId="300" xr:uid="{00000000-0005-0000-0000-0000D9000000}"/>
    <cellStyle name="Обычный 13 2 4 2" xfId="407" xr:uid="{CA4F0B77-D2D1-463E-88CC-B505DD40600F}"/>
    <cellStyle name="Обычный 13 2 4 2 2" xfId="615" xr:uid="{324336D5-5FF3-4B2D-B220-9C9A8B755B4C}"/>
    <cellStyle name="Обычный 13 2 4 3" xfId="513" xr:uid="{15E45BDA-B566-481F-A770-67648BC3D996}"/>
    <cellStyle name="Обычный 13 2 5" xfId="364" xr:uid="{660D2447-C19A-4779-98AE-914A77DB4A8D}"/>
    <cellStyle name="Обычный 13 2 5 2" xfId="572" xr:uid="{A3996A33-D628-4375-B270-73B984AABBE3}"/>
    <cellStyle name="Обычный 13 2 6" xfId="470" xr:uid="{4620AA62-D69F-48C3-A30D-9FCE63EC9F57}"/>
    <cellStyle name="Обычный 13 3" xfId="185" xr:uid="{00000000-0005-0000-0000-0000DA000000}"/>
    <cellStyle name="Обычный 13 3 2" xfId="252" xr:uid="{00000000-0005-0000-0000-0000DB000000}"/>
    <cellStyle name="Обычный 13 3 2 2" xfId="304" xr:uid="{00000000-0005-0000-0000-0000DC000000}"/>
    <cellStyle name="Обычный 13 3 2 2 2" xfId="336" xr:uid="{00000000-0005-0000-0000-0000DD000000}"/>
    <cellStyle name="Обычный 13 3 2 2 2 2" xfId="441" xr:uid="{94DBA15E-49B0-4A05-A990-C15F3DF67E7B}"/>
    <cellStyle name="Обычный 13 3 2 2 2 2 2" xfId="649" xr:uid="{89E6869B-75E2-4757-A469-2F644ACA24A2}"/>
    <cellStyle name="Обычный 13 3 2 2 2 3" xfId="547" xr:uid="{6E9BE2DE-EABE-4361-A39F-06797D6A7FEF}"/>
    <cellStyle name="Обычный 13 3 2 2 3" xfId="328" xr:uid="{00000000-0005-0000-0000-0000DE000000}"/>
    <cellStyle name="Обычный 13 3 2 2 3 2" xfId="435" xr:uid="{E60ED8B8-6409-4B88-BB89-16282C654458}"/>
    <cellStyle name="Обычный 13 3 2 2 3 2 2" xfId="643" xr:uid="{79AAED5B-67FE-43A5-9483-E5E69C2E4E4A}"/>
    <cellStyle name="Обычный 13 3 2 2 3 3" xfId="541" xr:uid="{3AD919D2-C55C-45F4-B3C5-00E5F099E83A}"/>
    <cellStyle name="Обычный 13 3 2 2 4" xfId="411" xr:uid="{8F27AB02-6059-49C1-940F-EFBD3BC4383A}"/>
    <cellStyle name="Обычный 13 3 2 2 4 2" xfId="619" xr:uid="{402AD796-B858-489A-B112-703000558A9E}"/>
    <cellStyle name="Обычный 13 3 2 2 5" xfId="517" xr:uid="{9739928C-1477-42EE-95EB-2371806C109A}"/>
    <cellStyle name="Обычный 13 3 2 3" xfId="333" xr:uid="{00000000-0005-0000-0000-0000DF000000}"/>
    <cellStyle name="Обычный 13 3 2 3 2" xfId="438" xr:uid="{F8DC7572-8755-4BEB-8E02-BC68C7A45201}"/>
    <cellStyle name="Обычный 13 3 2 3 2 2" xfId="646" xr:uid="{9935E0A7-C8A2-43D4-8536-14F81F570777}"/>
    <cellStyle name="Обычный 13 3 2 3 3" xfId="544" xr:uid="{B71D8672-8420-4145-A4E9-A8C199AB6B06}"/>
    <cellStyle name="Обычный 13 3 2 4" xfId="325" xr:uid="{00000000-0005-0000-0000-0000E0000000}"/>
    <cellStyle name="Обычный 13 3 2 4 2" xfId="432" xr:uid="{BE033CB8-712F-4EAD-BF03-412C51DF4EF7}"/>
    <cellStyle name="Обычный 13 3 2 4 2 2" xfId="640" xr:uid="{69B5FF34-7C8D-4D79-B31A-CB97B2FF2C05}"/>
    <cellStyle name="Обычный 13 3 2 4 3" xfId="538" xr:uid="{BC679835-A85F-49A0-B05C-A88E724208FF}"/>
    <cellStyle name="Обычный 13 3 2 5" xfId="344" xr:uid="{00000000-0005-0000-0000-0000E1000000}"/>
    <cellStyle name="Обычный 13 3 2 5 2" xfId="446" xr:uid="{58897BC2-760E-411C-93E1-81C21894A681}"/>
    <cellStyle name="Обычный 13 3 2 5 2 2" xfId="654" xr:uid="{67DF167C-7F75-460E-B4F4-29AA7D0AFFA3}"/>
    <cellStyle name="Обычный 13 3 2 5 3" xfId="552" xr:uid="{655DB809-2E70-4698-8143-3630EE8CCF17}"/>
    <cellStyle name="Обычный 13 3 2 6" xfId="345" xr:uid="{00000000-0005-0000-0000-0000E2000000}"/>
    <cellStyle name="Обычный 13 3 2 6 2" xfId="447" xr:uid="{D70FA923-E960-40AF-BFA9-7DCB74F0E8F9}"/>
    <cellStyle name="Обычный 13 3 2 6 2 2" xfId="655" xr:uid="{A4BA64EA-E51A-43C7-9660-0E83C5AAF8B0}"/>
    <cellStyle name="Обычный 13 3 2 6 3" xfId="553" xr:uid="{F73DDC1F-B565-4D3B-88CB-67810D987EC3}"/>
    <cellStyle name="Обычный 13 3 2 7" xfId="368" xr:uid="{0927DB4D-4DDB-48A5-B56A-AD395C070E9B}"/>
    <cellStyle name="Обычный 13 3 2 7 2" xfId="576" xr:uid="{B8CFE743-B1A1-433A-A4A9-A0A0C8F5895F}"/>
    <cellStyle name="Обычный 13 3 2 8" xfId="474" xr:uid="{0017F95F-3E78-4E8E-8C58-3E0D9F9EFA3B}"/>
    <cellStyle name="Обычный 13 3 3" xfId="299" xr:uid="{00000000-0005-0000-0000-0000E3000000}"/>
    <cellStyle name="Обычный 13 3 3 2" xfId="406" xr:uid="{394839D8-FC12-46F9-8EC6-7F3415FC323A}"/>
    <cellStyle name="Обычный 13 3 3 2 2" xfId="614" xr:uid="{8DDEFCCA-C08D-4476-B5E2-EAD03642EDA3}"/>
    <cellStyle name="Обычный 13 3 3 3" xfId="512" xr:uid="{A1CBF93E-6049-4676-814D-1C8B54D755E3}"/>
    <cellStyle name="Обычный 13 3 4" xfId="363" xr:uid="{5F3795C7-8B04-4D91-976C-CFB5BD544D45}"/>
    <cellStyle name="Обычный 13 3 4 2" xfId="571" xr:uid="{14920D42-0DF6-40B3-BB2F-3875B19492AB}"/>
    <cellStyle name="Обычный 13 3 5" xfId="469" xr:uid="{177DA596-9381-4F23-8C48-258D9A3B22D7}"/>
    <cellStyle name="Обычный 13 4" xfId="255" xr:uid="{00000000-0005-0000-0000-0000E4000000}"/>
    <cellStyle name="Обычный 13 4 2" xfId="306" xr:uid="{00000000-0005-0000-0000-0000E5000000}"/>
    <cellStyle name="Обычный 13 4 2 2" xfId="413" xr:uid="{03CAA961-3B30-4B86-83E6-DBE783AA7BB2}"/>
    <cellStyle name="Обычный 13 4 2 2 2" xfId="621" xr:uid="{65F96E8B-2BDA-4F73-90B5-4D59D03066FD}"/>
    <cellStyle name="Обычный 13 4 2 3" xfId="519" xr:uid="{910ECDEC-6AE9-4B1E-B971-5D98460B51BD}"/>
    <cellStyle name="Обычный 13 4 3" xfId="370" xr:uid="{11311E8B-018F-45E5-881D-CF6D0C56B2B7}"/>
    <cellStyle name="Обычный 13 4 3 2" xfId="578" xr:uid="{21EB0A9B-5AAC-4164-9630-1CE03B8F4439}"/>
    <cellStyle name="Обычный 13 4 4" xfId="476" xr:uid="{4F23645F-4AFC-4933-8B06-97BFB2951402}"/>
    <cellStyle name="Обычный 13 5" xfId="301" xr:uid="{00000000-0005-0000-0000-0000E6000000}"/>
    <cellStyle name="Обычный 13 5 2" xfId="408" xr:uid="{C5AF4C14-C5CA-4D69-BDA6-0D9716B1AF8E}"/>
    <cellStyle name="Обычный 13 5 2 2" xfId="616" xr:uid="{28FE93D6-1A8F-41F3-8A56-781E7ADB283B}"/>
    <cellStyle name="Обычный 13 5 3" xfId="514" xr:uid="{E5F474DC-131E-4208-A4DF-EADC160E4CFD}"/>
    <cellStyle name="Обычный 13 6" xfId="365" xr:uid="{6AD8B593-D270-4066-BD65-87666114B8F6}"/>
    <cellStyle name="Обычный 13 6 2" xfId="573" xr:uid="{D694D72C-62F1-4C3B-B752-FA4F72508974}"/>
    <cellStyle name="Обычный 13 7" xfId="471" xr:uid="{164C9377-6ACC-4D4F-AC7C-C1DD49F0E78B}"/>
    <cellStyle name="Обычный 14" xfId="276" xr:uid="{00000000-0005-0000-0000-0000E7000000}"/>
    <cellStyle name="Обычный 14 2" xfId="322" xr:uid="{00000000-0005-0000-0000-0000E8000000}"/>
    <cellStyle name="Обычный 14 2 2" xfId="429" xr:uid="{FC09AF86-844D-4DC0-820D-F1F101CE5AD6}"/>
    <cellStyle name="Обычный 14 2 2 2" xfId="637" xr:uid="{2CE29F69-286D-439C-8D2C-4A5C6BD6EE48}"/>
    <cellStyle name="Обычный 14 2 3" xfId="535" xr:uid="{EE688303-9073-49CC-91E8-5F5E35CD9A5A}"/>
    <cellStyle name="Обычный 14 3" xfId="386" xr:uid="{89292F3A-746F-4598-BAC5-3A1F585DC706}"/>
    <cellStyle name="Обычный 14 3 2" xfId="594" xr:uid="{BC337517-EBC0-4A6A-B071-64BEAE533D01}"/>
    <cellStyle name="Обычный 14 4" xfId="492" xr:uid="{C7909DB8-7128-4011-BF92-F1C313F5227D}"/>
    <cellStyle name="Обычный 15" xfId="342" xr:uid="{00000000-0005-0000-0000-0000E9000000}"/>
    <cellStyle name="Обычный 2" xfId="2" xr:uid="{00000000-0005-0000-0000-0000EA000000}"/>
    <cellStyle name="Обычный 2 10" xfId="331" xr:uid="{00000000-0005-0000-0000-0000EB000000}"/>
    <cellStyle name="Обычный 2 2" xfId="4" xr:uid="{00000000-0005-0000-0000-0000EC000000}"/>
    <cellStyle name="Обычный 2 2 2" xfId="15" xr:uid="{00000000-0005-0000-0000-0000ED000000}"/>
    <cellStyle name="Обычный 2 2 2 2" xfId="225" xr:uid="{00000000-0005-0000-0000-0000EE000000}"/>
    <cellStyle name="Обычный 2 2 3" xfId="221" xr:uid="{00000000-0005-0000-0000-0000EF000000}"/>
    <cellStyle name="Обычный 2 2 4" xfId="281" xr:uid="{00000000-0005-0000-0000-0000F0000000}"/>
    <cellStyle name="Обычный 2 2 4 2" xfId="389" xr:uid="{6B3B5A92-EB4C-41BF-8B7E-C57DEA78EDCB}"/>
    <cellStyle name="Обычный 2 2 4 2 2" xfId="597" xr:uid="{BD750E6E-A991-432C-B2BE-02FE6CED5C4E}"/>
    <cellStyle name="Обычный 2 2 4 3" xfId="495" xr:uid="{5E015C0D-42E2-49C0-A9F6-2BD91BEC1D13}"/>
    <cellStyle name="Обычный 2 2 5" xfId="346" xr:uid="{45DC93EA-4166-480A-9F47-2D6332CD5B95}"/>
    <cellStyle name="Обычный 2 2 5 2" xfId="554" xr:uid="{577B69FA-94B7-486D-B812-1B9FBBCD5CE8}"/>
    <cellStyle name="Обычный 2 2 6" xfId="452" xr:uid="{5ACDEF0C-D40D-43F8-A9EB-E205F5A65C30}"/>
    <cellStyle name="Обычный 2 3" xfId="14" xr:uid="{00000000-0005-0000-0000-0000F1000000}"/>
    <cellStyle name="Обычный 2 3 2" xfId="226" xr:uid="{00000000-0005-0000-0000-0000F2000000}"/>
    <cellStyle name="Обычный 2 3 2 2" xfId="302" xr:uid="{00000000-0005-0000-0000-0000F3000000}"/>
    <cellStyle name="Обычный 2 3 2 2 2" xfId="409" xr:uid="{18C03318-B4EE-4EAA-9F84-F6A08E1BCFAD}"/>
    <cellStyle name="Обычный 2 3 2 2 2 2" xfId="617" xr:uid="{193E5DB7-0352-494C-BF36-A71FF037FEDA}"/>
    <cellStyle name="Обычный 2 3 2 2 3" xfId="515" xr:uid="{F18F3B11-E239-490F-A1D0-BEDBFA069815}"/>
    <cellStyle name="Обычный 2 3 2 3" xfId="366" xr:uid="{8DD293C0-65DA-4A00-88F7-F6C8E904D2C5}"/>
    <cellStyle name="Обычный 2 3 2 3 2" xfId="574" xr:uid="{733C0764-4CC7-4E23-9A15-5282F7D352D9}"/>
    <cellStyle name="Обычный 2 3 2 4" xfId="472" xr:uid="{0E719320-C726-45F1-9228-3DFCE89BCCD1}"/>
    <cellStyle name="Обычный 2 3 3" xfId="278" xr:uid="{00000000-0005-0000-0000-0000F4000000}"/>
    <cellStyle name="Обычный 2 3 3 2" xfId="323" xr:uid="{00000000-0005-0000-0000-0000F5000000}"/>
    <cellStyle name="Обычный 2 3 3 2 2" xfId="430" xr:uid="{D29199A3-9E94-4C75-9A1E-29DD82D67C47}"/>
    <cellStyle name="Обычный 2 3 3 2 2 2" xfId="638" xr:uid="{E348B1E1-345B-4B05-8903-E4EF8814C57B}"/>
    <cellStyle name="Обычный 2 3 3 2 3" xfId="536" xr:uid="{EF52DA33-6F76-4873-A7ED-399F4FEC19E2}"/>
    <cellStyle name="Обычный 2 3 3 3" xfId="387" xr:uid="{67389CC1-ADDE-4F77-8CE6-739294F1415F}"/>
    <cellStyle name="Обычный 2 3 3 3 2" xfId="595" xr:uid="{6EFA67CF-0517-40D7-9628-2EDD0043FB1C}"/>
    <cellStyle name="Обычный 2 3 3 4" xfId="493" xr:uid="{18DB9DD0-3C8F-470E-8995-E659A59187D8}"/>
    <cellStyle name="Обычный 2 3 4" xfId="341" xr:uid="{00000000-0005-0000-0000-0000F6000000}"/>
    <cellStyle name="Обычный 2 4" xfId="224" xr:uid="{00000000-0005-0000-0000-0000F7000000}"/>
    <cellStyle name="Обычный 2 5" xfId="231" xr:uid="{00000000-0005-0000-0000-0000F8000000}"/>
    <cellStyle name="Обычный 2 6" xfId="234" xr:uid="{00000000-0005-0000-0000-0000F9000000}"/>
    <cellStyle name="Обычный 2 7" xfId="220" xr:uid="{00000000-0005-0000-0000-0000FA000000}"/>
    <cellStyle name="Обычный 2 8" xfId="275" xr:uid="{00000000-0005-0000-0000-0000FB000000}"/>
    <cellStyle name="Обычный 2 9" xfId="277" xr:uid="{00000000-0005-0000-0000-0000FC000000}"/>
    <cellStyle name="Обычный 2_kes ua-propoz" xfId="227" xr:uid="{00000000-0005-0000-0000-0000FD000000}"/>
    <cellStyle name="Обычный 22" xfId="274" xr:uid="{00000000-0005-0000-0000-0000FE000000}"/>
    <cellStyle name="Обычный 22 2" xfId="321" xr:uid="{00000000-0005-0000-0000-0000FF000000}"/>
    <cellStyle name="Обычный 22 2 2" xfId="428" xr:uid="{167ED787-1F54-4960-B57C-AE9C3D91E7AA}"/>
    <cellStyle name="Обычный 22 2 2 2" xfId="636" xr:uid="{69F52A48-7AE9-447E-8508-6C47091981CE}"/>
    <cellStyle name="Обычный 22 2 3" xfId="534" xr:uid="{9AFAF5EA-9760-4AB1-8637-76E0FF4A2E16}"/>
    <cellStyle name="Обычный 22 3" xfId="385" xr:uid="{BED9DA1E-005E-4EDF-87FD-AE333FAA0D97}"/>
    <cellStyle name="Обычный 22 3 2" xfId="593" xr:uid="{EA484D13-21C9-4B63-A5EE-E013966F77C1}"/>
    <cellStyle name="Обычный 22 4" xfId="491" xr:uid="{D4D920E1-8064-4D1E-81CD-C65E98D4F7FB}"/>
    <cellStyle name="Обычный 26" xfId="19" xr:uid="{00000000-0005-0000-0000-000000010000}"/>
    <cellStyle name="Обычный 3" xfId="3" xr:uid="{00000000-0005-0000-0000-000001010000}"/>
    <cellStyle name="Обычный 3 2" xfId="6" xr:uid="{00000000-0005-0000-0000-000002010000}"/>
    <cellStyle name="Обычный 3 2 2" xfId="265" xr:uid="{00000000-0005-0000-0000-000003010000}"/>
    <cellStyle name="Обычный 3 3" xfId="247" xr:uid="{00000000-0005-0000-0000-000004010000}"/>
    <cellStyle name="Обычный 3 4" xfId="279" xr:uid="{00000000-0005-0000-0000-000005010000}"/>
    <cellStyle name="Обычный 3 4 2" xfId="324" xr:uid="{00000000-0005-0000-0000-000006010000}"/>
    <cellStyle name="Обычный 3 4 2 2" xfId="431" xr:uid="{A8B3C595-3D5D-4E29-BB62-4A572AEB6FE5}"/>
    <cellStyle name="Обычный 3 4 2 2 2" xfId="639" xr:uid="{E33335B0-29AD-400C-A40C-C84DA9AC87E2}"/>
    <cellStyle name="Обычный 3 4 2 3" xfId="537" xr:uid="{7DFA3EBB-8C72-4486-BD06-6F07BDFEE260}"/>
    <cellStyle name="Обычный 3 4 3" xfId="388" xr:uid="{BF36705E-2707-467E-BEF5-12C3F57A582E}"/>
    <cellStyle name="Обычный 3 4 3 2" xfId="596" xr:uid="{11654933-B28C-4DE0-ADA6-E6CAD9BD6DE9}"/>
    <cellStyle name="Обычный 3 4 4" xfId="494" xr:uid="{94C45115-AD0A-409C-91AF-EC2AAC355247}"/>
    <cellStyle name="Обычный 4" xfId="7" xr:uid="{00000000-0005-0000-0000-000007010000}"/>
    <cellStyle name="Обычный 4 2" xfId="235" xr:uid="{00000000-0005-0000-0000-000008010000}"/>
    <cellStyle name="Обычный 4 2 2" xfId="271" xr:uid="{00000000-0005-0000-0000-000009010000}"/>
    <cellStyle name="Обычный 4 2 2 2" xfId="318" xr:uid="{00000000-0005-0000-0000-00000A010000}"/>
    <cellStyle name="Обычный 4 2 2 2 2" xfId="425" xr:uid="{6529E839-7BB4-4DD3-8E1C-19C08EF8C56D}"/>
    <cellStyle name="Обычный 4 2 2 2 2 2" xfId="633" xr:uid="{89CD1655-8464-4DC2-99D1-C7C52725DA01}"/>
    <cellStyle name="Обычный 4 2 2 2 3" xfId="531" xr:uid="{90394206-C80B-4EAF-B52F-6AEED1B83313}"/>
    <cellStyle name="Обычный 4 2 2 3" xfId="382" xr:uid="{EB065C7C-4E12-427E-AB7E-9151C2012C6E}"/>
    <cellStyle name="Обычный 4 2 2 3 2" xfId="590" xr:uid="{413008D6-38A8-4FEE-9C01-53807AF87DBF}"/>
    <cellStyle name="Обычный 4 2 2 4" xfId="488" xr:uid="{DD0B9B00-7530-4F3E-BDF0-6A411016AE2A}"/>
    <cellStyle name="Обычный 4 3" xfId="248" xr:uid="{00000000-0005-0000-0000-00000B010000}"/>
    <cellStyle name="Обычный 4 3 2" xfId="303" xr:uid="{00000000-0005-0000-0000-00000C010000}"/>
    <cellStyle name="Обычный 4 3 2 2" xfId="410" xr:uid="{0E39C8CD-EA52-45E2-A82E-048CE01D7CA8}"/>
    <cellStyle name="Обычный 4 3 2 2 2" xfId="618" xr:uid="{3DA8C684-B689-4FE7-B715-C753711D0777}"/>
    <cellStyle name="Обычный 4 3 2 3" xfId="516" xr:uid="{4E1C92A2-C56C-4D23-88B7-253F213B92F7}"/>
    <cellStyle name="Обычный 4 3 3" xfId="367" xr:uid="{332C96B5-A452-4281-A63F-1C438EA961C6}"/>
    <cellStyle name="Обычный 4 3 3 2" xfId="575" xr:uid="{EF061054-2961-4F0F-BD98-8E45D45BE310}"/>
    <cellStyle name="Обычный 4 3 4" xfId="473" xr:uid="{77A39E09-DF29-4AEA-8D46-AB7E9BACFC72}"/>
    <cellStyle name="Обычный 4 4" xfId="256" xr:uid="{00000000-0005-0000-0000-00000D010000}"/>
    <cellStyle name="Обычный 4 4 2" xfId="307" xr:uid="{00000000-0005-0000-0000-00000E010000}"/>
    <cellStyle name="Обычный 4 4 2 2" xfId="414" xr:uid="{F9F6C8A8-D7AE-40F7-9DB3-4C4B63C3A296}"/>
    <cellStyle name="Обычный 4 4 2 2 2" xfId="622" xr:uid="{69539069-7532-4F23-B7C4-D32E15544666}"/>
    <cellStyle name="Обычный 4 4 2 3" xfId="520" xr:uid="{8D1C4BF0-D5A3-495B-9745-77AC93707247}"/>
    <cellStyle name="Обычный 4 4 3" xfId="371" xr:uid="{E14C9CB2-FC2D-4207-8F87-C688E701333B}"/>
    <cellStyle name="Обычный 4 4 3 2" xfId="579" xr:uid="{ACB83666-2872-4528-8C1C-0EC589CC132A}"/>
    <cellStyle name="Обычный 4 4 4" xfId="477" xr:uid="{F3216111-2098-4C75-B96E-9935649A7EF2}"/>
    <cellStyle name="Обычный 4 5" xfId="268" xr:uid="{00000000-0005-0000-0000-00000F010000}"/>
    <cellStyle name="Обычный 4 5 2" xfId="315" xr:uid="{00000000-0005-0000-0000-000010010000}"/>
    <cellStyle name="Обычный 4 5 2 2" xfId="422" xr:uid="{BA3B84B7-1DFC-4C1B-AAD7-36A9547A7D04}"/>
    <cellStyle name="Обычный 4 5 2 2 2" xfId="630" xr:uid="{FB751110-0686-466E-BFE7-239758CD4FEB}"/>
    <cellStyle name="Обычный 4 5 2 3" xfId="528" xr:uid="{B90D6251-FFBF-4A57-A884-24B7BA281EC5}"/>
    <cellStyle name="Обычный 4 5 3" xfId="379" xr:uid="{501FF1A0-068E-4F8D-A093-2021A6533FD2}"/>
    <cellStyle name="Обычный 4 5 3 2" xfId="587" xr:uid="{A071B5A6-49A1-4149-912A-D04F278C063B}"/>
    <cellStyle name="Обычный 4 5 4" xfId="485" xr:uid="{BF0D6736-A2A6-4D42-8F7B-1B421E7528C3}"/>
    <cellStyle name="Обычный 4 6" xfId="283" xr:uid="{00000000-0005-0000-0000-000011010000}"/>
    <cellStyle name="Обычный 4 6 2" xfId="391" xr:uid="{E75A15E1-000B-4BD7-B678-44E07C72328D}"/>
    <cellStyle name="Обычный 4 6 2 2" xfId="599" xr:uid="{703C43EA-3CB0-49A2-8F8B-6406AA34DFB5}"/>
    <cellStyle name="Обычный 4 6 3" xfId="497" xr:uid="{569E2E71-F3E6-4AD5-B8F7-86ED8CF45E89}"/>
    <cellStyle name="Обычный 4 7" xfId="339" xr:uid="{00000000-0005-0000-0000-000012010000}"/>
    <cellStyle name="Обычный 4 7 2" xfId="444" xr:uid="{9D7657D3-58BC-4761-B684-8A227D327A48}"/>
    <cellStyle name="Обычный 4 7 2 2" xfId="652" xr:uid="{4CEE5DEE-CD58-4A8C-814C-527769436F41}"/>
    <cellStyle name="Обычный 4 7 3" xfId="550" xr:uid="{6A1BA3BB-376D-470A-B660-24912CAF851D}"/>
    <cellStyle name="Обычный 4 8" xfId="348" xr:uid="{8C646DBE-97CE-498D-BC82-0EF251E81884}"/>
    <cellStyle name="Обычный 4 8 2" xfId="556" xr:uid="{7EF6EDDF-0C3C-4239-9FD5-6E2FBE6CB418}"/>
    <cellStyle name="Обычный 4 9" xfId="454" xr:uid="{0013AF9B-AC7C-4AF3-A681-9A3815295855}"/>
    <cellStyle name="Обычный 5" xfId="9" xr:uid="{00000000-0005-0000-0000-000013010000}"/>
    <cellStyle name="Обычный 5 2" xfId="237" xr:uid="{00000000-0005-0000-0000-000014010000}"/>
    <cellStyle name="Обычный 5 2 2" xfId="266" xr:uid="{00000000-0005-0000-0000-000015010000}"/>
    <cellStyle name="Обычный 5 3" xfId="233" xr:uid="{00000000-0005-0000-0000-000016010000}"/>
    <cellStyle name="Обычный 5 4" xfId="249" xr:uid="{00000000-0005-0000-0000-000017010000}"/>
    <cellStyle name="Обычный 5 5" xfId="285" xr:uid="{00000000-0005-0000-0000-000018010000}"/>
    <cellStyle name="Обычный 5 5 2" xfId="393" xr:uid="{E080414D-A073-407B-AAD3-FFF4254358FD}"/>
    <cellStyle name="Обычный 5 5 2 2" xfId="601" xr:uid="{E0574314-EF2D-46C0-8151-5A17D9D2B043}"/>
    <cellStyle name="Обычный 5 5 3" xfId="499" xr:uid="{B8CBF838-F828-490A-8A04-411CB5F4C38D}"/>
    <cellStyle name="Обычный 5 6" xfId="350" xr:uid="{1709FCBC-DCE0-45D2-9CA6-90EA53941950}"/>
    <cellStyle name="Обычный 5 6 2" xfId="558" xr:uid="{59F9BD97-D3A5-4072-AF54-9EB7DB17F00C}"/>
    <cellStyle name="Обычный 5 7" xfId="456" xr:uid="{90FF0D20-207E-48D4-8F64-BF86E63DD80A}"/>
    <cellStyle name="Обычный 6" xfId="11" xr:uid="{00000000-0005-0000-0000-000019010000}"/>
    <cellStyle name="Обычный 6 2" xfId="238" xr:uid="{00000000-0005-0000-0000-00001A010000}"/>
    <cellStyle name="Обычный 6 3" xfId="287" xr:uid="{00000000-0005-0000-0000-00001B010000}"/>
    <cellStyle name="Обычный 6 3 2" xfId="395" xr:uid="{18B76696-1EC0-432B-867E-A6144B9BCD6D}"/>
    <cellStyle name="Обычный 6 3 2 2" xfId="603" xr:uid="{CF33542D-BD30-4AF1-98C1-D6BE7B1269F7}"/>
    <cellStyle name="Обычный 6 3 3" xfId="501" xr:uid="{93D6E63A-F705-4EF7-B5EF-8A328034C088}"/>
    <cellStyle name="Обычный 6 4" xfId="352" xr:uid="{290B7925-1314-46A7-9F60-A6DFA2BB99EA}"/>
    <cellStyle name="Обычный 6 4 2" xfId="560" xr:uid="{26FE58FB-36B3-4CDE-961C-3EB7835BDA55}"/>
    <cellStyle name="Обычный 6 5" xfId="458" xr:uid="{EB4C0046-887E-4618-AF4D-296B3403A763}"/>
    <cellStyle name="Обычный 7" xfId="13" xr:uid="{00000000-0005-0000-0000-00001C010000}"/>
    <cellStyle name="Обычный 7 2" xfId="239" xr:uid="{00000000-0005-0000-0000-00001D010000}"/>
    <cellStyle name="Обычный 7 3" xfId="289" xr:uid="{00000000-0005-0000-0000-00001E010000}"/>
    <cellStyle name="Обычный 7 3 2" xfId="397" xr:uid="{D54E76EC-5516-484E-B494-EDEF35A6E456}"/>
    <cellStyle name="Обычный 7 3 2 2" xfId="605" xr:uid="{5DAEE184-2B93-453E-B3CC-299F266AA1F1}"/>
    <cellStyle name="Обычный 7 3 3" xfId="503" xr:uid="{9B59219C-E7E0-4252-A67F-B35F50196D4E}"/>
    <cellStyle name="Обычный 7 4" xfId="354" xr:uid="{4F141D42-461C-4433-ABE1-4B6DA8D7F67F}"/>
    <cellStyle name="Обычный 7 4 2" xfId="562" xr:uid="{D89008BB-EEF0-4474-A216-6C92798AB022}"/>
    <cellStyle name="Обычный 7 5" xfId="460" xr:uid="{07A2EF83-AA48-4BAC-ACA5-64DBF44358D7}"/>
    <cellStyle name="Обычный 8" xfId="17" xr:uid="{00000000-0005-0000-0000-00001F010000}"/>
    <cellStyle name="Обычный 8 2" xfId="240" xr:uid="{00000000-0005-0000-0000-000020010000}"/>
    <cellStyle name="Обычный 8 3" xfId="291" xr:uid="{00000000-0005-0000-0000-000021010000}"/>
    <cellStyle name="Обычный 8 3 2" xfId="399" xr:uid="{A6BEBAC8-5BB7-40E5-B1B9-2CD5E4EE9C48}"/>
    <cellStyle name="Обычный 8 3 2 2" xfId="607" xr:uid="{D36961AF-799A-4645-82CF-A545B6916925}"/>
    <cellStyle name="Обычный 8 3 3" xfId="505" xr:uid="{3D4E30E2-42C3-4EF9-8081-31B19408E853}"/>
    <cellStyle name="Обычный 8 4" xfId="356" xr:uid="{575BFBED-BEB9-4B34-81E2-ACAB84D9DA28}"/>
    <cellStyle name="Обычный 8 4 2" xfId="564" xr:uid="{90A693EF-7F87-46C0-A8A9-30D73CD553ED}"/>
    <cellStyle name="Обычный 8 5" xfId="462" xr:uid="{8D9BAA8B-5C31-4D21-9547-1FCDC5AE0E16}"/>
    <cellStyle name="Обычный 9" xfId="20" xr:uid="{00000000-0005-0000-0000-000022010000}"/>
    <cellStyle name="Обычный 9 2" xfId="232" xr:uid="{00000000-0005-0000-0000-000023010000}"/>
    <cellStyle name="Обычный 9 3" xfId="244" xr:uid="{00000000-0005-0000-0000-000024010000}"/>
    <cellStyle name="Обычный 9 4" xfId="241" xr:uid="{00000000-0005-0000-0000-000025010000}"/>
    <cellStyle name="Обычный 9 5" xfId="293" xr:uid="{00000000-0005-0000-0000-000026010000}"/>
    <cellStyle name="Обычный_13.10.2025" xfId="448" xr:uid="{D4D1BF07-15D0-4570-AA19-11E4B1766393}"/>
    <cellStyle name="Обычный_19.06.2026" xfId="656" xr:uid="{525B300E-97BF-4600-B8D0-8F270A4CDEA8}"/>
    <cellStyle name="Обычный_24,07,2026" xfId="657" xr:uid="{5ADDB0B5-950F-4550-B967-5F96B04D3E92}"/>
    <cellStyle name="Обычный_24.11.2023" xfId="343" xr:uid="{00000000-0005-0000-0000-00002E010000}"/>
    <cellStyle name="Обычный_26.10.2025" xfId="450" xr:uid="{0F937F0C-6897-498B-AEFF-A5C392AD973C}"/>
    <cellStyle name="Обычный_TDSheet" xfId="1" xr:uid="{00000000-0005-0000-0000-00002F010000}"/>
    <cellStyle name="Обычный_Лист1" xfId="451" xr:uid="{D101CDE2-6D85-41B9-84D8-E5F3B5AF8FF8}"/>
    <cellStyle name="Обычный_ТМЦ_Глобино" xfId="449" xr:uid="{DBB23385-8295-4718-972E-B8305925A8E1}"/>
    <cellStyle name="Процентный 2" xfId="263" xr:uid="{00000000-0005-0000-0000-000030010000}"/>
    <cellStyle name="Финансовый 10" xfId="183" xr:uid="{00000000-0005-0000-0000-000031010000}"/>
    <cellStyle name="Финансовый 10 2" xfId="297" xr:uid="{00000000-0005-0000-0000-000032010000}"/>
    <cellStyle name="Финансовый 10 2 2" xfId="404" xr:uid="{CACC354A-15B8-49E6-A394-5ADA0CEBFF05}"/>
    <cellStyle name="Финансовый 10 2 2 2" xfId="612" xr:uid="{B2D3F106-76D2-4A57-9EFD-8C64C90DA6F5}"/>
    <cellStyle name="Финансовый 10 2 3" xfId="510" xr:uid="{78662039-2083-44BF-B4AD-E523F6D5A830}"/>
    <cellStyle name="Финансовый 10 3" xfId="361" xr:uid="{4DFEB73C-4334-4561-9D3E-C52A4D8CE794}"/>
    <cellStyle name="Финансовый 10 3 2" xfId="569" xr:uid="{C4140182-6FBE-4866-9D29-39EE0589801D}"/>
    <cellStyle name="Финансовый 10 4" xfId="467" xr:uid="{86CFB22B-E07B-4145-8921-D19FD893F6F3}"/>
    <cellStyle name="Финансовый 11" xfId="250" xr:uid="{00000000-0005-0000-0000-000033010000}"/>
    <cellStyle name="Финансовый 12" xfId="280" xr:uid="{00000000-0005-0000-0000-000034010000}"/>
    <cellStyle name="Финансовый 2" xfId="5" xr:uid="{00000000-0005-0000-0000-000035010000}"/>
    <cellStyle name="Финансовый 2 10" xfId="347" xr:uid="{D77D5ABF-7415-4F04-8C78-896D8E013CDF}"/>
    <cellStyle name="Финансовый 2 10 2" xfId="555" xr:uid="{FDF2DDC9-9312-4087-A8E4-EEC9FD700632}"/>
    <cellStyle name="Финансовый 2 11" xfId="453" xr:uid="{A0C198BB-B26B-4701-8509-BFC1DA78F8F5}"/>
    <cellStyle name="Финансовый 2 2" xfId="228" xr:uid="{00000000-0005-0000-0000-000036010000}"/>
    <cellStyle name="Финансовый 2 2 2" xfId="264" xr:uid="{00000000-0005-0000-0000-000037010000}"/>
    <cellStyle name="Финансовый 2 2 2 2" xfId="273" xr:uid="{00000000-0005-0000-0000-000038010000}"/>
    <cellStyle name="Финансовый 2 2 2 2 2" xfId="320" xr:uid="{00000000-0005-0000-0000-000039010000}"/>
    <cellStyle name="Финансовый 2 2 2 2 2 2" xfId="427" xr:uid="{4DCF1C01-4C8B-4301-AE71-D502EB6072A4}"/>
    <cellStyle name="Финансовый 2 2 2 2 2 2 2" xfId="635" xr:uid="{E82B18CD-AA09-4847-AEBA-4849A48C5743}"/>
    <cellStyle name="Финансовый 2 2 2 2 2 3" xfId="533" xr:uid="{A81CF542-C6B0-4855-87EB-A7E7F0CFA178}"/>
    <cellStyle name="Финансовый 2 2 2 2 3" xfId="384" xr:uid="{ACB28990-334F-4014-83A6-004959A8CC3F}"/>
    <cellStyle name="Финансовый 2 2 2 2 3 2" xfId="592" xr:uid="{CDD53220-6B94-450F-AED1-B320026B14A2}"/>
    <cellStyle name="Финансовый 2 2 2 2 4" xfId="490" xr:uid="{6D13255E-1C78-485E-BA9C-2E0DC6FBB09F}"/>
    <cellStyle name="Финансовый 2 2 2 3" xfId="314" xr:uid="{00000000-0005-0000-0000-00003A010000}"/>
    <cellStyle name="Финансовый 2 2 2 3 2" xfId="421" xr:uid="{C552CDDA-4010-4D8D-8353-719E9B137739}"/>
    <cellStyle name="Финансовый 2 2 2 3 2 2" xfId="629" xr:uid="{41CA6C37-71A7-42F5-BBB7-167774F41235}"/>
    <cellStyle name="Финансовый 2 2 2 3 3" xfId="527" xr:uid="{00B6E7C2-4341-4AFB-BD8F-23FE075D30C8}"/>
    <cellStyle name="Финансовый 2 2 2 4" xfId="378" xr:uid="{09869F2E-5CF4-46C2-9F61-CDB07C5C1295}"/>
    <cellStyle name="Финансовый 2 2 2 4 2" xfId="586" xr:uid="{5E5E58B5-43D6-415A-900F-A2336448B21C}"/>
    <cellStyle name="Финансовый 2 2 2 5" xfId="484" xr:uid="{9E172D3F-E9B5-48D8-B6F4-046CDFDD6E82}"/>
    <cellStyle name="Финансовый 2 2 3" xfId="259" xr:uid="{00000000-0005-0000-0000-00003B010000}"/>
    <cellStyle name="Финансовый 2 2 3 2" xfId="310" xr:uid="{00000000-0005-0000-0000-00003C010000}"/>
    <cellStyle name="Финансовый 2 2 3 2 2" xfId="417" xr:uid="{1EAFD89A-D0F6-408B-AB49-28F5328EECDF}"/>
    <cellStyle name="Финансовый 2 2 3 2 2 2" xfId="625" xr:uid="{8B1F435F-D290-47EF-B398-2EC27B982DF6}"/>
    <cellStyle name="Финансовый 2 2 3 2 3" xfId="523" xr:uid="{9132EC50-FF5C-4A1A-844B-7545D5907CF0}"/>
    <cellStyle name="Финансовый 2 2 3 3" xfId="374" xr:uid="{ED4E865B-BEB3-4C54-8308-3E5B9A1468B7}"/>
    <cellStyle name="Финансовый 2 2 3 3 2" xfId="582" xr:uid="{135B8F3B-962A-427E-A8CC-68BC8C04820F}"/>
    <cellStyle name="Финансовый 2 2 3 4" xfId="480" xr:uid="{61DEB9AE-2975-448A-A53C-2AFA770E461E}"/>
    <cellStyle name="Финансовый 2 3" xfId="184" xr:uid="{00000000-0005-0000-0000-00003D010000}"/>
    <cellStyle name="Финансовый 2 3 2" xfId="261" xr:uid="{00000000-0005-0000-0000-00003E010000}"/>
    <cellStyle name="Финансовый 2 3 2 2" xfId="312" xr:uid="{00000000-0005-0000-0000-00003F010000}"/>
    <cellStyle name="Финансовый 2 3 2 2 2" xfId="337" xr:uid="{00000000-0005-0000-0000-000040010000}"/>
    <cellStyle name="Финансовый 2 3 2 2 2 2" xfId="442" xr:uid="{80A718D0-C7FF-4AD4-8871-7E929EB76BF4}"/>
    <cellStyle name="Финансовый 2 3 2 2 2 2 2" xfId="650" xr:uid="{F1ABE42E-9A20-4F13-91D2-ED29A395FF6C}"/>
    <cellStyle name="Финансовый 2 3 2 2 2 3" xfId="548" xr:uid="{30CEBADD-7A99-49DC-A5D9-793205F9E0B3}"/>
    <cellStyle name="Финансовый 2 3 2 2 3" xfId="329" xr:uid="{00000000-0005-0000-0000-000041010000}"/>
    <cellStyle name="Финансовый 2 3 2 2 3 2" xfId="436" xr:uid="{871FAC1C-77F0-477D-A357-BC77C797704A}"/>
    <cellStyle name="Финансовый 2 3 2 2 3 2 2" xfId="644" xr:uid="{982D4F49-EC37-4855-8488-A754A4E255A8}"/>
    <cellStyle name="Финансовый 2 3 2 2 3 3" xfId="542" xr:uid="{4D9D5D71-C762-4B07-ACB2-3C80CC098AC1}"/>
    <cellStyle name="Финансовый 2 3 2 2 4" xfId="419" xr:uid="{AF45A7C5-824F-4ADE-9BF2-DE0A61E0EF82}"/>
    <cellStyle name="Финансовый 2 3 2 2 4 2" xfId="627" xr:uid="{6BA70DE4-A335-4FC5-94A9-D4687678B9DD}"/>
    <cellStyle name="Финансовый 2 3 2 2 5" xfId="525" xr:uid="{5177EC2F-2BDA-4A78-89D4-ABCEB3C88FC5}"/>
    <cellStyle name="Финансовый 2 3 2 3" xfId="334" xr:uid="{00000000-0005-0000-0000-000042010000}"/>
    <cellStyle name="Финансовый 2 3 2 3 2" xfId="439" xr:uid="{CB50014A-51AF-4BAC-BA1B-E13629B50583}"/>
    <cellStyle name="Финансовый 2 3 2 3 2 2" xfId="647" xr:uid="{D9B50CEC-E5D4-4D67-83F5-C7A4769110D9}"/>
    <cellStyle name="Финансовый 2 3 2 3 3" xfId="545" xr:uid="{50DF053F-D962-4558-87EF-1190F2E4E5BC}"/>
    <cellStyle name="Финансовый 2 3 2 4" xfId="326" xr:uid="{00000000-0005-0000-0000-000043010000}"/>
    <cellStyle name="Финансовый 2 3 2 4 2" xfId="433" xr:uid="{1FEC0127-CB96-4A33-93B1-DF9FA863F268}"/>
    <cellStyle name="Финансовый 2 3 2 4 2 2" xfId="641" xr:uid="{341F5F44-97B7-4ACD-BE2F-915A17264F1B}"/>
    <cellStyle name="Финансовый 2 3 2 4 3" xfId="539" xr:uid="{3419CFC2-2E77-432C-B685-6BDCD4CD28BA}"/>
    <cellStyle name="Финансовый 2 3 2 5" xfId="376" xr:uid="{1E32EC40-BFF4-4E84-8E93-905580EF77B5}"/>
    <cellStyle name="Финансовый 2 3 2 5 2" xfId="584" xr:uid="{BAC27BDF-D99C-418A-9674-4E8E809BD6C2}"/>
    <cellStyle name="Финансовый 2 3 2 6" xfId="482" xr:uid="{0F2E2268-1633-42A5-9731-F3B77B4B1019}"/>
    <cellStyle name="Финансовый 2 3 3" xfId="298" xr:uid="{00000000-0005-0000-0000-000044010000}"/>
    <cellStyle name="Финансовый 2 3 3 2" xfId="405" xr:uid="{686DEE6F-463B-44AC-9600-18710F99E52F}"/>
    <cellStyle name="Финансовый 2 3 3 2 2" xfId="613" xr:uid="{30D1D10E-DEEB-4C5A-BC52-58D436C43038}"/>
    <cellStyle name="Финансовый 2 3 3 3" xfId="511" xr:uid="{218E0EBC-6B8A-442D-B653-6FF178D58AE1}"/>
    <cellStyle name="Финансовый 2 3 4" xfId="362" xr:uid="{7DF54469-4926-457A-989F-F05640A8EA6D}"/>
    <cellStyle name="Финансовый 2 3 4 2" xfId="570" xr:uid="{66A6789E-784A-4B7A-BA3B-C9A44C00AE69}"/>
    <cellStyle name="Финансовый 2 3 5" xfId="468" xr:uid="{B0C0097A-0D2F-469B-BD39-19284CF7BF69}"/>
    <cellStyle name="Финансовый 2 4" xfId="251" xr:uid="{00000000-0005-0000-0000-000045010000}"/>
    <cellStyle name="Финансовый 2 5" xfId="260" xr:uid="{00000000-0005-0000-0000-000046010000}"/>
    <cellStyle name="Финансовый 2 5 2" xfId="311" xr:uid="{00000000-0005-0000-0000-000047010000}"/>
    <cellStyle name="Финансовый 2 5 2 2" xfId="418" xr:uid="{B33EBE7B-D3FD-460F-A77E-E4EF51ED840D}"/>
    <cellStyle name="Финансовый 2 5 2 2 2" xfId="626" xr:uid="{6769D7EA-3666-42A4-9D2D-2E212FD50D41}"/>
    <cellStyle name="Финансовый 2 5 2 3" xfId="524" xr:uid="{D72A5ABA-EBA1-4EA6-B9A6-81F9E07A47DA}"/>
    <cellStyle name="Финансовый 2 5 3" xfId="375" xr:uid="{D87AF46F-F4FE-41F8-A7E9-8ACE8BEE627C}"/>
    <cellStyle name="Финансовый 2 5 3 2" xfId="583" xr:uid="{A5FCD792-9361-4FBC-BB22-F6DD0D921B4A}"/>
    <cellStyle name="Финансовый 2 5 4" xfId="481" xr:uid="{C4D07B2B-ED33-49D8-97D5-C5CED5DB2317}"/>
    <cellStyle name="Финансовый 2 6" xfId="254" xr:uid="{00000000-0005-0000-0000-000048010000}"/>
    <cellStyle name="Финансовый 2 6 2" xfId="305" xr:uid="{00000000-0005-0000-0000-000049010000}"/>
    <cellStyle name="Финансовый 2 6 2 2" xfId="412" xr:uid="{EED2BC44-4535-48B2-B969-01A480EEF06D}"/>
    <cellStyle name="Финансовый 2 6 2 2 2" xfId="620" xr:uid="{8F4A281F-9BE1-4A3D-B3F2-8912908C8EED}"/>
    <cellStyle name="Финансовый 2 6 2 3" xfId="518" xr:uid="{43EC7EAA-6098-49B5-ACA4-C8C07791971E}"/>
    <cellStyle name="Финансовый 2 6 3" xfId="369" xr:uid="{CF2D3C36-3A4F-4482-8F95-F7F4C78A5BCD}"/>
    <cellStyle name="Финансовый 2 6 3 2" xfId="577" xr:uid="{D1DA0862-D4A4-42FA-ACEA-E246390468BD}"/>
    <cellStyle name="Финансовый 2 6 4" xfId="475" xr:uid="{E3B4DA8F-9F41-48E7-8D1F-8AEC280A106E}"/>
    <cellStyle name="Финансовый 2 7" xfId="269" xr:uid="{00000000-0005-0000-0000-00004A010000}"/>
    <cellStyle name="Финансовый 2 7 2" xfId="316" xr:uid="{00000000-0005-0000-0000-00004B010000}"/>
    <cellStyle name="Финансовый 2 7 2 2" xfId="423" xr:uid="{0BE3E0D0-9E32-4559-9BB0-67CC9167B3C7}"/>
    <cellStyle name="Финансовый 2 7 2 2 2" xfId="631" xr:uid="{0482FC27-CCB0-4AD8-9BC7-4B0E1EA7AD90}"/>
    <cellStyle name="Финансовый 2 7 2 3" xfId="529" xr:uid="{DC3E43E9-995C-43AC-9238-E0F1315BA275}"/>
    <cellStyle name="Финансовый 2 7 3" xfId="380" xr:uid="{5B5FAEE9-6D69-4BBF-9ADE-0176074D347B}"/>
    <cellStyle name="Финансовый 2 7 3 2" xfId="588" xr:uid="{0A715235-92CF-452C-B9C5-21C8752A4698}"/>
    <cellStyle name="Финансовый 2 7 4" xfId="486" xr:uid="{3795CE0E-C651-4AB6-9D30-7EFD45EA76CD}"/>
    <cellStyle name="Финансовый 2 8" xfId="282" xr:uid="{00000000-0005-0000-0000-00004C010000}"/>
    <cellStyle name="Финансовый 2 8 2" xfId="390" xr:uid="{1EE3D546-A4F5-46D3-A4D9-BE3C41AB047F}"/>
    <cellStyle name="Финансовый 2 8 2 2" xfId="598" xr:uid="{C650EFDA-539C-4F3B-AC99-2B8038691E94}"/>
    <cellStyle name="Финансовый 2 8 3" xfId="496" xr:uid="{22BC6BB9-378D-4275-8B6C-0379F61BFAB0}"/>
    <cellStyle name="Финансовый 2 9" xfId="332" xr:uid="{00000000-0005-0000-0000-00004D010000}"/>
    <cellStyle name="Финансовый 3" xfId="8" xr:uid="{00000000-0005-0000-0000-00004E010000}"/>
    <cellStyle name="Финансовый 3 2" xfId="257" xr:uid="{00000000-0005-0000-0000-00004F010000}"/>
    <cellStyle name="Финансовый 3 2 2" xfId="308" xr:uid="{00000000-0005-0000-0000-000050010000}"/>
    <cellStyle name="Финансовый 3 2 2 2" xfId="415" xr:uid="{33627813-94E0-4B6A-B003-46DA3E9D2A6B}"/>
    <cellStyle name="Финансовый 3 2 2 2 2" xfId="623" xr:uid="{03B81057-334F-4EEC-BEC4-8906E4AF6FE1}"/>
    <cellStyle name="Финансовый 3 2 2 3" xfId="521" xr:uid="{04A49C81-A3F2-4D5A-907A-406735CCB1AA}"/>
    <cellStyle name="Финансовый 3 2 3" xfId="372" xr:uid="{2D4EB9C7-0179-48D9-809B-5F8D354BF729}"/>
    <cellStyle name="Финансовый 3 2 3 2" xfId="580" xr:uid="{E95673E9-34D9-46C8-97A7-3853BD92F1A1}"/>
    <cellStyle name="Финансовый 3 2 4" xfId="478" xr:uid="{8231D800-B20D-4CDA-A0ED-D28353B2207B}"/>
    <cellStyle name="Финансовый 3 3" xfId="253" xr:uid="{00000000-0005-0000-0000-000051010000}"/>
    <cellStyle name="Финансовый 3 4" xfId="270" xr:uid="{00000000-0005-0000-0000-000052010000}"/>
    <cellStyle name="Финансовый 3 4 2" xfId="317" xr:uid="{00000000-0005-0000-0000-000053010000}"/>
    <cellStyle name="Финансовый 3 4 2 2" xfId="424" xr:uid="{E82C2FB3-D964-4339-B80C-E7217A095F6E}"/>
    <cellStyle name="Финансовый 3 4 2 2 2" xfId="632" xr:uid="{35162929-7854-4C11-9BFF-2B10C5B54ADF}"/>
    <cellStyle name="Финансовый 3 4 2 3" xfId="530" xr:uid="{B30CC3FB-9997-4D11-AEEB-F2289ABC8161}"/>
    <cellStyle name="Финансовый 3 4 3" xfId="381" xr:uid="{03F1D41B-E21E-4890-B3E3-80AB2F322C1E}"/>
    <cellStyle name="Финансовый 3 4 3 2" xfId="589" xr:uid="{587F476C-D929-42A1-8603-1F285FC53C63}"/>
    <cellStyle name="Финансовый 3 4 4" xfId="487" xr:uid="{E5CAB906-7E75-4029-B818-F806ACB194B1}"/>
    <cellStyle name="Финансовый 3 5" xfId="284" xr:uid="{00000000-0005-0000-0000-000054010000}"/>
    <cellStyle name="Финансовый 3 5 2" xfId="392" xr:uid="{C154D494-2379-426A-AAB6-506B91DAF371}"/>
    <cellStyle name="Финансовый 3 5 2 2" xfId="600" xr:uid="{4F5AAC0F-DFA3-4F2D-BB16-0DDAE2B1AC47}"/>
    <cellStyle name="Финансовый 3 5 3" xfId="498" xr:uid="{0B4CB447-0952-42E8-8C62-B3E7F84BBF1E}"/>
    <cellStyle name="Финансовый 3 6" xfId="349" xr:uid="{F3B9F245-93B2-4BBD-83DF-008C49A14678}"/>
    <cellStyle name="Финансовый 3 6 2" xfId="557" xr:uid="{8D1B07A4-7C71-4509-9FA0-B93758F3172F}"/>
    <cellStyle name="Финансовый 3 7" xfId="455" xr:uid="{57C3D9F6-CFBF-4B65-9234-34558DF284F5}"/>
    <cellStyle name="Финансовый 4" xfId="10" xr:uid="{00000000-0005-0000-0000-000055010000}"/>
    <cellStyle name="Финансовый 4 2" xfId="267" xr:uid="{00000000-0005-0000-0000-000056010000}"/>
    <cellStyle name="Финансовый 4 3" xfId="286" xr:uid="{00000000-0005-0000-0000-000057010000}"/>
    <cellStyle name="Финансовый 4 3 2" xfId="394" xr:uid="{BBD2ED31-29C3-4055-B357-071E82FD3FDE}"/>
    <cellStyle name="Финансовый 4 3 2 2" xfId="602" xr:uid="{374A39DB-56FF-4F00-B0B0-726A7E7DE47A}"/>
    <cellStyle name="Финансовый 4 3 3" xfId="500" xr:uid="{65D3AA4A-C9A6-4E0C-B01C-BAC8F2A2B68C}"/>
    <cellStyle name="Финансовый 4 4" xfId="351" xr:uid="{D052043C-7AFE-4795-A8C7-FB40FA3AFBF9}"/>
    <cellStyle name="Финансовый 4 4 2" xfId="559" xr:uid="{5E279C21-6247-41FF-A957-C7DC7AC38266}"/>
    <cellStyle name="Финансовый 4 5" xfId="457" xr:uid="{88D274D0-3D44-4281-BBF0-EED544DC5C7F}"/>
    <cellStyle name="Финансовый 5" xfId="12" xr:uid="{00000000-0005-0000-0000-000058010000}"/>
    <cellStyle name="Финансовый 5 2" xfId="288" xr:uid="{00000000-0005-0000-0000-000059010000}"/>
    <cellStyle name="Финансовый 5 2 2" xfId="396" xr:uid="{E26553FB-8D5B-4F0F-947F-D2E7ECC1293E}"/>
    <cellStyle name="Финансовый 5 2 2 2" xfId="604" xr:uid="{B0F539E2-6DB6-42F6-B06E-24C784410873}"/>
    <cellStyle name="Финансовый 5 2 3" xfId="502" xr:uid="{8319349A-C247-4234-B164-3CA146DB61C0}"/>
    <cellStyle name="Финансовый 5 3" xfId="353" xr:uid="{F807938C-F34E-475A-99FA-A13E66FD5AA1}"/>
    <cellStyle name="Финансовый 5 3 2" xfId="561" xr:uid="{2B925A98-3C33-4DE6-85F5-CF51230BCD37}"/>
    <cellStyle name="Финансовый 5 4" xfId="459" xr:uid="{D6827A2C-0A31-4F18-AFCC-3D6E121D4D43}"/>
    <cellStyle name="Финансовый 6" xfId="16" xr:uid="{00000000-0005-0000-0000-00005A010000}"/>
    <cellStyle name="Финансовый 6 2" xfId="290" xr:uid="{00000000-0005-0000-0000-00005B010000}"/>
    <cellStyle name="Финансовый 6 2 2" xfId="398" xr:uid="{2502BC1F-F5ED-4820-84BB-A86170185A39}"/>
    <cellStyle name="Финансовый 6 2 2 2" xfId="606" xr:uid="{6D1EA0DC-CE0E-4621-9C85-01953693A81A}"/>
    <cellStyle name="Финансовый 6 2 3" xfId="504" xr:uid="{8A3A579F-CE75-4ABE-9363-F1151CFE8348}"/>
    <cellStyle name="Финансовый 6 3" xfId="355" xr:uid="{B659FD33-6DA5-4AD5-8794-6ECEFBEAEC21}"/>
    <cellStyle name="Финансовый 6 3 2" xfId="563" xr:uid="{E6A71D7D-FDE7-4E4D-BCA6-EA4C4DA0799D}"/>
    <cellStyle name="Финансовый 6 4" xfId="461" xr:uid="{13A41FE0-88D2-466D-A731-C84A9A8E114E}"/>
    <cellStyle name="Финансовый 7" xfId="18" xr:uid="{00000000-0005-0000-0000-00005C010000}"/>
    <cellStyle name="Финансовый 7 2" xfId="292" xr:uid="{00000000-0005-0000-0000-00005D010000}"/>
    <cellStyle name="Финансовый 7 2 2" xfId="400" xr:uid="{B6DFB20F-8B53-457E-82C2-247C946208E0}"/>
    <cellStyle name="Финансовый 7 2 2 2" xfId="608" xr:uid="{434C414F-C369-4751-8B1F-C905C0ABA5BA}"/>
    <cellStyle name="Финансовый 7 2 3" xfId="506" xr:uid="{A7B58376-4C5B-4111-9C14-0A3BDD78FFB7}"/>
    <cellStyle name="Финансовый 7 3" xfId="357" xr:uid="{B53DEE3D-9024-46B7-AF86-4C323F6DEE1E}"/>
    <cellStyle name="Финансовый 7 3 2" xfId="565" xr:uid="{E9BAF449-B183-4914-AEFC-0DDE2297B421}"/>
    <cellStyle name="Финансовый 7 4" xfId="463" xr:uid="{5BBCC116-31C5-49DF-AEFC-25AB664B3408}"/>
    <cellStyle name="Финансовый 8" xfId="24" xr:uid="{00000000-0005-0000-0000-00005E010000}"/>
    <cellStyle name="Финансовый 8 2" xfId="295" xr:uid="{00000000-0005-0000-0000-00005F010000}"/>
    <cellStyle name="Финансовый 8 2 2" xfId="402" xr:uid="{A0CC4235-33C4-46E8-B827-49B179450CD6}"/>
    <cellStyle name="Финансовый 8 2 2 2" xfId="610" xr:uid="{18B07034-E250-4E83-92B9-AF2C0AB479EA}"/>
    <cellStyle name="Финансовый 8 2 3" xfId="508" xr:uid="{DC2A33C4-2F26-4FE3-8106-5F10BFC88F1A}"/>
    <cellStyle name="Финансовый 8 3" xfId="359" xr:uid="{00905422-3E1B-4699-92B8-40556F08FB6F}"/>
    <cellStyle name="Финансовый 8 3 2" xfId="567" xr:uid="{BACBAD47-3B11-4BAE-804D-7BA39567B928}"/>
    <cellStyle name="Финансовый 8 4" xfId="465" xr:uid="{BE5B70B8-6A17-47C2-B81C-A9F6D99E837C}"/>
    <cellStyle name="Финансовый 9" xfId="23" xr:uid="{00000000-0005-0000-0000-000060010000}"/>
  </cellStyles>
  <dxfs count="5"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9" tint="0.59996337778862885"/>
        </pattern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9" tint="0.79998168889431442"/>
        </patternFill>
      </fill>
    </dxf>
  </dxfs>
  <tableStyles count="3" defaultTableStyle="TableStyleMedium9" defaultPivotStyle="PivotStyleLight16">
    <tableStyle name="Стиль таблицы 1" pivot="0" count="1" xr9:uid="{00000000-0011-0000-FFFF-FFFF00000000}">
      <tableStyleElement type="secondRowStripe" dxfId="4"/>
    </tableStyle>
    <tableStyle name="Стиль таблицы 2" pivot="0" count="2" xr9:uid="{00000000-0011-0000-FFFF-FFFF01000000}">
      <tableStyleElement type="headerRow" dxfId="3"/>
      <tableStyleElement type="totalRow" dxfId="2"/>
    </tableStyle>
    <tableStyle name="Стиль таблицы 3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P233"/>
  <sheetViews>
    <sheetView zoomScale="110" zoomScaleNormal="110" workbookViewId="0">
      <pane ySplit="6" topLeftCell="A190" activePane="bottomLeft" state="frozen"/>
      <selection pane="bottomLeft" activeCell="B207" sqref="B207"/>
    </sheetView>
  </sheetViews>
  <sheetFormatPr defaultColWidth="10.1640625" defaultRowHeight="11.45" customHeight="1" outlineLevelRow="1" x14ac:dyDescent="0.2"/>
  <cols>
    <col min="1" max="1" width="34.83203125" style="1" customWidth="1"/>
    <col min="2" max="2" width="75.5" style="1" customWidth="1"/>
    <col min="3" max="3" width="26.5" style="1" customWidth="1"/>
    <col min="4" max="4" width="23.1640625" style="1" customWidth="1"/>
    <col min="5" max="5" width="19.5" style="1" customWidth="1"/>
    <col min="6" max="6" width="22" style="1" customWidth="1"/>
    <col min="7" max="7" width="21.33203125" style="1" customWidth="1"/>
    <col min="8" max="8" width="21.1640625" style="1" customWidth="1"/>
    <col min="9" max="9" width="23.6640625" style="1" customWidth="1"/>
    <col min="10" max="10" width="22.33203125" customWidth="1"/>
    <col min="11" max="11" width="19.5" customWidth="1"/>
    <col min="12" max="12" width="18" customWidth="1"/>
    <col min="13" max="13" width="20.83203125" customWidth="1"/>
    <col min="14" max="14" width="19" customWidth="1"/>
    <col min="15" max="15" width="22.5" customWidth="1"/>
    <col min="16" max="16" width="15.33203125" hidden="1" customWidth="1"/>
    <col min="17" max="17" width="19" hidden="1" customWidth="1"/>
    <col min="18" max="18" width="20.5" customWidth="1"/>
    <col min="19" max="19" width="22.83203125" customWidth="1"/>
    <col min="20" max="20" width="22.33203125" customWidth="1"/>
    <col min="21" max="21" width="18" customWidth="1"/>
    <col min="22" max="22" width="13.5" bestFit="1" customWidth="1"/>
    <col min="23" max="23" width="20.1640625" customWidth="1"/>
  </cols>
  <sheetData>
    <row r="1" spans="1:21" s="1" customFormat="1" ht="9.9499999999999993" hidden="1" customHeight="1" x14ac:dyDescent="0.2"/>
    <row r="2" spans="1:21" s="1" customFormat="1" ht="9.9499999999999993" hidden="1" customHeight="1" x14ac:dyDescent="0.2"/>
    <row r="3" spans="1:21" ht="34.5" hidden="1" customHeight="1" x14ac:dyDescent="0.25">
      <c r="A3" s="5" t="s">
        <v>18</v>
      </c>
      <c r="J3" s="1"/>
      <c r="K3" s="1"/>
      <c r="L3" s="1"/>
      <c r="M3" s="1"/>
      <c r="N3" s="1"/>
      <c r="O3" s="1"/>
      <c r="P3" s="1"/>
      <c r="Q3" s="1"/>
      <c r="R3" s="1"/>
    </row>
    <row r="4" spans="1:21" ht="34.5" customHeight="1" thickBot="1" x14ac:dyDescent="0.3">
      <c r="A4" s="5"/>
      <c r="F4" s="452">
        <v>44245</v>
      </c>
      <c r="G4" s="453"/>
      <c r="H4" s="453"/>
      <c r="I4" s="453"/>
      <c r="J4" s="1"/>
      <c r="K4" s="1"/>
      <c r="L4" s="1"/>
      <c r="M4" s="1"/>
      <c r="N4" s="1"/>
      <c r="O4" s="1"/>
      <c r="P4" s="1"/>
      <c r="Q4" s="1"/>
      <c r="R4" s="1"/>
    </row>
    <row r="5" spans="1:21" ht="13.5" customHeight="1" thickBot="1" x14ac:dyDescent="0.25">
      <c r="A5" s="65" t="s">
        <v>0</v>
      </c>
      <c r="B5" s="66"/>
      <c r="C5" s="454" t="s">
        <v>85</v>
      </c>
      <c r="D5" s="456" t="s">
        <v>6</v>
      </c>
      <c r="E5" s="458" t="s">
        <v>86</v>
      </c>
      <c r="F5" s="443" t="s">
        <v>7</v>
      </c>
      <c r="G5" s="443"/>
      <c r="H5" s="443"/>
      <c r="I5" s="444"/>
      <c r="J5" s="460" t="s">
        <v>8</v>
      </c>
      <c r="K5" s="461"/>
      <c r="L5" s="461"/>
      <c r="M5" s="461"/>
      <c r="N5" s="461"/>
      <c r="O5" s="442" t="s">
        <v>90</v>
      </c>
      <c r="P5" s="443"/>
      <c r="Q5" s="444"/>
      <c r="R5" s="445" t="s">
        <v>9</v>
      </c>
      <c r="S5" s="445" t="s">
        <v>89</v>
      </c>
      <c r="T5" s="447" t="s">
        <v>81</v>
      </c>
    </row>
    <row r="6" spans="1:21" ht="62.25" customHeight="1" thickBot="1" x14ac:dyDescent="0.25">
      <c r="A6" s="64" t="s">
        <v>1</v>
      </c>
      <c r="B6" s="64" t="s">
        <v>13</v>
      </c>
      <c r="C6" s="455"/>
      <c r="D6" s="457"/>
      <c r="E6" s="459"/>
      <c r="F6" s="231" t="s">
        <v>3</v>
      </c>
      <c r="G6" s="95" t="s">
        <v>4</v>
      </c>
      <c r="H6" s="96" t="s">
        <v>20</v>
      </c>
      <c r="I6" s="97" t="s">
        <v>14</v>
      </c>
      <c r="J6" s="98" t="s">
        <v>10</v>
      </c>
      <c r="K6" s="99" t="s">
        <v>11</v>
      </c>
      <c r="L6" s="100" t="s">
        <v>17</v>
      </c>
      <c r="M6" s="101" t="s">
        <v>87</v>
      </c>
      <c r="N6" s="102" t="s">
        <v>19</v>
      </c>
      <c r="O6" s="97" t="s">
        <v>88</v>
      </c>
      <c r="P6" s="103" t="s">
        <v>12</v>
      </c>
      <c r="Q6" s="104" t="s">
        <v>2</v>
      </c>
      <c r="R6" s="446"/>
      <c r="S6" s="446"/>
      <c r="T6" s="448"/>
      <c r="U6" s="449" t="s">
        <v>123</v>
      </c>
    </row>
    <row r="7" spans="1:21" ht="13.5" thickBot="1" x14ac:dyDescent="0.25">
      <c r="A7" s="21" t="s">
        <v>23</v>
      </c>
      <c r="B7" s="22" t="s">
        <v>24</v>
      </c>
      <c r="C7" s="23">
        <f>SUBTOTAL(9,C8:C37)</f>
        <v>119999532.72633623</v>
      </c>
      <c r="D7" s="24">
        <f>SUBTOTAL(9,D8:D37)</f>
        <v>0</v>
      </c>
      <c r="E7" s="25">
        <f>SUBTOTAL(9,E8:E29)</f>
        <v>6265915.1897561997</v>
      </c>
      <c r="F7" s="232">
        <f t="shared" ref="F7:L7" si="0">SUBTOTAL(9,F8:F38)</f>
        <v>112674901.51000002</v>
      </c>
      <c r="G7" s="24">
        <f t="shared" si="0"/>
        <v>112669610.83000003</v>
      </c>
      <c r="H7" s="26">
        <f t="shared" si="0"/>
        <v>58383704.918448016</v>
      </c>
      <c r="I7" s="27">
        <f t="shared" si="0"/>
        <v>5290.6800000000076</v>
      </c>
      <c r="J7" s="23">
        <f t="shared" si="0"/>
        <v>0</v>
      </c>
      <c r="K7" s="24">
        <f t="shared" si="0"/>
        <v>0</v>
      </c>
      <c r="L7" s="26">
        <f t="shared" si="0"/>
        <v>0</v>
      </c>
      <c r="M7" s="86">
        <f>SUBTOTAL(9,M8:M29)</f>
        <v>0</v>
      </c>
      <c r="N7" s="87">
        <f>SUBTOTAL(9,N8:N29)</f>
        <v>0</v>
      </c>
      <c r="O7" s="23">
        <f>SUBTOTAL(9,O8:O9)</f>
        <v>0</v>
      </c>
      <c r="P7" s="24">
        <f>SUBTOTAL(9,P8:P9)</f>
        <v>0</v>
      </c>
      <c r="Q7" s="25">
        <f>SUBTOTAL(9,Q8:Q9)</f>
        <v>0</v>
      </c>
      <c r="R7" s="27">
        <f>SUBTOTAL(9,R8:R9)</f>
        <v>0</v>
      </c>
      <c r="S7" s="27">
        <f>SUBTOTAL(9,S8:S38)</f>
        <v>0</v>
      </c>
      <c r="T7" s="90">
        <f>SUBTOTAL(9,T9:T38)</f>
        <v>1072627.5099999998</v>
      </c>
      <c r="U7" s="450"/>
    </row>
    <row r="8" spans="1:21" ht="11.1" customHeight="1" x14ac:dyDescent="0.2">
      <c r="A8" s="28" t="s">
        <v>21</v>
      </c>
      <c r="B8" s="29"/>
      <c r="C8" s="30">
        <f>SUBTOTAL(9,C9:C38)</f>
        <v>119999532.72633623</v>
      </c>
      <c r="D8" s="31">
        <f>SUBTOTAL(9,D9:D38)</f>
        <v>0</v>
      </c>
      <c r="E8" s="32">
        <f t="shared" ref="E8:T8" si="1">SUBTOTAL(9,E9:E38)</f>
        <v>6326698.8063361989</v>
      </c>
      <c r="F8" s="35">
        <f t="shared" si="1"/>
        <v>112674901.51000002</v>
      </c>
      <c r="G8" s="31">
        <f t="shared" si="1"/>
        <v>112669610.83000003</v>
      </c>
      <c r="H8" s="33">
        <f t="shared" si="1"/>
        <v>58383704.918448016</v>
      </c>
      <c r="I8" s="34">
        <f t="shared" si="1"/>
        <v>5290.6800000000076</v>
      </c>
      <c r="J8" s="35">
        <f t="shared" si="1"/>
        <v>0</v>
      </c>
      <c r="K8" s="31">
        <f t="shared" si="1"/>
        <v>0</v>
      </c>
      <c r="L8" s="33">
        <f t="shared" si="1"/>
        <v>0</v>
      </c>
      <c r="M8" s="85">
        <f t="shared" si="1"/>
        <v>0</v>
      </c>
      <c r="N8" s="88">
        <f t="shared" si="1"/>
        <v>0</v>
      </c>
      <c r="O8" s="30">
        <f t="shared" si="1"/>
        <v>5290.6800000000076</v>
      </c>
      <c r="P8" s="31">
        <f t="shared" si="1"/>
        <v>0</v>
      </c>
      <c r="Q8" s="32">
        <f t="shared" si="1"/>
        <v>0</v>
      </c>
      <c r="R8" s="106">
        <f t="shared" si="1"/>
        <v>0</v>
      </c>
      <c r="S8" s="106">
        <f t="shared" si="1"/>
        <v>0</v>
      </c>
      <c r="T8" s="107">
        <f t="shared" si="1"/>
        <v>1072627.5099999998</v>
      </c>
    </row>
    <row r="9" spans="1:21" ht="21" customHeight="1" outlineLevel="1" x14ac:dyDescent="0.2">
      <c r="A9" s="36" t="s">
        <v>15</v>
      </c>
      <c r="B9" s="46" t="s">
        <v>25</v>
      </c>
      <c r="C9" s="55">
        <v>17678052.93</v>
      </c>
      <c r="D9" s="38"/>
      <c r="E9" s="56">
        <f t="shared" ref="E9:E30" si="2">C9+D9-F9-M9</f>
        <v>323103.41999999806</v>
      </c>
      <c r="F9" s="48">
        <v>17354949.510000002</v>
      </c>
      <c r="G9" s="211">
        <v>17354949.510000002</v>
      </c>
      <c r="H9" s="92">
        <v>8109602.0751999989</v>
      </c>
      <c r="I9" s="78">
        <f>F9-G9</f>
        <v>0</v>
      </c>
      <c r="J9" s="61"/>
      <c r="K9" s="41"/>
      <c r="L9" s="75"/>
      <c r="M9" s="83">
        <f>J9+K9+L9</f>
        <v>0</v>
      </c>
      <c r="N9" s="75"/>
      <c r="O9" s="83">
        <f>I9+M9</f>
        <v>0</v>
      </c>
      <c r="P9" s="41"/>
      <c r="Q9" s="62">
        <f>I9-M9</f>
        <v>0</v>
      </c>
      <c r="R9" s="78"/>
      <c r="S9" s="111"/>
      <c r="T9" s="108"/>
    </row>
    <row r="10" spans="1:21" ht="11.1" customHeight="1" outlineLevel="1" x14ac:dyDescent="0.2">
      <c r="A10" s="36" t="s">
        <v>98</v>
      </c>
      <c r="B10" s="46" t="s">
        <v>28</v>
      </c>
      <c r="C10" s="57">
        <v>1361636.4028742048</v>
      </c>
      <c r="D10" s="43"/>
      <c r="E10" s="56">
        <f>C10+D10-F10-M10</f>
        <v>45501.082874204731</v>
      </c>
      <c r="F10" s="49">
        <v>1316135.32</v>
      </c>
      <c r="G10" s="210">
        <v>1316135.32</v>
      </c>
      <c r="H10" s="75">
        <f>280483.15+290732.21</f>
        <v>571215.3600000001</v>
      </c>
      <c r="I10" s="78">
        <f t="shared" ref="I10:I38" si="3">F10-G10</f>
        <v>0</v>
      </c>
      <c r="J10" s="52"/>
      <c r="K10" s="39"/>
      <c r="L10" s="75"/>
      <c r="M10" s="83">
        <f t="shared" ref="M10:M38" si="4">J10+K10+L10</f>
        <v>0</v>
      </c>
      <c r="N10" s="75"/>
      <c r="O10" s="83">
        <f t="shared" ref="O10:O39" si="5">I10+M10</f>
        <v>0</v>
      </c>
      <c r="P10" s="41"/>
      <c r="Q10" s="62">
        <f t="shared" ref="Q10:Q18" si="6">I10-M10</f>
        <v>0</v>
      </c>
      <c r="R10" s="78"/>
      <c r="S10" s="78"/>
      <c r="T10" s="108"/>
    </row>
    <row r="11" spans="1:21" ht="11.1" customHeight="1" outlineLevel="1" x14ac:dyDescent="0.2">
      <c r="A11" s="451" t="s">
        <v>48</v>
      </c>
      <c r="B11" s="46" t="s">
        <v>29</v>
      </c>
      <c r="C11" s="58">
        <v>1897171.9664320005</v>
      </c>
      <c r="D11" s="43"/>
      <c r="E11" s="56">
        <f t="shared" si="2"/>
        <v>4600.646432000678</v>
      </c>
      <c r="F11" s="50">
        <f>186467.78+1055899.14+632608.01+17596.39</f>
        <v>1892571.3199999998</v>
      </c>
      <c r="G11" s="210">
        <v>1892571.3199999998</v>
      </c>
      <c r="H11" s="93">
        <f>18769.14+530737.57+295864.98+7246.38</f>
        <v>852618.07</v>
      </c>
      <c r="I11" s="78">
        <f t="shared" si="3"/>
        <v>0</v>
      </c>
      <c r="J11" s="61"/>
      <c r="K11" s="41"/>
      <c r="L11" s="75"/>
      <c r="M11" s="83">
        <f t="shared" si="4"/>
        <v>0</v>
      </c>
      <c r="N11" s="75"/>
      <c r="O11" s="83">
        <f t="shared" si="5"/>
        <v>0</v>
      </c>
      <c r="P11" s="41"/>
      <c r="Q11" s="62">
        <f t="shared" si="6"/>
        <v>0</v>
      </c>
      <c r="R11" s="78"/>
      <c r="S11" s="78"/>
      <c r="T11" s="108"/>
    </row>
    <row r="12" spans="1:21" ht="11.1" customHeight="1" outlineLevel="1" x14ac:dyDescent="0.2">
      <c r="A12" s="451"/>
      <c r="B12" s="46" t="s">
        <v>32</v>
      </c>
      <c r="C12" s="58">
        <f>293812.98*1.2</f>
        <v>352575.57599999994</v>
      </c>
      <c r="D12" s="43"/>
      <c r="E12" s="56">
        <f t="shared" si="2"/>
        <v>11521.475999999966</v>
      </c>
      <c r="F12" s="202">
        <f>155510.69+185543.41</f>
        <v>341054.1</v>
      </c>
      <c r="G12" s="210">
        <v>341054.1</v>
      </c>
      <c r="H12" s="75">
        <f>20600.41+22467.19</f>
        <v>43067.6</v>
      </c>
      <c r="I12" s="78">
        <f t="shared" si="3"/>
        <v>0</v>
      </c>
      <c r="J12" s="52"/>
      <c r="K12" s="41"/>
      <c r="L12" s="76"/>
      <c r="M12" s="83">
        <f t="shared" si="4"/>
        <v>0</v>
      </c>
      <c r="N12" s="75"/>
      <c r="O12" s="83">
        <f t="shared" si="5"/>
        <v>0</v>
      </c>
      <c r="P12" s="41"/>
      <c r="Q12" s="62">
        <f t="shared" si="6"/>
        <v>0</v>
      </c>
      <c r="R12" s="78"/>
      <c r="S12" s="78"/>
      <c r="T12" s="108"/>
    </row>
    <row r="13" spans="1:21" ht="10.9" customHeight="1" outlineLevel="1" x14ac:dyDescent="0.2">
      <c r="A13" s="36" t="s">
        <v>56</v>
      </c>
      <c r="B13" s="46" t="s">
        <v>31</v>
      </c>
      <c r="C13" s="57">
        <f>1885563.73+1097686.73</f>
        <v>2983250.46</v>
      </c>
      <c r="D13" s="42"/>
      <c r="E13" s="56">
        <f t="shared" si="2"/>
        <v>107914.35999999987</v>
      </c>
      <c r="F13" s="51">
        <v>2875336.1</v>
      </c>
      <c r="G13" s="210">
        <v>2875336.1</v>
      </c>
      <c r="H13" s="93">
        <v>1771439.4812479999</v>
      </c>
      <c r="I13" s="78">
        <f t="shared" si="3"/>
        <v>0</v>
      </c>
      <c r="J13" s="53"/>
      <c r="K13" s="41"/>
      <c r="L13" s="75"/>
      <c r="M13" s="83">
        <f t="shared" si="4"/>
        <v>0</v>
      </c>
      <c r="N13" s="75"/>
      <c r="O13" s="83">
        <f t="shared" si="5"/>
        <v>0</v>
      </c>
      <c r="P13" s="41"/>
      <c r="Q13" s="62">
        <f t="shared" si="6"/>
        <v>0</v>
      </c>
      <c r="R13" s="78"/>
      <c r="S13" s="78"/>
      <c r="T13" s="108"/>
    </row>
    <row r="14" spans="1:21" ht="11.1" customHeight="1" outlineLevel="1" thickBot="1" x14ac:dyDescent="0.25">
      <c r="A14" s="36" t="s">
        <v>65</v>
      </c>
      <c r="B14" s="46" t="s">
        <v>34</v>
      </c>
      <c r="C14" s="58">
        <f>19943618.7+160449.44+113242.11</f>
        <v>20217310.25</v>
      </c>
      <c r="D14" s="43"/>
      <c r="E14" s="56">
        <f t="shared" si="2"/>
        <v>1629301.8999999985</v>
      </c>
      <c r="F14" s="50">
        <v>18588008.350000001</v>
      </c>
      <c r="G14" s="220">
        <v>18588008.350000001</v>
      </c>
      <c r="H14" s="93">
        <f>8536003.38+855746.96+33791.99</f>
        <v>9425542.3300000001</v>
      </c>
      <c r="I14" s="78">
        <f t="shared" si="3"/>
        <v>0</v>
      </c>
      <c r="J14" s="37"/>
      <c r="K14" s="225"/>
      <c r="L14" s="76"/>
      <c r="M14" s="83">
        <f t="shared" si="4"/>
        <v>0</v>
      </c>
      <c r="N14" s="75"/>
      <c r="O14" s="83">
        <f t="shared" si="5"/>
        <v>0</v>
      </c>
      <c r="P14" s="41"/>
      <c r="Q14" s="62">
        <f t="shared" si="6"/>
        <v>0</v>
      </c>
      <c r="R14" s="78"/>
      <c r="S14" s="78"/>
      <c r="T14" s="110"/>
      <c r="U14" s="10"/>
    </row>
    <row r="15" spans="1:21" ht="10.9" customHeight="1" outlineLevel="1" thickBot="1" x14ac:dyDescent="0.25">
      <c r="A15" s="36" t="s">
        <v>99</v>
      </c>
      <c r="B15" s="46" t="s">
        <v>51</v>
      </c>
      <c r="C15" s="57">
        <v>2631155.69</v>
      </c>
      <c r="D15" s="43"/>
      <c r="E15" s="56"/>
      <c r="F15" s="49">
        <v>1633223.28</v>
      </c>
      <c r="G15" s="210">
        <v>1633223.28</v>
      </c>
      <c r="H15" s="93">
        <v>744704.84</v>
      </c>
      <c r="I15" s="78">
        <f t="shared" si="3"/>
        <v>0</v>
      </c>
      <c r="J15" s="48"/>
      <c r="K15" s="226"/>
      <c r="L15" s="76"/>
      <c r="M15" s="83">
        <f t="shared" si="4"/>
        <v>0</v>
      </c>
      <c r="N15" s="75"/>
      <c r="O15" s="83">
        <f t="shared" si="5"/>
        <v>0</v>
      </c>
      <c r="P15" s="41"/>
      <c r="Q15" s="62"/>
      <c r="R15" s="78"/>
      <c r="S15" s="78"/>
      <c r="T15" s="110"/>
      <c r="U15" s="222"/>
    </row>
    <row r="16" spans="1:21" ht="11.1" customHeight="1" outlineLevel="1" x14ac:dyDescent="0.2">
      <c r="A16" s="194" t="s">
        <v>100</v>
      </c>
      <c r="B16" s="46" t="s">
        <v>36</v>
      </c>
      <c r="C16" s="58">
        <v>394492.25</v>
      </c>
      <c r="D16" s="43"/>
      <c r="E16" s="56">
        <f t="shared" si="2"/>
        <v>8683.390000000014</v>
      </c>
      <c r="F16" s="49">
        <v>385808.86</v>
      </c>
      <c r="G16" s="210">
        <v>385808.86</v>
      </c>
      <c r="H16" s="75">
        <v>161223.17000000001</v>
      </c>
      <c r="I16" s="78">
        <f>F16-G16</f>
        <v>0</v>
      </c>
      <c r="J16" s="52"/>
      <c r="K16" s="41"/>
      <c r="L16" s="75"/>
      <c r="M16" s="83">
        <f t="shared" si="4"/>
        <v>0</v>
      </c>
      <c r="N16" s="75"/>
      <c r="O16" s="83">
        <f t="shared" si="5"/>
        <v>0</v>
      </c>
      <c r="P16" s="41"/>
      <c r="Q16" s="62"/>
      <c r="R16" s="78"/>
      <c r="S16" s="78"/>
      <c r="T16" s="108"/>
      <c r="U16" s="13"/>
    </row>
    <row r="17" spans="1:22" s="18" customFormat="1" ht="11.1" customHeight="1" outlineLevel="1" x14ac:dyDescent="0.2">
      <c r="A17" s="45" t="s">
        <v>55</v>
      </c>
      <c r="B17" s="47" t="s">
        <v>35</v>
      </c>
      <c r="C17" s="57">
        <f>17058166.67+253722.88</f>
        <v>17311889.550000001</v>
      </c>
      <c r="D17" s="42"/>
      <c r="E17" s="59">
        <f t="shared" si="2"/>
        <v>448721.23000000045</v>
      </c>
      <c r="F17" s="233">
        <f>16563217.76+253722.88+46227.68</f>
        <v>16863168.32</v>
      </c>
      <c r="G17" s="210">
        <v>16863168.32</v>
      </c>
      <c r="H17" s="94">
        <v>8512386.5500000007</v>
      </c>
      <c r="I17" s="78">
        <f t="shared" si="3"/>
        <v>0</v>
      </c>
      <c r="J17" s="53"/>
      <c r="K17" s="37"/>
      <c r="L17" s="77"/>
      <c r="M17" s="83">
        <f t="shared" si="4"/>
        <v>0</v>
      </c>
      <c r="N17" s="77"/>
      <c r="O17" s="83">
        <f t="shared" si="5"/>
        <v>0</v>
      </c>
      <c r="P17" s="37"/>
      <c r="Q17" s="59">
        <f t="shared" si="6"/>
        <v>0</v>
      </c>
      <c r="R17" s="79"/>
      <c r="S17" s="112"/>
      <c r="T17" s="109"/>
      <c r="U17" s="221"/>
      <c r="V17" s="221"/>
    </row>
    <row r="18" spans="1:22" ht="10.9" customHeight="1" outlineLevel="1" x14ac:dyDescent="0.2">
      <c r="A18" s="194">
        <v>43698</v>
      </c>
      <c r="B18" s="46" t="s">
        <v>37</v>
      </c>
      <c r="C18" s="58">
        <v>25167</v>
      </c>
      <c r="D18" s="43"/>
      <c r="E18" s="56">
        <f t="shared" si="2"/>
        <v>339.7400000000016</v>
      </c>
      <c r="F18" s="50">
        <v>24827.26</v>
      </c>
      <c r="G18" s="210">
        <v>24827.26</v>
      </c>
      <c r="H18" s="93">
        <f>10093.78*1.2</f>
        <v>12112.536</v>
      </c>
      <c r="I18" s="78">
        <f t="shared" si="3"/>
        <v>0</v>
      </c>
      <c r="J18" s="52"/>
      <c r="K18" s="41"/>
      <c r="L18" s="76"/>
      <c r="M18" s="83">
        <f t="shared" si="4"/>
        <v>0</v>
      </c>
      <c r="N18" s="75"/>
      <c r="O18" s="83">
        <f t="shared" si="5"/>
        <v>0</v>
      </c>
      <c r="P18" s="41"/>
      <c r="Q18" s="62">
        <f t="shared" si="6"/>
        <v>0</v>
      </c>
      <c r="R18" s="78"/>
      <c r="S18" s="78"/>
      <c r="T18" s="108"/>
      <c r="U18" s="17"/>
    </row>
    <row r="19" spans="1:22" ht="11.1" customHeight="1" outlineLevel="1" x14ac:dyDescent="0.2">
      <c r="A19" s="36" t="s">
        <v>66</v>
      </c>
      <c r="B19" s="46" t="s">
        <v>64</v>
      </c>
      <c r="C19" s="58">
        <f>23640043.76+296458.32+319337.83+1234725.01645</f>
        <v>25490564.926449999</v>
      </c>
      <c r="D19" s="43"/>
      <c r="E19" s="56">
        <f>C19+D19-F19-M19</f>
        <v>4758890.526449997</v>
      </c>
      <c r="F19" s="48">
        <f>16991923.89+132819+825639.67+876636.02+155556.19+280114.73+1468984.9</f>
        <v>20731674.400000002</v>
      </c>
      <c r="G19" s="215">
        <v>20731674.400000002</v>
      </c>
      <c r="H19" s="93">
        <f>8547196.81+146373.42+154774.33</f>
        <v>8848344.5600000005</v>
      </c>
      <c r="I19" s="78">
        <f>F19-G19</f>
        <v>0</v>
      </c>
      <c r="J19" s="52"/>
      <c r="K19" s="41"/>
      <c r="L19" s="76"/>
      <c r="M19" s="83">
        <f t="shared" si="4"/>
        <v>0</v>
      </c>
      <c r="N19" s="75"/>
      <c r="O19" s="83">
        <f t="shared" si="5"/>
        <v>0</v>
      </c>
      <c r="P19" s="41"/>
      <c r="Q19" s="62"/>
      <c r="R19" s="78"/>
      <c r="S19" s="79"/>
      <c r="T19" s="110"/>
      <c r="U19" s="222"/>
    </row>
    <row r="20" spans="1:22" ht="11.1" customHeight="1" outlineLevel="1" x14ac:dyDescent="0.2">
      <c r="A20" s="36" t="s">
        <v>57</v>
      </c>
      <c r="B20" s="46" t="s">
        <v>40</v>
      </c>
      <c r="C20" s="60">
        <v>331381.8</v>
      </c>
      <c r="D20" s="43"/>
      <c r="E20" s="56">
        <f t="shared" si="2"/>
        <v>187541.40999999997</v>
      </c>
      <c r="F20" s="52">
        <f>121269.6+22570.79</f>
        <v>143840.39000000001</v>
      </c>
      <c r="G20" s="196">
        <v>154512</v>
      </c>
      <c r="H20" s="93">
        <v>37269.599999999999</v>
      </c>
      <c r="I20" s="78">
        <f t="shared" si="3"/>
        <v>-10671.609999999986</v>
      </c>
      <c r="J20" s="214"/>
      <c r="K20" s="41"/>
      <c r="L20" s="76"/>
      <c r="M20" s="83">
        <f t="shared" si="4"/>
        <v>0</v>
      </c>
      <c r="N20" s="75">
        <f>L20*0.6</f>
        <v>0</v>
      </c>
      <c r="O20" s="83">
        <f t="shared" si="5"/>
        <v>-10671.609999999986</v>
      </c>
      <c r="P20" s="41"/>
      <c r="Q20" s="62"/>
      <c r="R20" s="78"/>
      <c r="S20" s="78"/>
      <c r="T20" s="110"/>
      <c r="U20" s="13"/>
    </row>
    <row r="21" spans="1:22" ht="11.1" customHeight="1" outlineLevel="1" x14ac:dyDescent="0.2">
      <c r="A21" s="36" t="s">
        <v>114</v>
      </c>
      <c r="B21" s="46" t="s">
        <v>43</v>
      </c>
      <c r="C21" s="58">
        <v>239982.51</v>
      </c>
      <c r="D21" s="43"/>
      <c r="E21" s="56">
        <f t="shared" si="2"/>
        <v>12979.180000000022</v>
      </c>
      <c r="F21" s="53">
        <v>227003.33</v>
      </c>
      <c r="G21" s="210">
        <v>227003.33</v>
      </c>
      <c r="H21" s="75">
        <f>74917.48*1.2</f>
        <v>89900.975999999995</v>
      </c>
      <c r="I21" s="78">
        <f t="shared" si="3"/>
        <v>0</v>
      </c>
      <c r="J21" s="52"/>
      <c r="K21" s="43"/>
      <c r="L21" s="76"/>
      <c r="M21" s="83">
        <f t="shared" si="4"/>
        <v>0</v>
      </c>
      <c r="N21" s="75"/>
      <c r="O21" s="83">
        <f t="shared" si="5"/>
        <v>0</v>
      </c>
      <c r="P21" s="41"/>
      <c r="Q21" s="62"/>
      <c r="R21" s="78"/>
      <c r="S21" s="78"/>
      <c r="T21" s="110"/>
      <c r="U21" s="17"/>
    </row>
    <row r="22" spans="1:22" ht="11.1" customHeight="1" outlineLevel="1" x14ac:dyDescent="0.2">
      <c r="A22" s="36" t="s">
        <v>101</v>
      </c>
      <c r="B22" s="46" t="s">
        <v>44</v>
      </c>
      <c r="C22" s="58">
        <v>178306.2</v>
      </c>
      <c r="D22" s="43"/>
      <c r="E22" s="56">
        <f t="shared" si="2"/>
        <v>40454.69</v>
      </c>
      <c r="F22" s="53">
        <v>137851.51</v>
      </c>
      <c r="G22" s="210">
        <v>137851.51</v>
      </c>
      <c r="H22" s="75">
        <v>56870.424000000006</v>
      </c>
      <c r="I22" s="78">
        <f t="shared" si="3"/>
        <v>0</v>
      </c>
      <c r="J22" s="52"/>
      <c r="K22" s="43"/>
      <c r="L22" s="76"/>
      <c r="M22" s="83">
        <f t="shared" si="4"/>
        <v>0</v>
      </c>
      <c r="N22" s="75"/>
      <c r="O22" s="83">
        <f t="shared" si="5"/>
        <v>0</v>
      </c>
      <c r="P22" s="41"/>
      <c r="Q22" s="62">
        <f t="shared" ref="Q22:Q24" si="7">I22-M22</f>
        <v>0</v>
      </c>
      <c r="R22" s="78"/>
      <c r="S22" s="78"/>
      <c r="T22" s="110"/>
      <c r="U22" s="17"/>
    </row>
    <row r="23" spans="1:22" ht="10.9" customHeight="1" outlineLevel="1" x14ac:dyDescent="0.2">
      <c r="A23" s="36" t="s">
        <v>67</v>
      </c>
      <c r="B23" s="46" t="s">
        <v>53</v>
      </c>
      <c r="C23" s="58">
        <v>239221.29</v>
      </c>
      <c r="D23" s="43"/>
      <c r="E23" s="56">
        <f t="shared" si="2"/>
        <v>7214.2700000000186</v>
      </c>
      <c r="F23" s="234">
        <v>232007.02</v>
      </c>
      <c r="G23" s="210">
        <v>232007.02</v>
      </c>
      <c r="H23" s="93">
        <v>105439.53</v>
      </c>
      <c r="I23" s="78">
        <f t="shared" si="3"/>
        <v>0</v>
      </c>
      <c r="J23" s="52"/>
      <c r="K23" s="43"/>
      <c r="L23" s="76"/>
      <c r="M23" s="83">
        <f t="shared" si="4"/>
        <v>0</v>
      </c>
      <c r="N23" s="75"/>
      <c r="O23" s="83">
        <f t="shared" si="5"/>
        <v>0</v>
      </c>
      <c r="P23" s="41"/>
      <c r="Q23" s="62">
        <f t="shared" si="7"/>
        <v>0</v>
      </c>
      <c r="R23" s="78"/>
      <c r="S23" s="78"/>
      <c r="T23" s="110"/>
    </row>
    <row r="24" spans="1:22" s="209" customFormat="1" ht="11.1" customHeight="1" outlineLevel="1" x14ac:dyDescent="0.2">
      <c r="A24" s="197" t="s">
        <v>102</v>
      </c>
      <c r="B24" s="219" t="s">
        <v>47</v>
      </c>
      <c r="C24" s="198">
        <v>2168690.39</v>
      </c>
      <c r="D24" s="114"/>
      <c r="E24" s="199">
        <f>C24+D24-F24-M24</f>
        <v>66216.740000000224</v>
      </c>
      <c r="F24" s="50">
        <f>1380841.1+646895.34+74737.21</f>
        <v>2102473.65</v>
      </c>
      <c r="G24" s="210">
        <v>2102473.65</v>
      </c>
      <c r="H24" s="200">
        <f>1042266.606+22080.73+30229.64</f>
        <v>1094576.976</v>
      </c>
      <c r="I24" s="201">
        <f>F24-G24</f>
        <v>0</v>
      </c>
      <c r="J24" s="202"/>
      <c r="K24" s="114"/>
      <c r="L24" s="203"/>
      <c r="M24" s="204">
        <f t="shared" si="4"/>
        <v>0</v>
      </c>
      <c r="N24" s="205"/>
      <c r="O24" s="83">
        <f t="shared" si="5"/>
        <v>0</v>
      </c>
      <c r="P24" s="206"/>
      <c r="Q24" s="207">
        <f t="shared" si="7"/>
        <v>0</v>
      </c>
      <c r="R24" s="201"/>
      <c r="S24" s="201"/>
      <c r="T24" s="208"/>
    </row>
    <row r="25" spans="1:22" ht="10.9" customHeight="1" outlineLevel="1" x14ac:dyDescent="0.2">
      <c r="A25" s="36" t="s">
        <v>103</v>
      </c>
      <c r="B25" s="46" t="s">
        <v>62</v>
      </c>
      <c r="C25" s="58">
        <v>400375.26</v>
      </c>
      <c r="D25" s="43"/>
      <c r="E25" s="56">
        <f t="shared" si="2"/>
        <v>0</v>
      </c>
      <c r="F25" s="50">
        <v>400375.26</v>
      </c>
      <c r="G25" s="210">
        <v>400375.26</v>
      </c>
      <c r="H25" s="75">
        <v>158192.56</v>
      </c>
      <c r="I25" s="78">
        <f t="shared" si="3"/>
        <v>0</v>
      </c>
      <c r="J25" s="52"/>
      <c r="K25" s="41"/>
      <c r="L25" s="76"/>
      <c r="M25" s="83">
        <f t="shared" si="4"/>
        <v>0</v>
      </c>
      <c r="N25" s="75"/>
      <c r="O25" s="83">
        <f t="shared" si="5"/>
        <v>0</v>
      </c>
      <c r="P25" s="41"/>
      <c r="Q25" s="62"/>
      <c r="R25" s="78"/>
      <c r="S25" s="78"/>
      <c r="T25" s="110"/>
    </row>
    <row r="26" spans="1:22" ht="10.9" customHeight="1" outlineLevel="1" x14ac:dyDescent="0.2">
      <c r="A26" s="36" t="s">
        <v>63</v>
      </c>
      <c r="B26" s="46" t="s">
        <v>52</v>
      </c>
      <c r="C26" s="58">
        <f>5203462.188+269744.33</f>
        <v>5473206.5180000002</v>
      </c>
      <c r="D26" s="43"/>
      <c r="E26" s="56">
        <f t="shared" si="2"/>
        <v>120240.82800000068</v>
      </c>
      <c r="F26" s="53">
        <f>565963.03+806115.71+1005299.74+2975587.21</f>
        <v>5352965.6899999995</v>
      </c>
      <c r="G26" s="224">
        <f>565963.03+806115.71+1005299.74+2975587.21</f>
        <v>5352965.6899999995</v>
      </c>
      <c r="H26" s="75">
        <f>448842.09+622714.56+459367.38+743293.73+2538052.53</f>
        <v>4812270.29</v>
      </c>
      <c r="I26" s="78">
        <f t="shared" si="3"/>
        <v>0</v>
      </c>
      <c r="J26" s="228"/>
      <c r="K26" s="41"/>
      <c r="L26" s="76"/>
      <c r="M26" s="83">
        <f t="shared" si="4"/>
        <v>0</v>
      </c>
      <c r="N26" s="75"/>
      <c r="O26" s="83"/>
      <c r="P26" s="41"/>
      <c r="Q26" s="62"/>
      <c r="R26" s="78"/>
      <c r="S26" s="78"/>
      <c r="T26" s="110"/>
      <c r="V26" s="17"/>
    </row>
    <row r="27" spans="1:22" ht="11.1" customHeight="1" outlineLevel="1" x14ac:dyDescent="0.2">
      <c r="A27" s="36" t="s">
        <v>68</v>
      </c>
      <c r="B27" s="46" t="s">
        <v>54</v>
      </c>
      <c r="C27" s="58">
        <f>3391668.28+1261754.78+2841127.52+124819.31</f>
        <v>7619369.8899999997</v>
      </c>
      <c r="D27" s="43"/>
      <c r="E27" s="56">
        <f t="shared" si="2"/>
        <v>-63376.800000000745</v>
      </c>
      <c r="F27" s="234">
        <f>2148289.33+898441.87+728841.58+507857.5+372534.36+102035.35+2858529.96+66216.74</f>
        <v>7682746.6900000004</v>
      </c>
      <c r="G27" s="210">
        <v>7682746.6900000004</v>
      </c>
      <c r="H27" s="93">
        <f>1106107.92+622153.6+405048.83+22744.93+1599206.37+35987.09</f>
        <v>3791248.74</v>
      </c>
      <c r="I27" s="78">
        <f>F27-G27</f>
        <v>0</v>
      </c>
      <c r="J27" s="41"/>
      <c r="K27" s="41"/>
      <c r="L27" s="76"/>
      <c r="M27" s="83">
        <f t="shared" si="4"/>
        <v>0</v>
      </c>
      <c r="N27" s="75"/>
      <c r="O27" s="83">
        <f t="shared" si="5"/>
        <v>0</v>
      </c>
      <c r="P27" s="41"/>
      <c r="Q27" s="62"/>
      <c r="R27" s="78"/>
      <c r="S27" s="78"/>
      <c r="T27" s="195"/>
      <c r="U27" s="17"/>
      <c r="V27" s="17"/>
    </row>
    <row r="28" spans="1:22" ht="11.1" customHeight="1" outlineLevel="1" x14ac:dyDescent="0.2">
      <c r="A28" s="36" t="s">
        <v>105</v>
      </c>
      <c r="B28" s="219" t="s">
        <v>60</v>
      </c>
      <c r="C28" s="58">
        <v>996696.23999999976</v>
      </c>
      <c r="D28" s="43"/>
      <c r="E28" s="56">
        <f t="shared" si="2"/>
        <v>69584.059999999707</v>
      </c>
      <c r="F28" s="53">
        <v>927112.18</v>
      </c>
      <c r="G28" s="210">
        <v>927112.18</v>
      </c>
      <c r="H28" s="75">
        <v>408307.26</v>
      </c>
      <c r="I28" s="78">
        <f t="shared" si="3"/>
        <v>0</v>
      </c>
      <c r="J28" s="53"/>
      <c r="K28" s="213"/>
      <c r="L28" s="76"/>
      <c r="M28" s="83">
        <f t="shared" si="4"/>
        <v>0</v>
      </c>
      <c r="N28" s="75"/>
      <c r="O28" s="83">
        <f t="shared" si="5"/>
        <v>0</v>
      </c>
      <c r="P28" s="41"/>
      <c r="Q28" s="62"/>
      <c r="R28" s="78"/>
      <c r="S28" s="78"/>
      <c r="T28" s="110"/>
      <c r="U28" s="216"/>
    </row>
    <row r="29" spans="1:22" ht="11.1" customHeight="1" outlineLevel="1" x14ac:dyDescent="0.2">
      <c r="A29" s="36" t="s">
        <v>104</v>
      </c>
      <c r="B29" s="46" t="s">
        <v>58</v>
      </c>
      <c r="C29" s="58">
        <v>9212758.1199999992</v>
      </c>
      <c r="D29" s="43"/>
      <c r="E29" s="56">
        <f t="shared" si="2"/>
        <v>-1513516.9600000009</v>
      </c>
      <c r="F29" s="234">
        <f>4554666.82+4575809.68+1595798.58</f>
        <v>10726275.08</v>
      </c>
      <c r="G29" s="210">
        <v>10726275.08</v>
      </c>
      <c r="H29" s="93">
        <f>2521855.72+3720858.28+543136.04</f>
        <v>6785850.04</v>
      </c>
      <c r="I29" s="78">
        <f>F29-G29</f>
        <v>0</v>
      </c>
      <c r="J29" s="52"/>
      <c r="K29" s="41"/>
      <c r="L29" s="76"/>
      <c r="M29" s="83">
        <f t="shared" si="4"/>
        <v>0</v>
      </c>
      <c r="N29" s="75"/>
      <c r="O29" s="83">
        <f t="shared" si="5"/>
        <v>0</v>
      </c>
      <c r="P29" s="41"/>
      <c r="Q29" s="62"/>
      <c r="R29" s="78"/>
      <c r="S29" s="78"/>
      <c r="T29" s="238">
        <v>1072627.5099999998</v>
      </c>
      <c r="U29" s="17"/>
    </row>
    <row r="30" spans="1:22" ht="11.1" customHeight="1" outlineLevel="1" x14ac:dyDescent="0.2">
      <c r="A30" s="36" t="s">
        <v>140</v>
      </c>
      <c r="B30" s="46" t="s">
        <v>91</v>
      </c>
      <c r="C30" s="58">
        <v>217165.52658000001</v>
      </c>
      <c r="D30" s="43"/>
      <c r="E30" s="56">
        <f t="shared" si="2"/>
        <v>15278.886579999991</v>
      </c>
      <c r="F30" s="61">
        <v>201886.64</v>
      </c>
      <c r="G30" s="223">
        <v>201886.64</v>
      </c>
      <c r="H30" s="93"/>
      <c r="I30" s="78">
        <f t="shared" si="3"/>
        <v>0</v>
      </c>
      <c r="J30" s="61"/>
      <c r="K30" s="75"/>
      <c r="L30" s="75"/>
      <c r="M30" s="83">
        <f t="shared" si="4"/>
        <v>0</v>
      </c>
      <c r="N30" s="75"/>
      <c r="O30" s="83">
        <f t="shared" si="5"/>
        <v>0</v>
      </c>
      <c r="P30" s="41"/>
      <c r="Q30" s="62"/>
      <c r="R30" s="78"/>
      <c r="S30" s="111"/>
      <c r="T30" s="195"/>
    </row>
    <row r="31" spans="1:22" ht="11.1" customHeight="1" outlineLevel="1" x14ac:dyDescent="0.2">
      <c r="A31" s="36" t="s">
        <v>120</v>
      </c>
      <c r="B31" s="219" t="s">
        <v>80</v>
      </c>
      <c r="C31" s="58">
        <v>317568.15999999997</v>
      </c>
      <c r="D31" s="43"/>
      <c r="E31" s="56">
        <f>C31+D31-F31-M31</f>
        <v>2630.5599999999977</v>
      </c>
      <c r="F31" s="50">
        <v>314937.59999999998</v>
      </c>
      <c r="G31" s="210">
        <v>314937.59999999998</v>
      </c>
      <c r="H31" s="93">
        <v>168100.55999999997</v>
      </c>
      <c r="I31" s="78">
        <f t="shared" si="3"/>
        <v>0</v>
      </c>
      <c r="J31" s="52"/>
      <c r="K31" s="52"/>
      <c r="L31" s="76"/>
      <c r="M31" s="83">
        <f t="shared" si="4"/>
        <v>0</v>
      </c>
      <c r="N31" s="75"/>
      <c r="O31" s="83">
        <f t="shared" si="5"/>
        <v>0</v>
      </c>
      <c r="P31" s="61"/>
      <c r="Q31" s="75"/>
      <c r="R31" s="78"/>
      <c r="S31" s="78"/>
      <c r="T31" s="195"/>
      <c r="U31" s="216"/>
    </row>
    <row r="32" spans="1:22" ht="11.1" customHeight="1" outlineLevel="1" x14ac:dyDescent="0.2">
      <c r="A32" s="36" t="s">
        <v>128</v>
      </c>
      <c r="B32" s="46" t="s">
        <v>122</v>
      </c>
      <c r="C32" s="58">
        <v>1859467.28</v>
      </c>
      <c r="D32" s="43"/>
      <c r="E32" s="56">
        <f>C32+D32-F32-M32</f>
        <v>0</v>
      </c>
      <c r="F32" s="52">
        <v>1859467.28</v>
      </c>
      <c r="G32" s="210">
        <v>1859467.28</v>
      </c>
      <c r="H32" s="93">
        <v>1676828.96</v>
      </c>
      <c r="I32" s="78">
        <f t="shared" si="3"/>
        <v>0</v>
      </c>
      <c r="J32" s="52"/>
      <c r="K32" s="52"/>
      <c r="L32" s="76"/>
      <c r="M32" s="83">
        <f t="shared" si="4"/>
        <v>0</v>
      </c>
      <c r="N32" s="75"/>
      <c r="O32" s="83">
        <f t="shared" si="5"/>
        <v>0</v>
      </c>
      <c r="P32" s="61"/>
      <c r="Q32" s="75"/>
      <c r="R32" s="78"/>
      <c r="S32" s="78"/>
      <c r="T32" s="195"/>
    </row>
    <row r="33" spans="1:21" ht="11.1" customHeight="1" outlineLevel="1" x14ac:dyDescent="0.2">
      <c r="A33" s="36" t="s">
        <v>170</v>
      </c>
      <c r="B33" s="46" t="s">
        <v>171</v>
      </c>
      <c r="C33" s="58">
        <v>17254.439999999999</v>
      </c>
      <c r="D33" s="43"/>
      <c r="E33" s="56">
        <f t="shared" ref="E33:E36" si="8">C33+D33-F33-M33</f>
        <v>0</v>
      </c>
      <c r="F33" s="198">
        <v>17254.439999999999</v>
      </c>
      <c r="G33" s="237">
        <v>17254.439999999999</v>
      </c>
      <c r="H33" s="247">
        <v>8790.31</v>
      </c>
      <c r="I33" s="78">
        <f t="shared" si="3"/>
        <v>0</v>
      </c>
      <c r="J33" s="58"/>
      <c r="K33" s="52"/>
      <c r="L33" s="76"/>
      <c r="M33" s="83">
        <f t="shared" si="4"/>
        <v>0</v>
      </c>
      <c r="N33" s="75"/>
      <c r="O33" s="83">
        <f t="shared" si="5"/>
        <v>0</v>
      </c>
      <c r="P33" s="61"/>
      <c r="Q33" s="75"/>
      <c r="R33" s="78"/>
      <c r="S33" s="78"/>
      <c r="T33" s="195"/>
    </row>
    <row r="34" spans="1:21" ht="22.15" customHeight="1" outlineLevel="1" x14ac:dyDescent="0.2">
      <c r="A34" s="36" t="s">
        <v>221</v>
      </c>
      <c r="B34" s="46" t="s">
        <v>222</v>
      </c>
      <c r="C34" s="58">
        <v>182589.82</v>
      </c>
      <c r="D34" s="43"/>
      <c r="E34" s="56">
        <f t="shared" si="8"/>
        <v>264.80999999999767</v>
      </c>
      <c r="F34" s="198">
        <v>182325.01</v>
      </c>
      <c r="G34" s="198">
        <v>182325.01</v>
      </c>
      <c r="H34" s="247">
        <v>83521.84</v>
      </c>
      <c r="I34" s="78">
        <f t="shared" si="3"/>
        <v>0</v>
      </c>
      <c r="J34" s="58"/>
      <c r="K34" s="52"/>
      <c r="L34" s="76"/>
      <c r="M34" s="83">
        <f t="shared" si="4"/>
        <v>0</v>
      </c>
      <c r="N34" s="75"/>
      <c r="O34" s="83">
        <f t="shared" si="5"/>
        <v>0</v>
      </c>
      <c r="P34" s="61"/>
      <c r="Q34" s="75"/>
      <c r="R34" s="78"/>
      <c r="S34" s="78"/>
      <c r="T34" s="195"/>
    </row>
    <row r="35" spans="1:21" ht="10.9" customHeight="1" outlineLevel="1" x14ac:dyDescent="0.2">
      <c r="A35" s="36" t="s">
        <v>217</v>
      </c>
      <c r="B35" s="46" t="s">
        <v>220</v>
      </c>
      <c r="C35" s="58">
        <v>101550.6</v>
      </c>
      <c r="D35" s="43"/>
      <c r="E35" s="56">
        <f t="shared" si="8"/>
        <v>42609.360000000008</v>
      </c>
      <c r="F35" s="198">
        <v>58941.24</v>
      </c>
      <c r="G35" s="198">
        <v>53047.12</v>
      </c>
      <c r="H35" s="247">
        <v>30635.62</v>
      </c>
      <c r="I35" s="253">
        <f t="shared" si="3"/>
        <v>5894.1199999999953</v>
      </c>
      <c r="J35" s="58"/>
      <c r="K35" s="52"/>
      <c r="L35" s="76"/>
      <c r="M35" s="83">
        <f t="shared" si="4"/>
        <v>0</v>
      </c>
      <c r="N35" s="75"/>
      <c r="O35" s="83">
        <f t="shared" si="5"/>
        <v>5894.1199999999953</v>
      </c>
      <c r="P35" s="61"/>
      <c r="Q35" s="75"/>
      <c r="R35" s="78"/>
      <c r="S35" s="78"/>
      <c r="T35" s="195"/>
    </row>
    <row r="36" spans="1:21" ht="22.15" customHeight="1" outlineLevel="1" x14ac:dyDescent="0.2">
      <c r="A36" s="36" t="s">
        <v>218</v>
      </c>
      <c r="B36" s="46" t="s">
        <v>219</v>
      </c>
      <c r="C36" s="58">
        <v>100681.68</v>
      </c>
      <c r="D36" s="43"/>
      <c r="E36" s="56">
        <f t="shared" si="8"/>
        <v>0</v>
      </c>
      <c r="F36" s="198">
        <v>100681.68</v>
      </c>
      <c r="G36" s="198">
        <v>90613.51</v>
      </c>
      <c r="H36" s="247">
        <v>23644.66</v>
      </c>
      <c r="I36" s="253">
        <f t="shared" si="3"/>
        <v>10068.169999999998</v>
      </c>
      <c r="J36" s="58"/>
      <c r="K36" s="52"/>
      <c r="L36" s="76"/>
      <c r="M36" s="83">
        <f t="shared" si="4"/>
        <v>0</v>
      </c>
      <c r="N36" s="75"/>
      <c r="O36" s="83">
        <f t="shared" si="5"/>
        <v>10068.169999999998</v>
      </c>
      <c r="P36" s="61"/>
      <c r="Q36" s="75"/>
      <c r="R36" s="78"/>
      <c r="S36" s="78"/>
      <c r="T36" s="195"/>
    </row>
    <row r="37" spans="1:21" ht="10.9" customHeight="1" outlineLevel="1" x14ac:dyDescent="0.2">
      <c r="A37" s="36"/>
      <c r="B37" s="46"/>
      <c r="C37" s="58"/>
      <c r="D37" s="43"/>
      <c r="E37" s="56"/>
      <c r="F37" s="54"/>
      <c r="G37" s="44"/>
      <c r="H37" s="93"/>
      <c r="I37" s="78">
        <f t="shared" si="3"/>
        <v>0</v>
      </c>
      <c r="J37" s="61"/>
      <c r="K37" s="41"/>
      <c r="L37" s="75"/>
      <c r="M37" s="83">
        <f t="shared" si="4"/>
        <v>0</v>
      </c>
      <c r="N37" s="75"/>
      <c r="O37" s="83">
        <f t="shared" si="5"/>
        <v>0</v>
      </c>
      <c r="P37" s="41"/>
      <c r="Q37" s="62"/>
      <c r="R37" s="78"/>
      <c r="S37" s="111"/>
      <c r="T37" s="108"/>
    </row>
    <row r="38" spans="1:21" ht="11.1" customHeight="1" outlineLevel="1" x14ac:dyDescent="0.2">
      <c r="A38" s="36"/>
      <c r="B38" s="46"/>
      <c r="C38" s="58"/>
      <c r="D38" s="43"/>
      <c r="E38" s="56"/>
      <c r="F38" s="54"/>
      <c r="G38" s="44"/>
      <c r="H38" s="93"/>
      <c r="I38" s="78">
        <f t="shared" si="3"/>
        <v>0</v>
      </c>
      <c r="J38" s="61"/>
      <c r="K38" s="41"/>
      <c r="L38" s="75"/>
      <c r="M38" s="83">
        <f t="shared" si="4"/>
        <v>0</v>
      </c>
      <c r="N38" s="75"/>
      <c r="O38" s="83">
        <f t="shared" si="5"/>
        <v>0</v>
      </c>
      <c r="P38" s="41"/>
      <c r="Q38" s="62"/>
      <c r="R38" s="78"/>
      <c r="S38" s="111"/>
      <c r="T38" s="108"/>
    </row>
    <row r="39" spans="1:21" ht="12.95" customHeight="1" thickBot="1" x14ac:dyDescent="0.25">
      <c r="A39" s="67" t="s">
        <v>5</v>
      </c>
      <c r="B39" s="68"/>
      <c r="C39" s="69">
        <f>C7</f>
        <v>119999532.72633623</v>
      </c>
      <c r="D39" s="70">
        <f t="shared" ref="D39:H39" si="9">D7</f>
        <v>0</v>
      </c>
      <c r="E39" s="71">
        <f t="shared" si="9"/>
        <v>6265915.1897561997</v>
      </c>
      <c r="F39" s="74">
        <f t="shared" si="9"/>
        <v>112674901.51000002</v>
      </c>
      <c r="G39" s="70">
        <f t="shared" si="9"/>
        <v>112669610.83000003</v>
      </c>
      <c r="H39" s="72">
        <f t="shared" si="9"/>
        <v>58383704.918448016</v>
      </c>
      <c r="I39" s="73">
        <f>F39-G39</f>
        <v>5290.6799999922514</v>
      </c>
      <c r="J39" s="74">
        <f>J7</f>
        <v>0</v>
      </c>
      <c r="K39" s="70">
        <f>K7</f>
        <v>0</v>
      </c>
      <c r="L39" s="72">
        <f>L7</f>
        <v>0</v>
      </c>
      <c r="M39" s="84">
        <f>M7</f>
        <v>0</v>
      </c>
      <c r="N39" s="89">
        <f>N7</f>
        <v>0</v>
      </c>
      <c r="O39" s="73">
        <f t="shared" si="5"/>
        <v>5290.6799999922514</v>
      </c>
      <c r="P39" s="70">
        <f>P7</f>
        <v>0</v>
      </c>
      <c r="Q39" s="71">
        <f>Q7</f>
        <v>0</v>
      </c>
      <c r="R39" s="73">
        <f>R7</f>
        <v>0</v>
      </c>
      <c r="S39" s="73">
        <f>S7</f>
        <v>0</v>
      </c>
      <c r="T39" s="91">
        <f>T7</f>
        <v>1072627.5099999998</v>
      </c>
    </row>
    <row r="40" spans="1:21" ht="12.95" customHeight="1" thickBot="1" x14ac:dyDescent="0.25">
      <c r="A40" s="19"/>
      <c r="B40" s="19"/>
      <c r="C40" s="235"/>
      <c r="D40" s="20"/>
      <c r="E40" s="236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1:21" ht="12.75" x14ac:dyDescent="0.2">
      <c r="A41" s="155" t="s">
        <v>23</v>
      </c>
      <c r="B41" s="156" t="s">
        <v>27</v>
      </c>
      <c r="C41" s="118">
        <f>SUBTOTAL(9,C42:C88)</f>
        <v>141895908.06999999</v>
      </c>
      <c r="D41" s="119">
        <f>SUBTOTAL(9,D42:D88)</f>
        <v>12330776.67</v>
      </c>
      <c r="E41" s="120">
        <f>SUM(E43:E88)</f>
        <v>35540795.329999991</v>
      </c>
      <c r="F41" s="144">
        <f t="shared" ref="F41:T41" si="10">SUBTOTAL(9,F42:F88)</f>
        <v>117455175.20000002</v>
      </c>
      <c r="G41" s="119">
        <f t="shared" si="10"/>
        <v>114749802.87000002</v>
      </c>
      <c r="H41" s="134">
        <f t="shared" si="10"/>
        <v>60579798.890000008</v>
      </c>
      <c r="I41" s="138">
        <f t="shared" si="10"/>
        <v>2705372.3300000066</v>
      </c>
      <c r="J41" s="116">
        <f t="shared" si="10"/>
        <v>0</v>
      </c>
      <c r="K41" s="116">
        <f t="shared" si="10"/>
        <v>0</v>
      </c>
      <c r="L41" s="141">
        <f t="shared" si="10"/>
        <v>0</v>
      </c>
      <c r="M41" s="118">
        <f t="shared" si="10"/>
        <v>0</v>
      </c>
      <c r="N41" s="148">
        <f t="shared" si="10"/>
        <v>0</v>
      </c>
      <c r="O41" s="138">
        <f t="shared" si="10"/>
        <v>3208100.7100000065</v>
      </c>
      <c r="P41" s="116">
        <f t="shared" si="10"/>
        <v>0</v>
      </c>
      <c r="Q41" s="141">
        <f t="shared" si="10"/>
        <v>0</v>
      </c>
      <c r="R41" s="138">
        <f t="shared" si="10"/>
        <v>0</v>
      </c>
      <c r="S41" s="138">
        <f t="shared" si="10"/>
        <v>0</v>
      </c>
      <c r="T41" s="138">
        <f t="shared" si="10"/>
        <v>323411.71000000002</v>
      </c>
    </row>
    <row r="42" spans="1:21" ht="11.1" customHeight="1" x14ac:dyDescent="0.2">
      <c r="A42" s="113" t="s">
        <v>21</v>
      </c>
      <c r="B42" s="115"/>
      <c r="C42" s="81">
        <f>SUBTOTAL(9,C43:C88)</f>
        <v>141895908.06999999</v>
      </c>
      <c r="D42" s="80">
        <f>SUBTOTAL(9,D43:D88)</f>
        <v>12330776.67</v>
      </c>
      <c r="E42" s="82">
        <f>SUM(E43:E88)</f>
        <v>35540795.329999991</v>
      </c>
      <c r="F42" s="117">
        <f t="shared" ref="F42:T42" si="11">SUBTOTAL(9,F43:F88)</f>
        <v>117455175.20000002</v>
      </c>
      <c r="G42" s="80">
        <f>SUBTOTAL(9,G43:G88)</f>
        <v>114749802.87000002</v>
      </c>
      <c r="H42" s="135">
        <f t="shared" si="11"/>
        <v>60579798.890000008</v>
      </c>
      <c r="I42" s="139">
        <f t="shared" si="11"/>
        <v>2705372.3300000066</v>
      </c>
      <c r="J42" s="117">
        <f>SUBTOTAL(9,J43:J88)</f>
        <v>0</v>
      </c>
      <c r="K42" s="117">
        <f t="shared" si="11"/>
        <v>0</v>
      </c>
      <c r="L42" s="142">
        <f t="shared" si="11"/>
        <v>0</v>
      </c>
      <c r="M42" s="81">
        <f t="shared" si="11"/>
        <v>0</v>
      </c>
      <c r="N42" s="142">
        <f t="shared" si="11"/>
        <v>0</v>
      </c>
      <c r="O42" s="139">
        <f t="shared" si="11"/>
        <v>3208100.7100000065</v>
      </c>
      <c r="P42" s="117">
        <f t="shared" si="11"/>
        <v>0</v>
      </c>
      <c r="Q42" s="142">
        <f t="shared" si="11"/>
        <v>0</v>
      </c>
      <c r="R42" s="139">
        <f t="shared" si="11"/>
        <v>0</v>
      </c>
      <c r="S42" s="139">
        <f t="shared" si="11"/>
        <v>0</v>
      </c>
      <c r="T42" s="139">
        <f t="shared" si="11"/>
        <v>323411.71000000002</v>
      </c>
      <c r="U42" s="17"/>
    </row>
    <row r="43" spans="1:21" ht="21" customHeight="1" outlineLevel="1" x14ac:dyDescent="0.2">
      <c r="A43" s="36" t="s">
        <v>69</v>
      </c>
      <c r="B43" s="46" t="s">
        <v>26</v>
      </c>
      <c r="C43" s="121">
        <v>1042102.87</v>
      </c>
      <c r="D43" s="38"/>
      <c r="E43" s="56">
        <f>C43+D43-F43-M43</f>
        <v>43730.760000000009</v>
      </c>
      <c r="F43" s="48">
        <f>475123.63+523248.48</f>
        <v>998372.11</v>
      </c>
      <c r="G43" s="211">
        <v>998372.11</v>
      </c>
      <c r="H43" s="92">
        <v>0</v>
      </c>
      <c r="I43" s="78">
        <f t="shared" ref="I43:I88" si="12">F43-G43</f>
        <v>0</v>
      </c>
      <c r="J43" s="105"/>
      <c r="K43" s="41"/>
      <c r="L43" s="75">
        <v>0</v>
      </c>
      <c r="M43" s="83">
        <f>J43+K43+L43</f>
        <v>0</v>
      </c>
      <c r="N43" s="75"/>
      <c r="O43" s="83">
        <f t="shared" ref="O43:O88" si="13">I43+M43</f>
        <v>0</v>
      </c>
      <c r="P43" s="61"/>
      <c r="Q43" s="75">
        <f>I43-M43</f>
        <v>0</v>
      </c>
      <c r="R43" s="78"/>
      <c r="S43" s="111"/>
      <c r="T43" s="151"/>
    </row>
    <row r="44" spans="1:21" ht="11.1" customHeight="1" outlineLevel="1" x14ac:dyDescent="0.2">
      <c r="A44" s="36" t="s">
        <v>109</v>
      </c>
      <c r="B44" s="46" t="s">
        <v>30</v>
      </c>
      <c r="C44" s="198">
        <v>676438.5959999999</v>
      </c>
      <c r="D44" s="114"/>
      <c r="E44" s="56">
        <f>C44+D44-F44-M44</f>
        <v>144238.68599999987</v>
      </c>
      <c r="F44" s="49">
        <f>333474.44+198725.47</f>
        <v>532199.91</v>
      </c>
      <c r="G44" s="212">
        <v>532199.91</v>
      </c>
      <c r="H44" s="92">
        <f>124883.81+81083.32</f>
        <v>205967.13</v>
      </c>
      <c r="I44" s="78">
        <f t="shared" si="12"/>
        <v>0</v>
      </c>
      <c r="J44" s="61"/>
      <c r="K44" s="41"/>
      <c r="L44" s="76"/>
      <c r="M44" s="83">
        <f>J44+K44+L44</f>
        <v>0</v>
      </c>
      <c r="N44" s="75"/>
      <c r="O44" s="83">
        <f t="shared" si="13"/>
        <v>0</v>
      </c>
      <c r="P44" s="61"/>
      <c r="Q44" s="75">
        <f>I44-M44</f>
        <v>0</v>
      </c>
      <c r="R44" s="78"/>
      <c r="S44" s="150"/>
      <c r="T44" s="151"/>
    </row>
    <row r="45" spans="1:21" ht="11.1" customHeight="1" outlineLevel="1" x14ac:dyDescent="0.2">
      <c r="A45" s="36" t="s">
        <v>70</v>
      </c>
      <c r="B45" s="46" t="s">
        <v>33</v>
      </c>
      <c r="C45" s="58">
        <f>21794530.92*1.2</f>
        <v>26153437.104000002</v>
      </c>
      <c r="D45" s="43"/>
      <c r="E45" s="56">
        <f>C45+D45-F45-M45</f>
        <v>207415.53400000185</v>
      </c>
      <c r="F45" s="49">
        <f>4496269.02+5575095.35+11100884.24+4773772.96</f>
        <v>25946021.57</v>
      </c>
      <c r="G45" s="210">
        <v>25946021.57</v>
      </c>
      <c r="H45" s="93">
        <v>15018033.392000001</v>
      </c>
      <c r="I45" s="78">
        <f t="shared" si="12"/>
        <v>0</v>
      </c>
      <c r="J45" s="52"/>
      <c r="K45" s="41"/>
      <c r="L45" s="75"/>
      <c r="M45" s="83">
        <f>J45+K45+L45</f>
        <v>0</v>
      </c>
      <c r="N45" s="75"/>
      <c r="O45" s="83">
        <f t="shared" si="13"/>
        <v>0</v>
      </c>
      <c r="P45" s="61"/>
      <c r="Q45" s="75">
        <f>I45-M45</f>
        <v>0</v>
      </c>
      <c r="R45" s="78"/>
      <c r="S45" s="151"/>
      <c r="T45" s="151"/>
    </row>
    <row r="46" spans="1:21" ht="11.1" customHeight="1" outlineLevel="1" x14ac:dyDescent="0.2">
      <c r="A46" s="36" t="s">
        <v>106</v>
      </c>
      <c r="B46" s="46" t="s">
        <v>46</v>
      </c>
      <c r="C46" s="58">
        <v>637574.74</v>
      </c>
      <c r="D46" s="43"/>
      <c r="E46" s="56">
        <f t="shared" ref="E46:E87" si="14">C46+D46-F46-M46</f>
        <v>0.15000000002328306</v>
      </c>
      <c r="F46" s="49">
        <v>637574.59</v>
      </c>
      <c r="G46" s="217">
        <v>637574.59</v>
      </c>
      <c r="H46" s="93">
        <v>241978.58399999997</v>
      </c>
      <c r="I46" s="78">
        <f t="shared" si="12"/>
        <v>0</v>
      </c>
      <c r="J46" s="48"/>
      <c r="K46" s="41"/>
      <c r="L46" s="76"/>
      <c r="M46" s="83">
        <f t="shared" ref="M46:M55" si="15">J46+K46+L46</f>
        <v>0</v>
      </c>
      <c r="N46" s="75"/>
      <c r="O46" s="83">
        <f t="shared" si="13"/>
        <v>0</v>
      </c>
      <c r="P46" s="61"/>
      <c r="Q46" s="75"/>
      <c r="R46" s="78"/>
      <c r="S46" s="78"/>
      <c r="T46" s="110"/>
      <c r="U46" s="216"/>
    </row>
    <row r="47" spans="1:21" ht="10.9" customHeight="1" outlineLevel="1" x14ac:dyDescent="0.2">
      <c r="A47" s="36" t="s">
        <v>108</v>
      </c>
      <c r="B47" s="46" t="s">
        <v>49</v>
      </c>
      <c r="C47" s="58">
        <v>490494.44</v>
      </c>
      <c r="D47" s="43"/>
      <c r="E47" s="56">
        <f t="shared" si="14"/>
        <v>294296.66000000003</v>
      </c>
      <c r="F47" s="49">
        <v>196197.78</v>
      </c>
      <c r="G47" s="220">
        <v>196197.78</v>
      </c>
      <c r="H47" s="75">
        <v>194856.55</v>
      </c>
      <c r="I47" s="78">
        <f t="shared" si="12"/>
        <v>0</v>
      </c>
      <c r="J47" s="50"/>
      <c r="K47" s="41"/>
      <c r="L47" s="76"/>
      <c r="M47" s="83">
        <f>J47+K47+L47</f>
        <v>0</v>
      </c>
      <c r="N47" s="75"/>
      <c r="O47" s="83">
        <f t="shared" si="13"/>
        <v>0</v>
      </c>
      <c r="P47" s="61"/>
      <c r="Q47" s="75"/>
      <c r="R47" s="78"/>
      <c r="S47" s="78"/>
      <c r="T47" s="110"/>
    </row>
    <row r="48" spans="1:21" ht="11.1" customHeight="1" outlineLevel="1" x14ac:dyDescent="0.2">
      <c r="A48" s="36" t="s">
        <v>107</v>
      </c>
      <c r="B48" s="46" t="s">
        <v>50</v>
      </c>
      <c r="C48" s="58">
        <v>1142906.2</v>
      </c>
      <c r="D48" s="43"/>
      <c r="E48" s="56">
        <f t="shared" si="14"/>
        <v>333737.43999999994</v>
      </c>
      <c r="F48" s="49">
        <v>809168.76</v>
      </c>
      <c r="G48" s="210">
        <v>809168.76</v>
      </c>
      <c r="H48" s="93">
        <v>292656.27600000001</v>
      </c>
      <c r="I48" s="78">
        <f t="shared" si="12"/>
        <v>0</v>
      </c>
      <c r="J48" s="53"/>
      <c r="K48" s="41"/>
      <c r="L48" s="76"/>
      <c r="M48" s="83">
        <f t="shared" si="15"/>
        <v>0</v>
      </c>
      <c r="N48" s="75"/>
      <c r="O48" s="83">
        <f t="shared" si="13"/>
        <v>0</v>
      </c>
      <c r="P48" s="61"/>
      <c r="Q48" s="75"/>
      <c r="R48" s="78"/>
      <c r="S48" s="78"/>
      <c r="T48" s="110"/>
      <c r="U48" s="216"/>
    </row>
    <row r="49" spans="1:23" ht="11.1" customHeight="1" outlineLevel="1" x14ac:dyDescent="0.2">
      <c r="A49" s="36" t="s">
        <v>71</v>
      </c>
      <c r="B49" s="46" t="s">
        <v>41</v>
      </c>
      <c r="C49" s="58">
        <f>7437642.45+313595.21</f>
        <v>7751237.6600000001</v>
      </c>
      <c r="D49" s="43"/>
      <c r="E49" s="56">
        <f>C49+D49-F49-M49</f>
        <v>-320057.66000000108</v>
      </c>
      <c r="F49" s="49">
        <f>2258052.85+360399.01+2411183.2+184177.75+2223649.65+633832.86</f>
        <v>8071295.3200000012</v>
      </c>
      <c r="G49" s="210">
        <v>8071295.3200000003</v>
      </c>
      <c r="H49" s="93">
        <f>968833.116+194856.55+1174377.71+1102475.49+157890.77+226628.07</f>
        <v>3825061.7060000002</v>
      </c>
      <c r="I49" s="78">
        <f t="shared" si="12"/>
        <v>0</v>
      </c>
      <c r="J49" s="52"/>
      <c r="K49" s="41"/>
      <c r="L49" s="76"/>
      <c r="M49" s="83">
        <f t="shared" si="15"/>
        <v>0</v>
      </c>
      <c r="N49" s="75"/>
      <c r="O49" s="83">
        <f t="shared" si="13"/>
        <v>0</v>
      </c>
      <c r="P49" s="61"/>
      <c r="Q49" s="75"/>
      <c r="R49" s="78"/>
      <c r="S49" s="78"/>
      <c r="T49" s="110"/>
      <c r="U49" s="17"/>
      <c r="V49" s="17"/>
      <c r="W49" s="13"/>
    </row>
    <row r="50" spans="1:23" ht="11.1" customHeight="1" outlineLevel="1" x14ac:dyDescent="0.2">
      <c r="A50" s="36" t="s">
        <v>83</v>
      </c>
      <c r="B50" s="46" t="s">
        <v>42</v>
      </c>
      <c r="C50" s="58">
        <v>25258951.850000001</v>
      </c>
      <c r="D50" s="43"/>
      <c r="E50" s="56">
        <f t="shared" si="14"/>
        <v>-694516.09000000358</v>
      </c>
      <c r="F50" s="52">
        <f>13267028.16+4366072.86+2695959.83+2823574.87+778734.12+2022098.1</f>
        <v>25953467.940000005</v>
      </c>
      <c r="G50" s="44">
        <v>23583121.149999999</v>
      </c>
      <c r="H50" s="75">
        <f>5106967.17+2318047.86+1935639.83+2016829.87+427644.12+1646458.5</f>
        <v>13451587.35</v>
      </c>
      <c r="I50" s="78">
        <f t="shared" si="12"/>
        <v>2370346.7900000066</v>
      </c>
      <c r="J50" s="52"/>
      <c r="K50" s="41"/>
      <c r="L50" s="76"/>
      <c r="M50" s="83">
        <f t="shared" si="15"/>
        <v>0</v>
      </c>
      <c r="N50" s="75"/>
      <c r="O50" s="83">
        <f t="shared" si="13"/>
        <v>2370346.7900000066</v>
      </c>
      <c r="P50" s="61"/>
      <c r="Q50" s="75"/>
      <c r="R50" s="78"/>
      <c r="S50" s="152"/>
      <c r="T50" s="151"/>
      <c r="U50" s="17"/>
      <c r="V50" s="17"/>
      <c r="W50" s="17"/>
    </row>
    <row r="51" spans="1:23" ht="11.1" customHeight="1" outlineLevel="1" x14ac:dyDescent="0.2">
      <c r="A51" s="36" t="s">
        <v>160</v>
      </c>
      <c r="B51" s="46" t="s">
        <v>124</v>
      </c>
      <c r="C51" s="58">
        <v>1600770.28</v>
      </c>
      <c r="D51" s="43"/>
      <c r="E51" s="56"/>
      <c r="F51" s="54">
        <v>370056.07</v>
      </c>
      <c r="G51" s="44">
        <v>800385.14</v>
      </c>
      <c r="H51" s="93">
        <v>171285.04</v>
      </c>
      <c r="I51" s="78">
        <f t="shared" si="12"/>
        <v>-430329.07</v>
      </c>
      <c r="J51" s="52"/>
      <c r="K51" s="41"/>
      <c r="L51" s="76"/>
      <c r="M51" s="83">
        <f t="shared" si="15"/>
        <v>0</v>
      </c>
      <c r="N51" s="187"/>
      <c r="O51" s="83">
        <f t="shared" si="13"/>
        <v>-430329.07</v>
      </c>
      <c r="P51" s="61"/>
      <c r="Q51" s="75"/>
      <c r="R51" s="78"/>
      <c r="S51" s="152"/>
      <c r="T51" s="151"/>
      <c r="U51" s="17"/>
      <c r="V51" s="17"/>
      <c r="W51" s="17"/>
    </row>
    <row r="52" spans="1:23" ht="23.45" customHeight="1" outlineLevel="1" x14ac:dyDescent="0.2">
      <c r="A52" s="36" t="s">
        <v>72</v>
      </c>
      <c r="B52" s="46" t="s">
        <v>59</v>
      </c>
      <c r="C52" s="58">
        <v>7109059.5999999996</v>
      </c>
      <c r="D52" s="43"/>
      <c r="E52" s="56">
        <f t="shared" si="14"/>
        <v>-276220.69000000041</v>
      </c>
      <c r="F52" s="54">
        <f>3533858.93+600150.47+1135018.84+866887.46+1249364.59</f>
        <v>7385280.29</v>
      </c>
      <c r="G52" s="44">
        <v>7406613.0800000001</v>
      </c>
      <c r="H52" s="93">
        <f>1836923.93+311964.09+585562.99+501516.36+670094.6</f>
        <v>3906061.9699999997</v>
      </c>
      <c r="I52" s="78">
        <f t="shared" si="12"/>
        <v>-21332.790000000037</v>
      </c>
      <c r="J52" s="227"/>
      <c r="K52" s="41"/>
      <c r="L52" s="76"/>
      <c r="M52" s="83">
        <f t="shared" si="15"/>
        <v>0</v>
      </c>
      <c r="N52" s="75"/>
      <c r="O52" s="83">
        <f t="shared" si="13"/>
        <v>-21332.790000000037</v>
      </c>
      <c r="P52" s="61"/>
      <c r="Q52" s="75"/>
      <c r="R52" s="78"/>
      <c r="S52" s="78"/>
      <c r="T52" s="154"/>
      <c r="U52" s="218"/>
      <c r="V52" s="17"/>
      <c r="W52" s="110"/>
    </row>
    <row r="53" spans="1:23" ht="23.45" customHeight="1" outlineLevel="1" x14ac:dyDescent="0.2">
      <c r="A53" s="36" t="s">
        <v>203</v>
      </c>
      <c r="B53" s="46" t="s">
        <v>199</v>
      </c>
      <c r="C53" s="245">
        <v>213327.94</v>
      </c>
      <c r="D53" s="43"/>
      <c r="E53" s="56">
        <f t="shared" si="14"/>
        <v>0</v>
      </c>
      <c r="F53" s="256">
        <v>213327.94</v>
      </c>
      <c r="G53" s="244">
        <v>191995.15</v>
      </c>
      <c r="H53" s="93">
        <v>109469.14</v>
      </c>
      <c r="I53" s="253">
        <f t="shared" si="12"/>
        <v>21332.790000000008</v>
      </c>
      <c r="J53" s="227"/>
      <c r="K53" s="41"/>
      <c r="L53" s="76"/>
      <c r="M53" s="83">
        <f t="shared" si="15"/>
        <v>0</v>
      </c>
      <c r="N53" s="75"/>
      <c r="O53" s="83">
        <f t="shared" si="13"/>
        <v>21332.790000000008</v>
      </c>
      <c r="P53" s="61"/>
      <c r="Q53" s="75"/>
      <c r="R53" s="78"/>
      <c r="S53" s="78"/>
      <c r="T53" s="154"/>
      <c r="U53" s="218"/>
      <c r="V53" s="17"/>
      <c r="W53" s="110"/>
    </row>
    <row r="54" spans="1:23" ht="11.1" customHeight="1" outlineLevel="1" x14ac:dyDescent="0.2">
      <c r="A54" s="36" t="s">
        <v>158</v>
      </c>
      <c r="B54" s="46" t="s">
        <v>82</v>
      </c>
      <c r="C54" s="83">
        <v>1204914.53</v>
      </c>
      <c r="D54" s="41"/>
      <c r="E54" s="56">
        <f t="shared" si="14"/>
        <v>108953.57000000007</v>
      </c>
      <c r="F54" s="52">
        <f>709589.15+248532.25+137839.56</f>
        <v>1095960.96</v>
      </c>
      <c r="G54" s="44">
        <v>986364.86</v>
      </c>
      <c r="H54" s="93">
        <f>537442.01+188297.75+88477.38</f>
        <v>814217.14</v>
      </c>
      <c r="I54" s="253">
        <f t="shared" si="12"/>
        <v>109596.09999999998</v>
      </c>
      <c r="J54" s="52"/>
      <c r="K54" s="41"/>
      <c r="L54" s="76"/>
      <c r="M54" s="83">
        <f t="shared" si="15"/>
        <v>0</v>
      </c>
      <c r="N54" s="75"/>
      <c r="O54" s="83">
        <f t="shared" si="13"/>
        <v>109596.09999999998</v>
      </c>
      <c r="P54" s="61"/>
      <c r="Q54" s="75"/>
      <c r="R54" s="78"/>
      <c r="S54" s="78"/>
      <c r="T54" s="154"/>
      <c r="U54" s="17"/>
      <c r="V54" s="17"/>
      <c r="W54" s="17"/>
    </row>
    <row r="55" spans="1:23" ht="10.9" customHeight="1" outlineLevel="1" x14ac:dyDescent="0.2">
      <c r="A55" s="36" t="s">
        <v>225</v>
      </c>
      <c r="B55" s="46" t="s">
        <v>73</v>
      </c>
      <c r="C55" s="58">
        <v>476622.06</v>
      </c>
      <c r="D55" s="43"/>
      <c r="E55" s="56">
        <f t="shared" si="14"/>
        <v>128685.59999999998</v>
      </c>
      <c r="F55" s="54">
        <v>347936.46</v>
      </c>
      <c r="G55" s="44">
        <v>313142.81</v>
      </c>
      <c r="H55" s="93">
        <v>160607.09</v>
      </c>
      <c r="I55" s="253">
        <f t="shared" si="12"/>
        <v>34793.650000000023</v>
      </c>
      <c r="J55" s="228"/>
      <c r="K55" s="41"/>
      <c r="L55" s="76"/>
      <c r="M55" s="83">
        <f t="shared" si="15"/>
        <v>0</v>
      </c>
      <c r="N55" s="75"/>
      <c r="O55" s="83">
        <f t="shared" si="13"/>
        <v>34793.650000000023</v>
      </c>
      <c r="P55" s="61"/>
      <c r="Q55" s="75"/>
      <c r="R55" s="78"/>
      <c r="S55" s="78"/>
      <c r="T55" s="151"/>
      <c r="U55" s="17"/>
    </row>
    <row r="56" spans="1:23" ht="11.1" customHeight="1" outlineLevel="1" x14ac:dyDescent="0.2">
      <c r="A56" s="36" t="s">
        <v>110</v>
      </c>
      <c r="B56" s="46" t="s">
        <v>111</v>
      </c>
      <c r="C56" s="58">
        <v>603049.28</v>
      </c>
      <c r="D56" s="43"/>
      <c r="E56" s="56">
        <f t="shared" si="14"/>
        <v>18356.70000000007</v>
      </c>
      <c r="F56" s="53">
        <v>584692.57999999996</v>
      </c>
      <c r="G56" s="210">
        <v>584692.57999999996</v>
      </c>
      <c r="H56" s="75">
        <v>235053.432</v>
      </c>
      <c r="I56" s="78">
        <f t="shared" si="12"/>
        <v>0</v>
      </c>
      <c r="J56" s="52"/>
      <c r="K56" s="41"/>
      <c r="L56" s="76"/>
      <c r="M56" s="83"/>
      <c r="N56" s="75"/>
      <c r="O56" s="83">
        <f t="shared" si="13"/>
        <v>0</v>
      </c>
      <c r="P56" s="61"/>
      <c r="Q56" s="75"/>
      <c r="R56" s="78"/>
      <c r="S56" s="78"/>
      <c r="T56" s="110"/>
    </row>
    <row r="57" spans="1:23" ht="11.1" customHeight="1" outlineLevel="1" x14ac:dyDescent="0.2">
      <c r="A57" s="36" t="s">
        <v>125</v>
      </c>
      <c r="B57" s="46" t="s">
        <v>126</v>
      </c>
      <c r="C57" s="58">
        <v>1910798.78</v>
      </c>
      <c r="D57" s="43"/>
      <c r="E57" s="56">
        <f>C57+D57-F57-M57</f>
        <v>0</v>
      </c>
      <c r="F57" s="54">
        <v>1910798.78</v>
      </c>
      <c r="G57" s="44">
        <v>1728160.46</v>
      </c>
      <c r="H57" s="93">
        <v>1728160.46</v>
      </c>
      <c r="I57" s="253">
        <f>F57-G57</f>
        <v>182638.32000000007</v>
      </c>
      <c r="J57" s="52"/>
      <c r="K57" s="52"/>
      <c r="L57" s="76"/>
      <c r="M57" s="83">
        <f t="shared" ref="M57:M87" si="16">J57+K57+L57</f>
        <v>0</v>
      </c>
      <c r="N57" s="75"/>
      <c r="O57" s="83">
        <f t="shared" si="13"/>
        <v>182638.32000000007</v>
      </c>
      <c r="P57" s="61"/>
      <c r="Q57" s="75"/>
      <c r="R57" s="78"/>
      <c r="S57" s="78"/>
      <c r="T57" s="195"/>
    </row>
    <row r="58" spans="1:23" ht="11.1" customHeight="1" outlineLevel="1" x14ac:dyDescent="0.2">
      <c r="A58" s="36" t="s">
        <v>127</v>
      </c>
      <c r="B58" s="229" t="s">
        <v>137</v>
      </c>
      <c r="C58" s="198">
        <v>1923590.1</v>
      </c>
      <c r="D58" s="114"/>
      <c r="E58" s="199">
        <f>C58+D58-F58-M58</f>
        <v>-244359.85000000009</v>
      </c>
      <c r="F58" s="54">
        <f>1776853.94+391096.01</f>
        <v>2167949.9500000002</v>
      </c>
      <c r="G58" s="210">
        <v>2167949.9500000002</v>
      </c>
      <c r="H58" s="93">
        <f>1048342.19+164500.2+215970.92</f>
        <v>1428813.3099999998</v>
      </c>
      <c r="I58" s="78">
        <f t="shared" si="12"/>
        <v>0</v>
      </c>
      <c r="J58" s="52"/>
      <c r="K58" s="52"/>
      <c r="L58" s="76"/>
      <c r="M58" s="83">
        <f t="shared" si="16"/>
        <v>0</v>
      </c>
      <c r="N58" s="75"/>
      <c r="O58" s="83">
        <f t="shared" si="13"/>
        <v>0</v>
      </c>
      <c r="P58" s="61"/>
      <c r="Q58" s="75"/>
      <c r="R58" s="78"/>
      <c r="S58" s="78"/>
      <c r="T58" s="195"/>
    </row>
    <row r="59" spans="1:23" ht="11.1" customHeight="1" outlineLevel="1" x14ac:dyDescent="0.2">
      <c r="A59" s="36" t="s">
        <v>168</v>
      </c>
      <c r="B59" s="46" t="s">
        <v>135</v>
      </c>
      <c r="C59" s="58">
        <v>3440637.5</v>
      </c>
      <c r="D59" s="43"/>
      <c r="E59" s="56">
        <f t="shared" si="14"/>
        <v>779263.83000000007</v>
      </c>
      <c r="F59" s="54">
        <f>1349126.58+1312247.09</f>
        <v>2661373.67</v>
      </c>
      <c r="G59" s="44">
        <v>1720318.75</v>
      </c>
      <c r="H59" s="93">
        <f>766753.69+846901.36</f>
        <v>1613655.0499999998</v>
      </c>
      <c r="I59" s="78">
        <f t="shared" si="12"/>
        <v>941054.91999999993</v>
      </c>
      <c r="J59" s="52"/>
      <c r="K59" s="41"/>
      <c r="L59" s="76"/>
      <c r="M59" s="83">
        <f t="shared" si="16"/>
        <v>0</v>
      </c>
      <c r="N59" s="75"/>
      <c r="O59" s="83">
        <f t="shared" si="13"/>
        <v>941054.91999999993</v>
      </c>
      <c r="P59" s="61"/>
      <c r="Q59" s="75"/>
      <c r="R59" s="78"/>
      <c r="S59" s="78"/>
      <c r="T59" s="151"/>
    </row>
    <row r="60" spans="1:23" ht="25.15" customHeight="1" outlineLevel="1" x14ac:dyDescent="0.2">
      <c r="A60" s="36" t="s">
        <v>204</v>
      </c>
      <c r="B60" s="46" t="s">
        <v>141</v>
      </c>
      <c r="C60" s="58">
        <v>20999.94</v>
      </c>
      <c r="D60" s="43"/>
      <c r="E60" s="56">
        <f t="shared" si="14"/>
        <v>0</v>
      </c>
      <c r="F60" s="52">
        <v>20999.94</v>
      </c>
      <c r="G60" s="224">
        <v>20999.94</v>
      </c>
      <c r="H60" s="93"/>
      <c r="I60" s="78">
        <f>F60-G60</f>
        <v>0</v>
      </c>
      <c r="J60" s="52"/>
      <c r="K60" s="52"/>
      <c r="L60" s="76"/>
      <c r="M60" s="83">
        <f t="shared" si="16"/>
        <v>0</v>
      </c>
      <c r="N60" s="75"/>
      <c r="O60" s="83">
        <f t="shared" si="13"/>
        <v>0</v>
      </c>
      <c r="P60" s="61"/>
      <c r="Q60" s="75"/>
      <c r="R60" s="78"/>
      <c r="S60" s="78"/>
      <c r="T60" s="195"/>
    </row>
    <row r="61" spans="1:23" ht="16.149999999999999" customHeight="1" outlineLevel="1" x14ac:dyDescent="0.2">
      <c r="A61" s="36" t="s">
        <v>151</v>
      </c>
      <c r="B61" s="46" t="s">
        <v>144</v>
      </c>
      <c r="C61" s="58">
        <v>1013668.34</v>
      </c>
      <c r="D61" s="43"/>
      <c r="E61" s="56">
        <f t="shared" si="14"/>
        <v>16435.119999999995</v>
      </c>
      <c r="F61" s="52">
        <v>997233.22</v>
      </c>
      <c r="G61" s="224">
        <v>997233.22</v>
      </c>
      <c r="H61" s="93">
        <v>483237.06</v>
      </c>
      <c r="I61" s="78">
        <f t="shared" ref="I61:I86" si="17">F61-G61</f>
        <v>0</v>
      </c>
      <c r="J61" s="52"/>
      <c r="K61" s="52"/>
      <c r="L61" s="76"/>
      <c r="M61" s="83">
        <f t="shared" si="16"/>
        <v>0</v>
      </c>
      <c r="N61" s="187"/>
      <c r="O61" s="83">
        <f t="shared" si="13"/>
        <v>0</v>
      </c>
      <c r="P61" s="61"/>
      <c r="Q61" s="75"/>
      <c r="R61" s="78"/>
      <c r="S61" s="78"/>
      <c r="T61" s="195"/>
    </row>
    <row r="62" spans="1:23" ht="16.149999999999999" customHeight="1" outlineLevel="1" x14ac:dyDescent="0.2">
      <c r="A62" s="36" t="s">
        <v>159</v>
      </c>
      <c r="B62" s="246" t="s">
        <v>145</v>
      </c>
      <c r="C62" s="58">
        <f>8874334.17+337608.41</f>
        <v>9211942.5800000001</v>
      </c>
      <c r="D62" s="43"/>
      <c r="E62" s="56">
        <f t="shared" si="14"/>
        <v>1085961.1399999997</v>
      </c>
      <c r="F62" s="52">
        <f>332362.06+4148963.35+3536734.83+107921.2</f>
        <v>8125981.4400000004</v>
      </c>
      <c r="G62" s="224">
        <v>8125981.4400000004</v>
      </c>
      <c r="H62" s="93">
        <f>22166.01+2334998.35+2342496.12+15316.98</f>
        <v>4714977.4600000009</v>
      </c>
      <c r="I62" s="78">
        <f t="shared" si="17"/>
        <v>0</v>
      </c>
      <c r="J62" s="52"/>
      <c r="K62" s="52"/>
      <c r="L62" s="76"/>
      <c r="M62" s="83">
        <f t="shared" si="16"/>
        <v>0</v>
      </c>
      <c r="N62" s="75"/>
      <c r="O62" s="83">
        <f t="shared" si="13"/>
        <v>0</v>
      </c>
      <c r="P62" s="61"/>
      <c r="Q62" s="75"/>
      <c r="R62" s="78"/>
      <c r="S62" s="78"/>
      <c r="T62" s="195"/>
    </row>
    <row r="63" spans="1:23" ht="28.15" customHeight="1" outlineLevel="1" x14ac:dyDescent="0.2">
      <c r="A63" s="36" t="s">
        <v>146</v>
      </c>
      <c r="B63" s="46" t="s">
        <v>143</v>
      </c>
      <c r="C63" s="58">
        <v>81797.62</v>
      </c>
      <c r="D63" s="43"/>
      <c r="E63" s="56">
        <f t="shared" si="14"/>
        <v>0</v>
      </c>
      <c r="F63" s="52">
        <v>81797.62</v>
      </c>
      <c r="G63" s="227"/>
      <c r="H63" s="93"/>
      <c r="I63" s="78">
        <f t="shared" si="17"/>
        <v>81797.62</v>
      </c>
      <c r="J63" s="52"/>
      <c r="K63" s="52"/>
      <c r="L63" s="76"/>
      <c r="M63" s="83">
        <f t="shared" si="16"/>
        <v>0</v>
      </c>
      <c r="N63" s="75"/>
      <c r="O63" s="83"/>
      <c r="P63" s="61"/>
      <c r="Q63" s="75"/>
      <c r="R63" s="78"/>
      <c r="S63" s="78"/>
      <c r="T63" s="195"/>
    </row>
    <row r="64" spans="1:23" ht="24.6" customHeight="1" outlineLevel="1" x14ac:dyDescent="0.2">
      <c r="A64" s="36" t="s">
        <v>201</v>
      </c>
      <c r="B64" s="46" t="s">
        <v>200</v>
      </c>
      <c r="C64" s="58">
        <v>14459280.65</v>
      </c>
      <c r="D64" s="43"/>
      <c r="E64" s="56">
        <f t="shared" si="14"/>
        <v>4560627.1400000006</v>
      </c>
      <c r="F64" s="52">
        <f>7195175.82+1186569.76+1516907.93</f>
        <v>9898653.5099999998</v>
      </c>
      <c r="G64" s="227">
        <v>7898007.9900000002</v>
      </c>
      <c r="H64" s="93">
        <f>531756.89+2749914+361831.12+947783.05</f>
        <v>4591285.0600000005</v>
      </c>
      <c r="I64" s="78">
        <f t="shared" si="17"/>
        <v>2000645.5199999996</v>
      </c>
      <c r="J64" s="52"/>
      <c r="K64" s="52"/>
      <c r="L64" s="76"/>
      <c r="M64" s="83">
        <f t="shared" si="16"/>
        <v>0</v>
      </c>
      <c r="N64" s="75"/>
      <c r="O64" s="83"/>
      <c r="P64" s="61"/>
      <c r="Q64" s="75"/>
      <c r="R64" s="78"/>
      <c r="S64" s="78"/>
      <c r="T64" s="195"/>
    </row>
    <row r="65" spans="1:20" ht="22.15" customHeight="1" outlineLevel="1" x14ac:dyDescent="0.2">
      <c r="A65" s="36" t="s">
        <v>174</v>
      </c>
      <c r="B65" s="46" t="s">
        <v>169</v>
      </c>
      <c r="C65" s="58">
        <v>583710.88</v>
      </c>
      <c r="D65" s="43"/>
      <c r="E65" s="56">
        <f t="shared" si="14"/>
        <v>29794.239999999991</v>
      </c>
      <c r="F65" s="52">
        <v>553916.64</v>
      </c>
      <c r="G65" s="227">
        <v>498524.98</v>
      </c>
      <c r="H65" s="93"/>
      <c r="I65" s="253">
        <f>F65-G65</f>
        <v>55391.660000000033</v>
      </c>
      <c r="J65" s="52"/>
      <c r="K65" s="52"/>
      <c r="L65" s="76"/>
      <c r="M65" s="83">
        <f t="shared" si="16"/>
        <v>0</v>
      </c>
      <c r="N65" s="75"/>
      <c r="O65" s="83"/>
      <c r="P65" s="61"/>
      <c r="Q65" s="75"/>
      <c r="R65" s="78"/>
      <c r="S65" s="78"/>
      <c r="T65" s="238">
        <v>323411.71000000002</v>
      </c>
    </row>
    <row r="66" spans="1:20" ht="26.45" customHeight="1" outlineLevel="1" x14ac:dyDescent="0.2">
      <c r="A66" s="36" t="s">
        <v>175</v>
      </c>
      <c r="B66" s="46" t="s">
        <v>167</v>
      </c>
      <c r="C66" s="58">
        <f>10934844.55+390057.7</f>
        <v>11324902.25</v>
      </c>
      <c r="D66" s="43"/>
      <c r="E66" s="56">
        <f t="shared" si="14"/>
        <v>7551.570000000298</v>
      </c>
      <c r="F66" s="52">
        <f>10927292.98+390057.7</f>
        <v>11317350.68</v>
      </c>
      <c r="G66" s="227">
        <v>9834563.6799999997</v>
      </c>
      <c r="H66" s="93">
        <f>3722317.02+122910.34</f>
        <v>3845227.36</v>
      </c>
      <c r="I66" s="78">
        <f t="shared" si="17"/>
        <v>1482787</v>
      </c>
      <c r="J66" s="52"/>
      <c r="K66" s="52"/>
      <c r="L66" s="76"/>
      <c r="M66" s="83">
        <f t="shared" si="16"/>
        <v>0</v>
      </c>
      <c r="N66" s="75"/>
      <c r="O66" s="83"/>
      <c r="P66" s="61"/>
      <c r="Q66" s="75"/>
      <c r="R66" s="78"/>
      <c r="S66" s="78"/>
      <c r="T66" s="195"/>
    </row>
    <row r="67" spans="1:20" ht="22.9" customHeight="1" outlineLevel="1" x14ac:dyDescent="0.2">
      <c r="A67" s="36" t="s">
        <v>252</v>
      </c>
      <c r="B67" s="252" t="s">
        <v>251</v>
      </c>
      <c r="C67" s="43">
        <v>367450.41</v>
      </c>
      <c r="D67" s="43"/>
      <c r="E67" s="56">
        <f t="shared" si="14"/>
        <v>367450.41</v>
      </c>
      <c r="F67" s="52"/>
      <c r="G67" s="227">
        <v>183725.2</v>
      </c>
      <c r="H67" s="93"/>
      <c r="I67" s="78">
        <f t="shared" ref="I67" si="18">F67-G67</f>
        <v>-183725.2</v>
      </c>
      <c r="J67" s="52"/>
      <c r="K67" s="52"/>
      <c r="L67" s="76"/>
      <c r="M67" s="83">
        <f t="shared" ref="M67" si="19">J67+K67+L67</f>
        <v>0</v>
      </c>
      <c r="N67" s="75"/>
      <c r="O67" s="83"/>
      <c r="P67" s="61"/>
      <c r="Q67" s="75"/>
      <c r="R67" s="78"/>
      <c r="S67" s="78"/>
      <c r="T67" s="195"/>
    </row>
    <row r="68" spans="1:20" ht="22.9" customHeight="1" outlineLevel="1" x14ac:dyDescent="0.2">
      <c r="A68" s="36" t="s">
        <v>256</v>
      </c>
      <c r="B68" s="46" t="s">
        <v>228</v>
      </c>
      <c r="C68" s="43">
        <v>486700.7</v>
      </c>
      <c r="D68" s="43"/>
      <c r="E68" s="56">
        <f t="shared" si="14"/>
        <v>486700.7</v>
      </c>
      <c r="F68" s="52"/>
      <c r="G68" s="227">
        <v>249643.68</v>
      </c>
      <c r="H68" s="93"/>
      <c r="I68" s="78">
        <f t="shared" si="17"/>
        <v>-249643.68</v>
      </c>
      <c r="J68" s="52"/>
      <c r="K68" s="52"/>
      <c r="L68" s="76"/>
      <c r="M68" s="83">
        <f t="shared" si="16"/>
        <v>0</v>
      </c>
      <c r="N68" s="75"/>
      <c r="O68" s="83"/>
      <c r="P68" s="61"/>
      <c r="Q68" s="75"/>
      <c r="R68" s="78"/>
      <c r="S68" s="78"/>
      <c r="T68" s="195"/>
    </row>
    <row r="69" spans="1:20" ht="22.9" customHeight="1" outlineLevel="1" x14ac:dyDescent="0.2">
      <c r="A69" s="36" t="s">
        <v>254</v>
      </c>
      <c r="B69" s="46" t="s">
        <v>246</v>
      </c>
      <c r="C69" s="58">
        <v>2811923.63</v>
      </c>
      <c r="D69" s="43"/>
      <c r="E69" s="56">
        <f t="shared" si="14"/>
        <v>2811923.63</v>
      </c>
      <c r="F69" s="52"/>
      <c r="G69" s="227"/>
      <c r="H69" s="93"/>
      <c r="I69" s="78">
        <f t="shared" ref="I69" si="20">F69-G69</f>
        <v>0</v>
      </c>
      <c r="J69" s="52"/>
      <c r="K69" s="52"/>
      <c r="L69" s="76"/>
      <c r="M69" s="83">
        <f t="shared" ref="M69:M86" si="21">J69+K69+L69</f>
        <v>0</v>
      </c>
      <c r="N69" s="75"/>
      <c r="O69" s="83"/>
      <c r="P69" s="61"/>
      <c r="Q69" s="75"/>
      <c r="R69" s="78"/>
      <c r="S69" s="78"/>
      <c r="T69" s="195"/>
    </row>
    <row r="70" spans="1:20" ht="22.9" customHeight="1" outlineLevel="1" x14ac:dyDescent="0.2">
      <c r="A70" s="36" t="s">
        <v>257</v>
      </c>
      <c r="B70" s="46" t="s">
        <v>227</v>
      </c>
      <c r="C70" s="43">
        <v>59959.95</v>
      </c>
      <c r="D70" s="43"/>
      <c r="E70" s="56">
        <f t="shared" si="14"/>
        <v>59959.95</v>
      </c>
      <c r="F70" s="52"/>
      <c r="G70" s="227">
        <v>30670.54</v>
      </c>
      <c r="H70" s="93"/>
      <c r="I70" s="78">
        <f t="shared" si="17"/>
        <v>-30670.54</v>
      </c>
      <c r="J70" s="227"/>
      <c r="K70" s="52"/>
      <c r="L70" s="76"/>
      <c r="M70" s="83">
        <f t="shared" si="21"/>
        <v>0</v>
      </c>
      <c r="N70" s="75"/>
      <c r="O70" s="83"/>
      <c r="P70" s="61"/>
      <c r="Q70" s="75"/>
      <c r="R70" s="78"/>
      <c r="S70" s="78"/>
      <c r="T70" s="195"/>
    </row>
    <row r="71" spans="1:20" ht="22.9" customHeight="1" outlineLevel="1" x14ac:dyDescent="0.2">
      <c r="A71" s="36"/>
      <c r="B71" s="46" t="s">
        <v>229</v>
      </c>
      <c r="C71" s="58"/>
      <c r="D71" s="43">
        <v>507778.31</v>
      </c>
      <c r="E71" s="56">
        <f t="shared" si="14"/>
        <v>507778.31</v>
      </c>
      <c r="F71" s="52"/>
      <c r="G71" s="227"/>
      <c r="H71" s="93"/>
      <c r="I71" s="78">
        <f t="shared" si="17"/>
        <v>0</v>
      </c>
      <c r="J71" s="52"/>
      <c r="K71" s="52"/>
      <c r="L71" s="76"/>
      <c r="M71" s="83">
        <f t="shared" si="21"/>
        <v>0</v>
      </c>
      <c r="N71" s="75"/>
      <c r="O71" s="83"/>
      <c r="P71" s="61"/>
      <c r="Q71" s="75"/>
      <c r="R71" s="78"/>
      <c r="S71" s="78"/>
      <c r="T71" s="195"/>
    </row>
    <row r="72" spans="1:20" ht="22.9" customHeight="1" outlineLevel="1" x14ac:dyDescent="0.2">
      <c r="A72" s="36" t="s">
        <v>255</v>
      </c>
      <c r="B72" s="46" t="s">
        <v>249</v>
      </c>
      <c r="C72" s="58">
        <v>2945600.08</v>
      </c>
      <c r="D72" s="43"/>
      <c r="E72" s="56">
        <f t="shared" si="14"/>
        <v>2945600.08</v>
      </c>
      <c r="F72" s="52"/>
      <c r="G72" s="227"/>
      <c r="H72" s="93"/>
      <c r="I72" s="78">
        <f t="shared" ref="I72" si="22">F72-G72</f>
        <v>0</v>
      </c>
      <c r="J72" s="52"/>
      <c r="K72" s="52"/>
      <c r="L72" s="76"/>
      <c r="M72" s="83">
        <f t="shared" si="21"/>
        <v>0</v>
      </c>
      <c r="N72" s="75"/>
      <c r="O72" s="83"/>
      <c r="P72" s="61"/>
      <c r="Q72" s="75"/>
      <c r="R72" s="78"/>
      <c r="S72" s="78"/>
      <c r="T72" s="195"/>
    </row>
    <row r="73" spans="1:20" ht="22.9" customHeight="1" outlineLevel="1" x14ac:dyDescent="0.2">
      <c r="A73" s="36"/>
      <c r="B73" s="46" t="s">
        <v>247</v>
      </c>
      <c r="C73" s="43"/>
      <c r="D73" s="43">
        <v>629388.88</v>
      </c>
      <c r="E73" s="56">
        <f t="shared" si="14"/>
        <v>629388.88</v>
      </c>
      <c r="F73" s="52"/>
      <c r="G73" s="227"/>
      <c r="H73" s="93"/>
      <c r="I73" s="78">
        <f t="shared" ref="I73:I74" si="23">F73-G73</f>
        <v>0</v>
      </c>
      <c r="J73" s="227"/>
      <c r="K73" s="52"/>
      <c r="L73" s="76"/>
      <c r="M73" s="83">
        <f t="shared" si="21"/>
        <v>0</v>
      </c>
      <c r="N73" s="75"/>
      <c r="O73" s="83"/>
      <c r="P73" s="61"/>
      <c r="Q73" s="75"/>
      <c r="R73" s="78"/>
      <c r="S73" s="78"/>
      <c r="T73" s="195"/>
    </row>
    <row r="74" spans="1:20" ht="22.9" customHeight="1" outlineLevel="1" x14ac:dyDescent="0.2">
      <c r="A74" s="36"/>
      <c r="B74" s="46" t="s">
        <v>248</v>
      </c>
      <c r="C74" s="58"/>
      <c r="D74" s="43">
        <v>3966195.07</v>
      </c>
      <c r="E74" s="56">
        <f t="shared" si="14"/>
        <v>3966195.07</v>
      </c>
      <c r="F74" s="52"/>
      <c r="G74" s="227"/>
      <c r="H74" s="93"/>
      <c r="I74" s="78">
        <f t="shared" si="23"/>
        <v>0</v>
      </c>
      <c r="J74" s="52"/>
      <c r="K74" s="52"/>
      <c r="L74" s="76"/>
      <c r="M74" s="83">
        <f t="shared" si="21"/>
        <v>0</v>
      </c>
      <c r="N74" s="75"/>
      <c r="O74" s="83"/>
      <c r="P74" s="61"/>
      <c r="Q74" s="75"/>
      <c r="R74" s="78"/>
      <c r="S74" s="78"/>
      <c r="T74" s="195"/>
    </row>
    <row r="75" spans="1:20" ht="22.9" customHeight="1" outlineLevel="1" x14ac:dyDescent="0.2">
      <c r="A75" s="36" t="s">
        <v>215</v>
      </c>
      <c r="B75" s="46" t="s">
        <v>216</v>
      </c>
      <c r="C75" s="58">
        <v>2006643.36</v>
      </c>
      <c r="D75" s="43"/>
      <c r="E75" s="56">
        <f t="shared" si="14"/>
        <v>2006643.36</v>
      </c>
      <c r="F75" s="52"/>
      <c r="G75" s="227">
        <v>1887737.33</v>
      </c>
      <c r="H75" s="93"/>
      <c r="I75" s="78">
        <f t="shared" si="17"/>
        <v>-1887737.33</v>
      </c>
      <c r="J75" s="52"/>
      <c r="K75" s="52"/>
      <c r="L75" s="76"/>
      <c r="M75" s="83">
        <f t="shared" si="21"/>
        <v>0</v>
      </c>
      <c r="N75" s="75"/>
      <c r="O75" s="83"/>
      <c r="P75" s="61"/>
      <c r="Q75" s="75"/>
      <c r="R75" s="78"/>
      <c r="S75" s="78"/>
      <c r="T75" s="195"/>
    </row>
    <row r="76" spans="1:20" ht="22.9" customHeight="1" outlineLevel="1" x14ac:dyDescent="0.2">
      <c r="A76" s="36" t="s">
        <v>210</v>
      </c>
      <c r="B76" s="46" t="s">
        <v>209</v>
      </c>
      <c r="C76" s="58">
        <v>1094164.06</v>
      </c>
      <c r="D76" s="43"/>
      <c r="E76" s="56">
        <f t="shared" si="14"/>
        <v>1094164.06</v>
      </c>
      <c r="F76" s="52"/>
      <c r="G76" s="227"/>
      <c r="H76" s="93"/>
      <c r="I76" s="78">
        <f t="shared" si="17"/>
        <v>0</v>
      </c>
      <c r="J76" s="52"/>
      <c r="K76" s="52"/>
      <c r="L76" s="76"/>
      <c r="M76" s="83">
        <f t="shared" si="21"/>
        <v>0</v>
      </c>
      <c r="N76" s="75"/>
      <c r="O76" s="83"/>
      <c r="P76" s="61"/>
      <c r="Q76" s="75"/>
      <c r="R76" s="78"/>
      <c r="S76" s="78"/>
      <c r="T76" s="195"/>
    </row>
    <row r="77" spans="1:20" ht="22.9" customHeight="1" outlineLevel="1" x14ac:dyDescent="0.2">
      <c r="A77" s="36" t="s">
        <v>206</v>
      </c>
      <c r="B77" s="46" t="s">
        <v>205</v>
      </c>
      <c r="C77" s="58">
        <v>459080.36</v>
      </c>
      <c r="D77" s="43"/>
      <c r="E77" s="56">
        <f t="shared" si="14"/>
        <v>146288.64999999997</v>
      </c>
      <c r="F77" s="52">
        <v>312791.71000000002</v>
      </c>
      <c r="G77" s="227">
        <v>281512.53999999998</v>
      </c>
      <c r="H77" s="93"/>
      <c r="I77" s="253">
        <f t="shared" si="17"/>
        <v>31279.170000000042</v>
      </c>
      <c r="J77" s="52"/>
      <c r="K77" s="52"/>
      <c r="L77" s="76"/>
      <c r="M77" s="83">
        <f t="shared" si="21"/>
        <v>0</v>
      </c>
      <c r="N77" s="75"/>
      <c r="O77" s="83"/>
      <c r="P77" s="61"/>
      <c r="Q77" s="75"/>
      <c r="R77" s="78"/>
      <c r="S77" s="78"/>
      <c r="T77" s="195"/>
    </row>
    <row r="78" spans="1:20" ht="22.9" customHeight="1" outlineLevel="1" x14ac:dyDescent="0.2">
      <c r="A78" s="36" t="s">
        <v>208</v>
      </c>
      <c r="B78" s="46" t="s">
        <v>207</v>
      </c>
      <c r="C78" s="58">
        <v>4139468.12</v>
      </c>
      <c r="D78" s="43"/>
      <c r="E78" s="56">
        <f t="shared" si="14"/>
        <v>-2125307.6399999997</v>
      </c>
      <c r="F78" s="52">
        <f>3831188.78+2433586.98</f>
        <v>6264775.7599999998</v>
      </c>
      <c r="G78" s="227">
        <v>3471277.56</v>
      </c>
      <c r="H78" s="93">
        <f>923110.33+1190663.2+1433834.8</f>
        <v>3547608.33</v>
      </c>
      <c r="I78" s="78">
        <f t="shared" si="17"/>
        <v>2793498.1999999997</v>
      </c>
      <c r="J78" s="52"/>
      <c r="K78" s="52"/>
      <c r="L78" s="76"/>
      <c r="M78" s="83">
        <f t="shared" si="21"/>
        <v>0</v>
      </c>
      <c r="N78" s="75"/>
      <c r="O78" s="83"/>
      <c r="P78" s="61"/>
      <c r="Q78" s="75"/>
      <c r="R78" s="78"/>
      <c r="S78" s="78"/>
      <c r="T78" s="195"/>
    </row>
    <row r="79" spans="1:20" ht="22.9" customHeight="1" outlineLevel="1" x14ac:dyDescent="0.2">
      <c r="A79" s="36" t="s">
        <v>212</v>
      </c>
      <c r="B79" s="46" t="s">
        <v>211</v>
      </c>
      <c r="C79" s="58">
        <v>9192701.6099999994</v>
      </c>
      <c r="D79" s="43"/>
      <c r="E79" s="56">
        <f t="shared" si="14"/>
        <v>9192701.6099999994</v>
      </c>
      <c r="F79" s="228"/>
      <c r="G79" s="227">
        <v>4596350.8</v>
      </c>
      <c r="H79" s="93"/>
      <c r="I79" s="78">
        <f t="shared" si="17"/>
        <v>-4596350.8</v>
      </c>
      <c r="J79" s="52"/>
      <c r="K79" s="52"/>
      <c r="L79" s="76"/>
      <c r="M79" s="83">
        <f t="shared" si="21"/>
        <v>0</v>
      </c>
      <c r="N79" s="75"/>
      <c r="O79" s="83"/>
      <c r="P79" s="61"/>
      <c r="Q79" s="75"/>
      <c r="R79" s="78"/>
      <c r="S79" s="78"/>
      <c r="T79" s="195"/>
    </row>
    <row r="80" spans="1:20" ht="22.9" customHeight="1" outlineLevel="1" x14ac:dyDescent="0.2">
      <c r="A80" s="36"/>
      <c r="B80" s="46" t="s">
        <v>226</v>
      </c>
      <c r="C80" s="58"/>
      <c r="D80" s="43">
        <v>3186751.6</v>
      </c>
      <c r="E80" s="56">
        <f t="shared" si="14"/>
        <v>3186751.6</v>
      </c>
      <c r="F80" s="52"/>
      <c r="G80" s="227"/>
      <c r="H80" s="93"/>
      <c r="I80" s="78">
        <f t="shared" si="17"/>
        <v>0</v>
      </c>
      <c r="J80" s="52"/>
      <c r="K80" s="52"/>
      <c r="L80" s="76"/>
      <c r="M80" s="83">
        <f t="shared" si="21"/>
        <v>0</v>
      </c>
      <c r="N80" s="75"/>
      <c r="O80" s="83"/>
      <c r="P80" s="61"/>
      <c r="Q80" s="75"/>
      <c r="R80" s="78"/>
      <c r="S80" s="78"/>
      <c r="T80" s="195"/>
    </row>
    <row r="81" spans="1:20" ht="22.9" customHeight="1" outlineLevel="1" x14ac:dyDescent="0.2">
      <c r="A81" s="36"/>
      <c r="B81" s="46" t="s">
        <v>245</v>
      </c>
      <c r="C81" s="58"/>
      <c r="D81" s="43">
        <v>3620296.4</v>
      </c>
      <c r="E81" s="56">
        <f t="shared" si="14"/>
        <v>3620296.4</v>
      </c>
      <c r="F81" s="52"/>
      <c r="G81" s="227"/>
      <c r="H81" s="93"/>
      <c r="I81" s="78"/>
      <c r="J81" s="52"/>
      <c r="K81" s="52"/>
      <c r="L81" s="76"/>
      <c r="M81" s="83">
        <f t="shared" si="21"/>
        <v>0</v>
      </c>
      <c r="N81" s="75"/>
      <c r="O81" s="83"/>
      <c r="P81" s="61"/>
      <c r="Q81" s="75"/>
      <c r="R81" s="78"/>
      <c r="S81" s="78"/>
      <c r="T81" s="195"/>
    </row>
    <row r="82" spans="1:20" ht="22.9" customHeight="1" outlineLevel="1" x14ac:dyDescent="0.2">
      <c r="A82" s="36"/>
      <c r="B82" s="46" t="s">
        <v>253</v>
      </c>
      <c r="C82" s="58"/>
      <c r="D82" s="43">
        <v>420366.41</v>
      </c>
      <c r="E82" s="56">
        <f t="shared" si="14"/>
        <v>420366.41</v>
      </c>
      <c r="F82" s="227"/>
      <c r="G82" s="227"/>
      <c r="H82" s="93"/>
      <c r="I82" s="78"/>
      <c r="J82" s="52"/>
      <c r="K82" s="52"/>
      <c r="L82" s="76"/>
      <c r="M82" s="83">
        <f t="shared" si="21"/>
        <v>0</v>
      </c>
      <c r="N82" s="75"/>
      <c r="O82" s="83"/>
      <c r="P82" s="61"/>
      <c r="Q82" s="75"/>
      <c r="R82" s="78"/>
      <c r="S82" s="78"/>
      <c r="T82" s="195"/>
    </row>
    <row r="83" spans="1:20" ht="22.9" customHeight="1" outlineLevel="1" x14ac:dyDescent="0.2">
      <c r="A83" s="36"/>
      <c r="B83" s="46"/>
      <c r="C83" s="58"/>
      <c r="D83" s="43"/>
      <c r="E83" s="56">
        <f t="shared" si="14"/>
        <v>0</v>
      </c>
      <c r="F83" s="227"/>
      <c r="G83" s="227"/>
      <c r="H83" s="93"/>
      <c r="I83" s="78"/>
      <c r="J83" s="52"/>
      <c r="K83" s="52"/>
      <c r="L83" s="76"/>
      <c r="M83" s="83">
        <f t="shared" si="21"/>
        <v>0</v>
      </c>
      <c r="N83" s="75"/>
      <c r="O83" s="83"/>
      <c r="P83" s="61"/>
      <c r="Q83" s="75"/>
      <c r="R83" s="78"/>
      <c r="S83" s="78"/>
      <c r="T83" s="195"/>
    </row>
    <row r="84" spans="1:20" ht="22.9" customHeight="1" outlineLevel="1" x14ac:dyDescent="0.2">
      <c r="A84" s="36"/>
      <c r="B84" s="46"/>
      <c r="C84" s="58"/>
      <c r="D84" s="43"/>
      <c r="E84" s="56">
        <f t="shared" si="14"/>
        <v>0</v>
      </c>
      <c r="F84" s="227"/>
      <c r="G84" s="227"/>
      <c r="H84" s="93"/>
      <c r="I84" s="78"/>
      <c r="J84" s="52"/>
      <c r="K84" s="52"/>
      <c r="L84" s="76"/>
      <c r="M84" s="83">
        <f t="shared" si="21"/>
        <v>0</v>
      </c>
      <c r="N84" s="75"/>
      <c r="O84" s="83"/>
      <c r="P84" s="61"/>
      <c r="Q84" s="75"/>
      <c r="R84" s="78"/>
      <c r="S84" s="78"/>
      <c r="T84" s="195"/>
    </row>
    <row r="85" spans="1:20" ht="22.9" customHeight="1" outlineLevel="1" x14ac:dyDescent="0.2">
      <c r="A85" s="36"/>
      <c r="B85" s="46"/>
      <c r="C85" s="58"/>
      <c r="D85" s="43"/>
      <c r="E85" s="56"/>
      <c r="F85" s="227"/>
      <c r="G85" s="227"/>
      <c r="H85" s="93"/>
      <c r="I85" s="78"/>
      <c r="J85" s="52"/>
      <c r="K85" s="52"/>
      <c r="L85" s="76"/>
      <c r="M85" s="83">
        <f t="shared" si="21"/>
        <v>0</v>
      </c>
      <c r="N85" s="75"/>
      <c r="O85" s="83"/>
      <c r="P85" s="61"/>
      <c r="Q85" s="75"/>
      <c r="R85" s="78"/>
      <c r="S85" s="78"/>
      <c r="T85" s="195"/>
    </row>
    <row r="86" spans="1:20" ht="22.9" customHeight="1" outlineLevel="1" x14ac:dyDescent="0.2">
      <c r="A86" s="36"/>
      <c r="B86" s="46"/>
      <c r="C86" s="58"/>
      <c r="D86" s="43"/>
      <c r="E86" s="56"/>
      <c r="F86" s="227"/>
      <c r="G86" s="227"/>
      <c r="H86" s="93"/>
      <c r="I86" s="78">
        <f t="shared" si="17"/>
        <v>0</v>
      </c>
      <c r="J86" s="52"/>
      <c r="K86" s="52"/>
      <c r="L86" s="76"/>
      <c r="M86" s="83">
        <f t="shared" si="21"/>
        <v>0</v>
      </c>
      <c r="N86" s="75"/>
      <c r="O86" s="83"/>
      <c r="P86" s="61"/>
      <c r="Q86" s="75"/>
      <c r="R86" s="78"/>
      <c r="S86" s="78"/>
      <c r="T86" s="195"/>
    </row>
    <row r="87" spans="1:20" ht="11.1" customHeight="1" outlineLevel="1" x14ac:dyDescent="0.2">
      <c r="A87" s="36"/>
      <c r="B87" s="46"/>
      <c r="C87" s="58"/>
      <c r="D87" s="43"/>
      <c r="E87" s="56">
        <f t="shared" si="14"/>
        <v>0</v>
      </c>
      <c r="F87" s="234"/>
      <c r="G87" s="44"/>
      <c r="H87" s="93"/>
      <c r="I87" s="78">
        <f t="shared" si="12"/>
        <v>0</v>
      </c>
      <c r="J87" s="52"/>
      <c r="K87" s="41"/>
      <c r="L87" s="76"/>
      <c r="M87" s="83">
        <f t="shared" si="16"/>
        <v>0</v>
      </c>
      <c r="N87" s="75"/>
      <c r="O87" s="83">
        <f t="shared" si="13"/>
        <v>0</v>
      </c>
      <c r="P87" s="61"/>
      <c r="Q87" s="75"/>
      <c r="R87" s="78"/>
      <c r="S87" s="78"/>
      <c r="T87" s="151"/>
    </row>
    <row r="88" spans="1:20" ht="11.1" customHeight="1" outlineLevel="1" thickBot="1" x14ac:dyDescent="0.25">
      <c r="A88" s="122"/>
      <c r="B88" s="123"/>
      <c r="C88" s="184">
        <v>0</v>
      </c>
      <c r="D88" s="183"/>
      <c r="E88" s="185">
        <f>C88+D88-F88-M88</f>
        <v>0</v>
      </c>
      <c r="F88" s="251">
        <v>0</v>
      </c>
      <c r="G88" s="128"/>
      <c r="H88" s="136">
        <v>0</v>
      </c>
      <c r="I88" s="78">
        <f t="shared" si="12"/>
        <v>0</v>
      </c>
      <c r="J88" s="130"/>
      <c r="K88" s="131"/>
      <c r="L88" s="143"/>
      <c r="M88" s="147">
        <f>J88+K88+L88</f>
        <v>0</v>
      </c>
      <c r="N88" s="143"/>
      <c r="O88" s="83">
        <f t="shared" si="13"/>
        <v>0</v>
      </c>
      <c r="P88" s="130"/>
      <c r="Q88" s="143">
        <f>I88-M88</f>
        <v>0</v>
      </c>
      <c r="R88" s="140"/>
      <c r="S88" s="153"/>
      <c r="T88" s="153"/>
    </row>
    <row r="89" spans="1:20" s="179" customFormat="1" ht="12.95" customHeight="1" thickBot="1" x14ac:dyDescent="0.25">
      <c r="A89" s="171" t="s">
        <v>5</v>
      </c>
      <c r="B89" s="172"/>
      <c r="C89" s="180">
        <f t="shared" ref="C89:H89" si="24">C41</f>
        <v>141895908.06999999</v>
      </c>
      <c r="D89" s="180">
        <f t="shared" si="24"/>
        <v>12330776.67</v>
      </c>
      <c r="E89" s="177">
        <f t="shared" si="24"/>
        <v>35540795.329999991</v>
      </c>
      <c r="F89" s="180">
        <f t="shared" si="24"/>
        <v>117455175.20000002</v>
      </c>
      <c r="G89" s="180">
        <f t="shared" si="24"/>
        <v>114749802.87000002</v>
      </c>
      <c r="H89" s="181">
        <f t="shared" si="24"/>
        <v>60579798.890000008</v>
      </c>
      <c r="I89" s="177">
        <f>F89-G89</f>
        <v>2705372.3299999982</v>
      </c>
      <c r="J89" s="182">
        <f>J41</f>
        <v>0</v>
      </c>
      <c r="K89" s="180">
        <f t="shared" ref="K89:T89" si="25">K41</f>
        <v>0</v>
      </c>
      <c r="L89" s="181">
        <f t="shared" si="25"/>
        <v>0</v>
      </c>
      <c r="M89" s="180">
        <f t="shared" si="25"/>
        <v>0</v>
      </c>
      <c r="N89" s="181">
        <f t="shared" si="25"/>
        <v>0</v>
      </c>
      <c r="O89" s="177">
        <f t="shared" si="25"/>
        <v>3208100.7100000065</v>
      </c>
      <c r="P89" s="182">
        <f t="shared" si="25"/>
        <v>0</v>
      </c>
      <c r="Q89" s="181">
        <f t="shared" si="25"/>
        <v>0</v>
      </c>
      <c r="R89" s="177">
        <f t="shared" si="25"/>
        <v>0</v>
      </c>
      <c r="S89" s="177">
        <f t="shared" si="25"/>
        <v>0</v>
      </c>
      <c r="T89" s="177">
        <f t="shared" si="25"/>
        <v>323411.71000000002</v>
      </c>
    </row>
    <row r="90" spans="1:20" ht="12.95" customHeight="1" thickBot="1" x14ac:dyDescent="0.25">
      <c r="A90" s="19"/>
      <c r="B90" s="19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1:20" ht="15" x14ac:dyDescent="0.2">
      <c r="A91" s="157" t="s">
        <v>23</v>
      </c>
      <c r="B91" s="163" t="s">
        <v>38</v>
      </c>
      <c r="C91" s="118">
        <f t="shared" ref="C91:T91" si="26">SUBTOTAL(9,C92:C98)</f>
        <v>12601847.370000001</v>
      </c>
      <c r="D91" s="119">
        <f t="shared" si="26"/>
        <v>0</v>
      </c>
      <c r="E91" s="120">
        <f t="shared" si="26"/>
        <v>1023537.3000000007</v>
      </c>
      <c r="F91" s="118">
        <f t="shared" si="26"/>
        <v>11166871.379999999</v>
      </c>
      <c r="G91" s="119">
        <f t="shared" si="26"/>
        <v>10977722.699999999</v>
      </c>
      <c r="H91" s="119">
        <f t="shared" si="26"/>
        <v>5419881.5600000005</v>
      </c>
      <c r="I91" s="120">
        <f t="shared" si="26"/>
        <v>189148.68</v>
      </c>
      <c r="J91" s="118">
        <f t="shared" si="26"/>
        <v>0</v>
      </c>
      <c r="K91" s="119">
        <f t="shared" si="26"/>
        <v>0</v>
      </c>
      <c r="L91" s="120">
        <f t="shared" si="26"/>
        <v>0</v>
      </c>
      <c r="M91" s="118">
        <f t="shared" si="26"/>
        <v>0</v>
      </c>
      <c r="N91" s="134">
        <f t="shared" si="26"/>
        <v>0</v>
      </c>
      <c r="O91" s="138">
        <f t="shared" si="26"/>
        <v>189148.68</v>
      </c>
      <c r="P91" s="144">
        <f t="shared" si="26"/>
        <v>0</v>
      </c>
      <c r="Q91" s="134">
        <f t="shared" si="26"/>
        <v>0</v>
      </c>
      <c r="R91" s="138">
        <f t="shared" si="26"/>
        <v>0</v>
      </c>
      <c r="S91" s="145">
        <f t="shared" si="26"/>
        <v>0</v>
      </c>
      <c r="T91" s="144">
        <f t="shared" si="26"/>
        <v>0</v>
      </c>
    </row>
    <row r="92" spans="1:20" ht="11.1" customHeight="1" x14ac:dyDescent="0.2">
      <c r="A92" s="158" t="s">
        <v>21</v>
      </c>
      <c r="B92" s="115"/>
      <c r="C92" s="81">
        <f t="shared" ref="C92:T92" si="27">SUBTOTAL(9,C93:C98)</f>
        <v>12601847.370000001</v>
      </c>
      <c r="D92" s="80">
        <f t="shared" si="27"/>
        <v>0</v>
      </c>
      <c r="E92" s="82">
        <f t="shared" si="27"/>
        <v>1023537.3000000007</v>
      </c>
      <c r="F92" s="81">
        <f t="shared" si="27"/>
        <v>11166871.379999999</v>
      </c>
      <c r="G92" s="80">
        <f t="shared" si="27"/>
        <v>10977722.699999999</v>
      </c>
      <c r="H92" s="80">
        <f t="shared" si="27"/>
        <v>5419881.5600000005</v>
      </c>
      <c r="I92" s="82">
        <f t="shared" si="27"/>
        <v>189148.68</v>
      </c>
      <c r="J92" s="81">
        <f t="shared" si="27"/>
        <v>0</v>
      </c>
      <c r="K92" s="80">
        <f t="shared" si="27"/>
        <v>0</v>
      </c>
      <c r="L92" s="82">
        <f t="shared" si="27"/>
        <v>0</v>
      </c>
      <c r="M92" s="81">
        <f t="shared" si="27"/>
        <v>0</v>
      </c>
      <c r="N92" s="135">
        <f t="shared" si="27"/>
        <v>0</v>
      </c>
      <c r="O92" s="139">
        <f t="shared" si="27"/>
        <v>189148.68</v>
      </c>
      <c r="P92" s="117">
        <f t="shared" si="27"/>
        <v>0</v>
      </c>
      <c r="Q92" s="135">
        <f t="shared" si="27"/>
        <v>0</v>
      </c>
      <c r="R92" s="139">
        <f t="shared" si="27"/>
        <v>0</v>
      </c>
      <c r="S92" s="146">
        <f t="shared" si="27"/>
        <v>0</v>
      </c>
      <c r="T92" s="117">
        <f t="shared" si="27"/>
        <v>0</v>
      </c>
    </row>
    <row r="93" spans="1:20" ht="21" customHeight="1" outlineLevel="1" x14ac:dyDescent="0.2">
      <c r="A93" s="159" t="s">
        <v>113</v>
      </c>
      <c r="B93" s="46" t="s">
        <v>39</v>
      </c>
      <c r="C93" s="121">
        <v>7087865.9000000004</v>
      </c>
      <c r="D93" s="38"/>
      <c r="E93" s="56">
        <f>C93+D93-F93-M93</f>
        <v>1023537.3000000007</v>
      </c>
      <c r="F93" s="121">
        <v>6064328.5999999996</v>
      </c>
      <c r="G93" s="40">
        <v>6064328.5999999996</v>
      </c>
      <c r="H93" s="40">
        <v>3123974.08</v>
      </c>
      <c r="I93" s="78">
        <f t="shared" ref="I93:I98" si="28">F93-G93</f>
        <v>0</v>
      </c>
      <c r="J93" s="166"/>
      <c r="K93" s="41"/>
      <c r="L93" s="62">
        <v>0</v>
      </c>
      <c r="M93" s="83">
        <f>J93+K93+L93</f>
        <v>0</v>
      </c>
      <c r="N93" s="75"/>
      <c r="O93" s="78">
        <f t="shared" ref="O93:O98" si="29">I93+M93</f>
        <v>0</v>
      </c>
      <c r="P93" s="61"/>
      <c r="Q93" s="75">
        <f>I93-M93</f>
        <v>0</v>
      </c>
      <c r="R93" s="78"/>
      <c r="S93" s="170"/>
      <c r="T93" s="108"/>
    </row>
    <row r="94" spans="1:20" ht="21" customHeight="1" outlineLevel="1" x14ac:dyDescent="0.2">
      <c r="A94" s="159"/>
      <c r="B94" s="46" t="s">
        <v>45</v>
      </c>
      <c r="C94" s="121">
        <f>246571.64+44979.8</f>
        <v>291551.44</v>
      </c>
      <c r="D94" s="38"/>
      <c r="E94" s="56"/>
      <c r="F94" s="121">
        <v>189148.68</v>
      </c>
      <c r="G94" s="40"/>
      <c r="H94" s="40">
        <v>90853.35</v>
      </c>
      <c r="I94" s="78">
        <f t="shared" si="28"/>
        <v>189148.68</v>
      </c>
      <c r="J94" s="166"/>
      <c r="K94" s="41"/>
      <c r="L94" s="62"/>
      <c r="M94" s="83"/>
      <c r="N94" s="75"/>
      <c r="O94" s="78">
        <f t="shared" si="29"/>
        <v>189148.68</v>
      </c>
      <c r="P94" s="61"/>
      <c r="Q94" s="75"/>
      <c r="R94" s="78"/>
      <c r="S94" s="170"/>
      <c r="T94" s="108"/>
    </row>
    <row r="95" spans="1:20" ht="22.15" customHeight="1" outlineLevel="1" x14ac:dyDescent="0.2">
      <c r="A95" s="159" t="s">
        <v>112</v>
      </c>
      <c r="B95" s="46" t="s">
        <v>22</v>
      </c>
      <c r="C95" s="58">
        <v>5222430.03</v>
      </c>
      <c r="D95" s="114"/>
      <c r="E95" s="56"/>
      <c r="F95" s="63">
        <f>446247.42+3167919.71+1299226.97</f>
        <v>4913394.0999999996</v>
      </c>
      <c r="G95" s="40">
        <v>4913394.0999999996</v>
      </c>
      <c r="H95" s="40">
        <f>297324.51+1352846.82+554882.8</f>
        <v>2205054.13</v>
      </c>
      <c r="I95" s="78">
        <f t="shared" si="28"/>
        <v>0</v>
      </c>
      <c r="J95" s="166"/>
      <c r="K95" s="41"/>
      <c r="L95" s="167"/>
      <c r="M95" s="83">
        <f>J95+K95+L95</f>
        <v>0</v>
      </c>
      <c r="N95" s="75"/>
      <c r="O95" s="78">
        <f t="shared" si="29"/>
        <v>0</v>
      </c>
      <c r="P95" s="61"/>
      <c r="Q95" s="75">
        <f>I95-M95</f>
        <v>0</v>
      </c>
      <c r="R95" s="78"/>
      <c r="S95" s="110"/>
      <c r="T95" s="108"/>
    </row>
    <row r="96" spans="1:20" ht="11.1" customHeight="1" outlineLevel="1" x14ac:dyDescent="0.2">
      <c r="A96" s="159"/>
      <c r="B96" s="46"/>
      <c r="C96" s="58"/>
      <c r="D96" s="43"/>
      <c r="E96" s="56"/>
      <c r="F96" s="63"/>
      <c r="G96" s="44"/>
      <c r="H96" s="44"/>
      <c r="I96" s="78">
        <f t="shared" si="28"/>
        <v>0</v>
      </c>
      <c r="J96" s="58"/>
      <c r="K96" s="41"/>
      <c r="L96" s="62"/>
      <c r="M96" s="83">
        <f>J96+K96+L96</f>
        <v>0</v>
      </c>
      <c r="N96" s="75"/>
      <c r="O96" s="78">
        <f t="shared" si="29"/>
        <v>0</v>
      </c>
      <c r="P96" s="61"/>
      <c r="Q96" s="75">
        <f>I96-M96</f>
        <v>0</v>
      </c>
      <c r="R96" s="78"/>
      <c r="S96" s="108"/>
      <c r="T96" s="108"/>
    </row>
    <row r="97" spans="1:20" ht="11.1" customHeight="1" outlineLevel="1" x14ac:dyDescent="0.2">
      <c r="A97" s="159"/>
      <c r="B97" s="46"/>
      <c r="C97" s="58"/>
      <c r="D97" s="43"/>
      <c r="E97" s="56"/>
      <c r="F97" s="63"/>
      <c r="G97" s="44"/>
      <c r="H97" s="44"/>
      <c r="I97" s="78">
        <f t="shared" si="28"/>
        <v>0</v>
      </c>
      <c r="J97" s="58"/>
      <c r="K97" s="41"/>
      <c r="L97" s="62"/>
      <c r="M97" s="83"/>
      <c r="N97" s="75"/>
      <c r="O97" s="78">
        <f t="shared" si="29"/>
        <v>0</v>
      </c>
      <c r="P97" s="61"/>
      <c r="Q97" s="75"/>
      <c r="R97" s="78"/>
      <c r="S97" s="108"/>
      <c r="T97" s="108"/>
    </row>
    <row r="98" spans="1:20" ht="11.1" customHeight="1" outlineLevel="1" thickBot="1" x14ac:dyDescent="0.25">
      <c r="A98" s="160"/>
      <c r="B98" s="123"/>
      <c r="C98" s="124">
        <v>0</v>
      </c>
      <c r="D98" s="125"/>
      <c r="E98" s="126">
        <f>C98+D98-F98-M98</f>
        <v>0</v>
      </c>
      <c r="F98" s="127">
        <v>0</v>
      </c>
      <c r="G98" s="128">
        <v>0</v>
      </c>
      <c r="H98" s="128">
        <v>0</v>
      </c>
      <c r="I98" s="78">
        <f t="shared" si="28"/>
        <v>0</v>
      </c>
      <c r="J98" s="147"/>
      <c r="K98" s="131"/>
      <c r="L98" s="129"/>
      <c r="M98" s="147">
        <f>J98+K98+L98</f>
        <v>0</v>
      </c>
      <c r="N98" s="143"/>
      <c r="O98" s="78">
        <f t="shared" si="29"/>
        <v>0</v>
      </c>
      <c r="P98" s="130"/>
      <c r="Q98" s="143">
        <f>I98-M98</f>
        <v>0</v>
      </c>
      <c r="R98" s="140"/>
      <c r="S98" s="169"/>
      <c r="T98" s="169"/>
    </row>
    <row r="99" spans="1:20" s="179" customFormat="1" ht="12.95" customHeight="1" thickBot="1" x14ac:dyDescent="0.25">
      <c r="A99" s="171" t="s">
        <v>5</v>
      </c>
      <c r="B99" s="172"/>
      <c r="C99" s="173">
        <f t="shared" ref="C99:H99" si="30">C91</f>
        <v>12601847.370000001</v>
      </c>
      <c r="D99" s="174">
        <f t="shared" si="30"/>
        <v>0</v>
      </c>
      <c r="E99" s="175">
        <f t="shared" si="30"/>
        <v>1023537.3000000007</v>
      </c>
      <c r="F99" s="173">
        <f t="shared" si="30"/>
        <v>11166871.379999999</v>
      </c>
      <c r="G99" s="174">
        <f t="shared" si="30"/>
        <v>10977722.699999999</v>
      </c>
      <c r="H99" s="174">
        <f t="shared" si="30"/>
        <v>5419881.5600000005</v>
      </c>
      <c r="I99" s="175">
        <f>F99-H99</f>
        <v>5746989.8199999984</v>
      </c>
      <c r="J99" s="173">
        <f t="shared" ref="J99:T99" si="31">J91</f>
        <v>0</v>
      </c>
      <c r="K99" s="174">
        <f t="shared" si="31"/>
        <v>0</v>
      </c>
      <c r="L99" s="175">
        <f t="shared" si="31"/>
        <v>0</v>
      </c>
      <c r="M99" s="173">
        <f t="shared" si="31"/>
        <v>0</v>
      </c>
      <c r="N99" s="176">
        <f t="shared" si="31"/>
        <v>0</v>
      </c>
      <c r="O99" s="177">
        <f t="shared" si="31"/>
        <v>189148.68</v>
      </c>
      <c r="P99" s="178">
        <f t="shared" si="31"/>
        <v>0</v>
      </c>
      <c r="Q99" s="176">
        <f t="shared" si="31"/>
        <v>0</v>
      </c>
      <c r="R99" s="177">
        <f t="shared" si="31"/>
        <v>0</v>
      </c>
      <c r="S99" s="177">
        <f t="shared" si="31"/>
        <v>0</v>
      </c>
      <c r="T99" s="177">
        <f t="shared" si="31"/>
        <v>0</v>
      </c>
    </row>
    <row r="100" spans="1:20" ht="12.95" customHeight="1" x14ac:dyDescent="0.2">
      <c r="A100" s="19"/>
      <c r="B100" s="19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1:20" ht="12.95" customHeight="1" thickBot="1" x14ac:dyDescent="0.25">
      <c r="A101" s="19"/>
      <c r="B101" s="19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1:20" ht="15" x14ac:dyDescent="0.2">
      <c r="A102" s="188" t="s">
        <v>74</v>
      </c>
      <c r="B102" s="189" t="s">
        <v>75</v>
      </c>
      <c r="C102" s="118">
        <f>SUBTOTAL(9,C103:C141)</f>
        <v>46001342.599999994</v>
      </c>
      <c r="D102" s="119">
        <f>SUBTOTAL(9,D103:D141)</f>
        <v>829638.18</v>
      </c>
      <c r="E102" s="120">
        <f>SUBTOTAL(9,E103:E105)</f>
        <v>1084548.8200000003</v>
      </c>
      <c r="F102" s="118">
        <f>SUBTOTAL(9,F103:F141)</f>
        <v>31533912.060000006</v>
      </c>
      <c r="G102" s="119">
        <f>SUBTOTAL(9,G103:G105)</f>
        <v>32668753.120000001</v>
      </c>
      <c r="H102" s="119">
        <f>SUBTOTAL(9,H103:H105)</f>
        <v>1379754.48</v>
      </c>
      <c r="I102" s="120">
        <f>SUBTOTAL(9,I103:I141)</f>
        <v>-1134841.0599999982</v>
      </c>
      <c r="J102" s="144">
        <f>SUBTOTAL(9,J103:J132)</f>
        <v>1509075.9599999997</v>
      </c>
      <c r="K102" s="119">
        <f>SUBTOTAL(9,K103:K141)</f>
        <v>0</v>
      </c>
      <c r="L102" s="119">
        <f>SUBTOTAL(9,L103:L105)</f>
        <v>0</v>
      </c>
      <c r="M102" s="119">
        <f>SUBTOTAL(9,M103:M141)</f>
        <v>1509075.9599999997</v>
      </c>
      <c r="N102" s="134">
        <f>SUBTOTAL(9,N103:N133)</f>
        <v>221331.96000000002</v>
      </c>
      <c r="O102" s="138">
        <f>SUBTOTAL(9,O103:O105)</f>
        <v>-27917820.379999999</v>
      </c>
      <c r="P102" s="144">
        <f>SUBTOTAL(9,P103:P105)</f>
        <v>0</v>
      </c>
      <c r="Q102" s="119">
        <f>SUBTOTAL(9,Q103:Q105)</f>
        <v>-27917820.379999999</v>
      </c>
      <c r="R102" s="134">
        <f>SUBTOTAL(9,R103:R105)</f>
        <v>0</v>
      </c>
      <c r="S102" s="138">
        <f t="shared" ref="S102:T102" si="32">SUBTOTAL(9,S103:S105)</f>
        <v>0</v>
      </c>
      <c r="T102" s="145">
        <f t="shared" si="32"/>
        <v>0</v>
      </c>
    </row>
    <row r="103" spans="1:20" ht="11.1" customHeight="1" x14ac:dyDescent="0.2">
      <c r="A103" s="158" t="s">
        <v>79</v>
      </c>
      <c r="B103" s="115"/>
      <c r="C103" s="81">
        <f>SUBTOTAL(9,C104:C141)</f>
        <v>46001342.599999994</v>
      </c>
      <c r="D103" s="80">
        <f>SUBTOTAL(9,D104:D141)</f>
        <v>829638.18</v>
      </c>
      <c r="E103" s="82">
        <f>SUBTOTAL(9,E104:E105)</f>
        <v>1084548.8200000003</v>
      </c>
      <c r="F103" s="81">
        <f>SUBTOTAL(9,F104:F141)</f>
        <v>31533912.060000006</v>
      </c>
      <c r="G103" s="80">
        <f>SUBTOTAL(9,G104:G105)</f>
        <v>32668753.120000001</v>
      </c>
      <c r="H103" s="80">
        <f>SUBTOTAL(9,H104:H105)</f>
        <v>1379754.48</v>
      </c>
      <c r="I103" s="82">
        <f>SUBTOTAL(9,I104:I141)</f>
        <v>-1134841.0599999982</v>
      </c>
      <c r="J103" s="117">
        <f>SUBTOTAL(9,J104:J133)</f>
        <v>1509075.9599999997</v>
      </c>
      <c r="K103" s="80">
        <f>SUBTOTAL(9,K104:K141)</f>
        <v>0</v>
      </c>
      <c r="L103" s="80">
        <f>SUBTOTAL(9,L104:L105)</f>
        <v>0</v>
      </c>
      <c r="M103" s="80">
        <f>SUBTOTAL(9,M104:M141)</f>
        <v>1509075.9599999997</v>
      </c>
      <c r="N103" s="135">
        <f>SUBTOTAL(9,N104:N133)</f>
        <v>221331.96000000002</v>
      </c>
      <c r="O103" s="139">
        <f>SUBTOTAL(9,O104:O105)</f>
        <v>-27917820.379999999</v>
      </c>
      <c r="P103" s="117">
        <f>SUBTOTAL(9,P104:P105)</f>
        <v>0</v>
      </c>
      <c r="Q103" s="80">
        <f>SUBTOTAL(9,Q104:Q105)</f>
        <v>-27917820.379999999</v>
      </c>
      <c r="R103" s="135">
        <f>SUBTOTAL(9,R104:R105)</f>
        <v>0</v>
      </c>
      <c r="S103" s="139">
        <f t="shared" ref="S103:T103" si="33">SUBTOTAL(9,S104:S105)</f>
        <v>0</v>
      </c>
      <c r="T103" s="146">
        <f t="shared" si="33"/>
        <v>0</v>
      </c>
    </row>
    <row r="104" spans="1:20" ht="21" customHeight="1" outlineLevel="1" x14ac:dyDescent="0.2">
      <c r="A104" s="159" t="s">
        <v>15</v>
      </c>
      <c r="B104" s="46" t="s">
        <v>76</v>
      </c>
      <c r="C104" s="58">
        <v>3265935.48</v>
      </c>
      <c r="D104" s="38"/>
      <c r="E104" s="56">
        <f t="shared" ref="E104:E109" si="34">C104+D104-F104-M104</f>
        <v>156545.9700000002</v>
      </c>
      <c r="F104" s="121">
        <v>3109389.51</v>
      </c>
      <c r="G104" s="44">
        <v>32668753.120000001</v>
      </c>
      <c r="H104" s="41">
        <f>846076.97</f>
        <v>846076.97</v>
      </c>
      <c r="I104" s="78">
        <f t="shared" ref="I104:I142" si="35">F104-G104</f>
        <v>-29559363.609999999</v>
      </c>
      <c r="J104" s="48"/>
      <c r="K104" s="39"/>
      <c r="L104" s="41"/>
      <c r="M104" s="41">
        <f t="shared" ref="M104:M109" si="36">J104+K104+L104</f>
        <v>0</v>
      </c>
      <c r="N104" s="75"/>
      <c r="O104" s="78">
        <f t="shared" ref="O104:O142" si="37">I104+M104</f>
        <v>-29559363.609999999</v>
      </c>
      <c r="P104" s="61"/>
      <c r="Q104" s="41">
        <f t="shared" ref="Q104:Q109" si="38">I104-M104</f>
        <v>-29559363.609999999</v>
      </c>
      <c r="R104" s="75"/>
      <c r="S104" s="151"/>
      <c r="T104" s="108"/>
    </row>
    <row r="105" spans="1:20" ht="10.9" customHeight="1" outlineLevel="1" x14ac:dyDescent="0.2">
      <c r="A105" s="159" t="s">
        <v>61</v>
      </c>
      <c r="B105" s="46" t="s">
        <v>77</v>
      </c>
      <c r="C105" s="58">
        <v>2569546.08</v>
      </c>
      <c r="D105" s="114"/>
      <c r="E105" s="56">
        <f t="shared" si="34"/>
        <v>928002.85000000009</v>
      </c>
      <c r="F105" s="63">
        <f>1116153.47+525389.76</f>
        <v>1641543.23</v>
      </c>
      <c r="G105" s="44"/>
      <c r="H105" s="40">
        <f>265514.01+268163.5</f>
        <v>533677.51</v>
      </c>
      <c r="I105" s="78">
        <f t="shared" si="35"/>
        <v>1641543.23</v>
      </c>
      <c r="J105" s="248"/>
      <c r="K105" s="41"/>
      <c r="L105" s="41"/>
      <c r="M105" s="41">
        <f t="shared" si="36"/>
        <v>0</v>
      </c>
      <c r="N105" s="75"/>
      <c r="O105" s="78">
        <f t="shared" si="37"/>
        <v>1641543.23</v>
      </c>
      <c r="P105" s="61"/>
      <c r="Q105" s="41">
        <f t="shared" si="38"/>
        <v>1641543.23</v>
      </c>
      <c r="R105" s="75"/>
      <c r="S105" s="191"/>
      <c r="T105" s="108"/>
    </row>
    <row r="106" spans="1:20" ht="11.1" customHeight="1" outlineLevel="1" x14ac:dyDescent="0.2">
      <c r="A106" s="159">
        <v>3</v>
      </c>
      <c r="B106" s="46" t="s">
        <v>78</v>
      </c>
      <c r="C106" s="58">
        <v>16671436.199999999</v>
      </c>
      <c r="D106" s="114"/>
      <c r="E106" s="56">
        <f t="shared" si="34"/>
        <v>2803753.4799999986</v>
      </c>
      <c r="F106" s="63">
        <f>4239766.07+1780817.07+2864670.03+2351962.06+1845766.48</f>
        <v>13082981.710000001</v>
      </c>
      <c r="G106" s="44"/>
      <c r="H106" s="40">
        <f>61878.06+83330.96+140641.53+94106.86+89431.78+69849.01</f>
        <v>539238.20000000007</v>
      </c>
      <c r="I106" s="78">
        <f t="shared" si="35"/>
        <v>13082981.710000001</v>
      </c>
      <c r="J106" s="254">
        <v>784701.01</v>
      </c>
      <c r="K106" s="41"/>
      <c r="L106" s="41"/>
      <c r="M106" s="41">
        <f t="shared" si="36"/>
        <v>784701.01</v>
      </c>
      <c r="N106" s="75">
        <v>49238.28</v>
      </c>
      <c r="O106" s="78">
        <f t="shared" si="37"/>
        <v>13867682.720000001</v>
      </c>
      <c r="P106" s="61"/>
      <c r="Q106" s="41">
        <f t="shared" si="38"/>
        <v>12298280.700000001</v>
      </c>
      <c r="R106" s="75"/>
      <c r="S106" s="191"/>
      <c r="T106" s="108"/>
    </row>
    <row r="107" spans="1:20" ht="11.1" customHeight="1" outlineLevel="1" x14ac:dyDescent="0.2">
      <c r="A107" s="250">
        <v>3</v>
      </c>
      <c r="B107" s="46" t="s">
        <v>161</v>
      </c>
      <c r="C107" s="58">
        <v>1652318.9</v>
      </c>
      <c r="D107" s="114"/>
      <c r="E107" s="56">
        <f t="shared" si="34"/>
        <v>207388.25</v>
      </c>
      <c r="F107" s="61">
        <f>119545.49+320667.93+538884.6+465832.63</f>
        <v>1444930.65</v>
      </c>
      <c r="G107" s="44"/>
      <c r="H107" s="75">
        <f>1878.49+5219.03+8251+4602.15</f>
        <v>19950.669999999998</v>
      </c>
      <c r="I107" s="78">
        <f>F107-G107</f>
        <v>1444930.65</v>
      </c>
      <c r="J107" s="248"/>
      <c r="K107" s="41"/>
      <c r="L107" s="41"/>
      <c r="M107" s="41">
        <f t="shared" si="36"/>
        <v>0</v>
      </c>
      <c r="N107" s="75"/>
      <c r="O107" s="78">
        <f t="shared" si="37"/>
        <v>1444930.65</v>
      </c>
      <c r="P107" s="61"/>
      <c r="Q107" s="41">
        <f t="shared" si="38"/>
        <v>1444930.65</v>
      </c>
      <c r="R107" s="75"/>
      <c r="S107" s="191"/>
      <c r="T107" s="108"/>
    </row>
    <row r="108" spans="1:20" ht="11.1" customHeight="1" outlineLevel="1" x14ac:dyDescent="0.2">
      <c r="A108" s="159">
        <v>3</v>
      </c>
      <c r="B108" s="46" t="s">
        <v>234</v>
      </c>
      <c r="C108" s="58">
        <v>657618.81999999995</v>
      </c>
      <c r="D108" s="114"/>
      <c r="E108" s="56">
        <f t="shared" si="34"/>
        <v>9561.609999999986</v>
      </c>
      <c r="F108" s="61">
        <v>648057.21</v>
      </c>
      <c r="G108" s="44"/>
      <c r="H108" s="75">
        <v>10255.51</v>
      </c>
      <c r="I108" s="78">
        <f>F108-G108</f>
        <v>648057.21</v>
      </c>
      <c r="J108" s="248"/>
      <c r="K108" s="41"/>
      <c r="L108" s="41"/>
      <c r="M108" s="41">
        <f t="shared" si="36"/>
        <v>0</v>
      </c>
      <c r="N108" s="75"/>
      <c r="O108" s="78">
        <f t="shared" ref="O108" si="39">I108+M108</f>
        <v>648057.21</v>
      </c>
      <c r="P108" s="61"/>
      <c r="Q108" s="41">
        <f t="shared" si="38"/>
        <v>648057.21</v>
      </c>
      <c r="R108" s="75"/>
      <c r="S108" s="191"/>
      <c r="T108" s="108"/>
    </row>
    <row r="109" spans="1:20" ht="11.1" customHeight="1" outlineLevel="1" x14ac:dyDescent="0.2">
      <c r="A109" s="159">
        <v>3</v>
      </c>
      <c r="B109" s="46" t="s">
        <v>235</v>
      </c>
      <c r="C109" s="58">
        <v>44032.85</v>
      </c>
      <c r="D109" s="114"/>
      <c r="E109" s="56">
        <f t="shared" si="34"/>
        <v>0</v>
      </c>
      <c r="F109" s="61">
        <v>44032.85</v>
      </c>
      <c r="G109" s="44"/>
      <c r="H109" s="75">
        <v>801.21</v>
      </c>
      <c r="I109" s="78">
        <f>F109-G109</f>
        <v>44032.85</v>
      </c>
      <c r="J109" s="248"/>
      <c r="K109" s="41"/>
      <c r="L109" s="41"/>
      <c r="M109" s="41">
        <f t="shared" si="36"/>
        <v>0</v>
      </c>
      <c r="N109" s="75"/>
      <c r="O109" s="78">
        <f t="shared" ref="O109" si="40">I109+M109</f>
        <v>44032.85</v>
      </c>
      <c r="P109" s="61"/>
      <c r="Q109" s="41">
        <f t="shared" si="38"/>
        <v>44032.85</v>
      </c>
      <c r="R109" s="75"/>
      <c r="S109" s="191"/>
      <c r="T109" s="108"/>
    </row>
    <row r="110" spans="1:20" ht="9" customHeight="1" outlineLevel="1" x14ac:dyDescent="0.2">
      <c r="A110" s="159"/>
      <c r="B110" s="46" t="s">
        <v>147</v>
      </c>
      <c r="C110" s="58">
        <v>94044</v>
      </c>
      <c r="D110" s="114"/>
      <c r="E110" s="56"/>
      <c r="F110" s="61">
        <v>86439</v>
      </c>
      <c r="G110" s="44"/>
      <c r="H110" s="40"/>
      <c r="I110" s="78">
        <f t="shared" ref="I110:I141" si="41">F110-G110</f>
        <v>86439</v>
      </c>
      <c r="J110" s="248"/>
      <c r="K110" s="41"/>
      <c r="L110" s="41"/>
      <c r="M110" s="41">
        <f t="shared" ref="M110:M140" si="42">J110+K110+L110</f>
        <v>0</v>
      </c>
      <c r="N110" s="75"/>
      <c r="O110" s="78"/>
      <c r="P110" s="61"/>
      <c r="Q110" s="41"/>
      <c r="R110" s="75"/>
      <c r="S110" s="191"/>
      <c r="T110" s="108"/>
    </row>
    <row r="111" spans="1:20" ht="11.1" customHeight="1" outlineLevel="1" x14ac:dyDescent="0.2">
      <c r="A111" s="159"/>
      <c r="B111" s="46" t="s">
        <v>136</v>
      </c>
      <c r="C111" s="58">
        <v>121272.74</v>
      </c>
      <c r="D111" s="114"/>
      <c r="E111" s="56"/>
      <c r="F111" s="54">
        <v>121272.74</v>
      </c>
      <c r="G111" s="44"/>
      <c r="H111" s="40"/>
      <c r="I111" s="78">
        <f t="shared" si="41"/>
        <v>121272.74</v>
      </c>
      <c r="J111" s="248"/>
      <c r="K111" s="41"/>
      <c r="L111" s="41"/>
      <c r="M111" s="41">
        <f t="shared" si="42"/>
        <v>0</v>
      </c>
      <c r="N111" s="75"/>
      <c r="O111" s="78"/>
      <c r="P111" s="61"/>
      <c r="Q111" s="41"/>
      <c r="R111" s="75"/>
      <c r="S111" s="191"/>
      <c r="T111" s="108"/>
    </row>
    <row r="112" spans="1:20" ht="11.1" customHeight="1" outlineLevel="1" x14ac:dyDescent="0.2">
      <c r="A112" s="159"/>
      <c r="B112" s="46" t="s">
        <v>84</v>
      </c>
      <c r="C112" s="58">
        <v>811622.53</v>
      </c>
      <c r="D112" s="114"/>
      <c r="E112" s="56"/>
      <c r="F112" s="61">
        <f>437855.52+261338.4+76390.8</f>
        <v>775584.72000000009</v>
      </c>
      <c r="G112" s="44"/>
      <c r="H112" s="40">
        <v>25140.3</v>
      </c>
      <c r="I112" s="78">
        <f t="shared" si="41"/>
        <v>775584.72000000009</v>
      </c>
      <c r="J112" s="248"/>
      <c r="K112" s="41"/>
      <c r="L112" s="41"/>
      <c r="M112" s="41">
        <f t="shared" si="42"/>
        <v>0</v>
      </c>
      <c r="N112" s="75"/>
      <c r="O112" s="78">
        <f t="shared" si="37"/>
        <v>775584.72000000009</v>
      </c>
      <c r="P112" s="61"/>
      <c r="Q112" s="41"/>
      <c r="R112" s="75"/>
      <c r="S112" s="191"/>
      <c r="T112" s="108"/>
    </row>
    <row r="113" spans="1:20" ht="10.9" customHeight="1" outlineLevel="1" x14ac:dyDescent="0.2">
      <c r="A113" s="159"/>
      <c r="B113" s="46" t="s">
        <v>115</v>
      </c>
      <c r="C113" s="58">
        <v>149795.48000000001</v>
      </c>
      <c r="D113" s="114"/>
      <c r="E113" s="56"/>
      <c r="F113" s="61">
        <v>140830.39000000001</v>
      </c>
      <c r="G113" s="44"/>
      <c r="H113" s="75">
        <v>7440.1</v>
      </c>
      <c r="I113" s="78">
        <f t="shared" si="41"/>
        <v>140830.39000000001</v>
      </c>
      <c r="J113" s="248"/>
      <c r="K113" s="41"/>
      <c r="L113" s="41"/>
      <c r="M113" s="41">
        <f t="shared" si="42"/>
        <v>0</v>
      </c>
      <c r="N113" s="75"/>
      <c r="O113" s="78">
        <f t="shared" si="37"/>
        <v>140830.39000000001</v>
      </c>
      <c r="P113" s="61"/>
      <c r="Q113" s="41"/>
      <c r="R113" s="75"/>
      <c r="S113" s="191"/>
      <c r="T113" s="108"/>
    </row>
    <row r="114" spans="1:20" ht="10.9" customHeight="1" outlineLevel="1" x14ac:dyDescent="0.2">
      <c r="A114" s="159"/>
      <c r="B114" s="46" t="s">
        <v>92</v>
      </c>
      <c r="C114" s="58">
        <v>343636.2</v>
      </c>
      <c r="D114" s="114"/>
      <c r="E114" s="56"/>
      <c r="F114" s="61">
        <f>336135.2+23760</f>
        <v>359895.2</v>
      </c>
      <c r="G114" s="44"/>
      <c r="H114" s="40">
        <v>50467.199999999997</v>
      </c>
      <c r="I114" s="78">
        <f t="shared" si="41"/>
        <v>359895.2</v>
      </c>
      <c r="J114" s="248"/>
      <c r="K114" s="41"/>
      <c r="L114" s="41"/>
      <c r="M114" s="41">
        <f t="shared" si="42"/>
        <v>0</v>
      </c>
      <c r="N114" s="75"/>
      <c r="O114" s="140"/>
      <c r="P114" s="61"/>
      <c r="Q114" s="41"/>
      <c r="R114" s="75"/>
      <c r="S114" s="193"/>
      <c r="T114" s="108"/>
    </row>
    <row r="115" spans="1:20" ht="10.9" customHeight="1" outlineLevel="1" x14ac:dyDescent="0.2">
      <c r="A115" s="159"/>
      <c r="B115" s="46" t="s">
        <v>162</v>
      </c>
      <c r="C115" s="58">
        <v>1121089.3600000001</v>
      </c>
      <c r="D115" s="114"/>
      <c r="E115" s="56"/>
      <c r="F115" s="61">
        <f>568484.55+527211.32</f>
        <v>1095695.8700000001</v>
      </c>
      <c r="G115" s="44"/>
      <c r="H115" s="75">
        <f>233661.78+90571.72</f>
        <v>324233.5</v>
      </c>
      <c r="I115" s="78">
        <f t="shared" si="41"/>
        <v>1095695.8700000001</v>
      </c>
      <c r="J115" s="248"/>
      <c r="K115" s="41"/>
      <c r="L115" s="41"/>
      <c r="M115" s="41">
        <f t="shared" si="42"/>
        <v>0</v>
      </c>
      <c r="N115" s="75"/>
      <c r="O115" s="140"/>
      <c r="P115" s="61"/>
      <c r="Q115" s="41"/>
      <c r="R115" s="75"/>
      <c r="S115" s="193"/>
      <c r="T115" s="108"/>
    </row>
    <row r="116" spans="1:20" ht="11.1" customHeight="1" outlineLevel="1" x14ac:dyDescent="0.2">
      <c r="A116" s="159"/>
      <c r="B116" s="46" t="s">
        <v>116</v>
      </c>
      <c r="C116" s="58">
        <v>217333.15</v>
      </c>
      <c r="D116" s="114"/>
      <c r="E116" s="56"/>
      <c r="F116" s="63">
        <v>213069.72</v>
      </c>
      <c r="G116" s="44"/>
      <c r="H116" s="40">
        <v>2295.41</v>
      </c>
      <c r="I116" s="78">
        <f t="shared" si="41"/>
        <v>213069.72</v>
      </c>
      <c r="J116" s="248"/>
      <c r="K116" s="41"/>
      <c r="L116" s="41"/>
      <c r="M116" s="41">
        <f t="shared" si="42"/>
        <v>0</v>
      </c>
      <c r="N116" s="75"/>
      <c r="O116" s="140"/>
      <c r="P116" s="61"/>
      <c r="Q116" s="41"/>
      <c r="R116" s="75"/>
      <c r="S116" s="193"/>
      <c r="T116" s="108"/>
    </row>
    <row r="117" spans="1:20" ht="10.9" customHeight="1" outlineLevel="1" x14ac:dyDescent="0.2">
      <c r="A117" s="159"/>
      <c r="B117" s="46" t="s">
        <v>117</v>
      </c>
      <c r="C117" s="58">
        <v>130593.60000000001</v>
      </c>
      <c r="D117" s="114"/>
      <c r="E117" s="56"/>
      <c r="F117" s="63">
        <v>58433.599999999999</v>
      </c>
      <c r="G117" s="44"/>
      <c r="H117" s="40">
        <v>387.83</v>
      </c>
      <c r="I117" s="78">
        <f t="shared" si="41"/>
        <v>58433.599999999999</v>
      </c>
      <c r="J117" s="248"/>
      <c r="K117" s="41"/>
      <c r="L117" s="41"/>
      <c r="M117" s="41">
        <f t="shared" si="42"/>
        <v>0</v>
      </c>
      <c r="N117" s="75"/>
      <c r="O117" s="140"/>
      <c r="P117" s="61"/>
      <c r="Q117" s="41"/>
      <c r="R117" s="75"/>
      <c r="S117" s="193"/>
      <c r="T117" s="108"/>
    </row>
    <row r="118" spans="1:20" ht="21" customHeight="1" outlineLevel="1" x14ac:dyDescent="0.2">
      <c r="A118" s="159"/>
      <c r="B118" s="46" t="s">
        <v>118</v>
      </c>
      <c r="C118" s="58">
        <v>130752.96000000001</v>
      </c>
      <c r="D118" s="114"/>
      <c r="E118" s="56"/>
      <c r="F118" s="63">
        <f>73153.32+58000</f>
        <v>131153.32</v>
      </c>
      <c r="G118" s="44"/>
      <c r="H118" s="40">
        <v>981.27</v>
      </c>
      <c r="I118" s="78">
        <f t="shared" si="41"/>
        <v>131153.32</v>
      </c>
      <c r="J118" s="248"/>
      <c r="K118" s="41"/>
      <c r="L118" s="41"/>
      <c r="M118" s="41">
        <f t="shared" si="42"/>
        <v>0</v>
      </c>
      <c r="N118" s="75"/>
      <c r="O118" s="140"/>
      <c r="P118" s="61"/>
      <c r="Q118" s="41"/>
      <c r="R118" s="75"/>
      <c r="S118" s="193"/>
      <c r="T118" s="108"/>
    </row>
    <row r="119" spans="1:20" ht="21" customHeight="1" outlineLevel="1" x14ac:dyDescent="0.2">
      <c r="A119" s="159"/>
      <c r="B119" s="46" t="s">
        <v>119</v>
      </c>
      <c r="C119" s="58">
        <v>4978800</v>
      </c>
      <c r="D119" s="114"/>
      <c r="E119" s="56"/>
      <c r="F119" s="63">
        <f>537600+1904800+662400+1092000+224400+130800+64800</f>
        <v>4616800</v>
      </c>
      <c r="G119" s="44"/>
      <c r="H119" s="40"/>
      <c r="I119" s="78">
        <f t="shared" si="41"/>
        <v>4616800</v>
      </c>
      <c r="J119" s="248"/>
      <c r="K119" s="41"/>
      <c r="L119" s="41"/>
      <c r="M119" s="41">
        <f t="shared" si="42"/>
        <v>0</v>
      </c>
      <c r="N119" s="75"/>
      <c r="O119" s="140"/>
      <c r="P119" s="61"/>
      <c r="Q119" s="41"/>
      <c r="R119" s="75"/>
      <c r="S119" s="193"/>
      <c r="T119" s="108"/>
    </row>
    <row r="120" spans="1:20" ht="15" customHeight="1" outlineLevel="1" x14ac:dyDescent="0.2">
      <c r="A120" s="159"/>
      <c r="B120" s="46" t="s">
        <v>185</v>
      </c>
      <c r="C120" s="58">
        <v>579486.13</v>
      </c>
      <c r="D120" s="114"/>
      <c r="E120" s="56"/>
      <c r="F120" s="105">
        <f>338580+9600</f>
        <v>348180</v>
      </c>
      <c r="G120" s="44"/>
      <c r="H120" s="40"/>
      <c r="I120" s="78">
        <f t="shared" si="41"/>
        <v>348180</v>
      </c>
      <c r="J120" s="248"/>
      <c r="K120" s="41"/>
      <c r="L120" s="41"/>
      <c r="M120" s="41">
        <f t="shared" si="42"/>
        <v>0</v>
      </c>
      <c r="N120" s="75"/>
      <c r="O120" s="140"/>
      <c r="P120" s="61"/>
      <c r="Q120" s="41"/>
      <c r="R120" s="75"/>
      <c r="S120" s="193"/>
      <c r="T120" s="108"/>
    </row>
    <row r="121" spans="1:20" ht="15" customHeight="1" outlineLevel="1" x14ac:dyDescent="0.2">
      <c r="A121" s="159"/>
      <c r="B121" s="46" t="s">
        <v>163</v>
      </c>
      <c r="C121" s="58">
        <v>251425</v>
      </c>
      <c r="D121" s="114"/>
      <c r="E121" s="56"/>
      <c r="F121" s="61">
        <f>50460+31900+96490.96+137130.4</f>
        <v>315981.36</v>
      </c>
      <c r="G121" s="44"/>
      <c r="H121" s="40">
        <v>100.49</v>
      </c>
      <c r="I121" s="78">
        <f t="shared" si="41"/>
        <v>315981.36</v>
      </c>
      <c r="J121" s="248"/>
      <c r="K121" s="41"/>
      <c r="L121" s="41"/>
      <c r="M121" s="41">
        <f t="shared" si="42"/>
        <v>0</v>
      </c>
      <c r="N121" s="75"/>
      <c r="O121" s="140"/>
      <c r="P121" s="61"/>
      <c r="Q121" s="41"/>
      <c r="R121" s="75"/>
      <c r="S121" s="193"/>
      <c r="T121" s="108"/>
    </row>
    <row r="122" spans="1:20" ht="15" customHeight="1" outlineLevel="1" x14ac:dyDescent="0.2">
      <c r="A122" s="159"/>
      <c r="B122" s="46" t="s">
        <v>183</v>
      </c>
      <c r="C122" s="58">
        <v>63276</v>
      </c>
      <c r="D122" s="114"/>
      <c r="E122" s="56"/>
      <c r="F122" s="61">
        <v>24111</v>
      </c>
      <c r="G122" s="44"/>
      <c r="H122" s="40"/>
      <c r="I122" s="78">
        <f t="shared" si="41"/>
        <v>24111</v>
      </c>
      <c r="J122" s="248"/>
      <c r="K122" s="41"/>
      <c r="L122" s="41"/>
      <c r="M122" s="41">
        <f t="shared" si="42"/>
        <v>0</v>
      </c>
      <c r="N122" s="75"/>
      <c r="O122" s="140"/>
      <c r="P122" s="61"/>
      <c r="Q122" s="41"/>
      <c r="R122" s="75"/>
      <c r="S122" s="193"/>
      <c r="T122" s="108"/>
    </row>
    <row r="123" spans="1:20" ht="15" customHeight="1" outlineLevel="1" x14ac:dyDescent="0.2">
      <c r="A123" s="159"/>
      <c r="B123" s="46" t="s">
        <v>133</v>
      </c>
      <c r="C123" s="58">
        <v>5900339</v>
      </c>
      <c r="D123" s="114"/>
      <c r="E123" s="56"/>
      <c r="F123" s="63">
        <f>218761.03+613589.3+594013.73+665742.79</f>
        <v>2092106.85</v>
      </c>
      <c r="G123" s="44"/>
      <c r="H123" s="40">
        <f>79332.17+256135.61+145883.44+220143.42</f>
        <v>701494.64</v>
      </c>
      <c r="I123" s="78">
        <f t="shared" si="41"/>
        <v>2092106.85</v>
      </c>
      <c r="J123" s="254">
        <v>603341.16</v>
      </c>
      <c r="K123" s="41"/>
      <c r="L123" s="41"/>
      <c r="M123" s="41">
        <f t="shared" si="42"/>
        <v>603341.16</v>
      </c>
      <c r="N123" s="75">
        <v>171524.29</v>
      </c>
      <c r="O123" s="140"/>
      <c r="P123" s="61"/>
      <c r="Q123" s="41"/>
      <c r="R123" s="75"/>
      <c r="S123" s="193"/>
      <c r="T123" s="108"/>
    </row>
    <row r="124" spans="1:20" ht="21" customHeight="1" outlineLevel="1" x14ac:dyDescent="0.2">
      <c r="A124" s="159"/>
      <c r="B124" s="46" t="s">
        <v>186</v>
      </c>
      <c r="C124" s="114">
        <v>145077.14000000001</v>
      </c>
      <c r="D124" s="114"/>
      <c r="E124" s="56"/>
      <c r="F124" s="61"/>
      <c r="G124" s="44"/>
      <c r="H124" s="40"/>
      <c r="I124" s="78">
        <f t="shared" si="41"/>
        <v>0</v>
      </c>
      <c r="J124" s="249"/>
      <c r="K124" s="41"/>
      <c r="L124" s="41"/>
      <c r="M124" s="41">
        <f t="shared" si="42"/>
        <v>0</v>
      </c>
      <c r="N124" s="75"/>
      <c r="O124" s="140"/>
      <c r="P124" s="61"/>
      <c r="Q124" s="41"/>
      <c r="R124" s="75"/>
      <c r="S124" s="193"/>
      <c r="T124" s="108"/>
    </row>
    <row r="125" spans="1:20" ht="21" customHeight="1" outlineLevel="1" x14ac:dyDescent="0.2">
      <c r="A125" s="159"/>
      <c r="B125" s="46" t="s">
        <v>187</v>
      </c>
      <c r="C125" s="114">
        <v>640518</v>
      </c>
      <c r="D125" s="114"/>
      <c r="E125" s="56"/>
      <c r="F125" s="61">
        <v>218777.1</v>
      </c>
      <c r="G125" s="44"/>
      <c r="H125" s="40"/>
      <c r="I125" s="78">
        <f t="shared" si="41"/>
        <v>218777.1</v>
      </c>
      <c r="J125" s="254">
        <v>78653.399999999994</v>
      </c>
      <c r="K125" s="41"/>
      <c r="L125" s="41"/>
      <c r="M125" s="41">
        <f t="shared" si="42"/>
        <v>78653.399999999994</v>
      </c>
      <c r="N125" s="75"/>
      <c r="O125" s="140"/>
      <c r="P125" s="61"/>
      <c r="Q125" s="41"/>
      <c r="R125" s="75"/>
      <c r="S125" s="193"/>
      <c r="T125" s="108"/>
    </row>
    <row r="126" spans="1:20" ht="21" customHeight="1" outlineLevel="1" x14ac:dyDescent="0.2">
      <c r="A126" s="159"/>
      <c r="B126" s="46" t="s">
        <v>134</v>
      </c>
      <c r="C126" s="114">
        <v>26941.41</v>
      </c>
      <c r="D126" s="114"/>
      <c r="E126" s="56"/>
      <c r="F126" s="61">
        <f>4567.2+5064</f>
        <v>9631.2000000000007</v>
      </c>
      <c r="G126" s="44"/>
      <c r="H126" s="40"/>
      <c r="I126" s="78">
        <f t="shared" si="41"/>
        <v>9631.2000000000007</v>
      </c>
      <c r="J126" s="249"/>
      <c r="K126" s="41"/>
      <c r="L126" s="41"/>
      <c r="M126" s="41">
        <f t="shared" si="42"/>
        <v>0</v>
      </c>
      <c r="N126" s="75"/>
      <c r="O126" s="140"/>
      <c r="P126" s="61"/>
      <c r="Q126" s="41"/>
      <c r="R126" s="75"/>
      <c r="S126" s="193"/>
      <c r="T126" s="108"/>
    </row>
    <row r="127" spans="1:20" ht="21" customHeight="1" outlineLevel="1" x14ac:dyDescent="0.2">
      <c r="A127" s="159"/>
      <c r="B127" s="46" t="s">
        <v>164</v>
      </c>
      <c r="C127" s="58">
        <v>1031404.56</v>
      </c>
      <c r="D127" s="114"/>
      <c r="E127" s="56"/>
      <c r="F127" s="63">
        <v>281554.77</v>
      </c>
      <c r="G127" s="44"/>
      <c r="H127" s="40">
        <v>4213.7700000000004</v>
      </c>
      <c r="I127" s="78">
        <f t="shared" si="41"/>
        <v>281554.77</v>
      </c>
      <c r="J127" s="61"/>
      <c r="K127" s="41"/>
      <c r="L127" s="41"/>
      <c r="M127" s="41">
        <f t="shared" si="42"/>
        <v>0</v>
      </c>
      <c r="N127" s="75"/>
      <c r="O127" s="140"/>
      <c r="P127" s="61"/>
      <c r="Q127" s="41"/>
      <c r="R127" s="75"/>
      <c r="S127" s="193"/>
      <c r="T127" s="108"/>
    </row>
    <row r="128" spans="1:20" ht="21" customHeight="1" outlineLevel="1" x14ac:dyDescent="0.2">
      <c r="A128" s="159"/>
      <c r="B128" s="46" t="s">
        <v>165</v>
      </c>
      <c r="C128" s="58">
        <v>250045.8</v>
      </c>
      <c r="D128" s="58"/>
      <c r="E128" s="56"/>
      <c r="F128" s="63">
        <v>218072.94</v>
      </c>
      <c r="G128" s="44"/>
      <c r="H128" s="40">
        <v>4873</v>
      </c>
      <c r="I128" s="78">
        <f t="shared" si="41"/>
        <v>218072.94</v>
      </c>
      <c r="J128" s="61"/>
      <c r="K128" s="41"/>
      <c r="L128" s="41"/>
      <c r="M128" s="41">
        <f t="shared" si="42"/>
        <v>0</v>
      </c>
      <c r="N128" s="75"/>
      <c r="O128" s="140"/>
      <c r="P128" s="61"/>
      <c r="Q128" s="41"/>
      <c r="R128" s="75"/>
      <c r="S128" s="193"/>
      <c r="T128" s="108"/>
    </row>
    <row r="129" spans="1:20" ht="21" customHeight="1" outlineLevel="1" x14ac:dyDescent="0.2">
      <c r="A129" s="159"/>
      <c r="B129" s="46" t="s">
        <v>176</v>
      </c>
      <c r="C129" s="114">
        <v>150508.25</v>
      </c>
      <c r="D129" s="114"/>
      <c r="E129" s="56"/>
      <c r="F129" s="61">
        <f>20923.72+45348.97</f>
        <v>66272.69</v>
      </c>
      <c r="G129" s="44"/>
      <c r="H129" s="75">
        <v>570.67999999999995</v>
      </c>
      <c r="I129" s="78">
        <f t="shared" si="41"/>
        <v>66272.69</v>
      </c>
      <c r="J129" s="255">
        <v>42380.39</v>
      </c>
      <c r="K129" s="41"/>
      <c r="L129" s="41"/>
      <c r="M129" s="41">
        <f t="shared" si="42"/>
        <v>42380.39</v>
      </c>
      <c r="N129" s="75">
        <v>569.39</v>
      </c>
      <c r="O129" s="140"/>
      <c r="P129" s="61"/>
      <c r="Q129" s="41"/>
      <c r="R129" s="75"/>
      <c r="S129" s="193"/>
      <c r="T129" s="108"/>
    </row>
    <row r="130" spans="1:20" ht="21" customHeight="1" outlineLevel="1" x14ac:dyDescent="0.2">
      <c r="A130" s="159"/>
      <c r="B130" s="46" t="s">
        <v>184</v>
      </c>
      <c r="C130" s="58">
        <v>27787.95</v>
      </c>
      <c r="D130" s="114"/>
      <c r="E130" s="56"/>
      <c r="F130" s="63">
        <v>17602</v>
      </c>
      <c r="G130" s="44"/>
      <c r="H130" s="40">
        <f>244.98</f>
        <v>244.98</v>
      </c>
      <c r="I130" s="78">
        <f t="shared" si="41"/>
        <v>17602</v>
      </c>
      <c r="J130" s="61"/>
      <c r="K130" s="41"/>
      <c r="L130" s="41"/>
      <c r="M130" s="41">
        <f t="shared" si="42"/>
        <v>0</v>
      </c>
      <c r="N130" s="75"/>
      <c r="O130" s="140"/>
      <c r="P130" s="61"/>
      <c r="Q130" s="41"/>
      <c r="R130" s="75"/>
      <c r="S130" s="193"/>
      <c r="T130" s="108"/>
    </row>
    <row r="131" spans="1:20" ht="21" customHeight="1" outlineLevel="1" x14ac:dyDescent="0.2">
      <c r="A131" s="159"/>
      <c r="B131" s="46" t="s">
        <v>166</v>
      </c>
      <c r="C131" s="58">
        <v>1518890</v>
      </c>
      <c r="D131" s="114"/>
      <c r="E131" s="56"/>
      <c r="F131" s="63">
        <f>83948+107629+117629</f>
        <v>309206</v>
      </c>
      <c r="G131" s="44"/>
      <c r="H131" s="40"/>
      <c r="I131" s="78">
        <f t="shared" si="41"/>
        <v>309206</v>
      </c>
      <c r="J131" s="61"/>
      <c r="K131" s="41"/>
      <c r="L131" s="41"/>
      <c r="M131" s="41">
        <f t="shared" si="42"/>
        <v>0</v>
      </c>
      <c r="N131" s="75"/>
      <c r="O131" s="140"/>
      <c r="P131" s="61"/>
      <c r="Q131" s="41"/>
      <c r="R131" s="75"/>
      <c r="S131" s="193"/>
      <c r="T131" s="108"/>
    </row>
    <row r="132" spans="1:20" ht="21" customHeight="1" outlineLevel="1" x14ac:dyDescent="0.2">
      <c r="A132" s="159"/>
      <c r="B132" s="46" t="s">
        <v>172</v>
      </c>
      <c r="C132" s="114">
        <v>63719.46</v>
      </c>
      <c r="D132" s="114"/>
      <c r="E132" s="56"/>
      <c r="F132" s="61">
        <v>31773.93</v>
      </c>
      <c r="G132" s="44"/>
      <c r="H132" s="75">
        <v>1001.26</v>
      </c>
      <c r="I132" s="78">
        <f t="shared" si="41"/>
        <v>31773.93</v>
      </c>
      <c r="J132" s="61"/>
      <c r="K132" s="41"/>
      <c r="L132" s="41"/>
      <c r="M132" s="41">
        <f t="shared" si="42"/>
        <v>0</v>
      </c>
      <c r="N132" s="75"/>
      <c r="O132" s="140"/>
      <c r="P132" s="61"/>
      <c r="Q132" s="41"/>
      <c r="R132" s="75"/>
      <c r="S132" s="193"/>
      <c r="T132" s="108"/>
    </row>
    <row r="133" spans="1:20" ht="21" customHeight="1" outlineLevel="1" x14ac:dyDescent="0.2">
      <c r="A133" s="159"/>
      <c r="B133" s="46" t="s">
        <v>173</v>
      </c>
      <c r="C133" s="58">
        <v>2151676.7400000002</v>
      </c>
      <c r="D133" s="114"/>
      <c r="E133" s="56"/>
      <c r="F133" s="63"/>
      <c r="G133" s="44"/>
      <c r="H133" s="40"/>
      <c r="I133" s="78">
        <f t="shared" si="41"/>
        <v>0</v>
      </c>
      <c r="J133" s="61"/>
      <c r="K133" s="41"/>
      <c r="L133" s="41"/>
      <c r="M133" s="41">
        <f t="shared" si="42"/>
        <v>0</v>
      </c>
      <c r="N133" s="75"/>
      <c r="O133" s="140"/>
      <c r="P133" s="61"/>
      <c r="Q133" s="41"/>
      <c r="R133" s="75"/>
      <c r="S133" s="193"/>
      <c r="T133" s="108"/>
    </row>
    <row r="134" spans="1:20" ht="21" customHeight="1" outlineLevel="1" x14ac:dyDescent="0.2">
      <c r="A134" s="159"/>
      <c r="B134" s="46" t="s">
        <v>242</v>
      </c>
      <c r="C134" s="58">
        <v>30819.22</v>
      </c>
      <c r="D134" s="114"/>
      <c r="E134" s="56"/>
      <c r="F134" s="63">
        <v>30532.5</v>
      </c>
      <c r="G134" s="44"/>
      <c r="H134" s="40">
        <v>487.71</v>
      </c>
      <c r="I134" s="78">
        <f t="shared" si="41"/>
        <v>30532.5</v>
      </c>
      <c r="J134" s="61"/>
      <c r="K134" s="41"/>
      <c r="L134" s="41"/>
      <c r="M134" s="41">
        <f t="shared" si="42"/>
        <v>0</v>
      </c>
      <c r="N134" s="75"/>
      <c r="O134" s="140"/>
      <c r="P134" s="61"/>
      <c r="Q134" s="41"/>
      <c r="R134" s="75"/>
      <c r="S134" s="193"/>
      <c r="T134" s="108"/>
    </row>
    <row r="135" spans="1:20" ht="21" customHeight="1" outlineLevel="1" x14ac:dyDescent="0.2">
      <c r="A135" s="159"/>
      <c r="B135" s="46" t="s">
        <v>243</v>
      </c>
      <c r="C135" s="58">
        <v>72764.009999999995</v>
      </c>
      <c r="D135" s="114"/>
      <c r="E135" s="56"/>
      <c r="F135" s="63"/>
      <c r="G135" s="44"/>
      <c r="H135" s="40"/>
      <c r="I135" s="78">
        <f t="shared" si="41"/>
        <v>0</v>
      </c>
      <c r="J135" s="61"/>
      <c r="K135" s="41"/>
      <c r="L135" s="41"/>
      <c r="M135" s="41">
        <f t="shared" si="42"/>
        <v>0</v>
      </c>
      <c r="N135" s="75"/>
      <c r="O135" s="140"/>
      <c r="P135" s="61"/>
      <c r="Q135" s="41"/>
      <c r="R135" s="75"/>
      <c r="S135" s="193"/>
      <c r="T135" s="108"/>
    </row>
    <row r="136" spans="1:20" ht="21" customHeight="1" outlineLevel="1" x14ac:dyDescent="0.2">
      <c r="A136" s="159"/>
      <c r="B136" s="46" t="s">
        <v>244</v>
      </c>
      <c r="C136" s="58"/>
      <c r="D136" s="114">
        <v>128005.26</v>
      </c>
      <c r="E136" s="56"/>
      <c r="F136" s="63"/>
      <c r="G136" s="44"/>
      <c r="H136" s="40"/>
      <c r="I136" s="78">
        <f t="shared" si="41"/>
        <v>0</v>
      </c>
      <c r="J136" s="61"/>
      <c r="K136" s="41"/>
      <c r="L136" s="41"/>
      <c r="M136" s="41">
        <f t="shared" si="42"/>
        <v>0</v>
      </c>
      <c r="N136" s="75"/>
      <c r="O136" s="140"/>
      <c r="P136" s="61"/>
      <c r="Q136" s="41"/>
      <c r="R136" s="75"/>
      <c r="S136" s="193"/>
      <c r="T136" s="108"/>
    </row>
    <row r="137" spans="1:20" ht="21" customHeight="1" outlineLevel="1" x14ac:dyDescent="0.2">
      <c r="A137" s="159"/>
      <c r="B137" s="46" t="s">
        <v>250</v>
      </c>
      <c r="C137" s="58"/>
      <c r="D137" s="114">
        <v>84424.66</v>
      </c>
      <c r="E137" s="56"/>
      <c r="F137" s="63"/>
      <c r="G137" s="44"/>
      <c r="H137" s="40"/>
      <c r="I137" s="78">
        <f t="shared" ref="I137" si="43">F137-G137</f>
        <v>0</v>
      </c>
      <c r="J137" s="61"/>
      <c r="K137" s="41"/>
      <c r="L137" s="41"/>
      <c r="M137" s="41">
        <f t="shared" ref="M137" si="44">J137+K137+L137</f>
        <v>0</v>
      </c>
      <c r="N137" s="75"/>
      <c r="O137" s="140"/>
      <c r="P137" s="61"/>
      <c r="Q137" s="41"/>
      <c r="R137" s="75"/>
      <c r="S137" s="193"/>
      <c r="T137" s="108"/>
    </row>
    <row r="138" spans="1:20" ht="21" customHeight="1" outlineLevel="1" x14ac:dyDescent="0.2">
      <c r="A138" s="159"/>
      <c r="B138" s="46" t="s">
        <v>202</v>
      </c>
      <c r="C138" s="58">
        <v>136835.57999999999</v>
      </c>
      <c r="D138" s="114">
        <v>136835.57999999999</v>
      </c>
      <c r="E138" s="56"/>
      <c r="F138" s="63"/>
      <c r="G138" s="44"/>
      <c r="H138" s="40"/>
      <c r="I138" s="78">
        <f t="shared" si="41"/>
        <v>0</v>
      </c>
      <c r="J138" s="61"/>
      <c r="K138" s="41"/>
      <c r="L138" s="41"/>
      <c r="M138" s="41">
        <f t="shared" si="42"/>
        <v>0</v>
      </c>
      <c r="N138" s="75"/>
      <c r="O138" s="140"/>
      <c r="P138" s="61"/>
      <c r="Q138" s="41"/>
      <c r="R138" s="75"/>
      <c r="S138" s="193"/>
      <c r="T138" s="108"/>
    </row>
    <row r="139" spans="1:20" ht="21" customHeight="1" outlineLevel="1" x14ac:dyDescent="0.2">
      <c r="A139" s="159"/>
      <c r="B139" s="46" t="s">
        <v>223</v>
      </c>
      <c r="C139" s="58"/>
      <c r="D139" s="114">
        <v>400468.64</v>
      </c>
      <c r="E139" s="56"/>
      <c r="F139" s="63"/>
      <c r="G139" s="44"/>
      <c r="H139" s="40"/>
      <c r="I139" s="78">
        <f t="shared" si="41"/>
        <v>0</v>
      </c>
      <c r="J139" s="61"/>
      <c r="K139" s="41"/>
      <c r="L139" s="41"/>
      <c r="M139" s="41">
        <f t="shared" si="42"/>
        <v>0</v>
      </c>
      <c r="N139" s="75"/>
      <c r="O139" s="140"/>
      <c r="P139" s="61"/>
      <c r="Q139" s="41"/>
      <c r="R139" s="75"/>
      <c r="S139" s="193"/>
      <c r="T139" s="108"/>
    </row>
    <row r="140" spans="1:20" ht="21" customHeight="1" outlineLevel="1" x14ac:dyDescent="0.2">
      <c r="A140" s="159"/>
      <c r="B140" s="46" t="s">
        <v>224</v>
      </c>
      <c r="C140" s="58"/>
      <c r="D140" s="114">
        <v>79904.039999999994</v>
      </c>
      <c r="E140" s="56"/>
      <c r="F140" s="63"/>
      <c r="G140" s="44"/>
      <c r="H140" s="40"/>
      <c r="I140" s="78">
        <f t="shared" si="41"/>
        <v>0</v>
      </c>
      <c r="J140" s="61"/>
      <c r="K140" s="41"/>
      <c r="L140" s="41"/>
      <c r="M140" s="41">
        <f t="shared" si="42"/>
        <v>0</v>
      </c>
      <c r="N140" s="75"/>
      <c r="O140" s="140"/>
      <c r="P140" s="61"/>
      <c r="Q140" s="41"/>
      <c r="R140" s="75"/>
      <c r="S140" s="193"/>
      <c r="T140" s="108"/>
    </row>
    <row r="141" spans="1:20" ht="11.1" customHeight="1" outlineLevel="1" thickBot="1" x14ac:dyDescent="0.25">
      <c r="A141" s="159"/>
      <c r="B141" s="46"/>
      <c r="C141" s="58"/>
      <c r="D141" s="114"/>
      <c r="E141" s="56">
        <f>C141+D141-F141-M141</f>
        <v>0</v>
      </c>
      <c r="F141" s="63"/>
      <c r="G141" s="44"/>
      <c r="H141" s="40"/>
      <c r="I141" s="78">
        <f t="shared" si="41"/>
        <v>0</v>
      </c>
      <c r="J141" s="61"/>
      <c r="K141" s="41"/>
      <c r="L141" s="41"/>
      <c r="M141" s="41">
        <f>J141+K141+L141</f>
        <v>0</v>
      </c>
      <c r="N141" s="75"/>
      <c r="O141" s="186">
        <f t="shared" si="37"/>
        <v>0</v>
      </c>
      <c r="P141" s="61"/>
      <c r="Q141" s="41">
        <f>I141-M141</f>
        <v>0</v>
      </c>
      <c r="R141" s="75"/>
      <c r="S141" s="192"/>
      <c r="T141" s="108"/>
    </row>
    <row r="142" spans="1:20" ht="12.95" customHeight="1" thickBot="1" x14ac:dyDescent="0.25">
      <c r="A142" s="132" t="s">
        <v>5</v>
      </c>
      <c r="B142" s="190"/>
      <c r="C142" s="165">
        <f>C103</f>
        <v>46001342.599999994</v>
      </c>
      <c r="D142" s="161">
        <f>D103</f>
        <v>829638.18</v>
      </c>
      <c r="E142" s="162">
        <f>E103</f>
        <v>1084548.8200000003</v>
      </c>
      <c r="F142" s="165">
        <f>SUM(F104:F141)</f>
        <v>31533912.060000006</v>
      </c>
      <c r="G142" s="161">
        <f>SUM(G104:G105)</f>
        <v>32668753.120000001</v>
      </c>
      <c r="H142" s="168">
        <f>SUM(H104:H105)</f>
        <v>1379754.48</v>
      </c>
      <c r="I142" s="133">
        <f t="shared" si="35"/>
        <v>-1134841.0599999949</v>
      </c>
      <c r="J142" s="164">
        <f>SUM(J104:J141)</f>
        <v>1509075.9599999997</v>
      </c>
      <c r="K142" s="161">
        <f>SUM(K104:K105)</f>
        <v>0</v>
      </c>
      <c r="L142" s="168">
        <f>SUM(L104:L105)</f>
        <v>0</v>
      </c>
      <c r="M142" s="165">
        <f>SUM(M104:M105)</f>
        <v>0</v>
      </c>
      <c r="N142" s="168">
        <f>SUM(N104:N105)</f>
        <v>0</v>
      </c>
      <c r="O142" s="133">
        <f t="shared" si="37"/>
        <v>-1134841.0599999949</v>
      </c>
      <c r="P142" s="164">
        <f>SUM(P104:P105)</f>
        <v>0</v>
      </c>
      <c r="Q142" s="168">
        <f>SUM(Q104:Q105)</f>
        <v>-27917820.379999999</v>
      </c>
      <c r="R142" s="137">
        <f>SUM(R104:R105)</f>
        <v>0</v>
      </c>
      <c r="S142" s="133">
        <f>SUM(S104:S105)</f>
        <v>0</v>
      </c>
      <c r="T142" s="149">
        <f>SUM(T104:T105)</f>
        <v>0</v>
      </c>
    </row>
    <row r="143" spans="1:20" ht="10.9" customHeight="1" outlineLevel="1" thickBot="1" x14ac:dyDescent="0.25">
      <c r="A143" s="3"/>
      <c r="B143" s="16"/>
      <c r="C143" s="4"/>
      <c r="D143" s="15"/>
      <c r="E143" s="14"/>
      <c r="F143" s="11"/>
      <c r="G143" s="4"/>
      <c r="H143" s="14"/>
      <c r="I143" s="14"/>
      <c r="J143" s="14"/>
      <c r="K143" s="14"/>
      <c r="L143" s="14"/>
      <c r="M143" s="14"/>
      <c r="N143" s="14"/>
    </row>
    <row r="144" spans="1:20" ht="15" x14ac:dyDescent="0.2">
      <c r="A144" s="188" t="s">
        <v>93</v>
      </c>
      <c r="B144" s="189" t="s">
        <v>94</v>
      </c>
      <c r="C144" s="118">
        <f>SUBTOTAL(9,C145:C155)</f>
        <v>16639581.640000001</v>
      </c>
      <c r="D144" s="119">
        <f>SUBTOTAL(9,D145:D151)</f>
        <v>0</v>
      </c>
      <c r="E144" s="120">
        <f>SUBTOTAL(9,E145:E147)</f>
        <v>1112740.3899999992</v>
      </c>
      <c r="F144" s="118">
        <f>SUBTOTAL(9,F145:F152)</f>
        <v>12765662.520000001</v>
      </c>
      <c r="G144" s="119">
        <f>SUBTOTAL(9,G145:G147)</f>
        <v>8646102.75</v>
      </c>
      <c r="H144" s="119">
        <f>SUBTOTAL(9,H145:H147)</f>
        <v>716720.98399999994</v>
      </c>
      <c r="I144" s="120">
        <f>SUBTOTAL(9,I145:I147)</f>
        <v>43293.120000000825</v>
      </c>
      <c r="J144" s="144">
        <f>SUBTOTAL(9,J145:J154)</f>
        <v>285873.65999999997</v>
      </c>
      <c r="K144" s="119">
        <f>SUBTOTAL(9,K145:K155)</f>
        <v>0</v>
      </c>
      <c r="L144" s="119">
        <f>SUBTOTAL(9,L145:L147)</f>
        <v>0</v>
      </c>
      <c r="M144" s="119">
        <f>SUBTOTAL(9,M145:M155)</f>
        <v>285873.65999999997</v>
      </c>
      <c r="N144" s="134">
        <f>SUBTOTAL(9,N145:N151)</f>
        <v>0</v>
      </c>
      <c r="O144" s="138">
        <f t="shared" ref="O144:T144" si="45">SUBTOTAL(9,O145:O147)</f>
        <v>43293.120000000825</v>
      </c>
      <c r="P144" s="144">
        <f t="shared" si="45"/>
        <v>0</v>
      </c>
      <c r="Q144" s="119">
        <f t="shared" si="45"/>
        <v>43293.120000000825</v>
      </c>
      <c r="R144" s="134">
        <f t="shared" si="45"/>
        <v>0</v>
      </c>
      <c r="S144" s="138">
        <f t="shared" si="45"/>
        <v>0</v>
      </c>
      <c r="T144" s="145">
        <f t="shared" si="45"/>
        <v>0</v>
      </c>
    </row>
    <row r="145" spans="1:20" ht="11.1" customHeight="1" x14ac:dyDescent="0.2">
      <c r="A145" s="158" t="s">
        <v>79</v>
      </c>
      <c r="B145" s="115"/>
      <c r="C145" s="81">
        <f>SUBTOTAL(9,C146:C155)</f>
        <v>16639581.640000001</v>
      </c>
      <c r="D145" s="80">
        <f>SUBTOTAL(9,D146:D155)</f>
        <v>0</v>
      </c>
      <c r="E145" s="82">
        <f>SUBTOTAL(9,E146:E147)</f>
        <v>1112740.3899999992</v>
      </c>
      <c r="F145" s="81">
        <f>SUBTOTAL(9,F146:F155)</f>
        <v>12765662.520000001</v>
      </c>
      <c r="G145" s="80">
        <f>SUBTOTAL(9,G146:G147)</f>
        <v>8646102.75</v>
      </c>
      <c r="H145" s="80">
        <f>SUBTOTAL(9,H146:H147)</f>
        <v>716720.98399999994</v>
      </c>
      <c r="I145" s="82">
        <f>SUBTOTAL(9,I146:I155)</f>
        <v>1894695.4900000007</v>
      </c>
      <c r="J145" s="117">
        <f>SUBTOTAL(9,J146:J152)</f>
        <v>0</v>
      </c>
      <c r="K145" s="80">
        <f>SUBTOTAL(9,K146:K155)</f>
        <v>0</v>
      </c>
      <c r="L145" s="80">
        <f>SUBTOTAL(9,L146:L147)</f>
        <v>0</v>
      </c>
      <c r="M145" s="80">
        <f>SUBTOTAL(9,M146:M155)</f>
        <v>285873.65999999997</v>
      </c>
      <c r="N145" s="135">
        <f>SUBTOTAL(9,N146:N155)</f>
        <v>87196.079999999987</v>
      </c>
      <c r="O145" s="139">
        <f>SUBTOTAL(9,O146:O147)</f>
        <v>43293.120000000825</v>
      </c>
      <c r="P145" s="117">
        <f>SUBTOTAL(9,P146:P147)</f>
        <v>0</v>
      </c>
      <c r="Q145" s="80">
        <f>SUBTOTAL(9,Q146:Q147)</f>
        <v>43293.120000000825</v>
      </c>
      <c r="R145" s="135">
        <f>SUBTOTAL(9,R146:R147)</f>
        <v>0</v>
      </c>
      <c r="S145" s="139">
        <f t="shared" ref="S145:T145" si="46">SUBTOTAL(9,S146:S147)</f>
        <v>0</v>
      </c>
      <c r="T145" s="146">
        <f t="shared" si="46"/>
        <v>0</v>
      </c>
    </row>
    <row r="146" spans="1:20" ht="21" customHeight="1" outlineLevel="1" x14ac:dyDescent="0.2">
      <c r="A146" s="159" t="s">
        <v>15</v>
      </c>
      <c r="B146" s="46" t="s">
        <v>95</v>
      </c>
      <c r="C146" s="58">
        <f>9670800</f>
        <v>9670800</v>
      </c>
      <c r="D146" s="38"/>
      <c r="E146" s="56">
        <f>C146+D146-F146-M146</f>
        <v>1091768.1199999992</v>
      </c>
      <c r="F146" s="121">
        <v>8579031.8800000008</v>
      </c>
      <c r="G146" s="44">
        <f>8602966.05+43136.7</f>
        <v>8646102.75</v>
      </c>
      <c r="H146" s="41">
        <f>638694.25+52781.11</f>
        <v>691475.36</v>
      </c>
      <c r="I146" s="78">
        <f t="shared" ref="I146:I156" si="47">F146-G146</f>
        <v>-67070.86999999918</v>
      </c>
      <c r="J146" s="39"/>
      <c r="K146" s="39"/>
      <c r="L146" s="39"/>
      <c r="M146" s="41">
        <f>J146+K146+L146</f>
        <v>0</v>
      </c>
      <c r="N146" s="75"/>
      <c r="O146" s="78">
        <f t="shared" ref="O146:O149" si="48">I146+M146</f>
        <v>-67070.86999999918</v>
      </c>
      <c r="P146" s="61"/>
      <c r="Q146" s="41">
        <f>I146-M146</f>
        <v>-67070.86999999918</v>
      </c>
      <c r="R146" s="75"/>
      <c r="S146" s="151"/>
      <c r="T146" s="108"/>
    </row>
    <row r="147" spans="1:20" ht="10.9" customHeight="1" outlineLevel="1" x14ac:dyDescent="0.2">
      <c r="A147" s="159" t="s">
        <v>61</v>
      </c>
      <c r="B147" s="46" t="s">
        <v>96</v>
      </c>
      <c r="C147" s="114">
        <v>131336.26</v>
      </c>
      <c r="D147" s="114"/>
      <c r="E147" s="56">
        <f>C147+D147-F147-M147</f>
        <v>20972.270000000004</v>
      </c>
      <c r="F147" s="63">
        <v>110363.99</v>
      </c>
      <c r="G147" s="44"/>
      <c r="H147" s="40">
        <v>25245.624</v>
      </c>
      <c r="I147" s="78">
        <f t="shared" si="47"/>
        <v>110363.99</v>
      </c>
      <c r="J147" s="61"/>
      <c r="K147" s="41"/>
      <c r="L147" s="39"/>
      <c r="M147" s="41">
        <f>J147+K147+L147</f>
        <v>0</v>
      </c>
      <c r="N147" s="75"/>
      <c r="O147" s="78">
        <f t="shared" si="48"/>
        <v>110363.99</v>
      </c>
      <c r="P147" s="61"/>
      <c r="Q147" s="41">
        <f>I147-M147</f>
        <v>110363.99</v>
      </c>
      <c r="R147" s="75"/>
      <c r="S147" s="191"/>
      <c r="T147" s="108"/>
    </row>
    <row r="148" spans="1:20" ht="11.1" customHeight="1" outlineLevel="1" x14ac:dyDescent="0.2">
      <c r="A148" s="159" t="s">
        <v>61</v>
      </c>
      <c r="B148" s="46" t="s">
        <v>97</v>
      </c>
      <c r="C148" s="58">
        <f>4080000</f>
        <v>4080000</v>
      </c>
      <c r="D148" s="114"/>
      <c r="E148" s="56">
        <f>C148+D148-F148-M148</f>
        <v>1526908.33</v>
      </c>
      <c r="F148" s="63">
        <v>2553091.67</v>
      </c>
      <c r="G148" s="44">
        <v>3195490.77</v>
      </c>
      <c r="H148" s="40">
        <v>936876.57</v>
      </c>
      <c r="I148" s="78">
        <v>1193452.4099999999</v>
      </c>
      <c r="J148" s="61"/>
      <c r="K148" s="41"/>
      <c r="L148" s="41"/>
      <c r="M148" s="41">
        <f>J148+K148+L148</f>
        <v>0</v>
      </c>
      <c r="N148" s="187"/>
      <c r="O148" s="78">
        <f t="shared" si="48"/>
        <v>1193452.4099999999</v>
      </c>
      <c r="P148" s="61"/>
      <c r="Q148" s="41">
        <f>I148-M148</f>
        <v>1193452.4099999999</v>
      </c>
      <c r="R148" s="75"/>
      <c r="S148" s="191"/>
      <c r="T148" s="108"/>
    </row>
    <row r="149" spans="1:20" ht="11.1" customHeight="1" outlineLevel="1" thickBot="1" x14ac:dyDescent="0.25">
      <c r="A149" s="159"/>
      <c r="B149" s="46" t="s">
        <v>121</v>
      </c>
      <c r="C149" s="58">
        <v>1540968</v>
      </c>
      <c r="D149" s="114"/>
      <c r="E149" s="56"/>
      <c r="F149" s="61">
        <v>865225.02</v>
      </c>
      <c r="G149" s="61">
        <v>865225.02</v>
      </c>
      <c r="H149" s="40">
        <v>18360.52</v>
      </c>
      <c r="I149" s="78">
        <f t="shared" si="47"/>
        <v>0</v>
      </c>
      <c r="J149" s="61"/>
      <c r="K149" s="41"/>
      <c r="L149" s="41"/>
      <c r="M149" s="41">
        <f t="shared" ref="M149:M154" si="49">J149+K149+L149</f>
        <v>0</v>
      </c>
      <c r="N149" s="75"/>
      <c r="O149" s="78">
        <f t="shared" si="48"/>
        <v>0</v>
      </c>
      <c r="P149" s="61"/>
      <c r="Q149" s="41"/>
      <c r="R149" s="75"/>
      <c r="S149" s="191"/>
      <c r="T149" s="108"/>
    </row>
    <row r="150" spans="1:20" ht="10.9" customHeight="1" outlineLevel="1" thickBot="1" x14ac:dyDescent="0.25">
      <c r="A150" s="159"/>
      <c r="B150" s="46" t="s">
        <v>142</v>
      </c>
      <c r="C150" s="58">
        <v>234737.15</v>
      </c>
      <c r="D150" s="114"/>
      <c r="E150" s="56"/>
      <c r="F150" s="63"/>
      <c r="G150" s="226"/>
      <c r="H150" s="40"/>
      <c r="I150" s="78">
        <f t="shared" si="47"/>
        <v>0</v>
      </c>
      <c r="J150" s="61"/>
      <c r="K150" s="41"/>
      <c r="L150" s="41"/>
      <c r="M150" s="41">
        <f t="shared" si="49"/>
        <v>0</v>
      </c>
      <c r="N150" s="75"/>
      <c r="O150" s="140"/>
      <c r="P150" s="61"/>
      <c r="Q150" s="41"/>
      <c r="R150" s="75"/>
      <c r="S150" s="193"/>
      <c r="T150" s="108"/>
    </row>
    <row r="151" spans="1:20" ht="11.1" customHeight="1" outlineLevel="1" x14ac:dyDescent="0.2">
      <c r="A151" s="159"/>
      <c r="B151" s="46" t="s">
        <v>148</v>
      </c>
      <c r="C151" s="58">
        <v>414039.73</v>
      </c>
      <c r="D151" s="114"/>
      <c r="E151" s="56"/>
      <c r="F151" s="61">
        <v>376145.98</v>
      </c>
      <c r="G151" s="44"/>
      <c r="H151" s="75">
        <v>77461.100000000006</v>
      </c>
      <c r="I151" s="78">
        <f t="shared" si="47"/>
        <v>376145.98</v>
      </c>
      <c r="J151" s="61"/>
      <c r="K151" s="41"/>
      <c r="L151" s="41"/>
      <c r="M151" s="41">
        <f t="shared" si="49"/>
        <v>0</v>
      </c>
      <c r="N151" s="75"/>
      <c r="O151" s="140"/>
      <c r="P151" s="61"/>
      <c r="Q151" s="41"/>
      <c r="R151" s="75"/>
      <c r="S151" s="193"/>
      <c r="T151" s="108"/>
    </row>
    <row r="152" spans="1:20" ht="11.1" customHeight="1" outlineLevel="1" x14ac:dyDescent="0.2">
      <c r="A152" s="159"/>
      <c r="B152" s="46" t="s">
        <v>152</v>
      </c>
      <c r="C152" s="58">
        <v>281803.98</v>
      </c>
      <c r="D152" s="114"/>
      <c r="E152" s="56"/>
      <c r="F152" s="58">
        <v>281803.98</v>
      </c>
      <c r="G152" s="44"/>
      <c r="H152" s="75">
        <v>29999.95</v>
      </c>
      <c r="I152" s="78">
        <f t="shared" si="47"/>
        <v>281803.98</v>
      </c>
      <c r="J152" s="58"/>
      <c r="K152" s="41"/>
      <c r="L152" s="41"/>
      <c r="M152" s="41">
        <f t="shared" si="49"/>
        <v>0</v>
      </c>
      <c r="N152" s="75"/>
      <c r="O152" s="140"/>
      <c r="P152" s="61"/>
      <c r="Q152" s="41"/>
      <c r="R152" s="75"/>
      <c r="S152" s="193"/>
      <c r="T152" s="108"/>
    </row>
    <row r="153" spans="1:20" ht="11.1" customHeight="1" outlineLevel="1" x14ac:dyDescent="0.2">
      <c r="A153" s="159"/>
      <c r="B153" s="46" t="s">
        <v>259</v>
      </c>
      <c r="C153" s="58">
        <v>173516.04</v>
      </c>
      <c r="D153" s="114"/>
      <c r="E153" s="56"/>
      <c r="F153" s="58"/>
      <c r="G153" s="44"/>
      <c r="H153" s="75"/>
      <c r="I153" s="78"/>
      <c r="J153" s="52">
        <v>173493.18</v>
      </c>
      <c r="K153" s="41"/>
      <c r="L153" s="41"/>
      <c r="M153" s="41">
        <f t="shared" si="49"/>
        <v>173493.18</v>
      </c>
      <c r="N153" s="75">
        <v>36929.769999999997</v>
      </c>
      <c r="O153" s="140"/>
      <c r="P153" s="61"/>
      <c r="Q153" s="41"/>
      <c r="R153" s="75"/>
      <c r="S153" s="193"/>
      <c r="T153" s="108"/>
    </row>
    <row r="154" spans="1:20" ht="11.1" customHeight="1" outlineLevel="1" x14ac:dyDescent="0.2">
      <c r="A154" s="159"/>
      <c r="B154" s="46" t="s">
        <v>260</v>
      </c>
      <c r="C154" s="58">
        <v>112380.48</v>
      </c>
      <c r="D154" s="114"/>
      <c r="E154" s="56"/>
      <c r="F154" s="58"/>
      <c r="G154" s="44"/>
      <c r="H154" s="75"/>
      <c r="I154" s="78"/>
      <c r="J154" s="52">
        <v>112380.48</v>
      </c>
      <c r="K154" s="41"/>
      <c r="L154" s="41"/>
      <c r="M154" s="41">
        <f t="shared" si="49"/>
        <v>112380.48</v>
      </c>
      <c r="N154" s="75">
        <v>50266.31</v>
      </c>
      <c r="O154" s="140"/>
      <c r="P154" s="61"/>
      <c r="Q154" s="41"/>
      <c r="R154" s="75"/>
      <c r="S154" s="193"/>
      <c r="T154" s="108"/>
    </row>
    <row r="155" spans="1:20" ht="11.1" customHeight="1" outlineLevel="1" thickBot="1" x14ac:dyDescent="0.25">
      <c r="A155" s="159"/>
      <c r="B155" s="46"/>
      <c r="C155" s="58"/>
      <c r="D155" s="114"/>
      <c r="E155" s="56">
        <f>C155+D155-F155-M155</f>
        <v>0</v>
      </c>
      <c r="F155" s="63"/>
      <c r="G155" s="44"/>
      <c r="H155" s="40"/>
      <c r="I155" s="78">
        <f t="shared" si="47"/>
        <v>0</v>
      </c>
      <c r="J155" s="61"/>
      <c r="K155" s="41"/>
      <c r="L155" s="41"/>
      <c r="M155" s="41">
        <f>J155+K155+L155</f>
        <v>0</v>
      </c>
      <c r="N155" s="75"/>
      <c r="O155" s="186">
        <f t="shared" ref="O155:O156" si="50">I155+M155</f>
        <v>0</v>
      </c>
      <c r="P155" s="61"/>
      <c r="Q155" s="41">
        <f>I155-M155</f>
        <v>0</v>
      </c>
      <c r="R155" s="75"/>
      <c r="S155" s="192"/>
      <c r="T155" s="108"/>
    </row>
    <row r="156" spans="1:20" ht="12.95" customHeight="1" thickBot="1" x14ac:dyDescent="0.25">
      <c r="A156" s="132" t="s">
        <v>5</v>
      </c>
      <c r="B156" s="190"/>
      <c r="C156" s="165">
        <f>C145</f>
        <v>16639581.640000001</v>
      </c>
      <c r="D156" s="161">
        <f>D145</f>
        <v>0</v>
      </c>
      <c r="E156" s="162">
        <f>E145</f>
        <v>1112740.3899999992</v>
      </c>
      <c r="F156" s="165">
        <f>SUM(F146:F155)</f>
        <v>12765662.520000001</v>
      </c>
      <c r="G156" s="161">
        <f>SUM(G146:G147)</f>
        <v>8646102.75</v>
      </c>
      <c r="H156" s="168">
        <f>SUM(H146:H147)</f>
        <v>716720.98399999994</v>
      </c>
      <c r="I156" s="133">
        <f t="shared" si="47"/>
        <v>4119559.7700000014</v>
      </c>
      <c r="J156" s="164">
        <f>SUM(J146:J149)</f>
        <v>0</v>
      </c>
      <c r="K156" s="161">
        <f>SUM(K146:K147)</f>
        <v>0</v>
      </c>
      <c r="L156" s="168">
        <f>SUM(L146:L147)</f>
        <v>0</v>
      </c>
      <c r="M156" s="165">
        <f>SUM(M146:M147)</f>
        <v>0</v>
      </c>
      <c r="N156" s="168">
        <f>SUM(N146:N147)</f>
        <v>0</v>
      </c>
      <c r="O156" s="133">
        <f t="shared" si="50"/>
        <v>4119559.7700000014</v>
      </c>
      <c r="P156" s="164">
        <f>SUM(P146:P147)</f>
        <v>0</v>
      </c>
      <c r="Q156" s="168">
        <f>SUM(Q146:Q147)</f>
        <v>43293.120000000825</v>
      </c>
      <c r="R156" s="137">
        <f>SUM(R146:R147)</f>
        <v>0</v>
      </c>
      <c r="S156" s="133">
        <f>SUM(S146:S147)</f>
        <v>0</v>
      </c>
      <c r="T156" s="149">
        <f>SUM(T146:T147)</f>
        <v>0</v>
      </c>
    </row>
    <row r="157" spans="1:20" ht="11.45" customHeight="1" thickBot="1" x14ac:dyDescent="0.25"/>
    <row r="158" spans="1:20" ht="15" x14ac:dyDescent="0.2">
      <c r="A158" s="188" t="s">
        <v>129</v>
      </c>
      <c r="B158" s="189" t="s">
        <v>132</v>
      </c>
      <c r="C158" s="118">
        <f>SUBTOTAL(9,C159:C164)</f>
        <v>22363268.479399998</v>
      </c>
      <c r="D158" s="119">
        <f>SUBTOTAL(9,D159:D163)</f>
        <v>0</v>
      </c>
      <c r="E158" s="120">
        <f>SUBTOTAL(9,E159:E161)</f>
        <v>1030233.3618249004</v>
      </c>
      <c r="F158" s="118">
        <f>SUBTOTAL(9,F159:F163)</f>
        <v>18970087.6381751</v>
      </c>
      <c r="G158" s="119">
        <f>SUBTOTAL(9,G159:G161)</f>
        <v>19409537.199999999</v>
      </c>
      <c r="H158" s="119">
        <f>SUBTOTAL(9,H159:H161)</f>
        <v>4622528.2</v>
      </c>
      <c r="I158" s="120">
        <f>SUBTOTAL(9,I159:I161)</f>
        <v>-439449.56182489917</v>
      </c>
      <c r="J158" s="144">
        <f>SUBTOTAL(9,J159:J163)</f>
        <v>1536186.3900000001</v>
      </c>
      <c r="K158" s="119">
        <f>SUBTOTAL(9,K159:K164)</f>
        <v>0</v>
      </c>
      <c r="L158" s="119">
        <f>SUBTOTAL(9,L159:L161)</f>
        <v>0</v>
      </c>
      <c r="M158" s="119">
        <f>SUBTOTAL(9,M159:M164)</f>
        <v>1536186.3900000001</v>
      </c>
      <c r="N158" s="134">
        <f t="shared" ref="N158:T158" si="51">SUBTOTAL(9,N159:N161)</f>
        <v>498356.69</v>
      </c>
      <c r="O158" s="138">
        <f t="shared" si="51"/>
        <v>1096736.828175101</v>
      </c>
      <c r="P158" s="144">
        <f t="shared" si="51"/>
        <v>0</v>
      </c>
      <c r="Q158" s="119">
        <f t="shared" si="51"/>
        <v>-1975635.9518248993</v>
      </c>
      <c r="R158" s="134">
        <f t="shared" si="51"/>
        <v>0</v>
      </c>
      <c r="S158" s="138">
        <f t="shared" si="51"/>
        <v>0</v>
      </c>
      <c r="T158" s="145">
        <f t="shared" si="51"/>
        <v>0</v>
      </c>
    </row>
    <row r="159" spans="1:20" ht="11.1" customHeight="1" x14ac:dyDescent="0.2">
      <c r="A159" s="158" t="s">
        <v>131</v>
      </c>
      <c r="B159" s="115"/>
      <c r="C159" s="81">
        <f>SUBTOTAL(9,C160:C164)</f>
        <v>22363268.479399998</v>
      </c>
      <c r="D159" s="80">
        <f>SUBTOTAL(9,D160:D164)</f>
        <v>0</v>
      </c>
      <c r="E159" s="82">
        <f>SUBTOTAL(9,E160:E161)</f>
        <v>1030233.3618249004</v>
      </c>
      <c r="F159" s="81">
        <f>SUBTOTAL(9,F160:F164)</f>
        <v>18970087.6381751</v>
      </c>
      <c r="G159" s="80">
        <f>SUBTOTAL(9,G160:G161)</f>
        <v>19409537.199999999</v>
      </c>
      <c r="H159" s="80">
        <f>SUBTOTAL(9,H160:H161)</f>
        <v>4622528.2</v>
      </c>
      <c r="I159" s="82">
        <f>SUBTOTAL(9,I160:I164)</f>
        <v>-439449.56182489917</v>
      </c>
      <c r="J159" s="117">
        <f>SUBTOTAL(9,J160:J163)</f>
        <v>1536186.3900000001</v>
      </c>
      <c r="K159" s="80">
        <f>SUBTOTAL(9,K160:K164)</f>
        <v>0</v>
      </c>
      <c r="L159" s="80">
        <f>SUBTOTAL(9,L160:L161)</f>
        <v>0</v>
      </c>
      <c r="M159" s="80">
        <f>SUBTOTAL(9,M160:M164)</f>
        <v>1536186.3900000001</v>
      </c>
      <c r="N159" s="135">
        <f>SUBTOTAL(9,N160:N161)</f>
        <v>498356.69</v>
      </c>
      <c r="O159" s="139">
        <f>SUBTOTAL(9,O160:O161)</f>
        <v>1096736.828175101</v>
      </c>
      <c r="P159" s="117">
        <f>SUBTOTAL(9,P160:P161)</f>
        <v>0</v>
      </c>
      <c r="Q159" s="80">
        <f>SUBTOTAL(9,Q160:Q161)</f>
        <v>-1975635.9518248993</v>
      </c>
      <c r="R159" s="135">
        <f>SUBTOTAL(9,R160:R161)</f>
        <v>0</v>
      </c>
      <c r="S159" s="139">
        <f t="shared" ref="S159:T159" si="52">SUBTOTAL(9,S160:S161)</f>
        <v>0</v>
      </c>
      <c r="T159" s="146">
        <f t="shared" si="52"/>
        <v>0</v>
      </c>
    </row>
    <row r="160" spans="1:20" ht="21" customHeight="1" outlineLevel="1" x14ac:dyDescent="0.2">
      <c r="A160" s="159" t="s">
        <v>15</v>
      </c>
      <c r="B160" s="46" t="s">
        <v>130</v>
      </c>
      <c r="C160" s="58">
        <f>20033409.22+1503098.17</f>
        <v>21536507.390000001</v>
      </c>
      <c r="D160" s="38"/>
      <c r="E160" s="56">
        <f>C160+D160-F160-M160</f>
        <v>1030233.3618249004</v>
      </c>
      <c r="F160" s="121">
        <f>17308552.1981751+1661535.44</f>
        <v>18970087.6381751</v>
      </c>
      <c r="G160" s="44">
        <v>19409537.199999999</v>
      </c>
      <c r="H160" s="41">
        <f>112676.8+42385.67+93357.3+1612789.47+171420.59+1832517.83+555349.91+202030.63</f>
        <v>4622528.2</v>
      </c>
      <c r="I160" s="78">
        <f>F160-G160</f>
        <v>-439449.56182489917</v>
      </c>
      <c r="J160" s="105">
        <f>1363663.33+17022.01+93240+62261.05</f>
        <v>1536186.3900000001</v>
      </c>
      <c r="K160" s="39"/>
      <c r="L160" s="39"/>
      <c r="M160" s="41">
        <f>J160+K160+L160</f>
        <v>1536186.3900000001</v>
      </c>
      <c r="N160" s="75">
        <v>498356.69</v>
      </c>
      <c r="O160" s="78">
        <f t="shared" ref="O160:O165" si="53">I160+M160</f>
        <v>1096736.828175101</v>
      </c>
      <c r="P160" s="61"/>
      <c r="Q160" s="41">
        <f>I160-M160</f>
        <v>-1975635.9518248993</v>
      </c>
      <c r="R160" s="75"/>
      <c r="S160" s="151"/>
      <c r="T160" s="108"/>
    </row>
    <row r="161" spans="1:20" ht="11.1" customHeight="1" outlineLevel="1" x14ac:dyDescent="0.2">
      <c r="A161" s="159" t="s">
        <v>61</v>
      </c>
      <c r="B161" s="46" t="s">
        <v>150</v>
      </c>
      <c r="C161" s="114">
        <v>114712.70939999999</v>
      </c>
      <c r="D161" s="114"/>
      <c r="E161" s="56"/>
      <c r="F161" s="63"/>
      <c r="G161" s="44"/>
      <c r="H161" s="40"/>
      <c r="I161" s="78">
        <f t="shared" ref="I161:I165" si="54">F161-G161</f>
        <v>0</v>
      </c>
      <c r="J161" s="61"/>
      <c r="K161" s="41"/>
      <c r="L161" s="39"/>
      <c r="M161" s="41">
        <f>J161+K161+L161</f>
        <v>0</v>
      </c>
      <c r="N161" s="75"/>
      <c r="O161" s="78">
        <f t="shared" si="53"/>
        <v>0</v>
      </c>
      <c r="P161" s="61"/>
      <c r="Q161" s="41">
        <f>I161-M161</f>
        <v>0</v>
      </c>
      <c r="R161" s="75"/>
      <c r="S161" s="191"/>
      <c r="T161" s="108"/>
    </row>
    <row r="162" spans="1:20" ht="11.1" customHeight="1" outlineLevel="1" x14ac:dyDescent="0.2">
      <c r="A162" s="159" t="s">
        <v>61</v>
      </c>
      <c r="B162" s="46" t="s">
        <v>149</v>
      </c>
      <c r="C162" s="58">
        <v>712048.38</v>
      </c>
      <c r="D162" s="114"/>
      <c r="E162" s="56"/>
      <c r="F162" s="63"/>
      <c r="G162" s="44"/>
      <c r="H162" s="40"/>
      <c r="I162" s="78">
        <f t="shared" si="54"/>
        <v>0</v>
      </c>
      <c r="J162" s="61"/>
      <c r="K162" s="41"/>
      <c r="L162" s="41"/>
      <c r="M162" s="41">
        <f>J162+K162+L162</f>
        <v>0</v>
      </c>
      <c r="N162" s="75"/>
      <c r="O162" s="78">
        <f t="shared" si="53"/>
        <v>0</v>
      </c>
      <c r="P162" s="61"/>
      <c r="Q162" s="41">
        <f>I162-M162</f>
        <v>0</v>
      </c>
      <c r="R162" s="75"/>
      <c r="S162" s="191"/>
      <c r="T162" s="108"/>
    </row>
    <row r="163" spans="1:20" ht="11.1" customHeight="1" outlineLevel="1" x14ac:dyDescent="0.2">
      <c r="A163" s="159"/>
      <c r="B163" s="46"/>
      <c r="C163" s="58"/>
      <c r="D163" s="114"/>
      <c r="E163" s="56"/>
      <c r="F163" s="63"/>
      <c r="G163" s="44"/>
      <c r="H163" s="40"/>
      <c r="I163" s="78">
        <f t="shared" si="54"/>
        <v>0</v>
      </c>
      <c r="J163" s="61"/>
      <c r="K163" s="41"/>
      <c r="L163" s="41"/>
      <c r="M163" s="41"/>
      <c r="N163" s="75"/>
      <c r="O163" s="78">
        <f t="shared" si="53"/>
        <v>0</v>
      </c>
      <c r="P163" s="61"/>
      <c r="Q163" s="41"/>
      <c r="R163" s="75"/>
      <c r="S163" s="191"/>
      <c r="T163" s="108"/>
    </row>
    <row r="164" spans="1:20" ht="11.1" customHeight="1" outlineLevel="1" thickBot="1" x14ac:dyDescent="0.25">
      <c r="A164" s="159"/>
      <c r="B164" s="46"/>
      <c r="C164" s="58"/>
      <c r="D164" s="114"/>
      <c r="E164" s="56">
        <f>C164+D164-F164-M164</f>
        <v>0</v>
      </c>
      <c r="F164" s="63"/>
      <c r="G164" s="44"/>
      <c r="H164" s="40"/>
      <c r="I164" s="78">
        <f t="shared" si="54"/>
        <v>0</v>
      </c>
      <c r="J164" s="61"/>
      <c r="K164" s="41"/>
      <c r="L164" s="41"/>
      <c r="M164" s="41">
        <f>J164+K164+L164</f>
        <v>0</v>
      </c>
      <c r="N164" s="75"/>
      <c r="O164" s="186">
        <f t="shared" si="53"/>
        <v>0</v>
      </c>
      <c r="P164" s="61"/>
      <c r="Q164" s="41">
        <f>I164-M164</f>
        <v>0</v>
      </c>
      <c r="R164" s="75"/>
      <c r="S164" s="192"/>
      <c r="T164" s="108"/>
    </row>
    <row r="165" spans="1:20" ht="12.95" customHeight="1" thickBot="1" x14ac:dyDescent="0.25">
      <c r="A165" s="132" t="s">
        <v>5</v>
      </c>
      <c r="B165" s="190"/>
      <c r="C165" s="165">
        <f>C159</f>
        <v>22363268.479399998</v>
      </c>
      <c r="D165" s="161">
        <f>D159</f>
        <v>0</v>
      </c>
      <c r="E165" s="162">
        <f>E159</f>
        <v>1030233.3618249004</v>
      </c>
      <c r="F165" s="165">
        <f>SUM(F160:G161)</f>
        <v>38379624.838175103</v>
      </c>
      <c r="G165" s="161">
        <f>SUM(G160:G161)</f>
        <v>19409537.199999999</v>
      </c>
      <c r="H165" s="168">
        <f>SUM(H160:H161)</f>
        <v>4622528.2</v>
      </c>
      <c r="I165" s="133">
        <f t="shared" si="54"/>
        <v>18970087.638175104</v>
      </c>
      <c r="J165" s="164">
        <f>SUM(J160:J161)</f>
        <v>1536186.3900000001</v>
      </c>
      <c r="K165" s="161">
        <f>SUM(K160:K161)</f>
        <v>0</v>
      </c>
      <c r="L165" s="168">
        <f>SUM(L160:L161)</f>
        <v>0</v>
      </c>
      <c r="M165" s="165">
        <f>SUM(M160:M161)</f>
        <v>1536186.3900000001</v>
      </c>
      <c r="N165" s="168">
        <f>SUM(N160:N161)</f>
        <v>498356.69</v>
      </c>
      <c r="O165" s="133">
        <f t="shared" si="53"/>
        <v>20506274.028175104</v>
      </c>
      <c r="P165" s="164">
        <f>SUM(P160:P161)</f>
        <v>0</v>
      </c>
      <c r="Q165" s="168">
        <f>SUM(Q160:Q161)</f>
        <v>-1975635.9518248993</v>
      </c>
      <c r="R165" s="137">
        <f>SUM(R160:R161)</f>
        <v>0</v>
      </c>
      <c r="S165" s="133">
        <f>SUM(S160:S161)</f>
        <v>0</v>
      </c>
      <c r="T165" s="149">
        <f>SUM(T160:T161)</f>
        <v>0</v>
      </c>
    </row>
    <row r="166" spans="1:20" ht="11.45" customHeight="1" x14ac:dyDescent="0.2">
      <c r="B166" s="9"/>
      <c r="I166" s="2"/>
    </row>
    <row r="167" spans="1:20" ht="11.45" customHeight="1" thickBot="1" x14ac:dyDescent="0.25">
      <c r="C167" s="2"/>
      <c r="G167" s="7"/>
      <c r="H167" s="7"/>
      <c r="I167" s="6"/>
      <c r="J167" s="440"/>
      <c r="K167" s="441"/>
      <c r="L167" s="441"/>
      <c r="M167" s="441"/>
      <c r="N167" s="441"/>
    </row>
    <row r="168" spans="1:20" ht="15" x14ac:dyDescent="0.2">
      <c r="A168" s="188" t="s">
        <v>232</v>
      </c>
      <c r="B168" s="189" t="s">
        <v>139</v>
      </c>
      <c r="C168" s="118">
        <f>SUBTOTAL(9,C169:C172)</f>
        <v>364703.37000000011</v>
      </c>
      <c r="D168" s="119">
        <f>SUBTOTAL(9,D169:D172)</f>
        <v>0</v>
      </c>
      <c r="E168" s="120">
        <f>SUBTOTAL(9,E169:E171)</f>
        <v>55901.500000000087</v>
      </c>
      <c r="F168" s="118">
        <f>SUBTOTAL(9,F169:F172)</f>
        <v>307331.64</v>
      </c>
      <c r="G168" s="119">
        <f>SUBTOTAL(9,G169:G172)</f>
        <v>307331.64000000246</v>
      </c>
      <c r="H168" s="119">
        <f>SUBTOTAL(9,H169:H171)</f>
        <v>1218.5999999999999</v>
      </c>
      <c r="I168" s="120">
        <f>SUBTOTAL(9,I169:I172)</f>
        <v>-2.459273673593998E-9</v>
      </c>
      <c r="J168" s="144">
        <f>SUBTOTAL(9,J169:J172)</f>
        <v>0</v>
      </c>
      <c r="K168" s="119">
        <f>SUBTOTAL(9,K169:K172)</f>
        <v>0</v>
      </c>
      <c r="L168" s="119">
        <f>SUBTOTAL(9,L169:L171)</f>
        <v>0</v>
      </c>
      <c r="M168" s="119">
        <f>SUBTOTAL(9,M169:M172)</f>
        <v>0</v>
      </c>
      <c r="N168" s="134">
        <f t="shared" ref="N168:T168" si="55">SUBTOTAL(9,N169:N171)</f>
        <v>0</v>
      </c>
      <c r="O168" s="138">
        <f t="shared" si="55"/>
        <v>-55644.420000002458</v>
      </c>
      <c r="P168" s="144">
        <f t="shared" si="55"/>
        <v>0</v>
      </c>
      <c r="Q168" s="119">
        <f t="shared" si="55"/>
        <v>-55644.420000002458</v>
      </c>
      <c r="R168" s="134">
        <f t="shared" si="55"/>
        <v>0</v>
      </c>
      <c r="S168" s="138">
        <f t="shared" si="55"/>
        <v>0</v>
      </c>
      <c r="T168" s="145">
        <f t="shared" si="55"/>
        <v>0</v>
      </c>
    </row>
    <row r="169" spans="1:20" ht="11.1" customHeight="1" x14ac:dyDescent="0.2">
      <c r="A169" s="158" t="s">
        <v>138</v>
      </c>
      <c r="B169" s="115"/>
      <c r="C169" s="81">
        <f>SUBTOTAL(9,C170:C172)</f>
        <v>364703.37000000011</v>
      </c>
      <c r="D169" s="80">
        <f>SUBTOTAL(9,D170:D172)</f>
        <v>0</v>
      </c>
      <c r="E169" s="82">
        <f>SUBTOTAL(9,E170:E172)</f>
        <v>55901.500000000087</v>
      </c>
      <c r="F169" s="81">
        <f>SUBTOTAL(9,F170:F172)</f>
        <v>307331.64</v>
      </c>
      <c r="G169" s="80">
        <f>SUBTOTAL(9,G170:G172)</f>
        <v>307331.64000000246</v>
      </c>
      <c r="H169" s="80">
        <f>SUBTOTAL(9,H170:H171)</f>
        <v>1218.5999999999999</v>
      </c>
      <c r="I169" s="82">
        <f>SUBTOTAL(9,I170:I172)</f>
        <v>-2.459273673593998E-9</v>
      </c>
      <c r="J169" s="117">
        <f>SUBTOTAL(9,J170:J172)</f>
        <v>0</v>
      </c>
      <c r="K169" s="80">
        <f>SUBTOTAL(9,K170:K172)</f>
        <v>0</v>
      </c>
      <c r="L169" s="80">
        <f>SUBTOTAL(9,L170:L171)</f>
        <v>0</v>
      </c>
      <c r="M169" s="80">
        <f>SUBTOTAL(9,M170:M172)</f>
        <v>0</v>
      </c>
      <c r="N169" s="135">
        <f>SUBTOTAL(9,N170:N171)</f>
        <v>0</v>
      </c>
      <c r="O169" s="139">
        <f>SUBTOTAL(9,O170:O171)</f>
        <v>-55644.420000002458</v>
      </c>
      <c r="P169" s="117">
        <f>SUBTOTAL(9,P170:P171)</f>
        <v>0</v>
      </c>
      <c r="Q169" s="80">
        <f>SUBTOTAL(9,Q170:Q171)</f>
        <v>-55644.420000002458</v>
      </c>
      <c r="R169" s="135">
        <f>SUBTOTAL(9,R170:R171)</f>
        <v>0</v>
      </c>
      <c r="S169" s="139">
        <f t="shared" ref="S169:T169" si="56">SUBTOTAL(9,S170:S171)</f>
        <v>0</v>
      </c>
      <c r="T169" s="146">
        <f t="shared" si="56"/>
        <v>0</v>
      </c>
    </row>
    <row r="170" spans="1:20" ht="21" customHeight="1" outlineLevel="1" x14ac:dyDescent="0.2">
      <c r="A170" s="159" t="s">
        <v>15</v>
      </c>
      <c r="B170" s="46" t="s">
        <v>233</v>
      </c>
      <c r="C170" s="58">
        <v>307588.72000000009</v>
      </c>
      <c r="D170" s="38"/>
      <c r="E170" s="56">
        <f>C170+D170-F170-M170</f>
        <v>55901.500000000087</v>
      </c>
      <c r="F170" s="44">
        <v>251687.22</v>
      </c>
      <c r="G170" s="44">
        <v>307331.64000000246</v>
      </c>
      <c r="H170" s="41"/>
      <c r="I170" s="78">
        <f t="shared" ref="I170:I171" si="57">F170-G170</f>
        <v>-55644.420000002458</v>
      </c>
      <c r="J170" s="105"/>
      <c r="K170" s="39"/>
      <c r="L170" s="39"/>
      <c r="M170" s="41">
        <f>J170+K170+L170</f>
        <v>0</v>
      </c>
      <c r="N170" s="75"/>
      <c r="O170" s="78">
        <f t="shared" ref="O170" si="58">I170+M170</f>
        <v>-55644.420000002458</v>
      </c>
      <c r="P170" s="61"/>
      <c r="Q170" s="41">
        <f>I170-M170</f>
        <v>-55644.420000002458</v>
      </c>
      <c r="R170" s="75"/>
      <c r="S170" s="151"/>
      <c r="T170" s="108"/>
    </row>
    <row r="171" spans="1:20" ht="11.1" customHeight="1" outlineLevel="1" x14ac:dyDescent="0.2">
      <c r="A171" s="159"/>
      <c r="B171" s="46" t="s">
        <v>241</v>
      </c>
      <c r="C171" s="114">
        <v>57114.65</v>
      </c>
      <c r="D171" s="114"/>
      <c r="E171" s="56"/>
      <c r="F171" s="61">
        <v>55644.42</v>
      </c>
      <c r="G171" s="44"/>
      <c r="H171" s="187">
        <v>1218.5999999999999</v>
      </c>
      <c r="I171" s="78">
        <f t="shared" si="57"/>
        <v>55644.42</v>
      </c>
      <c r="J171" s="61"/>
      <c r="K171" s="41"/>
      <c r="L171" s="39"/>
      <c r="M171" s="41"/>
      <c r="N171" s="187"/>
      <c r="O171" s="78"/>
      <c r="P171" s="61"/>
      <c r="Q171" s="41"/>
      <c r="R171" s="75"/>
      <c r="S171" s="191"/>
      <c r="T171" s="108"/>
    </row>
    <row r="172" spans="1:20" ht="11.1" customHeight="1" outlineLevel="1" thickBot="1" x14ac:dyDescent="0.25">
      <c r="A172" s="159"/>
      <c r="B172" s="46"/>
      <c r="C172" s="230"/>
      <c r="D172" s="114"/>
      <c r="E172" s="56"/>
      <c r="F172" s="61"/>
      <c r="G172" s="44"/>
      <c r="H172" s="187"/>
      <c r="I172" s="78"/>
      <c r="J172" s="105"/>
      <c r="K172" s="41"/>
      <c r="L172" s="41"/>
      <c r="M172" s="41"/>
      <c r="N172" s="187"/>
      <c r="O172" s="78"/>
      <c r="P172" s="61"/>
      <c r="Q172" s="41"/>
      <c r="R172" s="75"/>
      <c r="S172" s="191"/>
      <c r="T172" s="108"/>
    </row>
    <row r="173" spans="1:20" ht="12.95" customHeight="1" thickBot="1" x14ac:dyDescent="0.25">
      <c r="A173" s="132" t="s">
        <v>5</v>
      </c>
      <c r="B173" s="190"/>
      <c r="C173" s="133">
        <f>C169</f>
        <v>364703.37000000011</v>
      </c>
      <c r="D173" s="164">
        <f>D169</f>
        <v>0</v>
      </c>
      <c r="E173" s="162">
        <f>E169</f>
        <v>55901.500000000087</v>
      </c>
      <c r="F173" s="165">
        <f>SUM(F170:F172)</f>
        <v>307331.64</v>
      </c>
      <c r="G173" s="161">
        <f>SUM(G170:G171)</f>
        <v>307331.64000000246</v>
      </c>
      <c r="H173" s="168">
        <f>SUM(H170:H172)</f>
        <v>1218.5999999999999</v>
      </c>
      <c r="I173" s="168">
        <f>SUM(I170:I172)</f>
        <v>-2.459273673593998E-9</v>
      </c>
      <c r="J173" s="164">
        <f>SUM(J170:J172)</f>
        <v>0</v>
      </c>
      <c r="K173" s="161">
        <f>SUM(K170:K171)</f>
        <v>0</v>
      </c>
      <c r="L173" s="168">
        <f>SUM(L170:L171)</f>
        <v>0</v>
      </c>
      <c r="M173" s="165">
        <f>SUM(M170:M171)</f>
        <v>0</v>
      </c>
      <c r="N173" s="168">
        <f>SUM(N170:N171)</f>
        <v>0</v>
      </c>
      <c r="O173" s="133">
        <f t="shared" ref="O173" si="59">I173+M173</f>
        <v>-2.459273673593998E-9</v>
      </c>
      <c r="P173" s="164">
        <f>SUM(P170:P171)</f>
        <v>0</v>
      </c>
      <c r="Q173" s="168">
        <f>SUM(Q170:Q171)</f>
        <v>-55644.420000002458</v>
      </c>
      <c r="R173" s="137">
        <f>SUM(R170:R171)</f>
        <v>0</v>
      </c>
      <c r="S173" s="133">
        <f>SUM(S170:S171)</f>
        <v>0</v>
      </c>
      <c r="T173" s="149">
        <f>SUM(T170:T171)</f>
        <v>0</v>
      </c>
    </row>
    <row r="174" spans="1:20" ht="11.45" customHeight="1" thickBot="1" x14ac:dyDescent="0.25">
      <c r="I174" s="8"/>
      <c r="J174" s="10"/>
      <c r="K174" s="13"/>
    </row>
    <row r="175" spans="1:20" ht="15" x14ac:dyDescent="0.2">
      <c r="A175" s="188" t="s">
        <v>153</v>
      </c>
      <c r="B175" s="189" t="s">
        <v>154</v>
      </c>
      <c r="C175" s="118">
        <f>SUBTOTAL(9,C176:C199)</f>
        <v>37211806.200000003</v>
      </c>
      <c r="D175" s="119">
        <f>SUBTOTAL(9,D176:D198)</f>
        <v>97393.74</v>
      </c>
      <c r="E175" s="120">
        <f>SUBTOTAL(9,E176:E178)</f>
        <v>-18123.739999999991</v>
      </c>
      <c r="F175" s="118">
        <f>SUBTOTAL(9,F176:F198)</f>
        <v>19719117.199999999</v>
      </c>
      <c r="G175" s="119">
        <f>SUBTOTAL(9,G176:G198)</f>
        <v>44654048</v>
      </c>
      <c r="H175" s="119">
        <f>SUBTOTAL(9,H176:H178)</f>
        <v>652231.77</v>
      </c>
      <c r="I175" s="120">
        <f>SUBTOTAL(9,I176:I178)</f>
        <v>-39343833.009999998</v>
      </c>
      <c r="J175" s="144">
        <f>SUBTOTAL(9,J176:J198)</f>
        <v>4441655.7200000007</v>
      </c>
      <c r="K175" s="119">
        <f>SUBTOTAL(9,K176:K199)</f>
        <v>0</v>
      </c>
      <c r="L175" s="119">
        <f>SUBTOTAL(9,L176:L178)</f>
        <v>0</v>
      </c>
      <c r="M175" s="119">
        <f>SUBTOTAL(9,M176:M199)</f>
        <v>4344261.9800000004</v>
      </c>
      <c r="N175" s="134">
        <f>SUBTOTAL(9,N176:N199)</f>
        <v>1697561.9820000001</v>
      </c>
      <c r="O175" s="138">
        <f t="shared" ref="O175:T175" si="60">SUBTOTAL(9,O176:O178)</f>
        <v>-38340733.509999998</v>
      </c>
      <c r="P175" s="144">
        <f t="shared" si="60"/>
        <v>0</v>
      </c>
      <c r="Q175" s="119">
        <f t="shared" si="60"/>
        <v>-40346932.509999998</v>
      </c>
      <c r="R175" s="134">
        <f t="shared" si="60"/>
        <v>0</v>
      </c>
      <c r="S175" s="138">
        <f t="shared" si="60"/>
        <v>0</v>
      </c>
      <c r="T175" s="145">
        <f t="shared" si="60"/>
        <v>0</v>
      </c>
    </row>
    <row r="176" spans="1:20" ht="11.1" customHeight="1" x14ac:dyDescent="0.2">
      <c r="A176" s="158" t="s">
        <v>155</v>
      </c>
      <c r="B176" s="115"/>
      <c r="C176" s="81">
        <f>SUBTOTAL(9,C177:C199)</f>
        <v>37211806.200000003</v>
      </c>
      <c r="D176" s="80">
        <f>SUBTOTAL(9,D177:D199)</f>
        <v>97393.74</v>
      </c>
      <c r="E176" s="82">
        <f>SUBTOTAL(9,E177:E178)</f>
        <v>-18123.739999999991</v>
      </c>
      <c r="F176" s="81">
        <f>SUBTOTAL(9,F177:F199)</f>
        <v>19719117.199999999</v>
      </c>
      <c r="G176" s="80">
        <f>SUBTOTAL(9,G177:G198)</f>
        <v>44654048</v>
      </c>
      <c r="H176" s="80">
        <f>SUBTOTAL(9,H177:H178)</f>
        <v>652231.77</v>
      </c>
      <c r="I176" s="82">
        <f>SUBTOTAL(9,I177:I199)</f>
        <v>-24934930.799999993</v>
      </c>
      <c r="J176" s="117">
        <f>SUBTOTAL(9,J177:J199)</f>
        <v>4441655.7200000007</v>
      </c>
      <c r="K176" s="80">
        <f>SUBTOTAL(9,K177:K199)</f>
        <v>0</v>
      </c>
      <c r="L176" s="80">
        <f>SUBTOTAL(9,L177:L178)</f>
        <v>0</v>
      </c>
      <c r="M176" s="80">
        <f>SUBTOTAL(9,M177:M199)</f>
        <v>4344261.9800000004</v>
      </c>
      <c r="N176" s="135">
        <f>SUBTOTAL(9,N177:N199)</f>
        <v>1697561.9820000001</v>
      </c>
      <c r="O176" s="139">
        <f>SUBTOTAL(9,O177:O178)</f>
        <v>-38340733.509999998</v>
      </c>
      <c r="P176" s="117">
        <f>SUBTOTAL(9,P177:P178)</f>
        <v>0</v>
      </c>
      <c r="Q176" s="80">
        <f>SUBTOTAL(9,Q177:Q178)</f>
        <v>-40346932.509999998</v>
      </c>
      <c r="R176" s="135">
        <f>SUBTOTAL(9,R177:R178)</f>
        <v>0</v>
      </c>
      <c r="S176" s="139">
        <f t="shared" ref="S176:T176" si="61">SUBTOTAL(9,S177:S178)</f>
        <v>0</v>
      </c>
      <c r="T176" s="146">
        <f t="shared" si="61"/>
        <v>0</v>
      </c>
    </row>
    <row r="177" spans="1:20" ht="21" customHeight="1" outlineLevel="1" x14ac:dyDescent="0.2">
      <c r="A177" s="159" t="s">
        <v>155</v>
      </c>
      <c r="B177" s="46" t="s">
        <v>156</v>
      </c>
      <c r="C177" s="58">
        <v>4085478</v>
      </c>
      <c r="D177" s="38"/>
      <c r="E177" s="56">
        <f>C177+D177-F177-M177</f>
        <v>0</v>
      </c>
      <c r="F177" s="105">
        <f>240000+150000+1678000+1596278+421200</f>
        <v>4085478</v>
      </c>
      <c r="G177" s="44">
        <v>4085478</v>
      </c>
      <c r="H177" s="41"/>
      <c r="I177" s="78">
        <f t="shared" ref="I177:I199" si="62">F177-G177</f>
        <v>0</v>
      </c>
      <c r="J177" s="105"/>
      <c r="K177" s="39"/>
      <c r="L177" s="39"/>
      <c r="M177" s="41">
        <f>J177+K177+L177</f>
        <v>0</v>
      </c>
      <c r="N177" s="75"/>
      <c r="O177" s="78">
        <f t="shared" ref="O177:O194" si="63">I177+M177</f>
        <v>0</v>
      </c>
      <c r="P177" s="61"/>
      <c r="Q177" s="41">
        <f>I177-M177</f>
        <v>0</v>
      </c>
      <c r="R177" s="75"/>
      <c r="S177" s="151"/>
      <c r="T177" s="108"/>
    </row>
    <row r="178" spans="1:20" ht="11.1" customHeight="1" outlineLevel="1" x14ac:dyDescent="0.2">
      <c r="A178" s="159" t="s">
        <v>157</v>
      </c>
      <c r="B178" s="46" t="s">
        <v>230</v>
      </c>
      <c r="C178" s="114">
        <v>2209712.75</v>
      </c>
      <c r="D178" s="114"/>
      <c r="E178" s="56">
        <f t="shared" ref="E178:E199" si="64">C178+D178-F178-M178</f>
        <v>-18123.739999999991</v>
      </c>
      <c r="F178" s="105">
        <f>1224736.99</f>
        <v>1224736.99</v>
      </c>
      <c r="G178" s="44">
        <v>40568570</v>
      </c>
      <c r="H178" s="40">
        <v>652231.77</v>
      </c>
      <c r="I178" s="78">
        <f t="shared" si="62"/>
        <v>-39343833.009999998</v>
      </c>
      <c r="J178" s="105">
        <v>1003099.5</v>
      </c>
      <c r="K178" s="41"/>
      <c r="L178" s="39"/>
      <c r="M178" s="41">
        <f t="shared" ref="M178:M198" si="65">J178+K178+L178</f>
        <v>1003099.5</v>
      </c>
      <c r="N178" s="187">
        <v>493921.43</v>
      </c>
      <c r="O178" s="78">
        <f t="shared" si="63"/>
        <v>-38340733.509999998</v>
      </c>
      <c r="P178" s="61"/>
      <c r="Q178" s="41">
        <f>I178-M178</f>
        <v>-40346932.509999998</v>
      </c>
      <c r="R178" s="75"/>
      <c r="S178" s="191"/>
      <c r="T178" s="108"/>
    </row>
    <row r="179" spans="1:20" ht="11.1" customHeight="1" outlineLevel="1" x14ac:dyDescent="0.2">
      <c r="A179" s="159"/>
      <c r="B179" s="46" t="s">
        <v>231</v>
      </c>
      <c r="C179" s="227">
        <v>3057301.25</v>
      </c>
      <c r="D179" s="114"/>
      <c r="E179" s="56"/>
      <c r="F179" s="105"/>
      <c r="G179" s="44"/>
      <c r="H179" s="40"/>
      <c r="I179" s="78"/>
      <c r="J179" s="105"/>
      <c r="K179" s="41"/>
      <c r="L179" s="39"/>
      <c r="M179" s="41">
        <f t="shared" si="65"/>
        <v>0</v>
      </c>
      <c r="N179" s="187"/>
      <c r="O179" s="78"/>
      <c r="P179" s="61"/>
      <c r="Q179" s="41"/>
      <c r="R179" s="75"/>
      <c r="S179" s="191"/>
      <c r="T179" s="108"/>
    </row>
    <row r="180" spans="1:20" ht="11.1" customHeight="1" outlineLevel="1" x14ac:dyDescent="0.2">
      <c r="A180" s="159"/>
      <c r="B180" s="46" t="s">
        <v>177</v>
      </c>
      <c r="C180" s="58">
        <v>6730347.5199999996</v>
      </c>
      <c r="D180" s="114"/>
      <c r="E180" s="56">
        <f t="shared" si="64"/>
        <v>-181581.69000000018</v>
      </c>
      <c r="F180" s="63">
        <f>1334525.68+1075849.47+2696884.03</f>
        <v>5107259.18</v>
      </c>
      <c r="G180" s="44"/>
      <c r="H180" s="40">
        <v>2384878</v>
      </c>
      <c r="I180" s="78">
        <f t="shared" si="62"/>
        <v>5107259.18</v>
      </c>
      <c r="J180" s="61">
        <v>1804670.03</v>
      </c>
      <c r="K180" s="41"/>
      <c r="L180" s="41"/>
      <c r="M180" s="41">
        <f t="shared" si="65"/>
        <v>1804670.03</v>
      </c>
      <c r="N180" s="75">
        <v>203066</v>
      </c>
      <c r="O180" s="78">
        <f t="shared" si="63"/>
        <v>6911929.21</v>
      </c>
      <c r="P180" s="61"/>
      <c r="Q180" s="41">
        <f>I180-M180</f>
        <v>3302589.1499999994</v>
      </c>
      <c r="R180" s="75"/>
      <c r="S180" s="191"/>
      <c r="T180" s="108"/>
    </row>
    <row r="181" spans="1:20" ht="11.1" customHeight="1" outlineLevel="1" x14ac:dyDescent="0.2">
      <c r="A181" s="159"/>
      <c r="B181" s="46" t="s">
        <v>188</v>
      </c>
      <c r="C181" s="58">
        <v>5121610.6900000004</v>
      </c>
      <c r="D181" s="114"/>
      <c r="E181" s="56">
        <f t="shared" si="64"/>
        <v>3875266.8600000003</v>
      </c>
      <c r="F181" s="63"/>
      <c r="G181" s="44"/>
      <c r="H181" s="40"/>
      <c r="I181" s="78">
        <f t="shared" si="62"/>
        <v>0</v>
      </c>
      <c r="J181" s="61">
        <v>1246343.83</v>
      </c>
      <c r="K181" s="41"/>
      <c r="L181" s="41"/>
      <c r="M181" s="41">
        <f t="shared" si="65"/>
        <v>1246343.83</v>
      </c>
      <c r="N181" s="75">
        <v>826532.97600000002</v>
      </c>
      <c r="O181" s="78">
        <f t="shared" si="63"/>
        <v>1246343.83</v>
      </c>
      <c r="P181" s="61"/>
      <c r="Q181" s="41"/>
      <c r="R181" s="75"/>
      <c r="S181" s="191"/>
      <c r="T181" s="108"/>
    </row>
    <row r="182" spans="1:20" ht="11.1" customHeight="1" outlineLevel="1" x14ac:dyDescent="0.2">
      <c r="A182" s="159"/>
      <c r="B182" s="46" t="s">
        <v>16</v>
      </c>
      <c r="C182" s="58">
        <v>632987.16</v>
      </c>
      <c r="D182" s="114"/>
      <c r="E182" s="56">
        <f t="shared" si="64"/>
        <v>-25085.039999999921</v>
      </c>
      <c r="F182" s="63">
        <v>658072.19999999995</v>
      </c>
      <c r="G182" s="44"/>
      <c r="H182" s="40"/>
      <c r="I182" s="78">
        <f t="shared" si="62"/>
        <v>658072.19999999995</v>
      </c>
      <c r="J182" s="61"/>
      <c r="K182" s="41"/>
      <c r="L182" s="41"/>
      <c r="M182" s="41">
        <f t="shared" si="65"/>
        <v>0</v>
      </c>
      <c r="N182" s="75"/>
      <c r="O182" s="78">
        <f t="shared" si="63"/>
        <v>658072.19999999995</v>
      </c>
      <c r="P182" s="61"/>
      <c r="Q182" s="41"/>
      <c r="R182" s="75"/>
      <c r="S182" s="191"/>
      <c r="T182" s="108"/>
    </row>
    <row r="183" spans="1:20" ht="11.1" customHeight="1" outlineLevel="1" x14ac:dyDescent="0.2">
      <c r="A183" s="159"/>
      <c r="B183" s="46" t="s">
        <v>189</v>
      </c>
      <c r="C183" s="58">
        <v>2209712.75</v>
      </c>
      <c r="D183" s="114"/>
      <c r="E183" s="56">
        <f t="shared" si="64"/>
        <v>2209712.75</v>
      </c>
      <c r="F183" s="63"/>
      <c r="G183" s="44"/>
      <c r="H183" s="40"/>
      <c r="I183" s="78">
        <f t="shared" si="62"/>
        <v>0</v>
      </c>
      <c r="J183" s="61"/>
      <c r="K183" s="41"/>
      <c r="L183" s="41"/>
      <c r="M183" s="41">
        <f t="shared" si="65"/>
        <v>0</v>
      </c>
      <c r="N183" s="75"/>
      <c r="O183" s="140"/>
      <c r="P183" s="61"/>
      <c r="Q183" s="41"/>
      <c r="R183" s="75"/>
      <c r="S183" s="193"/>
      <c r="T183" s="108"/>
    </row>
    <row r="184" spans="1:20" ht="10.9" customHeight="1" outlineLevel="1" x14ac:dyDescent="0.2">
      <c r="A184" s="159"/>
      <c r="B184" s="46" t="s">
        <v>190</v>
      </c>
      <c r="C184" s="58">
        <v>3057301.25</v>
      </c>
      <c r="D184" s="114"/>
      <c r="E184" s="56">
        <f t="shared" si="64"/>
        <v>880490.60999999987</v>
      </c>
      <c r="F184" s="63">
        <f>1560930+615880.64</f>
        <v>2176810.64</v>
      </c>
      <c r="G184" s="44"/>
      <c r="H184" s="40">
        <v>1101900.8</v>
      </c>
      <c r="I184" s="78">
        <f t="shared" si="62"/>
        <v>2176810.64</v>
      </c>
      <c r="J184" s="105"/>
      <c r="K184" s="41"/>
      <c r="L184" s="41"/>
      <c r="M184" s="41">
        <f t="shared" si="65"/>
        <v>0</v>
      </c>
      <c r="N184" s="75"/>
      <c r="O184" s="78">
        <f t="shared" si="63"/>
        <v>2176810.64</v>
      </c>
      <c r="P184" s="61"/>
      <c r="Q184" s="41"/>
      <c r="R184" s="75"/>
      <c r="S184" s="191"/>
      <c r="T184" s="108"/>
    </row>
    <row r="185" spans="1:20" ht="11.1" customHeight="1" outlineLevel="1" x14ac:dyDescent="0.2">
      <c r="A185" s="159"/>
      <c r="B185" s="46" t="s">
        <v>191</v>
      </c>
      <c r="C185" s="58">
        <v>246490</v>
      </c>
      <c r="D185" s="114"/>
      <c r="E185" s="56">
        <f t="shared" si="64"/>
        <v>-583744.30000000005</v>
      </c>
      <c r="F185" s="63">
        <v>625439.1</v>
      </c>
      <c r="G185" s="44"/>
      <c r="H185" s="40">
        <v>19460.16</v>
      </c>
      <c r="I185" s="78">
        <f t="shared" si="62"/>
        <v>625439.1</v>
      </c>
      <c r="J185" s="61">
        <v>204795.2</v>
      </c>
      <c r="K185" s="41"/>
      <c r="L185" s="41"/>
      <c r="M185" s="41">
        <f t="shared" si="65"/>
        <v>204795.2</v>
      </c>
      <c r="N185" s="75">
        <v>118651.17600000001</v>
      </c>
      <c r="O185" s="78">
        <f t="shared" si="63"/>
        <v>830234.3</v>
      </c>
      <c r="P185" s="61"/>
      <c r="Q185" s="41"/>
      <c r="R185" s="75"/>
      <c r="S185" s="191"/>
      <c r="T185" s="108"/>
    </row>
    <row r="186" spans="1:20" ht="11.1" customHeight="1" outlineLevel="1" x14ac:dyDescent="0.2">
      <c r="A186" s="159"/>
      <c r="B186" s="46" t="s">
        <v>192</v>
      </c>
      <c r="C186" s="58">
        <v>455332.55</v>
      </c>
      <c r="D186" s="114"/>
      <c r="E186" s="56">
        <f t="shared" si="64"/>
        <v>455332.55</v>
      </c>
      <c r="F186" s="63"/>
      <c r="G186" s="44"/>
      <c r="H186" s="40"/>
      <c r="I186" s="78">
        <f t="shared" si="62"/>
        <v>0</v>
      </c>
      <c r="J186" s="61"/>
      <c r="K186" s="41"/>
      <c r="L186" s="41"/>
      <c r="M186" s="41">
        <f t="shared" si="65"/>
        <v>0</v>
      </c>
      <c r="N186" s="75"/>
      <c r="O186" s="140"/>
      <c r="P186" s="61"/>
      <c r="Q186" s="41"/>
      <c r="R186" s="75"/>
      <c r="S186" s="193"/>
      <c r="T186" s="108"/>
    </row>
    <row r="187" spans="1:20" ht="11.1" customHeight="1" outlineLevel="1" x14ac:dyDescent="0.2">
      <c r="A187" s="159"/>
      <c r="B187" s="46" t="s">
        <v>193</v>
      </c>
      <c r="C187" s="58">
        <v>4399415.32</v>
      </c>
      <c r="D187" s="243"/>
      <c r="E187" s="56">
        <f t="shared" si="64"/>
        <v>4399415.32</v>
      </c>
      <c r="F187" s="63"/>
      <c r="G187" s="44"/>
      <c r="H187" s="40"/>
      <c r="I187" s="78">
        <f t="shared" si="62"/>
        <v>0</v>
      </c>
      <c r="J187" s="61"/>
      <c r="K187" s="41"/>
      <c r="L187" s="41"/>
      <c r="M187" s="41">
        <f t="shared" si="65"/>
        <v>0</v>
      </c>
      <c r="N187" s="75"/>
      <c r="O187" s="140"/>
      <c r="P187" s="61"/>
      <c r="Q187" s="41"/>
      <c r="R187" s="75"/>
      <c r="S187" s="193"/>
      <c r="T187" s="108"/>
    </row>
    <row r="188" spans="1:20" ht="11.1" customHeight="1" outlineLevel="1" x14ac:dyDescent="0.2">
      <c r="A188" s="159"/>
      <c r="B188" s="46" t="s">
        <v>194</v>
      </c>
      <c r="C188" s="58">
        <v>65461.58</v>
      </c>
      <c r="D188" s="243"/>
      <c r="E188" s="56">
        <f t="shared" si="64"/>
        <v>65461.58</v>
      </c>
      <c r="F188" s="63"/>
      <c r="G188" s="44"/>
      <c r="H188" s="40"/>
      <c r="I188" s="78">
        <f t="shared" si="62"/>
        <v>0</v>
      </c>
      <c r="J188" s="61"/>
      <c r="K188" s="41"/>
      <c r="L188" s="41"/>
      <c r="M188" s="41">
        <f t="shared" si="65"/>
        <v>0</v>
      </c>
      <c r="N188" s="75"/>
      <c r="O188" s="140"/>
      <c r="P188" s="61"/>
      <c r="Q188" s="41"/>
      <c r="R188" s="75"/>
      <c r="S188" s="193"/>
      <c r="T188" s="108"/>
    </row>
    <row r="189" spans="1:20" ht="11.1" customHeight="1" outlineLevel="1" x14ac:dyDescent="0.2">
      <c r="A189" s="159"/>
      <c r="B189" s="46" t="s">
        <v>195</v>
      </c>
      <c r="C189" s="58">
        <v>469163.14</v>
      </c>
      <c r="D189" s="243"/>
      <c r="E189" s="56">
        <f t="shared" si="64"/>
        <v>469163.14</v>
      </c>
      <c r="F189" s="63"/>
      <c r="G189" s="44"/>
      <c r="H189" s="40"/>
      <c r="I189" s="78">
        <f t="shared" si="62"/>
        <v>0</v>
      </c>
      <c r="J189" s="61"/>
      <c r="K189" s="41"/>
      <c r="L189" s="41"/>
      <c r="M189" s="41">
        <f t="shared" si="65"/>
        <v>0</v>
      </c>
      <c r="N189" s="75"/>
      <c r="O189" s="140"/>
      <c r="P189" s="61"/>
      <c r="Q189" s="41"/>
      <c r="R189" s="75"/>
      <c r="S189" s="193"/>
      <c r="T189" s="108"/>
    </row>
    <row r="190" spans="1:20" ht="11.1" customHeight="1" outlineLevel="1" x14ac:dyDescent="0.2">
      <c r="A190" s="159"/>
      <c r="B190" s="46" t="s">
        <v>196</v>
      </c>
      <c r="C190" s="58">
        <v>2698717.02</v>
      </c>
      <c r="D190" s="114"/>
      <c r="E190" s="56">
        <f t="shared" si="64"/>
        <v>-1884454.4999999998</v>
      </c>
      <c r="F190" s="63">
        <f>2203013.75+2327536.01</f>
        <v>4530549.76</v>
      </c>
      <c r="G190" s="44"/>
      <c r="H190" s="40">
        <v>538601.31599999999</v>
      </c>
      <c r="I190" s="78">
        <f t="shared" si="62"/>
        <v>4530549.76</v>
      </c>
      <c r="J190" s="105">
        <v>52621.760000000002</v>
      </c>
      <c r="K190" s="41"/>
      <c r="L190" s="41"/>
      <c r="M190" s="41">
        <f t="shared" si="65"/>
        <v>52621.760000000002</v>
      </c>
      <c r="N190" s="75">
        <v>41144.300000000003</v>
      </c>
      <c r="O190" s="140"/>
      <c r="P190" s="61"/>
      <c r="Q190" s="41"/>
      <c r="R190" s="75"/>
      <c r="S190" s="193"/>
      <c r="T190" s="108"/>
    </row>
    <row r="191" spans="1:20" ht="11.1" customHeight="1" outlineLevel="1" x14ac:dyDescent="0.2">
      <c r="A191" s="159"/>
      <c r="B191" s="46" t="s">
        <v>197</v>
      </c>
      <c r="C191" s="58">
        <v>720945.53</v>
      </c>
      <c r="D191" s="114"/>
      <c r="E191" s="56">
        <f t="shared" si="64"/>
        <v>56317.849999999977</v>
      </c>
      <c r="F191" s="63">
        <f>625609.75+39017.93</f>
        <v>664627.68000000005</v>
      </c>
      <c r="G191" s="44"/>
      <c r="H191" s="40">
        <f>343671.05+35328.99</f>
        <v>379000.04</v>
      </c>
      <c r="I191" s="78">
        <f t="shared" si="62"/>
        <v>664627.68000000005</v>
      </c>
      <c r="J191" s="61"/>
      <c r="K191" s="41"/>
      <c r="L191" s="41"/>
      <c r="M191" s="41">
        <f t="shared" si="65"/>
        <v>0</v>
      </c>
      <c r="N191" s="75"/>
      <c r="O191" s="140"/>
      <c r="P191" s="61"/>
      <c r="Q191" s="41"/>
      <c r="R191" s="75"/>
      <c r="S191" s="193"/>
      <c r="T191" s="108"/>
    </row>
    <row r="192" spans="1:20" ht="11.1" customHeight="1" outlineLevel="1" x14ac:dyDescent="0.2">
      <c r="A192" s="159"/>
      <c r="B192" s="46" t="s">
        <v>198</v>
      </c>
      <c r="C192" s="58">
        <v>295725.12</v>
      </c>
      <c r="D192" s="114"/>
      <c r="E192" s="56">
        <f t="shared" si="64"/>
        <v>95851.919999999984</v>
      </c>
      <c r="F192" s="63">
        <v>199873.2</v>
      </c>
      <c r="G192" s="44"/>
      <c r="H192" s="40">
        <v>103073.94</v>
      </c>
      <c r="I192" s="78">
        <f t="shared" si="62"/>
        <v>199873.2</v>
      </c>
      <c r="J192" s="61"/>
      <c r="K192" s="41"/>
      <c r="L192" s="41"/>
      <c r="M192" s="41">
        <f t="shared" si="65"/>
        <v>0</v>
      </c>
      <c r="N192" s="75"/>
      <c r="O192" s="140"/>
      <c r="P192" s="61"/>
      <c r="Q192" s="41"/>
      <c r="R192" s="75"/>
      <c r="S192" s="193"/>
      <c r="T192" s="108"/>
    </row>
    <row r="193" spans="1:20" ht="11.1" customHeight="1" outlineLevel="1" x14ac:dyDescent="0.2">
      <c r="A193" s="159"/>
      <c r="B193" s="46" t="s">
        <v>238</v>
      </c>
      <c r="C193" s="58">
        <v>242777.15</v>
      </c>
      <c r="D193" s="114"/>
      <c r="E193" s="56">
        <f t="shared" si="64"/>
        <v>242777.15</v>
      </c>
      <c r="F193" s="63"/>
      <c r="G193" s="44"/>
      <c r="H193" s="40"/>
      <c r="I193" s="78">
        <f t="shared" si="62"/>
        <v>0</v>
      </c>
      <c r="J193" s="61"/>
      <c r="K193" s="41"/>
      <c r="L193" s="41"/>
      <c r="M193" s="41">
        <f t="shared" si="65"/>
        <v>0</v>
      </c>
      <c r="N193" s="75"/>
      <c r="O193" s="140"/>
      <c r="P193" s="61"/>
      <c r="Q193" s="41"/>
      <c r="R193" s="75"/>
      <c r="S193" s="193"/>
      <c r="T193" s="108"/>
    </row>
    <row r="194" spans="1:20" ht="11.1" customHeight="1" outlineLevel="1" x14ac:dyDescent="0.2">
      <c r="A194" s="159"/>
      <c r="B194" s="46" t="s">
        <v>236</v>
      </c>
      <c r="C194" s="58">
        <v>177954.96</v>
      </c>
      <c r="D194" s="114"/>
      <c r="E194" s="56">
        <f t="shared" si="64"/>
        <v>19734.549999999988</v>
      </c>
      <c r="F194" s="63">
        <v>158220.41</v>
      </c>
      <c r="G194" s="44"/>
      <c r="H194" s="40">
        <v>74859.86</v>
      </c>
      <c r="I194" s="78">
        <f t="shared" si="62"/>
        <v>158220.41</v>
      </c>
      <c r="J194" s="61"/>
      <c r="K194" s="41"/>
      <c r="L194" s="41"/>
      <c r="M194" s="41">
        <f t="shared" si="65"/>
        <v>0</v>
      </c>
      <c r="N194" s="75"/>
      <c r="O194" s="78">
        <f t="shared" si="63"/>
        <v>158220.41</v>
      </c>
      <c r="P194" s="61"/>
      <c r="Q194" s="41"/>
      <c r="R194" s="75"/>
      <c r="S194" s="191"/>
      <c r="T194" s="108"/>
    </row>
    <row r="195" spans="1:20" ht="11.1" customHeight="1" outlineLevel="1" x14ac:dyDescent="0.2">
      <c r="A195" s="159"/>
      <c r="B195" s="46" t="s">
        <v>237</v>
      </c>
      <c r="C195" s="58">
        <v>43973.45</v>
      </c>
      <c r="D195" s="114"/>
      <c r="E195" s="56">
        <f t="shared" si="64"/>
        <v>863.43999999999505</v>
      </c>
      <c r="F195" s="63">
        <v>43110.01</v>
      </c>
      <c r="G195" s="44"/>
      <c r="H195" s="40">
        <v>10808.2</v>
      </c>
      <c r="I195" s="78">
        <f t="shared" si="62"/>
        <v>43110.01</v>
      </c>
      <c r="J195" s="61"/>
      <c r="K195" s="41"/>
      <c r="L195" s="41"/>
      <c r="M195" s="41">
        <f t="shared" si="65"/>
        <v>0</v>
      </c>
      <c r="N195" s="75"/>
      <c r="O195" s="140"/>
      <c r="P195" s="61"/>
      <c r="Q195" s="41"/>
      <c r="R195" s="75"/>
      <c r="S195" s="193"/>
      <c r="T195" s="108"/>
    </row>
    <row r="196" spans="1:20" ht="11.1" customHeight="1" outlineLevel="1" x14ac:dyDescent="0.2">
      <c r="A196" s="159"/>
      <c r="B196" s="46" t="s">
        <v>198</v>
      </c>
      <c r="C196" s="58">
        <v>291399.01</v>
      </c>
      <c r="D196" s="114"/>
      <c r="E196" s="56">
        <f t="shared" si="64"/>
        <v>13727.319999999982</v>
      </c>
      <c r="F196" s="63">
        <v>244940.03000000003</v>
      </c>
      <c r="G196" s="44"/>
      <c r="H196" s="40">
        <v>121121.36</v>
      </c>
      <c r="I196" s="78">
        <f t="shared" si="62"/>
        <v>244940.03000000003</v>
      </c>
      <c r="J196" s="61">
        <v>32731.66</v>
      </c>
      <c r="K196" s="41"/>
      <c r="L196" s="41"/>
      <c r="M196" s="41">
        <f t="shared" si="65"/>
        <v>32731.66</v>
      </c>
      <c r="N196" s="75">
        <v>14232.54</v>
      </c>
      <c r="O196" s="140"/>
      <c r="P196" s="61"/>
      <c r="Q196" s="41"/>
      <c r="R196" s="75"/>
      <c r="S196" s="193"/>
      <c r="T196" s="108"/>
    </row>
    <row r="197" spans="1:20" ht="11.1" customHeight="1" outlineLevel="1" x14ac:dyDescent="0.2">
      <c r="A197" s="159"/>
      <c r="B197" s="46" t="s">
        <v>258</v>
      </c>
      <c r="C197" s="58"/>
      <c r="D197" s="114">
        <v>97393.74</v>
      </c>
      <c r="E197" s="56"/>
      <c r="F197" s="63"/>
      <c r="G197" s="44"/>
      <c r="H197" s="40"/>
      <c r="I197" s="78"/>
      <c r="J197" s="61">
        <v>97393.74</v>
      </c>
      <c r="K197" s="41"/>
      <c r="L197" s="41"/>
      <c r="M197" s="41"/>
      <c r="N197" s="75">
        <v>13.56</v>
      </c>
      <c r="O197" s="140"/>
      <c r="P197" s="61"/>
      <c r="Q197" s="41"/>
      <c r="R197" s="75"/>
      <c r="S197" s="193"/>
      <c r="T197" s="108"/>
    </row>
    <row r="198" spans="1:20" ht="11.1" customHeight="1" outlineLevel="1" x14ac:dyDescent="0.2">
      <c r="A198" s="159"/>
      <c r="B198" s="46"/>
      <c r="C198" s="58"/>
      <c r="D198" s="114"/>
      <c r="E198" s="56">
        <f t="shared" si="64"/>
        <v>0</v>
      </c>
      <c r="F198" s="63"/>
      <c r="G198" s="44"/>
      <c r="H198" s="40"/>
      <c r="I198" s="78">
        <f t="shared" si="62"/>
        <v>0</v>
      </c>
      <c r="J198" s="61"/>
      <c r="K198" s="41"/>
      <c r="L198" s="41"/>
      <c r="M198" s="41">
        <f t="shared" si="65"/>
        <v>0</v>
      </c>
      <c r="N198" s="75"/>
      <c r="O198" s="140"/>
      <c r="P198" s="61"/>
      <c r="Q198" s="41"/>
      <c r="R198" s="75"/>
      <c r="S198" s="193"/>
      <c r="T198" s="108"/>
    </row>
    <row r="199" spans="1:20" ht="11.1" customHeight="1" outlineLevel="1" thickBot="1" x14ac:dyDescent="0.25">
      <c r="A199" s="159"/>
      <c r="B199" s="46"/>
      <c r="C199" s="58"/>
      <c r="D199" s="114"/>
      <c r="E199" s="56">
        <f t="shared" si="64"/>
        <v>0</v>
      </c>
      <c r="F199" s="63"/>
      <c r="G199" s="44"/>
      <c r="H199" s="40"/>
      <c r="I199" s="78">
        <f t="shared" si="62"/>
        <v>0</v>
      </c>
      <c r="J199" s="61"/>
      <c r="K199" s="41"/>
      <c r="L199" s="41"/>
      <c r="M199" s="41">
        <f>J199+K199+L199</f>
        <v>0</v>
      </c>
      <c r="N199" s="75"/>
      <c r="O199" s="186">
        <f t="shared" ref="O199:O200" si="66">I199+M199</f>
        <v>0</v>
      </c>
      <c r="P199" s="61"/>
      <c r="Q199" s="41">
        <f>I199-M199</f>
        <v>0</v>
      </c>
      <c r="R199" s="75"/>
      <c r="S199" s="192"/>
      <c r="T199" s="108"/>
    </row>
    <row r="200" spans="1:20" ht="12.95" customHeight="1" thickBot="1" x14ac:dyDescent="0.25">
      <c r="A200" s="132" t="s">
        <v>5</v>
      </c>
      <c r="B200" s="190"/>
      <c r="C200" s="165">
        <f>C176</f>
        <v>37211806.200000003</v>
      </c>
      <c r="D200" s="161">
        <f>D176</f>
        <v>97393.74</v>
      </c>
      <c r="E200" s="162">
        <f>E176</f>
        <v>-18123.739999999991</v>
      </c>
      <c r="F200" s="165">
        <f>SUM(F177:F198)</f>
        <v>19719117.199999999</v>
      </c>
      <c r="G200" s="161">
        <f t="shared" ref="G200:H200" si="67">SUM(G177:G178)</f>
        <v>44654048</v>
      </c>
      <c r="H200" s="168">
        <f t="shared" si="67"/>
        <v>652231.77</v>
      </c>
      <c r="I200" s="133">
        <f>F200-G200</f>
        <v>-24934930.800000001</v>
      </c>
      <c r="J200" s="164">
        <f>SUM(J177:J199)</f>
        <v>4441655.7200000007</v>
      </c>
      <c r="K200" s="161">
        <f t="shared" ref="K200:M200" si="68">SUM(K177:K178)</f>
        <v>0</v>
      </c>
      <c r="L200" s="168">
        <f t="shared" si="68"/>
        <v>0</v>
      </c>
      <c r="M200" s="165">
        <f t="shared" si="68"/>
        <v>1003099.5</v>
      </c>
      <c r="N200" s="168">
        <f>SUM(N177:N198)</f>
        <v>1697561.9820000001</v>
      </c>
      <c r="O200" s="133">
        <f t="shared" si="66"/>
        <v>-23931831.300000001</v>
      </c>
      <c r="P200" s="164">
        <f t="shared" ref="P200:T200" si="69">SUM(P177:P178)</f>
        <v>0</v>
      </c>
      <c r="Q200" s="168">
        <f t="shared" si="69"/>
        <v>-40346932.509999998</v>
      </c>
      <c r="R200" s="137">
        <f t="shared" si="69"/>
        <v>0</v>
      </c>
      <c r="S200" s="133">
        <f t="shared" si="69"/>
        <v>0</v>
      </c>
      <c r="T200" s="149">
        <f t="shared" si="69"/>
        <v>0</v>
      </c>
    </row>
    <row r="201" spans="1:20" ht="11.45" customHeight="1" thickBot="1" x14ac:dyDescent="0.25">
      <c r="G201" s="2"/>
      <c r="H201" s="2"/>
      <c r="J201" s="10"/>
      <c r="K201" s="13"/>
    </row>
    <row r="202" spans="1:20" ht="15" x14ac:dyDescent="0.2">
      <c r="A202" s="239" t="s">
        <v>23</v>
      </c>
      <c r="B202" s="240" t="s">
        <v>38</v>
      </c>
      <c r="C202" s="118">
        <f t="shared" ref="C202:T202" si="70">SUBTOTAL(9,C203:C209)</f>
        <v>21802975.489999998</v>
      </c>
      <c r="D202" s="119">
        <f t="shared" si="70"/>
        <v>0</v>
      </c>
      <c r="E202" s="120">
        <f t="shared" si="70"/>
        <v>272986.20999999996</v>
      </c>
      <c r="F202" s="118">
        <f t="shared" si="70"/>
        <v>5568694.4199999999</v>
      </c>
      <c r="G202" s="119">
        <f t="shared" si="70"/>
        <v>11400404.990000002</v>
      </c>
      <c r="H202" s="119">
        <f t="shared" si="70"/>
        <v>2109716.4539999999</v>
      </c>
      <c r="I202" s="120">
        <f t="shared" si="70"/>
        <v>-5831710.5700000003</v>
      </c>
      <c r="J202" s="118">
        <f t="shared" si="70"/>
        <v>0</v>
      </c>
      <c r="K202" s="119">
        <f t="shared" si="70"/>
        <v>0</v>
      </c>
      <c r="L202" s="120">
        <f t="shared" si="70"/>
        <v>0</v>
      </c>
      <c r="M202" s="118">
        <f t="shared" si="70"/>
        <v>0</v>
      </c>
      <c r="N202" s="134">
        <f t="shared" si="70"/>
        <v>0</v>
      </c>
      <c r="O202" s="138">
        <f t="shared" si="70"/>
        <v>-5831710.5700000003</v>
      </c>
      <c r="P202" s="144">
        <f t="shared" si="70"/>
        <v>0</v>
      </c>
      <c r="Q202" s="134">
        <f t="shared" si="70"/>
        <v>-717497.8900000006</v>
      </c>
      <c r="R202" s="138">
        <f t="shared" si="70"/>
        <v>0</v>
      </c>
      <c r="S202" s="145">
        <f t="shared" si="70"/>
        <v>0</v>
      </c>
      <c r="T202" s="144">
        <f t="shared" si="70"/>
        <v>0</v>
      </c>
    </row>
    <row r="203" spans="1:20" ht="11.1" customHeight="1" x14ac:dyDescent="0.2">
      <c r="A203" s="158" t="s">
        <v>21</v>
      </c>
      <c r="B203" s="115"/>
      <c r="C203" s="81">
        <f t="shared" ref="C203:T203" si="71">SUBTOTAL(9,C204:C209)</f>
        <v>21802975.489999998</v>
      </c>
      <c r="D203" s="80">
        <f t="shared" si="71"/>
        <v>0</v>
      </c>
      <c r="E203" s="82">
        <f t="shared" si="71"/>
        <v>272986.20999999996</v>
      </c>
      <c r="F203" s="81">
        <f t="shared" si="71"/>
        <v>5568694.4199999999</v>
      </c>
      <c r="G203" s="80">
        <f t="shared" si="71"/>
        <v>11400404.990000002</v>
      </c>
      <c r="H203" s="80">
        <f t="shared" si="71"/>
        <v>2109716.4539999999</v>
      </c>
      <c r="I203" s="82">
        <f t="shared" si="71"/>
        <v>-5831710.5700000003</v>
      </c>
      <c r="J203" s="81">
        <f t="shared" si="71"/>
        <v>0</v>
      </c>
      <c r="K203" s="80">
        <f t="shared" si="71"/>
        <v>0</v>
      </c>
      <c r="L203" s="82">
        <f t="shared" si="71"/>
        <v>0</v>
      </c>
      <c r="M203" s="81">
        <f t="shared" si="71"/>
        <v>0</v>
      </c>
      <c r="N203" s="135">
        <f t="shared" si="71"/>
        <v>0</v>
      </c>
      <c r="O203" s="139">
        <f t="shared" si="71"/>
        <v>-5831710.5700000003</v>
      </c>
      <c r="P203" s="117">
        <f t="shared" si="71"/>
        <v>0</v>
      </c>
      <c r="Q203" s="135">
        <f t="shared" si="71"/>
        <v>-717497.8900000006</v>
      </c>
      <c r="R203" s="139">
        <f t="shared" si="71"/>
        <v>0</v>
      </c>
      <c r="S203" s="146">
        <f t="shared" si="71"/>
        <v>0</v>
      </c>
      <c r="T203" s="117">
        <f t="shared" si="71"/>
        <v>0</v>
      </c>
    </row>
    <row r="204" spans="1:20" ht="21" customHeight="1" outlineLevel="1" x14ac:dyDescent="0.2">
      <c r="A204" s="159" t="s">
        <v>178</v>
      </c>
      <c r="B204" s="46" t="s">
        <v>39</v>
      </c>
      <c r="C204" s="121">
        <v>5841680.6299999999</v>
      </c>
      <c r="D204" s="121"/>
      <c r="E204" s="56">
        <f>C204+D204-F204-M204</f>
        <v>272986.20999999996</v>
      </c>
      <c r="F204" s="121">
        <f>3280781.49+928090.94+916091.53+443730.46</f>
        <v>5568694.4199999999</v>
      </c>
      <c r="G204" s="40">
        <v>4783613.1900000004</v>
      </c>
      <c r="H204" s="40">
        <f>1146997.58+416831.616+362252.17+183635.088</f>
        <v>2109716.4539999999</v>
      </c>
      <c r="I204" s="78">
        <f t="shared" ref="I204:I209" si="72">F204-G204</f>
        <v>785081.22999999952</v>
      </c>
      <c r="J204" s="121"/>
      <c r="K204" s="41"/>
      <c r="L204" s="62">
        <v>0</v>
      </c>
      <c r="M204" s="83">
        <f>J204+K204+L204</f>
        <v>0</v>
      </c>
      <c r="N204" s="75"/>
      <c r="O204" s="78">
        <f t="shared" ref="O204:O209" si="73">I204+M204</f>
        <v>785081.22999999952</v>
      </c>
      <c r="P204" s="61"/>
      <c r="Q204" s="75">
        <f>I204-M204</f>
        <v>785081.22999999952</v>
      </c>
      <c r="R204" s="78"/>
      <c r="S204" s="170"/>
      <c r="T204" s="108"/>
    </row>
    <row r="205" spans="1:20" ht="11.1" customHeight="1" outlineLevel="1" x14ac:dyDescent="0.2">
      <c r="A205" s="159"/>
      <c r="B205" s="46" t="s">
        <v>261</v>
      </c>
      <c r="C205" s="58">
        <v>2727711.27</v>
      </c>
      <c r="D205" s="43"/>
      <c r="E205" s="56"/>
      <c r="F205" s="63"/>
      <c r="G205" s="44"/>
      <c r="H205" s="44"/>
      <c r="I205" s="78">
        <f>F205-G205</f>
        <v>0</v>
      </c>
      <c r="J205" s="58"/>
      <c r="K205" s="41"/>
      <c r="L205" s="62"/>
      <c r="M205" s="83">
        <f>J205+K205+L205</f>
        <v>0</v>
      </c>
      <c r="N205" s="75"/>
      <c r="O205" s="78">
        <f>I205+M205</f>
        <v>0</v>
      </c>
      <c r="P205" s="61"/>
      <c r="Q205" s="75">
        <f>I205-M205</f>
        <v>0</v>
      </c>
      <c r="R205" s="78"/>
      <c r="S205" s="108"/>
      <c r="T205" s="108"/>
    </row>
    <row r="206" spans="1:20" ht="21" customHeight="1" outlineLevel="1" x14ac:dyDescent="0.2">
      <c r="A206" s="159" t="s">
        <v>214</v>
      </c>
      <c r="B206" s="46" t="s">
        <v>213</v>
      </c>
      <c r="C206" s="121">
        <v>10228425.359999999</v>
      </c>
      <c r="D206" s="121"/>
      <c r="E206" s="56"/>
      <c r="F206" s="121"/>
      <c r="G206" s="40">
        <v>5114212.68</v>
      </c>
      <c r="H206" s="40"/>
      <c r="I206" s="78">
        <f t="shared" si="72"/>
        <v>-5114212.68</v>
      </c>
      <c r="J206" s="166"/>
      <c r="K206" s="41"/>
      <c r="L206" s="62"/>
      <c r="M206" s="83">
        <f>J206+K206+L206</f>
        <v>0</v>
      </c>
      <c r="N206" s="75"/>
      <c r="O206" s="78">
        <f t="shared" si="73"/>
        <v>-5114212.68</v>
      </c>
      <c r="P206" s="61"/>
      <c r="Q206" s="75"/>
      <c r="R206" s="78"/>
      <c r="S206" s="170"/>
      <c r="T206" s="108"/>
    </row>
    <row r="207" spans="1:20" ht="22.15" customHeight="1" outlineLevel="1" x14ac:dyDescent="0.2">
      <c r="A207" s="159"/>
      <c r="B207" s="46" t="s">
        <v>239</v>
      </c>
      <c r="C207" s="114">
        <v>3005158.23</v>
      </c>
      <c r="D207" s="114"/>
      <c r="E207" s="56"/>
      <c r="F207" s="63"/>
      <c r="G207" s="40">
        <v>1502579.12</v>
      </c>
      <c r="H207" s="40"/>
      <c r="I207" s="78">
        <f t="shared" si="72"/>
        <v>-1502579.12</v>
      </c>
      <c r="J207" s="166"/>
      <c r="K207" s="41"/>
      <c r="L207" s="167"/>
      <c r="M207" s="83">
        <f>J207+K207+L207</f>
        <v>0</v>
      </c>
      <c r="N207" s="75"/>
      <c r="O207" s="78">
        <f t="shared" si="73"/>
        <v>-1502579.12</v>
      </c>
      <c r="P207" s="61"/>
      <c r="Q207" s="75">
        <f>I207-M207</f>
        <v>-1502579.12</v>
      </c>
      <c r="R207" s="78"/>
      <c r="S207" s="110"/>
      <c r="T207" s="108"/>
    </row>
    <row r="208" spans="1:20" ht="11.1" customHeight="1" outlineLevel="1" x14ac:dyDescent="0.2">
      <c r="A208" s="159"/>
      <c r="B208" s="46"/>
      <c r="C208" s="58"/>
      <c r="D208" s="43"/>
      <c r="E208" s="56"/>
      <c r="F208" s="63"/>
      <c r="G208" s="44"/>
      <c r="H208" s="44"/>
      <c r="I208" s="78">
        <f t="shared" si="72"/>
        <v>0</v>
      </c>
      <c r="J208" s="58"/>
      <c r="K208" s="41"/>
      <c r="L208" s="62"/>
      <c r="M208" s="83"/>
      <c r="N208" s="75"/>
      <c r="O208" s="78">
        <f t="shared" si="73"/>
        <v>0</v>
      </c>
      <c r="P208" s="61"/>
      <c r="Q208" s="75"/>
      <c r="R208" s="78"/>
      <c r="S208" s="108"/>
      <c r="T208" s="108"/>
    </row>
    <row r="209" spans="1:20" ht="11.1" customHeight="1" outlineLevel="1" thickBot="1" x14ac:dyDescent="0.25">
      <c r="A209" s="160"/>
      <c r="B209" s="123"/>
      <c r="C209" s="124">
        <v>0</v>
      </c>
      <c r="D209" s="125"/>
      <c r="E209" s="126">
        <f>C209+D209-F209-M209</f>
        <v>0</v>
      </c>
      <c r="F209" s="127">
        <v>0</v>
      </c>
      <c r="G209" s="128">
        <v>0</v>
      </c>
      <c r="H209" s="128">
        <v>0</v>
      </c>
      <c r="I209" s="78">
        <f t="shared" si="72"/>
        <v>0</v>
      </c>
      <c r="J209" s="147"/>
      <c r="K209" s="131"/>
      <c r="L209" s="129"/>
      <c r="M209" s="147">
        <f>J209+K209+L209</f>
        <v>0</v>
      </c>
      <c r="N209" s="143"/>
      <c r="O209" s="78">
        <f t="shared" si="73"/>
        <v>0</v>
      </c>
      <c r="P209" s="130"/>
      <c r="Q209" s="143">
        <f>I209-M209</f>
        <v>0</v>
      </c>
      <c r="R209" s="140"/>
      <c r="S209" s="169"/>
      <c r="T209" s="169"/>
    </row>
    <row r="210" spans="1:20" s="179" customFormat="1" ht="12.95" customHeight="1" thickBot="1" x14ac:dyDescent="0.25">
      <c r="A210" s="171" t="s">
        <v>5</v>
      </c>
      <c r="B210" s="172"/>
      <c r="C210" s="173">
        <f t="shared" ref="C210:H210" si="74">C202</f>
        <v>21802975.489999998</v>
      </c>
      <c r="D210" s="174">
        <f t="shared" si="74"/>
        <v>0</v>
      </c>
      <c r="E210" s="175">
        <f t="shared" si="74"/>
        <v>272986.20999999996</v>
      </c>
      <c r="F210" s="173">
        <f t="shared" si="74"/>
        <v>5568694.4199999999</v>
      </c>
      <c r="G210" s="174">
        <f t="shared" si="74"/>
        <v>11400404.990000002</v>
      </c>
      <c r="H210" s="174">
        <f t="shared" si="74"/>
        <v>2109716.4539999999</v>
      </c>
      <c r="I210" s="175">
        <f>F210-H210</f>
        <v>3458977.966</v>
      </c>
      <c r="J210" s="173">
        <f t="shared" ref="J210:T210" si="75">J202</f>
        <v>0</v>
      </c>
      <c r="K210" s="174">
        <f t="shared" si="75"/>
        <v>0</v>
      </c>
      <c r="L210" s="175">
        <f t="shared" si="75"/>
        <v>0</v>
      </c>
      <c r="M210" s="173">
        <f t="shared" si="75"/>
        <v>0</v>
      </c>
      <c r="N210" s="176">
        <f t="shared" si="75"/>
        <v>0</v>
      </c>
      <c r="O210" s="177">
        <f t="shared" si="75"/>
        <v>-5831710.5700000003</v>
      </c>
      <c r="P210" s="178">
        <f t="shared" si="75"/>
        <v>0</v>
      </c>
      <c r="Q210" s="176">
        <f t="shared" si="75"/>
        <v>-717497.8900000006</v>
      </c>
      <c r="R210" s="177">
        <f t="shared" si="75"/>
        <v>0</v>
      </c>
      <c r="S210" s="177">
        <f t="shared" si="75"/>
        <v>0</v>
      </c>
      <c r="T210" s="177">
        <f t="shared" si="75"/>
        <v>0</v>
      </c>
    </row>
    <row r="211" spans="1:20" ht="11.45" customHeight="1" thickBot="1" x14ac:dyDescent="0.25">
      <c r="I211" s="12"/>
      <c r="K211" s="13"/>
    </row>
    <row r="212" spans="1:20" ht="15" x14ac:dyDescent="0.2">
      <c r="A212" s="241" t="s">
        <v>180</v>
      </c>
      <c r="B212" s="242" t="s">
        <v>179</v>
      </c>
      <c r="C212" s="118">
        <f t="shared" ref="C212:T212" si="76">SUBTOTAL(9,C213:C219)</f>
        <v>13393734.91</v>
      </c>
      <c r="D212" s="119">
        <f t="shared" si="76"/>
        <v>1270719.75</v>
      </c>
      <c r="E212" s="120">
        <f t="shared" si="76"/>
        <v>8288419.6899999995</v>
      </c>
      <c r="F212" s="118">
        <f t="shared" si="76"/>
        <v>5105315.2200000007</v>
      </c>
      <c r="G212" s="119">
        <f t="shared" si="76"/>
        <v>6975315.2999999998</v>
      </c>
      <c r="H212" s="119">
        <f t="shared" si="76"/>
        <v>2128657.31</v>
      </c>
      <c r="I212" s="120">
        <f t="shared" si="76"/>
        <v>-1870000.0799999991</v>
      </c>
      <c r="J212" s="118">
        <f t="shared" si="76"/>
        <v>0</v>
      </c>
      <c r="K212" s="119">
        <f t="shared" si="76"/>
        <v>0</v>
      </c>
      <c r="L212" s="120">
        <f t="shared" si="76"/>
        <v>0</v>
      </c>
      <c r="M212" s="118">
        <f t="shared" si="76"/>
        <v>0</v>
      </c>
      <c r="N212" s="134">
        <f t="shared" si="76"/>
        <v>0</v>
      </c>
      <c r="O212" s="138">
        <f t="shared" si="76"/>
        <v>-1870000.0799999991</v>
      </c>
      <c r="P212" s="144">
        <f t="shared" si="76"/>
        <v>0</v>
      </c>
      <c r="Q212" s="134">
        <f t="shared" si="76"/>
        <v>-1870000.0799999991</v>
      </c>
      <c r="R212" s="138">
        <f t="shared" si="76"/>
        <v>0</v>
      </c>
      <c r="S212" s="145">
        <f t="shared" si="76"/>
        <v>0</v>
      </c>
      <c r="T212" s="144">
        <f t="shared" si="76"/>
        <v>0</v>
      </c>
    </row>
    <row r="213" spans="1:20" ht="11.1" customHeight="1" x14ac:dyDescent="0.2">
      <c r="A213" s="158" t="s">
        <v>21</v>
      </c>
      <c r="B213" s="115"/>
      <c r="C213" s="81">
        <f t="shared" ref="C213:T213" si="77">SUBTOTAL(9,C214:C219)</f>
        <v>13393734.91</v>
      </c>
      <c r="D213" s="80">
        <f t="shared" si="77"/>
        <v>1270719.75</v>
      </c>
      <c r="E213" s="82">
        <f t="shared" si="77"/>
        <v>8288419.6899999995</v>
      </c>
      <c r="F213" s="81">
        <f t="shared" si="77"/>
        <v>5105315.2200000007</v>
      </c>
      <c r="G213" s="80">
        <f t="shared" si="77"/>
        <v>6975315.2999999998</v>
      </c>
      <c r="H213" s="80">
        <f t="shared" si="77"/>
        <v>2128657.31</v>
      </c>
      <c r="I213" s="82">
        <f t="shared" si="77"/>
        <v>-1870000.0799999991</v>
      </c>
      <c r="J213" s="81">
        <f t="shared" si="77"/>
        <v>0</v>
      </c>
      <c r="K213" s="80">
        <f t="shared" si="77"/>
        <v>0</v>
      </c>
      <c r="L213" s="82">
        <f t="shared" si="77"/>
        <v>0</v>
      </c>
      <c r="M213" s="81">
        <f t="shared" si="77"/>
        <v>0</v>
      </c>
      <c r="N213" s="135">
        <f t="shared" si="77"/>
        <v>0</v>
      </c>
      <c r="O213" s="139">
        <f t="shared" si="77"/>
        <v>-1870000.0799999991</v>
      </c>
      <c r="P213" s="117">
        <f t="shared" si="77"/>
        <v>0</v>
      </c>
      <c r="Q213" s="135">
        <f t="shared" si="77"/>
        <v>-1870000.0799999991</v>
      </c>
      <c r="R213" s="139">
        <f t="shared" si="77"/>
        <v>0</v>
      </c>
      <c r="S213" s="146">
        <f t="shared" si="77"/>
        <v>0</v>
      </c>
      <c r="T213" s="117">
        <f t="shared" si="77"/>
        <v>0</v>
      </c>
    </row>
    <row r="214" spans="1:20" ht="21" customHeight="1" outlineLevel="1" x14ac:dyDescent="0.2">
      <c r="A214" s="159" t="s">
        <v>181</v>
      </c>
      <c r="B214" s="46" t="s">
        <v>182</v>
      </c>
      <c r="C214" s="121">
        <v>13393734.91</v>
      </c>
      <c r="D214" s="38"/>
      <c r="E214" s="56">
        <f>C214+D214-F214-M214</f>
        <v>8288419.6899999995</v>
      </c>
      <c r="F214" s="121">
        <f>3145663.74+1959651.48</f>
        <v>5105315.2200000007</v>
      </c>
      <c r="G214" s="40">
        <v>6975315.2999999998</v>
      </c>
      <c r="H214" s="40">
        <f>1166633.78+962023.53</f>
        <v>2128657.31</v>
      </c>
      <c r="I214" s="78">
        <f t="shared" ref="I214:I219" si="78">F214-G214</f>
        <v>-1870000.0799999991</v>
      </c>
      <c r="J214" s="121"/>
      <c r="K214" s="41"/>
      <c r="L214" s="62">
        <v>0</v>
      </c>
      <c r="M214" s="83">
        <f>J214+K214+L214</f>
        <v>0</v>
      </c>
      <c r="N214" s="75"/>
      <c r="O214" s="78">
        <f t="shared" ref="O214:O219" si="79">I214+M214</f>
        <v>-1870000.0799999991</v>
      </c>
      <c r="P214" s="61"/>
      <c r="Q214" s="75">
        <f>I214-M214</f>
        <v>-1870000.0799999991</v>
      </c>
      <c r="R214" s="78"/>
      <c r="S214" s="170"/>
      <c r="T214" s="108"/>
    </row>
    <row r="215" spans="1:20" ht="21" customHeight="1" outlineLevel="1" x14ac:dyDescent="0.2">
      <c r="A215" s="159"/>
      <c r="B215" s="46" t="s">
        <v>240</v>
      </c>
      <c r="C215" s="121"/>
      <c r="D215" s="121">
        <v>1270719.75</v>
      </c>
      <c r="E215" s="56"/>
      <c r="F215" s="121"/>
      <c r="G215" s="40"/>
      <c r="H215" s="40"/>
      <c r="I215" s="78">
        <f t="shared" si="78"/>
        <v>0</v>
      </c>
      <c r="J215" s="166"/>
      <c r="K215" s="41"/>
      <c r="L215" s="62"/>
      <c r="M215" s="83"/>
      <c r="N215" s="75"/>
      <c r="O215" s="78">
        <f t="shared" si="79"/>
        <v>0</v>
      </c>
      <c r="P215" s="61"/>
      <c r="Q215" s="75"/>
      <c r="R215" s="78"/>
      <c r="S215" s="170"/>
      <c r="T215" s="108"/>
    </row>
    <row r="216" spans="1:20" ht="22.15" customHeight="1" outlineLevel="1" x14ac:dyDescent="0.2">
      <c r="A216" s="159"/>
      <c r="B216" s="46"/>
      <c r="C216" s="58"/>
      <c r="D216" s="114"/>
      <c r="E216" s="56"/>
      <c r="F216" s="63"/>
      <c r="G216" s="40"/>
      <c r="H216" s="40"/>
      <c r="I216" s="78">
        <f t="shared" si="78"/>
        <v>0</v>
      </c>
      <c r="J216" s="166"/>
      <c r="K216" s="41"/>
      <c r="L216" s="167"/>
      <c r="M216" s="83">
        <f>J216+K216+L216</f>
        <v>0</v>
      </c>
      <c r="N216" s="75"/>
      <c r="O216" s="78">
        <f t="shared" si="79"/>
        <v>0</v>
      </c>
      <c r="P216" s="61"/>
      <c r="Q216" s="75">
        <f>I216-M216</f>
        <v>0</v>
      </c>
      <c r="R216" s="78"/>
      <c r="S216" s="110"/>
      <c r="T216" s="108"/>
    </row>
    <row r="217" spans="1:20" ht="11.1" customHeight="1" outlineLevel="1" x14ac:dyDescent="0.2">
      <c r="A217" s="159"/>
      <c r="B217" s="46"/>
      <c r="C217" s="58"/>
      <c r="D217" s="43"/>
      <c r="E217" s="56"/>
      <c r="F217" s="63"/>
      <c r="G217" s="44"/>
      <c r="H217" s="44"/>
      <c r="I217" s="78">
        <f t="shared" si="78"/>
        <v>0</v>
      </c>
      <c r="J217" s="58"/>
      <c r="K217" s="41"/>
      <c r="L217" s="62"/>
      <c r="M217" s="83">
        <f>J217+K217+L217</f>
        <v>0</v>
      </c>
      <c r="N217" s="75"/>
      <c r="O217" s="78">
        <f t="shared" si="79"/>
        <v>0</v>
      </c>
      <c r="P217" s="61"/>
      <c r="Q217" s="75">
        <f>I217-M217</f>
        <v>0</v>
      </c>
      <c r="R217" s="78"/>
      <c r="S217" s="108"/>
      <c r="T217" s="108"/>
    </row>
    <row r="218" spans="1:20" ht="11.1" customHeight="1" outlineLevel="1" x14ac:dyDescent="0.2">
      <c r="A218" s="159"/>
      <c r="B218" s="46"/>
      <c r="C218" s="58"/>
      <c r="D218" s="43"/>
      <c r="E218" s="56"/>
      <c r="F218" s="63"/>
      <c r="G218" s="44"/>
      <c r="H218" s="44"/>
      <c r="I218" s="78">
        <f t="shared" si="78"/>
        <v>0</v>
      </c>
      <c r="J218" s="58"/>
      <c r="K218" s="41"/>
      <c r="L218" s="62"/>
      <c r="M218" s="83"/>
      <c r="N218" s="75"/>
      <c r="O218" s="78">
        <f t="shared" si="79"/>
        <v>0</v>
      </c>
      <c r="P218" s="61"/>
      <c r="Q218" s="75"/>
      <c r="R218" s="78"/>
      <c r="S218" s="108"/>
      <c r="T218" s="108"/>
    </row>
    <row r="219" spans="1:20" ht="11.1" customHeight="1" outlineLevel="1" thickBot="1" x14ac:dyDescent="0.25">
      <c r="A219" s="160"/>
      <c r="B219" s="123"/>
      <c r="C219" s="124">
        <v>0</v>
      </c>
      <c r="D219" s="125"/>
      <c r="E219" s="126">
        <f>C219+D219-F219-M219</f>
        <v>0</v>
      </c>
      <c r="F219" s="127">
        <v>0</v>
      </c>
      <c r="G219" s="128">
        <v>0</v>
      </c>
      <c r="H219" s="128">
        <v>0</v>
      </c>
      <c r="I219" s="78">
        <f t="shared" si="78"/>
        <v>0</v>
      </c>
      <c r="J219" s="147"/>
      <c r="K219" s="131"/>
      <c r="L219" s="129"/>
      <c r="M219" s="147">
        <f>J219+K219+L219</f>
        <v>0</v>
      </c>
      <c r="N219" s="143"/>
      <c r="O219" s="78">
        <f t="shared" si="79"/>
        <v>0</v>
      </c>
      <c r="P219" s="130"/>
      <c r="Q219" s="143">
        <f>I219-M219</f>
        <v>0</v>
      </c>
      <c r="R219" s="140"/>
      <c r="S219" s="169"/>
      <c r="T219" s="169"/>
    </row>
    <row r="220" spans="1:20" s="179" customFormat="1" ht="12.95" customHeight="1" thickBot="1" x14ac:dyDescent="0.25">
      <c r="A220" s="171" t="s">
        <v>5</v>
      </c>
      <c r="B220" s="172"/>
      <c r="C220" s="173">
        <f t="shared" ref="C220:H220" si="80">C212</f>
        <v>13393734.91</v>
      </c>
      <c r="D220" s="174">
        <f t="shared" si="80"/>
        <v>1270719.75</v>
      </c>
      <c r="E220" s="175">
        <f t="shared" si="80"/>
        <v>8288419.6899999995</v>
      </c>
      <c r="F220" s="173">
        <f t="shared" si="80"/>
        <v>5105315.2200000007</v>
      </c>
      <c r="G220" s="174">
        <f t="shared" si="80"/>
        <v>6975315.2999999998</v>
      </c>
      <c r="H220" s="174">
        <f t="shared" si="80"/>
        <v>2128657.31</v>
      </c>
      <c r="I220" s="175">
        <f>F220-H220</f>
        <v>2976657.9100000006</v>
      </c>
      <c r="J220" s="173">
        <f t="shared" ref="J220:T220" si="81">J212</f>
        <v>0</v>
      </c>
      <c r="K220" s="174">
        <f t="shared" si="81"/>
        <v>0</v>
      </c>
      <c r="L220" s="175">
        <f t="shared" si="81"/>
        <v>0</v>
      </c>
      <c r="M220" s="173">
        <f t="shared" si="81"/>
        <v>0</v>
      </c>
      <c r="N220" s="176">
        <f t="shared" si="81"/>
        <v>0</v>
      </c>
      <c r="O220" s="177">
        <f t="shared" si="81"/>
        <v>-1870000.0799999991</v>
      </c>
      <c r="P220" s="178">
        <f t="shared" si="81"/>
        <v>0</v>
      </c>
      <c r="Q220" s="176">
        <f t="shared" si="81"/>
        <v>-1870000.0799999991</v>
      </c>
      <c r="R220" s="177">
        <f t="shared" si="81"/>
        <v>0</v>
      </c>
      <c r="S220" s="177">
        <f t="shared" si="81"/>
        <v>0</v>
      </c>
      <c r="T220" s="177">
        <f t="shared" si="81"/>
        <v>0</v>
      </c>
    </row>
    <row r="221" spans="1:20" ht="11.45" customHeight="1" x14ac:dyDescent="0.2">
      <c r="H221" s="12"/>
      <c r="J221" s="13"/>
      <c r="K221" s="13"/>
    </row>
    <row r="227" spans="2:68" s="1" customFormat="1" ht="11.45" customHeight="1" x14ac:dyDescent="0.2">
      <c r="B227" s="12">
        <f>8848652.4+4793084.4+9962533.2+4750527.6+4837282.8+3036158.4+2993725.2</f>
        <v>39221964.000000007</v>
      </c>
      <c r="C227" s="12"/>
      <c r="D227" s="12"/>
      <c r="E227" s="12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</row>
    <row r="228" spans="2:68" s="1" customFormat="1" ht="11.45" customHeight="1" x14ac:dyDescent="0.2">
      <c r="B228" s="12"/>
      <c r="C228" s="12"/>
      <c r="D228" s="12"/>
      <c r="E228" s="12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</row>
    <row r="230" spans="2:68" s="1" customFormat="1" ht="11.45" customHeight="1" x14ac:dyDescent="0.2">
      <c r="C230" s="12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</row>
    <row r="232" spans="2:68" s="1" customFormat="1" ht="11.45" customHeight="1" x14ac:dyDescent="0.2">
      <c r="C232" s="1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</row>
    <row r="233" spans="2:68" s="1" customFormat="1" ht="11.45" customHeight="1" x14ac:dyDescent="0.2">
      <c r="C233" s="12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</row>
  </sheetData>
  <mergeCells count="13">
    <mergeCell ref="U6:U7"/>
    <mergeCell ref="A11:A12"/>
    <mergeCell ref="F4:I4"/>
    <mergeCell ref="C5:C6"/>
    <mergeCell ref="D5:D6"/>
    <mergeCell ref="E5:E6"/>
    <mergeCell ref="F5:I5"/>
    <mergeCell ref="J5:N5"/>
    <mergeCell ref="J167:N167"/>
    <mergeCell ref="O5:Q5"/>
    <mergeCell ref="R5:R6"/>
    <mergeCell ref="S5:S6"/>
    <mergeCell ref="T5:T6"/>
  </mergeCells>
  <pageMargins left="0.19685039370078741" right="0.19685039370078741" top="0.19685039370078741" bottom="0.74803149606299213" header="0.19685039370078741" footer="0.51181102362204722"/>
  <pageSetup paperSize="9" scale="46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29"/>
  <sheetViews>
    <sheetView topLeftCell="A7" zoomScale="110" zoomScaleNormal="110" workbookViewId="0">
      <selection activeCell="G214" sqref="G214"/>
    </sheetView>
  </sheetViews>
  <sheetFormatPr defaultColWidth="10.1640625" defaultRowHeight="11.25" outlineLevelRow="1" x14ac:dyDescent="0.2"/>
  <cols>
    <col min="1" max="1" width="34.83203125" style="1" customWidth="1"/>
    <col min="2" max="2" width="75.5" style="1" customWidth="1"/>
    <col min="3" max="3" width="26.5" style="1" customWidth="1"/>
    <col min="4" max="4" width="23.1640625" style="1" customWidth="1"/>
    <col min="5" max="5" width="19.5" style="1" customWidth="1"/>
    <col min="6" max="6" width="22" style="1" customWidth="1"/>
    <col min="7" max="7" width="21.33203125" style="1" customWidth="1"/>
    <col min="8" max="8" width="21.1640625" style="1" customWidth="1"/>
    <col min="9" max="9" width="23.6640625" style="1" customWidth="1"/>
    <col min="10" max="10" width="22.33203125" customWidth="1"/>
    <col min="11" max="11" width="13.5" bestFit="1" customWidth="1"/>
    <col min="12" max="12" width="20.1640625" customWidth="1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 t="s">
        <v>18</v>
      </c>
      <c r="J3" s="1"/>
    </row>
    <row r="4" spans="1:11" ht="34.5" customHeight="1" thickBot="1" x14ac:dyDescent="0.3">
      <c r="A4" s="5"/>
      <c r="C4" s="462">
        <v>44764</v>
      </c>
      <c r="D4" s="463"/>
      <c r="E4" s="463"/>
      <c r="F4" s="463"/>
      <c r="G4" s="463"/>
      <c r="H4" s="463"/>
      <c r="I4" s="463"/>
      <c r="J4" s="464"/>
    </row>
    <row r="5" spans="1:11" ht="32.450000000000003" customHeight="1" thickBot="1" x14ac:dyDescent="0.25">
      <c r="A5" s="65" t="s">
        <v>0</v>
      </c>
      <c r="B5" s="66"/>
      <c r="C5" s="454" t="s">
        <v>85</v>
      </c>
      <c r="D5" s="456" t="s">
        <v>6</v>
      </c>
      <c r="E5" s="458" t="s">
        <v>86</v>
      </c>
      <c r="F5" s="443" t="s">
        <v>7</v>
      </c>
      <c r="G5" s="443"/>
      <c r="H5" s="443"/>
      <c r="I5" s="444"/>
      <c r="J5" s="291" t="s">
        <v>8</v>
      </c>
    </row>
    <row r="6" spans="1:11" ht="62.25" customHeight="1" thickBot="1" x14ac:dyDescent="0.25">
      <c r="A6" s="64" t="s">
        <v>1</v>
      </c>
      <c r="B6" s="64" t="s">
        <v>13</v>
      </c>
      <c r="C6" s="455"/>
      <c r="D6" s="457"/>
      <c r="E6" s="459"/>
      <c r="F6" s="319" t="s">
        <v>3</v>
      </c>
      <c r="G6" s="95" t="s">
        <v>4</v>
      </c>
      <c r="H6" s="320" t="s">
        <v>20</v>
      </c>
      <c r="I6" s="97" t="s">
        <v>14</v>
      </c>
      <c r="J6" s="322" t="s">
        <v>352</v>
      </c>
    </row>
    <row r="7" spans="1:11" ht="13.5" thickBot="1" x14ac:dyDescent="0.25">
      <c r="A7" s="21" t="s">
        <v>23</v>
      </c>
      <c r="B7" s="22" t="s">
        <v>333</v>
      </c>
      <c r="C7" s="23">
        <f>C8</f>
        <v>120058714.79390422</v>
      </c>
      <c r="D7" s="24">
        <f>SUBTOTAL(9,D8:D35)</f>
        <v>0</v>
      </c>
      <c r="E7" s="25">
        <f>E8</f>
        <v>7409604.4639042011</v>
      </c>
      <c r="F7" s="23">
        <f>F8</f>
        <v>112649110.33000001</v>
      </c>
      <c r="G7" s="24">
        <f>G8</f>
        <v>112643819.65000002</v>
      </c>
      <c r="H7" s="25">
        <f>SUBTOTAL(9,H8:H35)</f>
        <v>58383704.918448016</v>
      </c>
      <c r="I7" s="27">
        <f>I8</f>
        <v>5290.6800000000076</v>
      </c>
      <c r="J7" s="27">
        <f>J8</f>
        <v>47109.05</v>
      </c>
    </row>
    <row r="8" spans="1:11" ht="11.1" customHeight="1" x14ac:dyDescent="0.2">
      <c r="A8" s="28" t="s">
        <v>21</v>
      </c>
      <c r="B8" s="29"/>
      <c r="C8" s="30">
        <f>SUM(C9:C36)</f>
        <v>120058714.79390422</v>
      </c>
      <c r="D8" s="31">
        <f>SUBTOTAL(9,D9:D35)</f>
        <v>0</v>
      </c>
      <c r="E8" s="32">
        <f>SUM(E9:E36)</f>
        <v>7409604.4639042011</v>
      </c>
      <c r="F8" s="30">
        <f>SUM(F9:F35)</f>
        <v>112649110.33000001</v>
      </c>
      <c r="G8" s="31">
        <f>SUM(G9:G35)</f>
        <v>112643819.65000002</v>
      </c>
      <c r="H8" s="32">
        <f>SUBTOTAL(9,H9:H35)</f>
        <v>58383704.918448016</v>
      </c>
      <c r="I8" s="34">
        <f>SUM(I9:I35)</f>
        <v>5290.6800000000076</v>
      </c>
      <c r="J8" s="34">
        <f>SUM(J9:J36)</f>
        <v>47109.05</v>
      </c>
    </row>
    <row r="9" spans="1:11" ht="21" customHeight="1" outlineLevel="1" x14ac:dyDescent="0.2">
      <c r="A9" s="197" t="s">
        <v>15</v>
      </c>
      <c r="B9" s="229" t="s">
        <v>25</v>
      </c>
      <c r="C9" s="264">
        <v>17678052.93</v>
      </c>
      <c r="D9" s="265"/>
      <c r="E9" s="199">
        <f>C9+D9-F9</f>
        <v>348894.60000000149</v>
      </c>
      <c r="F9" s="264">
        <v>17329158.329999998</v>
      </c>
      <c r="G9" s="248">
        <v>17329158.329999998</v>
      </c>
      <c r="H9" s="310">
        <v>8109602.0751999989</v>
      </c>
      <c r="I9" s="201">
        <f>F9-G9</f>
        <v>0</v>
      </c>
      <c r="J9" s="201"/>
    </row>
    <row r="10" spans="1:11" ht="11.1" customHeight="1" outlineLevel="1" x14ac:dyDescent="0.2">
      <c r="A10" s="197" t="s">
        <v>98</v>
      </c>
      <c r="B10" s="229" t="s">
        <v>28</v>
      </c>
      <c r="C10" s="198">
        <v>1361636.4028742048</v>
      </c>
      <c r="D10" s="114"/>
      <c r="E10" s="199">
        <f t="shared" ref="E10:E36" si="0">C10+D10-F10</f>
        <v>45501.082874204731</v>
      </c>
      <c r="F10" s="271">
        <v>1316135.32</v>
      </c>
      <c r="G10" s="196">
        <v>1316135.32</v>
      </c>
      <c r="H10" s="199">
        <f>280483.15+290732.21</f>
        <v>571215.3600000001</v>
      </c>
      <c r="I10" s="201">
        <f t="shared" ref="I10:I35" si="1">F10-G10</f>
        <v>0</v>
      </c>
      <c r="J10" s="314"/>
    </row>
    <row r="11" spans="1:11" ht="11.1" customHeight="1" outlineLevel="1" x14ac:dyDescent="0.2">
      <c r="A11" s="269" t="s">
        <v>48</v>
      </c>
      <c r="B11" s="229" t="s">
        <v>29</v>
      </c>
      <c r="C11" s="198">
        <v>2249747.54</v>
      </c>
      <c r="D11" s="114"/>
      <c r="E11" s="199">
        <f t="shared" si="0"/>
        <v>16122.120000000112</v>
      </c>
      <c r="F11" s="271">
        <v>2233625.42</v>
      </c>
      <c r="G11" s="234">
        <v>2233625.42</v>
      </c>
      <c r="H11" s="311">
        <v>895685.67</v>
      </c>
      <c r="I11" s="201">
        <f t="shared" si="1"/>
        <v>0</v>
      </c>
      <c r="J11" s="201"/>
    </row>
    <row r="12" spans="1:11" ht="10.9" customHeight="1" outlineLevel="1" x14ac:dyDescent="0.2">
      <c r="A12" s="197" t="s">
        <v>56</v>
      </c>
      <c r="B12" s="229" t="s">
        <v>31</v>
      </c>
      <c r="C12" s="198">
        <f>1885563.73+1097686.73</f>
        <v>2983250.46</v>
      </c>
      <c r="D12" s="270"/>
      <c r="E12" s="199">
        <f t="shared" si="0"/>
        <v>107914.35999999987</v>
      </c>
      <c r="F12" s="264">
        <v>2875336.1</v>
      </c>
      <c r="G12" s="196">
        <v>2875336.1</v>
      </c>
      <c r="H12" s="311">
        <v>1771439.4812479999</v>
      </c>
      <c r="I12" s="201">
        <f t="shared" si="1"/>
        <v>0</v>
      </c>
      <c r="J12" s="317"/>
    </row>
    <row r="13" spans="1:11" ht="11.1" customHeight="1" outlineLevel="1" x14ac:dyDescent="0.2">
      <c r="A13" s="197" t="s">
        <v>65</v>
      </c>
      <c r="B13" s="229" t="s">
        <v>34</v>
      </c>
      <c r="C13" s="198">
        <f>19943618.7+160449.44+113242.11</f>
        <v>20217310.25</v>
      </c>
      <c r="D13" s="114"/>
      <c r="E13" s="199">
        <f t="shared" si="0"/>
        <v>1629301.8999999985</v>
      </c>
      <c r="F13" s="271">
        <v>18588008.350000001</v>
      </c>
      <c r="G13" s="271">
        <v>18588008.350000001</v>
      </c>
      <c r="H13" s="311">
        <f>8536003.38+855746.96+33791.99</f>
        <v>9425542.3300000001</v>
      </c>
      <c r="I13" s="201">
        <f t="shared" si="1"/>
        <v>0</v>
      </c>
      <c r="J13" s="315"/>
    </row>
    <row r="14" spans="1:11" ht="10.9" customHeight="1" outlineLevel="1" x14ac:dyDescent="0.2">
      <c r="A14" s="197" t="s">
        <v>99</v>
      </c>
      <c r="B14" s="229" t="s">
        <v>51</v>
      </c>
      <c r="C14" s="198">
        <v>2631155.69</v>
      </c>
      <c r="D14" s="114"/>
      <c r="E14" s="199">
        <f t="shared" si="0"/>
        <v>997932.40999999992</v>
      </c>
      <c r="F14" s="271">
        <v>1633223.28</v>
      </c>
      <c r="G14" s="196">
        <v>1633223.28</v>
      </c>
      <c r="H14" s="311">
        <v>744704.84</v>
      </c>
      <c r="I14" s="201">
        <f t="shared" si="1"/>
        <v>0</v>
      </c>
      <c r="J14" s="315"/>
    </row>
    <row r="15" spans="1:11" ht="11.1" customHeight="1" outlineLevel="1" x14ac:dyDescent="0.2">
      <c r="A15" s="272" t="s">
        <v>100</v>
      </c>
      <c r="B15" s="229" t="s">
        <v>36</v>
      </c>
      <c r="C15" s="198">
        <v>394492.25</v>
      </c>
      <c r="D15" s="114"/>
      <c r="E15" s="199">
        <f t="shared" si="0"/>
        <v>8683.390000000014</v>
      </c>
      <c r="F15" s="271">
        <v>385808.86</v>
      </c>
      <c r="G15" s="196">
        <v>385808.86</v>
      </c>
      <c r="H15" s="199">
        <v>161223.17000000001</v>
      </c>
      <c r="I15" s="201">
        <f>F15-G15</f>
        <v>0</v>
      </c>
      <c r="J15" s="314"/>
    </row>
    <row r="16" spans="1:11" s="18" customFormat="1" ht="11.1" customHeight="1" outlineLevel="1" x14ac:dyDescent="0.2">
      <c r="A16" s="197" t="s">
        <v>55</v>
      </c>
      <c r="B16" s="229" t="s">
        <v>35</v>
      </c>
      <c r="C16" s="198">
        <f>17058166.67+253722.88</f>
        <v>17311889.550000001</v>
      </c>
      <c r="D16" s="270"/>
      <c r="E16" s="199">
        <f t="shared" si="0"/>
        <v>448721.23000000045</v>
      </c>
      <c r="F16" s="271">
        <f>16563217.76+253722.88+46227.68</f>
        <v>16863168.32</v>
      </c>
      <c r="G16" s="196">
        <v>16863168.32</v>
      </c>
      <c r="H16" s="311">
        <v>8512386.5500000007</v>
      </c>
      <c r="I16" s="201">
        <f t="shared" si="1"/>
        <v>0</v>
      </c>
      <c r="J16" s="317"/>
      <c r="K16" s="221"/>
    </row>
    <row r="17" spans="1:11" ht="10.9" customHeight="1" outlineLevel="1" x14ac:dyDescent="0.2">
      <c r="A17" s="272">
        <v>43698</v>
      </c>
      <c r="B17" s="229" t="s">
        <v>37</v>
      </c>
      <c r="C17" s="198">
        <v>25167</v>
      </c>
      <c r="D17" s="114"/>
      <c r="E17" s="199">
        <f t="shared" si="0"/>
        <v>339.7400000000016</v>
      </c>
      <c r="F17" s="271">
        <v>24827.26</v>
      </c>
      <c r="G17" s="196">
        <v>24827.26</v>
      </c>
      <c r="H17" s="311">
        <f>10093.78*1.2</f>
        <v>12112.536</v>
      </c>
      <c r="I17" s="201">
        <f t="shared" si="1"/>
        <v>0</v>
      </c>
      <c r="J17" s="314"/>
    </row>
    <row r="18" spans="1:11" ht="11.1" customHeight="1" outlineLevel="1" x14ac:dyDescent="0.2">
      <c r="A18" s="197" t="s">
        <v>66</v>
      </c>
      <c r="B18" s="229" t="s">
        <v>64</v>
      </c>
      <c r="C18" s="198">
        <f>23640043.76+296458.32+319337.83+1234725.01645</f>
        <v>25490564.926449999</v>
      </c>
      <c r="D18" s="114"/>
      <c r="E18" s="199">
        <f t="shared" si="0"/>
        <v>4758890.526449997</v>
      </c>
      <c r="F18" s="264">
        <f>16991923.89+132819+825639.67+876636.02+155556.19+280114.73+1468984.9</f>
        <v>20731674.400000002</v>
      </c>
      <c r="G18" s="196">
        <v>20731674.400000002</v>
      </c>
      <c r="H18" s="311">
        <f>8547196.81+146373.42+154774.33</f>
        <v>8848344.5600000005</v>
      </c>
      <c r="I18" s="201">
        <f>F18-G18</f>
        <v>0</v>
      </c>
      <c r="J18" s="314"/>
    </row>
    <row r="19" spans="1:11" ht="11.1" customHeight="1" outlineLevel="1" x14ac:dyDescent="0.2">
      <c r="A19" s="197" t="s">
        <v>57</v>
      </c>
      <c r="B19" s="229" t="s">
        <v>40</v>
      </c>
      <c r="C19" s="198">
        <v>331381.8</v>
      </c>
      <c r="D19" s="114"/>
      <c r="E19" s="199">
        <f t="shared" si="0"/>
        <v>187541.40999999997</v>
      </c>
      <c r="F19" s="198">
        <f>121269.6+22570.79</f>
        <v>143840.39000000001</v>
      </c>
      <c r="G19" s="196">
        <v>154512</v>
      </c>
      <c r="H19" s="311">
        <v>37269.599999999999</v>
      </c>
      <c r="I19" s="201">
        <f t="shared" si="1"/>
        <v>-10671.609999999986</v>
      </c>
      <c r="J19" s="315"/>
    </row>
    <row r="20" spans="1:11" ht="11.1" customHeight="1" outlineLevel="1" x14ac:dyDescent="0.2">
      <c r="A20" s="197" t="s">
        <v>114</v>
      </c>
      <c r="B20" s="229" t="s">
        <v>43</v>
      </c>
      <c r="C20" s="198">
        <v>239982.51</v>
      </c>
      <c r="D20" s="114"/>
      <c r="E20" s="199">
        <f t="shared" si="0"/>
        <v>12979.180000000022</v>
      </c>
      <c r="F20" s="198">
        <v>227003.33</v>
      </c>
      <c r="G20" s="196">
        <v>227003.33</v>
      </c>
      <c r="H20" s="199">
        <f>74917.48*1.2</f>
        <v>89900.975999999995</v>
      </c>
      <c r="I20" s="201">
        <f t="shared" si="1"/>
        <v>0</v>
      </c>
      <c r="J20" s="314"/>
    </row>
    <row r="21" spans="1:11" ht="11.1" customHeight="1" outlineLevel="1" x14ac:dyDescent="0.2">
      <c r="A21" s="197" t="s">
        <v>101</v>
      </c>
      <c r="B21" s="229" t="s">
        <v>44</v>
      </c>
      <c r="C21" s="198">
        <v>178306.2</v>
      </c>
      <c r="D21" s="114"/>
      <c r="E21" s="199">
        <f t="shared" si="0"/>
        <v>40454.69</v>
      </c>
      <c r="F21" s="198">
        <v>137851.51</v>
      </c>
      <c r="G21" s="196">
        <v>137851.51</v>
      </c>
      <c r="H21" s="199">
        <v>56870.424000000006</v>
      </c>
      <c r="I21" s="201">
        <f t="shared" si="1"/>
        <v>0</v>
      </c>
      <c r="J21" s="314"/>
    </row>
    <row r="22" spans="1:11" ht="10.9" customHeight="1" outlineLevel="1" x14ac:dyDescent="0.2">
      <c r="A22" s="197" t="s">
        <v>67</v>
      </c>
      <c r="B22" s="229" t="s">
        <v>53</v>
      </c>
      <c r="C22" s="198">
        <v>239221.29</v>
      </c>
      <c r="D22" s="114"/>
      <c r="E22" s="199">
        <f t="shared" si="0"/>
        <v>7214.2700000000186</v>
      </c>
      <c r="F22" s="271">
        <v>232007.02</v>
      </c>
      <c r="G22" s="196">
        <v>232007.02</v>
      </c>
      <c r="H22" s="311">
        <v>105439.53</v>
      </c>
      <c r="I22" s="201">
        <f t="shared" si="1"/>
        <v>0</v>
      </c>
      <c r="J22" s="314"/>
    </row>
    <row r="23" spans="1:11" s="209" customFormat="1" ht="11.1" customHeight="1" outlineLevel="1" x14ac:dyDescent="0.2">
      <c r="A23" s="197" t="s">
        <v>102</v>
      </c>
      <c r="B23" s="229" t="s">
        <v>47</v>
      </c>
      <c r="C23" s="198">
        <v>2168690.39</v>
      </c>
      <c r="D23" s="114"/>
      <c r="E23" s="199">
        <f t="shared" si="0"/>
        <v>66216.740000000224</v>
      </c>
      <c r="F23" s="271">
        <f>1380841.1+646895.34+74737.21</f>
        <v>2102473.65</v>
      </c>
      <c r="G23" s="196">
        <v>2102473.65</v>
      </c>
      <c r="H23" s="321">
        <f>1042266.606+22080.73+30229.64</f>
        <v>1094576.976</v>
      </c>
      <c r="I23" s="201">
        <f>F23-G23</f>
        <v>0</v>
      </c>
      <c r="J23" s="317"/>
    </row>
    <row r="24" spans="1:11" ht="10.9" customHeight="1" outlineLevel="1" x14ac:dyDescent="0.2">
      <c r="A24" s="197" t="s">
        <v>331</v>
      </c>
      <c r="B24" s="229" t="s">
        <v>62</v>
      </c>
      <c r="C24" s="198">
        <v>400375.26</v>
      </c>
      <c r="D24" s="114"/>
      <c r="E24" s="199">
        <f t="shared" si="0"/>
        <v>0</v>
      </c>
      <c r="F24" s="271">
        <v>400375.26</v>
      </c>
      <c r="G24" s="196">
        <v>400375.26</v>
      </c>
      <c r="H24" s="207">
        <v>158192.56</v>
      </c>
      <c r="I24" s="201">
        <f t="shared" si="1"/>
        <v>0</v>
      </c>
      <c r="J24" s="314"/>
    </row>
    <row r="25" spans="1:11" ht="10.9" customHeight="1" outlineLevel="1" x14ac:dyDescent="0.2">
      <c r="A25" s="197" t="s">
        <v>63</v>
      </c>
      <c r="B25" s="229" t="s">
        <v>52</v>
      </c>
      <c r="C25" s="198">
        <f>5203462.188+269744.33</f>
        <v>5473206.5180000002</v>
      </c>
      <c r="D25" s="114"/>
      <c r="E25" s="199">
        <f t="shared" si="0"/>
        <v>120240.82800000068</v>
      </c>
      <c r="F25" s="198">
        <f>565963.03+806115.71+1005299.74+2975587.21</f>
        <v>5352965.6899999995</v>
      </c>
      <c r="G25" s="227">
        <f>565963.03+806115.71+1005299.74+2975587.21</f>
        <v>5352965.6899999995</v>
      </c>
      <c r="H25" s="207">
        <f>448842.09+622714.56+459367.38+743293.73+2538052.53</f>
        <v>4812270.29</v>
      </c>
      <c r="I25" s="201">
        <f t="shared" si="1"/>
        <v>0</v>
      </c>
      <c r="J25" s="318"/>
      <c r="K25" s="17"/>
    </row>
    <row r="26" spans="1:11" ht="11.1" customHeight="1" outlineLevel="1" x14ac:dyDescent="0.2">
      <c r="A26" s="197" t="s">
        <v>68</v>
      </c>
      <c r="B26" s="229" t="s">
        <v>54</v>
      </c>
      <c r="C26" s="198">
        <f>3391668.28+1261754.78+2841127.52+124819.31</f>
        <v>7619369.8899999997</v>
      </c>
      <c r="D26" s="114"/>
      <c r="E26" s="199">
        <f t="shared" si="0"/>
        <v>-63376.800000000745</v>
      </c>
      <c r="F26" s="271">
        <f>2148289.33+898441.87+728841.58+507857.5+372534.36+102035.35+2858529.96+66216.74</f>
        <v>7682746.6900000004</v>
      </c>
      <c r="G26" s="196">
        <v>7682746.6900000004</v>
      </c>
      <c r="H26" s="311">
        <f>1106107.92+622153.6+405048.83+22744.93+1599206.37+35987.09</f>
        <v>3791248.74</v>
      </c>
      <c r="I26" s="201">
        <f>F26-G26</f>
        <v>0</v>
      </c>
      <c r="J26" s="201"/>
      <c r="K26" s="17"/>
    </row>
    <row r="27" spans="1:11" ht="11.1" customHeight="1" outlineLevel="1" x14ac:dyDescent="0.2">
      <c r="A27" s="197" t="s">
        <v>105</v>
      </c>
      <c r="B27" s="229" t="s">
        <v>60</v>
      </c>
      <c r="C27" s="198">
        <v>996696.23999999976</v>
      </c>
      <c r="D27" s="114"/>
      <c r="E27" s="199">
        <f t="shared" si="0"/>
        <v>69584.059999999707</v>
      </c>
      <c r="F27" s="198">
        <v>927112.18</v>
      </c>
      <c r="G27" s="196">
        <v>927112.18</v>
      </c>
      <c r="H27" s="207">
        <v>408307.26</v>
      </c>
      <c r="I27" s="201">
        <f t="shared" si="1"/>
        <v>0</v>
      </c>
      <c r="J27" s="317"/>
    </row>
    <row r="28" spans="1:11" ht="11.1" customHeight="1" outlineLevel="1" x14ac:dyDescent="0.2">
      <c r="A28" s="197" t="s">
        <v>104</v>
      </c>
      <c r="B28" s="229" t="s">
        <v>58</v>
      </c>
      <c r="C28" s="198">
        <v>9212758.1199999992</v>
      </c>
      <c r="D28" s="114"/>
      <c r="E28" s="199">
        <f t="shared" si="0"/>
        <v>-1513516.9600000009</v>
      </c>
      <c r="F28" s="271">
        <f>4554666.82+4575809.68+1595798.58</f>
        <v>10726275.08</v>
      </c>
      <c r="G28" s="196">
        <v>10726275.08</v>
      </c>
      <c r="H28" s="311">
        <f>2521855.72+3720858.28+543136.04</f>
        <v>6785850.04</v>
      </c>
      <c r="I28" s="201">
        <f>F28-G28</f>
        <v>0</v>
      </c>
      <c r="J28" s="314"/>
    </row>
    <row r="29" spans="1:11" ht="11.1" customHeight="1" outlineLevel="1" x14ac:dyDescent="0.2">
      <c r="A29" s="197" t="s">
        <v>140</v>
      </c>
      <c r="B29" s="229" t="s">
        <v>91</v>
      </c>
      <c r="C29" s="198">
        <v>217165.52658000001</v>
      </c>
      <c r="D29" s="114"/>
      <c r="E29" s="199">
        <f t="shared" si="0"/>
        <v>15278.886579999991</v>
      </c>
      <c r="F29" s="264">
        <v>201886.64</v>
      </c>
      <c r="G29" s="249">
        <v>201886.64</v>
      </c>
      <c r="H29" s="311"/>
      <c r="I29" s="201">
        <f t="shared" si="1"/>
        <v>0</v>
      </c>
      <c r="J29" s="201"/>
    </row>
    <row r="30" spans="1:11" ht="11.1" customHeight="1" outlineLevel="1" x14ac:dyDescent="0.2">
      <c r="A30" s="197" t="s">
        <v>120</v>
      </c>
      <c r="B30" s="229" t="s">
        <v>80</v>
      </c>
      <c r="C30" s="198">
        <v>317568.15999999997</v>
      </c>
      <c r="D30" s="114"/>
      <c r="E30" s="199">
        <f t="shared" si="0"/>
        <v>2630.5599999999977</v>
      </c>
      <c r="F30" s="271">
        <v>314937.59999999998</v>
      </c>
      <c r="G30" s="196">
        <v>314937.59999999998</v>
      </c>
      <c r="H30" s="311">
        <v>168100.55999999997</v>
      </c>
      <c r="I30" s="201">
        <f t="shared" si="1"/>
        <v>0</v>
      </c>
      <c r="J30" s="314"/>
    </row>
    <row r="31" spans="1:11" ht="11.1" customHeight="1" outlineLevel="1" x14ac:dyDescent="0.2">
      <c r="A31" s="197" t="s">
        <v>332</v>
      </c>
      <c r="B31" s="229" t="s">
        <v>122</v>
      </c>
      <c r="C31" s="198">
        <v>1859467.28</v>
      </c>
      <c r="D31" s="114"/>
      <c r="E31" s="199">
        <f t="shared" si="0"/>
        <v>0</v>
      </c>
      <c r="F31" s="198">
        <v>1859467.28</v>
      </c>
      <c r="G31" s="196">
        <v>1859467.28</v>
      </c>
      <c r="H31" s="311">
        <v>1676828.96</v>
      </c>
      <c r="I31" s="201">
        <f t="shared" si="1"/>
        <v>0</v>
      </c>
      <c r="J31" s="314"/>
    </row>
    <row r="32" spans="1:11" ht="11.1" customHeight="1" outlineLevel="1" x14ac:dyDescent="0.2">
      <c r="A32" s="197" t="s">
        <v>170</v>
      </c>
      <c r="B32" s="229" t="s">
        <v>171</v>
      </c>
      <c r="C32" s="198">
        <v>17254.439999999999</v>
      </c>
      <c r="D32" s="114"/>
      <c r="E32" s="199">
        <f t="shared" si="0"/>
        <v>0</v>
      </c>
      <c r="F32" s="198">
        <v>17254.439999999999</v>
      </c>
      <c r="G32" s="198">
        <v>17254.439999999999</v>
      </c>
      <c r="H32" s="207">
        <v>8790.31</v>
      </c>
      <c r="I32" s="201">
        <f t="shared" si="1"/>
        <v>0</v>
      </c>
      <c r="J32" s="314"/>
    </row>
    <row r="33" spans="1:10" ht="22.15" customHeight="1" outlineLevel="1" x14ac:dyDescent="0.2">
      <c r="A33" s="197" t="s">
        <v>221</v>
      </c>
      <c r="B33" s="229" t="s">
        <v>222</v>
      </c>
      <c r="C33" s="198">
        <v>182589.82</v>
      </c>
      <c r="D33" s="114"/>
      <c r="E33" s="199">
        <f t="shared" si="0"/>
        <v>264.80999999999767</v>
      </c>
      <c r="F33" s="198">
        <v>182325.01</v>
      </c>
      <c r="G33" s="198">
        <v>182325.01</v>
      </c>
      <c r="H33" s="207">
        <v>83521.84</v>
      </c>
      <c r="I33" s="201">
        <f t="shared" si="1"/>
        <v>0</v>
      </c>
      <c r="J33" s="314"/>
    </row>
    <row r="34" spans="1:10" ht="10.9" customHeight="1" outlineLevel="1" x14ac:dyDescent="0.2">
      <c r="A34" s="197" t="s">
        <v>217</v>
      </c>
      <c r="B34" s="229" t="s">
        <v>220</v>
      </c>
      <c r="C34" s="198">
        <v>101550.6</v>
      </c>
      <c r="D34" s="114"/>
      <c r="E34" s="199">
        <f t="shared" si="0"/>
        <v>42609.360000000008</v>
      </c>
      <c r="F34" s="198">
        <v>58941.24</v>
      </c>
      <c r="G34" s="198">
        <v>53047.12</v>
      </c>
      <c r="H34" s="207">
        <v>30635.62</v>
      </c>
      <c r="I34" s="201">
        <f t="shared" si="1"/>
        <v>5894.1199999999953</v>
      </c>
      <c r="J34" s="314"/>
    </row>
    <row r="35" spans="1:10" ht="22.15" customHeight="1" outlineLevel="1" x14ac:dyDescent="0.2">
      <c r="A35" s="197" t="s">
        <v>218</v>
      </c>
      <c r="B35" s="229" t="s">
        <v>219</v>
      </c>
      <c r="C35" s="198">
        <v>100681.68</v>
      </c>
      <c r="D35" s="114"/>
      <c r="E35" s="199">
        <f t="shared" si="0"/>
        <v>0</v>
      </c>
      <c r="F35" s="198">
        <v>100681.68</v>
      </c>
      <c r="G35" s="198">
        <v>90613.51</v>
      </c>
      <c r="H35" s="207">
        <v>23644.66</v>
      </c>
      <c r="I35" s="201">
        <f t="shared" si="1"/>
        <v>10068.169999999998</v>
      </c>
      <c r="J35" s="314"/>
    </row>
    <row r="36" spans="1:10" ht="22.15" customHeight="1" outlineLevel="1" x14ac:dyDescent="0.2">
      <c r="A36" s="197" t="s">
        <v>350</v>
      </c>
      <c r="B36" s="229" t="s">
        <v>351</v>
      </c>
      <c r="C36" s="198">
        <v>59182.07</v>
      </c>
      <c r="D36" s="114"/>
      <c r="E36" s="199">
        <f t="shared" si="0"/>
        <v>59182.07</v>
      </c>
      <c r="F36" s="198"/>
      <c r="G36" s="114"/>
      <c r="H36" s="207"/>
      <c r="I36" s="201"/>
      <c r="J36" s="314">
        <v>47109.05</v>
      </c>
    </row>
    <row r="37" spans="1:10" ht="12.95" customHeight="1" thickBot="1" x14ac:dyDescent="0.25">
      <c r="A37" s="67" t="s">
        <v>5</v>
      </c>
      <c r="B37" s="68"/>
      <c r="C37" s="69">
        <f t="shared" ref="C37:H37" si="2">C7</f>
        <v>120058714.79390422</v>
      </c>
      <c r="D37" s="70">
        <f t="shared" si="2"/>
        <v>0</v>
      </c>
      <c r="E37" s="71">
        <f t="shared" si="2"/>
        <v>7409604.4639042011</v>
      </c>
      <c r="F37" s="69">
        <f t="shared" si="2"/>
        <v>112649110.33000001</v>
      </c>
      <c r="G37" s="70">
        <f t="shared" si="2"/>
        <v>112643819.65000002</v>
      </c>
      <c r="H37" s="71">
        <f t="shared" si="2"/>
        <v>58383704.918448016</v>
      </c>
      <c r="I37" s="73">
        <f>F37-G37</f>
        <v>5290.6799999922514</v>
      </c>
      <c r="J37" s="73">
        <f>J7</f>
        <v>47109.05</v>
      </c>
    </row>
    <row r="38" spans="1:10" ht="12.95" customHeight="1" thickBot="1" x14ac:dyDescent="0.25">
      <c r="A38" s="19"/>
      <c r="B38" s="19"/>
      <c r="C38" s="235"/>
      <c r="D38" s="20"/>
      <c r="E38" s="236"/>
      <c r="F38" s="20"/>
      <c r="G38" s="20"/>
      <c r="H38" s="20"/>
      <c r="I38" s="20"/>
      <c r="J38" s="20"/>
    </row>
    <row r="39" spans="1:10" ht="13.5" thickBot="1" x14ac:dyDescent="0.25">
      <c r="A39" s="301" t="s">
        <v>23</v>
      </c>
      <c r="B39" s="305" t="s">
        <v>27</v>
      </c>
      <c r="C39" s="118">
        <f>C40</f>
        <v>161125545.17400002</v>
      </c>
      <c r="D39" s="119">
        <f>D40</f>
        <v>13808123.680000002</v>
      </c>
      <c r="E39" s="120">
        <f>SUM(E41:E81)</f>
        <v>41433201.994000003</v>
      </c>
      <c r="F39" s="118">
        <f>F40</f>
        <v>121193353.76000002</v>
      </c>
      <c r="G39" s="119">
        <f>G40</f>
        <v>122640369.09000003</v>
      </c>
      <c r="H39" s="120">
        <f>H40</f>
        <v>61755783.491999999</v>
      </c>
      <c r="I39" s="138">
        <f>I40</f>
        <v>-1347015.8099999931</v>
      </c>
      <c r="J39" s="138">
        <f>J40</f>
        <v>14988234.84</v>
      </c>
    </row>
    <row r="40" spans="1:10" ht="11.1" customHeight="1" x14ac:dyDescent="0.2">
      <c r="A40" s="302" t="s">
        <v>21</v>
      </c>
      <c r="B40" s="306"/>
      <c r="C40" s="81">
        <f t="shared" ref="C40:I40" si="3">SUM(C41:C86)</f>
        <v>161125545.17400002</v>
      </c>
      <c r="D40" s="80">
        <f t="shared" si="3"/>
        <v>13808123.680000002</v>
      </c>
      <c r="E40" s="82">
        <f t="shared" si="3"/>
        <v>41433201.994000003</v>
      </c>
      <c r="F40" s="81">
        <f t="shared" si="3"/>
        <v>121193353.76000002</v>
      </c>
      <c r="G40" s="80">
        <f t="shared" si="3"/>
        <v>122640369.09000003</v>
      </c>
      <c r="H40" s="82">
        <f t="shared" si="3"/>
        <v>61755783.491999999</v>
      </c>
      <c r="I40" s="139">
        <f t="shared" si="3"/>
        <v>-1347015.8099999931</v>
      </c>
      <c r="J40" s="139">
        <f>SUM(J41:J84)</f>
        <v>14988234.84</v>
      </c>
    </row>
    <row r="41" spans="1:10" ht="21" customHeight="1" outlineLevel="1" x14ac:dyDescent="0.2">
      <c r="A41" s="229" t="s">
        <v>69</v>
      </c>
      <c r="B41" s="307" t="s">
        <v>26</v>
      </c>
      <c r="C41" s="264">
        <v>1042102.87</v>
      </c>
      <c r="D41" s="265"/>
      <c r="E41" s="199">
        <f>C41+D41-F41</f>
        <v>43730.760000000009</v>
      </c>
      <c r="F41" s="264">
        <f>475123.63+523248.48</f>
        <v>998372.11</v>
      </c>
      <c r="G41" s="114">
        <v>998372.11</v>
      </c>
      <c r="H41" s="310">
        <v>0</v>
      </c>
      <c r="I41" s="201">
        <f t="shared" ref="I41:I59" si="4">F41-G41</f>
        <v>0</v>
      </c>
      <c r="J41" s="313"/>
    </row>
    <row r="42" spans="1:10" ht="11.1" customHeight="1" outlineLevel="1" x14ac:dyDescent="0.2">
      <c r="A42" s="229" t="s">
        <v>109</v>
      </c>
      <c r="B42" s="307" t="s">
        <v>30</v>
      </c>
      <c r="C42" s="198">
        <v>676438.59</v>
      </c>
      <c r="D42" s="114"/>
      <c r="E42" s="199">
        <f t="shared" ref="E42:E81" si="5">C42+D42-F42</f>
        <v>144238.67999999993</v>
      </c>
      <c r="F42" s="271">
        <f>333474.44+198725.47</f>
        <v>532199.91</v>
      </c>
      <c r="G42" s="273">
        <v>532199.91</v>
      </c>
      <c r="H42" s="310">
        <f>124883.81+81083.32</f>
        <v>205967.13</v>
      </c>
      <c r="I42" s="201">
        <f t="shared" si="4"/>
        <v>0</v>
      </c>
      <c r="J42" s="201"/>
    </row>
    <row r="43" spans="1:10" ht="11.1" customHeight="1" outlineLevel="1" x14ac:dyDescent="0.2">
      <c r="A43" s="229" t="s">
        <v>70</v>
      </c>
      <c r="B43" s="307" t="s">
        <v>33</v>
      </c>
      <c r="C43" s="198">
        <f>21794530.92*1.2</f>
        <v>26153437.104000002</v>
      </c>
      <c r="D43" s="114"/>
      <c r="E43" s="199">
        <f t="shared" si="5"/>
        <v>207415.52400000393</v>
      </c>
      <c r="F43" s="271">
        <f>4496269.03+5575095.35+11100884.24+4773772.96</f>
        <v>25946021.579999998</v>
      </c>
      <c r="G43" s="196">
        <v>25946021.579999998</v>
      </c>
      <c r="H43" s="311">
        <v>14541303.960000001</v>
      </c>
      <c r="I43" s="201">
        <f t="shared" si="4"/>
        <v>0</v>
      </c>
      <c r="J43" s="314"/>
    </row>
    <row r="44" spans="1:10" ht="11.1" customHeight="1" outlineLevel="1" x14ac:dyDescent="0.2">
      <c r="A44" s="229"/>
      <c r="B44" s="307" t="s">
        <v>268</v>
      </c>
      <c r="C44" s="198"/>
      <c r="D44" s="114"/>
      <c r="E44" s="199">
        <f t="shared" si="5"/>
        <v>-3738178.71</v>
      </c>
      <c r="F44" s="271">
        <v>3738178.71</v>
      </c>
      <c r="G44" s="234">
        <v>3738178.71</v>
      </c>
      <c r="H44" s="311"/>
      <c r="I44" s="201"/>
      <c r="J44" s="314"/>
    </row>
    <row r="45" spans="1:10" ht="11.1" customHeight="1" outlineLevel="1" x14ac:dyDescent="0.2">
      <c r="A45" s="229" t="s">
        <v>106</v>
      </c>
      <c r="B45" s="307" t="s">
        <v>46</v>
      </c>
      <c r="C45" s="198">
        <v>637574.74</v>
      </c>
      <c r="D45" s="114"/>
      <c r="E45" s="199">
        <f t="shared" si="5"/>
        <v>0</v>
      </c>
      <c r="F45" s="271">
        <v>637574.74</v>
      </c>
      <c r="G45" s="244">
        <v>637574.74</v>
      </c>
      <c r="H45" s="311">
        <v>252499.28</v>
      </c>
      <c r="I45" s="201">
        <f t="shared" si="4"/>
        <v>0</v>
      </c>
      <c r="J45" s="315"/>
    </row>
    <row r="46" spans="1:10" ht="10.9" customHeight="1" outlineLevel="1" x14ac:dyDescent="0.2">
      <c r="A46" s="229" t="s">
        <v>108</v>
      </c>
      <c r="B46" s="307" t="s">
        <v>49</v>
      </c>
      <c r="C46" s="198">
        <v>490494.44</v>
      </c>
      <c r="D46" s="114"/>
      <c r="E46" s="199">
        <f t="shared" si="5"/>
        <v>307674.02</v>
      </c>
      <c r="F46" s="271">
        <v>182820.42</v>
      </c>
      <c r="G46" s="271">
        <v>182820.42</v>
      </c>
      <c r="H46" s="207">
        <v>71742.62</v>
      </c>
      <c r="I46" s="201">
        <f t="shared" si="4"/>
        <v>0</v>
      </c>
      <c r="J46" s="316"/>
    </row>
    <row r="47" spans="1:10" ht="10.9" customHeight="1" outlineLevel="1" x14ac:dyDescent="0.2">
      <c r="A47" s="229"/>
      <c r="B47" s="307" t="s">
        <v>268</v>
      </c>
      <c r="C47" s="198"/>
      <c r="D47" s="114"/>
      <c r="E47" s="199">
        <f t="shared" si="5"/>
        <v>-13377.36</v>
      </c>
      <c r="F47" s="271">
        <v>13377.36</v>
      </c>
      <c r="G47" s="234">
        <v>13377.36</v>
      </c>
      <c r="H47" s="207"/>
      <c r="I47" s="201"/>
      <c r="J47" s="316"/>
    </row>
    <row r="48" spans="1:10" ht="11.1" customHeight="1" outlineLevel="1" x14ac:dyDescent="0.2">
      <c r="A48" s="229" t="s">
        <v>107</v>
      </c>
      <c r="B48" s="307" t="s">
        <v>50</v>
      </c>
      <c r="C48" s="198">
        <v>1142906.2</v>
      </c>
      <c r="D48" s="114"/>
      <c r="E48" s="199">
        <f t="shared" si="5"/>
        <v>333737.43999999994</v>
      </c>
      <c r="F48" s="271">
        <v>809168.76</v>
      </c>
      <c r="G48" s="196">
        <v>809168.76</v>
      </c>
      <c r="H48" s="311">
        <v>307976.95</v>
      </c>
      <c r="I48" s="201">
        <f t="shared" si="4"/>
        <v>0</v>
      </c>
      <c r="J48" s="317"/>
    </row>
    <row r="49" spans="1:12" ht="11.1" customHeight="1" outlineLevel="1" x14ac:dyDescent="0.2">
      <c r="A49" s="229" t="s">
        <v>71</v>
      </c>
      <c r="B49" s="307" t="s">
        <v>41</v>
      </c>
      <c r="C49" s="198">
        <v>8111519.6900000004</v>
      </c>
      <c r="D49" s="114"/>
      <c r="E49" s="199">
        <f t="shared" si="5"/>
        <v>40224.389999999665</v>
      </c>
      <c r="F49" s="271">
        <f>2258052.85+360399.01+2411183.2+184177.75+2223649.63+633832.86</f>
        <v>8071295.3000000007</v>
      </c>
      <c r="G49" s="196">
        <v>8071295.2999999998</v>
      </c>
      <c r="H49" s="311">
        <v>3795994.93</v>
      </c>
      <c r="I49" s="201">
        <f t="shared" si="4"/>
        <v>0</v>
      </c>
      <c r="J49" s="314"/>
      <c r="K49" s="17"/>
      <c r="L49" s="13"/>
    </row>
    <row r="50" spans="1:12" ht="11.1" customHeight="1" outlineLevel="1" x14ac:dyDescent="0.2">
      <c r="A50" s="229" t="s">
        <v>263</v>
      </c>
      <c r="B50" s="307" t="s">
        <v>42</v>
      </c>
      <c r="C50" s="198">
        <v>25258951.850000001</v>
      </c>
      <c r="D50" s="114"/>
      <c r="E50" s="199">
        <f t="shared" si="5"/>
        <v>-694516.09000000358</v>
      </c>
      <c r="F50" s="198">
        <f>13267028.16+4366072.86+2695959.83+2823574.87+778734.12+2022098.1</f>
        <v>25953467.940000005</v>
      </c>
      <c r="G50" s="196">
        <v>23358121.149999999</v>
      </c>
      <c r="H50" s="207">
        <v>15409058.33</v>
      </c>
      <c r="I50" s="201">
        <f t="shared" si="4"/>
        <v>2595346.7900000066</v>
      </c>
      <c r="J50" s="314">
        <v>879423.95</v>
      </c>
      <c r="K50" s="17"/>
      <c r="L50" s="17"/>
    </row>
    <row r="51" spans="1:12" ht="11.1" customHeight="1" outlineLevel="1" x14ac:dyDescent="0.2">
      <c r="A51" s="229" t="s">
        <v>160</v>
      </c>
      <c r="B51" s="307" t="s">
        <v>124</v>
      </c>
      <c r="C51" s="198">
        <v>1970826.35</v>
      </c>
      <c r="D51" s="114"/>
      <c r="E51" s="199">
        <f t="shared" si="5"/>
        <v>1600770.28</v>
      </c>
      <c r="F51" s="271">
        <v>370056.07</v>
      </c>
      <c r="G51" s="196">
        <v>800385.14</v>
      </c>
      <c r="H51" s="311">
        <v>171285.04</v>
      </c>
      <c r="I51" s="201">
        <f t="shared" si="4"/>
        <v>-430329.07</v>
      </c>
      <c r="J51" s="314">
        <v>1158928.02</v>
      </c>
      <c r="K51" s="17"/>
      <c r="L51" s="17"/>
    </row>
    <row r="52" spans="1:12" ht="23.45" customHeight="1" outlineLevel="1" x14ac:dyDescent="0.2">
      <c r="A52" s="229" t="s">
        <v>72</v>
      </c>
      <c r="B52" s="307" t="s">
        <v>59</v>
      </c>
      <c r="C52" s="198">
        <v>7385280.29</v>
      </c>
      <c r="D52" s="114"/>
      <c r="E52" s="199">
        <f t="shared" si="5"/>
        <v>0</v>
      </c>
      <c r="F52" s="271">
        <f>3533858.93+600150.47+1135018.84+866887.46+1249364.59</f>
        <v>7385280.29</v>
      </c>
      <c r="G52" s="196">
        <v>7406613.0800000001</v>
      </c>
      <c r="H52" s="311">
        <f>1836923.93+311964.09+585562.99+501516.36+670094.6</f>
        <v>3906061.9699999997</v>
      </c>
      <c r="I52" s="201">
        <f t="shared" si="4"/>
        <v>-21332.790000000037</v>
      </c>
      <c r="J52" s="314"/>
      <c r="K52" s="17"/>
      <c r="L52" s="17"/>
    </row>
    <row r="53" spans="1:12" ht="23.45" customHeight="1" outlineLevel="1" x14ac:dyDescent="0.2">
      <c r="A53" s="229" t="s">
        <v>203</v>
      </c>
      <c r="B53" s="307" t="s">
        <v>199</v>
      </c>
      <c r="C53" s="198">
        <v>213327.94</v>
      </c>
      <c r="D53" s="114"/>
      <c r="E53" s="199">
        <f t="shared" si="5"/>
        <v>0</v>
      </c>
      <c r="F53" s="312">
        <v>213327.94</v>
      </c>
      <c r="G53" s="244">
        <v>191995.15</v>
      </c>
      <c r="H53" s="311">
        <v>109469.14</v>
      </c>
      <c r="I53" s="201">
        <f t="shared" si="4"/>
        <v>21332.790000000008</v>
      </c>
      <c r="J53" s="314"/>
      <c r="K53" s="17"/>
      <c r="L53" s="17"/>
    </row>
    <row r="54" spans="1:12" ht="11.1" customHeight="1" outlineLevel="1" x14ac:dyDescent="0.2">
      <c r="A54" s="229" t="s">
        <v>158</v>
      </c>
      <c r="B54" s="307" t="s">
        <v>82</v>
      </c>
      <c r="C54" s="204">
        <v>1204914.53</v>
      </c>
      <c r="D54" s="206"/>
      <c r="E54" s="199">
        <f t="shared" si="5"/>
        <v>108953.57000000007</v>
      </c>
      <c r="F54" s="198">
        <f>709589.15+248532.25+137839.56</f>
        <v>1095960.96</v>
      </c>
      <c r="G54" s="196">
        <v>986364.86</v>
      </c>
      <c r="H54" s="311">
        <f>537442.01+188297.75+88477.38</f>
        <v>814217.14</v>
      </c>
      <c r="I54" s="201">
        <f t="shared" si="4"/>
        <v>109596.09999999998</v>
      </c>
      <c r="J54" s="314"/>
      <c r="K54" s="17"/>
      <c r="L54" s="17"/>
    </row>
    <row r="55" spans="1:12" ht="10.9" customHeight="1" outlineLevel="1" x14ac:dyDescent="0.2">
      <c r="A55" s="229" t="s">
        <v>225</v>
      </c>
      <c r="B55" s="307" t="s">
        <v>73</v>
      </c>
      <c r="C55" s="198">
        <v>476622.06</v>
      </c>
      <c r="D55" s="114"/>
      <c r="E55" s="199">
        <f t="shared" si="5"/>
        <v>128685.59999999998</v>
      </c>
      <c r="F55" s="271">
        <v>347936.46</v>
      </c>
      <c r="G55" s="196">
        <v>313142.81</v>
      </c>
      <c r="H55" s="311">
        <v>146689.68</v>
      </c>
      <c r="I55" s="201">
        <f t="shared" si="4"/>
        <v>34793.650000000023</v>
      </c>
      <c r="J55" s="318"/>
    </row>
    <row r="56" spans="1:12" ht="11.1" customHeight="1" outlineLevel="1" x14ac:dyDescent="0.2">
      <c r="A56" s="229" t="s">
        <v>110</v>
      </c>
      <c r="B56" s="307" t="s">
        <v>111</v>
      </c>
      <c r="C56" s="198">
        <v>603049.28</v>
      </c>
      <c r="D56" s="114"/>
      <c r="E56" s="199">
        <f t="shared" si="5"/>
        <v>18356.70000000007</v>
      </c>
      <c r="F56" s="198">
        <v>584692.57999999996</v>
      </c>
      <c r="G56" s="196">
        <v>584692.57999999996</v>
      </c>
      <c r="H56" s="207">
        <v>235053.432</v>
      </c>
      <c r="I56" s="201">
        <f t="shared" si="4"/>
        <v>0</v>
      </c>
      <c r="J56" s="314"/>
    </row>
    <row r="57" spans="1:12" ht="11.1" customHeight="1" outlineLevel="1" x14ac:dyDescent="0.2">
      <c r="A57" s="229" t="s">
        <v>125</v>
      </c>
      <c r="B57" s="307" t="s">
        <v>126</v>
      </c>
      <c r="C57" s="198">
        <v>1910798.78</v>
      </c>
      <c r="D57" s="114"/>
      <c r="E57" s="199">
        <f t="shared" si="5"/>
        <v>0</v>
      </c>
      <c r="F57" s="271">
        <v>1910798.78</v>
      </c>
      <c r="G57" s="196">
        <v>1728160.46</v>
      </c>
      <c r="H57" s="311">
        <v>1728160.46</v>
      </c>
      <c r="I57" s="201">
        <f>F57-G57</f>
        <v>182638.32000000007</v>
      </c>
      <c r="J57" s="314"/>
    </row>
    <row r="58" spans="1:12" ht="11.1" customHeight="1" outlineLevel="1" x14ac:dyDescent="0.2">
      <c r="A58" s="229" t="s">
        <v>127</v>
      </c>
      <c r="B58" s="307" t="s">
        <v>137</v>
      </c>
      <c r="C58" s="198">
        <v>2205824.36</v>
      </c>
      <c r="D58" s="114"/>
      <c r="E58" s="199">
        <f t="shared" si="5"/>
        <v>37874.409999999683</v>
      </c>
      <c r="F58" s="271">
        <f>1776853.94+391096.01</f>
        <v>2167949.9500000002</v>
      </c>
      <c r="G58" s="196">
        <v>2167949.9500000002</v>
      </c>
      <c r="H58" s="311">
        <v>1264313.1100000001</v>
      </c>
      <c r="I58" s="201">
        <f t="shared" si="4"/>
        <v>0</v>
      </c>
      <c r="J58" s="314"/>
    </row>
    <row r="59" spans="1:12" ht="11.1" customHeight="1" outlineLevel="1" x14ac:dyDescent="0.2">
      <c r="A59" s="229" t="s">
        <v>168</v>
      </c>
      <c r="B59" s="307" t="s">
        <v>135</v>
      </c>
      <c r="C59" s="198">
        <v>3440637.5</v>
      </c>
      <c r="D59" s="114"/>
      <c r="E59" s="199">
        <f t="shared" si="5"/>
        <v>779263.83000000007</v>
      </c>
      <c r="F59" s="271">
        <f>1349126.58+1312247.09</f>
        <v>2661373.67</v>
      </c>
      <c r="G59" s="196">
        <v>2395236.2999999998</v>
      </c>
      <c r="H59" s="311">
        <f>766753.69+846901.36</f>
        <v>1613655.0499999998</v>
      </c>
      <c r="I59" s="201">
        <f t="shared" si="4"/>
        <v>266137.37000000011</v>
      </c>
      <c r="J59" s="314"/>
    </row>
    <row r="60" spans="1:12" ht="25.15" customHeight="1" outlineLevel="1" x14ac:dyDescent="0.2">
      <c r="A60" s="229" t="s">
        <v>204</v>
      </c>
      <c r="B60" s="307" t="s">
        <v>141</v>
      </c>
      <c r="C60" s="198">
        <v>20999.94</v>
      </c>
      <c r="D60" s="114"/>
      <c r="E60" s="199">
        <f t="shared" si="5"/>
        <v>0.27999999999883585</v>
      </c>
      <c r="F60" s="198">
        <v>20999.66</v>
      </c>
      <c r="G60" s="227">
        <v>20999.66</v>
      </c>
      <c r="H60" s="311"/>
      <c r="I60" s="201">
        <f>F60-G60</f>
        <v>0</v>
      </c>
      <c r="J60" s="314"/>
    </row>
    <row r="61" spans="1:12" ht="23.45" customHeight="1" outlineLevel="1" x14ac:dyDescent="0.2">
      <c r="A61" s="229" t="s">
        <v>262</v>
      </c>
      <c r="B61" s="307" t="s">
        <v>144</v>
      </c>
      <c r="C61" s="198">
        <v>1013668.34</v>
      </c>
      <c r="D61" s="114"/>
      <c r="E61" s="199">
        <f t="shared" si="5"/>
        <v>16435.119999999995</v>
      </c>
      <c r="F61" s="198">
        <v>997233.22</v>
      </c>
      <c r="G61" s="227">
        <v>997233.22</v>
      </c>
      <c r="H61" s="311">
        <v>483237.06</v>
      </c>
      <c r="I61" s="201">
        <f t="shared" ref="I61:I79" si="6">F61-G61</f>
        <v>0</v>
      </c>
      <c r="J61" s="314"/>
    </row>
    <row r="62" spans="1:12" ht="16.149999999999999" customHeight="1" outlineLevel="1" x14ac:dyDescent="0.2">
      <c r="A62" s="229" t="s">
        <v>159</v>
      </c>
      <c r="B62" s="307" t="s">
        <v>145</v>
      </c>
      <c r="C62" s="198">
        <v>9210138.5500000007</v>
      </c>
      <c r="D62" s="114"/>
      <c r="E62" s="199">
        <f t="shared" si="5"/>
        <v>1084157.1200000001</v>
      </c>
      <c r="F62" s="198">
        <f>332362.06+4148963.35+3536734.82+107921.2</f>
        <v>8125981.4300000006</v>
      </c>
      <c r="G62" s="227">
        <v>8125981.4299999997</v>
      </c>
      <c r="H62" s="311">
        <f>22166.01+2334998.35+2342496.12+15316.98</f>
        <v>4714977.4600000009</v>
      </c>
      <c r="I62" s="201">
        <f t="shared" si="6"/>
        <v>0</v>
      </c>
      <c r="J62" s="314"/>
    </row>
    <row r="63" spans="1:12" ht="28.15" customHeight="1" outlineLevel="1" x14ac:dyDescent="0.2">
      <c r="A63" s="229" t="s">
        <v>146</v>
      </c>
      <c r="B63" s="307" t="s">
        <v>143</v>
      </c>
      <c r="C63" s="198">
        <v>81797.62</v>
      </c>
      <c r="D63" s="114"/>
      <c r="E63" s="199">
        <f t="shared" si="5"/>
        <v>0</v>
      </c>
      <c r="F63" s="198">
        <v>81797.62</v>
      </c>
      <c r="G63" s="227">
        <v>73617.86</v>
      </c>
      <c r="H63" s="311"/>
      <c r="I63" s="201">
        <f t="shared" si="6"/>
        <v>8179.7599999999948</v>
      </c>
      <c r="J63" s="314"/>
    </row>
    <row r="64" spans="1:12" ht="24.6" customHeight="1" outlineLevel="1" x14ac:dyDescent="0.2">
      <c r="A64" s="229" t="s">
        <v>201</v>
      </c>
      <c r="B64" s="307" t="s">
        <v>200</v>
      </c>
      <c r="C64" s="198">
        <v>15796015.98</v>
      </c>
      <c r="D64" s="114"/>
      <c r="E64" s="199">
        <f t="shared" si="5"/>
        <v>5897362.4700000007</v>
      </c>
      <c r="F64" s="198">
        <f>7195175.82+1186569.76+1516907.93</f>
        <v>9898653.5099999998</v>
      </c>
      <c r="G64" s="227">
        <v>8908788.1600000001</v>
      </c>
      <c r="H64" s="311">
        <f>531756.89+2749914+361831.12+947783.05</f>
        <v>4591285.0600000005</v>
      </c>
      <c r="I64" s="201">
        <f t="shared" si="6"/>
        <v>989865.34999999963</v>
      </c>
      <c r="J64" s="314">
        <f>2233392.8+618024.79</f>
        <v>2851417.59</v>
      </c>
    </row>
    <row r="65" spans="1:10" ht="22.15" customHeight="1" outlineLevel="1" x14ac:dyDescent="0.2">
      <c r="A65" s="229" t="s">
        <v>174</v>
      </c>
      <c r="B65" s="307" t="s">
        <v>169</v>
      </c>
      <c r="C65" s="198">
        <v>583710.88</v>
      </c>
      <c r="D65" s="114"/>
      <c r="E65" s="199">
        <f t="shared" si="5"/>
        <v>29794.239999999991</v>
      </c>
      <c r="F65" s="198">
        <v>553916.64</v>
      </c>
      <c r="G65" s="227">
        <v>498524.98</v>
      </c>
      <c r="H65" s="311"/>
      <c r="I65" s="201">
        <f>F65-G65</f>
        <v>55391.660000000033</v>
      </c>
      <c r="J65" s="314"/>
    </row>
    <row r="66" spans="1:10" ht="26.45" customHeight="1" outlineLevel="1" x14ac:dyDescent="0.2">
      <c r="A66" s="229" t="s">
        <v>175</v>
      </c>
      <c r="B66" s="307" t="s">
        <v>167</v>
      </c>
      <c r="C66" s="198">
        <v>11135855.1</v>
      </c>
      <c r="D66" s="114">
        <v>181495.58</v>
      </c>
      <c r="E66" s="199">
        <f t="shared" si="5"/>
        <v>0</v>
      </c>
      <c r="F66" s="198">
        <f>10927292.98+390057.7</f>
        <v>11317350.68</v>
      </c>
      <c r="G66" s="227">
        <v>10185615.619999999</v>
      </c>
      <c r="H66" s="311">
        <f>3722317.02+122910.34</f>
        <v>3845227.36</v>
      </c>
      <c r="I66" s="201">
        <f t="shared" si="6"/>
        <v>1131735.0600000005</v>
      </c>
      <c r="J66" s="314"/>
    </row>
    <row r="67" spans="1:10" ht="22.9" customHeight="1" outlineLevel="1" x14ac:dyDescent="0.2">
      <c r="A67" s="229" t="s">
        <v>252</v>
      </c>
      <c r="B67" s="308" t="s">
        <v>251</v>
      </c>
      <c r="C67" s="198">
        <v>367450.41</v>
      </c>
      <c r="D67" s="114"/>
      <c r="E67" s="199">
        <f t="shared" si="5"/>
        <v>367450.41</v>
      </c>
      <c r="F67" s="198"/>
      <c r="G67" s="227">
        <v>183725.2</v>
      </c>
      <c r="H67" s="311"/>
      <c r="I67" s="201">
        <f t="shared" si="6"/>
        <v>-183725.2</v>
      </c>
      <c r="J67" s="318">
        <v>403377.91999999998</v>
      </c>
    </row>
    <row r="68" spans="1:10" ht="22.9" customHeight="1" outlineLevel="1" x14ac:dyDescent="0.2">
      <c r="A68" s="229" t="s">
        <v>256</v>
      </c>
      <c r="B68" s="307" t="s">
        <v>228</v>
      </c>
      <c r="C68" s="198">
        <v>499287.37</v>
      </c>
      <c r="D68" s="114"/>
      <c r="E68" s="199">
        <f t="shared" si="5"/>
        <v>499287.37</v>
      </c>
      <c r="F68" s="198"/>
      <c r="G68" s="227">
        <v>249643.68</v>
      </c>
      <c r="H68" s="311"/>
      <c r="I68" s="201">
        <f t="shared" si="6"/>
        <v>-249643.68</v>
      </c>
      <c r="J68" s="314">
        <v>18285.310000000001</v>
      </c>
    </row>
    <row r="69" spans="1:10" ht="22.9" customHeight="1" outlineLevel="1" x14ac:dyDescent="0.2">
      <c r="A69" s="229" t="s">
        <v>254</v>
      </c>
      <c r="B69" s="307" t="s">
        <v>246</v>
      </c>
      <c r="C69" s="198">
        <v>2811923.63</v>
      </c>
      <c r="D69" s="114"/>
      <c r="E69" s="199">
        <f t="shared" si="5"/>
        <v>2811923.63</v>
      </c>
      <c r="F69" s="198"/>
      <c r="G69" s="227"/>
      <c r="H69" s="311"/>
      <c r="I69" s="201">
        <f t="shared" si="6"/>
        <v>0</v>
      </c>
      <c r="J69" s="314"/>
    </row>
    <row r="70" spans="1:10" ht="22.9" customHeight="1" outlineLevel="1" x14ac:dyDescent="0.2">
      <c r="A70" s="229" t="s">
        <v>257</v>
      </c>
      <c r="B70" s="307" t="s">
        <v>227</v>
      </c>
      <c r="C70" s="198">
        <v>61341.07</v>
      </c>
      <c r="D70" s="114"/>
      <c r="E70" s="199">
        <f t="shared" si="5"/>
        <v>61341.07</v>
      </c>
      <c r="F70" s="198"/>
      <c r="G70" s="227">
        <v>30670.54</v>
      </c>
      <c r="H70" s="311"/>
      <c r="I70" s="201">
        <f t="shared" si="6"/>
        <v>-30670.54</v>
      </c>
      <c r="J70" s="314">
        <v>27391.439999999999</v>
      </c>
    </row>
    <row r="71" spans="1:10" ht="22.9" customHeight="1" outlineLevel="1" x14ac:dyDescent="0.2">
      <c r="A71" s="229" t="s">
        <v>360</v>
      </c>
      <c r="B71" s="307" t="s">
        <v>229</v>
      </c>
      <c r="C71" s="198"/>
      <c r="D71" s="114">
        <v>638298.67000000004</v>
      </c>
      <c r="E71" s="199">
        <f t="shared" si="5"/>
        <v>638298.67000000004</v>
      </c>
      <c r="F71" s="198"/>
      <c r="G71" s="227"/>
      <c r="H71" s="311"/>
      <c r="I71" s="201">
        <f t="shared" si="6"/>
        <v>0</v>
      </c>
      <c r="J71" s="314"/>
    </row>
    <row r="72" spans="1:10" ht="22.9" customHeight="1" outlineLevel="1" x14ac:dyDescent="0.2">
      <c r="A72" s="229" t="s">
        <v>255</v>
      </c>
      <c r="B72" s="307" t="s">
        <v>249</v>
      </c>
      <c r="C72" s="198">
        <v>2945600.08</v>
      </c>
      <c r="D72" s="114"/>
      <c r="E72" s="199">
        <f t="shared" si="5"/>
        <v>2945600.08</v>
      </c>
      <c r="F72" s="198"/>
      <c r="G72" s="227"/>
      <c r="H72" s="311"/>
      <c r="I72" s="201">
        <f t="shared" si="6"/>
        <v>0</v>
      </c>
      <c r="J72" s="314"/>
    </row>
    <row r="73" spans="1:10" ht="22.9" customHeight="1" outlineLevel="1" x14ac:dyDescent="0.2">
      <c r="A73" s="229" t="s">
        <v>266</v>
      </c>
      <c r="B73" s="307" t="s">
        <v>247</v>
      </c>
      <c r="C73" s="198">
        <v>630970.66</v>
      </c>
      <c r="D73" s="114"/>
      <c r="E73" s="199">
        <f t="shared" si="5"/>
        <v>630970.66</v>
      </c>
      <c r="F73" s="198"/>
      <c r="G73" s="227"/>
      <c r="H73" s="311"/>
      <c r="I73" s="201">
        <f t="shared" si="6"/>
        <v>0</v>
      </c>
      <c r="J73" s="314"/>
    </row>
    <row r="74" spans="1:10" ht="22.9" customHeight="1" outlineLevel="1" x14ac:dyDescent="0.2">
      <c r="A74" s="229" t="s">
        <v>267</v>
      </c>
      <c r="B74" s="307" t="s">
        <v>248</v>
      </c>
      <c r="C74" s="198">
        <v>3383239.01</v>
      </c>
      <c r="D74" s="114"/>
      <c r="E74" s="199">
        <f t="shared" si="5"/>
        <v>3383239.01</v>
      </c>
      <c r="F74" s="198"/>
      <c r="G74" s="227"/>
      <c r="H74" s="311"/>
      <c r="I74" s="201">
        <f t="shared" si="6"/>
        <v>0</v>
      </c>
      <c r="J74" s="314"/>
    </row>
    <row r="75" spans="1:10" ht="22.9" customHeight="1" outlineLevel="1" x14ac:dyDescent="0.2">
      <c r="A75" s="229" t="s">
        <v>215</v>
      </c>
      <c r="B75" s="307" t="s">
        <v>216</v>
      </c>
      <c r="C75" s="198">
        <v>3775474.66</v>
      </c>
      <c r="D75" s="114">
        <v>460848.95</v>
      </c>
      <c r="E75" s="199">
        <f t="shared" si="5"/>
        <v>4236323.6100000003</v>
      </c>
      <c r="F75" s="198"/>
      <c r="G75" s="227">
        <v>1887737.33</v>
      </c>
      <c r="H75" s="311"/>
      <c r="I75" s="201">
        <f t="shared" si="6"/>
        <v>-1887737.33</v>
      </c>
      <c r="J75" s="314"/>
    </row>
    <row r="76" spans="1:10" ht="22.9" customHeight="1" outlineLevel="1" x14ac:dyDescent="0.2">
      <c r="A76" s="229" t="s">
        <v>206</v>
      </c>
      <c r="B76" s="307" t="s">
        <v>205</v>
      </c>
      <c r="C76" s="198">
        <v>459080.36</v>
      </c>
      <c r="D76" s="114"/>
      <c r="E76" s="199">
        <f t="shared" si="5"/>
        <v>146288.64999999997</v>
      </c>
      <c r="F76" s="198">
        <v>312791.71000000002</v>
      </c>
      <c r="G76" s="227">
        <v>281512.53999999998</v>
      </c>
      <c r="H76" s="311"/>
      <c r="I76" s="201">
        <f t="shared" si="6"/>
        <v>31279.170000000042</v>
      </c>
      <c r="J76" s="314"/>
    </row>
    <row r="77" spans="1:10" ht="22.9" customHeight="1" outlineLevel="1" x14ac:dyDescent="0.2">
      <c r="A77" s="229" t="s">
        <v>208</v>
      </c>
      <c r="B77" s="307" t="s">
        <v>207</v>
      </c>
      <c r="C77" s="198">
        <v>8805231.4900000002</v>
      </c>
      <c r="D77" s="114"/>
      <c r="E77" s="199">
        <f t="shared" si="5"/>
        <v>2540455.7300000004</v>
      </c>
      <c r="F77" s="198">
        <f>3831188.78+2433586.98</f>
        <v>6264775.7599999998</v>
      </c>
      <c r="G77" s="227">
        <v>5638298.1799999997</v>
      </c>
      <c r="H77" s="311">
        <f>923110.33+1190663.2+1433834.8</f>
        <v>3547608.33</v>
      </c>
      <c r="I77" s="201">
        <f t="shared" si="6"/>
        <v>626477.58000000007</v>
      </c>
      <c r="J77" s="314">
        <v>403949.77</v>
      </c>
    </row>
    <row r="78" spans="1:10" ht="22.9" customHeight="1" outlineLevel="1" x14ac:dyDescent="0.2">
      <c r="A78" s="229" t="s">
        <v>212</v>
      </c>
      <c r="B78" s="307" t="s">
        <v>211</v>
      </c>
      <c r="C78" s="198">
        <v>9546381.3699999992</v>
      </c>
      <c r="D78" s="114"/>
      <c r="E78" s="199">
        <f t="shared" si="5"/>
        <v>9546381.3699999992</v>
      </c>
      <c r="F78" s="287"/>
      <c r="G78" s="227">
        <v>4596350.8</v>
      </c>
      <c r="H78" s="311"/>
      <c r="I78" s="201">
        <f t="shared" si="6"/>
        <v>-4596350.8</v>
      </c>
      <c r="J78" s="314">
        <v>9245460.8399999999</v>
      </c>
    </row>
    <row r="79" spans="1:10" ht="22.9" customHeight="1" outlineLevel="1" x14ac:dyDescent="0.2">
      <c r="A79" s="229" t="s">
        <v>264</v>
      </c>
      <c r="B79" s="307" t="s">
        <v>226</v>
      </c>
      <c r="C79" s="198">
        <v>3263796.92</v>
      </c>
      <c r="D79" s="114"/>
      <c r="E79" s="199">
        <f t="shared" si="5"/>
        <v>3263796.92</v>
      </c>
      <c r="F79" s="198"/>
      <c r="G79" s="227"/>
      <c r="H79" s="311"/>
      <c r="I79" s="201">
        <f t="shared" si="6"/>
        <v>0</v>
      </c>
      <c r="J79" s="314"/>
    </row>
    <row r="80" spans="1:10" ht="22.9" customHeight="1" outlineLevel="1" x14ac:dyDescent="0.2">
      <c r="A80" s="229" t="s">
        <v>265</v>
      </c>
      <c r="B80" s="307" t="s">
        <v>245</v>
      </c>
      <c r="C80" s="198">
        <v>3608876.13</v>
      </c>
      <c r="D80" s="114"/>
      <c r="E80" s="199">
        <f t="shared" si="5"/>
        <v>3608876.13</v>
      </c>
      <c r="F80" s="198"/>
      <c r="G80" s="227"/>
      <c r="H80" s="311"/>
      <c r="I80" s="201"/>
      <c r="J80" s="314"/>
    </row>
    <row r="81" spans="1:10" ht="22.9" customHeight="1" outlineLevel="1" x14ac:dyDescent="0.2">
      <c r="A81" s="229"/>
      <c r="B81" s="307" t="s">
        <v>253</v>
      </c>
      <c r="C81" s="198"/>
      <c r="D81" s="114">
        <v>420366.41</v>
      </c>
      <c r="E81" s="199">
        <f t="shared" si="5"/>
        <v>420366.41</v>
      </c>
      <c r="F81" s="198"/>
      <c r="G81" s="227"/>
      <c r="H81" s="311"/>
      <c r="I81" s="201"/>
      <c r="J81" s="314"/>
    </row>
    <row r="82" spans="1:10" ht="22.9" customHeight="1" outlineLevel="1" x14ac:dyDescent="0.2">
      <c r="A82" s="229"/>
      <c r="B82" s="307" t="s">
        <v>349</v>
      </c>
      <c r="C82" s="198"/>
      <c r="D82" s="114">
        <v>886344.15</v>
      </c>
      <c r="E82" s="199"/>
      <c r="F82" s="198"/>
      <c r="G82" s="227"/>
      <c r="H82" s="311"/>
      <c r="I82" s="201"/>
      <c r="J82" s="314"/>
    </row>
    <row r="83" spans="1:10" ht="22.9" customHeight="1" outlineLevel="1" x14ac:dyDescent="0.2">
      <c r="A83" s="229"/>
      <c r="B83" s="307" t="s">
        <v>347</v>
      </c>
      <c r="C83" s="198"/>
      <c r="D83" s="114">
        <v>1262644.79</v>
      </c>
      <c r="E83" s="199"/>
      <c r="F83" s="198"/>
      <c r="G83" s="114"/>
      <c r="H83" s="311"/>
      <c r="I83" s="201"/>
      <c r="J83" s="314"/>
    </row>
    <row r="84" spans="1:10" ht="22.9" customHeight="1" outlineLevel="1" x14ac:dyDescent="0.2">
      <c r="A84" s="229"/>
      <c r="B84" s="307" t="s">
        <v>348</v>
      </c>
      <c r="C84" s="198"/>
      <c r="D84" s="114">
        <v>9714547</v>
      </c>
      <c r="E84" s="199"/>
      <c r="F84" s="198"/>
      <c r="G84" s="114"/>
      <c r="H84" s="311"/>
      <c r="I84" s="201"/>
      <c r="J84" s="314"/>
    </row>
    <row r="85" spans="1:10" ht="22.9" customHeight="1" outlineLevel="1" x14ac:dyDescent="0.2">
      <c r="A85" s="303" t="s">
        <v>357</v>
      </c>
      <c r="B85" s="307" t="s">
        <v>356</v>
      </c>
      <c r="C85" s="198">
        <v>199999.03</v>
      </c>
      <c r="D85" s="114"/>
      <c r="E85" s="199"/>
      <c r="F85" s="198"/>
      <c r="G85" s="114">
        <v>99999.52</v>
      </c>
      <c r="H85" s="311"/>
      <c r="I85" s="201"/>
      <c r="J85" s="314"/>
    </row>
    <row r="86" spans="1:10" ht="22.9" customHeight="1" outlineLevel="1" x14ac:dyDescent="0.2">
      <c r="A86" s="303" t="s">
        <v>359</v>
      </c>
      <c r="B86" s="307" t="s">
        <v>358</v>
      </c>
      <c r="C86" s="198"/>
      <c r="D86" s="114">
        <v>243578.13</v>
      </c>
      <c r="E86" s="199"/>
      <c r="F86" s="198"/>
      <c r="G86" s="114"/>
      <c r="H86" s="311"/>
      <c r="I86" s="201"/>
      <c r="J86" s="314"/>
    </row>
    <row r="87" spans="1:10" s="179" customFormat="1" ht="12.95" customHeight="1" thickBot="1" x14ac:dyDescent="0.25">
      <c r="A87" s="304" t="s">
        <v>5</v>
      </c>
      <c r="B87" s="309"/>
      <c r="C87" s="288">
        <f t="shared" ref="C87:H87" si="7">C39</f>
        <v>161125545.17400002</v>
      </c>
      <c r="D87" s="288">
        <f t="shared" si="7"/>
        <v>13808123.680000002</v>
      </c>
      <c r="E87" s="289">
        <f t="shared" si="7"/>
        <v>41433201.994000003</v>
      </c>
      <c r="F87" s="288">
        <f t="shared" si="7"/>
        <v>121193353.76000002</v>
      </c>
      <c r="G87" s="288">
        <f t="shared" si="7"/>
        <v>122640369.09000003</v>
      </c>
      <c r="H87" s="289">
        <f t="shared" si="7"/>
        <v>61755783.491999999</v>
      </c>
      <c r="I87" s="289">
        <f>F87-G87</f>
        <v>-1447015.3300000131</v>
      </c>
      <c r="J87" s="289">
        <f t="shared" ref="J87" si="8">J39</f>
        <v>14988234.84</v>
      </c>
    </row>
    <row r="88" spans="1:10" ht="12.95" customHeight="1" x14ac:dyDescent="0.2">
      <c r="A88" s="19"/>
      <c r="B88" s="19"/>
      <c r="C88" s="20"/>
      <c r="D88" s="20"/>
      <c r="E88" s="20"/>
      <c r="F88" s="20"/>
      <c r="G88" s="20"/>
      <c r="H88" s="20"/>
      <c r="I88" s="20"/>
      <c r="J88" s="20"/>
    </row>
    <row r="89" spans="1:10" ht="12.95" customHeight="1" x14ac:dyDescent="0.2">
      <c r="A89" s="19"/>
      <c r="B89" s="19"/>
      <c r="C89" s="20"/>
      <c r="D89" s="20"/>
      <c r="E89" s="20"/>
      <c r="F89" s="20"/>
      <c r="G89" s="20"/>
      <c r="H89" s="20"/>
      <c r="I89" s="20"/>
      <c r="J89" s="20"/>
    </row>
    <row r="90" spans="1:10" ht="12.95" customHeight="1" thickBot="1" x14ac:dyDescent="0.25">
      <c r="A90" s="19"/>
      <c r="B90" s="19"/>
      <c r="C90" s="20"/>
      <c r="D90" s="20"/>
      <c r="E90" s="20"/>
      <c r="F90" s="20"/>
      <c r="G90" s="20"/>
      <c r="H90" s="20"/>
      <c r="I90" s="20"/>
      <c r="J90" s="20"/>
    </row>
    <row r="91" spans="1:10" ht="15" x14ac:dyDescent="0.2">
      <c r="A91" s="323" t="s">
        <v>74</v>
      </c>
      <c r="B91" s="326" t="s">
        <v>75</v>
      </c>
      <c r="C91" s="118">
        <f t="shared" ref="C91:H91" si="9">C92</f>
        <v>42670285.509999998</v>
      </c>
      <c r="D91" s="119">
        <f t="shared" si="9"/>
        <v>268716.56</v>
      </c>
      <c r="E91" s="120">
        <f t="shared" si="9"/>
        <v>8168875.7999999989</v>
      </c>
      <c r="F91" s="138">
        <f t="shared" si="9"/>
        <v>34770126.270000003</v>
      </c>
      <c r="G91" s="144">
        <f t="shared" si="9"/>
        <v>33194480.819999997</v>
      </c>
      <c r="H91" s="119">
        <f t="shared" si="9"/>
        <v>3484413.2499999995</v>
      </c>
      <c r="I91" s="120">
        <f>SUBTOTAL(9,I92:I129)</f>
        <v>1575645.4500000067</v>
      </c>
      <c r="J91" s="144">
        <f>J92</f>
        <v>980361.01</v>
      </c>
    </row>
    <row r="92" spans="1:10" ht="11.1" customHeight="1" x14ac:dyDescent="0.2">
      <c r="A92" s="324" t="s">
        <v>79</v>
      </c>
      <c r="B92" s="306"/>
      <c r="C92" s="81">
        <f t="shared" ref="C92:H92" si="10">SUM(C93:C129)</f>
        <v>42670285.509999998</v>
      </c>
      <c r="D92" s="80">
        <f t="shared" si="10"/>
        <v>268716.56</v>
      </c>
      <c r="E92" s="82">
        <f t="shared" si="10"/>
        <v>8168875.7999999989</v>
      </c>
      <c r="F92" s="139">
        <f t="shared" si="10"/>
        <v>34770126.270000003</v>
      </c>
      <c r="G92" s="117">
        <f t="shared" si="10"/>
        <v>33194480.819999997</v>
      </c>
      <c r="H92" s="80">
        <f t="shared" si="10"/>
        <v>3484413.2499999995</v>
      </c>
      <c r="I92" s="82">
        <f>SUBTOTAL(9,I93:I129)</f>
        <v>1575645.4500000067</v>
      </c>
      <c r="J92" s="117">
        <f>SUM(J93:J129)</f>
        <v>980361.01</v>
      </c>
    </row>
    <row r="93" spans="1:10" ht="21" customHeight="1" outlineLevel="1" x14ac:dyDescent="0.2">
      <c r="A93" s="325" t="s">
        <v>269</v>
      </c>
      <c r="B93" s="307" t="s">
        <v>76</v>
      </c>
      <c r="C93" s="198">
        <v>3109389.51</v>
      </c>
      <c r="D93" s="265"/>
      <c r="E93" s="199">
        <f>C93+D93-F93</f>
        <v>0</v>
      </c>
      <c r="F93" s="313">
        <v>3109389.51</v>
      </c>
      <c r="G93" s="466">
        <f>32955375.33+239105.49</f>
        <v>33194480.819999997</v>
      </c>
      <c r="H93" s="247">
        <f>846076.97</f>
        <v>846076.97</v>
      </c>
      <c r="I93" s="468">
        <f>F130-G130</f>
        <v>1575645.4500000067</v>
      </c>
      <c r="J93" s="51"/>
    </row>
    <row r="94" spans="1:10" ht="10.9" customHeight="1" outlineLevel="1" x14ac:dyDescent="0.2">
      <c r="A94" s="325" t="s">
        <v>270</v>
      </c>
      <c r="B94" s="307" t="s">
        <v>77</v>
      </c>
      <c r="C94" s="198">
        <v>1499988.55</v>
      </c>
      <c r="D94" s="114"/>
      <c r="E94" s="199">
        <f t="shared" ref="E94:E129" si="11">C94+D94-F94</f>
        <v>-141554.67999999993</v>
      </c>
      <c r="F94" s="328">
        <f>1116153.47+525389.76</f>
        <v>1641543.23</v>
      </c>
      <c r="G94" s="467"/>
      <c r="H94" s="266">
        <v>693938</v>
      </c>
      <c r="I94" s="469"/>
      <c r="J94" s="248"/>
    </row>
    <row r="95" spans="1:10" ht="11.1" customHeight="1" outlineLevel="1" x14ac:dyDescent="0.2">
      <c r="A95" s="325" t="s">
        <v>271</v>
      </c>
      <c r="B95" s="307" t="s">
        <v>78</v>
      </c>
      <c r="C95" s="198">
        <v>16671436.199999999</v>
      </c>
      <c r="D95" s="114"/>
      <c r="E95" s="199">
        <f t="shared" si="11"/>
        <v>3364424.0399999991</v>
      </c>
      <c r="F95" s="328">
        <v>13307012.16</v>
      </c>
      <c r="G95" s="467"/>
      <c r="H95" s="266">
        <v>473991.35</v>
      </c>
      <c r="I95" s="469"/>
      <c r="J95" s="248">
        <f>784701.01+195660</f>
        <v>980361.01</v>
      </c>
    </row>
    <row r="96" spans="1:10" ht="11.1" customHeight="1" outlineLevel="1" x14ac:dyDescent="0.2">
      <c r="A96" s="325" t="s">
        <v>276</v>
      </c>
      <c r="B96" s="307" t="s">
        <v>279</v>
      </c>
      <c r="C96" s="198">
        <v>1652318.9</v>
      </c>
      <c r="D96" s="114"/>
      <c r="E96" s="199">
        <f t="shared" si="11"/>
        <v>-4166.7600000000093</v>
      </c>
      <c r="F96" s="201">
        <v>1656485.66</v>
      </c>
      <c r="G96" s="467"/>
      <c r="H96" s="247">
        <v>29091.82</v>
      </c>
      <c r="I96" s="469"/>
      <c r="J96" s="248"/>
    </row>
    <row r="97" spans="1:10" ht="11.1" customHeight="1" outlineLevel="1" x14ac:dyDescent="0.2">
      <c r="A97" s="325" t="s">
        <v>281</v>
      </c>
      <c r="B97" s="307" t="s">
        <v>280</v>
      </c>
      <c r="C97" s="198">
        <v>657618.81999999995</v>
      </c>
      <c r="D97" s="114"/>
      <c r="E97" s="199">
        <f t="shared" si="11"/>
        <v>9561.609999999986</v>
      </c>
      <c r="F97" s="201">
        <v>648057.21</v>
      </c>
      <c r="G97" s="467"/>
      <c r="H97" s="247">
        <v>10255.51</v>
      </c>
      <c r="I97" s="469"/>
      <c r="J97" s="248"/>
    </row>
    <row r="98" spans="1:10" ht="11.1" customHeight="1" outlineLevel="1" x14ac:dyDescent="0.2">
      <c r="A98" s="325" t="s">
        <v>282</v>
      </c>
      <c r="B98" s="307" t="s">
        <v>235</v>
      </c>
      <c r="C98" s="198">
        <v>44032.85</v>
      </c>
      <c r="D98" s="114"/>
      <c r="E98" s="199">
        <f t="shared" si="11"/>
        <v>0</v>
      </c>
      <c r="F98" s="201">
        <v>44032.85</v>
      </c>
      <c r="G98" s="467"/>
      <c r="H98" s="247">
        <v>801.21</v>
      </c>
      <c r="I98" s="469"/>
      <c r="J98" s="248"/>
    </row>
    <row r="99" spans="1:10" ht="9" customHeight="1" outlineLevel="1" x14ac:dyDescent="0.2">
      <c r="A99" s="325" t="s">
        <v>283</v>
      </c>
      <c r="B99" s="307" t="s">
        <v>147</v>
      </c>
      <c r="C99" s="198">
        <v>86439</v>
      </c>
      <c r="D99" s="114"/>
      <c r="E99" s="199">
        <f t="shared" si="11"/>
        <v>0</v>
      </c>
      <c r="F99" s="201">
        <v>86439</v>
      </c>
      <c r="G99" s="467"/>
      <c r="H99" s="266">
        <v>71994</v>
      </c>
      <c r="I99" s="469"/>
      <c r="J99" s="248"/>
    </row>
    <row r="100" spans="1:10" ht="11.1" customHeight="1" outlineLevel="1" x14ac:dyDescent="0.2">
      <c r="A100" s="325" t="s">
        <v>284</v>
      </c>
      <c r="B100" s="307" t="s">
        <v>136</v>
      </c>
      <c r="C100" s="198">
        <v>121272.74</v>
      </c>
      <c r="D100" s="114"/>
      <c r="E100" s="199">
        <f t="shared" si="11"/>
        <v>0</v>
      </c>
      <c r="F100" s="328">
        <v>121272.74</v>
      </c>
      <c r="G100" s="467"/>
      <c r="H100" s="266"/>
      <c r="I100" s="469"/>
      <c r="J100" s="248"/>
    </row>
    <row r="101" spans="1:10" ht="11.1" customHeight="1" outlineLevel="1" x14ac:dyDescent="0.2">
      <c r="A101" s="325" t="s">
        <v>286</v>
      </c>
      <c r="B101" s="307" t="s">
        <v>285</v>
      </c>
      <c r="C101" s="198">
        <v>811622.53</v>
      </c>
      <c r="D101" s="114"/>
      <c r="E101" s="199">
        <f t="shared" si="11"/>
        <v>36190.270000000019</v>
      </c>
      <c r="F101" s="201">
        <v>775432.26</v>
      </c>
      <c r="G101" s="467"/>
      <c r="H101" s="266">
        <v>24987.84</v>
      </c>
      <c r="I101" s="469"/>
      <c r="J101" s="248"/>
    </row>
    <row r="102" spans="1:10" ht="10.9" customHeight="1" outlineLevel="1" x14ac:dyDescent="0.2">
      <c r="A102" s="325" t="s">
        <v>287</v>
      </c>
      <c r="B102" s="307" t="s">
        <v>288</v>
      </c>
      <c r="C102" s="198">
        <v>149795.48000000001</v>
      </c>
      <c r="D102" s="114"/>
      <c r="E102" s="199">
        <f t="shared" si="11"/>
        <v>8965.0899999999965</v>
      </c>
      <c r="F102" s="201">
        <v>140830.39000000001</v>
      </c>
      <c r="G102" s="467"/>
      <c r="H102" s="247">
        <v>7440.1</v>
      </c>
      <c r="I102" s="469"/>
      <c r="J102" s="248"/>
    </row>
    <row r="103" spans="1:10" ht="10.9" customHeight="1" outlineLevel="1" x14ac:dyDescent="0.2">
      <c r="A103" s="325" t="s">
        <v>289</v>
      </c>
      <c r="B103" s="307" t="s">
        <v>92</v>
      </c>
      <c r="C103" s="198">
        <v>343636.2</v>
      </c>
      <c r="D103" s="114"/>
      <c r="E103" s="199">
        <f t="shared" si="11"/>
        <v>-16259</v>
      </c>
      <c r="F103" s="201">
        <f>336135.2+23760</f>
        <v>359895.2</v>
      </c>
      <c r="G103" s="467"/>
      <c r="H103" s="266">
        <v>50467.199999999997</v>
      </c>
      <c r="I103" s="469"/>
      <c r="J103" s="248"/>
    </row>
    <row r="104" spans="1:10" ht="10.9" customHeight="1" outlineLevel="1" x14ac:dyDescent="0.2">
      <c r="A104" s="325" t="s">
        <v>290</v>
      </c>
      <c r="B104" s="307" t="s">
        <v>162</v>
      </c>
      <c r="C104" s="198">
        <v>1121089.3600000001</v>
      </c>
      <c r="D104" s="114"/>
      <c r="E104" s="199">
        <f t="shared" si="11"/>
        <v>25393.489999999991</v>
      </c>
      <c r="F104" s="201">
        <f>568484.55+527211.32</f>
        <v>1095695.8700000001</v>
      </c>
      <c r="G104" s="467"/>
      <c r="H104" s="247">
        <f>233661.78+90571.72</f>
        <v>324233.5</v>
      </c>
      <c r="I104" s="469"/>
      <c r="J104" s="248"/>
    </row>
    <row r="105" spans="1:10" ht="11.1" customHeight="1" outlineLevel="1" x14ac:dyDescent="0.2">
      <c r="A105" s="325" t="s">
        <v>293</v>
      </c>
      <c r="B105" s="307" t="s">
        <v>116</v>
      </c>
      <c r="C105" s="198">
        <v>217333.15</v>
      </c>
      <c r="D105" s="114"/>
      <c r="E105" s="199">
        <f t="shared" si="11"/>
        <v>4263.429999999993</v>
      </c>
      <c r="F105" s="328">
        <v>213069.72</v>
      </c>
      <c r="G105" s="467"/>
      <c r="H105" s="266">
        <v>2295.41</v>
      </c>
      <c r="I105" s="469"/>
      <c r="J105" s="248"/>
    </row>
    <row r="106" spans="1:10" ht="10.9" customHeight="1" outlineLevel="1" x14ac:dyDescent="0.2">
      <c r="A106" s="325" t="s">
        <v>278</v>
      </c>
      <c r="B106" s="307" t="s">
        <v>117</v>
      </c>
      <c r="C106" s="198">
        <v>130593.60000000001</v>
      </c>
      <c r="D106" s="114"/>
      <c r="E106" s="199">
        <f t="shared" si="11"/>
        <v>72160</v>
      </c>
      <c r="F106" s="328">
        <v>58433.599999999999</v>
      </c>
      <c r="G106" s="467"/>
      <c r="H106" s="266">
        <v>387.83</v>
      </c>
      <c r="I106" s="469"/>
      <c r="J106" s="248"/>
    </row>
    <row r="107" spans="1:10" ht="21" customHeight="1" outlineLevel="1" x14ac:dyDescent="0.2">
      <c r="A107" s="325" t="s">
        <v>294</v>
      </c>
      <c r="B107" s="307" t="s">
        <v>118</v>
      </c>
      <c r="C107" s="198">
        <v>130752.96000000001</v>
      </c>
      <c r="D107" s="114"/>
      <c r="E107" s="199">
        <f t="shared" si="11"/>
        <v>-400.36000000000058</v>
      </c>
      <c r="F107" s="328">
        <f>73153.32+58000</f>
        <v>131153.32</v>
      </c>
      <c r="G107" s="467"/>
      <c r="H107" s="266">
        <v>981.27</v>
      </c>
      <c r="I107" s="469"/>
      <c r="J107" s="248"/>
    </row>
    <row r="108" spans="1:10" ht="21" customHeight="1" outlineLevel="1" x14ac:dyDescent="0.2">
      <c r="A108" s="325" t="s">
        <v>275</v>
      </c>
      <c r="B108" s="307" t="s">
        <v>119</v>
      </c>
      <c r="C108" s="198">
        <v>4978800</v>
      </c>
      <c r="D108" s="114"/>
      <c r="E108" s="199">
        <f t="shared" si="11"/>
        <v>326000</v>
      </c>
      <c r="F108" s="328">
        <v>4652800</v>
      </c>
      <c r="G108" s="467"/>
      <c r="H108" s="266"/>
      <c r="I108" s="469"/>
      <c r="J108" s="248"/>
    </row>
    <row r="109" spans="1:10" ht="15" customHeight="1" outlineLevel="1" x14ac:dyDescent="0.2">
      <c r="A109" s="325" t="s">
        <v>297</v>
      </c>
      <c r="B109" s="307" t="s">
        <v>185</v>
      </c>
      <c r="C109" s="198">
        <v>469681.82</v>
      </c>
      <c r="D109" s="114"/>
      <c r="E109" s="199">
        <f t="shared" si="11"/>
        <v>16396.820000000007</v>
      </c>
      <c r="F109" s="313">
        <v>453285</v>
      </c>
      <c r="G109" s="467"/>
      <c r="H109" s="266"/>
      <c r="I109" s="469"/>
      <c r="J109" s="248"/>
    </row>
    <row r="110" spans="1:10" ht="15" customHeight="1" outlineLevel="1" x14ac:dyDescent="0.2">
      <c r="A110" s="325" t="s">
        <v>298</v>
      </c>
      <c r="B110" s="307" t="s">
        <v>310</v>
      </c>
      <c r="C110" s="198">
        <v>335404.79999999999</v>
      </c>
      <c r="D110" s="114"/>
      <c r="E110" s="199">
        <f t="shared" si="11"/>
        <v>60740.010000000009</v>
      </c>
      <c r="F110" s="313">
        <v>274664.78999999998</v>
      </c>
      <c r="G110" s="467"/>
      <c r="H110" s="266"/>
      <c r="I110" s="469"/>
      <c r="J110" s="248"/>
    </row>
    <row r="111" spans="1:10" ht="15" customHeight="1" outlineLevel="1" x14ac:dyDescent="0.2">
      <c r="A111" s="325" t="s">
        <v>299</v>
      </c>
      <c r="B111" s="307" t="s">
        <v>163</v>
      </c>
      <c r="C111" s="198">
        <v>251425.79</v>
      </c>
      <c r="D111" s="114"/>
      <c r="E111" s="199">
        <f t="shared" si="11"/>
        <v>-64555.100000000006</v>
      </c>
      <c r="F111" s="201">
        <f>50460+31900+96490.49+137130.4</f>
        <v>315980.89</v>
      </c>
      <c r="G111" s="467"/>
      <c r="H111" s="266">
        <v>-4469.1099999999997</v>
      </c>
      <c r="I111" s="469"/>
      <c r="J111" s="248"/>
    </row>
    <row r="112" spans="1:10" ht="15" customHeight="1" outlineLevel="1" x14ac:dyDescent="0.2">
      <c r="A112" s="325" t="s">
        <v>295</v>
      </c>
      <c r="B112" s="307" t="s">
        <v>183</v>
      </c>
      <c r="C112" s="198">
        <v>47553.1</v>
      </c>
      <c r="D112" s="114"/>
      <c r="E112" s="199">
        <f t="shared" si="11"/>
        <v>23442.1</v>
      </c>
      <c r="F112" s="201">
        <v>24111</v>
      </c>
      <c r="G112" s="467"/>
      <c r="H112" s="266"/>
      <c r="I112" s="469"/>
      <c r="J112" s="248"/>
    </row>
    <row r="113" spans="1:10" ht="15" customHeight="1" outlineLevel="1" x14ac:dyDescent="0.2">
      <c r="A113" s="325" t="s">
        <v>273</v>
      </c>
      <c r="B113" s="307" t="s">
        <v>133</v>
      </c>
      <c r="C113" s="198">
        <v>5900339.3399999999</v>
      </c>
      <c r="D113" s="114"/>
      <c r="E113" s="199">
        <f t="shared" si="11"/>
        <v>2968125.2199999997</v>
      </c>
      <c r="F113" s="328">
        <v>2932214.12</v>
      </c>
      <c r="G113" s="467"/>
      <c r="H113" s="266">
        <v>943730.01</v>
      </c>
      <c r="I113" s="469"/>
      <c r="J113" s="254"/>
    </row>
    <row r="114" spans="1:10" ht="21" customHeight="1" outlineLevel="1" x14ac:dyDescent="0.2">
      <c r="A114" s="325" t="s">
        <v>300</v>
      </c>
      <c r="B114" s="307" t="s">
        <v>186</v>
      </c>
      <c r="C114" s="198">
        <v>145077.14000000001</v>
      </c>
      <c r="D114" s="114"/>
      <c r="E114" s="199">
        <f t="shared" si="11"/>
        <v>145077.14000000001</v>
      </c>
      <c r="F114" s="201"/>
      <c r="G114" s="467"/>
      <c r="H114" s="266"/>
      <c r="I114" s="469"/>
      <c r="J114" s="249"/>
    </row>
    <row r="115" spans="1:10" ht="21" customHeight="1" outlineLevel="1" x14ac:dyDescent="0.2">
      <c r="A115" s="325" t="s">
        <v>301</v>
      </c>
      <c r="B115" s="307" t="s">
        <v>187</v>
      </c>
      <c r="C115" s="198">
        <v>629656.5</v>
      </c>
      <c r="D115" s="114"/>
      <c r="E115" s="199">
        <f t="shared" si="11"/>
        <v>389568.8</v>
      </c>
      <c r="F115" s="201">
        <v>240087.7</v>
      </c>
      <c r="G115" s="467"/>
      <c r="H115" s="266"/>
      <c r="I115" s="469"/>
      <c r="J115" s="254"/>
    </row>
    <row r="116" spans="1:10" ht="21" customHeight="1" outlineLevel="1" x14ac:dyDescent="0.2">
      <c r="A116" s="325" t="s">
        <v>272</v>
      </c>
      <c r="B116" s="307" t="s">
        <v>134</v>
      </c>
      <c r="C116" s="198">
        <v>26941.41</v>
      </c>
      <c r="D116" s="114"/>
      <c r="E116" s="199">
        <f t="shared" si="11"/>
        <v>17310.21</v>
      </c>
      <c r="F116" s="201">
        <f>4567.2+5064</f>
        <v>9631.2000000000007</v>
      </c>
      <c r="G116" s="467"/>
      <c r="H116" s="266"/>
      <c r="I116" s="469"/>
      <c r="J116" s="249"/>
    </row>
    <row r="117" spans="1:10" ht="21" customHeight="1" outlineLevel="1" x14ac:dyDescent="0.2">
      <c r="A117" s="325" t="s">
        <v>292</v>
      </c>
      <c r="B117" s="307" t="s">
        <v>164</v>
      </c>
      <c r="C117" s="198">
        <v>870656.6</v>
      </c>
      <c r="D117" s="114"/>
      <c r="E117" s="199">
        <f t="shared" si="11"/>
        <v>43820.599999999977</v>
      </c>
      <c r="F117" s="328">
        <f>281554.77+545281.23</f>
        <v>826836</v>
      </c>
      <c r="G117" s="467"/>
      <c r="H117" s="266">
        <f>4213.77-4213.77</f>
        <v>0</v>
      </c>
      <c r="I117" s="469"/>
      <c r="J117" s="249"/>
    </row>
    <row r="118" spans="1:10" ht="21" customHeight="1" outlineLevel="1" x14ac:dyDescent="0.2">
      <c r="A118" s="325" t="s">
        <v>302</v>
      </c>
      <c r="B118" s="307" t="s">
        <v>165</v>
      </c>
      <c r="C118" s="198">
        <v>229294.8</v>
      </c>
      <c r="D118" s="198"/>
      <c r="E118" s="199">
        <f t="shared" si="11"/>
        <v>11221.859999999986</v>
      </c>
      <c r="F118" s="328">
        <v>218072.94</v>
      </c>
      <c r="G118" s="467"/>
      <c r="H118" s="266">
        <v>2775.94</v>
      </c>
      <c r="I118" s="469"/>
      <c r="J118" s="249"/>
    </row>
    <row r="119" spans="1:10" ht="21" customHeight="1" outlineLevel="1" x14ac:dyDescent="0.2">
      <c r="A119" s="325" t="s">
        <v>303</v>
      </c>
      <c r="B119" s="307" t="s">
        <v>176</v>
      </c>
      <c r="C119" s="198">
        <v>132369.81</v>
      </c>
      <c r="D119" s="114"/>
      <c r="E119" s="199">
        <f t="shared" si="11"/>
        <v>18059.209999999992</v>
      </c>
      <c r="F119" s="201">
        <v>114310.6</v>
      </c>
      <c r="G119" s="467"/>
      <c r="H119" s="247">
        <v>1555</v>
      </c>
      <c r="I119" s="469"/>
      <c r="J119" s="254"/>
    </row>
    <row r="120" spans="1:10" ht="21" customHeight="1" outlineLevel="1" x14ac:dyDescent="0.2">
      <c r="A120" s="325" t="s">
        <v>291</v>
      </c>
      <c r="B120" s="307" t="s">
        <v>184</v>
      </c>
      <c r="C120" s="198">
        <v>24898.51</v>
      </c>
      <c r="D120" s="114"/>
      <c r="E120" s="199">
        <f t="shared" si="11"/>
        <v>0</v>
      </c>
      <c r="F120" s="328">
        <v>24898.51</v>
      </c>
      <c r="G120" s="467"/>
      <c r="H120" s="266">
        <v>346.51</v>
      </c>
      <c r="I120" s="469"/>
      <c r="J120" s="249"/>
    </row>
    <row r="121" spans="1:10" ht="21" customHeight="1" outlineLevel="1" x14ac:dyDescent="0.2">
      <c r="A121" s="325" t="s">
        <v>274</v>
      </c>
      <c r="B121" s="307" t="s">
        <v>166</v>
      </c>
      <c r="C121" s="198">
        <v>1518890</v>
      </c>
      <c r="D121" s="114"/>
      <c r="E121" s="199">
        <f t="shared" si="11"/>
        <v>539108</v>
      </c>
      <c r="F121" s="328">
        <v>979782</v>
      </c>
      <c r="G121" s="467"/>
      <c r="H121" s="266"/>
      <c r="I121" s="469"/>
      <c r="J121" s="206"/>
    </row>
    <row r="122" spans="1:10" ht="21" customHeight="1" outlineLevel="1" x14ac:dyDescent="0.2">
      <c r="A122" s="325" t="s">
        <v>296</v>
      </c>
      <c r="B122" s="307" t="s">
        <v>172</v>
      </c>
      <c r="C122" s="198">
        <v>63719.46</v>
      </c>
      <c r="D122" s="114"/>
      <c r="E122" s="199">
        <f t="shared" si="11"/>
        <v>31945.53</v>
      </c>
      <c r="F122" s="201">
        <v>31773.93</v>
      </c>
      <c r="G122" s="467"/>
      <c r="H122" s="247">
        <v>499.28</v>
      </c>
      <c r="I122" s="469"/>
      <c r="J122" s="249"/>
    </row>
    <row r="123" spans="1:10" ht="21" customHeight="1" outlineLevel="1" x14ac:dyDescent="0.2">
      <c r="A123" s="325" t="s">
        <v>304</v>
      </c>
      <c r="B123" s="307" t="s">
        <v>242</v>
      </c>
      <c r="C123" s="198">
        <v>30819.22</v>
      </c>
      <c r="D123" s="114"/>
      <c r="E123" s="199">
        <f t="shared" si="11"/>
        <v>286.72000000000116</v>
      </c>
      <c r="F123" s="328">
        <v>30532.5</v>
      </c>
      <c r="G123" s="467"/>
      <c r="H123" s="266">
        <v>487.71</v>
      </c>
      <c r="I123" s="469"/>
      <c r="J123" s="249"/>
    </row>
    <row r="124" spans="1:10" ht="21" customHeight="1" outlineLevel="1" x14ac:dyDescent="0.2">
      <c r="A124" s="325" t="s">
        <v>277</v>
      </c>
      <c r="B124" s="307" t="s">
        <v>243</v>
      </c>
      <c r="C124" s="198">
        <v>130601.78</v>
      </c>
      <c r="D124" s="198"/>
      <c r="E124" s="199">
        <f t="shared" si="11"/>
        <v>0</v>
      </c>
      <c r="F124" s="328">
        <v>130601.78</v>
      </c>
      <c r="G124" s="467"/>
      <c r="H124" s="266"/>
      <c r="I124" s="469"/>
      <c r="J124" s="249"/>
    </row>
    <row r="125" spans="1:10" ht="21" customHeight="1" outlineLevel="1" x14ac:dyDescent="0.2">
      <c r="A125" s="325" t="s">
        <v>305</v>
      </c>
      <c r="B125" s="307" t="s">
        <v>244</v>
      </c>
      <c r="C125" s="198"/>
      <c r="D125" s="114">
        <v>77306.460000000006</v>
      </c>
      <c r="E125" s="199">
        <f t="shared" si="11"/>
        <v>77306.460000000006</v>
      </c>
      <c r="F125" s="328"/>
      <c r="G125" s="467"/>
      <c r="H125" s="266"/>
      <c r="I125" s="469"/>
      <c r="J125" s="249"/>
    </row>
    <row r="126" spans="1:10" ht="21" customHeight="1" outlineLevel="1" x14ac:dyDescent="0.2">
      <c r="A126" s="325" t="s">
        <v>307</v>
      </c>
      <c r="B126" s="307" t="s">
        <v>306</v>
      </c>
      <c r="C126" s="198"/>
      <c r="D126" s="114">
        <v>34199.599999999999</v>
      </c>
      <c r="E126" s="199">
        <f t="shared" si="11"/>
        <v>7156.7999999999993</v>
      </c>
      <c r="F126" s="328">
        <v>27042.799999999999</v>
      </c>
      <c r="G126" s="467"/>
      <c r="H126" s="266">
        <v>622.28</v>
      </c>
      <c r="I126" s="469"/>
      <c r="J126" s="249"/>
    </row>
    <row r="127" spans="1:10" ht="21" customHeight="1" outlineLevel="1" x14ac:dyDescent="0.2">
      <c r="A127" s="325" t="s">
        <v>308</v>
      </c>
      <c r="B127" s="307" t="s">
        <v>202</v>
      </c>
      <c r="C127" s="198">
        <v>136835.57999999999</v>
      </c>
      <c r="D127" s="114"/>
      <c r="E127" s="199">
        <f t="shared" si="11"/>
        <v>76456.289999999979</v>
      </c>
      <c r="F127" s="328">
        <v>60379.29</v>
      </c>
      <c r="G127" s="467"/>
      <c r="H127" s="266">
        <v>939.69</v>
      </c>
      <c r="I127" s="469"/>
      <c r="J127" s="249"/>
    </row>
    <row r="128" spans="1:10" ht="21" customHeight="1" outlineLevel="1" x14ac:dyDescent="0.2">
      <c r="A128" s="325" t="s">
        <v>309</v>
      </c>
      <c r="B128" s="307" t="s">
        <v>224</v>
      </c>
      <c r="C128" s="198"/>
      <c r="D128" s="114">
        <v>79904.039999999994</v>
      </c>
      <c r="E128" s="199">
        <f t="shared" si="11"/>
        <v>79904.039999999994</v>
      </c>
      <c r="F128" s="328"/>
      <c r="G128" s="467"/>
      <c r="H128" s="266"/>
      <c r="I128" s="469"/>
      <c r="J128" s="249"/>
    </row>
    <row r="129" spans="1:10" ht="21" customHeight="1" outlineLevel="1" x14ac:dyDescent="0.2">
      <c r="A129" s="325" t="s">
        <v>305</v>
      </c>
      <c r="B129" s="307" t="s">
        <v>321</v>
      </c>
      <c r="C129" s="198"/>
      <c r="D129" s="114">
        <v>77306.460000000006</v>
      </c>
      <c r="E129" s="199">
        <f t="shared" si="11"/>
        <v>42927.960000000006</v>
      </c>
      <c r="F129" s="328">
        <v>34378.5</v>
      </c>
      <c r="G129" s="467"/>
      <c r="H129" s="266">
        <v>983.93</v>
      </c>
      <c r="I129" s="469"/>
      <c r="J129" s="249"/>
    </row>
    <row r="130" spans="1:10" ht="12.95" customHeight="1" thickBot="1" x14ac:dyDescent="0.25">
      <c r="A130" s="67" t="s">
        <v>5</v>
      </c>
      <c r="B130" s="327"/>
      <c r="C130" s="257">
        <f>C92</f>
        <v>42670285.509999998</v>
      </c>
      <c r="D130" s="258">
        <f>D92</f>
        <v>268716.56</v>
      </c>
      <c r="E130" s="259">
        <f>E92</f>
        <v>8168875.7999999989</v>
      </c>
      <c r="F130" s="73">
        <f>F92</f>
        <v>34770126.270000003</v>
      </c>
      <c r="G130" s="261">
        <f>SUM(G93:G94)</f>
        <v>33194480.819999997</v>
      </c>
      <c r="H130" s="260">
        <f>H92</f>
        <v>3484413.2499999995</v>
      </c>
      <c r="I130" s="73">
        <f t="shared" ref="I130" si="12">F130-G130</f>
        <v>1575645.4500000067</v>
      </c>
      <c r="J130" s="261">
        <f>J92</f>
        <v>980361.01</v>
      </c>
    </row>
    <row r="131" spans="1:10" ht="10.9" customHeight="1" outlineLevel="1" thickBot="1" x14ac:dyDescent="0.25">
      <c r="A131" s="3"/>
      <c r="B131" s="16"/>
      <c r="C131" s="4"/>
      <c r="D131" s="15"/>
      <c r="E131" s="14"/>
      <c r="F131" s="11"/>
      <c r="G131" s="4"/>
      <c r="H131" s="14"/>
      <c r="I131" s="14"/>
      <c r="J131" s="14"/>
    </row>
    <row r="132" spans="1:10" ht="15" x14ac:dyDescent="0.2">
      <c r="A132" s="188" t="s">
        <v>93</v>
      </c>
      <c r="B132" s="189" t="s">
        <v>94</v>
      </c>
      <c r="C132" s="118">
        <f>C133</f>
        <v>16139791.880000001</v>
      </c>
      <c r="D132" s="119">
        <f>SUBTOTAL(9,D133:D139)</f>
        <v>0</v>
      </c>
      <c r="E132" s="120">
        <f t="shared" ref="E132:J132" si="13">E133</f>
        <v>2679873.81</v>
      </c>
      <c r="F132" s="118">
        <f t="shared" si="13"/>
        <v>13665393.840000002</v>
      </c>
      <c r="G132" s="119">
        <f t="shared" si="13"/>
        <v>14121719.620000001</v>
      </c>
      <c r="H132" s="119">
        <f t="shared" si="13"/>
        <v>2057344.814</v>
      </c>
      <c r="I132" s="120">
        <f t="shared" si="13"/>
        <v>-456325.7799999984</v>
      </c>
      <c r="J132" s="144">
        <f t="shared" si="13"/>
        <v>550930.59</v>
      </c>
    </row>
    <row r="133" spans="1:10" ht="11.1" customHeight="1" x14ac:dyDescent="0.2">
      <c r="A133" s="158"/>
      <c r="B133" s="115"/>
      <c r="C133" s="81">
        <f>SUM(C134:C142)</f>
        <v>16139791.880000001</v>
      </c>
      <c r="D133" s="80">
        <f>SUBTOTAL(9,D134:D143)</f>
        <v>205475.77</v>
      </c>
      <c r="E133" s="82">
        <f>SUM(E134:E143)</f>
        <v>2679873.81</v>
      </c>
      <c r="F133" s="82">
        <f>SUM(F134:F142)</f>
        <v>13665393.840000002</v>
      </c>
      <c r="G133" s="80">
        <f>SUM(G134:G143)</f>
        <v>14121719.620000001</v>
      </c>
      <c r="H133" s="80">
        <f>SUM(H134:H142)</f>
        <v>2057344.814</v>
      </c>
      <c r="I133" s="82">
        <f>SUM(I134:I143)</f>
        <v>-456325.7799999984</v>
      </c>
      <c r="J133" s="117">
        <f>SUM(J134:J143)</f>
        <v>550930.59</v>
      </c>
    </row>
    <row r="134" spans="1:10" ht="21" customHeight="1" outlineLevel="1" x14ac:dyDescent="0.2">
      <c r="A134" s="274" t="s">
        <v>312</v>
      </c>
      <c r="B134" s="229" t="s">
        <v>95</v>
      </c>
      <c r="C134" s="198">
        <f>9670800</f>
        <v>9670800</v>
      </c>
      <c r="D134" s="265"/>
      <c r="E134" s="199">
        <f>C134+D134-F134</f>
        <v>1048185.0199999996</v>
      </c>
      <c r="F134" s="275">
        <v>8622614.9800000004</v>
      </c>
      <c r="G134" s="196">
        <f>8737304.9+90794.62+21046.95</f>
        <v>8849146.4699999988</v>
      </c>
      <c r="H134" s="249">
        <v>615033.43999999994</v>
      </c>
      <c r="I134" s="201">
        <f t="shared" ref="I134:I144" si="14">F134-G134</f>
        <v>-226531.48999999836</v>
      </c>
      <c r="J134" s="268"/>
    </row>
    <row r="135" spans="1:10" ht="10.9" customHeight="1" outlineLevel="1" x14ac:dyDescent="0.2">
      <c r="A135" s="274" t="s">
        <v>311</v>
      </c>
      <c r="B135" s="229" t="s">
        <v>96</v>
      </c>
      <c r="C135" s="114">
        <v>131336.26</v>
      </c>
      <c r="D135" s="114"/>
      <c r="E135" s="199">
        <f t="shared" ref="E135:E143" si="15">C135+D135-F135</f>
        <v>20972.270000000004</v>
      </c>
      <c r="F135" s="276">
        <v>110363.99</v>
      </c>
      <c r="G135" s="196">
        <v>110363.99</v>
      </c>
      <c r="H135" s="277">
        <v>25245.624</v>
      </c>
      <c r="I135" s="201">
        <f t="shared" si="14"/>
        <v>0</v>
      </c>
      <c r="J135" s="249"/>
    </row>
    <row r="136" spans="1:10" ht="11.1" customHeight="1" outlineLevel="1" x14ac:dyDescent="0.2">
      <c r="A136" s="274" t="s">
        <v>313</v>
      </c>
      <c r="B136" s="229" t="s">
        <v>97</v>
      </c>
      <c r="C136" s="198">
        <v>3580210.24</v>
      </c>
      <c r="D136" s="114"/>
      <c r="E136" s="199">
        <f t="shared" si="15"/>
        <v>956203.5400000005</v>
      </c>
      <c r="F136" s="276">
        <f>2553091.67+70915.03</f>
        <v>2624006.6999999997</v>
      </c>
      <c r="G136" s="276">
        <f>2819344.8+34456.19</f>
        <v>2853800.9899999998</v>
      </c>
      <c r="H136" s="277">
        <v>1193452.4099999999</v>
      </c>
      <c r="I136" s="201">
        <f t="shared" si="14"/>
        <v>-229794.29000000004</v>
      </c>
      <c r="J136" s="206"/>
    </row>
    <row r="137" spans="1:10" ht="11.1" customHeight="1" outlineLevel="1" x14ac:dyDescent="0.2">
      <c r="A137" s="274" t="s">
        <v>317</v>
      </c>
      <c r="B137" s="229" t="s">
        <v>314</v>
      </c>
      <c r="C137" s="198">
        <v>1540968</v>
      </c>
      <c r="D137" s="114"/>
      <c r="E137" s="199">
        <f t="shared" si="15"/>
        <v>176383.44999999995</v>
      </c>
      <c r="F137" s="278">
        <v>1364584.55</v>
      </c>
      <c r="G137" s="206">
        <f>1281357.96+83226.59</f>
        <v>1364584.55</v>
      </c>
      <c r="H137" s="277">
        <v>28956.21</v>
      </c>
      <c r="I137" s="201">
        <f t="shared" si="14"/>
        <v>0</v>
      </c>
      <c r="J137" s="298">
        <f>176479.76</f>
        <v>176479.76</v>
      </c>
    </row>
    <row r="138" spans="1:10" ht="10.9" customHeight="1" outlineLevel="1" x14ac:dyDescent="0.2">
      <c r="A138" s="274" t="s">
        <v>316</v>
      </c>
      <c r="B138" s="229" t="s">
        <v>142</v>
      </c>
      <c r="C138" s="198">
        <v>234737.15</v>
      </c>
      <c r="D138" s="114"/>
      <c r="E138" s="199">
        <f t="shared" si="15"/>
        <v>234737.15</v>
      </c>
      <c r="F138" s="276"/>
      <c r="G138" s="279"/>
      <c r="H138" s="277"/>
      <c r="I138" s="201">
        <f t="shared" si="14"/>
        <v>0</v>
      </c>
      <c r="J138" s="298">
        <f>153387.29+15587.77</f>
        <v>168975.06</v>
      </c>
    </row>
    <row r="139" spans="1:10" ht="11.1" customHeight="1" outlineLevel="1" x14ac:dyDescent="0.2">
      <c r="A139" s="274" t="s">
        <v>318</v>
      </c>
      <c r="B139" s="229" t="s">
        <v>148</v>
      </c>
      <c r="C139" s="198">
        <v>414039.73</v>
      </c>
      <c r="D139" s="114"/>
      <c r="E139" s="199">
        <f t="shared" si="15"/>
        <v>37893.75</v>
      </c>
      <c r="F139" s="206">
        <v>376145.98</v>
      </c>
      <c r="G139" s="206">
        <v>376145.98</v>
      </c>
      <c r="H139" s="278">
        <v>77461.100000000006</v>
      </c>
      <c r="I139" s="201">
        <f t="shared" si="14"/>
        <v>0</v>
      </c>
      <c r="J139" s="249"/>
    </row>
    <row r="140" spans="1:10" ht="11.1" customHeight="1" outlineLevel="1" x14ac:dyDescent="0.2">
      <c r="A140" s="274" t="s">
        <v>315</v>
      </c>
      <c r="B140" s="229" t="s">
        <v>152</v>
      </c>
      <c r="C140" s="198">
        <v>281803.98</v>
      </c>
      <c r="D140" s="114"/>
      <c r="E140" s="199">
        <f t="shared" si="15"/>
        <v>0</v>
      </c>
      <c r="F140" s="114">
        <v>281803.98</v>
      </c>
      <c r="G140" s="114">
        <v>281803.98</v>
      </c>
      <c r="H140" s="278">
        <v>29999.95</v>
      </c>
      <c r="I140" s="201">
        <f t="shared" si="14"/>
        <v>0</v>
      </c>
      <c r="J140" s="198"/>
    </row>
    <row r="141" spans="1:10" ht="11.1" customHeight="1" outlineLevel="1" x14ac:dyDescent="0.2">
      <c r="A141" s="274" t="s">
        <v>319</v>
      </c>
      <c r="B141" s="229" t="s">
        <v>259</v>
      </c>
      <c r="C141" s="198">
        <v>173516.04</v>
      </c>
      <c r="D141" s="114"/>
      <c r="E141" s="199">
        <f t="shared" si="15"/>
        <v>22.860000000015134</v>
      </c>
      <c r="F141" s="114">
        <v>173493.18</v>
      </c>
      <c r="G141" s="114">
        <v>173493.18</v>
      </c>
      <c r="H141" s="278">
        <v>36929.769999999997</v>
      </c>
      <c r="I141" s="201">
        <f t="shared" si="14"/>
        <v>0</v>
      </c>
      <c r="J141" s="227"/>
    </row>
    <row r="142" spans="1:10" ht="11.1" customHeight="1" outlineLevel="1" x14ac:dyDescent="0.2">
      <c r="A142" s="274" t="s">
        <v>320</v>
      </c>
      <c r="B142" s="229" t="s">
        <v>260</v>
      </c>
      <c r="C142" s="198">
        <v>112380.48</v>
      </c>
      <c r="D142" s="114"/>
      <c r="E142" s="199">
        <f t="shared" si="15"/>
        <v>0</v>
      </c>
      <c r="F142" s="198">
        <v>112380.48</v>
      </c>
      <c r="G142" s="198">
        <v>112380.48</v>
      </c>
      <c r="H142" s="247">
        <v>50266.31</v>
      </c>
      <c r="I142" s="201">
        <f t="shared" si="14"/>
        <v>0</v>
      </c>
      <c r="J142" s="227"/>
    </row>
    <row r="143" spans="1:10" ht="11.1" customHeight="1" outlineLevel="1" thickBot="1" x14ac:dyDescent="0.25">
      <c r="A143" s="274" t="s">
        <v>329</v>
      </c>
      <c r="B143" s="229" t="s">
        <v>330</v>
      </c>
      <c r="C143" s="198"/>
      <c r="D143" s="114">
        <v>205475.77</v>
      </c>
      <c r="E143" s="199">
        <f t="shared" si="15"/>
        <v>205475.77</v>
      </c>
      <c r="F143" s="271"/>
      <c r="G143" s="196"/>
      <c r="H143" s="273"/>
      <c r="I143" s="201">
        <f t="shared" si="14"/>
        <v>0</v>
      </c>
      <c r="J143" s="298">
        <v>205475.77</v>
      </c>
    </row>
    <row r="144" spans="1:10" ht="12.95" customHeight="1" thickBot="1" x14ac:dyDescent="0.25">
      <c r="A144" s="132" t="s">
        <v>5</v>
      </c>
      <c r="B144" s="190"/>
      <c r="C144" s="165">
        <f t="shared" ref="C144:H144" si="16">C133</f>
        <v>16139791.880000001</v>
      </c>
      <c r="D144" s="161">
        <f t="shared" si="16"/>
        <v>205475.77</v>
      </c>
      <c r="E144" s="162">
        <f t="shared" si="16"/>
        <v>2679873.81</v>
      </c>
      <c r="F144" s="165">
        <f t="shared" si="16"/>
        <v>13665393.840000002</v>
      </c>
      <c r="G144" s="161">
        <f t="shared" si="16"/>
        <v>14121719.620000001</v>
      </c>
      <c r="H144" s="168">
        <f t="shared" si="16"/>
        <v>2057344.814</v>
      </c>
      <c r="I144" s="133">
        <f t="shared" si="14"/>
        <v>-456325.77999999933</v>
      </c>
      <c r="J144" s="164">
        <f>SUM(J134:J143)</f>
        <v>550930.59</v>
      </c>
    </row>
    <row r="145" spans="1:10" ht="11.45" customHeight="1" thickBot="1" x14ac:dyDescent="0.25"/>
    <row r="146" spans="1:10" ht="15" x14ac:dyDescent="0.2">
      <c r="A146" s="188" t="s">
        <v>129</v>
      </c>
      <c r="B146" s="189" t="s">
        <v>132</v>
      </c>
      <c r="C146" s="118">
        <f>C147</f>
        <v>21693907.23</v>
      </c>
      <c r="D146" s="119">
        <f>SUBTOTAL(9,D147:D150)</f>
        <v>0</v>
      </c>
      <c r="E146" s="120">
        <f t="shared" ref="E146:J146" si="17">E147</f>
        <v>2561296.5399999972</v>
      </c>
      <c r="F146" s="118">
        <f t="shared" si="17"/>
        <v>19132610.690000001</v>
      </c>
      <c r="G146" s="119">
        <f t="shared" si="17"/>
        <v>19409537.199999999</v>
      </c>
      <c r="H146" s="119">
        <f t="shared" si="17"/>
        <v>5962085.2599999998</v>
      </c>
      <c r="I146" s="120">
        <f t="shared" si="17"/>
        <v>-276926.50999999791</v>
      </c>
      <c r="J146" s="144">
        <f t="shared" si="17"/>
        <v>1411076.16</v>
      </c>
    </row>
    <row r="147" spans="1:10" ht="11.1" customHeight="1" x14ac:dyDescent="0.2">
      <c r="A147" s="158" t="s">
        <v>131</v>
      </c>
      <c r="B147" s="115"/>
      <c r="C147" s="81">
        <f>SUBTOTAL(9,C148:C151)</f>
        <v>21693907.23</v>
      </c>
      <c r="D147" s="80">
        <f>SUBTOTAL(9,D148:D151)</f>
        <v>0</v>
      </c>
      <c r="E147" s="82">
        <f>SUM(E148:E151)</f>
        <v>2561296.5399999972</v>
      </c>
      <c r="F147" s="81">
        <f>SUM(F148:F151)</f>
        <v>19132610.690000001</v>
      </c>
      <c r="G147" s="80">
        <f>SUM(G148:G150)</f>
        <v>19409537.199999999</v>
      </c>
      <c r="H147" s="80">
        <f>SUM(H148:H150)</f>
        <v>5962085.2599999998</v>
      </c>
      <c r="I147" s="82">
        <f>SUM(I148:I150)</f>
        <v>-276926.50999999791</v>
      </c>
      <c r="J147" s="117">
        <f>SUM(J148:J151)</f>
        <v>1411076.16</v>
      </c>
    </row>
    <row r="148" spans="1:10" ht="21" customHeight="1" outlineLevel="1" x14ac:dyDescent="0.2">
      <c r="A148" s="274" t="s">
        <v>15</v>
      </c>
      <c r="B148" s="229" t="s">
        <v>130</v>
      </c>
      <c r="C148" s="198">
        <f>20033409.22</f>
        <v>20033409.219999999</v>
      </c>
      <c r="D148" s="265"/>
      <c r="E148" s="199">
        <f>C148+D148-F148</f>
        <v>900798.52999999747</v>
      </c>
      <c r="F148" s="264">
        <v>19132610.690000001</v>
      </c>
      <c r="G148" s="196">
        <v>19409537.199999999</v>
      </c>
      <c r="H148" s="206">
        <v>5962085.2599999998</v>
      </c>
      <c r="I148" s="201">
        <f>F148-G148</f>
        <v>-276926.50999999791</v>
      </c>
      <c r="J148" s="248"/>
    </row>
    <row r="149" spans="1:10" ht="11.1" customHeight="1" outlineLevel="1" x14ac:dyDescent="0.2">
      <c r="A149" s="274" t="s">
        <v>322</v>
      </c>
      <c r="B149" s="229" t="s">
        <v>321</v>
      </c>
      <c r="C149" s="114">
        <v>1428098.17</v>
      </c>
      <c r="D149" s="114"/>
      <c r="E149" s="199">
        <f t="shared" ref="E149:E151" si="18">C149+D149-F149</f>
        <v>1428098.17</v>
      </c>
      <c r="F149" s="271"/>
      <c r="G149" s="196"/>
      <c r="H149" s="273"/>
      <c r="I149" s="201">
        <f t="shared" ref="I149:I152" si="19">F149-G149</f>
        <v>0</v>
      </c>
      <c r="J149" s="254">
        <v>1411076.16</v>
      </c>
    </row>
    <row r="150" spans="1:10" ht="11.1" customHeight="1" outlineLevel="1" x14ac:dyDescent="0.2">
      <c r="A150" s="274" t="s">
        <v>323</v>
      </c>
      <c r="B150" s="229" t="s">
        <v>321</v>
      </c>
      <c r="C150" s="198">
        <v>232399.84</v>
      </c>
      <c r="D150" s="114"/>
      <c r="E150" s="199">
        <f t="shared" si="18"/>
        <v>232399.84</v>
      </c>
      <c r="F150" s="271"/>
      <c r="G150" s="196"/>
      <c r="H150" s="273"/>
      <c r="I150" s="201">
        <f t="shared" si="19"/>
        <v>0</v>
      </c>
      <c r="J150" s="249"/>
    </row>
    <row r="151" spans="1:10" ht="11.1" customHeight="1" outlineLevel="1" thickBot="1" x14ac:dyDescent="0.25">
      <c r="A151" s="159"/>
      <c r="B151" s="46"/>
      <c r="C151" s="58"/>
      <c r="D151" s="114"/>
      <c r="E151" s="199">
        <f t="shared" si="18"/>
        <v>0</v>
      </c>
      <c r="F151" s="63"/>
      <c r="G151" s="44"/>
      <c r="H151" s="40"/>
      <c r="I151" s="78">
        <f t="shared" si="19"/>
        <v>0</v>
      </c>
      <c r="J151" s="61"/>
    </row>
    <row r="152" spans="1:10" ht="12.95" customHeight="1" thickBot="1" x14ac:dyDescent="0.25">
      <c r="A152" s="132" t="s">
        <v>5</v>
      </c>
      <c r="B152" s="190"/>
      <c r="C152" s="165">
        <f>C147</f>
        <v>21693907.23</v>
      </c>
      <c r="D152" s="161">
        <f>D147</f>
        <v>0</v>
      </c>
      <c r="E152" s="162">
        <f>E147</f>
        <v>2561296.5399999972</v>
      </c>
      <c r="F152" s="165">
        <f>F147</f>
        <v>19132610.690000001</v>
      </c>
      <c r="G152" s="161">
        <f>SUM(G148:G149)</f>
        <v>19409537.199999999</v>
      </c>
      <c r="H152" s="168">
        <f>H147</f>
        <v>5962085.2599999998</v>
      </c>
      <c r="I152" s="133">
        <f t="shared" si="19"/>
        <v>-276926.50999999791</v>
      </c>
      <c r="J152" s="164">
        <f>J147</f>
        <v>1411076.16</v>
      </c>
    </row>
    <row r="153" spans="1:10" ht="11.45" customHeight="1" x14ac:dyDescent="0.2">
      <c r="B153" s="9"/>
      <c r="I153" s="2"/>
    </row>
    <row r="154" spans="1:10" ht="11.45" customHeight="1" thickBot="1" x14ac:dyDescent="0.25">
      <c r="C154" s="2"/>
      <c r="G154" s="7"/>
      <c r="H154" s="7"/>
      <c r="I154" s="6"/>
      <c r="J154" s="290"/>
    </row>
    <row r="155" spans="1:10" ht="15" x14ac:dyDescent="0.2">
      <c r="A155" s="188" t="s">
        <v>232</v>
      </c>
      <c r="B155" s="189" t="s">
        <v>139</v>
      </c>
      <c r="C155" s="118">
        <f>SUBTOTAL(9,C156:C159)</f>
        <v>308801.87</v>
      </c>
      <c r="D155" s="119">
        <f>SUBTOTAL(9,D156:D159)</f>
        <v>0</v>
      </c>
      <c r="E155" s="120">
        <f>SUBTOTAL(9,E156:E158)</f>
        <v>1470.2300000000032</v>
      </c>
      <c r="F155" s="118">
        <f>SUBTOTAL(9,F156:F159)</f>
        <v>307331.64</v>
      </c>
      <c r="G155" s="119">
        <f>SUBTOTAL(9,G156:G159)</f>
        <v>307331.64000000246</v>
      </c>
      <c r="H155" s="119">
        <f>SUBTOTAL(9,H156:H158)</f>
        <v>1218.5999999999999</v>
      </c>
      <c r="I155" s="120">
        <f>SUBTOTAL(9,I156:I159)</f>
        <v>-2.459273673593998E-9</v>
      </c>
      <c r="J155" s="144">
        <f>SUBTOTAL(9,J156:J159)</f>
        <v>0</v>
      </c>
    </row>
    <row r="156" spans="1:10" ht="11.1" customHeight="1" x14ac:dyDescent="0.2">
      <c r="A156" s="158" t="s">
        <v>138</v>
      </c>
      <c r="B156" s="115"/>
      <c r="C156" s="81">
        <f>SUBTOTAL(9,C157:C159)</f>
        <v>308801.87</v>
      </c>
      <c r="D156" s="80">
        <f>SUBTOTAL(9,D157:D159)</f>
        <v>0</v>
      </c>
      <c r="E156" s="82">
        <f>SUBTOTAL(9,E157:E159)</f>
        <v>1470.2300000000032</v>
      </c>
      <c r="F156" s="81">
        <f>SUBTOTAL(9,F157:F159)</f>
        <v>307331.64</v>
      </c>
      <c r="G156" s="80">
        <f>SUBTOTAL(9,G157:G159)</f>
        <v>307331.64000000246</v>
      </c>
      <c r="H156" s="80">
        <f>SUBTOTAL(9,H157:H158)</f>
        <v>1218.5999999999999</v>
      </c>
      <c r="I156" s="82">
        <f>SUBTOTAL(9,I157:I159)</f>
        <v>-2.459273673593998E-9</v>
      </c>
      <c r="J156" s="117">
        <f>SUBTOTAL(9,J157:J159)</f>
        <v>0</v>
      </c>
    </row>
    <row r="157" spans="1:10" ht="21" customHeight="1" outlineLevel="1" x14ac:dyDescent="0.2">
      <c r="A157" s="274" t="s">
        <v>15</v>
      </c>
      <c r="B157" s="229" t="s">
        <v>233</v>
      </c>
      <c r="C157" s="198">
        <v>251687.22</v>
      </c>
      <c r="D157" s="265"/>
      <c r="E157" s="199">
        <f>C157+D157-F157</f>
        <v>0</v>
      </c>
      <c r="F157" s="196">
        <v>251687.22</v>
      </c>
      <c r="G157" s="196">
        <v>307331.64000000246</v>
      </c>
      <c r="H157" s="206"/>
      <c r="I157" s="201">
        <f t="shared" ref="I157:I158" si="20">F157-G157</f>
        <v>-55644.420000002458</v>
      </c>
      <c r="J157" s="248"/>
    </row>
    <row r="158" spans="1:10" ht="11.1" customHeight="1" outlineLevel="1" x14ac:dyDescent="0.2">
      <c r="A158" s="274"/>
      <c r="B158" s="229" t="s">
        <v>241</v>
      </c>
      <c r="C158" s="114">
        <v>57114.65</v>
      </c>
      <c r="D158" s="114"/>
      <c r="E158" s="199">
        <f t="shared" ref="E158:E159" si="21">C158+D158-F158</f>
        <v>1470.2300000000032</v>
      </c>
      <c r="F158" s="249">
        <v>55644.42</v>
      </c>
      <c r="G158" s="196"/>
      <c r="H158" s="267">
        <v>1218.5999999999999</v>
      </c>
      <c r="I158" s="201">
        <f t="shared" si="20"/>
        <v>55644.42</v>
      </c>
      <c r="J158" s="249"/>
    </row>
    <row r="159" spans="1:10" ht="11.1" customHeight="1" outlineLevel="1" thickBot="1" x14ac:dyDescent="0.25">
      <c r="A159" s="159"/>
      <c r="B159" s="46"/>
      <c r="C159" s="230"/>
      <c r="D159" s="114"/>
      <c r="E159" s="199">
        <f t="shared" si="21"/>
        <v>0</v>
      </c>
      <c r="F159" s="61"/>
      <c r="G159" s="44"/>
      <c r="H159" s="187"/>
      <c r="I159" s="78"/>
      <c r="J159" s="105"/>
    </row>
    <row r="160" spans="1:10" ht="12.95" customHeight="1" thickBot="1" x14ac:dyDescent="0.25">
      <c r="A160" s="132" t="s">
        <v>5</v>
      </c>
      <c r="B160" s="190"/>
      <c r="C160" s="133">
        <f>C156</f>
        <v>308801.87</v>
      </c>
      <c r="D160" s="164">
        <f>D156</f>
        <v>0</v>
      </c>
      <c r="E160" s="162">
        <f>E156</f>
        <v>1470.2300000000032</v>
      </c>
      <c r="F160" s="165">
        <f>SUM(F157:F159)</f>
        <v>307331.64</v>
      </c>
      <c r="G160" s="161">
        <f>SUM(G157:G158)</f>
        <v>307331.64000000246</v>
      </c>
      <c r="H160" s="168">
        <f>SUM(H157:H159)</f>
        <v>1218.5999999999999</v>
      </c>
      <c r="I160" s="168">
        <f>SUM(I157:I159)</f>
        <v>-2.459273673593998E-9</v>
      </c>
      <c r="J160" s="164">
        <f>SUM(J157:J159)</f>
        <v>0</v>
      </c>
    </row>
    <row r="161" spans="1:10" ht="11.45" customHeight="1" thickBot="1" x14ac:dyDescent="0.25">
      <c r="I161" s="8"/>
      <c r="J161" s="10"/>
    </row>
    <row r="162" spans="1:10" ht="15" x14ac:dyDescent="0.2">
      <c r="A162" s="188" t="s">
        <v>153</v>
      </c>
      <c r="B162" s="189" t="s">
        <v>353</v>
      </c>
      <c r="C162" s="118">
        <f>C163</f>
        <v>46306718.619999997</v>
      </c>
      <c r="D162" s="119">
        <f>D163</f>
        <v>26121388.9844</v>
      </c>
      <c r="E162" s="120">
        <f>E163</f>
        <v>50820790.284400001</v>
      </c>
      <c r="F162" s="118">
        <f>F163</f>
        <v>21607317.319999997</v>
      </c>
      <c r="G162" s="119">
        <f>SUBTOTAL(9,G163:G194)</f>
        <v>44654048</v>
      </c>
      <c r="H162" s="119">
        <f>H163</f>
        <v>6983310.540000001</v>
      </c>
      <c r="I162" s="120">
        <f>I163</f>
        <v>-23089898.93</v>
      </c>
      <c r="J162" s="144">
        <f>J163</f>
        <v>21904626.289999999</v>
      </c>
    </row>
    <row r="163" spans="1:10" ht="11.1" customHeight="1" x14ac:dyDescent="0.2">
      <c r="A163" s="158" t="s">
        <v>155</v>
      </c>
      <c r="B163" s="115"/>
      <c r="C163" s="81">
        <f>SUM(C164:C194)</f>
        <v>46306718.619999997</v>
      </c>
      <c r="D163" s="80">
        <f>SUM(D164:D195)</f>
        <v>26121388.9844</v>
      </c>
      <c r="E163" s="82">
        <f>SUM(E164:E195)</f>
        <v>50820790.284400001</v>
      </c>
      <c r="F163" s="81">
        <f>SUM(F164:F195)</f>
        <v>21607317.319999997</v>
      </c>
      <c r="G163" s="80">
        <f>SUBTOTAL(9,G164:G194)</f>
        <v>44654048</v>
      </c>
      <c r="H163" s="80">
        <f>SUM(H164:H195)</f>
        <v>6983310.540000001</v>
      </c>
      <c r="I163" s="82">
        <f>SUM(I164:I195)</f>
        <v>-23089898.93</v>
      </c>
      <c r="J163" s="117">
        <f>SUBTOTAL(9,J164:J195)</f>
        <v>21904626.289999999</v>
      </c>
    </row>
    <row r="164" spans="1:10" ht="21" customHeight="1" outlineLevel="1" x14ac:dyDescent="0.2">
      <c r="A164" s="274" t="s">
        <v>155</v>
      </c>
      <c r="B164" s="229" t="s">
        <v>156</v>
      </c>
      <c r="C164" s="198">
        <v>4085478</v>
      </c>
      <c r="D164" s="265"/>
      <c r="E164" s="199">
        <f>C164+D164-F164</f>
        <v>0</v>
      </c>
      <c r="F164" s="248">
        <f>240000+150000+1678000+1596278+421200</f>
        <v>4085478</v>
      </c>
      <c r="G164" s="196">
        <v>4085478</v>
      </c>
      <c r="H164" s="206"/>
      <c r="I164" s="201">
        <f t="shared" ref="I164:I195" si="22">F164-G164</f>
        <v>0</v>
      </c>
      <c r="J164" s="298">
        <f>150000+125000+1941000</f>
        <v>2216000</v>
      </c>
    </row>
    <row r="165" spans="1:10" ht="11.1" customHeight="1" outlineLevel="1" x14ac:dyDescent="0.2">
      <c r="A165" s="274" t="s">
        <v>157</v>
      </c>
      <c r="B165" s="229" t="s">
        <v>177</v>
      </c>
      <c r="C165" s="198">
        <v>6765740.9000000004</v>
      </c>
      <c r="D165" s="114"/>
      <c r="E165" s="199">
        <f t="shared" ref="E165:E194" si="23">C165+D165-F165</f>
        <v>-4438697.5599999987</v>
      </c>
      <c r="F165" s="271">
        <f>1334525.68+2958658.67+5083296.98+1804670.03+23287.1</f>
        <v>11204438.459999999</v>
      </c>
      <c r="G165" s="465">
        <v>40568570</v>
      </c>
      <c r="H165" s="273">
        <f>4567147.34+203065.04</f>
        <v>4770212.38</v>
      </c>
      <c r="I165" s="201">
        <f t="shared" si="22"/>
        <v>-29364131.539999999</v>
      </c>
      <c r="J165" s="249"/>
    </row>
    <row r="166" spans="1:10" ht="11.1" customHeight="1" outlineLevel="1" x14ac:dyDescent="0.2">
      <c r="A166" s="274"/>
      <c r="B166" s="229" t="s">
        <v>345</v>
      </c>
      <c r="C166" s="198">
        <v>7085035.4800000004</v>
      </c>
      <c r="D166" s="114"/>
      <c r="E166" s="199">
        <f t="shared" si="23"/>
        <v>7085035.4800000004</v>
      </c>
      <c r="F166" s="271"/>
      <c r="G166" s="465"/>
      <c r="H166" s="273"/>
      <c r="I166" s="201"/>
      <c r="J166" s="249"/>
    </row>
    <row r="167" spans="1:10" ht="11.1" customHeight="1" outlineLevel="1" x14ac:dyDescent="0.2">
      <c r="A167" s="274"/>
      <c r="B167" s="229" t="s">
        <v>344</v>
      </c>
      <c r="C167" s="198">
        <v>226858.5</v>
      </c>
      <c r="D167" s="114"/>
      <c r="E167" s="199">
        <f t="shared" si="23"/>
        <v>226858.5</v>
      </c>
      <c r="F167" s="271"/>
      <c r="G167" s="465"/>
      <c r="H167" s="273"/>
      <c r="I167" s="201"/>
      <c r="J167" s="249"/>
    </row>
    <row r="168" spans="1:10" ht="11.1" customHeight="1" outlineLevel="1" x14ac:dyDescent="0.2">
      <c r="A168" s="274"/>
      <c r="B168" s="229" t="s">
        <v>188</v>
      </c>
      <c r="C168" s="198">
        <v>6039692.2199999997</v>
      </c>
      <c r="D168" s="114"/>
      <c r="E168" s="199">
        <f t="shared" si="23"/>
        <v>4685047.76</v>
      </c>
      <c r="F168" s="271">
        <f>1285814.84+68829.62</f>
        <v>1354644.46</v>
      </c>
      <c r="G168" s="465"/>
      <c r="H168" s="273">
        <v>830584.79</v>
      </c>
      <c r="I168" s="201">
        <f t="shared" si="22"/>
        <v>1354644.46</v>
      </c>
      <c r="J168" s="249"/>
    </row>
    <row r="169" spans="1:10" ht="11.1" customHeight="1" outlineLevel="1" x14ac:dyDescent="0.2">
      <c r="A169" s="274"/>
      <c r="B169" s="229" t="s">
        <v>16</v>
      </c>
      <c r="C169" s="198">
        <v>653111.32999999996</v>
      </c>
      <c r="D169" s="114"/>
      <c r="E169" s="199">
        <f t="shared" si="23"/>
        <v>653111.32999999996</v>
      </c>
      <c r="F169" s="271"/>
      <c r="G169" s="465"/>
      <c r="H169" s="273"/>
      <c r="I169" s="201">
        <f t="shared" si="22"/>
        <v>0</v>
      </c>
      <c r="J169" s="249"/>
    </row>
    <row r="170" spans="1:10" ht="11.1" customHeight="1" outlineLevel="1" x14ac:dyDescent="0.2">
      <c r="A170" s="274"/>
      <c r="B170" s="229" t="s">
        <v>189</v>
      </c>
      <c r="C170" s="198">
        <v>2209713.37</v>
      </c>
      <c r="D170" s="114"/>
      <c r="E170" s="199">
        <f t="shared" si="23"/>
        <v>1161786.9300000002</v>
      </c>
      <c r="F170" s="271">
        <v>1047926.44</v>
      </c>
      <c r="G170" s="465"/>
      <c r="H170" s="273">
        <v>498530.36</v>
      </c>
      <c r="I170" s="201">
        <f t="shared" si="22"/>
        <v>1047926.44</v>
      </c>
      <c r="J170" s="249"/>
    </row>
    <row r="171" spans="1:10" ht="10.9" customHeight="1" outlineLevel="1" x14ac:dyDescent="0.2">
      <c r="A171" s="274"/>
      <c r="B171" s="229" t="s">
        <v>190</v>
      </c>
      <c r="C171" s="198">
        <v>3430340.59</v>
      </c>
      <c r="D171" s="114"/>
      <c r="E171" s="199">
        <f t="shared" si="23"/>
        <v>2814459.9499999997</v>
      </c>
      <c r="F171" s="271">
        <v>615880.64</v>
      </c>
      <c r="G171" s="465"/>
      <c r="H171" s="273">
        <v>18607.2</v>
      </c>
      <c r="I171" s="201">
        <f t="shared" si="22"/>
        <v>615880.64</v>
      </c>
      <c r="J171" s="248"/>
    </row>
    <row r="172" spans="1:10" ht="10.9" customHeight="1" outlineLevel="1" x14ac:dyDescent="0.2">
      <c r="A172" s="274"/>
      <c r="B172" s="229" t="s">
        <v>343</v>
      </c>
      <c r="C172" s="198">
        <v>103419.25</v>
      </c>
      <c r="D172" s="114"/>
      <c r="E172" s="199">
        <f t="shared" si="23"/>
        <v>103419.25</v>
      </c>
      <c r="F172" s="271"/>
      <c r="G172" s="465"/>
      <c r="H172" s="273"/>
      <c r="I172" s="201"/>
      <c r="J172" s="248"/>
    </row>
    <row r="173" spans="1:10" ht="10.9" customHeight="1" outlineLevel="1" x14ac:dyDescent="0.2">
      <c r="A173" s="274"/>
      <c r="B173" s="229" t="s">
        <v>342</v>
      </c>
      <c r="C173" s="198">
        <v>2186505.5499999998</v>
      </c>
      <c r="D173" s="114"/>
      <c r="E173" s="199">
        <f t="shared" si="23"/>
        <v>2186505.5499999998</v>
      </c>
      <c r="F173" s="271"/>
      <c r="G173" s="465"/>
      <c r="H173" s="273"/>
      <c r="I173" s="201"/>
      <c r="J173" s="248"/>
    </row>
    <row r="174" spans="1:10" ht="11.1" customHeight="1" outlineLevel="1" x14ac:dyDescent="0.2">
      <c r="A174" s="274"/>
      <c r="B174" s="229" t="s">
        <v>191</v>
      </c>
      <c r="C174" s="198">
        <v>247131.32</v>
      </c>
      <c r="D174" s="114"/>
      <c r="E174" s="199">
        <f t="shared" si="23"/>
        <v>14415.130000000005</v>
      </c>
      <c r="F174" s="271">
        <v>232716.19</v>
      </c>
      <c r="G174" s="465"/>
      <c r="H174" s="273">
        <v>146572.16</v>
      </c>
      <c r="I174" s="201">
        <f t="shared" si="22"/>
        <v>232716.19</v>
      </c>
      <c r="J174" s="249"/>
    </row>
    <row r="175" spans="1:10" ht="11.1" customHeight="1" outlineLevel="1" x14ac:dyDescent="0.2">
      <c r="A175" s="274"/>
      <c r="B175" s="229" t="s">
        <v>341</v>
      </c>
      <c r="C175" s="198"/>
      <c r="D175" s="114">
        <v>72511.06</v>
      </c>
      <c r="E175" s="199">
        <f t="shared" si="23"/>
        <v>72511.06</v>
      </c>
      <c r="F175" s="271"/>
      <c r="G175" s="465"/>
      <c r="H175" s="273"/>
      <c r="I175" s="201"/>
      <c r="J175" s="249"/>
    </row>
    <row r="176" spans="1:10" ht="11.1" customHeight="1" outlineLevel="1" x14ac:dyDescent="0.2">
      <c r="A176" s="274"/>
      <c r="B176" s="229" t="s">
        <v>339</v>
      </c>
      <c r="C176" s="198"/>
      <c r="D176" s="114">
        <v>524667.66</v>
      </c>
      <c r="E176" s="199">
        <f t="shared" si="23"/>
        <v>524667.66</v>
      </c>
      <c r="F176" s="271"/>
      <c r="G176" s="465"/>
      <c r="H176" s="273"/>
      <c r="I176" s="201"/>
      <c r="J176" s="249"/>
    </row>
    <row r="177" spans="1:10" ht="11.1" customHeight="1" outlineLevel="1" x14ac:dyDescent="0.2">
      <c r="A177" s="274"/>
      <c r="B177" s="229" t="s">
        <v>192</v>
      </c>
      <c r="C177" s="198">
        <v>455332.55</v>
      </c>
      <c r="D177" s="114"/>
      <c r="E177" s="199">
        <f t="shared" si="23"/>
        <v>455332.55</v>
      </c>
      <c r="F177" s="271"/>
      <c r="G177" s="465"/>
      <c r="H177" s="273"/>
      <c r="I177" s="201">
        <f t="shared" si="22"/>
        <v>0</v>
      </c>
      <c r="J177" s="249"/>
    </row>
    <row r="178" spans="1:10" ht="11.1" customHeight="1" outlineLevel="1" x14ac:dyDescent="0.2">
      <c r="A178" s="274"/>
      <c r="B178" s="229" t="s">
        <v>338</v>
      </c>
      <c r="C178" s="198">
        <v>2193111.12</v>
      </c>
      <c r="D178" s="114"/>
      <c r="E178" s="199">
        <f t="shared" si="23"/>
        <v>2193111.12</v>
      </c>
      <c r="F178" s="271"/>
      <c r="G178" s="465"/>
      <c r="H178" s="273"/>
      <c r="I178" s="201"/>
      <c r="J178" s="249"/>
    </row>
    <row r="179" spans="1:10" ht="11.1" customHeight="1" outlineLevel="1" x14ac:dyDescent="0.2">
      <c r="A179" s="274"/>
      <c r="B179" s="229" t="s">
        <v>193</v>
      </c>
      <c r="C179" s="198">
        <v>4232480.47</v>
      </c>
      <c r="D179" s="243"/>
      <c r="E179" s="199">
        <f t="shared" si="23"/>
        <v>4232480.47</v>
      </c>
      <c r="F179" s="271"/>
      <c r="G179" s="465"/>
      <c r="H179" s="273"/>
      <c r="I179" s="201">
        <f t="shared" si="22"/>
        <v>0</v>
      </c>
      <c r="J179" s="249"/>
    </row>
    <row r="180" spans="1:10" ht="11.1" customHeight="1" outlineLevel="1" x14ac:dyDescent="0.2">
      <c r="A180" s="274"/>
      <c r="B180" s="229" t="s">
        <v>194</v>
      </c>
      <c r="C180" s="198">
        <v>338586.05</v>
      </c>
      <c r="D180" s="243"/>
      <c r="E180" s="199">
        <f t="shared" si="23"/>
        <v>338586.05</v>
      </c>
      <c r="F180" s="271"/>
      <c r="G180" s="465"/>
      <c r="H180" s="273"/>
      <c r="I180" s="201">
        <f t="shared" si="22"/>
        <v>0</v>
      </c>
      <c r="J180" s="249"/>
    </row>
    <row r="181" spans="1:10" ht="11.1" customHeight="1" outlineLevel="1" x14ac:dyDescent="0.2">
      <c r="A181" s="274"/>
      <c r="B181" s="229" t="s">
        <v>340</v>
      </c>
      <c r="C181" s="198">
        <v>416536.29</v>
      </c>
      <c r="D181" s="243"/>
      <c r="E181" s="199">
        <f t="shared" si="23"/>
        <v>416536.29</v>
      </c>
      <c r="F181" s="271"/>
      <c r="G181" s="465"/>
      <c r="H181" s="273"/>
      <c r="I181" s="201">
        <f t="shared" si="22"/>
        <v>0</v>
      </c>
      <c r="J181" s="249"/>
    </row>
    <row r="182" spans="1:10" ht="11.1" customHeight="1" outlineLevel="1" x14ac:dyDescent="0.2">
      <c r="A182" s="274"/>
      <c r="B182" s="229" t="s">
        <v>196</v>
      </c>
      <c r="C182" s="198">
        <v>2887276.31</v>
      </c>
      <c r="D182" s="114"/>
      <c r="E182" s="199">
        <f t="shared" si="23"/>
        <v>291350.34000000032</v>
      </c>
      <c r="F182" s="271">
        <f>52621.76+2327536.01+215768.2</f>
        <v>2595925.9699999997</v>
      </c>
      <c r="G182" s="465"/>
      <c r="H182" s="273">
        <v>579745.61</v>
      </c>
      <c r="I182" s="201">
        <f t="shared" si="22"/>
        <v>2595925.9699999997</v>
      </c>
      <c r="J182" s="248"/>
    </row>
    <row r="183" spans="1:10" ht="11.1" customHeight="1" outlineLevel="1" x14ac:dyDescent="0.2">
      <c r="A183" s="274"/>
      <c r="B183" s="229" t="s">
        <v>337</v>
      </c>
      <c r="C183" s="198">
        <v>678414.61</v>
      </c>
      <c r="D183" s="114"/>
      <c r="E183" s="199">
        <f t="shared" si="23"/>
        <v>635246.36</v>
      </c>
      <c r="F183" s="271">
        <v>43168.25</v>
      </c>
      <c r="G183" s="465"/>
      <c r="H183" s="273"/>
      <c r="I183" s="201"/>
      <c r="J183" s="248"/>
    </row>
    <row r="184" spans="1:10" ht="11.1" customHeight="1" outlineLevel="1" x14ac:dyDescent="0.2">
      <c r="A184" s="274"/>
      <c r="B184" s="229" t="s">
        <v>335</v>
      </c>
      <c r="C184" s="198"/>
      <c r="D184" s="114">
        <v>412624.33</v>
      </c>
      <c r="E184" s="199">
        <f t="shared" si="23"/>
        <v>412624.33</v>
      </c>
      <c r="F184" s="271"/>
      <c r="G184" s="465"/>
      <c r="H184" s="273"/>
      <c r="I184" s="201"/>
      <c r="J184" s="248"/>
    </row>
    <row r="185" spans="1:10" ht="11.1" customHeight="1" outlineLevel="1" x14ac:dyDescent="0.2">
      <c r="A185" s="274"/>
      <c r="B185" s="229" t="s">
        <v>336</v>
      </c>
      <c r="C185" s="198">
        <v>558365.93999999994</v>
      </c>
      <c r="D185" s="114"/>
      <c r="E185" s="199">
        <f t="shared" si="23"/>
        <v>558365.93999999994</v>
      </c>
      <c r="F185" s="271"/>
      <c r="G185" s="465"/>
      <c r="H185" s="273"/>
      <c r="I185" s="201"/>
      <c r="J185" s="248"/>
    </row>
    <row r="186" spans="1:10" ht="11.1" customHeight="1" outlineLevel="1" x14ac:dyDescent="0.2">
      <c r="A186" s="274"/>
      <c r="B186" s="229" t="s">
        <v>197</v>
      </c>
      <c r="C186" s="198">
        <v>741280.1</v>
      </c>
      <c r="D186" s="114"/>
      <c r="E186" s="199">
        <f t="shared" si="23"/>
        <v>702262.16999999993</v>
      </c>
      <c r="F186" s="271">
        <v>39017.93</v>
      </c>
      <c r="G186" s="465"/>
      <c r="H186" s="273">
        <v>35328.99</v>
      </c>
      <c r="I186" s="201">
        <f t="shared" si="22"/>
        <v>39017.93</v>
      </c>
      <c r="J186" s="249"/>
    </row>
    <row r="187" spans="1:10" ht="11.1" customHeight="1" outlineLevel="1" x14ac:dyDescent="0.2">
      <c r="A187" s="274"/>
      <c r="B187" s="229" t="s">
        <v>238</v>
      </c>
      <c r="C187" s="198">
        <v>240112.46</v>
      </c>
      <c r="D187" s="114"/>
      <c r="E187" s="199">
        <f t="shared" si="23"/>
        <v>240112.46</v>
      </c>
      <c r="F187" s="271"/>
      <c r="G187" s="465"/>
      <c r="H187" s="273"/>
      <c r="I187" s="201">
        <f t="shared" si="22"/>
        <v>0</v>
      </c>
      <c r="J187" s="249"/>
    </row>
    <row r="188" spans="1:10" ht="11.1" customHeight="1" outlineLevel="1" x14ac:dyDescent="0.2">
      <c r="A188" s="274"/>
      <c r="B188" s="229" t="s">
        <v>236</v>
      </c>
      <c r="C188" s="198">
        <v>148483.07999999999</v>
      </c>
      <c r="D188" s="114"/>
      <c r="E188" s="199">
        <f t="shared" si="23"/>
        <v>-54067.320000000007</v>
      </c>
      <c r="F188" s="271">
        <f>158220.41+44329.99</f>
        <v>202550.39999999999</v>
      </c>
      <c r="G188" s="465"/>
      <c r="H188" s="273">
        <v>74859.86</v>
      </c>
      <c r="I188" s="201">
        <f t="shared" si="22"/>
        <v>202550.39999999999</v>
      </c>
      <c r="J188" s="249"/>
    </row>
    <row r="189" spans="1:10" ht="11.1" customHeight="1" outlineLevel="1" x14ac:dyDescent="0.2">
      <c r="A189" s="274"/>
      <c r="B189" s="229" t="s">
        <v>237</v>
      </c>
      <c r="C189" s="198">
        <v>43109.64</v>
      </c>
      <c r="D189" s="114"/>
      <c r="E189" s="199">
        <f t="shared" si="23"/>
        <v>-0.37000000000261934</v>
      </c>
      <c r="F189" s="271">
        <v>43110.01</v>
      </c>
      <c r="G189" s="465"/>
      <c r="H189" s="273">
        <v>10808.21</v>
      </c>
      <c r="I189" s="201">
        <f t="shared" si="22"/>
        <v>43110.01</v>
      </c>
      <c r="J189" s="249"/>
    </row>
    <row r="190" spans="1:10" ht="11.1" customHeight="1" outlineLevel="1" x14ac:dyDescent="0.2">
      <c r="A190" s="274"/>
      <c r="B190" s="229" t="s">
        <v>334</v>
      </c>
      <c r="C190" s="198">
        <v>50608.63</v>
      </c>
      <c r="D190" s="114"/>
      <c r="E190" s="199">
        <f t="shared" si="23"/>
        <v>50608.63</v>
      </c>
      <c r="F190" s="271"/>
      <c r="G190" s="465"/>
      <c r="H190" s="273"/>
      <c r="I190" s="201"/>
      <c r="J190" s="249"/>
    </row>
    <row r="191" spans="1:10" ht="11.1" customHeight="1" outlineLevel="1" x14ac:dyDescent="0.2">
      <c r="A191" s="274"/>
      <c r="B191" s="229" t="s">
        <v>198</v>
      </c>
      <c r="C191" s="198">
        <v>289994.86</v>
      </c>
      <c r="D191" s="114"/>
      <c r="E191" s="199">
        <f t="shared" si="23"/>
        <v>244928.02999999997</v>
      </c>
      <c r="F191" s="271">
        <v>45066.83</v>
      </c>
      <c r="G191" s="465"/>
      <c r="H191" s="273">
        <v>18047.419999999998</v>
      </c>
      <c r="I191" s="201">
        <f t="shared" si="22"/>
        <v>45066.83</v>
      </c>
      <c r="J191" s="209"/>
    </row>
    <row r="192" spans="1:10" ht="11.1" customHeight="1" outlineLevel="1" x14ac:dyDescent="0.2">
      <c r="A192" s="274"/>
      <c r="B192" s="229" t="s">
        <v>346</v>
      </c>
      <c r="C192" s="198"/>
      <c r="D192" s="114">
        <v>24414192.194400001</v>
      </c>
      <c r="E192" s="199">
        <f t="shared" si="23"/>
        <v>24414192.194400001</v>
      </c>
      <c r="F192" s="271"/>
      <c r="G192" s="465"/>
      <c r="H192" s="273"/>
      <c r="I192" s="201"/>
      <c r="J192" s="249"/>
    </row>
    <row r="193" spans="1:10" ht="11.1" customHeight="1" outlineLevel="1" x14ac:dyDescent="0.2">
      <c r="A193" s="274"/>
      <c r="B193" s="229" t="s">
        <v>223</v>
      </c>
      <c r="C193" s="198"/>
      <c r="D193" s="114">
        <v>600000</v>
      </c>
      <c r="E193" s="199">
        <f t="shared" si="23"/>
        <v>600000</v>
      </c>
      <c r="F193" s="271"/>
      <c r="G193" s="465"/>
      <c r="H193" s="273"/>
      <c r="I193" s="201"/>
      <c r="J193" s="249"/>
    </row>
    <row r="194" spans="1:10" ht="11.1" customHeight="1" outlineLevel="1" x14ac:dyDescent="0.2">
      <c r="A194" s="274"/>
      <c r="B194" s="229" t="s">
        <v>258</v>
      </c>
      <c r="C194" s="198"/>
      <c r="D194" s="114">
        <v>97393.74</v>
      </c>
      <c r="E194" s="199">
        <f t="shared" si="23"/>
        <v>0</v>
      </c>
      <c r="F194" s="271">
        <v>97393.74</v>
      </c>
      <c r="G194" s="465"/>
      <c r="H194" s="273">
        <v>13.56</v>
      </c>
      <c r="I194" s="201">
        <f t="shared" si="22"/>
        <v>97393.74</v>
      </c>
      <c r="J194" s="249"/>
    </row>
    <row r="195" spans="1:10" ht="11.1" customHeight="1" outlineLevel="1" thickBot="1" x14ac:dyDescent="0.25">
      <c r="A195" s="274"/>
      <c r="B195" s="229"/>
      <c r="C195" s="198"/>
      <c r="D195" s="114"/>
      <c r="E195" s="199"/>
      <c r="F195" s="271"/>
      <c r="G195" s="196"/>
      <c r="H195" s="273"/>
      <c r="I195" s="201">
        <f t="shared" si="22"/>
        <v>0</v>
      </c>
      <c r="J195" s="206">
        <v>19688626.289999999</v>
      </c>
    </row>
    <row r="196" spans="1:10" ht="12.95" customHeight="1" thickBot="1" x14ac:dyDescent="0.25">
      <c r="A196" s="132" t="s">
        <v>5</v>
      </c>
      <c r="B196" s="190"/>
      <c r="C196" s="165">
        <f>C163</f>
        <v>46306718.619999997</v>
      </c>
      <c r="D196" s="161">
        <f>D163</f>
        <v>26121388.9844</v>
      </c>
      <c r="E196" s="162">
        <f>E163</f>
        <v>50820790.284400001</v>
      </c>
      <c r="F196" s="165">
        <f>SUM(F164:F194)</f>
        <v>21607317.319999997</v>
      </c>
      <c r="G196" s="161">
        <f>G163</f>
        <v>44654048</v>
      </c>
      <c r="H196" s="168">
        <f>H163</f>
        <v>6983310.540000001</v>
      </c>
      <c r="I196" s="133">
        <f>F196-G196</f>
        <v>-23046730.680000003</v>
      </c>
      <c r="J196" s="164">
        <f>SUM(J164:J195)</f>
        <v>21904626.289999999</v>
      </c>
    </row>
    <row r="197" spans="1:10" ht="11.45" customHeight="1" thickBot="1" x14ac:dyDescent="0.25">
      <c r="G197" s="2"/>
      <c r="H197" s="2"/>
      <c r="J197" s="10"/>
    </row>
    <row r="198" spans="1:10" ht="30" x14ac:dyDescent="0.2">
      <c r="A198" s="262" t="s">
        <v>326</v>
      </c>
      <c r="B198" s="263" t="s">
        <v>38</v>
      </c>
      <c r="C198" s="118">
        <f>C199</f>
        <v>21812975.489999998</v>
      </c>
      <c r="D198" s="119">
        <f>SUBTOTAL(9,D199:D204)</f>
        <v>0</v>
      </c>
      <c r="E198" s="120">
        <f>SUBTOTAL(9,E199:E204)</f>
        <v>21256966.259999998</v>
      </c>
      <c r="F198" s="118">
        <f>F199</f>
        <v>11456453.6</v>
      </c>
      <c r="G198" s="119">
        <f>G199</f>
        <v>13740818.820000002</v>
      </c>
      <c r="H198" s="119">
        <f>H199</f>
        <v>2115624.7039999999</v>
      </c>
      <c r="I198" s="120">
        <f>I199</f>
        <v>-2200365.2199999997</v>
      </c>
      <c r="J198" s="118">
        <f>SUBTOTAL(9,J199:J204)</f>
        <v>0</v>
      </c>
    </row>
    <row r="199" spans="1:10" ht="11.1" customHeight="1" x14ac:dyDescent="0.2">
      <c r="A199" s="158" t="s">
        <v>21</v>
      </c>
      <c r="B199" s="115"/>
      <c r="C199" s="81">
        <f>SUM(C200:C204)</f>
        <v>21812975.489999998</v>
      </c>
      <c r="D199" s="80">
        <f>SUBTOTAL(9,D200:D204)</f>
        <v>0</v>
      </c>
      <c r="E199" s="207">
        <f>SUM(E200:E204)</f>
        <v>10628483.129999999</v>
      </c>
      <c r="F199" s="204">
        <f>SUM(F200:F205)</f>
        <v>11456453.6</v>
      </c>
      <c r="G199" s="206">
        <f>SUM(G200:G205)</f>
        <v>13740818.820000002</v>
      </c>
      <c r="H199" s="206">
        <f>SUM(H200:H204)</f>
        <v>2115624.7039999999</v>
      </c>
      <c r="I199" s="207">
        <f>SUM(I200:I204)</f>
        <v>-2200365.2199999997</v>
      </c>
      <c r="J199" s="204">
        <f>SUBTOTAL(9,J200:J204)</f>
        <v>0</v>
      </c>
    </row>
    <row r="200" spans="1:10" ht="21" customHeight="1" outlineLevel="1" x14ac:dyDescent="0.2">
      <c r="A200" s="274" t="s">
        <v>178</v>
      </c>
      <c r="B200" s="229" t="s">
        <v>39</v>
      </c>
      <c r="C200" s="264">
        <v>5841680.6299999999</v>
      </c>
      <c r="D200" s="264"/>
      <c r="E200" s="199">
        <f>C200+D200-F200</f>
        <v>308999.96999999974</v>
      </c>
      <c r="F200" s="264">
        <f>3244767.73+928090.94+916091.53+443730.46</f>
        <v>5532680.6600000001</v>
      </c>
      <c r="G200" s="273">
        <v>6569575.46</v>
      </c>
      <c r="H200" s="273">
        <f>1146997.58+416831.616+362252.17+183635.088</f>
        <v>2109716.4539999999</v>
      </c>
      <c r="I200" s="201">
        <f t="shared" ref="I200:I205" si="24">F200-G200</f>
        <v>-1036894.7999999998</v>
      </c>
      <c r="J200" s="264"/>
    </row>
    <row r="201" spans="1:10" ht="11.1" customHeight="1" outlineLevel="1" x14ac:dyDescent="0.2">
      <c r="A201" s="274"/>
      <c r="B201" s="229" t="s">
        <v>261</v>
      </c>
      <c r="C201" s="198">
        <v>2737711.27</v>
      </c>
      <c r="D201" s="114"/>
      <c r="E201" s="199">
        <f t="shared" ref="E201:E203" si="25">C201+D201-F201</f>
        <v>2737711.27</v>
      </c>
      <c r="F201" s="271"/>
      <c r="G201" s="196"/>
      <c r="H201" s="196"/>
      <c r="I201" s="201">
        <f>F201-G201</f>
        <v>0</v>
      </c>
      <c r="J201" s="198"/>
    </row>
    <row r="202" spans="1:10" ht="21" customHeight="1" outlineLevel="1" x14ac:dyDescent="0.2">
      <c r="A202" s="274" t="s">
        <v>214</v>
      </c>
      <c r="B202" s="229" t="s">
        <v>213</v>
      </c>
      <c r="C202" s="264">
        <v>10228425.359999999</v>
      </c>
      <c r="D202" s="264"/>
      <c r="E202" s="199">
        <f t="shared" si="25"/>
        <v>4576613.6599999992</v>
      </c>
      <c r="F202" s="264">
        <v>5651811.7000000002</v>
      </c>
      <c r="G202" s="273">
        <v>5312703</v>
      </c>
      <c r="H202" s="273"/>
      <c r="I202" s="201">
        <f t="shared" si="24"/>
        <v>339108.70000000019</v>
      </c>
      <c r="J202" s="280"/>
    </row>
    <row r="203" spans="1:10" ht="22.15" customHeight="1" outlineLevel="1" x14ac:dyDescent="0.2">
      <c r="A203" s="274" t="s">
        <v>324</v>
      </c>
      <c r="B203" s="229" t="s">
        <v>239</v>
      </c>
      <c r="C203" s="114">
        <v>3005158.23</v>
      </c>
      <c r="D203" s="114"/>
      <c r="E203" s="199">
        <f t="shared" si="25"/>
        <v>3005158.23</v>
      </c>
      <c r="F203" s="271"/>
      <c r="G203" s="273">
        <v>1502579.12</v>
      </c>
      <c r="H203" s="273"/>
      <c r="I203" s="201">
        <f t="shared" si="24"/>
        <v>-1502579.12</v>
      </c>
      <c r="J203" s="280"/>
    </row>
    <row r="204" spans="1:10" ht="11.1" customHeight="1" outlineLevel="1" x14ac:dyDescent="0.2">
      <c r="A204" s="274"/>
      <c r="B204" s="229" t="s">
        <v>325</v>
      </c>
      <c r="C204" s="198"/>
      <c r="D204" s="114"/>
      <c r="E204" s="199"/>
      <c r="F204" s="271">
        <v>10661.24</v>
      </c>
      <c r="G204" s="271">
        <v>10661.24</v>
      </c>
      <c r="H204" s="196">
        <v>5908.25</v>
      </c>
      <c r="I204" s="201">
        <f t="shared" si="24"/>
        <v>0</v>
      </c>
      <c r="J204" s="198"/>
    </row>
    <row r="205" spans="1:10" ht="11.1" customHeight="1" outlineLevel="1" thickBot="1" x14ac:dyDescent="0.25">
      <c r="A205" s="274" t="s">
        <v>354</v>
      </c>
      <c r="B205" s="292" t="s">
        <v>355</v>
      </c>
      <c r="C205" s="293"/>
      <c r="D205" s="294"/>
      <c r="E205" s="295"/>
      <c r="F205" s="299">
        <v>261300</v>
      </c>
      <c r="G205" s="300">
        <f>245100+42000+58200</f>
        <v>345300</v>
      </c>
      <c r="H205" s="296"/>
      <c r="I205" s="297">
        <f t="shared" si="24"/>
        <v>-84000</v>
      </c>
      <c r="J205" s="293"/>
    </row>
    <row r="206" spans="1:10" s="179" customFormat="1" ht="12.95" customHeight="1" thickBot="1" x14ac:dyDescent="0.25">
      <c r="A206" s="171" t="s">
        <v>5</v>
      </c>
      <c r="B206" s="172"/>
      <c r="C206" s="173">
        <f t="shared" ref="C206:H206" si="26">C198</f>
        <v>21812975.489999998</v>
      </c>
      <c r="D206" s="174">
        <f t="shared" si="26"/>
        <v>0</v>
      </c>
      <c r="E206" s="175">
        <f t="shared" si="26"/>
        <v>21256966.259999998</v>
      </c>
      <c r="F206" s="173">
        <f t="shared" si="26"/>
        <v>11456453.6</v>
      </c>
      <c r="G206" s="174">
        <f t="shared" si="26"/>
        <v>13740818.820000002</v>
      </c>
      <c r="H206" s="174">
        <f t="shared" si="26"/>
        <v>2115624.7039999999</v>
      </c>
      <c r="I206" s="133">
        <f>F206-G206</f>
        <v>-2284365.2200000025</v>
      </c>
      <c r="J206" s="173">
        <f>J198</f>
        <v>0</v>
      </c>
    </row>
    <row r="207" spans="1:10" ht="11.45" customHeight="1" thickBot="1" x14ac:dyDescent="0.25">
      <c r="I207" s="12"/>
    </row>
    <row r="208" spans="1:10" ht="15" x14ac:dyDescent="0.2">
      <c r="A208" s="262" t="s">
        <v>180</v>
      </c>
      <c r="B208" s="263" t="s">
        <v>179</v>
      </c>
      <c r="C208" s="118">
        <f t="shared" ref="C208:I208" si="27">C209</f>
        <v>13893734.91</v>
      </c>
      <c r="D208" s="119">
        <f t="shared" si="27"/>
        <v>1270719.75</v>
      </c>
      <c r="E208" s="120">
        <f t="shared" si="27"/>
        <v>9926167.379999999</v>
      </c>
      <c r="F208" s="118">
        <f t="shared" si="27"/>
        <v>5238287.28</v>
      </c>
      <c r="G208" s="119">
        <f t="shared" si="27"/>
        <v>7585315.2999999998</v>
      </c>
      <c r="H208" s="119">
        <f t="shared" si="27"/>
        <v>2135213.3200000003</v>
      </c>
      <c r="I208" s="120">
        <f t="shared" si="27"/>
        <v>-2347028.0199999996</v>
      </c>
      <c r="J208" s="118">
        <f>J209</f>
        <v>2507479.2000000002</v>
      </c>
    </row>
    <row r="209" spans="1:57" ht="11.1" customHeight="1" x14ac:dyDescent="0.2">
      <c r="A209" s="158" t="s">
        <v>21</v>
      </c>
      <c r="B209" s="115"/>
      <c r="C209" s="81">
        <f t="shared" ref="C209:I209" si="28">SUM(C210:C215)</f>
        <v>13893734.91</v>
      </c>
      <c r="D209" s="80">
        <f t="shared" si="28"/>
        <v>1270719.75</v>
      </c>
      <c r="E209" s="82">
        <f t="shared" si="28"/>
        <v>9926167.379999999</v>
      </c>
      <c r="F209" s="81">
        <f t="shared" si="28"/>
        <v>5238287.28</v>
      </c>
      <c r="G209" s="80">
        <f t="shared" si="28"/>
        <v>7585315.2999999998</v>
      </c>
      <c r="H209" s="80">
        <f t="shared" si="28"/>
        <v>2135213.3200000003</v>
      </c>
      <c r="I209" s="82">
        <f t="shared" si="28"/>
        <v>-2347028.0199999996</v>
      </c>
      <c r="J209" s="81">
        <f>SUM(J210:J215)</f>
        <v>2507479.2000000002</v>
      </c>
    </row>
    <row r="210" spans="1:57" ht="21" customHeight="1" outlineLevel="1" x14ac:dyDescent="0.2">
      <c r="A210" s="274" t="s">
        <v>181</v>
      </c>
      <c r="B210" s="229" t="s">
        <v>182</v>
      </c>
      <c r="C210" s="264">
        <v>13393734.91</v>
      </c>
      <c r="D210" s="265"/>
      <c r="E210" s="199">
        <f>C210+D210-F210</f>
        <v>8155447.6299999999</v>
      </c>
      <c r="F210" s="264">
        <f>3145663.74+2092623.54</f>
        <v>5238287.28</v>
      </c>
      <c r="G210" s="273">
        <v>7175315.2999999998</v>
      </c>
      <c r="H210" s="273">
        <f>1166633.78+968579.54</f>
        <v>2135213.3200000003</v>
      </c>
      <c r="I210" s="201">
        <f t="shared" ref="I210:I215" si="29">F210-G210</f>
        <v>-1937028.0199999996</v>
      </c>
      <c r="J210" s="206">
        <v>2007479.2</v>
      </c>
    </row>
    <row r="211" spans="1:57" ht="21" customHeight="1" outlineLevel="1" x14ac:dyDescent="0.2">
      <c r="A211" s="274"/>
      <c r="B211" s="229" t="s">
        <v>240</v>
      </c>
      <c r="C211" s="264"/>
      <c r="D211" s="264">
        <v>1270719.75</v>
      </c>
      <c r="E211" s="199">
        <f t="shared" ref="E211:E215" si="30">C211+D211-F211</f>
        <v>1270719.75</v>
      </c>
      <c r="F211" s="264"/>
      <c r="G211" s="273"/>
      <c r="H211" s="273"/>
      <c r="I211" s="201">
        <f t="shared" si="29"/>
        <v>0</v>
      </c>
      <c r="J211" s="280"/>
    </row>
    <row r="212" spans="1:57" ht="22.15" customHeight="1" outlineLevel="1" x14ac:dyDescent="0.2">
      <c r="A212" s="274" t="s">
        <v>328</v>
      </c>
      <c r="B212" s="229" t="s">
        <v>327</v>
      </c>
      <c r="C212" s="198">
        <v>500000</v>
      </c>
      <c r="D212" s="114"/>
      <c r="E212" s="199">
        <f t="shared" si="30"/>
        <v>500000</v>
      </c>
      <c r="F212" s="271"/>
      <c r="G212" s="273">
        <v>410000</v>
      </c>
      <c r="H212" s="273"/>
      <c r="I212" s="201">
        <f t="shared" si="29"/>
        <v>-410000</v>
      </c>
      <c r="J212" s="264">
        <f>410000+90000</f>
        <v>500000</v>
      </c>
    </row>
    <row r="213" spans="1:57" ht="11.1" customHeight="1" outlineLevel="1" x14ac:dyDescent="0.2">
      <c r="A213" s="274"/>
      <c r="B213" s="229"/>
      <c r="C213" s="198"/>
      <c r="D213" s="114"/>
      <c r="E213" s="199">
        <f t="shared" si="30"/>
        <v>0</v>
      </c>
      <c r="F213" s="271"/>
      <c r="G213" s="196"/>
      <c r="H213" s="196"/>
      <c r="I213" s="201">
        <f t="shared" si="29"/>
        <v>0</v>
      </c>
      <c r="J213" s="198"/>
    </row>
    <row r="214" spans="1:57" ht="11.1" customHeight="1" outlineLevel="1" x14ac:dyDescent="0.2">
      <c r="A214" s="274"/>
      <c r="B214" s="229"/>
      <c r="C214" s="198"/>
      <c r="D214" s="114"/>
      <c r="E214" s="199">
        <f t="shared" si="30"/>
        <v>0</v>
      </c>
      <c r="F214" s="271"/>
      <c r="G214" s="196"/>
      <c r="H214" s="196"/>
      <c r="I214" s="201">
        <f t="shared" si="29"/>
        <v>0</v>
      </c>
      <c r="J214" s="198"/>
    </row>
    <row r="215" spans="1:57" ht="11.1" customHeight="1" outlineLevel="1" thickBot="1" x14ac:dyDescent="0.25">
      <c r="A215" s="281"/>
      <c r="B215" s="282"/>
      <c r="C215" s="283">
        <v>0</v>
      </c>
      <c r="D215" s="230"/>
      <c r="E215" s="199">
        <f t="shared" si="30"/>
        <v>0</v>
      </c>
      <c r="F215" s="284">
        <v>0</v>
      </c>
      <c r="G215" s="285">
        <v>0</v>
      </c>
      <c r="H215" s="285">
        <v>0</v>
      </c>
      <c r="I215" s="201">
        <f t="shared" si="29"/>
        <v>0</v>
      </c>
      <c r="J215" s="286"/>
    </row>
    <row r="216" spans="1:57" s="179" customFormat="1" ht="12.95" customHeight="1" thickBot="1" x14ac:dyDescent="0.25">
      <c r="A216" s="171" t="s">
        <v>5</v>
      </c>
      <c r="B216" s="172"/>
      <c r="C216" s="173">
        <f t="shared" ref="C216:H216" si="31">C208</f>
        <v>13893734.91</v>
      </c>
      <c r="D216" s="174">
        <f t="shared" si="31"/>
        <v>1270719.75</v>
      </c>
      <c r="E216" s="175">
        <f t="shared" si="31"/>
        <v>9926167.379999999</v>
      </c>
      <c r="F216" s="173">
        <f t="shared" si="31"/>
        <v>5238287.28</v>
      </c>
      <c r="G216" s="174">
        <f t="shared" si="31"/>
        <v>7585315.2999999998</v>
      </c>
      <c r="H216" s="174">
        <f t="shared" si="31"/>
        <v>2135213.3200000003</v>
      </c>
      <c r="I216" s="133">
        <f>F216-G216</f>
        <v>-2347028.0199999996</v>
      </c>
      <c r="J216" s="173">
        <f t="shared" ref="J216" si="32">J208</f>
        <v>2507479.2000000002</v>
      </c>
    </row>
    <row r="217" spans="1:57" ht="11.45" customHeight="1" x14ac:dyDescent="0.2">
      <c r="H217" s="12"/>
      <c r="J217" s="13"/>
    </row>
    <row r="223" spans="1:57" s="1" customFormat="1" ht="11.45" customHeight="1" x14ac:dyDescent="0.2">
      <c r="B223" s="12"/>
      <c r="C223" s="12"/>
      <c r="D223" s="12"/>
      <c r="E223" s="12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57" s="1" customFormat="1" ht="11.45" customHeight="1" x14ac:dyDescent="0.2">
      <c r="B224" s="12"/>
      <c r="C224" s="12"/>
      <c r="D224" s="12"/>
      <c r="E224" s="12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6" spans="3:57" s="1" customFormat="1" ht="11.45" customHeight="1" x14ac:dyDescent="0.2">
      <c r="C226" s="12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</row>
    <row r="228" spans="3:57" s="1" customFormat="1" ht="11.45" customHeight="1" x14ac:dyDescent="0.2">
      <c r="C228" s="12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3:57" s="1" customFormat="1" ht="11.45" customHeight="1" x14ac:dyDescent="0.2">
      <c r="C229" s="12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</sheetData>
  <mergeCells count="8">
    <mergeCell ref="C4:J4"/>
    <mergeCell ref="G165:G194"/>
    <mergeCell ref="C5:C6"/>
    <mergeCell ref="D5:D6"/>
    <mergeCell ref="E5:E6"/>
    <mergeCell ref="F5:I5"/>
    <mergeCell ref="G93:G129"/>
    <mergeCell ref="I93:I129"/>
  </mergeCells>
  <pageMargins left="0.7" right="0.7" top="0.75" bottom="0.75" header="0.3" footer="0.3"/>
  <pageSetup paperSize="9" orientation="portrait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K72"/>
  <sheetViews>
    <sheetView topLeftCell="A4" zoomScaleNormal="100" workbookViewId="0">
      <pane xSplit="2" ySplit="2" topLeftCell="D30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6.5" style="1" customWidth="1"/>
    <col min="4" max="4" width="23.1640625" style="1" customWidth="1"/>
    <col min="5" max="5" width="19.5" style="1" hidden="1" customWidth="1"/>
    <col min="6" max="6" width="22" style="1" customWidth="1"/>
    <col min="7" max="7" width="21.33203125" style="1" customWidth="1"/>
    <col min="8" max="8" width="23.6640625" style="1" customWidth="1"/>
    <col min="9" max="9" width="22.33203125" style="330" customWidth="1"/>
    <col min="10" max="10" width="19.1640625" style="1" customWidth="1"/>
    <col min="11" max="11" width="20.1640625" style="330" customWidth="1"/>
    <col min="12" max="12" width="21.33203125" style="330" customWidth="1"/>
    <col min="13" max="13" width="10.1640625" style="330"/>
    <col min="14" max="14" width="13.83203125" style="330" customWidth="1"/>
    <col min="15" max="16384" width="10.1640625" style="330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 t="s">
        <v>18</v>
      </c>
      <c r="I3" s="1"/>
    </row>
    <row r="4" spans="1:11" ht="32.450000000000003" customHeight="1" x14ac:dyDescent="0.2">
      <c r="A4" s="339" t="s">
        <v>0</v>
      </c>
      <c r="B4" s="471" t="s">
        <v>13</v>
      </c>
      <c r="C4" s="471" t="s">
        <v>85</v>
      </c>
      <c r="D4" s="471" t="s">
        <v>6</v>
      </c>
      <c r="E4" s="472" t="s">
        <v>86</v>
      </c>
      <c r="F4" s="471" t="s">
        <v>7</v>
      </c>
      <c r="G4" s="471"/>
      <c r="H4" s="471"/>
      <c r="I4" s="339" t="s">
        <v>8</v>
      </c>
    </row>
    <row r="5" spans="1:11" ht="36" x14ac:dyDescent="0.2">
      <c r="A5" s="339" t="s">
        <v>1</v>
      </c>
      <c r="B5" s="471"/>
      <c r="C5" s="471"/>
      <c r="D5" s="471"/>
      <c r="E5" s="472"/>
      <c r="F5" s="340" t="s">
        <v>3</v>
      </c>
      <c r="G5" s="340" t="s">
        <v>4</v>
      </c>
      <c r="H5" s="341" t="s">
        <v>14</v>
      </c>
      <c r="I5" s="340" t="s">
        <v>352</v>
      </c>
    </row>
    <row r="6" spans="1:11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2"/>
      <c r="K6" s="331"/>
    </row>
    <row r="7" spans="1:11" ht="15" x14ac:dyDescent="0.2">
      <c r="A7" s="470" t="s">
        <v>364</v>
      </c>
      <c r="B7" s="470"/>
      <c r="C7" s="342">
        <f>C8</f>
        <v>0</v>
      </c>
      <c r="D7" s="342">
        <f t="shared" ref="D7:H7" si="0">D8</f>
        <v>0</v>
      </c>
      <c r="E7" s="342">
        <f t="shared" si="0"/>
        <v>0</v>
      </c>
      <c r="F7" s="342">
        <f t="shared" si="0"/>
        <v>3720190.36</v>
      </c>
      <c r="G7" s="342">
        <f t="shared" si="0"/>
        <v>3321415.56</v>
      </c>
      <c r="H7" s="342">
        <f t="shared" si="0"/>
        <v>398774.79999999981</v>
      </c>
      <c r="I7" s="342">
        <f>I8</f>
        <v>1392397.5640000002</v>
      </c>
      <c r="J7" s="332"/>
      <c r="K7" s="331"/>
    </row>
    <row r="8" spans="1:11" ht="12.95" customHeight="1" x14ac:dyDescent="0.2">
      <c r="A8" s="113"/>
      <c r="B8" s="343"/>
      <c r="C8" s="329">
        <f>SUM(C9:C11)</f>
        <v>0</v>
      </c>
      <c r="D8" s="329">
        <f t="shared" ref="D8:I8" si="1">SUM(D9:D11)</f>
        <v>0</v>
      </c>
      <c r="E8" s="329">
        <f t="shared" si="1"/>
        <v>0</v>
      </c>
      <c r="F8" s="329">
        <f t="shared" si="1"/>
        <v>3720190.36</v>
      </c>
      <c r="G8" s="329">
        <f t="shared" si="1"/>
        <v>3321415.56</v>
      </c>
      <c r="H8" s="329">
        <f t="shared" si="1"/>
        <v>398774.79999999981</v>
      </c>
      <c r="I8" s="329">
        <f t="shared" si="1"/>
        <v>1392397.5640000002</v>
      </c>
      <c r="J8" s="332"/>
      <c r="K8" s="331"/>
    </row>
    <row r="9" spans="1:11" ht="23.45" hidden="1" customHeight="1" outlineLevel="1" x14ac:dyDescent="0.2">
      <c r="A9" s="344" t="s">
        <v>362</v>
      </c>
      <c r="B9" s="197"/>
      <c r="C9" s="335"/>
      <c r="D9" s="336"/>
      <c r="E9" s="335"/>
      <c r="F9" s="335">
        <v>3720190.36</v>
      </c>
      <c r="G9" s="333">
        <v>3321415.56</v>
      </c>
      <c r="H9" s="345">
        <f t="shared" ref="H9:H12" si="2">F9-G9</f>
        <v>398774.79999999981</v>
      </c>
      <c r="I9" s="334">
        <v>1392397.5640000002</v>
      </c>
      <c r="J9" s="332"/>
      <c r="K9" s="331"/>
    </row>
    <row r="10" spans="1:11" ht="23.45" hidden="1" customHeight="1" outlineLevel="1" x14ac:dyDescent="0.2">
      <c r="A10" s="344"/>
      <c r="B10" s="197"/>
      <c r="C10" s="335"/>
      <c r="D10" s="336"/>
      <c r="E10" s="335"/>
      <c r="F10" s="335"/>
      <c r="G10" s="333"/>
      <c r="H10" s="345">
        <f t="shared" si="2"/>
        <v>0</v>
      </c>
      <c r="I10" s="334"/>
      <c r="J10" s="332"/>
      <c r="K10" s="331"/>
    </row>
    <row r="11" spans="1:11" ht="23.45" hidden="1" customHeight="1" outlineLevel="1" x14ac:dyDescent="0.2">
      <c r="A11" s="344"/>
      <c r="B11" s="197"/>
      <c r="C11" s="335"/>
      <c r="D11" s="336"/>
      <c r="E11" s="335"/>
      <c r="F11" s="335"/>
      <c r="G11" s="333"/>
      <c r="H11" s="345">
        <f t="shared" si="2"/>
        <v>0</v>
      </c>
      <c r="I11" s="334"/>
      <c r="J11" s="332"/>
      <c r="K11" s="331"/>
    </row>
    <row r="12" spans="1:11" ht="12.95" customHeight="1" collapsed="1" x14ac:dyDescent="0.2">
      <c r="A12" s="346" t="s">
        <v>5</v>
      </c>
      <c r="B12" s="347"/>
      <c r="C12" s="348">
        <f>C7</f>
        <v>0</v>
      </c>
      <c r="D12" s="348">
        <f t="shared" ref="D12:G12" si="3">D7</f>
        <v>0</v>
      </c>
      <c r="E12" s="348">
        <f t="shared" si="3"/>
        <v>0</v>
      </c>
      <c r="F12" s="348">
        <f t="shared" si="3"/>
        <v>3720190.36</v>
      </c>
      <c r="G12" s="348">
        <f t="shared" si="3"/>
        <v>3321415.56</v>
      </c>
      <c r="H12" s="348">
        <f t="shared" si="2"/>
        <v>398774.79999999981</v>
      </c>
      <c r="I12" s="348">
        <f t="shared" ref="I12" si="4">I7</f>
        <v>1392397.5640000002</v>
      </c>
      <c r="J12" s="332"/>
      <c r="K12" s="331"/>
    </row>
    <row r="13" spans="1:11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2"/>
      <c r="K13" s="331"/>
    </row>
    <row r="14" spans="1:11" ht="15" x14ac:dyDescent="0.2">
      <c r="A14" s="470" t="s">
        <v>367</v>
      </c>
      <c r="B14" s="470"/>
      <c r="C14" s="342">
        <f t="shared" ref="C14:I14" si="5">C15+C17</f>
        <v>0</v>
      </c>
      <c r="D14" s="342">
        <f t="shared" si="5"/>
        <v>0</v>
      </c>
      <c r="E14" s="342">
        <f t="shared" si="5"/>
        <v>0</v>
      </c>
      <c r="F14" s="342">
        <f t="shared" si="5"/>
        <v>377482966.09999996</v>
      </c>
      <c r="G14" s="342">
        <f t="shared" si="5"/>
        <v>366158527.13999999</v>
      </c>
      <c r="H14" s="342">
        <f t="shared" si="5"/>
        <v>11324438.960000005</v>
      </c>
      <c r="I14" s="342">
        <f t="shared" si="5"/>
        <v>16595819.200000003</v>
      </c>
      <c r="J14" s="332"/>
      <c r="K14" s="331"/>
    </row>
    <row r="15" spans="1:11" ht="12.95" customHeight="1" x14ac:dyDescent="0.2">
      <c r="A15" s="349" t="s">
        <v>363</v>
      </c>
      <c r="B15" s="343"/>
      <c r="C15" s="329">
        <f t="shared" ref="C15:I15" si="6">SUM(C16:C16)</f>
        <v>0</v>
      </c>
      <c r="D15" s="329">
        <f t="shared" si="6"/>
        <v>0</v>
      </c>
      <c r="E15" s="329">
        <f t="shared" si="6"/>
        <v>0</v>
      </c>
      <c r="F15" s="329">
        <f t="shared" si="6"/>
        <v>374135796.44999999</v>
      </c>
      <c r="G15" s="329">
        <f t="shared" si="6"/>
        <v>362911772.57999998</v>
      </c>
      <c r="H15" s="329">
        <f t="shared" si="6"/>
        <v>11224023.870000005</v>
      </c>
      <c r="I15" s="329">
        <f t="shared" si="6"/>
        <v>16595819.200000003</v>
      </c>
      <c r="J15" s="332"/>
      <c r="K15" s="331"/>
    </row>
    <row r="16" spans="1:11" ht="23.45" hidden="1" customHeight="1" outlineLevel="1" x14ac:dyDescent="0.2">
      <c r="A16" s="344" t="s">
        <v>365</v>
      </c>
      <c r="B16" s="197"/>
      <c r="C16" s="335"/>
      <c r="D16" s="336"/>
      <c r="E16" s="335" t="s">
        <v>366</v>
      </c>
      <c r="F16" s="335">
        <v>374135796.44999999</v>
      </c>
      <c r="G16" s="333">
        <v>362911772.57999998</v>
      </c>
      <c r="H16" s="345">
        <f t="shared" ref="H16:H21" si="7">F16-G16</f>
        <v>11224023.870000005</v>
      </c>
      <c r="I16" s="334">
        <v>16595819.200000003</v>
      </c>
      <c r="J16" s="352"/>
      <c r="K16" s="331"/>
    </row>
    <row r="17" spans="1:11" ht="12.95" customHeight="1" collapsed="1" x14ac:dyDescent="0.2">
      <c r="A17" s="349" t="s">
        <v>368</v>
      </c>
      <c r="B17" s="343"/>
      <c r="C17" s="329">
        <f>SUM(C18:C20)</f>
        <v>0</v>
      </c>
      <c r="D17" s="329">
        <f t="shared" ref="D17:I17" si="8">SUM(D18:D20)</f>
        <v>0</v>
      </c>
      <c r="E17" s="329">
        <f t="shared" si="8"/>
        <v>0</v>
      </c>
      <c r="F17" s="329">
        <f t="shared" si="8"/>
        <v>3347169.65</v>
      </c>
      <c r="G17" s="329">
        <f t="shared" si="8"/>
        <v>3246754.56</v>
      </c>
      <c r="H17" s="329">
        <f t="shared" si="8"/>
        <v>100415.08999999985</v>
      </c>
      <c r="I17" s="329">
        <f t="shared" si="8"/>
        <v>0</v>
      </c>
      <c r="J17" s="353"/>
      <c r="K17" s="331"/>
    </row>
    <row r="18" spans="1:11" ht="23.45" hidden="1" customHeight="1" outlineLevel="1" x14ac:dyDescent="0.2">
      <c r="A18" s="344" t="s">
        <v>369</v>
      </c>
      <c r="B18" s="197"/>
      <c r="C18" s="335"/>
      <c r="D18" s="336"/>
      <c r="E18" s="335"/>
      <c r="F18" s="335">
        <v>3347169.65</v>
      </c>
      <c r="G18" s="333">
        <v>3246754.56</v>
      </c>
      <c r="H18" s="345">
        <f t="shared" si="7"/>
        <v>100415.08999999985</v>
      </c>
      <c r="I18" s="334"/>
      <c r="J18" s="332"/>
      <c r="K18" s="331"/>
    </row>
    <row r="19" spans="1:11" ht="23.45" hidden="1" customHeight="1" outlineLevel="1" x14ac:dyDescent="0.2">
      <c r="A19" s="344"/>
      <c r="B19" s="197"/>
      <c r="C19" s="335"/>
      <c r="D19" s="336"/>
      <c r="E19" s="335"/>
      <c r="F19" s="335"/>
      <c r="G19" s="333"/>
      <c r="H19" s="345">
        <f t="shared" si="7"/>
        <v>0</v>
      </c>
      <c r="I19" s="334"/>
      <c r="J19" s="332"/>
      <c r="K19" s="331"/>
    </row>
    <row r="20" spans="1:11" ht="23.45" hidden="1" customHeight="1" outlineLevel="1" x14ac:dyDescent="0.2">
      <c r="A20" s="344"/>
      <c r="B20" s="197"/>
      <c r="C20" s="335"/>
      <c r="D20" s="336"/>
      <c r="E20" s="335"/>
      <c r="F20" s="335"/>
      <c r="G20" s="333"/>
      <c r="H20" s="345">
        <f t="shared" si="7"/>
        <v>0</v>
      </c>
      <c r="I20" s="334"/>
      <c r="J20" s="332"/>
      <c r="K20" s="331"/>
    </row>
    <row r="21" spans="1:11" ht="12.95" customHeight="1" collapsed="1" x14ac:dyDescent="0.2">
      <c r="A21" s="346" t="s">
        <v>5</v>
      </c>
      <c r="B21" s="347"/>
      <c r="C21" s="348">
        <f>C14</f>
        <v>0</v>
      </c>
      <c r="D21" s="348">
        <f>D14</f>
        <v>0</v>
      </c>
      <c r="E21" s="348">
        <f>E14</f>
        <v>0</v>
      </c>
      <c r="F21" s="348">
        <f>F14</f>
        <v>377482966.09999996</v>
      </c>
      <c r="G21" s="348">
        <f>G14</f>
        <v>366158527.13999999</v>
      </c>
      <c r="H21" s="348">
        <f t="shared" si="7"/>
        <v>11324438.959999979</v>
      </c>
      <c r="I21" s="348">
        <f>I14</f>
        <v>16595819.200000003</v>
      </c>
      <c r="J21" s="332"/>
      <c r="K21" s="331"/>
    </row>
    <row r="22" spans="1:11" x14ac:dyDescent="0.2">
      <c r="K22" s="331"/>
    </row>
    <row r="23" spans="1:11" ht="15" x14ac:dyDescent="0.2">
      <c r="A23" s="470" t="s">
        <v>370</v>
      </c>
      <c r="B23" s="470"/>
      <c r="C23" s="342">
        <f>C24</f>
        <v>49653720.401604488</v>
      </c>
      <c r="D23" s="342">
        <f t="shared" ref="D23:H23" si="9">D24</f>
        <v>1522282.1024</v>
      </c>
      <c r="E23" s="342">
        <f t="shared" si="9"/>
        <v>0</v>
      </c>
      <c r="F23" s="342">
        <f t="shared" si="9"/>
        <v>37250992.710000001</v>
      </c>
      <c r="G23" s="342">
        <f t="shared" si="9"/>
        <v>36788976.480000004</v>
      </c>
      <c r="H23" s="342">
        <f t="shared" si="9"/>
        <v>462016.23000000138</v>
      </c>
      <c r="I23" s="342">
        <f>I24</f>
        <v>1796869.5776440001</v>
      </c>
      <c r="J23" s="332"/>
      <c r="K23" s="331"/>
    </row>
    <row r="24" spans="1:11" ht="12.95" customHeight="1" x14ac:dyDescent="0.2">
      <c r="A24" s="113"/>
      <c r="B24" s="343"/>
      <c r="C24" s="329">
        <f>SUM(C25:C47)</f>
        <v>49653720.401604488</v>
      </c>
      <c r="D24" s="329">
        <f t="shared" ref="D24:I24" si="10">SUM(D25:D47)</f>
        <v>1522282.1024</v>
      </c>
      <c r="E24" s="329">
        <f t="shared" si="10"/>
        <v>0</v>
      </c>
      <c r="F24" s="329">
        <f t="shared" si="10"/>
        <v>37250992.710000001</v>
      </c>
      <c r="G24" s="329">
        <f t="shared" si="10"/>
        <v>36788976.480000004</v>
      </c>
      <c r="H24" s="329">
        <f t="shared" si="10"/>
        <v>462016.23000000138</v>
      </c>
      <c r="I24" s="329">
        <f t="shared" si="10"/>
        <v>1796869.5776440001</v>
      </c>
      <c r="J24" s="332"/>
      <c r="K24" s="331"/>
    </row>
    <row r="25" spans="1:11" ht="23.45" customHeight="1" x14ac:dyDescent="0.2">
      <c r="A25" s="344" t="s">
        <v>371</v>
      </c>
      <c r="B25" s="197" t="s">
        <v>392</v>
      </c>
      <c r="C25" s="335">
        <f>17013778.16-90000</f>
        <v>16923778.16</v>
      </c>
      <c r="D25" s="336"/>
      <c r="E25" s="335"/>
      <c r="F25" s="335">
        <v>16605957.560000001</v>
      </c>
      <c r="G25" s="333">
        <v>16431544.199999999</v>
      </c>
      <c r="H25" s="345">
        <f t="shared" ref="H25:H48" si="11">F25-G25</f>
        <v>174413.36000000127</v>
      </c>
      <c r="I25" s="334"/>
      <c r="J25" s="332"/>
      <c r="K25" s="331"/>
    </row>
    <row r="26" spans="1:11" ht="23.45" customHeight="1" x14ac:dyDescent="0.2">
      <c r="A26" s="344" t="s">
        <v>372</v>
      </c>
      <c r="B26" s="197" t="s">
        <v>393</v>
      </c>
      <c r="C26" s="335">
        <v>265614.90000000002</v>
      </c>
      <c r="D26" s="336"/>
      <c r="E26" s="335"/>
      <c r="F26" s="335">
        <v>211678.97</v>
      </c>
      <c r="G26" s="333">
        <v>211678.97</v>
      </c>
      <c r="H26" s="345">
        <f t="shared" si="11"/>
        <v>0</v>
      </c>
      <c r="I26" s="334"/>
      <c r="J26" s="332"/>
      <c r="K26" s="331"/>
    </row>
    <row r="27" spans="1:11" ht="23.45" customHeight="1" x14ac:dyDescent="0.2">
      <c r="A27" s="344" t="s">
        <v>373</v>
      </c>
      <c r="B27" s="197" t="s">
        <v>394</v>
      </c>
      <c r="C27" s="335">
        <f>6397192.081+420656.6077+311390</f>
        <v>7129238.6886999998</v>
      </c>
      <c r="D27" s="336"/>
      <c r="E27" s="335"/>
      <c r="F27" s="335">
        <v>3087292.77</v>
      </c>
      <c r="G27" s="333">
        <v>2647912.94</v>
      </c>
      <c r="H27" s="345">
        <f t="shared" si="11"/>
        <v>439379.83000000007</v>
      </c>
      <c r="I27" s="334"/>
      <c r="J27" s="332"/>
      <c r="K27" s="331"/>
    </row>
    <row r="28" spans="1:11" ht="23.45" customHeight="1" x14ac:dyDescent="0.2">
      <c r="A28" s="350" t="s">
        <v>407</v>
      </c>
      <c r="B28" s="197" t="s">
        <v>408</v>
      </c>
      <c r="C28" s="354">
        <v>259236.64</v>
      </c>
      <c r="D28" s="355"/>
      <c r="E28" s="354"/>
      <c r="F28" s="354"/>
      <c r="G28" s="333"/>
      <c r="H28" s="345">
        <f t="shared" si="11"/>
        <v>0</v>
      </c>
      <c r="I28" s="334"/>
      <c r="J28" s="332"/>
      <c r="K28" s="331"/>
    </row>
    <row r="29" spans="1:11" ht="23.45" customHeight="1" x14ac:dyDescent="0.2">
      <c r="A29" s="344" t="s">
        <v>374</v>
      </c>
      <c r="B29" s="197" t="s">
        <v>395</v>
      </c>
      <c r="C29" s="335">
        <v>2100000</v>
      </c>
      <c r="D29" s="336"/>
      <c r="E29" s="335"/>
      <c r="F29" s="335">
        <v>2099963.2400000002</v>
      </c>
      <c r="G29" s="333">
        <v>2099963.2400000002</v>
      </c>
      <c r="H29" s="345">
        <f t="shared" ref="H29:H34" si="12">F29-G29</f>
        <v>0</v>
      </c>
      <c r="I29" s="334"/>
      <c r="J29" s="332"/>
      <c r="K29" s="331"/>
    </row>
    <row r="30" spans="1:11" ht="23.45" customHeight="1" x14ac:dyDescent="0.2">
      <c r="A30" s="344" t="s">
        <v>375</v>
      </c>
      <c r="B30" s="197" t="s">
        <v>396</v>
      </c>
      <c r="C30" s="335">
        <v>961530.55</v>
      </c>
      <c r="D30" s="336"/>
      <c r="E30" s="335"/>
      <c r="F30" s="335"/>
      <c r="G30" s="333">
        <v>329967.82</v>
      </c>
      <c r="H30" s="345">
        <f t="shared" si="12"/>
        <v>-329967.82</v>
      </c>
      <c r="I30" s="334">
        <v>891722.9</v>
      </c>
      <c r="J30" s="332"/>
      <c r="K30" s="331"/>
    </row>
    <row r="31" spans="1:11" ht="23.45" customHeight="1" x14ac:dyDescent="0.2">
      <c r="A31" s="350" t="s">
        <v>409</v>
      </c>
      <c r="B31" s="197" t="s">
        <v>410</v>
      </c>
      <c r="C31" s="354">
        <v>138362.18</v>
      </c>
      <c r="D31" s="355"/>
      <c r="E31" s="354"/>
      <c r="F31" s="354"/>
      <c r="G31" s="333"/>
      <c r="H31" s="345">
        <f t="shared" si="12"/>
        <v>0</v>
      </c>
      <c r="I31" s="334"/>
      <c r="J31" s="332"/>
      <c r="K31" s="331"/>
    </row>
    <row r="32" spans="1:11" ht="23.45" customHeight="1" x14ac:dyDescent="0.2">
      <c r="A32" s="350" t="s">
        <v>405</v>
      </c>
      <c r="B32" s="197" t="s">
        <v>406</v>
      </c>
      <c r="C32" s="354">
        <v>940410.64800000004</v>
      </c>
      <c r="D32" s="355"/>
      <c r="E32" s="354"/>
      <c r="F32" s="354"/>
      <c r="G32" s="333"/>
      <c r="H32" s="345">
        <f t="shared" si="12"/>
        <v>0</v>
      </c>
      <c r="I32" s="334"/>
      <c r="J32" s="332"/>
      <c r="K32" s="331"/>
    </row>
    <row r="33" spans="1:11" ht="23.45" customHeight="1" x14ac:dyDescent="0.2">
      <c r="A33" s="344" t="s">
        <v>376</v>
      </c>
      <c r="B33" s="197"/>
      <c r="C33" s="335">
        <v>1063961.9408807999</v>
      </c>
      <c r="D33" s="336"/>
      <c r="E33" s="335"/>
      <c r="F33" s="335">
        <v>1063516.73</v>
      </c>
      <c r="G33" s="333">
        <v>1063516.73</v>
      </c>
      <c r="H33" s="345">
        <f t="shared" si="12"/>
        <v>0</v>
      </c>
      <c r="I33" s="334"/>
      <c r="J33" s="332"/>
      <c r="K33" s="331"/>
    </row>
    <row r="34" spans="1:11" ht="23.45" customHeight="1" x14ac:dyDescent="0.2">
      <c r="A34" s="344" t="s">
        <v>377</v>
      </c>
      <c r="B34" s="197"/>
      <c r="C34" s="335">
        <v>4567152.1141680004</v>
      </c>
      <c r="D34" s="336"/>
      <c r="E34" s="335"/>
      <c r="F34" s="335">
        <v>3985555.74</v>
      </c>
      <c r="G34" s="333">
        <v>3933720.59</v>
      </c>
      <c r="H34" s="345">
        <f t="shared" si="12"/>
        <v>51835.150000000373</v>
      </c>
      <c r="I34" s="334">
        <v>450073.387644</v>
      </c>
      <c r="J34" s="332"/>
      <c r="K34" s="331"/>
    </row>
    <row r="35" spans="1:11" ht="23.45" customHeight="1" x14ac:dyDescent="0.2">
      <c r="A35" s="344" t="s">
        <v>378</v>
      </c>
      <c r="B35" s="197"/>
      <c r="C35" s="335">
        <v>1094682.42</v>
      </c>
      <c r="D35" s="336"/>
      <c r="E35" s="335"/>
      <c r="F35" s="335">
        <v>782407.19</v>
      </c>
      <c r="G35" s="333">
        <v>876089.76</v>
      </c>
      <c r="H35" s="345">
        <f t="shared" ref="H35:H36" si="13">F35-G35</f>
        <v>-93682.570000000065</v>
      </c>
      <c r="I35" s="334"/>
      <c r="J35" s="332"/>
      <c r="K35" s="331"/>
    </row>
    <row r="36" spans="1:11" ht="23.45" customHeight="1" x14ac:dyDescent="0.2">
      <c r="A36" s="344" t="s">
        <v>379</v>
      </c>
      <c r="B36" s="197"/>
      <c r="C36" s="335">
        <v>10672595.1</v>
      </c>
      <c r="D36" s="336"/>
      <c r="E36" s="335"/>
      <c r="F36" s="335">
        <v>6311449.1299999999</v>
      </c>
      <c r="G36" s="359">
        <f>5232803.25+897333.66</f>
        <v>6130136.9100000001</v>
      </c>
      <c r="H36" s="345">
        <f t="shared" si="13"/>
        <v>181312.21999999974</v>
      </c>
      <c r="I36" s="334"/>
      <c r="J36" s="332"/>
      <c r="K36" s="331"/>
    </row>
    <row r="37" spans="1:11" ht="23.45" customHeight="1" x14ac:dyDescent="0.2">
      <c r="A37" s="344" t="s">
        <v>380</v>
      </c>
      <c r="B37" s="197"/>
      <c r="C37" s="335">
        <v>39500.15</v>
      </c>
      <c r="D37" s="336"/>
      <c r="E37" s="335"/>
      <c r="F37" s="335">
        <v>39500.15</v>
      </c>
      <c r="G37" s="333">
        <v>39500.15</v>
      </c>
      <c r="H37" s="345">
        <f t="shared" si="11"/>
        <v>0</v>
      </c>
      <c r="I37" s="334"/>
      <c r="J37" s="332"/>
      <c r="K37" s="331"/>
    </row>
    <row r="38" spans="1:11" ht="23.45" customHeight="1" x14ac:dyDescent="0.2">
      <c r="A38" s="344" t="s">
        <v>381</v>
      </c>
      <c r="B38" s="197" t="s">
        <v>397</v>
      </c>
      <c r="C38" s="335">
        <v>119696.93</v>
      </c>
      <c r="D38" s="336"/>
      <c r="E38" s="335"/>
      <c r="F38" s="335">
        <v>119696.93</v>
      </c>
      <c r="G38" s="333">
        <v>119696.93</v>
      </c>
      <c r="H38" s="345">
        <f t="shared" ref="H38" si="14">F38-G38</f>
        <v>0</v>
      </c>
      <c r="I38" s="334"/>
      <c r="J38" s="332"/>
      <c r="K38" s="331"/>
    </row>
    <row r="39" spans="1:11" ht="23.45" customHeight="1" x14ac:dyDescent="0.2">
      <c r="A39" s="344" t="s">
        <v>382</v>
      </c>
      <c r="B39" s="197" t="s">
        <v>392</v>
      </c>
      <c r="C39" s="335">
        <v>466146.52</v>
      </c>
      <c r="D39" s="336"/>
      <c r="E39" s="335"/>
      <c r="F39" s="335">
        <v>466146.45</v>
      </c>
      <c r="G39" s="333">
        <v>427420.39</v>
      </c>
      <c r="H39" s="345">
        <f t="shared" ref="H39:H40" si="15">F39-G39</f>
        <v>38726.06</v>
      </c>
      <c r="I39" s="334"/>
      <c r="J39" s="332"/>
      <c r="K39" s="331"/>
    </row>
    <row r="40" spans="1:11" ht="23.45" customHeight="1" x14ac:dyDescent="0.2">
      <c r="A40" s="350" t="s">
        <v>403</v>
      </c>
      <c r="B40" s="197" t="s">
        <v>404</v>
      </c>
      <c r="C40" s="354">
        <v>4699.5</v>
      </c>
      <c r="D40" s="355"/>
      <c r="E40" s="354"/>
      <c r="F40" s="354"/>
      <c r="G40" s="333"/>
      <c r="H40" s="345">
        <f t="shared" si="15"/>
        <v>0</v>
      </c>
      <c r="I40" s="334"/>
      <c r="J40" s="332"/>
      <c r="K40" s="331"/>
    </row>
    <row r="41" spans="1:11" ht="23.45" customHeight="1" x14ac:dyDescent="0.2">
      <c r="A41" s="344" t="s">
        <v>383</v>
      </c>
      <c r="B41" s="197" t="s">
        <v>398</v>
      </c>
      <c r="C41" s="335">
        <v>40666.74</v>
      </c>
      <c r="D41" s="336"/>
      <c r="E41" s="335"/>
      <c r="F41" s="335">
        <v>38205.86</v>
      </c>
      <c r="G41" s="333">
        <v>38205.86</v>
      </c>
      <c r="H41" s="345">
        <f t="shared" si="11"/>
        <v>0</v>
      </c>
      <c r="I41" s="334"/>
      <c r="J41" s="332"/>
      <c r="K41" s="331"/>
    </row>
    <row r="42" spans="1:11" ht="23.45" customHeight="1" x14ac:dyDescent="0.2">
      <c r="A42" s="350" t="s">
        <v>384</v>
      </c>
      <c r="B42" s="197" t="s">
        <v>397</v>
      </c>
      <c r="C42" s="337">
        <v>2440898.75</v>
      </c>
      <c r="D42" s="338"/>
      <c r="E42" s="337"/>
      <c r="F42" s="337">
        <v>2439621.9900000002</v>
      </c>
      <c r="G42" s="333">
        <v>2439621.9900000002</v>
      </c>
      <c r="H42" s="345">
        <f t="shared" ref="H42:H43" si="16">F42-G42</f>
        <v>0</v>
      </c>
      <c r="I42" s="334"/>
      <c r="J42" s="332"/>
      <c r="K42" s="331"/>
    </row>
    <row r="43" spans="1:11" ht="23.45" customHeight="1" x14ac:dyDescent="0.2">
      <c r="A43" s="350" t="s">
        <v>391</v>
      </c>
      <c r="B43" s="197"/>
      <c r="C43" s="354">
        <v>425548.46985567961</v>
      </c>
      <c r="D43" s="355"/>
      <c r="E43" s="354"/>
      <c r="F43" s="354"/>
      <c r="G43" s="333"/>
      <c r="H43" s="345">
        <f t="shared" si="16"/>
        <v>0</v>
      </c>
      <c r="I43" s="334">
        <v>455073.29</v>
      </c>
      <c r="J43" s="332"/>
      <c r="K43" s="331"/>
    </row>
    <row r="44" spans="1:11" ht="23.45" customHeight="1" x14ac:dyDescent="0.2">
      <c r="A44" s="350"/>
      <c r="B44" s="197" t="s">
        <v>399</v>
      </c>
      <c r="C44" s="354"/>
      <c r="D44" s="355">
        <v>1254925.9099999999</v>
      </c>
      <c r="E44" s="354"/>
      <c r="F44" s="354"/>
      <c r="G44" s="333"/>
      <c r="H44" s="345">
        <f t="shared" si="11"/>
        <v>0</v>
      </c>
      <c r="I44" s="334"/>
      <c r="J44" s="332"/>
      <c r="K44" s="331"/>
    </row>
    <row r="45" spans="1:11" ht="23.45" customHeight="1" x14ac:dyDescent="0.2">
      <c r="A45" s="350"/>
      <c r="B45" s="197" t="s">
        <v>400</v>
      </c>
      <c r="C45" s="354"/>
      <c r="D45" s="355">
        <v>113757.24</v>
      </c>
      <c r="E45" s="354"/>
      <c r="F45" s="354"/>
      <c r="G45" s="333"/>
      <c r="H45" s="345">
        <f t="shared" si="11"/>
        <v>0</v>
      </c>
      <c r="I45" s="334"/>
      <c r="J45" s="332"/>
      <c r="K45" s="331"/>
    </row>
    <row r="46" spans="1:11" ht="23.45" customHeight="1" x14ac:dyDescent="0.2">
      <c r="A46" s="350"/>
      <c r="B46" s="197" t="s">
        <v>401</v>
      </c>
      <c r="C46" s="354"/>
      <c r="D46" s="355">
        <v>1112.2524000000001</v>
      </c>
      <c r="E46" s="354"/>
      <c r="F46" s="354"/>
      <c r="G46" s="333"/>
      <c r="H46" s="345">
        <f t="shared" si="11"/>
        <v>0</v>
      </c>
      <c r="I46" s="334"/>
      <c r="J46" s="332"/>
      <c r="K46" s="331"/>
    </row>
    <row r="47" spans="1:11" ht="23.45" customHeight="1" x14ac:dyDescent="0.2">
      <c r="A47" s="344"/>
      <c r="B47" s="197" t="s">
        <v>402</v>
      </c>
      <c r="C47" s="335"/>
      <c r="D47" s="336">
        <v>152486.70000000001</v>
      </c>
      <c r="E47" s="335"/>
      <c r="F47" s="335"/>
      <c r="G47" s="333"/>
      <c r="H47" s="345">
        <f t="shared" si="11"/>
        <v>0</v>
      </c>
      <c r="I47" s="334"/>
      <c r="J47" s="332"/>
      <c r="K47" s="331"/>
    </row>
    <row r="48" spans="1:11" ht="12.95" customHeight="1" x14ac:dyDescent="0.2">
      <c r="A48" s="346" t="s">
        <v>5</v>
      </c>
      <c r="B48" s="347"/>
      <c r="C48" s="348">
        <f>C23</f>
        <v>49653720.401604488</v>
      </c>
      <c r="D48" s="348">
        <f t="shared" ref="D48:G48" si="17">D23</f>
        <v>1522282.1024</v>
      </c>
      <c r="E48" s="348">
        <f t="shared" si="17"/>
        <v>0</v>
      </c>
      <c r="F48" s="348">
        <f t="shared" si="17"/>
        <v>37250992.710000001</v>
      </c>
      <c r="G48" s="348">
        <f t="shared" si="17"/>
        <v>36788976.480000004</v>
      </c>
      <c r="H48" s="348">
        <f t="shared" si="11"/>
        <v>462016.22999999672</v>
      </c>
      <c r="I48" s="348">
        <f t="shared" ref="I48" si="18">I23</f>
        <v>1796869.5776440001</v>
      </c>
      <c r="J48" s="332"/>
      <c r="K48" s="331"/>
    </row>
    <row r="49" spans="1:11" x14ac:dyDescent="0.2">
      <c r="K49" s="331"/>
    </row>
    <row r="50" spans="1:11" ht="15" x14ac:dyDescent="0.2">
      <c r="A50" s="470" t="s">
        <v>385</v>
      </c>
      <c r="B50" s="470"/>
      <c r="C50" s="342">
        <f>C51</f>
        <v>0</v>
      </c>
      <c r="D50" s="342">
        <f t="shared" ref="D50:H50" si="19">D51</f>
        <v>0</v>
      </c>
      <c r="E50" s="342">
        <f t="shared" si="19"/>
        <v>0</v>
      </c>
      <c r="F50" s="342">
        <f t="shared" si="19"/>
        <v>0</v>
      </c>
      <c r="G50" s="342">
        <f t="shared" si="19"/>
        <v>7500000</v>
      </c>
      <c r="H50" s="342">
        <f t="shared" si="19"/>
        <v>-7500000</v>
      </c>
      <c r="I50" s="342">
        <f>I51</f>
        <v>0</v>
      </c>
      <c r="J50" s="332"/>
      <c r="K50" s="331"/>
    </row>
    <row r="51" spans="1:11" ht="12.95" customHeight="1" x14ac:dyDescent="0.2">
      <c r="A51" s="113"/>
      <c r="B51" s="343"/>
      <c r="C51" s="329">
        <f t="shared" ref="C51:I51" si="20">SUM(C52:C53)</f>
        <v>0</v>
      </c>
      <c r="D51" s="329">
        <f t="shared" si="20"/>
        <v>0</v>
      </c>
      <c r="E51" s="329">
        <f t="shared" si="20"/>
        <v>0</v>
      </c>
      <c r="F51" s="329">
        <f t="shared" si="20"/>
        <v>0</v>
      </c>
      <c r="G51" s="329">
        <f t="shared" si="20"/>
        <v>7500000</v>
      </c>
      <c r="H51" s="329">
        <f t="shared" si="20"/>
        <v>-7500000</v>
      </c>
      <c r="I51" s="329">
        <f t="shared" si="20"/>
        <v>0</v>
      </c>
      <c r="J51" s="332"/>
      <c r="K51" s="331"/>
    </row>
    <row r="52" spans="1:11" ht="23.45" hidden="1" customHeight="1" outlineLevel="1" x14ac:dyDescent="0.2">
      <c r="A52" s="344" t="s">
        <v>386</v>
      </c>
      <c r="B52" s="197"/>
      <c r="C52" s="335"/>
      <c r="D52" s="336"/>
      <c r="E52" s="335"/>
      <c r="F52" s="335"/>
      <c r="G52" s="333">
        <v>7500000</v>
      </c>
      <c r="H52" s="345">
        <f t="shared" ref="H52" si="21">F52-G52</f>
        <v>-7500000</v>
      </c>
      <c r="I52" s="334"/>
      <c r="J52" s="332"/>
      <c r="K52" s="331"/>
    </row>
    <row r="53" spans="1:11" ht="23.45" hidden="1" customHeight="1" outlineLevel="1" x14ac:dyDescent="0.2">
      <c r="A53" s="344"/>
      <c r="B53" s="197"/>
      <c r="C53" s="335"/>
      <c r="D53" s="336"/>
      <c r="E53" s="335"/>
      <c r="F53" s="335"/>
      <c r="G53" s="333"/>
      <c r="H53" s="345">
        <f t="shared" ref="H53:H54" si="22">F53-G53</f>
        <v>0</v>
      </c>
      <c r="I53" s="334"/>
      <c r="J53" s="332"/>
      <c r="K53" s="331"/>
    </row>
    <row r="54" spans="1:11" ht="12.95" customHeight="1" collapsed="1" x14ac:dyDescent="0.2">
      <c r="A54" s="346" t="s">
        <v>5</v>
      </c>
      <c r="B54" s="347"/>
      <c r="C54" s="348">
        <f>C50</f>
        <v>0</v>
      </c>
      <c r="D54" s="348">
        <f>D50</f>
        <v>0</v>
      </c>
      <c r="E54" s="348">
        <f>E50</f>
        <v>0</v>
      </c>
      <c r="F54" s="348">
        <f>F50</f>
        <v>0</v>
      </c>
      <c r="G54" s="348">
        <f>G50</f>
        <v>7500000</v>
      </c>
      <c r="H54" s="348">
        <f t="shared" si="22"/>
        <v>-7500000</v>
      </c>
      <c r="I54" s="348">
        <f t="shared" ref="I54" si="23">I50</f>
        <v>0</v>
      </c>
      <c r="J54" s="332"/>
      <c r="K54" s="331"/>
    </row>
    <row r="56" spans="1:11" ht="15" x14ac:dyDescent="0.2">
      <c r="A56" s="470" t="s">
        <v>387</v>
      </c>
      <c r="B56" s="470"/>
      <c r="C56" s="342">
        <f>C57</f>
        <v>0</v>
      </c>
      <c r="D56" s="342">
        <f t="shared" ref="D56:H56" si="24">D57</f>
        <v>0</v>
      </c>
      <c r="E56" s="342">
        <f t="shared" si="24"/>
        <v>0</v>
      </c>
      <c r="F56" s="342">
        <f t="shared" si="24"/>
        <v>3193857.47</v>
      </c>
      <c r="G56" s="342">
        <f t="shared" si="24"/>
        <v>8059387.21</v>
      </c>
      <c r="H56" s="342">
        <f t="shared" si="24"/>
        <v>-4865529.74</v>
      </c>
      <c r="I56" s="342">
        <f>I57</f>
        <v>3468699.52</v>
      </c>
    </row>
    <row r="57" spans="1:11" x14ac:dyDescent="0.2">
      <c r="A57" s="113"/>
      <c r="B57" s="343"/>
      <c r="C57" s="329">
        <f>SUM(C58:C63)</f>
        <v>0</v>
      </c>
      <c r="D57" s="329">
        <f t="shared" ref="D57:I57" si="25">SUM(D58:D63)</f>
        <v>0</v>
      </c>
      <c r="E57" s="329">
        <f t="shared" si="25"/>
        <v>0</v>
      </c>
      <c r="F57" s="329">
        <f t="shared" si="25"/>
        <v>3193857.47</v>
      </c>
      <c r="G57" s="329">
        <f t="shared" si="25"/>
        <v>8059387.21</v>
      </c>
      <c r="H57" s="329">
        <f t="shared" si="25"/>
        <v>-4865529.74</v>
      </c>
      <c r="I57" s="329">
        <f t="shared" si="25"/>
        <v>3468699.52</v>
      </c>
    </row>
    <row r="58" spans="1:11" ht="12.75" hidden="1" outlineLevel="1" x14ac:dyDescent="0.2">
      <c r="A58" s="344" t="s">
        <v>388</v>
      </c>
      <c r="B58" s="197"/>
      <c r="C58" s="335"/>
      <c r="D58" s="336"/>
      <c r="E58" s="335"/>
      <c r="F58" s="351">
        <v>3193857.47</v>
      </c>
      <c r="G58" s="333">
        <v>8059387.21</v>
      </c>
      <c r="H58" s="345">
        <f t="shared" ref="H58:H64" si="26">F58-G58</f>
        <v>-4865529.74</v>
      </c>
      <c r="I58" s="334">
        <v>3468699.52</v>
      </c>
    </row>
    <row r="59" spans="1:11" ht="12.75" hidden="1" outlineLevel="1" x14ac:dyDescent="0.2">
      <c r="A59" s="344"/>
      <c r="B59" s="197"/>
      <c r="C59" s="335"/>
      <c r="D59" s="336"/>
      <c r="E59" s="335"/>
      <c r="F59" s="335"/>
      <c r="G59" s="333"/>
      <c r="H59" s="345">
        <f t="shared" si="26"/>
        <v>0</v>
      </c>
      <c r="I59" s="334"/>
    </row>
    <row r="60" spans="1:11" ht="12.75" hidden="1" outlineLevel="1" x14ac:dyDescent="0.2">
      <c r="A60" s="344"/>
      <c r="B60" s="197"/>
      <c r="C60" s="335"/>
      <c r="D60" s="336"/>
      <c r="E60" s="335"/>
      <c r="F60" s="335"/>
      <c r="G60" s="333"/>
      <c r="H60" s="345">
        <f t="shared" si="26"/>
        <v>0</v>
      </c>
      <c r="I60" s="334"/>
    </row>
    <row r="61" spans="1:11" ht="12.75" hidden="1" outlineLevel="1" x14ac:dyDescent="0.2">
      <c r="A61" s="344"/>
      <c r="B61" s="197"/>
      <c r="C61" s="335"/>
      <c r="D61" s="336"/>
      <c r="E61" s="335"/>
      <c r="F61" s="335"/>
      <c r="G61" s="333"/>
      <c r="H61" s="345">
        <f t="shared" si="26"/>
        <v>0</v>
      </c>
      <c r="I61" s="334"/>
    </row>
    <row r="62" spans="1:11" ht="12.75" hidden="1" outlineLevel="1" x14ac:dyDescent="0.2">
      <c r="A62" s="344"/>
      <c r="B62" s="197"/>
      <c r="C62" s="335"/>
      <c r="D62" s="336"/>
      <c r="E62" s="335"/>
      <c r="F62" s="335"/>
      <c r="G62" s="333"/>
      <c r="H62" s="345">
        <f t="shared" si="26"/>
        <v>0</v>
      </c>
      <c r="I62" s="334"/>
    </row>
    <row r="63" spans="1:11" ht="12.75" hidden="1" outlineLevel="1" x14ac:dyDescent="0.2">
      <c r="A63" s="344"/>
      <c r="B63" s="197"/>
      <c r="C63" s="335"/>
      <c r="D63" s="336"/>
      <c r="E63" s="335"/>
      <c r="F63" s="335"/>
      <c r="G63" s="333"/>
      <c r="H63" s="345">
        <f t="shared" si="26"/>
        <v>0</v>
      </c>
      <c r="I63" s="334"/>
    </row>
    <row r="64" spans="1:11" ht="15" collapsed="1" x14ac:dyDescent="0.2">
      <c r="A64" s="346" t="s">
        <v>5</v>
      </c>
      <c r="B64" s="347"/>
      <c r="C64" s="348">
        <f>C56</f>
        <v>0</v>
      </c>
      <c r="D64" s="348">
        <f t="shared" ref="D64:G64" si="27">D56</f>
        <v>0</v>
      </c>
      <c r="E64" s="348">
        <f t="shared" si="27"/>
        <v>0</v>
      </c>
      <c r="F64" s="348">
        <f t="shared" si="27"/>
        <v>3193857.47</v>
      </c>
      <c r="G64" s="348">
        <f t="shared" si="27"/>
        <v>8059387.21</v>
      </c>
      <c r="H64" s="348">
        <f t="shared" si="26"/>
        <v>-4865529.74</v>
      </c>
      <c r="I64" s="348">
        <f t="shared" ref="I64" si="28">I56</f>
        <v>3468699.52</v>
      </c>
    </row>
    <row r="66" spans="1:9" ht="15" x14ac:dyDescent="0.2">
      <c r="A66" s="470" t="s">
        <v>389</v>
      </c>
      <c r="B66" s="470"/>
      <c r="C66" s="342">
        <f>C67</f>
        <v>0</v>
      </c>
      <c r="D66" s="342">
        <f t="shared" ref="D66:H66" si="29">D67</f>
        <v>0</v>
      </c>
      <c r="E66" s="342">
        <f t="shared" si="29"/>
        <v>0</v>
      </c>
      <c r="F66" s="342">
        <f t="shared" si="29"/>
        <v>18436288.09</v>
      </c>
      <c r="G66" s="342">
        <f t="shared" si="29"/>
        <v>18945180.77</v>
      </c>
      <c r="H66" s="342">
        <f t="shared" si="29"/>
        <v>-508892.6799999997</v>
      </c>
      <c r="I66" s="342">
        <f>I67</f>
        <v>541874.55000000005</v>
      </c>
    </row>
    <row r="67" spans="1:9" x14ac:dyDescent="0.2">
      <c r="A67" s="113"/>
      <c r="B67" s="343"/>
      <c r="C67" s="329">
        <f t="shared" ref="C67:I67" si="30">SUM(C68:C71)</f>
        <v>0</v>
      </c>
      <c r="D67" s="329">
        <f t="shared" si="30"/>
        <v>0</v>
      </c>
      <c r="E67" s="329">
        <f t="shared" si="30"/>
        <v>0</v>
      </c>
      <c r="F67" s="329">
        <f t="shared" si="30"/>
        <v>18436288.09</v>
      </c>
      <c r="G67" s="329">
        <f t="shared" si="30"/>
        <v>18945180.77</v>
      </c>
      <c r="H67" s="329">
        <f t="shared" si="30"/>
        <v>-508892.6799999997</v>
      </c>
      <c r="I67" s="329">
        <f t="shared" si="30"/>
        <v>541874.55000000005</v>
      </c>
    </row>
    <row r="68" spans="1:9" ht="12.75" hidden="1" outlineLevel="1" x14ac:dyDescent="0.2">
      <c r="A68" s="344" t="s">
        <v>361</v>
      </c>
      <c r="B68" s="197"/>
      <c r="C68" s="335"/>
      <c r="D68" s="336"/>
      <c r="E68" s="335"/>
      <c r="F68" s="335">
        <v>7048121.5700000003</v>
      </c>
      <c r="G68" s="333">
        <v>6963208.6600000001</v>
      </c>
      <c r="H68" s="345">
        <f t="shared" ref="H68:H72" si="31">F68-G68</f>
        <v>84912.910000000149</v>
      </c>
      <c r="I68" s="334"/>
    </row>
    <row r="69" spans="1:9" ht="12.75" hidden="1" outlineLevel="1" x14ac:dyDescent="0.2">
      <c r="A69" s="344" t="s">
        <v>390</v>
      </c>
      <c r="B69" s="197"/>
      <c r="C69" s="335"/>
      <c r="D69" s="336"/>
      <c r="E69" s="335"/>
      <c r="F69" s="335">
        <v>11388166.52</v>
      </c>
      <c r="G69" s="333">
        <v>11981972.109999999</v>
      </c>
      <c r="H69" s="345">
        <f t="shared" si="31"/>
        <v>-593805.58999999985</v>
      </c>
      <c r="I69" s="334">
        <v>541874.55000000005</v>
      </c>
    </row>
    <row r="70" spans="1:9" ht="12.75" hidden="1" outlineLevel="1" x14ac:dyDescent="0.2">
      <c r="A70" s="344"/>
      <c r="B70" s="197"/>
      <c r="C70" s="335"/>
      <c r="D70" s="336"/>
      <c r="E70" s="335"/>
      <c r="F70" s="335"/>
      <c r="G70" s="333"/>
      <c r="H70" s="345">
        <f t="shared" si="31"/>
        <v>0</v>
      </c>
      <c r="I70" s="334"/>
    </row>
    <row r="71" spans="1:9" ht="12.75" hidden="1" outlineLevel="1" x14ac:dyDescent="0.2">
      <c r="A71" s="344"/>
      <c r="B71" s="197"/>
      <c r="C71" s="335"/>
      <c r="D71" s="336"/>
      <c r="E71" s="335"/>
      <c r="F71" s="335"/>
      <c r="G71" s="333"/>
      <c r="H71" s="345">
        <f t="shared" si="31"/>
        <v>0</v>
      </c>
      <c r="I71" s="334"/>
    </row>
    <row r="72" spans="1:9" ht="15" collapsed="1" x14ac:dyDescent="0.2">
      <c r="A72" s="346" t="s">
        <v>5</v>
      </c>
      <c r="B72" s="347"/>
      <c r="C72" s="348">
        <f>C66</f>
        <v>0</v>
      </c>
      <c r="D72" s="348">
        <f t="shared" ref="D72:G72" si="32">D66</f>
        <v>0</v>
      </c>
      <c r="E72" s="348">
        <f t="shared" si="32"/>
        <v>0</v>
      </c>
      <c r="F72" s="348">
        <f t="shared" si="32"/>
        <v>18436288.09</v>
      </c>
      <c r="G72" s="348">
        <f t="shared" si="32"/>
        <v>18945180.77</v>
      </c>
      <c r="H72" s="348">
        <f t="shared" si="31"/>
        <v>-508892.6799999997</v>
      </c>
      <c r="I72" s="348">
        <f t="shared" ref="I72" si="33">I66</f>
        <v>541874.55000000005</v>
      </c>
    </row>
  </sheetData>
  <mergeCells count="11">
    <mergeCell ref="A66:B66"/>
    <mergeCell ref="D4:D5"/>
    <mergeCell ref="E4:E5"/>
    <mergeCell ref="F4:H4"/>
    <mergeCell ref="B4:B5"/>
    <mergeCell ref="A56:B56"/>
    <mergeCell ref="A7:B7"/>
    <mergeCell ref="A14:B14"/>
    <mergeCell ref="A23:B23"/>
    <mergeCell ref="A50:B50"/>
    <mergeCell ref="C4:C5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08E2-49D4-42AD-938C-08E6E5F725FF}">
  <sheetPr>
    <tabColor rgb="FF92D050"/>
    <pageSetUpPr fitToPage="1"/>
  </sheetPr>
  <dimension ref="A1:J69"/>
  <sheetViews>
    <sheetView topLeftCell="A4" zoomScale="70" zoomScaleNormal="70" workbookViewId="0">
      <pane xSplit="2" ySplit="2" topLeftCell="C21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58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58" t="s">
        <v>8</v>
      </c>
    </row>
    <row r="5" spans="1:10" ht="36" x14ac:dyDescent="0.2">
      <c r="A5" s="358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0" t="s">
        <v>364</v>
      </c>
      <c r="B7" s="470"/>
      <c r="C7" s="342">
        <f>C8</f>
        <v>113670892.85640001</v>
      </c>
      <c r="D7" s="342">
        <f t="shared" ref="D7:G7" si="0">D8</f>
        <v>0</v>
      </c>
      <c r="E7" s="342">
        <f t="shared" si="0"/>
        <v>3720190.36</v>
      </c>
      <c r="F7" s="342">
        <f t="shared" si="0"/>
        <v>4798378.0999999996</v>
      </c>
      <c r="G7" s="342">
        <f t="shared" si="0"/>
        <v>-1078187.7399999998</v>
      </c>
      <c r="H7" s="342">
        <f>H8</f>
        <v>3484119.36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0</v>
      </c>
      <c r="E8" s="329">
        <f t="shared" si="1"/>
        <v>3720190.36</v>
      </c>
      <c r="F8" s="329">
        <f t="shared" si="1"/>
        <v>4798378.0999999996</v>
      </c>
      <c r="G8" s="329">
        <f t="shared" si="1"/>
        <v>-1078187.7399999998</v>
      </c>
      <c r="H8" s="329">
        <f t="shared" si="1"/>
        <v>3484119.36</v>
      </c>
      <c r="I8" s="332"/>
      <c r="J8" s="331"/>
    </row>
    <row r="9" spans="1:10" ht="12.75" hidden="1" outlineLevel="1" x14ac:dyDescent="0.2">
      <c r="A9" s="350" t="s">
        <v>362</v>
      </c>
      <c r="B9" s="197"/>
      <c r="C9" s="356">
        <v>113670892.85640001</v>
      </c>
      <c r="D9" s="357"/>
      <c r="E9" s="356">
        <v>3720190.36</v>
      </c>
      <c r="F9" s="333">
        <v>4798378.0999999996</v>
      </c>
      <c r="G9" s="345">
        <f t="shared" ref="G9:G12" si="2">E9-F9</f>
        <v>-1078187.7399999998</v>
      </c>
      <c r="H9" s="334">
        <f>1471909.43+2012209.93</f>
        <v>3484119.36</v>
      </c>
      <c r="I9" s="332"/>
      <c r="J9" s="331"/>
    </row>
    <row r="10" spans="1:10" ht="12.75" hidden="1" outlineLevel="1" x14ac:dyDescent="0.2">
      <c r="A10" s="350"/>
      <c r="B10" s="197"/>
      <c r="C10" s="356"/>
      <c r="D10" s="357"/>
      <c r="E10" s="356"/>
      <c r="F10" s="333"/>
      <c r="G10" s="345">
        <f t="shared" si="2"/>
        <v>0</v>
      </c>
      <c r="H10" s="334"/>
      <c r="I10" s="332"/>
      <c r="J10" s="331"/>
    </row>
    <row r="11" spans="1:10" ht="12.75" hidden="1" outlineLevel="1" x14ac:dyDescent="0.2">
      <c r="A11" s="350"/>
      <c r="B11" s="197"/>
      <c r="C11" s="356"/>
      <c r="D11" s="357"/>
      <c r="E11" s="356"/>
      <c r="F11" s="333"/>
      <c r="G11" s="345">
        <f t="shared" si="2"/>
        <v>0</v>
      </c>
      <c r="H11" s="334"/>
      <c r="I11" s="332"/>
      <c r="J11" s="331"/>
    </row>
    <row r="12" spans="1:10" ht="12.95" customHeight="1" collapsed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0</v>
      </c>
      <c r="E12" s="348">
        <f t="shared" si="3"/>
        <v>3720190.36</v>
      </c>
      <c r="F12" s="348">
        <f t="shared" si="3"/>
        <v>4798378.0999999996</v>
      </c>
      <c r="G12" s="348">
        <f t="shared" si="2"/>
        <v>-1078187.7399999998</v>
      </c>
      <c r="H12" s="348">
        <f t="shared" ref="H12" si="4">H7</f>
        <v>3484119.36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0" t="s">
        <v>367</v>
      </c>
      <c r="B14" s="470"/>
      <c r="C14" s="342">
        <f t="shared" ref="C14:H14" si="5">C15+C17</f>
        <v>411366646.14999998</v>
      </c>
      <c r="D14" s="342">
        <f t="shared" si="5"/>
        <v>208193011.94999999</v>
      </c>
      <c r="E14" s="342">
        <f t="shared" si="5"/>
        <v>385028394.04999995</v>
      </c>
      <c r="F14" s="342">
        <f t="shared" si="5"/>
        <v>381421614.07999998</v>
      </c>
      <c r="G14" s="342">
        <f t="shared" si="5"/>
        <v>3606779.9699999951</v>
      </c>
      <c r="H14" s="342">
        <f t="shared" si="5"/>
        <v>10416592.960000001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 t="shared" ref="C15:H15" si="6">SUM(C16:C16)</f>
        <v>399709810.57999998</v>
      </c>
      <c r="D15" s="329">
        <f t="shared" si="6"/>
        <v>207488797.01999998</v>
      </c>
      <c r="E15" s="329">
        <f t="shared" si="6"/>
        <v>381681224.39999998</v>
      </c>
      <c r="F15" s="329">
        <f t="shared" si="6"/>
        <v>378174859.51999998</v>
      </c>
      <c r="G15" s="329">
        <f t="shared" si="6"/>
        <v>3506364.8799999952</v>
      </c>
      <c r="H15" s="329">
        <f t="shared" si="6"/>
        <v>7270347.0900000008</v>
      </c>
      <c r="I15" s="332"/>
      <c r="J15" s="331"/>
    </row>
    <row r="16" spans="1:10" ht="12.75" hidden="1" outlineLevel="1" x14ac:dyDescent="0.2">
      <c r="A16" s="350" t="s">
        <v>365</v>
      </c>
      <c r="B16" s="197"/>
      <c r="C16" s="360">
        <f>411366646.15-C18</f>
        <v>399709810.57999998</v>
      </c>
      <c r="D16" s="357">
        <f>208193011.95-D18</f>
        <v>207488797.01999998</v>
      </c>
      <c r="E16" s="356">
        <v>381681224.39999998</v>
      </c>
      <c r="F16" s="333">
        <v>378174859.51999998</v>
      </c>
      <c r="G16" s="345">
        <f t="shared" ref="G16:G21" si="7">E16-F16</f>
        <v>3506364.8799999952</v>
      </c>
      <c r="H16" s="334">
        <v>7270347.0900000008</v>
      </c>
      <c r="I16" s="332"/>
      <c r="J16" s="331"/>
    </row>
    <row r="17" spans="1:10" ht="12.95" customHeight="1" collapsed="1" x14ac:dyDescent="0.2">
      <c r="A17" s="349" t="s">
        <v>368</v>
      </c>
      <c r="B17" s="343"/>
      <c r="C17" s="329">
        <f>SUM(C18:C20)</f>
        <v>11656835.57</v>
      </c>
      <c r="D17" s="329">
        <f t="shared" ref="D17:H17" si="8">SUM(D18:D20)</f>
        <v>704214.93</v>
      </c>
      <c r="E17" s="329">
        <f t="shared" si="8"/>
        <v>3347169.65</v>
      </c>
      <c r="F17" s="329">
        <f t="shared" si="8"/>
        <v>3246754.56</v>
      </c>
      <c r="G17" s="329">
        <f t="shared" si="8"/>
        <v>100415.08999999985</v>
      </c>
      <c r="H17" s="329">
        <f t="shared" si="8"/>
        <v>3146245.87</v>
      </c>
      <c r="I17" s="332"/>
      <c r="J17" s="331"/>
    </row>
    <row r="18" spans="1:10" ht="12.75" hidden="1" outlineLevel="1" x14ac:dyDescent="0.2">
      <c r="A18" s="350" t="s">
        <v>369</v>
      </c>
      <c r="B18" s="197"/>
      <c r="C18" s="356">
        <v>11656835.57</v>
      </c>
      <c r="D18" s="357">
        <v>704214.93</v>
      </c>
      <c r="E18" s="356">
        <v>3347169.65</v>
      </c>
      <c r="F18" s="333">
        <v>3246754.56</v>
      </c>
      <c r="G18" s="345">
        <f t="shared" si="7"/>
        <v>100415.08999999985</v>
      </c>
      <c r="H18" s="334">
        <v>3146245.87</v>
      </c>
      <c r="I18" s="332"/>
      <c r="J18" s="331"/>
    </row>
    <row r="19" spans="1:10" ht="12.75" hidden="1" outlineLevel="1" x14ac:dyDescent="0.2">
      <c r="A19" s="350"/>
      <c r="B19" s="197"/>
      <c r="C19" s="356"/>
      <c r="D19" s="357"/>
      <c r="E19" s="356"/>
      <c r="F19" s="333"/>
      <c r="G19" s="345">
        <f t="shared" si="7"/>
        <v>0</v>
      </c>
      <c r="H19" s="334"/>
      <c r="I19" s="332"/>
      <c r="J19" s="331"/>
    </row>
    <row r="20" spans="1:10" ht="12.75" hidden="1" outlineLevel="1" x14ac:dyDescent="0.2">
      <c r="A20" s="350"/>
      <c r="B20" s="197"/>
      <c r="C20" s="356"/>
      <c r="D20" s="357"/>
      <c r="E20" s="356"/>
      <c r="F20" s="333"/>
      <c r="G20" s="345">
        <f t="shared" si="7"/>
        <v>0</v>
      </c>
      <c r="H20" s="334"/>
      <c r="I20" s="332"/>
      <c r="J20" s="331"/>
    </row>
    <row r="21" spans="1:10" ht="12.95" customHeight="1" collapsed="1" x14ac:dyDescent="0.2">
      <c r="A21" s="346" t="s">
        <v>5</v>
      </c>
      <c r="B21" s="347"/>
      <c r="C21" s="348">
        <f>C14</f>
        <v>411366646.14999998</v>
      </c>
      <c r="D21" s="348">
        <f>D14</f>
        <v>208193011.94999999</v>
      </c>
      <c r="E21" s="348">
        <f>E14</f>
        <v>385028394.04999995</v>
      </c>
      <c r="F21" s="348">
        <f>F14</f>
        <v>381421614.07999998</v>
      </c>
      <c r="G21" s="348">
        <f t="shared" si="7"/>
        <v>3606779.969999969</v>
      </c>
      <c r="H21" s="348">
        <f>H14</f>
        <v>10416592.960000001</v>
      </c>
      <c r="I21" s="332"/>
      <c r="J21" s="331"/>
    </row>
    <row r="22" spans="1:10" x14ac:dyDescent="0.2">
      <c r="J22" s="331"/>
    </row>
    <row r="23" spans="1:10" ht="15" x14ac:dyDescent="0.2">
      <c r="A23" s="470" t="s">
        <v>370</v>
      </c>
      <c r="B23" s="470"/>
      <c r="C23" s="342">
        <f>C24</f>
        <v>51051074.92174881</v>
      </c>
      <c r="D23" s="342">
        <f t="shared" ref="D23:G23" si="9">D24</f>
        <v>153598.95240000001</v>
      </c>
      <c r="E23" s="342">
        <f t="shared" si="9"/>
        <v>37363626.247720405</v>
      </c>
      <c r="F23" s="342">
        <f t="shared" si="9"/>
        <v>38355504.870000005</v>
      </c>
      <c r="G23" s="342">
        <f t="shared" si="9"/>
        <v>-991878.62227959814</v>
      </c>
      <c r="H23" s="342">
        <f>H24</f>
        <v>1383914.952</v>
      </c>
      <c r="I23" s="332"/>
      <c r="J23" s="331"/>
    </row>
    <row r="24" spans="1:10" ht="12.95" customHeight="1" x14ac:dyDescent="0.2">
      <c r="A24" s="113"/>
      <c r="B24" s="343"/>
      <c r="C24" s="329">
        <f>SUM(C25:C47)</f>
        <v>51051074.92174881</v>
      </c>
      <c r="D24" s="329">
        <f t="shared" ref="D24:H24" si="10">SUM(D25:D47)</f>
        <v>153598.95240000001</v>
      </c>
      <c r="E24" s="329">
        <f t="shared" si="10"/>
        <v>37363626.247720405</v>
      </c>
      <c r="F24" s="329">
        <f t="shared" si="10"/>
        <v>38355504.870000005</v>
      </c>
      <c r="G24" s="329">
        <f t="shared" si="10"/>
        <v>-991878.62227959814</v>
      </c>
      <c r="H24" s="329">
        <f t="shared" si="10"/>
        <v>1383914.952</v>
      </c>
      <c r="I24" s="332"/>
      <c r="J24" s="331"/>
    </row>
    <row r="25" spans="1:10" ht="23.45" customHeight="1" outlineLevel="1" x14ac:dyDescent="0.2">
      <c r="A25" s="350" t="s">
        <v>371</v>
      </c>
      <c r="B25" s="197" t="s">
        <v>392</v>
      </c>
      <c r="C25" s="356">
        <f>17013778.16-90000</f>
        <v>16923778.16</v>
      </c>
      <c r="D25" s="357"/>
      <c r="E25" s="356">
        <f>16605957.56-174413.35</f>
        <v>16431544.210000001</v>
      </c>
      <c r="F25" s="333">
        <v>16431544.199999999</v>
      </c>
      <c r="G25" s="345">
        <f t="shared" ref="G25:G48" si="11">E25-F25</f>
        <v>1.0000001639127731E-2</v>
      </c>
      <c r="H25" s="334">
        <v>174413.35200000001</v>
      </c>
      <c r="I25" s="332"/>
      <c r="J25" s="331"/>
    </row>
    <row r="26" spans="1:10" ht="23.45" customHeight="1" outlineLevel="1" x14ac:dyDescent="0.2">
      <c r="A26" s="350" t="s">
        <v>372</v>
      </c>
      <c r="B26" s="197" t="s">
        <v>393</v>
      </c>
      <c r="C26" s="356">
        <v>265614.90000000002</v>
      </c>
      <c r="D26" s="357"/>
      <c r="E26" s="356">
        <v>211678.97</v>
      </c>
      <c r="F26" s="333">
        <v>211678.97</v>
      </c>
      <c r="G26" s="345">
        <f t="shared" si="11"/>
        <v>0</v>
      </c>
      <c r="H26" s="334"/>
      <c r="I26" s="332"/>
      <c r="J26" s="331"/>
    </row>
    <row r="27" spans="1:10" ht="23.45" customHeight="1" outlineLevel="1" x14ac:dyDescent="0.2">
      <c r="A27" s="350" t="s">
        <v>373</v>
      </c>
      <c r="B27" s="197" t="s">
        <v>394</v>
      </c>
      <c r="C27" s="356">
        <f>6397192.081+420656.6077+311390</f>
        <v>7129238.6886999998</v>
      </c>
      <c r="D27" s="357"/>
      <c r="E27" s="356">
        <v>3087292.77</v>
      </c>
      <c r="F27" s="333">
        <v>2647912.94</v>
      </c>
      <c r="G27" s="345">
        <f t="shared" si="11"/>
        <v>439379.83000000007</v>
      </c>
      <c r="H27" s="334"/>
      <c r="I27" s="332"/>
      <c r="J27" s="331"/>
    </row>
    <row r="28" spans="1:10" ht="23.45" customHeight="1" outlineLevel="1" x14ac:dyDescent="0.2">
      <c r="A28" s="350" t="s">
        <v>407</v>
      </c>
      <c r="B28" s="197" t="s">
        <v>408</v>
      </c>
      <c r="C28" s="356">
        <v>259236.64</v>
      </c>
      <c r="D28" s="357"/>
      <c r="E28" s="356"/>
      <c r="F28" s="333"/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374</v>
      </c>
      <c r="B29" s="197" t="s">
        <v>395</v>
      </c>
      <c r="C29" s="356">
        <v>2100000</v>
      </c>
      <c r="D29" s="357"/>
      <c r="E29" s="356">
        <v>2099963.2400000002</v>
      </c>
      <c r="F29" s="333">
        <v>2099963.2400000002</v>
      </c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375</v>
      </c>
      <c r="B30" s="197" t="s">
        <v>396</v>
      </c>
      <c r="C30" s="356">
        <v>961530.55</v>
      </c>
      <c r="D30" s="357"/>
      <c r="E30" s="356"/>
      <c r="F30" s="333">
        <v>329967.82</v>
      </c>
      <c r="G30" s="345">
        <f t="shared" si="11"/>
        <v>-329967.82</v>
      </c>
      <c r="H30" s="334">
        <v>891722.9</v>
      </c>
      <c r="I30" s="332"/>
      <c r="J30" s="331"/>
    </row>
    <row r="31" spans="1:10" ht="23.45" customHeight="1" outlineLevel="1" x14ac:dyDescent="0.2">
      <c r="A31" s="350" t="s">
        <v>409</v>
      </c>
      <c r="B31" s="197" t="s">
        <v>410</v>
      </c>
      <c r="C31" s="356">
        <v>138362.18</v>
      </c>
      <c r="D31" s="357"/>
      <c r="E31" s="356"/>
      <c r="F31" s="333"/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405</v>
      </c>
      <c r="B32" s="197" t="s">
        <v>406</v>
      </c>
      <c r="C32" s="356">
        <v>940410.64800000004</v>
      </c>
      <c r="D32" s="357"/>
      <c r="E32" s="356"/>
      <c r="F32" s="333"/>
      <c r="G32" s="345">
        <f t="shared" si="11"/>
        <v>0</v>
      </c>
      <c r="H32" s="334"/>
      <c r="I32" s="332"/>
      <c r="J32" s="331"/>
    </row>
    <row r="33" spans="1:10" ht="23.45" customHeight="1" outlineLevel="1" x14ac:dyDescent="0.2">
      <c r="A33" s="350" t="s">
        <v>376</v>
      </c>
      <c r="B33" s="197"/>
      <c r="C33" s="356">
        <v>1063961.9408807999</v>
      </c>
      <c r="D33" s="357"/>
      <c r="E33" s="356">
        <v>1063516.73</v>
      </c>
      <c r="F33" s="333">
        <v>1063516.73</v>
      </c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377</v>
      </c>
      <c r="B34" s="197"/>
      <c r="C34" s="356">
        <v>4567152.1141680004</v>
      </c>
      <c r="D34" s="357"/>
      <c r="E34" s="356">
        <v>3985555.74</v>
      </c>
      <c r="F34" s="333">
        <v>3985555.74</v>
      </c>
      <c r="G34" s="345">
        <f t="shared" si="11"/>
        <v>0</v>
      </c>
      <c r="H34" s="334">
        <v>317778.7</v>
      </c>
      <c r="I34" s="332"/>
      <c r="J34" s="331"/>
    </row>
    <row r="35" spans="1:10" ht="23.45" customHeight="1" outlineLevel="1" x14ac:dyDescent="0.2">
      <c r="A35" s="350" t="s">
        <v>378</v>
      </c>
      <c r="B35" s="197"/>
      <c r="C35" s="356">
        <v>1094682.42</v>
      </c>
      <c r="D35" s="357"/>
      <c r="E35" s="356">
        <v>782407.19</v>
      </c>
      <c r="F35" s="333">
        <v>876089.76</v>
      </c>
      <c r="G35" s="345">
        <f t="shared" si="11"/>
        <v>-93682.570000000065</v>
      </c>
      <c r="H35" s="334"/>
      <c r="I35" s="332"/>
      <c r="J35" s="331"/>
    </row>
    <row r="36" spans="1:10" ht="23.45" customHeight="1" outlineLevel="1" x14ac:dyDescent="0.2">
      <c r="A36" s="350" t="s">
        <v>379</v>
      </c>
      <c r="B36" s="197"/>
      <c r="C36" s="356">
        <v>10672595.1</v>
      </c>
      <c r="D36" s="357"/>
      <c r="E36" s="356">
        <v>6311449.1299999999</v>
      </c>
      <c r="F36" s="359">
        <v>7366898.3499999996</v>
      </c>
      <c r="G36" s="345">
        <f t="shared" si="11"/>
        <v>-1055449.2199999997</v>
      </c>
      <c r="H36" s="334"/>
      <c r="I36" s="364" t="s">
        <v>413</v>
      </c>
      <c r="J36" s="331"/>
    </row>
    <row r="37" spans="1:10" ht="23.45" customHeight="1" outlineLevel="1" x14ac:dyDescent="0.2">
      <c r="A37" s="350" t="s">
        <v>380</v>
      </c>
      <c r="B37" s="197"/>
      <c r="C37" s="356">
        <v>39500.15</v>
      </c>
      <c r="D37" s="357"/>
      <c r="E37" s="356">
        <v>39500.15</v>
      </c>
      <c r="F37" s="333">
        <v>39500.15</v>
      </c>
      <c r="G37" s="345">
        <f t="shared" si="11"/>
        <v>0</v>
      </c>
      <c r="H37" s="334"/>
      <c r="I37" s="332"/>
      <c r="J37" s="331"/>
    </row>
    <row r="38" spans="1:10" ht="23.45" customHeight="1" outlineLevel="1" x14ac:dyDescent="0.2">
      <c r="A38" s="350" t="s">
        <v>381</v>
      </c>
      <c r="B38" s="197" t="s">
        <v>397</v>
      </c>
      <c r="C38" s="356">
        <v>119696.93</v>
      </c>
      <c r="D38" s="357"/>
      <c r="E38" s="356">
        <v>119696.93</v>
      </c>
      <c r="F38" s="333">
        <v>119696.93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382</v>
      </c>
      <c r="B39" s="197" t="s">
        <v>392</v>
      </c>
      <c r="C39" s="356">
        <v>466146.52</v>
      </c>
      <c r="D39" s="357"/>
      <c r="E39" s="356">
        <v>466146.45</v>
      </c>
      <c r="F39" s="333">
        <v>466146.45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403</v>
      </c>
      <c r="B40" s="197" t="s">
        <v>404</v>
      </c>
      <c r="C40" s="356">
        <v>4699.5</v>
      </c>
      <c r="D40" s="357"/>
      <c r="E40" s="356"/>
      <c r="F40" s="333"/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383</v>
      </c>
      <c r="B41" s="197" t="s">
        <v>398</v>
      </c>
      <c r="C41" s="356">
        <v>40666.74</v>
      </c>
      <c r="D41" s="357"/>
      <c r="E41" s="356">
        <v>38205.86</v>
      </c>
      <c r="F41" s="333">
        <v>38205.86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384</v>
      </c>
      <c r="B42" s="197" t="s">
        <v>397</v>
      </c>
      <c r="C42" s="356">
        <v>2440898.75</v>
      </c>
      <c r="D42" s="357"/>
      <c r="E42" s="356">
        <v>2439621.9900000002</v>
      </c>
      <c r="F42" s="333">
        <v>2439621.9900000002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391</v>
      </c>
      <c r="B43" s="197" t="s">
        <v>412</v>
      </c>
      <c r="C43" s="356">
        <v>454219.84</v>
      </c>
      <c r="D43" s="357"/>
      <c r="E43" s="356">
        <v>287046.8877204</v>
      </c>
      <c r="F43" s="359">
        <v>239205.74</v>
      </c>
      <c r="G43" s="345">
        <f t="shared" si="11"/>
        <v>47841.147720400011</v>
      </c>
      <c r="H43" s="334"/>
      <c r="I43" s="364" t="s">
        <v>414</v>
      </c>
      <c r="J43" s="331"/>
    </row>
    <row r="44" spans="1:10" ht="23.45" customHeight="1" outlineLevel="1" x14ac:dyDescent="0.2">
      <c r="A44" s="350" t="s">
        <v>411</v>
      </c>
      <c r="B44" s="197" t="s">
        <v>399</v>
      </c>
      <c r="C44" s="357">
        <v>1254925.9099999999</v>
      </c>
      <c r="D44" s="357"/>
      <c r="E44" s="356"/>
      <c r="F44" s="333"/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/>
      <c r="B45" s="197" t="s">
        <v>400</v>
      </c>
      <c r="C45" s="345">
        <v>113757.24</v>
      </c>
      <c r="D45" s="345"/>
      <c r="E45" s="356"/>
      <c r="F45" s="333"/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/>
      <c r="B46" s="197" t="s">
        <v>401</v>
      </c>
      <c r="C46" s="356"/>
      <c r="D46" s="357">
        <v>1112.2524000000001</v>
      </c>
      <c r="E46" s="356"/>
      <c r="F46" s="333"/>
      <c r="G46" s="345">
        <f t="shared" si="11"/>
        <v>0</v>
      </c>
      <c r="H46" s="334"/>
      <c r="I46" s="332"/>
      <c r="J46" s="331"/>
    </row>
    <row r="47" spans="1:10" ht="23.45" customHeight="1" outlineLevel="1" x14ac:dyDescent="0.2">
      <c r="A47" s="350"/>
      <c r="B47" s="197" t="s">
        <v>402</v>
      </c>
      <c r="C47" s="356"/>
      <c r="D47" s="357">
        <v>152486.70000000001</v>
      </c>
      <c r="E47" s="356"/>
      <c r="F47" s="333"/>
      <c r="G47" s="345">
        <f t="shared" si="11"/>
        <v>0</v>
      </c>
      <c r="H47" s="334"/>
      <c r="I47" s="332"/>
      <c r="J47" s="331"/>
    </row>
    <row r="48" spans="1:10" ht="12.95" customHeight="1" x14ac:dyDescent="0.2">
      <c r="A48" s="346" t="s">
        <v>5</v>
      </c>
      <c r="B48" s="347"/>
      <c r="C48" s="348">
        <f>C23</f>
        <v>51051074.92174881</v>
      </c>
      <c r="D48" s="348">
        <f t="shared" ref="D48:F48" si="12">D23</f>
        <v>153598.95240000001</v>
      </c>
      <c r="E48" s="348">
        <f t="shared" si="12"/>
        <v>37363626.247720405</v>
      </c>
      <c r="F48" s="348">
        <f t="shared" si="12"/>
        <v>38355504.870000005</v>
      </c>
      <c r="G48" s="348">
        <f t="shared" si="11"/>
        <v>-991878.62227959931</v>
      </c>
      <c r="H48" s="348">
        <f t="shared" ref="H48" si="13">H23</f>
        <v>1383914.952</v>
      </c>
      <c r="I48" s="332"/>
      <c r="J48" s="331"/>
    </row>
    <row r="49" spans="1:10" x14ac:dyDescent="0.2">
      <c r="J49" s="331"/>
    </row>
    <row r="50" spans="1:10" ht="15" x14ac:dyDescent="0.2">
      <c r="A50" s="470" t="s">
        <v>385</v>
      </c>
      <c r="B50" s="470"/>
      <c r="C50" s="342">
        <f>C51</f>
        <v>36586417.648251414</v>
      </c>
      <c r="D50" s="342">
        <f t="shared" ref="D50:G50" si="14">D51</f>
        <v>0</v>
      </c>
      <c r="E50" s="342">
        <f t="shared" si="14"/>
        <v>0</v>
      </c>
      <c r="F50" s="342">
        <f t="shared" si="14"/>
        <v>10000000</v>
      </c>
      <c r="G50" s="342">
        <f t="shared" si="14"/>
        <v>-10000000</v>
      </c>
      <c r="H50" s="342">
        <f>H51</f>
        <v>0</v>
      </c>
      <c r="I50" s="332"/>
      <c r="J50" s="331"/>
    </row>
    <row r="51" spans="1:10" ht="12.95" customHeight="1" x14ac:dyDescent="0.2">
      <c r="A51" s="113"/>
      <c r="B51" s="343"/>
      <c r="C51" s="329">
        <f t="shared" ref="C51:H51" si="15">SUM(C52:C53)</f>
        <v>36586417.648251414</v>
      </c>
      <c r="D51" s="329">
        <f t="shared" si="15"/>
        <v>0</v>
      </c>
      <c r="E51" s="329">
        <f t="shared" si="15"/>
        <v>0</v>
      </c>
      <c r="F51" s="329">
        <f t="shared" si="15"/>
        <v>10000000</v>
      </c>
      <c r="G51" s="329">
        <f t="shared" si="15"/>
        <v>-10000000</v>
      </c>
      <c r="H51" s="329">
        <f t="shared" si="15"/>
        <v>0</v>
      </c>
      <c r="I51" s="332"/>
      <c r="J51" s="331"/>
    </row>
    <row r="52" spans="1:10" ht="12.75" hidden="1" outlineLevel="1" x14ac:dyDescent="0.2">
      <c r="A52" s="350" t="s">
        <v>386</v>
      </c>
      <c r="B52" s="197"/>
      <c r="C52" s="356">
        <v>36586417.648251414</v>
      </c>
      <c r="D52" s="357"/>
      <c r="E52" s="356"/>
      <c r="F52" s="333">
        <v>10000000</v>
      </c>
      <c r="G52" s="345">
        <f t="shared" ref="G52:G54" si="16">E52-F52</f>
        <v>-10000000</v>
      </c>
      <c r="H52" s="334"/>
      <c r="I52" s="332"/>
      <c r="J52" s="331"/>
    </row>
    <row r="53" spans="1:10" ht="12.75" hidden="1" outlineLevel="1" x14ac:dyDescent="0.2">
      <c r="A53" s="350"/>
      <c r="B53" s="197"/>
      <c r="C53" s="356"/>
      <c r="D53" s="357"/>
      <c r="E53" s="356"/>
      <c r="F53" s="333"/>
      <c r="G53" s="345">
        <f t="shared" si="16"/>
        <v>0</v>
      </c>
      <c r="H53" s="334"/>
      <c r="I53" s="332"/>
      <c r="J53" s="331"/>
    </row>
    <row r="54" spans="1:10" ht="12.95" customHeight="1" collapsed="1" x14ac:dyDescent="0.2">
      <c r="A54" s="346" t="s">
        <v>5</v>
      </c>
      <c r="B54" s="347"/>
      <c r="C54" s="348">
        <f>C50</f>
        <v>36586417.648251414</v>
      </c>
      <c r="D54" s="348">
        <f>D50</f>
        <v>0</v>
      </c>
      <c r="E54" s="348">
        <f>E50</f>
        <v>0</v>
      </c>
      <c r="F54" s="348">
        <f>F50</f>
        <v>10000000</v>
      </c>
      <c r="G54" s="348">
        <f t="shared" si="16"/>
        <v>-10000000</v>
      </c>
      <c r="H54" s="348">
        <f t="shared" ref="H54" si="17">H50</f>
        <v>0</v>
      </c>
      <c r="I54" s="332"/>
      <c r="J54" s="331"/>
    </row>
    <row r="56" spans="1:10" ht="15" x14ac:dyDescent="0.2">
      <c r="A56" s="470" t="s">
        <v>387</v>
      </c>
      <c r="B56" s="470"/>
      <c r="C56" s="342">
        <f>C57</f>
        <v>10475226.394208746</v>
      </c>
      <c r="D56" s="342">
        <f t="shared" ref="D56:G56" si="18">D57</f>
        <v>0</v>
      </c>
      <c r="E56" s="342">
        <f t="shared" si="18"/>
        <v>6662556.9900000002</v>
      </c>
      <c r="F56" s="342">
        <f t="shared" si="18"/>
        <v>8059387.21</v>
      </c>
      <c r="G56" s="342">
        <f t="shared" si="18"/>
        <v>-1396830.2199999997</v>
      </c>
      <c r="H56" s="342">
        <f>H57</f>
        <v>1565331.39</v>
      </c>
    </row>
    <row r="57" spans="1:10" x14ac:dyDescent="0.2">
      <c r="A57" s="113"/>
      <c r="B57" s="343"/>
      <c r="C57" s="329">
        <f t="shared" ref="C57:H57" si="19">SUM(C58:C60)</f>
        <v>10475226.394208746</v>
      </c>
      <c r="D57" s="329">
        <f t="shared" si="19"/>
        <v>0</v>
      </c>
      <c r="E57" s="329">
        <f t="shared" si="19"/>
        <v>6662556.9900000002</v>
      </c>
      <c r="F57" s="329">
        <f t="shared" si="19"/>
        <v>8059387.21</v>
      </c>
      <c r="G57" s="329">
        <f t="shared" si="19"/>
        <v>-1396830.2199999997</v>
      </c>
      <c r="H57" s="329">
        <f t="shared" si="19"/>
        <v>1565331.39</v>
      </c>
    </row>
    <row r="58" spans="1:10" ht="12.75" hidden="1" outlineLevel="1" x14ac:dyDescent="0.2">
      <c r="A58" s="350" t="s">
        <v>388</v>
      </c>
      <c r="B58" s="197"/>
      <c r="C58" s="356">
        <v>10475226.394208746</v>
      </c>
      <c r="D58" s="357"/>
      <c r="E58" s="356">
        <v>6662556.9900000002</v>
      </c>
      <c r="F58" s="333">
        <v>8059387.21</v>
      </c>
      <c r="G58" s="345">
        <f t="shared" ref="G58:G61" si="20">E58-F58</f>
        <v>-1396830.2199999997</v>
      </c>
      <c r="H58" s="334">
        <v>1565331.39</v>
      </c>
    </row>
    <row r="59" spans="1:10" ht="12.75" hidden="1" outlineLevel="1" x14ac:dyDescent="0.2">
      <c r="A59" s="350"/>
      <c r="B59" s="197"/>
      <c r="C59" s="356"/>
      <c r="D59" s="357"/>
      <c r="E59" s="356"/>
      <c r="F59" s="333"/>
      <c r="G59" s="345">
        <f t="shared" si="20"/>
        <v>0</v>
      </c>
      <c r="H59" s="334"/>
    </row>
    <row r="60" spans="1:10" ht="12.75" hidden="1" outlineLevel="1" x14ac:dyDescent="0.2">
      <c r="A60" s="350"/>
      <c r="B60" s="197"/>
      <c r="C60" s="356"/>
      <c r="D60" s="357"/>
      <c r="E60" s="356"/>
      <c r="F60" s="333"/>
      <c r="G60" s="345">
        <f t="shared" si="20"/>
        <v>0</v>
      </c>
      <c r="H60" s="334"/>
    </row>
    <row r="61" spans="1:10" ht="15" collapsed="1" x14ac:dyDescent="0.2">
      <c r="A61" s="346" t="s">
        <v>5</v>
      </c>
      <c r="B61" s="347"/>
      <c r="C61" s="348">
        <f>C56</f>
        <v>10475226.394208746</v>
      </c>
      <c r="D61" s="348">
        <f>D56</f>
        <v>0</v>
      </c>
      <c r="E61" s="348">
        <f>E56</f>
        <v>6662556.9900000002</v>
      </c>
      <c r="F61" s="348">
        <f>F56</f>
        <v>8059387.21</v>
      </c>
      <c r="G61" s="348">
        <f t="shared" si="20"/>
        <v>-1396830.2199999997</v>
      </c>
      <c r="H61" s="348">
        <f>H56</f>
        <v>1565331.39</v>
      </c>
    </row>
    <row r="63" spans="1:10" s="1" customFormat="1" ht="15" x14ac:dyDescent="0.2">
      <c r="A63" s="470" t="s">
        <v>389</v>
      </c>
      <c r="B63" s="470"/>
      <c r="C63" s="342">
        <f>C64</f>
        <v>0</v>
      </c>
      <c r="D63" s="342">
        <f t="shared" ref="D63:G63" si="21">D64</f>
        <v>0</v>
      </c>
      <c r="E63" s="342">
        <f t="shared" si="21"/>
        <v>18978162.640000001</v>
      </c>
      <c r="F63" s="342">
        <f t="shared" si="21"/>
        <v>18945180.77</v>
      </c>
      <c r="G63" s="342">
        <f t="shared" si="21"/>
        <v>32981.870000001043</v>
      </c>
      <c r="H63" s="342">
        <f>H64</f>
        <v>0</v>
      </c>
      <c r="J63" s="330"/>
    </row>
    <row r="64" spans="1:10" s="1" customFormat="1" x14ac:dyDescent="0.2">
      <c r="A64" s="113"/>
      <c r="B64" s="343"/>
      <c r="C64" s="329">
        <f t="shared" ref="C64:H64" si="22">SUM(C65:C68)</f>
        <v>0</v>
      </c>
      <c r="D64" s="329">
        <f t="shared" si="22"/>
        <v>0</v>
      </c>
      <c r="E64" s="329">
        <f t="shared" si="22"/>
        <v>18978162.640000001</v>
      </c>
      <c r="F64" s="329">
        <f t="shared" si="22"/>
        <v>18945180.77</v>
      </c>
      <c r="G64" s="329">
        <f t="shared" si="22"/>
        <v>32981.870000001043</v>
      </c>
      <c r="H64" s="329">
        <f t="shared" si="22"/>
        <v>0</v>
      </c>
      <c r="J64" s="330"/>
    </row>
    <row r="65" spans="1:10" s="1" customFormat="1" ht="12.75" hidden="1" outlineLevel="1" x14ac:dyDescent="0.2">
      <c r="A65" s="350" t="s">
        <v>361</v>
      </c>
      <c r="B65" s="197"/>
      <c r="C65" s="356"/>
      <c r="D65" s="357"/>
      <c r="E65" s="356">
        <v>7048121.5700000003</v>
      </c>
      <c r="F65" s="333">
        <v>6963208.6600000001</v>
      </c>
      <c r="G65" s="345">
        <f t="shared" ref="G65:G69" si="23">E65-F65</f>
        <v>84912.910000000149</v>
      </c>
      <c r="H65" s="334"/>
      <c r="J65" s="330"/>
    </row>
    <row r="66" spans="1:10" s="1" customFormat="1" ht="12.75" hidden="1" outlineLevel="1" x14ac:dyDescent="0.2">
      <c r="A66" s="350" t="s">
        <v>390</v>
      </c>
      <c r="B66" s="197"/>
      <c r="C66" s="356"/>
      <c r="D66" s="357"/>
      <c r="E66" s="356">
        <v>11930041.07</v>
      </c>
      <c r="F66" s="333">
        <v>11981972.109999999</v>
      </c>
      <c r="G66" s="345">
        <f t="shared" si="23"/>
        <v>-51931.039999999106</v>
      </c>
      <c r="H66" s="334"/>
      <c r="J66" s="330"/>
    </row>
    <row r="67" spans="1:10" s="1" customFormat="1" ht="12.75" hidden="1" outlineLevel="1" x14ac:dyDescent="0.2">
      <c r="A67" s="350"/>
      <c r="B67" s="197"/>
      <c r="C67" s="356"/>
      <c r="D67" s="357"/>
      <c r="E67" s="356"/>
      <c r="F67" s="333"/>
      <c r="G67" s="345">
        <f t="shared" si="23"/>
        <v>0</v>
      </c>
      <c r="H67" s="334"/>
      <c r="J67" s="330"/>
    </row>
    <row r="68" spans="1:10" s="1" customFormat="1" ht="12.75" hidden="1" outlineLevel="1" x14ac:dyDescent="0.2">
      <c r="A68" s="350"/>
      <c r="B68" s="197"/>
      <c r="C68" s="356"/>
      <c r="D68" s="357"/>
      <c r="E68" s="356"/>
      <c r="F68" s="333"/>
      <c r="G68" s="345">
        <f t="shared" si="23"/>
        <v>0</v>
      </c>
      <c r="H68" s="334"/>
      <c r="J68" s="330"/>
    </row>
    <row r="69" spans="1:10" s="1" customFormat="1" ht="15" collapsed="1" x14ac:dyDescent="0.2">
      <c r="A69" s="346" t="s">
        <v>5</v>
      </c>
      <c r="B69" s="347"/>
      <c r="C69" s="348">
        <f>C63</f>
        <v>0</v>
      </c>
      <c r="D69" s="348">
        <f t="shared" ref="D69:F69" si="24">D63</f>
        <v>0</v>
      </c>
      <c r="E69" s="348">
        <f t="shared" si="24"/>
        <v>18978162.640000001</v>
      </c>
      <c r="F69" s="348">
        <f t="shared" si="24"/>
        <v>18945180.77</v>
      </c>
      <c r="G69" s="348">
        <f t="shared" si="23"/>
        <v>32981.870000001043</v>
      </c>
      <c r="H69" s="348">
        <f t="shared" ref="H69" si="25">H63</f>
        <v>0</v>
      </c>
      <c r="J69" s="330"/>
    </row>
  </sheetData>
  <mergeCells count="10">
    <mergeCell ref="A14:B14"/>
    <mergeCell ref="A23:B23"/>
    <mergeCell ref="A50:B50"/>
    <mergeCell ref="A56:B56"/>
    <mergeCell ref="A63:B63"/>
    <mergeCell ref="B4:B5"/>
    <mergeCell ref="C4:C5"/>
    <mergeCell ref="D4:D5"/>
    <mergeCell ref="E4:G4"/>
    <mergeCell ref="A7:B7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D15E-1D74-4389-B4D6-D82F94FF8FCE}">
  <sheetPr>
    <tabColor rgb="FF92D050"/>
    <pageSetUpPr fitToPage="1"/>
  </sheetPr>
  <dimension ref="A1:J69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63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63" t="s">
        <v>8</v>
      </c>
    </row>
    <row r="5" spans="1:10" ht="36" x14ac:dyDescent="0.2">
      <c r="A5" s="363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0" t="s">
        <v>364</v>
      </c>
      <c r="B7" s="470"/>
      <c r="C7" s="342">
        <f>C8</f>
        <v>113670892.85640001</v>
      </c>
      <c r="D7" s="342">
        <f t="shared" ref="D7:G7" si="0">D8</f>
        <v>0</v>
      </c>
      <c r="E7" s="342">
        <f t="shared" si="0"/>
        <v>5192099.79</v>
      </c>
      <c r="F7" s="342">
        <f t="shared" si="0"/>
        <v>4798378.0999999996</v>
      </c>
      <c r="G7" s="342">
        <f t="shared" si="0"/>
        <v>393721.69000000041</v>
      </c>
      <c r="H7" s="342">
        <f>H8</f>
        <v>3137119.04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0</v>
      </c>
      <c r="E8" s="329">
        <f t="shared" si="1"/>
        <v>5192099.79</v>
      </c>
      <c r="F8" s="329">
        <f t="shared" si="1"/>
        <v>4798378.0999999996</v>
      </c>
      <c r="G8" s="329">
        <f t="shared" si="1"/>
        <v>393721.69000000041</v>
      </c>
      <c r="H8" s="329">
        <f t="shared" si="1"/>
        <v>3137119.04</v>
      </c>
      <c r="I8" s="332"/>
      <c r="J8" s="331"/>
    </row>
    <row r="9" spans="1:10" ht="12.75" hidden="1" outlineLevel="1" x14ac:dyDescent="0.2">
      <c r="A9" s="350" t="s">
        <v>362</v>
      </c>
      <c r="B9" s="197"/>
      <c r="C9" s="361">
        <v>113670892.85640001</v>
      </c>
      <c r="D9" s="362"/>
      <c r="E9" s="361">
        <v>5192099.79</v>
      </c>
      <c r="F9" s="333">
        <v>4798378.0999999996</v>
      </c>
      <c r="G9" s="345">
        <f t="shared" ref="G9:G12" si="2">E9-F9</f>
        <v>393721.69000000041</v>
      </c>
      <c r="H9" s="334">
        <v>3137119.04</v>
      </c>
      <c r="I9" s="332"/>
      <c r="J9" s="331"/>
    </row>
    <row r="10" spans="1:10" ht="12.75" hidden="1" outlineLevel="1" x14ac:dyDescent="0.2">
      <c r="A10" s="350"/>
      <c r="B10" s="197"/>
      <c r="C10" s="361"/>
      <c r="D10" s="362"/>
      <c r="E10" s="361"/>
      <c r="F10" s="333"/>
      <c r="G10" s="345">
        <f t="shared" si="2"/>
        <v>0</v>
      </c>
      <c r="H10" s="334"/>
      <c r="I10" s="332"/>
      <c r="J10" s="331"/>
    </row>
    <row r="11" spans="1:10" ht="12.75" hidden="1" outlineLevel="1" x14ac:dyDescent="0.2">
      <c r="A11" s="350"/>
      <c r="B11" s="197"/>
      <c r="C11" s="361"/>
      <c r="D11" s="362"/>
      <c r="E11" s="361"/>
      <c r="F11" s="333"/>
      <c r="G11" s="345">
        <f t="shared" si="2"/>
        <v>0</v>
      </c>
      <c r="H11" s="334"/>
      <c r="I11" s="332"/>
      <c r="J11" s="331"/>
    </row>
    <row r="12" spans="1:10" ht="12.95" customHeight="1" collapsed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0</v>
      </c>
      <c r="E12" s="348">
        <f t="shared" si="3"/>
        <v>5192099.79</v>
      </c>
      <c r="F12" s="348">
        <f t="shared" si="3"/>
        <v>4798378.0999999996</v>
      </c>
      <c r="G12" s="348">
        <f t="shared" si="2"/>
        <v>393721.69000000041</v>
      </c>
      <c r="H12" s="348">
        <f t="shared" ref="H12" si="4">H7</f>
        <v>3137119.04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0" t="s">
        <v>367</v>
      </c>
      <c r="B14" s="470"/>
      <c r="C14" s="342">
        <f t="shared" ref="C14:H14" si="5">C15+C17</f>
        <v>702509314.03999996</v>
      </c>
      <c r="D14" s="342">
        <f t="shared" si="5"/>
        <v>30274071.409999996</v>
      </c>
      <c r="E14" s="342">
        <f t="shared" si="5"/>
        <v>402972903.72999996</v>
      </c>
      <c r="F14" s="342">
        <f t="shared" si="5"/>
        <v>391545109.66000003</v>
      </c>
      <c r="G14" s="342">
        <f t="shared" si="5"/>
        <v>11427794.069999963</v>
      </c>
      <c r="H14" s="342">
        <f t="shared" si="5"/>
        <v>13956928.669999998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 t="shared" ref="C15:H15" si="6">SUM(C16:C16)</f>
        <v>694381444.79999995</v>
      </c>
      <c r="D15" s="329">
        <f t="shared" si="6"/>
        <v>26145100.489999998</v>
      </c>
      <c r="E15" s="329">
        <f t="shared" si="6"/>
        <v>396479488.20999998</v>
      </c>
      <c r="F15" s="329">
        <f t="shared" si="6"/>
        <v>385246496.61000001</v>
      </c>
      <c r="G15" s="329">
        <f t="shared" si="6"/>
        <v>11232991.599999964</v>
      </c>
      <c r="H15" s="329">
        <f t="shared" si="6"/>
        <v>13956928.669999998</v>
      </c>
      <c r="I15" s="332"/>
      <c r="J15" s="331"/>
    </row>
    <row r="16" spans="1:10" ht="12.75" hidden="1" outlineLevel="1" x14ac:dyDescent="0.2">
      <c r="A16" s="350" t="s">
        <v>365</v>
      </c>
      <c r="B16" s="197"/>
      <c r="C16" s="360">
        <v>694381444.79999995</v>
      </c>
      <c r="D16" s="362">
        <v>26145100.489999998</v>
      </c>
      <c r="E16" s="361">
        <v>396479488.20999998</v>
      </c>
      <c r="F16" s="333">
        <v>385246496.61000001</v>
      </c>
      <c r="G16" s="345">
        <f t="shared" ref="G16:G21" si="7">E16-F16</f>
        <v>11232991.599999964</v>
      </c>
      <c r="H16" s="334">
        <v>13956928.669999998</v>
      </c>
      <c r="I16" s="332"/>
      <c r="J16" s="331"/>
    </row>
    <row r="17" spans="1:10" ht="12.95" customHeight="1" collapsed="1" x14ac:dyDescent="0.2">
      <c r="A17" s="349" t="s">
        <v>368</v>
      </c>
      <c r="B17" s="343"/>
      <c r="C17" s="329">
        <f>SUM(C18:C20)</f>
        <v>8127869.2400000002</v>
      </c>
      <c r="D17" s="329">
        <f t="shared" ref="D17:H17" si="8">SUM(D18:D20)</f>
        <v>4128970.92</v>
      </c>
      <c r="E17" s="329">
        <f t="shared" si="8"/>
        <v>6493415.5199999996</v>
      </c>
      <c r="F17" s="329">
        <f t="shared" si="8"/>
        <v>6298613.0499999998</v>
      </c>
      <c r="G17" s="329">
        <f t="shared" si="8"/>
        <v>194802.46999999974</v>
      </c>
      <c r="H17" s="329">
        <f t="shared" si="8"/>
        <v>0</v>
      </c>
      <c r="I17" s="332"/>
      <c r="J17" s="331"/>
    </row>
    <row r="18" spans="1:10" ht="12.75" hidden="1" outlineLevel="1" x14ac:dyDescent="0.2">
      <c r="A18" s="350" t="s">
        <v>369</v>
      </c>
      <c r="B18" s="197"/>
      <c r="C18" s="361">
        <f>8127869.24</f>
        <v>8127869.2400000002</v>
      </c>
      <c r="D18" s="362">
        <f>11656835.57-C18+600004.59</f>
        <v>4128970.92</v>
      </c>
      <c r="E18" s="361">
        <v>6493415.5199999996</v>
      </c>
      <c r="F18" s="333">
        <v>6298613.0499999998</v>
      </c>
      <c r="G18" s="345">
        <f t="shared" si="7"/>
        <v>194802.46999999974</v>
      </c>
      <c r="H18" s="334"/>
      <c r="I18" s="332"/>
      <c r="J18" s="331"/>
    </row>
    <row r="19" spans="1:10" ht="12.75" hidden="1" outlineLevel="1" x14ac:dyDescent="0.2">
      <c r="A19" s="350"/>
      <c r="B19" s="197"/>
      <c r="C19" s="361"/>
      <c r="D19" s="362"/>
      <c r="E19" s="361"/>
      <c r="F19" s="333"/>
      <c r="G19" s="345">
        <f t="shared" si="7"/>
        <v>0</v>
      </c>
      <c r="H19" s="334"/>
      <c r="I19" s="332"/>
      <c r="J19" s="331"/>
    </row>
    <row r="20" spans="1:10" ht="12.75" hidden="1" outlineLevel="1" x14ac:dyDescent="0.2">
      <c r="A20" s="350"/>
      <c r="B20" s="197"/>
      <c r="C20" s="361"/>
      <c r="D20" s="362"/>
      <c r="E20" s="361"/>
      <c r="F20" s="333"/>
      <c r="G20" s="345">
        <f t="shared" si="7"/>
        <v>0</v>
      </c>
      <c r="H20" s="334"/>
      <c r="I20" s="332"/>
      <c r="J20" s="331"/>
    </row>
    <row r="21" spans="1:10" ht="12.95" customHeight="1" collapsed="1" x14ac:dyDescent="0.2">
      <c r="A21" s="346" t="s">
        <v>5</v>
      </c>
      <c r="B21" s="347"/>
      <c r="C21" s="348">
        <f>C14</f>
        <v>702509314.03999996</v>
      </c>
      <c r="D21" s="348">
        <f>D14</f>
        <v>30274071.409999996</v>
      </c>
      <c r="E21" s="348">
        <f>E14</f>
        <v>402972903.72999996</v>
      </c>
      <c r="F21" s="348">
        <f>F14</f>
        <v>391545109.66000003</v>
      </c>
      <c r="G21" s="348">
        <f t="shared" si="7"/>
        <v>11427794.069999933</v>
      </c>
      <c r="H21" s="348">
        <f>H14</f>
        <v>13956928.669999998</v>
      </c>
      <c r="I21" s="332"/>
      <c r="J21" s="331"/>
    </row>
    <row r="22" spans="1:10" x14ac:dyDescent="0.2">
      <c r="J22" s="331"/>
    </row>
    <row r="23" spans="1:10" ht="15" x14ac:dyDescent="0.2">
      <c r="A23" s="470" t="s">
        <v>370</v>
      </c>
      <c r="B23" s="470"/>
      <c r="C23" s="342">
        <f>C24</f>
        <v>51203561.621748812</v>
      </c>
      <c r="D23" s="342">
        <f t="shared" ref="D23:G23" si="9">D24</f>
        <v>1112.2524000000001</v>
      </c>
      <c r="E23" s="342">
        <f t="shared" si="9"/>
        <v>39165111.397720404</v>
      </c>
      <c r="F23" s="342">
        <f t="shared" si="9"/>
        <v>40285030.590000011</v>
      </c>
      <c r="G23" s="342">
        <f t="shared" si="9"/>
        <v>-1119919.1922796003</v>
      </c>
      <c r="H23" s="342">
        <f>H24</f>
        <v>2470962.7600000002</v>
      </c>
      <c r="I23" s="332"/>
      <c r="J23" s="331"/>
    </row>
    <row r="24" spans="1:10" ht="12.95" customHeight="1" x14ac:dyDescent="0.2">
      <c r="A24" s="113"/>
      <c r="B24" s="343"/>
      <c r="C24" s="329">
        <f>SUM(C25:C47)</f>
        <v>51203561.621748812</v>
      </c>
      <c r="D24" s="329">
        <f t="shared" ref="D24:H24" si="10">SUM(D25:D47)</f>
        <v>1112.2524000000001</v>
      </c>
      <c r="E24" s="329">
        <f t="shared" si="10"/>
        <v>39165111.397720404</v>
      </c>
      <c r="F24" s="329">
        <f t="shared" si="10"/>
        <v>40285030.590000011</v>
      </c>
      <c r="G24" s="329">
        <f t="shared" si="10"/>
        <v>-1119919.1922796003</v>
      </c>
      <c r="H24" s="329">
        <f t="shared" si="10"/>
        <v>2470962.7600000002</v>
      </c>
      <c r="I24" s="332"/>
      <c r="J24" s="331"/>
    </row>
    <row r="25" spans="1:10" ht="23.45" customHeight="1" outlineLevel="1" x14ac:dyDescent="0.2">
      <c r="A25" s="350" t="s">
        <v>371</v>
      </c>
      <c r="B25" s="197" t="s">
        <v>392</v>
      </c>
      <c r="C25" s="361">
        <f>17013778.16-90000</f>
        <v>16923778.16</v>
      </c>
      <c r="D25" s="362"/>
      <c r="E25" s="361">
        <v>16605957.560000001</v>
      </c>
      <c r="F25" s="333">
        <f>16576888.66+29068.89</f>
        <v>16605957.550000001</v>
      </c>
      <c r="G25" s="368">
        <f t="shared" ref="G25:G48" si="11">E25-F25</f>
        <v>9.9999997764825821E-3</v>
      </c>
      <c r="H25" s="334"/>
      <c r="I25" s="332" t="s">
        <v>416</v>
      </c>
      <c r="J25" s="331"/>
    </row>
    <row r="26" spans="1:10" ht="23.45" customHeight="1" outlineLevel="1" x14ac:dyDescent="0.2">
      <c r="A26" s="350" t="s">
        <v>372</v>
      </c>
      <c r="B26" s="197" t="s">
        <v>393</v>
      </c>
      <c r="C26" s="361">
        <v>265614.90000000002</v>
      </c>
      <c r="D26" s="362"/>
      <c r="E26" s="361">
        <v>211678.97</v>
      </c>
      <c r="F26" s="333">
        <v>211678.97</v>
      </c>
      <c r="G26" s="345">
        <f t="shared" si="11"/>
        <v>0</v>
      </c>
      <c r="H26" s="334"/>
      <c r="I26" s="332"/>
      <c r="J26" s="331"/>
    </row>
    <row r="27" spans="1:10" ht="23.45" customHeight="1" outlineLevel="1" x14ac:dyDescent="0.2">
      <c r="A27" s="350" t="s">
        <v>373</v>
      </c>
      <c r="B27" s="197" t="s">
        <v>394</v>
      </c>
      <c r="C27" s="361">
        <f>6397192.081+420656.6077+311390</f>
        <v>7129238.6886999998</v>
      </c>
      <c r="D27" s="362"/>
      <c r="E27" s="361">
        <v>3087292.77</v>
      </c>
      <c r="F27" s="333">
        <v>3014062.8</v>
      </c>
      <c r="G27" s="345">
        <f t="shared" si="11"/>
        <v>73229.970000000205</v>
      </c>
      <c r="H27" s="334">
        <v>230978.02</v>
      </c>
      <c r="I27" s="332"/>
      <c r="J27" s="331"/>
    </row>
    <row r="28" spans="1:10" ht="23.45" customHeight="1" outlineLevel="1" x14ac:dyDescent="0.2">
      <c r="A28" s="350" t="s">
        <v>407</v>
      </c>
      <c r="B28" s="197" t="s">
        <v>408</v>
      </c>
      <c r="C28" s="361">
        <v>259236.64</v>
      </c>
      <c r="D28" s="362"/>
      <c r="E28" s="361"/>
      <c r="F28" s="333"/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374</v>
      </c>
      <c r="B29" s="197" t="s">
        <v>395</v>
      </c>
      <c r="C29" s="361">
        <v>2100000</v>
      </c>
      <c r="D29" s="362"/>
      <c r="E29" s="361">
        <v>2099963.2400000002</v>
      </c>
      <c r="F29" s="333">
        <v>2099963.2400000002</v>
      </c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375</v>
      </c>
      <c r="B30" s="197" t="s">
        <v>396</v>
      </c>
      <c r="C30" s="361">
        <v>961530.55</v>
      </c>
      <c r="D30" s="362"/>
      <c r="E30" s="361"/>
      <c r="F30" s="333">
        <v>329967.82</v>
      </c>
      <c r="G30" s="345">
        <f t="shared" si="11"/>
        <v>-329967.82</v>
      </c>
      <c r="H30" s="334">
        <v>891722.9</v>
      </c>
      <c r="I30" s="332"/>
      <c r="J30" s="331"/>
    </row>
    <row r="31" spans="1:10" ht="23.45" customHeight="1" outlineLevel="1" x14ac:dyDescent="0.2">
      <c r="A31" s="350" t="s">
        <v>409</v>
      </c>
      <c r="B31" s="197" t="s">
        <v>410</v>
      </c>
      <c r="C31" s="361">
        <v>138362.18</v>
      </c>
      <c r="D31" s="362"/>
      <c r="E31" s="361"/>
      <c r="F31" s="333"/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405</v>
      </c>
      <c r="B32" s="197" t="s">
        <v>406</v>
      </c>
      <c r="C32" s="361">
        <v>940410.64800000004</v>
      </c>
      <c r="D32" s="362"/>
      <c r="E32" s="361"/>
      <c r="F32" s="333"/>
      <c r="G32" s="345">
        <f t="shared" si="11"/>
        <v>0</v>
      </c>
      <c r="H32" s="334">
        <v>877996.44</v>
      </c>
      <c r="I32" s="332"/>
      <c r="J32" s="331"/>
    </row>
    <row r="33" spans="1:10" ht="23.45" customHeight="1" outlineLevel="1" x14ac:dyDescent="0.2">
      <c r="A33" s="350" t="s">
        <v>376</v>
      </c>
      <c r="B33" s="197"/>
      <c r="C33" s="361">
        <v>1063961.9408807999</v>
      </c>
      <c r="D33" s="362"/>
      <c r="E33" s="361">
        <v>1063516.73</v>
      </c>
      <c r="F33" s="333">
        <v>1063516.73</v>
      </c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377</v>
      </c>
      <c r="B34" s="197"/>
      <c r="C34" s="361">
        <v>4567152.1141680004</v>
      </c>
      <c r="D34" s="362"/>
      <c r="E34" s="361">
        <v>3985555.74</v>
      </c>
      <c r="F34" s="333">
        <v>3985555.74</v>
      </c>
      <c r="G34" s="345">
        <f t="shared" si="11"/>
        <v>0</v>
      </c>
      <c r="H34" s="334">
        <v>317778.7</v>
      </c>
      <c r="I34" s="332"/>
      <c r="J34" s="331"/>
    </row>
    <row r="35" spans="1:10" ht="23.45" customHeight="1" outlineLevel="1" x14ac:dyDescent="0.2">
      <c r="A35" s="350" t="s">
        <v>378</v>
      </c>
      <c r="B35" s="197"/>
      <c r="C35" s="361">
        <v>1094682.42</v>
      </c>
      <c r="D35" s="362"/>
      <c r="E35" s="361">
        <v>782407.19</v>
      </c>
      <c r="F35" s="333">
        <v>876089.76</v>
      </c>
      <c r="G35" s="345">
        <f t="shared" si="11"/>
        <v>-93682.570000000065</v>
      </c>
      <c r="H35" s="334"/>
      <c r="I35" s="332"/>
      <c r="J35" s="331"/>
    </row>
    <row r="36" spans="1:10" ht="23.45" customHeight="1" outlineLevel="1" x14ac:dyDescent="0.2">
      <c r="A36" s="350" t="s">
        <v>379</v>
      </c>
      <c r="B36" s="197"/>
      <c r="C36" s="361">
        <v>10672595.1</v>
      </c>
      <c r="D36" s="362"/>
      <c r="E36" s="361">
        <v>7361089.8600000003</v>
      </c>
      <c r="F36" s="333">
        <f>7517114.7+709712.45</f>
        <v>8226827.1500000004</v>
      </c>
      <c r="G36" s="368">
        <f t="shared" si="11"/>
        <v>-865737.29</v>
      </c>
      <c r="H36" s="334"/>
      <c r="I36" s="332" t="s">
        <v>418</v>
      </c>
      <c r="J36" s="331"/>
    </row>
    <row r="37" spans="1:10" ht="23.45" customHeight="1" outlineLevel="1" x14ac:dyDescent="0.2">
      <c r="A37" s="350" t="s">
        <v>380</v>
      </c>
      <c r="B37" s="197"/>
      <c r="C37" s="361">
        <v>39500.15</v>
      </c>
      <c r="D37" s="362"/>
      <c r="E37" s="361">
        <v>39500.15</v>
      </c>
      <c r="F37" s="333">
        <v>39500.15</v>
      </c>
      <c r="G37" s="345">
        <f t="shared" si="11"/>
        <v>0</v>
      </c>
      <c r="H37" s="334"/>
      <c r="I37" s="332"/>
      <c r="J37" s="331"/>
    </row>
    <row r="38" spans="1:10" ht="23.45" customHeight="1" outlineLevel="1" x14ac:dyDescent="0.2">
      <c r="A38" s="350" t="s">
        <v>381</v>
      </c>
      <c r="B38" s="197" t="s">
        <v>397</v>
      </c>
      <c r="C38" s="361">
        <v>119696.93</v>
      </c>
      <c r="D38" s="362"/>
      <c r="E38" s="361">
        <v>119696.93</v>
      </c>
      <c r="F38" s="333">
        <v>119696.93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382</v>
      </c>
      <c r="B39" s="197" t="s">
        <v>392</v>
      </c>
      <c r="C39" s="361">
        <v>466146.52</v>
      </c>
      <c r="D39" s="362"/>
      <c r="E39" s="361">
        <v>466146.45</v>
      </c>
      <c r="F39" s="333">
        <v>466146.45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403</v>
      </c>
      <c r="B40" s="197" t="s">
        <v>404</v>
      </c>
      <c r="C40" s="361">
        <v>4699.5</v>
      </c>
      <c r="D40" s="362"/>
      <c r="E40" s="361"/>
      <c r="F40" s="333"/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383</v>
      </c>
      <c r="B41" s="197" t="s">
        <v>398</v>
      </c>
      <c r="C41" s="361">
        <v>40666.74</v>
      </c>
      <c r="D41" s="362"/>
      <c r="E41" s="361">
        <v>38205.86</v>
      </c>
      <c r="F41" s="333">
        <v>38205.86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384</v>
      </c>
      <c r="B42" s="197" t="s">
        <v>397</v>
      </c>
      <c r="C42" s="361">
        <v>2440898.75</v>
      </c>
      <c r="D42" s="362"/>
      <c r="E42" s="361">
        <v>2439621.9900000002</v>
      </c>
      <c r="F42" s="333">
        <v>2439621.9900000002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391</v>
      </c>
      <c r="B43" s="197" t="s">
        <v>412</v>
      </c>
      <c r="C43" s="361">
        <v>454219.84</v>
      </c>
      <c r="D43" s="362"/>
      <c r="E43" s="361">
        <v>287046.8877204</v>
      </c>
      <c r="F43" s="333">
        <f>239205.74+47841.15</f>
        <v>287046.89</v>
      </c>
      <c r="G43" s="368">
        <f t="shared" si="11"/>
        <v>-2.2796000121161342E-3</v>
      </c>
      <c r="H43" s="334"/>
      <c r="I43" s="364" t="s">
        <v>419</v>
      </c>
      <c r="J43" s="331"/>
    </row>
    <row r="44" spans="1:10" ht="23.45" customHeight="1" outlineLevel="1" x14ac:dyDescent="0.2">
      <c r="A44" s="350" t="s">
        <v>411</v>
      </c>
      <c r="B44" s="197" t="s">
        <v>399</v>
      </c>
      <c r="C44" s="362">
        <v>1254925.9099999999</v>
      </c>
      <c r="D44" s="362"/>
      <c r="E44" s="361">
        <v>577431.06999999995</v>
      </c>
      <c r="F44" s="333">
        <f>481192.56</f>
        <v>481192.56</v>
      </c>
      <c r="G44" s="368">
        <f t="shared" si="11"/>
        <v>96238.509999999951</v>
      </c>
      <c r="H44" s="334"/>
      <c r="I44" s="364" t="s">
        <v>417</v>
      </c>
      <c r="J44" s="331"/>
    </row>
    <row r="45" spans="1:10" ht="23.45" customHeight="1" outlineLevel="1" x14ac:dyDescent="0.2">
      <c r="A45" s="350"/>
      <c r="B45" s="197" t="s">
        <v>400</v>
      </c>
      <c r="C45" s="345">
        <v>113757.24</v>
      </c>
      <c r="D45" s="345"/>
      <c r="E45" s="361"/>
      <c r="F45" s="333"/>
      <c r="G45" s="345">
        <f t="shared" si="11"/>
        <v>0</v>
      </c>
      <c r="H45" s="334"/>
      <c r="I45" s="364"/>
      <c r="J45" s="331"/>
    </row>
    <row r="46" spans="1:10" ht="23.45" customHeight="1" outlineLevel="1" x14ac:dyDescent="0.2">
      <c r="A46" s="350"/>
      <c r="B46" s="197" t="s">
        <v>401</v>
      </c>
      <c r="C46" s="361"/>
      <c r="D46" s="362">
        <v>1112.2524000000001</v>
      </c>
      <c r="E46" s="361"/>
      <c r="F46" s="333"/>
      <c r="G46" s="345">
        <f t="shared" si="11"/>
        <v>0</v>
      </c>
      <c r="H46" s="334"/>
      <c r="I46" s="364"/>
      <c r="J46" s="331"/>
    </row>
    <row r="47" spans="1:10" ht="23.45" customHeight="1" outlineLevel="1" x14ac:dyDescent="0.2">
      <c r="A47" s="350" t="s">
        <v>415</v>
      </c>
      <c r="B47" s="197" t="s">
        <v>402</v>
      </c>
      <c r="C47" s="362">
        <v>152486.70000000001</v>
      </c>
      <c r="D47" s="362"/>
      <c r="E47" s="361"/>
      <c r="F47" s="333"/>
      <c r="G47" s="345">
        <f t="shared" si="11"/>
        <v>0</v>
      </c>
      <c r="H47" s="334">
        <v>152486.70000000001</v>
      </c>
      <c r="I47" s="332"/>
      <c r="J47" s="331"/>
    </row>
    <row r="48" spans="1:10" ht="12.95" customHeight="1" x14ac:dyDescent="0.2">
      <c r="A48" s="346" t="s">
        <v>5</v>
      </c>
      <c r="B48" s="347"/>
      <c r="C48" s="348">
        <f>C23</f>
        <v>51203561.621748812</v>
      </c>
      <c r="D48" s="348">
        <f t="shared" ref="D48:F48" si="12">D23</f>
        <v>1112.2524000000001</v>
      </c>
      <c r="E48" s="348">
        <f t="shared" si="12"/>
        <v>39165111.397720404</v>
      </c>
      <c r="F48" s="348">
        <f t="shared" si="12"/>
        <v>40285030.590000011</v>
      </c>
      <c r="G48" s="348">
        <f t="shared" si="11"/>
        <v>-1119919.1922796071</v>
      </c>
      <c r="H48" s="348">
        <f t="shared" ref="H48" si="13">H23</f>
        <v>2470962.7600000002</v>
      </c>
      <c r="I48" s="332"/>
      <c r="J48" s="331"/>
    </row>
    <row r="49" spans="1:10" x14ac:dyDescent="0.2">
      <c r="J49" s="331"/>
    </row>
    <row r="50" spans="1:10" ht="15" x14ac:dyDescent="0.2">
      <c r="A50" s="470" t="s">
        <v>385</v>
      </c>
      <c r="B50" s="470"/>
      <c r="C50" s="342">
        <f>C51</f>
        <v>36586417.648251414</v>
      </c>
      <c r="D50" s="342">
        <f t="shared" ref="D50:G50" si="14">D51</f>
        <v>0</v>
      </c>
      <c r="E50" s="342">
        <f t="shared" si="14"/>
        <v>0</v>
      </c>
      <c r="F50" s="342">
        <f t="shared" si="14"/>
        <v>10000000</v>
      </c>
      <c r="G50" s="342">
        <f t="shared" si="14"/>
        <v>-10000000</v>
      </c>
      <c r="H50" s="342">
        <f>H51</f>
        <v>0</v>
      </c>
      <c r="I50" s="332"/>
      <c r="J50" s="331"/>
    </row>
    <row r="51" spans="1:10" ht="12.95" customHeight="1" x14ac:dyDescent="0.2">
      <c r="A51" s="113"/>
      <c r="B51" s="343"/>
      <c r="C51" s="329">
        <f t="shared" ref="C51:H51" si="15">SUM(C52:C53)</f>
        <v>36586417.648251414</v>
      </c>
      <c r="D51" s="329">
        <f t="shared" si="15"/>
        <v>0</v>
      </c>
      <c r="E51" s="329">
        <f t="shared" si="15"/>
        <v>0</v>
      </c>
      <c r="F51" s="329">
        <f t="shared" si="15"/>
        <v>10000000</v>
      </c>
      <c r="G51" s="329">
        <f t="shared" si="15"/>
        <v>-10000000</v>
      </c>
      <c r="H51" s="329">
        <f t="shared" si="15"/>
        <v>0</v>
      </c>
      <c r="I51" s="332"/>
      <c r="J51" s="331"/>
    </row>
    <row r="52" spans="1:10" ht="12.75" hidden="1" outlineLevel="1" x14ac:dyDescent="0.2">
      <c r="A52" s="350" t="s">
        <v>386</v>
      </c>
      <c r="B52" s="197"/>
      <c r="C52" s="361">
        <v>36586417.648251414</v>
      </c>
      <c r="D52" s="362"/>
      <c r="E52" s="361"/>
      <c r="F52" s="333">
        <v>10000000</v>
      </c>
      <c r="G52" s="345">
        <f t="shared" ref="G52:G54" si="16">E52-F52</f>
        <v>-10000000</v>
      </c>
      <c r="H52" s="334"/>
      <c r="I52" s="332"/>
      <c r="J52" s="331"/>
    </row>
    <row r="53" spans="1:10" ht="12.75" hidden="1" outlineLevel="1" x14ac:dyDescent="0.2">
      <c r="A53" s="350"/>
      <c r="B53" s="197"/>
      <c r="C53" s="361"/>
      <c r="D53" s="362"/>
      <c r="E53" s="361"/>
      <c r="F53" s="333"/>
      <c r="G53" s="345">
        <f t="shared" si="16"/>
        <v>0</v>
      </c>
      <c r="H53" s="334"/>
      <c r="I53" s="332"/>
      <c r="J53" s="331"/>
    </row>
    <row r="54" spans="1:10" ht="12.95" customHeight="1" collapsed="1" x14ac:dyDescent="0.2">
      <c r="A54" s="346" t="s">
        <v>5</v>
      </c>
      <c r="B54" s="347"/>
      <c r="C54" s="348">
        <f>C50</f>
        <v>36586417.648251414</v>
      </c>
      <c r="D54" s="348">
        <f>D50</f>
        <v>0</v>
      </c>
      <c r="E54" s="348">
        <f>E50</f>
        <v>0</v>
      </c>
      <c r="F54" s="348">
        <f>F50</f>
        <v>10000000</v>
      </c>
      <c r="G54" s="348">
        <f t="shared" si="16"/>
        <v>-10000000</v>
      </c>
      <c r="H54" s="348">
        <f t="shared" ref="H54" si="17">H50</f>
        <v>0</v>
      </c>
      <c r="I54" s="332"/>
      <c r="J54" s="331"/>
    </row>
    <row r="56" spans="1:10" ht="15" x14ac:dyDescent="0.2">
      <c r="A56" s="470" t="s">
        <v>387</v>
      </c>
      <c r="B56" s="470"/>
      <c r="C56" s="342">
        <f>C57</f>
        <v>10475226.394208746</v>
      </c>
      <c r="D56" s="342">
        <f t="shared" ref="D56:G56" si="18">D57</f>
        <v>0</v>
      </c>
      <c r="E56" s="342">
        <f t="shared" si="18"/>
        <v>6662556.9900000002</v>
      </c>
      <c r="F56" s="342">
        <f t="shared" si="18"/>
        <v>8059387.21</v>
      </c>
      <c r="G56" s="342">
        <f t="shared" si="18"/>
        <v>-1396830.2199999997</v>
      </c>
      <c r="H56" s="342">
        <f>H57</f>
        <v>1565331.39</v>
      </c>
    </row>
    <row r="57" spans="1:10" x14ac:dyDescent="0.2">
      <c r="A57" s="113"/>
      <c r="B57" s="343"/>
      <c r="C57" s="329">
        <f t="shared" ref="C57:H57" si="19">SUM(C58:C60)</f>
        <v>10475226.394208746</v>
      </c>
      <c r="D57" s="329">
        <f t="shared" si="19"/>
        <v>0</v>
      </c>
      <c r="E57" s="329">
        <f t="shared" si="19"/>
        <v>6662556.9900000002</v>
      </c>
      <c r="F57" s="329">
        <f t="shared" si="19"/>
        <v>8059387.21</v>
      </c>
      <c r="G57" s="329">
        <f t="shared" si="19"/>
        <v>-1396830.2199999997</v>
      </c>
      <c r="H57" s="329">
        <f t="shared" si="19"/>
        <v>1565331.39</v>
      </c>
    </row>
    <row r="58" spans="1:10" ht="12.75" hidden="1" outlineLevel="1" x14ac:dyDescent="0.2">
      <c r="A58" s="350" t="s">
        <v>388</v>
      </c>
      <c r="B58" s="197"/>
      <c r="C58" s="361">
        <v>10475226.394208746</v>
      </c>
      <c r="D58" s="362"/>
      <c r="E58" s="361">
        <v>6662556.9900000002</v>
      </c>
      <c r="F58" s="333">
        <v>8059387.21</v>
      </c>
      <c r="G58" s="345">
        <f t="shared" ref="G58:G61" si="20">E58-F58</f>
        <v>-1396830.2199999997</v>
      </c>
      <c r="H58" s="334">
        <v>1565331.39</v>
      </c>
    </row>
    <row r="59" spans="1:10" ht="12.75" hidden="1" outlineLevel="1" x14ac:dyDescent="0.2">
      <c r="A59" s="350"/>
      <c r="B59" s="197"/>
      <c r="C59" s="361"/>
      <c r="D59" s="362"/>
      <c r="E59" s="361"/>
      <c r="F59" s="333"/>
      <c r="G59" s="345">
        <f t="shared" si="20"/>
        <v>0</v>
      </c>
      <c r="H59" s="334"/>
    </row>
    <row r="60" spans="1:10" ht="12.75" hidden="1" outlineLevel="1" x14ac:dyDescent="0.2">
      <c r="A60" s="350"/>
      <c r="B60" s="197"/>
      <c r="C60" s="361"/>
      <c r="D60" s="362"/>
      <c r="E60" s="361"/>
      <c r="F60" s="333"/>
      <c r="G60" s="345">
        <f t="shared" si="20"/>
        <v>0</v>
      </c>
      <c r="H60" s="334"/>
    </row>
    <row r="61" spans="1:10" ht="15" collapsed="1" x14ac:dyDescent="0.2">
      <c r="A61" s="346" t="s">
        <v>5</v>
      </c>
      <c r="B61" s="347"/>
      <c r="C61" s="348">
        <f>C56</f>
        <v>10475226.394208746</v>
      </c>
      <c r="D61" s="348">
        <f>D56</f>
        <v>0</v>
      </c>
      <c r="E61" s="348">
        <f>E56</f>
        <v>6662556.9900000002</v>
      </c>
      <c r="F61" s="348">
        <f>F56</f>
        <v>8059387.21</v>
      </c>
      <c r="G61" s="348">
        <f t="shared" si="20"/>
        <v>-1396830.2199999997</v>
      </c>
      <c r="H61" s="348">
        <f>H56</f>
        <v>1565331.39</v>
      </c>
    </row>
    <row r="63" spans="1:10" s="1" customFormat="1" ht="15" x14ac:dyDescent="0.2">
      <c r="A63" s="470" t="s">
        <v>389</v>
      </c>
      <c r="B63" s="470"/>
      <c r="C63" s="342">
        <f>C64</f>
        <v>0</v>
      </c>
      <c r="D63" s="342">
        <f t="shared" ref="D63:G63" si="21">D64</f>
        <v>0</v>
      </c>
      <c r="E63" s="342">
        <f t="shared" si="21"/>
        <v>18978162.640000001</v>
      </c>
      <c r="F63" s="342">
        <f t="shared" si="21"/>
        <v>18945180.77</v>
      </c>
      <c r="G63" s="342">
        <f t="shared" si="21"/>
        <v>32981.870000001043</v>
      </c>
      <c r="H63" s="342">
        <f>H64</f>
        <v>0</v>
      </c>
      <c r="J63" s="330"/>
    </row>
    <row r="64" spans="1:10" s="1" customFormat="1" x14ac:dyDescent="0.2">
      <c r="A64" s="113"/>
      <c r="B64" s="343"/>
      <c r="C64" s="329">
        <f t="shared" ref="C64:H64" si="22">SUM(C65:C68)</f>
        <v>0</v>
      </c>
      <c r="D64" s="329">
        <f t="shared" si="22"/>
        <v>0</v>
      </c>
      <c r="E64" s="329">
        <f t="shared" si="22"/>
        <v>18978162.640000001</v>
      </c>
      <c r="F64" s="329">
        <f t="shared" si="22"/>
        <v>18945180.77</v>
      </c>
      <c r="G64" s="329">
        <f t="shared" si="22"/>
        <v>32981.870000001043</v>
      </c>
      <c r="H64" s="329">
        <f t="shared" si="22"/>
        <v>0</v>
      </c>
      <c r="J64" s="330"/>
    </row>
    <row r="65" spans="1:10" s="1" customFormat="1" ht="12.75" hidden="1" outlineLevel="1" x14ac:dyDescent="0.2">
      <c r="A65" s="350" t="s">
        <v>361</v>
      </c>
      <c r="B65" s="197"/>
      <c r="C65" s="361"/>
      <c r="D65" s="362"/>
      <c r="E65" s="361">
        <v>7048121.5700000003</v>
      </c>
      <c r="F65" s="333">
        <v>6963208.6600000001</v>
      </c>
      <c r="G65" s="345">
        <f t="shared" ref="G65:G69" si="23">E65-F65</f>
        <v>84912.910000000149</v>
      </c>
      <c r="H65" s="334"/>
      <c r="J65" s="330"/>
    </row>
    <row r="66" spans="1:10" s="1" customFormat="1" ht="12.75" hidden="1" outlineLevel="1" x14ac:dyDescent="0.2">
      <c r="A66" s="350" t="s">
        <v>390</v>
      </c>
      <c r="B66" s="197"/>
      <c r="C66" s="361"/>
      <c r="D66" s="362"/>
      <c r="E66" s="361">
        <v>11930041.07</v>
      </c>
      <c r="F66" s="333">
        <v>11981972.109999999</v>
      </c>
      <c r="G66" s="345">
        <f t="shared" si="23"/>
        <v>-51931.039999999106</v>
      </c>
      <c r="H66" s="334"/>
      <c r="J66" s="330"/>
    </row>
    <row r="67" spans="1:10" s="1" customFormat="1" ht="12.75" hidden="1" outlineLevel="1" x14ac:dyDescent="0.2">
      <c r="A67" s="350"/>
      <c r="B67" s="197"/>
      <c r="C67" s="361"/>
      <c r="D67" s="362"/>
      <c r="E67" s="361"/>
      <c r="F67" s="333"/>
      <c r="G67" s="345">
        <f t="shared" si="23"/>
        <v>0</v>
      </c>
      <c r="H67" s="334"/>
      <c r="J67" s="330"/>
    </row>
    <row r="68" spans="1:10" s="1" customFormat="1" ht="12.75" hidden="1" outlineLevel="1" x14ac:dyDescent="0.2">
      <c r="A68" s="350"/>
      <c r="B68" s="197"/>
      <c r="C68" s="361"/>
      <c r="D68" s="362"/>
      <c r="E68" s="361"/>
      <c r="F68" s="333"/>
      <c r="G68" s="345">
        <f t="shared" si="23"/>
        <v>0</v>
      </c>
      <c r="H68" s="334"/>
      <c r="J68" s="330"/>
    </row>
    <row r="69" spans="1:10" s="1" customFormat="1" ht="15" collapsed="1" x14ac:dyDescent="0.2">
      <c r="A69" s="346" t="s">
        <v>5</v>
      </c>
      <c r="B69" s="347"/>
      <c r="C69" s="348">
        <f>C63</f>
        <v>0</v>
      </c>
      <c r="D69" s="348">
        <f t="shared" ref="D69:F69" si="24">D63</f>
        <v>0</v>
      </c>
      <c r="E69" s="348">
        <f t="shared" si="24"/>
        <v>18978162.640000001</v>
      </c>
      <c r="F69" s="348">
        <f t="shared" si="24"/>
        <v>18945180.77</v>
      </c>
      <c r="G69" s="348">
        <f t="shared" si="23"/>
        <v>32981.870000001043</v>
      </c>
      <c r="H69" s="348">
        <f t="shared" ref="H69" si="25">H63</f>
        <v>0</v>
      </c>
      <c r="J69" s="330"/>
    </row>
  </sheetData>
  <mergeCells count="10">
    <mergeCell ref="A23:B23"/>
    <mergeCell ref="A50:B50"/>
    <mergeCell ref="A56:B56"/>
    <mergeCell ref="A63:B63"/>
    <mergeCell ref="B4:B5"/>
    <mergeCell ref="C4:C5"/>
    <mergeCell ref="D4:D5"/>
    <mergeCell ref="E4:G4"/>
    <mergeCell ref="A7:B7"/>
    <mergeCell ref="A14:B14"/>
  </mergeCells>
  <pageMargins left="0.25" right="0.25" top="0.75" bottom="0.75" header="0.3" footer="0.3"/>
  <pageSetup paperSize="9" scale="57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1159-8A9D-4BD6-97F1-DB5AD4A0F844}">
  <sheetPr>
    <tabColor rgb="FF92D050"/>
    <pageSetUpPr fitToPage="1"/>
  </sheetPr>
  <dimension ref="A1:J70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0.1640625" style="330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67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67" t="s">
        <v>8</v>
      </c>
    </row>
    <row r="5" spans="1:10" ht="36" x14ac:dyDescent="0.2">
      <c r="A5" s="367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0" t="s">
        <v>364</v>
      </c>
      <c r="B7" s="470"/>
      <c r="C7" s="342">
        <f>C8</f>
        <v>113670892.85640001</v>
      </c>
      <c r="D7" s="342">
        <f t="shared" ref="D7:G7" si="0">D8</f>
        <v>18729145.359999999</v>
      </c>
      <c r="E7" s="342">
        <f t="shared" si="0"/>
        <v>7150998.0300000003</v>
      </c>
      <c r="F7" s="342">
        <f t="shared" si="0"/>
        <v>6619780.0300000003</v>
      </c>
      <c r="G7" s="342">
        <f t="shared" si="0"/>
        <v>531218</v>
      </c>
      <c r="H7" s="342">
        <f>H8</f>
        <v>5364623.24</v>
      </c>
      <c r="I7" s="332"/>
      <c r="J7" s="331"/>
    </row>
    <row r="8" spans="1:10" ht="12.95" customHeight="1" x14ac:dyDescent="0.2">
      <c r="A8" s="113"/>
      <c r="B8" s="343"/>
      <c r="C8" s="329">
        <f>SUM(C9:C11)</f>
        <v>113670892.85640001</v>
      </c>
      <c r="D8" s="329">
        <f t="shared" ref="D8:H8" si="1">SUM(D9:D11)</f>
        <v>18729145.359999999</v>
      </c>
      <c r="E8" s="329">
        <f t="shared" si="1"/>
        <v>7150998.0300000003</v>
      </c>
      <c r="F8" s="329">
        <f t="shared" si="1"/>
        <v>6619780.0300000003</v>
      </c>
      <c r="G8" s="329">
        <f t="shared" si="1"/>
        <v>531218</v>
      </c>
      <c r="H8" s="329">
        <f t="shared" si="1"/>
        <v>5364623.24</v>
      </c>
      <c r="I8" s="332"/>
      <c r="J8" s="331"/>
    </row>
    <row r="9" spans="1:10" ht="12.75" outlineLevel="1" x14ac:dyDescent="0.2">
      <c r="A9" s="350" t="s">
        <v>362</v>
      </c>
      <c r="B9" s="197"/>
      <c r="C9" s="365">
        <v>113670892.85640001</v>
      </c>
      <c r="D9" s="366"/>
      <c r="E9" s="365">
        <v>7150998.0300000003</v>
      </c>
      <c r="F9" s="333">
        <v>6619780.0300000003</v>
      </c>
      <c r="G9" s="345">
        <f t="shared" ref="G9:G12" si="2">E9-F9</f>
        <v>531218</v>
      </c>
      <c r="H9" s="334">
        <v>5364623.24</v>
      </c>
      <c r="I9" s="332"/>
      <c r="J9" s="331"/>
    </row>
    <row r="10" spans="1:10" ht="33.75" outlineLevel="1" x14ac:dyDescent="0.2">
      <c r="A10" s="350" t="s">
        <v>420</v>
      </c>
      <c r="B10" s="197"/>
      <c r="C10" s="365"/>
      <c r="D10" s="366">
        <v>18729145.359999999</v>
      </c>
      <c r="E10" s="365"/>
      <c r="F10" s="333"/>
      <c r="G10" s="345">
        <f t="shared" si="2"/>
        <v>0</v>
      </c>
      <c r="H10" s="334"/>
      <c r="I10" s="332"/>
      <c r="J10" s="331"/>
    </row>
    <row r="11" spans="1:10" ht="12.75" outlineLevel="1" x14ac:dyDescent="0.2">
      <c r="A11" s="350"/>
      <c r="B11" s="197"/>
      <c r="C11" s="365"/>
      <c r="D11" s="366"/>
      <c r="E11" s="365"/>
      <c r="F11" s="333"/>
      <c r="G11" s="345">
        <f t="shared" si="2"/>
        <v>0</v>
      </c>
      <c r="H11" s="334"/>
      <c r="I11" s="332"/>
      <c r="J11" s="331"/>
    </row>
    <row r="12" spans="1:10" ht="12.95" customHeight="1" x14ac:dyDescent="0.2">
      <c r="A12" s="346" t="s">
        <v>5</v>
      </c>
      <c r="B12" s="347"/>
      <c r="C12" s="348">
        <f>C7</f>
        <v>113670892.85640001</v>
      </c>
      <c r="D12" s="348">
        <f t="shared" ref="D12:F12" si="3">D7</f>
        <v>18729145.359999999</v>
      </c>
      <c r="E12" s="348">
        <f t="shared" si="3"/>
        <v>7150998.0300000003</v>
      </c>
      <c r="F12" s="348">
        <f t="shared" si="3"/>
        <v>6619780.0300000003</v>
      </c>
      <c r="G12" s="348">
        <f t="shared" si="2"/>
        <v>531218</v>
      </c>
      <c r="H12" s="348">
        <f t="shared" ref="H12" si="4">H7</f>
        <v>5364623.24</v>
      </c>
      <c r="I12" s="332"/>
      <c r="J12" s="331"/>
    </row>
    <row r="13" spans="1:10" ht="12.95" customHeight="1" x14ac:dyDescent="0.2">
      <c r="A13" s="332"/>
      <c r="B13" s="332"/>
      <c r="C13" s="332"/>
      <c r="D13" s="332"/>
      <c r="E13" s="332"/>
      <c r="F13" s="332"/>
      <c r="G13" s="332"/>
      <c r="H13" s="332"/>
      <c r="I13" s="332"/>
      <c r="J13" s="331"/>
    </row>
    <row r="14" spans="1:10" ht="15" x14ac:dyDescent="0.2">
      <c r="A14" s="470" t="s">
        <v>367</v>
      </c>
      <c r="B14" s="470"/>
      <c r="C14" s="342">
        <f t="shared" ref="C14:H14" si="5">C15+C18</f>
        <v>702509314.03999996</v>
      </c>
      <c r="D14" s="342">
        <f t="shared" si="5"/>
        <v>30274071.409999996</v>
      </c>
      <c r="E14" s="342">
        <f t="shared" si="5"/>
        <v>402972903.72999996</v>
      </c>
      <c r="F14" s="342">
        <f t="shared" si="5"/>
        <v>391545109.66000003</v>
      </c>
      <c r="G14" s="342">
        <f t="shared" si="5"/>
        <v>11427794.069999963</v>
      </c>
      <c r="H14" s="342">
        <f t="shared" si="5"/>
        <v>22541922.829999998</v>
      </c>
      <c r="I14" s="332"/>
      <c r="J14" s="331"/>
    </row>
    <row r="15" spans="1:10" ht="12.95" customHeight="1" x14ac:dyDescent="0.2">
      <c r="A15" s="349" t="s">
        <v>363</v>
      </c>
      <c r="B15" s="343"/>
      <c r="C15" s="329">
        <f>SUM(C16:C17)</f>
        <v>694381444.79999995</v>
      </c>
      <c r="D15" s="329">
        <f t="shared" ref="D15:H15" si="6">SUM(D16:D17)</f>
        <v>26145100.489999998</v>
      </c>
      <c r="E15" s="329">
        <f t="shared" si="6"/>
        <v>396479488.20999998</v>
      </c>
      <c r="F15" s="329">
        <f t="shared" si="6"/>
        <v>385246496.61000001</v>
      </c>
      <c r="G15" s="329">
        <f t="shared" si="6"/>
        <v>11232991.599999964</v>
      </c>
      <c r="H15" s="329">
        <f t="shared" si="6"/>
        <v>22541922.829999998</v>
      </c>
      <c r="I15" s="332"/>
      <c r="J15" s="331"/>
    </row>
    <row r="16" spans="1:10" ht="12.75" outlineLevel="1" x14ac:dyDescent="0.2">
      <c r="A16" s="350" t="s">
        <v>365</v>
      </c>
      <c r="B16" s="197"/>
      <c r="C16" s="360">
        <v>694381444.79999995</v>
      </c>
      <c r="D16" s="366">
        <v>26145100.489999998</v>
      </c>
      <c r="E16" s="365">
        <v>396479488.20999998</v>
      </c>
      <c r="F16" s="333">
        <v>385246496.61000001</v>
      </c>
      <c r="G16" s="345">
        <f t="shared" ref="G16:G22" si="7">E16-F16</f>
        <v>11232991.599999964</v>
      </c>
      <c r="H16" s="334">
        <f>13722685.66+8819237.17</f>
        <v>22541922.829999998</v>
      </c>
      <c r="I16" s="369" t="s">
        <v>422</v>
      </c>
      <c r="J16" s="331"/>
    </row>
    <row r="17" spans="1:10" ht="12.75" outlineLevel="1" x14ac:dyDescent="0.2">
      <c r="A17" s="350" t="s">
        <v>423</v>
      </c>
      <c r="B17" s="197" t="s">
        <v>424</v>
      </c>
      <c r="C17" s="360"/>
      <c r="D17" s="366"/>
      <c r="E17" s="365"/>
      <c r="F17" s="333"/>
      <c r="G17" s="345">
        <f t="shared" si="7"/>
        <v>0</v>
      </c>
      <c r="H17" s="334"/>
      <c r="I17" s="332"/>
      <c r="J17" s="331"/>
    </row>
    <row r="18" spans="1:10" ht="12.95" customHeight="1" x14ac:dyDescent="0.2">
      <c r="A18" s="349" t="s">
        <v>368</v>
      </c>
      <c r="B18" s="343"/>
      <c r="C18" s="329">
        <f>SUM(C19:C21)</f>
        <v>8127869.2400000002</v>
      </c>
      <c r="D18" s="329">
        <f t="shared" ref="D18:H18" si="8">SUM(D19:D21)</f>
        <v>4128970.92</v>
      </c>
      <c r="E18" s="329">
        <f t="shared" si="8"/>
        <v>6493415.5199999996</v>
      </c>
      <c r="F18" s="329">
        <f t="shared" si="8"/>
        <v>6298613.0499999998</v>
      </c>
      <c r="G18" s="329">
        <f t="shared" si="8"/>
        <v>194802.46999999974</v>
      </c>
      <c r="H18" s="329">
        <f t="shared" si="8"/>
        <v>0</v>
      </c>
      <c r="I18" s="332"/>
      <c r="J18" s="331"/>
    </row>
    <row r="19" spans="1:10" ht="12.75" outlineLevel="1" x14ac:dyDescent="0.2">
      <c r="A19" s="350" t="s">
        <v>369</v>
      </c>
      <c r="B19" s="197"/>
      <c r="C19" s="365">
        <f>8127869.24</f>
        <v>8127869.2400000002</v>
      </c>
      <c r="D19" s="366">
        <f>11656835.57-C19+600004.59</f>
        <v>4128970.92</v>
      </c>
      <c r="E19" s="365">
        <v>6493415.5199999996</v>
      </c>
      <c r="F19" s="333">
        <v>6298613.0499999998</v>
      </c>
      <c r="G19" s="345">
        <f t="shared" si="7"/>
        <v>194802.46999999974</v>
      </c>
      <c r="H19" s="334"/>
      <c r="I19" s="332"/>
      <c r="J19" s="331"/>
    </row>
    <row r="20" spans="1:10" ht="12.75" outlineLevel="1" x14ac:dyDescent="0.2">
      <c r="A20" s="350"/>
      <c r="B20" s="197"/>
      <c r="C20" s="365"/>
      <c r="D20" s="366"/>
      <c r="E20" s="365"/>
      <c r="F20" s="333"/>
      <c r="G20" s="345">
        <f t="shared" si="7"/>
        <v>0</v>
      </c>
      <c r="H20" s="334"/>
      <c r="I20" s="332"/>
      <c r="J20" s="331"/>
    </row>
    <row r="21" spans="1:10" ht="12.75" outlineLevel="1" x14ac:dyDescent="0.2">
      <c r="A21" s="350"/>
      <c r="B21" s="197"/>
      <c r="C21" s="365"/>
      <c r="D21" s="366"/>
      <c r="E21" s="365"/>
      <c r="F21" s="333"/>
      <c r="G21" s="345">
        <f t="shared" si="7"/>
        <v>0</v>
      </c>
      <c r="H21" s="334"/>
      <c r="I21" s="332"/>
      <c r="J21" s="331"/>
    </row>
    <row r="22" spans="1:10" ht="12.95" customHeight="1" x14ac:dyDescent="0.2">
      <c r="A22" s="346" t="s">
        <v>5</v>
      </c>
      <c r="B22" s="347"/>
      <c r="C22" s="348">
        <f>C14</f>
        <v>702509314.03999996</v>
      </c>
      <c r="D22" s="348">
        <f>D14</f>
        <v>30274071.409999996</v>
      </c>
      <c r="E22" s="348">
        <f>E14</f>
        <v>402972903.72999996</v>
      </c>
      <c r="F22" s="348">
        <f>F14</f>
        <v>391545109.66000003</v>
      </c>
      <c r="G22" s="348">
        <f t="shared" si="7"/>
        <v>11427794.069999933</v>
      </c>
      <c r="H22" s="348">
        <f>H14</f>
        <v>22541922.829999998</v>
      </c>
      <c r="I22" s="332"/>
      <c r="J22" s="331"/>
    </row>
    <row r="23" spans="1:10" x14ac:dyDescent="0.2">
      <c r="J23" s="331"/>
    </row>
    <row r="24" spans="1:10" ht="15" x14ac:dyDescent="0.2">
      <c r="A24" s="470" t="s">
        <v>370</v>
      </c>
      <c r="B24" s="470"/>
      <c r="C24" s="342">
        <f>C25</f>
        <v>51203561.621748812</v>
      </c>
      <c r="D24" s="342">
        <f t="shared" ref="D24:G24" si="9">D25</f>
        <v>1112.2524000000001</v>
      </c>
      <c r="E24" s="342">
        <f t="shared" si="9"/>
        <v>39317598.100000009</v>
      </c>
      <c r="F24" s="342">
        <f t="shared" si="9"/>
        <v>40285030.590000011</v>
      </c>
      <c r="G24" s="342">
        <f t="shared" si="9"/>
        <v>-967432.49000000022</v>
      </c>
      <c r="H24" s="342">
        <f>H25</f>
        <v>2362166.35</v>
      </c>
      <c r="I24" s="332"/>
      <c r="J24" s="331"/>
    </row>
    <row r="25" spans="1:10" ht="12.95" customHeight="1" x14ac:dyDescent="0.2">
      <c r="A25" s="113"/>
      <c r="B25" s="343"/>
      <c r="C25" s="329">
        <f>SUM(C26:C48)</f>
        <v>51203561.621748812</v>
      </c>
      <c r="D25" s="329">
        <f t="shared" ref="D25:H25" si="10">SUM(D26:D48)</f>
        <v>1112.2524000000001</v>
      </c>
      <c r="E25" s="329">
        <f t="shared" si="10"/>
        <v>39317598.100000009</v>
      </c>
      <c r="F25" s="329">
        <f t="shared" si="10"/>
        <v>40285030.590000011</v>
      </c>
      <c r="G25" s="329">
        <f t="shared" si="10"/>
        <v>-967432.49000000022</v>
      </c>
      <c r="H25" s="329">
        <f t="shared" si="10"/>
        <v>2362166.35</v>
      </c>
      <c r="I25" s="332"/>
      <c r="J25" s="331"/>
    </row>
    <row r="26" spans="1:10" ht="23.45" customHeight="1" outlineLevel="1" x14ac:dyDescent="0.2">
      <c r="A26" s="350" t="s">
        <v>371</v>
      </c>
      <c r="B26" s="197" t="s">
        <v>392</v>
      </c>
      <c r="C26" s="365">
        <f>17013778.16-90000</f>
        <v>16923778.16</v>
      </c>
      <c r="D26" s="366"/>
      <c r="E26" s="365">
        <v>16605957.560000001</v>
      </c>
      <c r="F26" s="333">
        <f>16576888.66+29068.89</f>
        <v>16605957.550000001</v>
      </c>
      <c r="G26" s="345">
        <f t="shared" ref="G26:G49" si="11">E26-F26</f>
        <v>9.9999997764825821E-3</v>
      </c>
      <c r="H26" s="334">
        <v>317778.7</v>
      </c>
      <c r="I26" s="332"/>
      <c r="J26" s="331"/>
    </row>
    <row r="27" spans="1:10" ht="23.45" customHeight="1" outlineLevel="1" x14ac:dyDescent="0.2">
      <c r="A27" s="350" t="s">
        <v>372</v>
      </c>
      <c r="B27" s="197" t="s">
        <v>393</v>
      </c>
      <c r="C27" s="365">
        <v>265614.90000000002</v>
      </c>
      <c r="D27" s="366"/>
      <c r="E27" s="365">
        <v>211678.97</v>
      </c>
      <c r="F27" s="333">
        <v>211678.97</v>
      </c>
      <c r="G27" s="345">
        <f t="shared" si="11"/>
        <v>0</v>
      </c>
      <c r="H27" s="334"/>
      <c r="I27" s="332"/>
      <c r="J27" s="331"/>
    </row>
    <row r="28" spans="1:10" ht="23.45" customHeight="1" outlineLevel="1" x14ac:dyDescent="0.2">
      <c r="A28" s="350" t="s">
        <v>373</v>
      </c>
      <c r="B28" s="197" t="s">
        <v>394</v>
      </c>
      <c r="C28" s="365">
        <f>6397192.081+420656.6077+311390</f>
        <v>7129238.6886999998</v>
      </c>
      <c r="D28" s="366"/>
      <c r="E28" s="365">
        <v>3087292.77</v>
      </c>
      <c r="F28" s="333">
        <v>3014062.8</v>
      </c>
      <c r="G28" s="345">
        <f t="shared" si="11"/>
        <v>73229.970000000205</v>
      </c>
      <c r="H28" s="334">
        <v>169607.82</v>
      </c>
      <c r="I28" s="332"/>
      <c r="J28" s="331"/>
    </row>
    <row r="29" spans="1:10" ht="23.45" customHeight="1" outlineLevel="1" x14ac:dyDescent="0.2">
      <c r="A29" s="350" t="s">
        <v>407</v>
      </c>
      <c r="B29" s="197" t="s">
        <v>408</v>
      </c>
      <c r="C29" s="365">
        <v>259236.64</v>
      </c>
      <c r="D29" s="366"/>
      <c r="E29" s="365"/>
      <c r="F29" s="333"/>
      <c r="G29" s="345">
        <f t="shared" si="11"/>
        <v>0</v>
      </c>
      <c r="H29" s="334"/>
      <c r="I29" s="332"/>
      <c r="J29" s="331"/>
    </row>
    <row r="30" spans="1:10" ht="23.45" customHeight="1" outlineLevel="1" x14ac:dyDescent="0.2">
      <c r="A30" s="350" t="s">
        <v>374</v>
      </c>
      <c r="B30" s="197" t="s">
        <v>395</v>
      </c>
      <c r="C30" s="365">
        <v>2100000</v>
      </c>
      <c r="D30" s="366"/>
      <c r="E30" s="365">
        <v>2099963.2400000002</v>
      </c>
      <c r="F30" s="333">
        <v>2099963.2400000002</v>
      </c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375</v>
      </c>
      <c r="B31" s="197" t="s">
        <v>396</v>
      </c>
      <c r="C31" s="365">
        <v>961530.55</v>
      </c>
      <c r="D31" s="366"/>
      <c r="E31" s="365"/>
      <c r="F31" s="333">
        <v>329967.82</v>
      </c>
      <c r="G31" s="345">
        <f t="shared" si="11"/>
        <v>-329967.82</v>
      </c>
      <c r="H31" s="334">
        <v>891722.9</v>
      </c>
      <c r="I31" s="332"/>
      <c r="J31" s="331"/>
    </row>
    <row r="32" spans="1:10" ht="23.45" customHeight="1" outlineLevel="1" x14ac:dyDescent="0.2">
      <c r="A32" s="350" t="s">
        <v>409</v>
      </c>
      <c r="B32" s="197" t="s">
        <v>410</v>
      </c>
      <c r="C32" s="365">
        <v>138362.18</v>
      </c>
      <c r="D32" s="366"/>
      <c r="E32" s="365"/>
      <c r="F32" s="333"/>
      <c r="G32" s="345">
        <f t="shared" si="11"/>
        <v>0</v>
      </c>
      <c r="H32" s="334"/>
      <c r="I32" s="332"/>
      <c r="J32" s="331"/>
    </row>
    <row r="33" spans="1:10" ht="23.45" customHeight="1" outlineLevel="1" x14ac:dyDescent="0.2">
      <c r="A33" s="350" t="s">
        <v>405</v>
      </c>
      <c r="B33" s="197" t="s">
        <v>406</v>
      </c>
      <c r="C33" s="365">
        <v>940410.64800000004</v>
      </c>
      <c r="D33" s="366"/>
      <c r="E33" s="365"/>
      <c r="F33" s="333"/>
      <c r="G33" s="345">
        <f t="shared" si="11"/>
        <v>0</v>
      </c>
      <c r="H33" s="334">
        <v>869299.69</v>
      </c>
      <c r="I33" s="332"/>
      <c r="J33" s="331"/>
    </row>
    <row r="34" spans="1:10" ht="23.45" customHeight="1" outlineLevel="1" x14ac:dyDescent="0.2">
      <c r="A34" s="350" t="s">
        <v>376</v>
      </c>
      <c r="B34" s="197"/>
      <c r="C34" s="365">
        <v>1063961.9408807999</v>
      </c>
      <c r="D34" s="366"/>
      <c r="E34" s="365">
        <v>1063516.73</v>
      </c>
      <c r="F34" s="333">
        <v>1063516.73</v>
      </c>
      <c r="G34" s="345">
        <f t="shared" si="11"/>
        <v>0</v>
      </c>
      <c r="H34" s="334"/>
      <c r="I34" s="332"/>
      <c r="J34" s="331"/>
    </row>
    <row r="35" spans="1:10" ht="23.45" customHeight="1" outlineLevel="1" x14ac:dyDescent="0.2">
      <c r="A35" s="350" t="s">
        <v>377</v>
      </c>
      <c r="B35" s="197"/>
      <c r="C35" s="365">
        <v>4567152.1141680004</v>
      </c>
      <c r="D35" s="366"/>
      <c r="E35" s="365">
        <v>3985555.74</v>
      </c>
      <c r="F35" s="333">
        <v>3985555.74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378</v>
      </c>
      <c r="B36" s="197"/>
      <c r="C36" s="365">
        <v>1094682.42</v>
      </c>
      <c r="D36" s="366"/>
      <c r="E36" s="365">
        <v>782407.19</v>
      </c>
      <c r="F36" s="333">
        <v>876089.76</v>
      </c>
      <c r="G36" s="345">
        <f t="shared" si="11"/>
        <v>-93682.570000000065</v>
      </c>
      <c r="H36" s="334"/>
      <c r="I36" s="332"/>
      <c r="J36" s="331"/>
    </row>
    <row r="37" spans="1:10" ht="23.45" customHeight="1" outlineLevel="1" x14ac:dyDescent="0.2">
      <c r="A37" s="350" t="s">
        <v>379</v>
      </c>
      <c r="B37" s="197"/>
      <c r="C37" s="365">
        <v>10672595.1</v>
      </c>
      <c r="D37" s="366"/>
      <c r="E37" s="365">
        <v>7361089.8600000003</v>
      </c>
      <c r="F37" s="333">
        <f>7517114.7+709712.45</f>
        <v>8226827.1500000004</v>
      </c>
      <c r="G37" s="345">
        <f t="shared" si="11"/>
        <v>-865737.29</v>
      </c>
      <c r="H37" s="334"/>
      <c r="I37" s="332"/>
      <c r="J37" s="331"/>
    </row>
    <row r="38" spans="1:10" ht="23.45" customHeight="1" outlineLevel="1" x14ac:dyDescent="0.2">
      <c r="A38" s="350" t="s">
        <v>380</v>
      </c>
      <c r="B38" s="197"/>
      <c r="C38" s="365">
        <v>39500.15</v>
      </c>
      <c r="D38" s="366"/>
      <c r="E38" s="365">
        <v>39500.15</v>
      </c>
      <c r="F38" s="333">
        <v>39500.15</v>
      </c>
      <c r="G38" s="345">
        <f t="shared" si="11"/>
        <v>0</v>
      </c>
      <c r="H38" s="334"/>
      <c r="I38" s="332"/>
      <c r="J38" s="331"/>
    </row>
    <row r="39" spans="1:10" ht="23.45" customHeight="1" outlineLevel="1" x14ac:dyDescent="0.2">
      <c r="A39" s="350" t="s">
        <v>381</v>
      </c>
      <c r="B39" s="197" t="s">
        <v>397</v>
      </c>
      <c r="C39" s="365">
        <v>119696.93</v>
      </c>
      <c r="D39" s="366"/>
      <c r="E39" s="365">
        <v>119696.93</v>
      </c>
      <c r="F39" s="333">
        <v>119696.93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382</v>
      </c>
      <c r="B40" s="197" t="s">
        <v>392</v>
      </c>
      <c r="C40" s="365">
        <v>466146.52</v>
      </c>
      <c r="D40" s="366"/>
      <c r="E40" s="365">
        <v>466146.45</v>
      </c>
      <c r="F40" s="333">
        <v>466146.45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403</v>
      </c>
      <c r="B41" s="197" t="s">
        <v>404</v>
      </c>
      <c r="C41" s="365">
        <v>4699.5</v>
      </c>
      <c r="D41" s="366"/>
      <c r="E41" s="365"/>
      <c r="F41" s="333"/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383</v>
      </c>
      <c r="B42" s="197" t="s">
        <v>398</v>
      </c>
      <c r="C42" s="365">
        <v>40666.74</v>
      </c>
      <c r="D42" s="366"/>
      <c r="E42" s="365">
        <v>38205.86</v>
      </c>
      <c r="F42" s="333">
        <v>38205.86</v>
      </c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384</v>
      </c>
      <c r="B43" s="197" t="s">
        <v>397</v>
      </c>
      <c r="C43" s="365">
        <v>2440898.75</v>
      </c>
      <c r="D43" s="366"/>
      <c r="E43" s="365">
        <v>2439621.9900000002</v>
      </c>
      <c r="F43" s="333">
        <v>2439621.9900000002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391</v>
      </c>
      <c r="B44" s="197" t="s">
        <v>412</v>
      </c>
      <c r="C44" s="365">
        <v>454219.84</v>
      </c>
      <c r="D44" s="366"/>
      <c r="E44" s="365">
        <v>287046.89</v>
      </c>
      <c r="F44" s="333">
        <f>239205.74+47841.15</f>
        <v>287046.89</v>
      </c>
      <c r="G44" s="345">
        <f t="shared" si="11"/>
        <v>0</v>
      </c>
      <c r="H44" s="334"/>
      <c r="I44" s="364"/>
      <c r="J44" s="331"/>
    </row>
    <row r="45" spans="1:10" ht="23.45" customHeight="1" outlineLevel="1" x14ac:dyDescent="0.2">
      <c r="A45" s="350" t="s">
        <v>411</v>
      </c>
      <c r="B45" s="197" t="s">
        <v>399</v>
      </c>
      <c r="C45" s="366">
        <v>1254925.9099999999</v>
      </c>
      <c r="D45" s="366"/>
      <c r="E45" s="365">
        <v>577431.06999999995</v>
      </c>
      <c r="F45" s="333">
        <f>481192.56</f>
        <v>481192.56</v>
      </c>
      <c r="G45" s="345">
        <f t="shared" si="11"/>
        <v>96238.509999999951</v>
      </c>
      <c r="H45" s="334"/>
      <c r="I45" s="364"/>
      <c r="J45" s="331"/>
    </row>
    <row r="46" spans="1:10" ht="23.45" customHeight="1" outlineLevel="1" x14ac:dyDescent="0.2">
      <c r="A46" s="350" t="s">
        <v>421</v>
      </c>
      <c r="B46" s="197" t="s">
        <v>400</v>
      </c>
      <c r="C46" s="345">
        <v>113757.24</v>
      </c>
      <c r="D46" s="345"/>
      <c r="E46" s="365"/>
      <c r="F46" s="333"/>
      <c r="G46" s="345">
        <f t="shared" si="11"/>
        <v>0</v>
      </c>
      <c r="H46" s="334">
        <v>113757.24</v>
      </c>
      <c r="I46" s="364"/>
      <c r="J46" s="331"/>
    </row>
    <row r="47" spans="1:10" ht="23.45" customHeight="1" outlineLevel="1" x14ac:dyDescent="0.2">
      <c r="A47" s="350"/>
      <c r="B47" s="197" t="s">
        <v>401</v>
      </c>
      <c r="C47" s="365"/>
      <c r="D47" s="366">
        <v>1112.2524000000001</v>
      </c>
      <c r="E47" s="365"/>
      <c r="F47" s="333"/>
      <c r="G47" s="345">
        <f t="shared" si="11"/>
        <v>0</v>
      </c>
      <c r="H47" s="334"/>
      <c r="I47" s="364"/>
      <c r="J47" s="331"/>
    </row>
    <row r="48" spans="1:10" ht="23.45" customHeight="1" outlineLevel="1" x14ac:dyDescent="0.2">
      <c r="A48" s="350" t="s">
        <v>415</v>
      </c>
      <c r="B48" s="197" t="s">
        <v>402</v>
      </c>
      <c r="C48" s="366">
        <v>152486.70000000001</v>
      </c>
      <c r="D48" s="366"/>
      <c r="E48" s="365">
        <v>152486.70000000001</v>
      </c>
      <c r="F48" s="333"/>
      <c r="G48" s="345">
        <f t="shared" si="11"/>
        <v>152486.70000000001</v>
      </c>
      <c r="H48" s="334"/>
      <c r="I48" s="332"/>
      <c r="J48" s="331"/>
    </row>
    <row r="49" spans="1:10" ht="12.95" customHeight="1" x14ac:dyDescent="0.2">
      <c r="A49" s="346" t="s">
        <v>5</v>
      </c>
      <c r="B49" s="347"/>
      <c r="C49" s="348">
        <f>C24</f>
        <v>51203561.621748812</v>
      </c>
      <c r="D49" s="348">
        <f t="shared" ref="D49:F49" si="12">D24</f>
        <v>1112.2524000000001</v>
      </c>
      <c r="E49" s="348">
        <f t="shared" si="12"/>
        <v>39317598.100000009</v>
      </c>
      <c r="F49" s="348">
        <f t="shared" si="12"/>
        <v>40285030.590000011</v>
      </c>
      <c r="G49" s="348">
        <f t="shared" si="11"/>
        <v>-967432.49000000209</v>
      </c>
      <c r="H49" s="348">
        <f t="shared" ref="H49" si="13">H24</f>
        <v>2362166.35</v>
      </c>
      <c r="I49" s="332"/>
      <c r="J49" s="331"/>
    </row>
    <row r="50" spans="1:10" x14ac:dyDescent="0.2">
      <c r="J50" s="331"/>
    </row>
    <row r="51" spans="1:10" ht="15" x14ac:dyDescent="0.2">
      <c r="A51" s="470" t="s">
        <v>385</v>
      </c>
      <c r="B51" s="470"/>
      <c r="C51" s="342">
        <f>C52</f>
        <v>36586417.648251414</v>
      </c>
      <c r="D51" s="342">
        <f t="shared" ref="D51:G51" si="14">D52</f>
        <v>0</v>
      </c>
      <c r="E51" s="342">
        <f t="shared" si="14"/>
        <v>0</v>
      </c>
      <c r="F51" s="342">
        <f t="shared" si="14"/>
        <v>10000000</v>
      </c>
      <c r="G51" s="342">
        <f t="shared" si="14"/>
        <v>-10000000</v>
      </c>
      <c r="H51" s="342">
        <f>H52</f>
        <v>0</v>
      </c>
      <c r="I51" s="332"/>
      <c r="J51" s="331"/>
    </row>
    <row r="52" spans="1:10" ht="12.95" customHeight="1" x14ac:dyDescent="0.2">
      <c r="A52" s="113"/>
      <c r="B52" s="343"/>
      <c r="C52" s="329">
        <f t="shared" ref="C52:H52" si="15">SUM(C53:C54)</f>
        <v>36586417.648251414</v>
      </c>
      <c r="D52" s="329">
        <f t="shared" si="15"/>
        <v>0</v>
      </c>
      <c r="E52" s="329">
        <f t="shared" si="15"/>
        <v>0</v>
      </c>
      <c r="F52" s="329">
        <f t="shared" si="15"/>
        <v>10000000</v>
      </c>
      <c r="G52" s="329">
        <f t="shared" si="15"/>
        <v>-10000000</v>
      </c>
      <c r="H52" s="329">
        <f t="shared" si="15"/>
        <v>0</v>
      </c>
      <c r="I52" s="332"/>
      <c r="J52" s="331"/>
    </row>
    <row r="53" spans="1:10" ht="12.75" outlineLevel="1" x14ac:dyDescent="0.2">
      <c r="A53" s="350" t="s">
        <v>386</v>
      </c>
      <c r="B53" s="197"/>
      <c r="C53" s="365">
        <v>36586417.648251414</v>
      </c>
      <c r="D53" s="366"/>
      <c r="E53" s="365"/>
      <c r="F53" s="333">
        <v>10000000</v>
      </c>
      <c r="G53" s="345">
        <f t="shared" ref="G53:G55" si="16">E53-F53</f>
        <v>-10000000</v>
      </c>
      <c r="H53" s="334"/>
      <c r="I53" s="332"/>
      <c r="J53" s="331"/>
    </row>
    <row r="54" spans="1:10" ht="12.75" outlineLevel="1" x14ac:dyDescent="0.2">
      <c r="A54" s="350"/>
      <c r="B54" s="197"/>
      <c r="C54" s="365"/>
      <c r="D54" s="366"/>
      <c r="E54" s="365"/>
      <c r="F54" s="333"/>
      <c r="G54" s="345">
        <f t="shared" si="16"/>
        <v>0</v>
      </c>
      <c r="H54" s="334"/>
      <c r="I54" s="332"/>
      <c r="J54" s="331"/>
    </row>
    <row r="55" spans="1:10" ht="12.95" customHeight="1" x14ac:dyDescent="0.2">
      <c r="A55" s="346" t="s">
        <v>5</v>
      </c>
      <c r="B55" s="347"/>
      <c r="C55" s="348">
        <f>C51</f>
        <v>36586417.648251414</v>
      </c>
      <c r="D55" s="348">
        <f>D51</f>
        <v>0</v>
      </c>
      <c r="E55" s="348">
        <f>E51</f>
        <v>0</v>
      </c>
      <c r="F55" s="348">
        <f>F51</f>
        <v>10000000</v>
      </c>
      <c r="G55" s="348">
        <f t="shared" si="16"/>
        <v>-10000000</v>
      </c>
      <c r="H55" s="348">
        <f t="shared" ref="H55" si="17">H51</f>
        <v>0</v>
      </c>
      <c r="I55" s="332"/>
      <c r="J55" s="331"/>
    </row>
    <row r="57" spans="1:10" ht="15" x14ac:dyDescent="0.2">
      <c r="A57" s="470" t="s">
        <v>387</v>
      </c>
      <c r="B57" s="470"/>
      <c r="C57" s="342">
        <f>C58</f>
        <v>10475226.394208746</v>
      </c>
      <c r="D57" s="342">
        <f t="shared" ref="D57:G57" si="18">D58</f>
        <v>0</v>
      </c>
      <c r="E57" s="342">
        <f t="shared" si="18"/>
        <v>8112092.29</v>
      </c>
      <c r="F57" s="342">
        <f t="shared" si="18"/>
        <v>8059387.21</v>
      </c>
      <c r="G57" s="342">
        <f t="shared" si="18"/>
        <v>52705.080000000075</v>
      </c>
      <c r="H57" s="342">
        <f>H58</f>
        <v>0</v>
      </c>
    </row>
    <row r="58" spans="1:10" x14ac:dyDescent="0.2">
      <c r="A58" s="113"/>
      <c r="B58" s="343"/>
      <c r="C58" s="329">
        <f t="shared" ref="C58:H58" si="19">SUM(C59:C61)</f>
        <v>10475226.394208746</v>
      </c>
      <c r="D58" s="329">
        <f t="shared" si="19"/>
        <v>0</v>
      </c>
      <c r="E58" s="329">
        <f t="shared" si="19"/>
        <v>8112092.29</v>
      </c>
      <c r="F58" s="329">
        <f t="shared" si="19"/>
        <v>8059387.21</v>
      </c>
      <c r="G58" s="329">
        <f t="shared" si="19"/>
        <v>52705.080000000075</v>
      </c>
      <c r="H58" s="329">
        <f t="shared" si="19"/>
        <v>0</v>
      </c>
    </row>
    <row r="59" spans="1:10" ht="12.75" outlineLevel="1" x14ac:dyDescent="0.2">
      <c r="A59" s="350" t="s">
        <v>388</v>
      </c>
      <c r="B59" s="197"/>
      <c r="C59" s="365">
        <v>10475226.394208746</v>
      </c>
      <c r="D59" s="366"/>
      <c r="E59" s="365">
        <v>8112092.29</v>
      </c>
      <c r="F59" s="333">
        <v>8059387.21</v>
      </c>
      <c r="G59" s="345">
        <f t="shared" ref="G59:G62" si="20">E59-F59</f>
        <v>52705.080000000075</v>
      </c>
      <c r="H59" s="334"/>
    </row>
    <row r="60" spans="1:10" ht="12.75" outlineLevel="1" x14ac:dyDescent="0.2">
      <c r="A60" s="350"/>
      <c r="B60" s="197"/>
      <c r="C60" s="365"/>
      <c r="D60" s="366"/>
      <c r="E60" s="365"/>
      <c r="F60" s="333"/>
      <c r="G60" s="345">
        <f t="shared" si="20"/>
        <v>0</v>
      </c>
      <c r="H60" s="334"/>
    </row>
    <row r="61" spans="1:10" ht="12.75" outlineLevel="1" x14ac:dyDescent="0.2">
      <c r="A61" s="350"/>
      <c r="B61" s="197"/>
      <c r="C61" s="365"/>
      <c r="D61" s="366"/>
      <c r="E61" s="365"/>
      <c r="F61" s="333"/>
      <c r="G61" s="345">
        <f t="shared" si="20"/>
        <v>0</v>
      </c>
      <c r="H61" s="334"/>
    </row>
    <row r="62" spans="1:10" ht="15" x14ac:dyDescent="0.2">
      <c r="A62" s="346" t="s">
        <v>5</v>
      </c>
      <c r="B62" s="347"/>
      <c r="C62" s="348">
        <f>C57</f>
        <v>10475226.394208746</v>
      </c>
      <c r="D62" s="348">
        <f>D57</f>
        <v>0</v>
      </c>
      <c r="E62" s="348">
        <f>E57</f>
        <v>8112092.29</v>
      </c>
      <c r="F62" s="348">
        <f>F57</f>
        <v>8059387.21</v>
      </c>
      <c r="G62" s="348">
        <f t="shared" si="20"/>
        <v>52705.080000000075</v>
      </c>
      <c r="H62" s="348">
        <f>H57</f>
        <v>0</v>
      </c>
    </row>
    <row r="64" spans="1:10" s="1" customFormat="1" ht="15" x14ac:dyDescent="0.2">
      <c r="A64" s="470" t="s">
        <v>389</v>
      </c>
      <c r="B64" s="470"/>
      <c r="C64" s="342">
        <f>C65</f>
        <v>0</v>
      </c>
      <c r="D64" s="342">
        <f t="shared" ref="D64:G64" si="21">D65</f>
        <v>0</v>
      </c>
      <c r="E64" s="342">
        <f t="shared" si="21"/>
        <v>18978162.640000001</v>
      </c>
      <c r="F64" s="342">
        <f t="shared" si="21"/>
        <v>18945180.77</v>
      </c>
      <c r="G64" s="342">
        <f t="shared" si="21"/>
        <v>32981.870000001043</v>
      </c>
      <c r="H64" s="342">
        <f>H65</f>
        <v>0</v>
      </c>
      <c r="J64" s="330"/>
    </row>
    <row r="65" spans="1:10" s="1" customFormat="1" x14ac:dyDescent="0.2">
      <c r="A65" s="113"/>
      <c r="B65" s="343"/>
      <c r="C65" s="329">
        <f t="shared" ref="C65:H65" si="22">SUM(C66:C69)</f>
        <v>0</v>
      </c>
      <c r="D65" s="329">
        <f t="shared" si="22"/>
        <v>0</v>
      </c>
      <c r="E65" s="329">
        <f t="shared" si="22"/>
        <v>18978162.640000001</v>
      </c>
      <c r="F65" s="329">
        <f t="shared" si="22"/>
        <v>18945180.77</v>
      </c>
      <c r="G65" s="329">
        <f t="shared" si="22"/>
        <v>32981.870000001043</v>
      </c>
      <c r="H65" s="329">
        <f t="shared" si="22"/>
        <v>0</v>
      </c>
      <c r="J65" s="330"/>
    </row>
    <row r="66" spans="1:10" s="1" customFormat="1" ht="12.75" outlineLevel="1" x14ac:dyDescent="0.2">
      <c r="A66" s="350" t="s">
        <v>361</v>
      </c>
      <c r="B66" s="197"/>
      <c r="C66" s="365"/>
      <c r="D66" s="366"/>
      <c r="E66" s="365">
        <v>7048121.5700000003</v>
      </c>
      <c r="F66" s="333">
        <v>6963208.6600000001</v>
      </c>
      <c r="G66" s="345">
        <f t="shared" ref="G66:G70" si="23">E66-F66</f>
        <v>84912.910000000149</v>
      </c>
      <c r="H66" s="334"/>
      <c r="J66" s="330"/>
    </row>
    <row r="67" spans="1:10" s="1" customFormat="1" ht="12.75" outlineLevel="1" x14ac:dyDescent="0.2">
      <c r="A67" s="350" t="s">
        <v>390</v>
      </c>
      <c r="B67" s="197"/>
      <c r="C67" s="365"/>
      <c r="D67" s="366"/>
      <c r="E67" s="365">
        <v>11930041.07</v>
      </c>
      <c r="F67" s="333">
        <v>11981972.109999999</v>
      </c>
      <c r="G67" s="345">
        <f t="shared" si="23"/>
        <v>-51931.039999999106</v>
      </c>
      <c r="H67" s="334"/>
      <c r="J67" s="330"/>
    </row>
    <row r="68" spans="1:10" s="1" customFormat="1" ht="12.75" outlineLevel="1" x14ac:dyDescent="0.2">
      <c r="A68" s="350"/>
      <c r="B68" s="197"/>
      <c r="C68" s="365"/>
      <c r="D68" s="366"/>
      <c r="E68" s="365"/>
      <c r="F68" s="333"/>
      <c r="G68" s="345">
        <f t="shared" si="23"/>
        <v>0</v>
      </c>
      <c r="H68" s="334"/>
      <c r="J68" s="330"/>
    </row>
    <row r="69" spans="1:10" s="1" customFormat="1" ht="12.75" outlineLevel="1" x14ac:dyDescent="0.2">
      <c r="A69" s="350"/>
      <c r="B69" s="197"/>
      <c r="C69" s="365"/>
      <c r="D69" s="366"/>
      <c r="E69" s="365"/>
      <c r="F69" s="333"/>
      <c r="G69" s="345">
        <f t="shared" si="23"/>
        <v>0</v>
      </c>
      <c r="H69" s="334"/>
      <c r="J69" s="330"/>
    </row>
    <row r="70" spans="1:10" s="1" customFormat="1" ht="15" x14ac:dyDescent="0.2">
      <c r="A70" s="346" t="s">
        <v>5</v>
      </c>
      <c r="B70" s="347"/>
      <c r="C70" s="348">
        <f>C64</f>
        <v>0</v>
      </c>
      <c r="D70" s="348">
        <f t="shared" ref="D70:F70" si="24">D64</f>
        <v>0</v>
      </c>
      <c r="E70" s="348">
        <f t="shared" si="24"/>
        <v>18978162.640000001</v>
      </c>
      <c r="F70" s="348">
        <f t="shared" si="24"/>
        <v>18945180.77</v>
      </c>
      <c r="G70" s="348">
        <f t="shared" si="23"/>
        <v>32981.870000001043</v>
      </c>
      <c r="H70" s="348">
        <f t="shared" ref="H70" si="25">H64</f>
        <v>0</v>
      </c>
      <c r="J70" s="330"/>
    </row>
  </sheetData>
  <mergeCells count="10">
    <mergeCell ref="A24:B24"/>
    <mergeCell ref="A51:B51"/>
    <mergeCell ref="A57:B57"/>
    <mergeCell ref="A64:B64"/>
    <mergeCell ref="B4:B5"/>
    <mergeCell ref="C4:C5"/>
    <mergeCell ref="D4:D5"/>
    <mergeCell ref="E4:G4"/>
    <mergeCell ref="A7:B7"/>
    <mergeCell ref="A14:B14"/>
  </mergeCells>
  <pageMargins left="0.25" right="0.25" top="0.75" bottom="0.75" header="0.3" footer="0.3"/>
  <pageSetup paperSize="9" scale="45" orientation="landscape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B776D-9ED3-42BD-AC5D-4339C9BF009A}">
  <sheetPr>
    <tabColor rgb="FF92D050"/>
    <pageSetUpPr fitToPage="1"/>
  </sheetPr>
  <dimension ref="A1:J76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72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72" t="s">
        <v>8</v>
      </c>
    </row>
    <row r="5" spans="1:10" ht="36" x14ac:dyDescent="0.2">
      <c r="A5" s="372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0" t="s">
        <v>364</v>
      </c>
      <c r="B7" s="470"/>
      <c r="C7" s="342">
        <f>C8</f>
        <v>113670892.85640001</v>
      </c>
      <c r="D7" s="342">
        <f t="shared" ref="D7:G7" si="0">D8</f>
        <v>18729145.359999999</v>
      </c>
      <c r="E7" s="342">
        <f t="shared" si="0"/>
        <v>10150147.299999999</v>
      </c>
      <c r="F7" s="342">
        <f t="shared" si="0"/>
        <v>11272872.470000001</v>
      </c>
      <c r="G7" s="342">
        <f t="shared" si="0"/>
        <v>-1122725.1700000018</v>
      </c>
      <c r="H7" s="342">
        <f>H8</f>
        <v>4036402.9499999997</v>
      </c>
      <c r="I7" s="332"/>
      <c r="J7" s="331"/>
    </row>
    <row r="8" spans="1:10" ht="12.95" customHeight="1" x14ac:dyDescent="0.2">
      <c r="A8" s="113"/>
      <c r="B8" s="343"/>
      <c r="C8" s="329">
        <f>SUM(C9:C12)</f>
        <v>113670892.85640001</v>
      </c>
      <c r="D8" s="329">
        <f t="shared" ref="D8:H8" si="1">SUM(D9:D12)</f>
        <v>18729145.359999999</v>
      </c>
      <c r="E8" s="329">
        <f t="shared" si="1"/>
        <v>10150147.299999999</v>
      </c>
      <c r="F8" s="329">
        <f t="shared" si="1"/>
        <v>11272872.470000001</v>
      </c>
      <c r="G8" s="329">
        <f t="shared" si="1"/>
        <v>-1122725.1700000018</v>
      </c>
      <c r="H8" s="329">
        <f t="shared" si="1"/>
        <v>4036402.9499999997</v>
      </c>
      <c r="I8" s="332"/>
      <c r="J8" s="331"/>
    </row>
    <row r="9" spans="1:10" ht="12.75" outlineLevel="1" x14ac:dyDescent="0.2">
      <c r="A9" s="350" t="s">
        <v>362</v>
      </c>
      <c r="B9" s="197"/>
      <c r="C9" s="370">
        <v>113670892.85640001</v>
      </c>
      <c r="D9" s="371"/>
      <c r="E9" s="370">
        <f>10212266.45-H10</f>
        <v>10150147.299999999</v>
      </c>
      <c r="F9" s="333">
        <v>11272872.470000001</v>
      </c>
      <c r="G9" s="345">
        <f t="shared" ref="G9:G13" si="2">E9-F9</f>
        <v>-1122725.1700000018</v>
      </c>
      <c r="H9" s="334">
        <v>3974283.8</v>
      </c>
      <c r="I9" s="332"/>
      <c r="J9" s="331"/>
    </row>
    <row r="10" spans="1:10" ht="12.75" outlineLevel="1" x14ac:dyDescent="0.2">
      <c r="A10" s="350" t="s">
        <v>362</v>
      </c>
      <c r="B10" s="197" t="s">
        <v>441</v>
      </c>
      <c r="C10" s="370"/>
      <c r="D10" s="371"/>
      <c r="E10" s="370"/>
      <c r="F10" s="333"/>
      <c r="G10" s="345">
        <f t="shared" si="2"/>
        <v>0</v>
      </c>
      <c r="H10" s="334">
        <v>62119.15</v>
      </c>
      <c r="I10" s="332"/>
      <c r="J10" s="331"/>
    </row>
    <row r="11" spans="1:10" ht="33.75" outlineLevel="1" x14ac:dyDescent="0.2">
      <c r="A11" s="350" t="s">
        <v>420</v>
      </c>
      <c r="B11" s="197"/>
      <c r="C11" s="370"/>
      <c r="D11" s="371">
        <v>18729145.359999999</v>
      </c>
      <c r="E11" s="370"/>
      <c r="F11" s="333"/>
      <c r="G11" s="345">
        <f t="shared" si="2"/>
        <v>0</v>
      </c>
      <c r="H11" s="334"/>
      <c r="I11" s="332"/>
      <c r="J11" s="331"/>
    </row>
    <row r="12" spans="1:10" ht="12.75" outlineLevel="1" x14ac:dyDescent="0.2">
      <c r="A12" s="350"/>
      <c r="B12" s="197"/>
      <c r="C12" s="370"/>
      <c r="D12" s="371"/>
      <c r="E12" s="370"/>
      <c r="F12" s="333"/>
      <c r="G12" s="345">
        <f t="shared" si="2"/>
        <v>0</v>
      </c>
      <c r="H12" s="334"/>
      <c r="I12" s="332"/>
      <c r="J12" s="331"/>
    </row>
    <row r="13" spans="1:10" ht="12.95" customHeight="1" x14ac:dyDescent="0.2">
      <c r="A13" s="346" t="s">
        <v>5</v>
      </c>
      <c r="B13" s="347"/>
      <c r="C13" s="348">
        <f>C7</f>
        <v>113670892.85640001</v>
      </c>
      <c r="D13" s="348">
        <f t="shared" ref="D13:F13" si="3">D7</f>
        <v>18729145.359999999</v>
      </c>
      <c r="E13" s="348">
        <f t="shared" si="3"/>
        <v>10150147.299999999</v>
      </c>
      <c r="F13" s="348">
        <f t="shared" si="3"/>
        <v>11272872.470000001</v>
      </c>
      <c r="G13" s="348">
        <f t="shared" si="2"/>
        <v>-1122725.1700000018</v>
      </c>
      <c r="H13" s="348">
        <f t="shared" ref="H13" si="4">H7</f>
        <v>4036402.9499999997</v>
      </c>
      <c r="I13" s="332"/>
      <c r="J13" s="331"/>
    </row>
    <row r="14" spans="1:10" ht="12.95" customHeight="1" x14ac:dyDescent="0.2">
      <c r="A14" s="332"/>
      <c r="B14" s="332"/>
      <c r="C14" s="332"/>
      <c r="D14" s="332"/>
      <c r="E14" s="332"/>
      <c r="F14" s="332"/>
      <c r="G14" s="332"/>
      <c r="H14" s="332"/>
      <c r="I14" s="332"/>
      <c r="J14" s="331"/>
    </row>
    <row r="15" spans="1:10" ht="15" x14ac:dyDescent="0.2">
      <c r="A15" s="470" t="s">
        <v>367</v>
      </c>
      <c r="B15" s="470"/>
      <c r="C15" s="342">
        <f t="shared" ref="C15:H15" si="5">C16+C19</f>
        <v>702509314.03999996</v>
      </c>
      <c r="D15" s="342">
        <f t="shared" si="5"/>
        <v>30274071.409999996</v>
      </c>
      <c r="E15" s="342">
        <f t="shared" si="5"/>
        <v>418298947.90999997</v>
      </c>
      <c r="F15" s="342">
        <f t="shared" si="5"/>
        <v>401544489.13999999</v>
      </c>
      <c r="G15" s="342">
        <f t="shared" si="5"/>
        <v>16754458.770000007</v>
      </c>
      <c r="H15" s="342">
        <f t="shared" si="5"/>
        <v>37056125.170000002</v>
      </c>
      <c r="I15" s="332"/>
      <c r="J15" s="331"/>
    </row>
    <row r="16" spans="1:10" ht="12.95" customHeight="1" x14ac:dyDescent="0.2">
      <c r="A16" s="349" t="s">
        <v>363</v>
      </c>
      <c r="B16" s="343"/>
      <c r="C16" s="329">
        <f>SUM(C17:C18)</f>
        <v>694381444.79999995</v>
      </c>
      <c r="D16" s="329">
        <f t="shared" ref="D16:H16" si="6">SUM(D17:D18)</f>
        <v>26145100.489999998</v>
      </c>
      <c r="E16" s="329">
        <f t="shared" si="6"/>
        <v>411805532.38999999</v>
      </c>
      <c r="F16" s="329">
        <f t="shared" si="6"/>
        <v>395245876.08999997</v>
      </c>
      <c r="G16" s="329">
        <f t="shared" si="6"/>
        <v>16559656.300000008</v>
      </c>
      <c r="H16" s="329">
        <f t="shared" si="6"/>
        <v>37056125.170000002</v>
      </c>
      <c r="I16" s="332"/>
      <c r="J16" s="331"/>
    </row>
    <row r="17" spans="1:10" ht="12.75" outlineLevel="1" x14ac:dyDescent="0.2">
      <c r="A17" s="350" t="s">
        <v>365</v>
      </c>
      <c r="B17" s="197"/>
      <c r="C17" s="360">
        <v>694381444.79999995</v>
      </c>
      <c r="D17" s="371">
        <v>26145100.489999998</v>
      </c>
      <c r="E17" s="370">
        <v>406788126.82999998</v>
      </c>
      <c r="F17" s="333">
        <v>395245876.08999997</v>
      </c>
      <c r="G17" s="345">
        <f t="shared" ref="G17:G23" si="7">E17-F17</f>
        <v>11542250.74000001</v>
      </c>
      <c r="H17" s="334">
        <v>21309600.440000001</v>
      </c>
      <c r="I17" s="332"/>
      <c r="J17" s="331"/>
    </row>
    <row r="18" spans="1:10" ht="12.75" outlineLevel="1" x14ac:dyDescent="0.2">
      <c r="A18" s="350" t="s">
        <v>423</v>
      </c>
      <c r="B18" s="197" t="s">
        <v>424</v>
      </c>
      <c r="C18" s="360"/>
      <c r="D18" s="371"/>
      <c r="E18" s="370">
        <v>5017405.5599999996</v>
      </c>
      <c r="F18" s="333"/>
      <c r="G18" s="345">
        <f t="shared" si="7"/>
        <v>5017405.5599999996</v>
      </c>
      <c r="H18" s="334">
        <v>15746524.73</v>
      </c>
      <c r="I18" s="332"/>
      <c r="J18" s="331"/>
    </row>
    <row r="19" spans="1:10" ht="12.95" customHeight="1" x14ac:dyDescent="0.2">
      <c r="A19" s="349" t="s">
        <v>368</v>
      </c>
      <c r="B19" s="343"/>
      <c r="C19" s="329">
        <f>SUM(C20:C22)</f>
        <v>8127869.2400000002</v>
      </c>
      <c r="D19" s="329">
        <f t="shared" ref="D19:H19" si="8">SUM(D20:D22)</f>
        <v>4128970.92</v>
      </c>
      <c r="E19" s="329">
        <f t="shared" si="8"/>
        <v>6493415.5199999996</v>
      </c>
      <c r="F19" s="329">
        <f t="shared" si="8"/>
        <v>6298613.0499999998</v>
      </c>
      <c r="G19" s="329">
        <f t="shared" si="8"/>
        <v>194802.46999999974</v>
      </c>
      <c r="H19" s="329">
        <f t="shared" si="8"/>
        <v>0</v>
      </c>
      <c r="I19" s="332"/>
      <c r="J19" s="331"/>
    </row>
    <row r="20" spans="1:10" ht="12.75" outlineLevel="1" x14ac:dyDescent="0.2">
      <c r="A20" s="350" t="s">
        <v>369</v>
      </c>
      <c r="B20" s="197"/>
      <c r="C20" s="370">
        <f>8127869.24</f>
        <v>8127869.2400000002</v>
      </c>
      <c r="D20" s="371">
        <f>11656835.57-C20+600004.59</f>
        <v>4128970.92</v>
      </c>
      <c r="E20" s="370">
        <v>6493415.5199999996</v>
      </c>
      <c r="F20" s="333">
        <v>6298613.0499999998</v>
      </c>
      <c r="G20" s="345">
        <f t="shared" si="7"/>
        <v>194802.46999999974</v>
      </c>
      <c r="H20" s="334"/>
      <c r="I20" s="332"/>
      <c r="J20" s="331"/>
    </row>
    <row r="21" spans="1:10" ht="12.75" outlineLevel="1" x14ac:dyDescent="0.2">
      <c r="A21" s="350"/>
      <c r="B21" s="197"/>
      <c r="C21" s="370"/>
      <c r="D21" s="371"/>
      <c r="E21" s="370"/>
      <c r="F21" s="333"/>
      <c r="G21" s="345">
        <f t="shared" si="7"/>
        <v>0</v>
      </c>
      <c r="H21" s="334"/>
      <c r="I21" s="332"/>
      <c r="J21" s="331"/>
    </row>
    <row r="22" spans="1:10" ht="12.75" outlineLevel="1" x14ac:dyDescent="0.2">
      <c r="A22" s="350"/>
      <c r="B22" s="197"/>
      <c r="C22" s="370"/>
      <c r="D22" s="371"/>
      <c r="E22" s="370"/>
      <c r="F22" s="333"/>
      <c r="G22" s="345">
        <f t="shared" si="7"/>
        <v>0</v>
      </c>
      <c r="H22" s="334"/>
      <c r="I22" s="332"/>
      <c r="J22" s="331"/>
    </row>
    <row r="23" spans="1:10" ht="12.95" customHeight="1" x14ac:dyDescent="0.2">
      <c r="A23" s="346" t="s">
        <v>5</v>
      </c>
      <c r="B23" s="347"/>
      <c r="C23" s="348">
        <f>C15</f>
        <v>702509314.03999996</v>
      </c>
      <c r="D23" s="348">
        <f>D15</f>
        <v>30274071.409999996</v>
      </c>
      <c r="E23" s="348">
        <f>E15</f>
        <v>418298947.90999997</v>
      </c>
      <c r="F23" s="348">
        <f>F15</f>
        <v>401544489.13999999</v>
      </c>
      <c r="G23" s="348">
        <f t="shared" si="7"/>
        <v>16754458.769999981</v>
      </c>
      <c r="H23" s="348">
        <f>H15</f>
        <v>37056125.170000002</v>
      </c>
      <c r="I23" s="332"/>
      <c r="J23" s="331"/>
    </row>
    <row r="24" spans="1:10" x14ac:dyDescent="0.2">
      <c r="J24" s="331"/>
    </row>
    <row r="25" spans="1:10" ht="15" x14ac:dyDescent="0.2">
      <c r="A25" s="470" t="s">
        <v>370</v>
      </c>
      <c r="B25" s="470"/>
      <c r="C25" s="342">
        <f>C26</f>
        <v>51203561.621748812</v>
      </c>
      <c r="D25" s="342">
        <f t="shared" ref="D25:G25" si="9">D26</f>
        <v>1112.2524000000001</v>
      </c>
      <c r="E25" s="342">
        <f t="shared" si="9"/>
        <v>40356505.610000014</v>
      </c>
      <c r="F25" s="342">
        <f t="shared" si="9"/>
        <v>40876039.910000004</v>
      </c>
      <c r="G25" s="342">
        <f t="shared" si="9"/>
        <v>-519534.30000000045</v>
      </c>
      <c r="H25" s="342">
        <f>H26</f>
        <v>2454363.37</v>
      </c>
      <c r="I25" s="332"/>
      <c r="J25" s="331"/>
    </row>
    <row r="26" spans="1:10" ht="12.95" customHeight="1" x14ac:dyDescent="0.2">
      <c r="A26" s="113"/>
      <c r="B26" s="343"/>
      <c r="C26" s="329">
        <f>SUM(C27:C49)</f>
        <v>51203561.621748812</v>
      </c>
      <c r="D26" s="329">
        <f t="shared" ref="D26:H26" si="10">SUM(D27:D49)</f>
        <v>1112.2524000000001</v>
      </c>
      <c r="E26" s="329">
        <f t="shared" si="10"/>
        <v>40356505.610000014</v>
      </c>
      <c r="F26" s="329">
        <f t="shared" si="10"/>
        <v>40876039.910000004</v>
      </c>
      <c r="G26" s="329">
        <f t="shared" si="10"/>
        <v>-519534.30000000045</v>
      </c>
      <c r="H26" s="329">
        <f t="shared" si="10"/>
        <v>2454363.37</v>
      </c>
      <c r="I26" s="332"/>
      <c r="J26" s="331"/>
    </row>
    <row r="27" spans="1:10" ht="23.45" customHeight="1" outlineLevel="1" x14ac:dyDescent="0.2">
      <c r="A27" s="350" t="s">
        <v>371</v>
      </c>
      <c r="B27" s="197" t="s">
        <v>392</v>
      </c>
      <c r="C27" s="370">
        <f>17013778.16-90000</f>
        <v>16923778.16</v>
      </c>
      <c r="D27" s="371"/>
      <c r="E27" s="370">
        <v>16605957.560000001</v>
      </c>
      <c r="F27" s="333">
        <f>16576888.66+29068.89</f>
        <v>16605957.550000001</v>
      </c>
      <c r="G27" s="345">
        <f t="shared" ref="G27:G50" si="11">E27-F27</f>
        <v>9.9999997764825821E-3</v>
      </c>
      <c r="H27" s="334">
        <v>317778.7</v>
      </c>
      <c r="I27" s="332"/>
      <c r="J27" s="331"/>
    </row>
    <row r="28" spans="1:10" ht="23.45" customHeight="1" outlineLevel="1" x14ac:dyDescent="0.2">
      <c r="A28" s="350" t="s">
        <v>372</v>
      </c>
      <c r="B28" s="197" t="s">
        <v>393</v>
      </c>
      <c r="C28" s="370">
        <v>265614.90000000002</v>
      </c>
      <c r="D28" s="371"/>
      <c r="E28" s="370">
        <v>211678.97</v>
      </c>
      <c r="F28" s="333">
        <v>211678.97</v>
      </c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373</v>
      </c>
      <c r="B29" s="197" t="s">
        <v>394</v>
      </c>
      <c r="C29" s="370">
        <f>6397192.081+420656.6077+311390</f>
        <v>7129238.6886999998</v>
      </c>
      <c r="D29" s="371"/>
      <c r="E29" s="370">
        <v>3256900.59</v>
      </c>
      <c r="F29" s="333">
        <v>3381119.32</v>
      </c>
      <c r="G29" s="345">
        <f t="shared" si="11"/>
        <v>-124218.72999999998</v>
      </c>
      <c r="H29" s="334">
        <v>218501.17</v>
      </c>
      <c r="I29" s="332"/>
      <c r="J29" s="331"/>
    </row>
    <row r="30" spans="1:10" ht="23.45" customHeight="1" outlineLevel="1" x14ac:dyDescent="0.2">
      <c r="A30" s="350" t="s">
        <v>407</v>
      </c>
      <c r="B30" s="197" t="s">
        <v>408</v>
      </c>
      <c r="C30" s="370">
        <v>259236.64</v>
      </c>
      <c r="D30" s="371"/>
      <c r="E30" s="370"/>
      <c r="F30" s="333"/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374</v>
      </c>
      <c r="B31" s="197" t="s">
        <v>395</v>
      </c>
      <c r="C31" s="370">
        <v>2100000</v>
      </c>
      <c r="D31" s="371"/>
      <c r="E31" s="370">
        <v>2099963.2400000002</v>
      </c>
      <c r="F31" s="333">
        <v>2099963.2400000002</v>
      </c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375</v>
      </c>
      <c r="B32" s="197" t="s">
        <v>396</v>
      </c>
      <c r="C32" s="370">
        <v>961530.55</v>
      </c>
      <c r="D32" s="371"/>
      <c r="E32" s="370"/>
      <c r="F32" s="333">
        <v>329967.82</v>
      </c>
      <c r="G32" s="345">
        <f t="shared" si="11"/>
        <v>-329967.82</v>
      </c>
      <c r="H32" s="334">
        <v>891722.9</v>
      </c>
      <c r="I32" s="332"/>
      <c r="J32" s="331"/>
    </row>
    <row r="33" spans="1:10" ht="23.45" customHeight="1" outlineLevel="1" x14ac:dyDescent="0.2">
      <c r="A33" s="350" t="s">
        <v>409</v>
      </c>
      <c r="B33" s="197" t="s">
        <v>410</v>
      </c>
      <c r="C33" s="370">
        <v>138362.18</v>
      </c>
      <c r="D33" s="371"/>
      <c r="E33" s="370"/>
      <c r="F33" s="333"/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405</v>
      </c>
      <c r="B34" s="197" t="s">
        <v>406</v>
      </c>
      <c r="C34" s="370">
        <v>940410.64800000004</v>
      </c>
      <c r="D34" s="371"/>
      <c r="E34" s="370">
        <v>869299.69</v>
      </c>
      <c r="F34" s="333"/>
      <c r="G34" s="345">
        <f t="shared" si="11"/>
        <v>869299.69</v>
      </c>
      <c r="H34" s="334"/>
      <c r="I34" s="332"/>
      <c r="J34" s="331"/>
    </row>
    <row r="35" spans="1:10" ht="23.45" customHeight="1" outlineLevel="1" x14ac:dyDescent="0.2">
      <c r="A35" s="350" t="s">
        <v>376</v>
      </c>
      <c r="B35" s="197"/>
      <c r="C35" s="370">
        <v>1063961.9408807999</v>
      </c>
      <c r="D35" s="371"/>
      <c r="E35" s="370">
        <v>1063516.73</v>
      </c>
      <c r="F35" s="333">
        <v>1063516.73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377</v>
      </c>
      <c r="B36" s="197"/>
      <c r="C36" s="370">
        <v>4567152.1141680004</v>
      </c>
      <c r="D36" s="371"/>
      <c r="E36" s="370">
        <v>3985555.74</v>
      </c>
      <c r="F36" s="333">
        <v>3985555.74</v>
      </c>
      <c r="G36" s="345">
        <f t="shared" si="11"/>
        <v>0</v>
      </c>
      <c r="H36" s="334"/>
      <c r="I36" s="332"/>
      <c r="J36" s="331"/>
    </row>
    <row r="37" spans="1:10" ht="23.45" customHeight="1" outlineLevel="1" x14ac:dyDescent="0.2">
      <c r="A37" s="350" t="s">
        <v>378</v>
      </c>
      <c r="B37" s="197"/>
      <c r="C37" s="370">
        <v>1094682.42</v>
      </c>
      <c r="D37" s="371"/>
      <c r="E37" s="370">
        <v>782407.19</v>
      </c>
      <c r="F37" s="333">
        <v>876089.76</v>
      </c>
      <c r="G37" s="345">
        <f t="shared" si="11"/>
        <v>-93682.570000000065</v>
      </c>
      <c r="H37" s="334"/>
      <c r="I37" s="332"/>
      <c r="J37" s="331"/>
    </row>
    <row r="38" spans="1:10" ht="23.45" customHeight="1" outlineLevel="1" x14ac:dyDescent="0.2">
      <c r="A38" s="350" t="s">
        <v>379</v>
      </c>
      <c r="B38" s="197"/>
      <c r="C38" s="370">
        <v>10672595.1</v>
      </c>
      <c r="D38" s="371"/>
      <c r="E38" s="370">
        <v>7361089.8600000003</v>
      </c>
      <c r="F38" s="333">
        <v>8354541.4400000004</v>
      </c>
      <c r="G38" s="345">
        <f t="shared" si="11"/>
        <v>-993451.58000000007</v>
      </c>
      <c r="H38" s="334">
        <v>630842.32999999996</v>
      </c>
      <c r="I38" s="332"/>
      <c r="J38" s="331"/>
    </row>
    <row r="39" spans="1:10" ht="23.45" customHeight="1" outlineLevel="1" x14ac:dyDescent="0.2">
      <c r="A39" s="350" t="s">
        <v>380</v>
      </c>
      <c r="B39" s="197"/>
      <c r="C39" s="370">
        <v>39500.15</v>
      </c>
      <c r="D39" s="371"/>
      <c r="E39" s="370">
        <v>39500.15</v>
      </c>
      <c r="F39" s="333">
        <v>39500.15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381</v>
      </c>
      <c r="B40" s="197" t="s">
        <v>397</v>
      </c>
      <c r="C40" s="370">
        <v>119696.93</v>
      </c>
      <c r="D40" s="371"/>
      <c r="E40" s="370">
        <v>119696.93</v>
      </c>
      <c r="F40" s="333">
        <v>119696.93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382</v>
      </c>
      <c r="B41" s="197" t="s">
        <v>392</v>
      </c>
      <c r="C41" s="370">
        <v>466146.52</v>
      </c>
      <c r="D41" s="371"/>
      <c r="E41" s="370">
        <v>466146.45</v>
      </c>
      <c r="F41" s="333">
        <v>466146.45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403</v>
      </c>
      <c r="B42" s="197" t="s">
        <v>404</v>
      </c>
      <c r="C42" s="370">
        <v>4699.5</v>
      </c>
      <c r="D42" s="371"/>
      <c r="E42" s="370"/>
      <c r="F42" s="333"/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383</v>
      </c>
      <c r="B43" s="197" t="s">
        <v>398</v>
      </c>
      <c r="C43" s="370">
        <v>40666.74</v>
      </c>
      <c r="D43" s="371"/>
      <c r="E43" s="370">
        <v>38205.86</v>
      </c>
      <c r="F43" s="333">
        <v>38205.86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384</v>
      </c>
      <c r="B44" s="197" t="s">
        <v>397</v>
      </c>
      <c r="C44" s="370">
        <v>2440898.75</v>
      </c>
      <c r="D44" s="371"/>
      <c r="E44" s="370">
        <v>2439621.9900000002</v>
      </c>
      <c r="F44" s="333">
        <v>2439621.9900000002</v>
      </c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 t="s">
        <v>391</v>
      </c>
      <c r="B45" s="197" t="s">
        <v>412</v>
      </c>
      <c r="C45" s="370">
        <v>454219.84</v>
      </c>
      <c r="D45" s="371"/>
      <c r="E45" s="370">
        <v>287046.89</v>
      </c>
      <c r="F45" s="333">
        <f>239205.74+47841.15</f>
        <v>287046.89</v>
      </c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 t="s">
        <v>411</v>
      </c>
      <c r="B46" s="197" t="s">
        <v>399</v>
      </c>
      <c r="C46" s="371">
        <v>1254925.9099999999</v>
      </c>
      <c r="D46" s="371"/>
      <c r="E46" s="370">
        <v>577431.06999999995</v>
      </c>
      <c r="F46" s="333">
        <v>577431.06999999995</v>
      </c>
      <c r="G46" s="345">
        <f t="shared" si="11"/>
        <v>0</v>
      </c>
      <c r="H46" s="334">
        <v>281761.03000000003</v>
      </c>
      <c r="I46" s="332"/>
      <c r="J46" s="331"/>
    </row>
    <row r="47" spans="1:10" ht="23.45" customHeight="1" outlineLevel="1" x14ac:dyDescent="0.2">
      <c r="A47" s="350" t="s">
        <v>421</v>
      </c>
      <c r="B47" s="197" t="s">
        <v>400</v>
      </c>
      <c r="C47" s="345">
        <v>113757.24</v>
      </c>
      <c r="D47" s="345"/>
      <c r="E47" s="370"/>
      <c r="F47" s="333"/>
      <c r="G47" s="345">
        <f t="shared" si="11"/>
        <v>0</v>
      </c>
      <c r="H47" s="334">
        <v>113757.24</v>
      </c>
      <c r="I47" s="332"/>
      <c r="J47" s="331"/>
    </row>
    <row r="48" spans="1:10" ht="23.45" customHeight="1" outlineLevel="1" x14ac:dyDescent="0.2">
      <c r="A48" s="350"/>
      <c r="B48" s="197" t="s">
        <v>401</v>
      </c>
      <c r="C48" s="370"/>
      <c r="D48" s="371">
        <v>1112.2524000000001</v>
      </c>
      <c r="E48" s="370"/>
      <c r="F48" s="333"/>
      <c r="G48" s="345">
        <f t="shared" si="11"/>
        <v>0</v>
      </c>
      <c r="H48" s="334"/>
      <c r="I48" s="332"/>
      <c r="J48" s="331"/>
    </row>
    <row r="49" spans="1:10" ht="23.45" customHeight="1" outlineLevel="1" x14ac:dyDescent="0.2">
      <c r="A49" s="350" t="s">
        <v>438</v>
      </c>
      <c r="B49" s="197" t="s">
        <v>402</v>
      </c>
      <c r="C49" s="371">
        <v>152486.70000000001</v>
      </c>
      <c r="D49" s="371"/>
      <c r="E49" s="370">
        <v>152486.70000000001</v>
      </c>
      <c r="F49" s="333"/>
      <c r="G49" s="345">
        <f t="shared" si="11"/>
        <v>152486.70000000001</v>
      </c>
      <c r="H49" s="334"/>
      <c r="I49" s="332"/>
      <c r="J49" s="331"/>
    </row>
    <row r="50" spans="1:10" ht="12.95" customHeight="1" x14ac:dyDescent="0.2">
      <c r="A50" s="346" t="s">
        <v>5</v>
      </c>
      <c r="B50" s="347"/>
      <c r="C50" s="348">
        <f>C25</f>
        <v>51203561.621748812</v>
      </c>
      <c r="D50" s="348">
        <f t="shared" ref="D50:F50" si="12">D25</f>
        <v>1112.2524000000001</v>
      </c>
      <c r="E50" s="348">
        <f t="shared" si="12"/>
        <v>40356505.610000014</v>
      </c>
      <c r="F50" s="348">
        <f t="shared" si="12"/>
        <v>40876039.910000004</v>
      </c>
      <c r="G50" s="348">
        <f t="shared" si="11"/>
        <v>-519534.29999998957</v>
      </c>
      <c r="H50" s="348">
        <f t="shared" ref="H50" si="13">H25</f>
        <v>2454363.37</v>
      </c>
      <c r="I50" s="332"/>
      <c r="J50" s="331"/>
    </row>
    <row r="51" spans="1:10" x14ac:dyDescent="0.2">
      <c r="J51" s="331"/>
    </row>
    <row r="52" spans="1:10" ht="15" x14ac:dyDescent="0.2">
      <c r="A52" s="470" t="s">
        <v>385</v>
      </c>
      <c r="B52" s="470"/>
      <c r="C52" s="342">
        <f>C53</f>
        <v>36586417.648251414</v>
      </c>
      <c r="D52" s="342">
        <f t="shared" ref="D52:G52" si="14">D53</f>
        <v>1660646.2</v>
      </c>
      <c r="E52" s="342">
        <f t="shared" si="14"/>
        <v>0</v>
      </c>
      <c r="F52" s="342">
        <f t="shared" si="14"/>
        <v>10000000</v>
      </c>
      <c r="G52" s="342">
        <f t="shared" si="14"/>
        <v>-10000000</v>
      </c>
      <c r="H52" s="342">
        <f>H53</f>
        <v>0</v>
      </c>
      <c r="I52" s="332"/>
      <c r="J52" s="331"/>
    </row>
    <row r="53" spans="1:10" ht="12.95" customHeight="1" x14ac:dyDescent="0.2">
      <c r="A53" s="113"/>
      <c r="B53" s="343"/>
      <c r="C53" s="329">
        <f t="shared" ref="C53:H53" si="15">SUM(C54:C56)</f>
        <v>36586417.648251414</v>
      </c>
      <c r="D53" s="329">
        <f t="shared" si="15"/>
        <v>1660646.2</v>
      </c>
      <c r="E53" s="329">
        <f t="shared" si="15"/>
        <v>0</v>
      </c>
      <c r="F53" s="329">
        <f t="shared" si="15"/>
        <v>10000000</v>
      </c>
      <c r="G53" s="329">
        <f t="shared" si="15"/>
        <v>-10000000</v>
      </c>
      <c r="H53" s="329">
        <f t="shared" si="15"/>
        <v>0</v>
      </c>
      <c r="I53" s="332"/>
      <c r="J53" s="331"/>
    </row>
    <row r="54" spans="1:10" ht="12.75" outlineLevel="1" x14ac:dyDescent="0.2">
      <c r="A54" s="350" t="s">
        <v>386</v>
      </c>
      <c r="B54" s="197"/>
      <c r="C54" s="370">
        <v>36586417.648251414</v>
      </c>
      <c r="D54" s="371"/>
      <c r="E54" s="370"/>
      <c r="F54" s="333">
        <v>10000000</v>
      </c>
      <c r="G54" s="345">
        <f t="shared" ref="G54:G57" si="16">E54-F54</f>
        <v>-10000000</v>
      </c>
      <c r="H54" s="334"/>
      <c r="I54" s="332"/>
      <c r="J54" s="331"/>
    </row>
    <row r="55" spans="1:10" ht="22.5" outlineLevel="1" x14ac:dyDescent="0.2">
      <c r="A55" s="350"/>
      <c r="B55" s="197" t="s">
        <v>440</v>
      </c>
      <c r="C55" s="370"/>
      <c r="D55" s="371">
        <v>1660646.2</v>
      </c>
      <c r="E55" s="370"/>
      <c r="F55" s="333"/>
      <c r="G55" s="345">
        <f t="shared" si="16"/>
        <v>0</v>
      </c>
      <c r="H55" s="334"/>
      <c r="I55" s="332"/>
      <c r="J55" s="331"/>
    </row>
    <row r="56" spans="1:10" ht="12.75" outlineLevel="1" x14ac:dyDescent="0.2">
      <c r="A56" s="350"/>
      <c r="B56" s="197"/>
      <c r="C56" s="370"/>
      <c r="D56" s="371"/>
      <c r="E56" s="370"/>
      <c r="F56" s="333"/>
      <c r="G56" s="345">
        <f t="shared" si="16"/>
        <v>0</v>
      </c>
      <c r="H56" s="334"/>
      <c r="I56" s="332"/>
      <c r="J56" s="331"/>
    </row>
    <row r="57" spans="1:10" ht="12.95" customHeight="1" x14ac:dyDescent="0.2">
      <c r="A57" s="346" t="s">
        <v>5</v>
      </c>
      <c r="B57" s="347"/>
      <c r="C57" s="348">
        <f>C52</f>
        <v>36586417.648251414</v>
      </c>
      <c r="D57" s="348">
        <f>D52</f>
        <v>1660646.2</v>
      </c>
      <c r="E57" s="348">
        <f>E52</f>
        <v>0</v>
      </c>
      <c r="F57" s="348">
        <f>F52</f>
        <v>10000000</v>
      </c>
      <c r="G57" s="348">
        <f t="shared" si="16"/>
        <v>-10000000</v>
      </c>
      <c r="H57" s="348">
        <f t="shared" ref="H57" si="17">H52</f>
        <v>0</v>
      </c>
      <c r="I57" s="332"/>
      <c r="J57" s="331"/>
    </row>
    <row r="59" spans="1:10" ht="15" x14ac:dyDescent="0.2">
      <c r="A59" s="470" t="s">
        <v>387</v>
      </c>
      <c r="B59" s="470"/>
      <c r="C59" s="342">
        <f>C60</f>
        <v>10475226.394208746</v>
      </c>
      <c r="D59" s="342">
        <f t="shared" ref="D59:G59" si="18">D60</f>
        <v>0</v>
      </c>
      <c r="E59" s="342">
        <f t="shared" si="18"/>
        <v>8112092.29</v>
      </c>
      <c r="F59" s="342">
        <f t="shared" si="18"/>
        <v>8296169.29</v>
      </c>
      <c r="G59" s="342">
        <f t="shared" si="18"/>
        <v>-184077</v>
      </c>
      <c r="H59" s="342">
        <f>H60</f>
        <v>184077</v>
      </c>
    </row>
    <row r="60" spans="1:10" x14ac:dyDescent="0.2">
      <c r="A60" s="113"/>
      <c r="B60" s="343"/>
      <c r="C60" s="329">
        <f t="shared" ref="C60:H60" si="19">SUM(C61:C63)</f>
        <v>10475226.394208746</v>
      </c>
      <c r="D60" s="329">
        <f t="shared" si="19"/>
        <v>0</v>
      </c>
      <c r="E60" s="329">
        <f t="shared" si="19"/>
        <v>8112092.29</v>
      </c>
      <c r="F60" s="329">
        <f t="shared" si="19"/>
        <v>8296169.29</v>
      </c>
      <c r="G60" s="329">
        <f t="shared" si="19"/>
        <v>-184077</v>
      </c>
      <c r="H60" s="329">
        <f t="shared" si="19"/>
        <v>184077</v>
      </c>
    </row>
    <row r="61" spans="1:10" ht="12.75" outlineLevel="1" x14ac:dyDescent="0.2">
      <c r="A61" s="350" t="s">
        <v>388</v>
      </c>
      <c r="B61" s="197"/>
      <c r="C61" s="370">
        <v>10475226.394208746</v>
      </c>
      <c r="D61" s="371"/>
      <c r="E61" s="370">
        <v>8112092.29</v>
      </c>
      <c r="F61" s="333">
        <v>8296169.29</v>
      </c>
      <c r="G61" s="345">
        <f t="shared" ref="G61:G64" si="20">E61-F61</f>
        <v>-184077</v>
      </c>
      <c r="H61" s="334">
        <v>184077</v>
      </c>
    </row>
    <row r="62" spans="1:10" ht="12.75" outlineLevel="1" x14ac:dyDescent="0.2">
      <c r="A62" s="350"/>
      <c r="B62" s="197"/>
      <c r="C62" s="370"/>
      <c r="D62" s="371"/>
      <c r="E62" s="370"/>
      <c r="F62" s="333"/>
      <c r="G62" s="345">
        <f t="shared" si="20"/>
        <v>0</v>
      </c>
      <c r="H62" s="334"/>
    </row>
    <row r="63" spans="1:10" ht="12.75" outlineLevel="1" x14ac:dyDescent="0.2">
      <c r="A63" s="350"/>
      <c r="B63" s="197"/>
      <c r="C63" s="370"/>
      <c r="D63" s="371"/>
      <c r="E63" s="370"/>
      <c r="F63" s="333"/>
      <c r="G63" s="345">
        <f t="shared" si="20"/>
        <v>0</v>
      </c>
      <c r="H63" s="334"/>
    </row>
    <row r="64" spans="1:10" ht="15" x14ac:dyDescent="0.2">
      <c r="A64" s="346" t="s">
        <v>5</v>
      </c>
      <c r="B64" s="347"/>
      <c r="C64" s="348">
        <f>C59</f>
        <v>10475226.394208746</v>
      </c>
      <c r="D64" s="348">
        <f>D59</f>
        <v>0</v>
      </c>
      <c r="E64" s="348">
        <f>E59</f>
        <v>8112092.29</v>
      </c>
      <c r="F64" s="348">
        <f>F59</f>
        <v>8296169.29</v>
      </c>
      <c r="G64" s="348">
        <f t="shared" si="20"/>
        <v>-184077</v>
      </c>
      <c r="H64" s="348">
        <f>H59</f>
        <v>184077</v>
      </c>
    </row>
    <row r="66" spans="1:10" s="1" customFormat="1" ht="15" x14ac:dyDescent="0.2">
      <c r="A66" s="470" t="s">
        <v>389</v>
      </c>
      <c r="B66" s="470"/>
      <c r="C66" s="342">
        <f>C67</f>
        <v>0</v>
      </c>
      <c r="D66" s="342">
        <f t="shared" ref="D66:G66" si="21">D67</f>
        <v>0</v>
      </c>
      <c r="E66" s="342">
        <f t="shared" si="21"/>
        <v>19908162.640000001</v>
      </c>
      <c r="F66" s="342">
        <f t="shared" si="21"/>
        <v>19875180.77</v>
      </c>
      <c r="G66" s="342">
        <f t="shared" si="21"/>
        <v>32981.870000001043</v>
      </c>
      <c r="H66" s="342">
        <f>H67</f>
        <v>0</v>
      </c>
      <c r="J66" s="330"/>
    </row>
    <row r="67" spans="1:10" s="1" customFormat="1" x14ac:dyDescent="0.2">
      <c r="A67" s="113"/>
      <c r="B67" s="343"/>
      <c r="C67" s="329">
        <f t="shared" ref="C67:H67" si="22">SUM(C68:C71)</f>
        <v>0</v>
      </c>
      <c r="D67" s="329">
        <f t="shared" si="22"/>
        <v>0</v>
      </c>
      <c r="E67" s="329">
        <f t="shared" si="22"/>
        <v>19908162.640000001</v>
      </c>
      <c r="F67" s="329">
        <f t="shared" si="22"/>
        <v>19875180.77</v>
      </c>
      <c r="G67" s="329">
        <f t="shared" si="22"/>
        <v>32981.870000001043</v>
      </c>
      <c r="H67" s="329">
        <f t="shared" si="22"/>
        <v>0</v>
      </c>
      <c r="J67" s="330"/>
    </row>
    <row r="68" spans="1:10" s="1" customFormat="1" ht="12.75" outlineLevel="1" x14ac:dyDescent="0.2">
      <c r="A68" s="350" t="s">
        <v>361</v>
      </c>
      <c r="B68" s="197"/>
      <c r="C68" s="370"/>
      <c r="D68" s="371"/>
      <c r="E68" s="370">
        <v>7048121.5700000003</v>
      </c>
      <c r="F68" s="333">
        <v>6963208.6600000001</v>
      </c>
      <c r="G68" s="345">
        <f t="shared" ref="G68:G72" si="23">E68-F68</f>
        <v>84912.910000000149</v>
      </c>
      <c r="H68" s="334"/>
      <c r="J68" s="330"/>
    </row>
    <row r="69" spans="1:10" s="1" customFormat="1" ht="12.75" outlineLevel="1" x14ac:dyDescent="0.2">
      <c r="A69" s="350" t="s">
        <v>390</v>
      </c>
      <c r="B69" s="197"/>
      <c r="C69" s="370"/>
      <c r="D69" s="371"/>
      <c r="E69" s="370">
        <v>11930041.07</v>
      </c>
      <c r="F69" s="333">
        <v>11981972.109999999</v>
      </c>
      <c r="G69" s="345">
        <f t="shared" si="23"/>
        <v>-51931.039999999106</v>
      </c>
      <c r="H69" s="334"/>
      <c r="J69" s="330"/>
    </row>
    <row r="70" spans="1:10" s="1" customFormat="1" ht="14.45" customHeight="1" outlineLevel="1" x14ac:dyDescent="0.2">
      <c r="A70" s="350" t="s">
        <v>439</v>
      </c>
      <c r="B70" s="197"/>
      <c r="C70" s="370"/>
      <c r="D70" s="371"/>
      <c r="E70" s="370">
        <v>930000</v>
      </c>
      <c r="F70" s="333">
        <v>930000</v>
      </c>
      <c r="G70" s="345">
        <f t="shared" si="23"/>
        <v>0</v>
      </c>
      <c r="H70" s="334"/>
      <c r="J70" s="330"/>
    </row>
    <row r="71" spans="1:10" s="1" customFormat="1" ht="12.75" outlineLevel="1" x14ac:dyDescent="0.2">
      <c r="A71" s="350"/>
      <c r="B71" s="197"/>
      <c r="C71" s="370"/>
      <c r="D71" s="371"/>
      <c r="E71" s="370"/>
      <c r="F71" s="333"/>
      <c r="G71" s="345">
        <f t="shared" si="23"/>
        <v>0</v>
      </c>
      <c r="H71" s="334"/>
      <c r="J71" s="330"/>
    </row>
    <row r="72" spans="1:10" s="1" customFormat="1" ht="15" x14ac:dyDescent="0.2">
      <c r="A72" s="346" t="s">
        <v>5</v>
      </c>
      <c r="B72" s="347"/>
      <c r="C72" s="348">
        <f>C66</f>
        <v>0</v>
      </c>
      <c r="D72" s="348">
        <f t="shared" ref="D72:F72" si="24">D66</f>
        <v>0</v>
      </c>
      <c r="E72" s="348">
        <f t="shared" si="24"/>
        <v>19908162.640000001</v>
      </c>
      <c r="F72" s="348">
        <f t="shared" si="24"/>
        <v>19875180.77</v>
      </c>
      <c r="G72" s="348">
        <f t="shared" si="23"/>
        <v>32981.870000001043</v>
      </c>
      <c r="H72" s="348">
        <f t="shared" ref="H72" si="25">H66</f>
        <v>0</v>
      </c>
      <c r="J72" s="330"/>
    </row>
    <row r="76" spans="1:10" x14ac:dyDescent="0.2">
      <c r="B76" s="378"/>
    </row>
  </sheetData>
  <mergeCells count="10">
    <mergeCell ref="C4:C5"/>
    <mergeCell ref="D4:D5"/>
    <mergeCell ref="E4:G4"/>
    <mergeCell ref="A7:B7"/>
    <mergeCell ref="A15:B15"/>
    <mergeCell ref="A25:B25"/>
    <mergeCell ref="A52:B52"/>
    <mergeCell ref="A59:B59"/>
    <mergeCell ref="A66:B66"/>
    <mergeCell ref="B4:B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C271-06A1-4848-98D0-5294E379BC6E}">
  <sheetPr>
    <tabColor rgb="FF92D050"/>
    <pageSetUpPr fitToPage="1"/>
  </sheetPr>
  <dimension ref="A1:J76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10" s="1" customFormat="1" ht="9.9499999999999993" hidden="1" customHeight="1" x14ac:dyDescent="0.2"/>
    <row r="2" spans="1:10" s="1" customFormat="1" ht="9.9499999999999993" hidden="1" customHeight="1" x14ac:dyDescent="0.2"/>
    <row r="3" spans="1:10" ht="34.5" hidden="1" customHeight="1" x14ac:dyDescent="0.25">
      <c r="A3" s="5" t="s">
        <v>18</v>
      </c>
      <c r="H3" s="1"/>
    </row>
    <row r="4" spans="1:10" ht="32.450000000000003" customHeight="1" x14ac:dyDescent="0.2">
      <c r="A4" s="375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75" t="s">
        <v>8</v>
      </c>
    </row>
    <row r="5" spans="1:10" ht="36" x14ac:dyDescent="0.2">
      <c r="A5" s="375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10" ht="12.95" customHeight="1" x14ac:dyDescent="0.2">
      <c r="A6" s="332"/>
      <c r="B6" s="332"/>
      <c r="C6" s="332"/>
      <c r="D6" s="332"/>
      <c r="E6" s="332"/>
      <c r="F6" s="332"/>
      <c r="G6" s="332"/>
      <c r="H6" s="332"/>
      <c r="I6" s="332"/>
      <c r="J6" s="331"/>
    </row>
    <row r="7" spans="1:10" ht="15" x14ac:dyDescent="0.2">
      <c r="A7" s="470" t="s">
        <v>364</v>
      </c>
      <c r="B7" s="470"/>
      <c r="C7" s="342">
        <f>C8</f>
        <v>113670892.85640001</v>
      </c>
      <c r="D7" s="342">
        <f t="shared" ref="D7:G7" si="0">D8</f>
        <v>18729145.359999999</v>
      </c>
      <c r="E7" s="342">
        <f t="shared" si="0"/>
        <v>12515621.27</v>
      </c>
      <c r="F7" s="342">
        <f t="shared" si="0"/>
        <v>13058189.529999999</v>
      </c>
      <c r="G7" s="342">
        <f t="shared" si="0"/>
        <v>-542568.25999999978</v>
      </c>
      <c r="H7" s="342">
        <f>H8</f>
        <v>5524393.2600000007</v>
      </c>
      <c r="I7" s="332"/>
      <c r="J7" s="331"/>
    </row>
    <row r="8" spans="1:10" ht="12.95" customHeight="1" x14ac:dyDescent="0.2">
      <c r="A8" s="113"/>
      <c r="B8" s="343"/>
      <c r="C8" s="329">
        <f>SUM(C9:C12)</f>
        <v>113670892.85640001</v>
      </c>
      <c r="D8" s="329">
        <f t="shared" ref="D8:H8" si="1">SUM(D9:D12)</f>
        <v>18729145.359999999</v>
      </c>
      <c r="E8" s="329">
        <f t="shared" si="1"/>
        <v>12515621.27</v>
      </c>
      <c r="F8" s="329">
        <f t="shared" si="1"/>
        <v>13058189.529999999</v>
      </c>
      <c r="G8" s="329">
        <f t="shared" si="1"/>
        <v>-542568.25999999978</v>
      </c>
      <c r="H8" s="329">
        <f t="shared" si="1"/>
        <v>5524393.2600000007</v>
      </c>
      <c r="I8" s="332"/>
      <c r="J8" s="331"/>
    </row>
    <row r="9" spans="1:10" ht="12.75" outlineLevel="1" x14ac:dyDescent="0.2">
      <c r="A9" s="350" t="s">
        <v>362</v>
      </c>
      <c r="B9" s="197"/>
      <c r="C9" s="373">
        <v>113670892.85640001</v>
      </c>
      <c r="D9" s="374"/>
      <c r="E9" s="373">
        <f>12577740.42-62119.15</f>
        <v>12515621.27</v>
      </c>
      <c r="F9" s="333">
        <v>13058189.529999999</v>
      </c>
      <c r="G9" s="345">
        <f t="shared" ref="G9:G13" si="2">E9-F9</f>
        <v>-542568.25999999978</v>
      </c>
      <c r="H9" s="334">
        <v>5462274.1100000003</v>
      </c>
      <c r="I9" s="332"/>
      <c r="J9" s="331"/>
    </row>
    <row r="10" spans="1:10" ht="12.75" outlineLevel="1" x14ac:dyDescent="0.2">
      <c r="A10" s="350" t="s">
        <v>362</v>
      </c>
      <c r="B10" s="197" t="s">
        <v>441</v>
      </c>
      <c r="C10" s="373"/>
      <c r="D10" s="374"/>
      <c r="E10" s="373"/>
      <c r="F10" s="333"/>
      <c r="G10" s="345">
        <f t="shared" si="2"/>
        <v>0</v>
      </c>
      <c r="H10" s="334">
        <v>62119.15</v>
      </c>
      <c r="I10" s="332"/>
      <c r="J10" s="331"/>
    </row>
    <row r="11" spans="1:10" ht="33.75" outlineLevel="1" x14ac:dyDescent="0.2">
      <c r="A11" s="350" t="s">
        <v>420</v>
      </c>
      <c r="B11" s="197"/>
      <c r="C11" s="373"/>
      <c r="D11" s="374">
        <v>18729145.359999999</v>
      </c>
      <c r="E11" s="373"/>
      <c r="F11" s="333"/>
      <c r="G11" s="345">
        <f t="shared" si="2"/>
        <v>0</v>
      </c>
      <c r="H11" s="334"/>
      <c r="I11" s="332"/>
      <c r="J11" s="331"/>
    </row>
    <row r="12" spans="1:10" ht="12.75" outlineLevel="1" x14ac:dyDescent="0.2">
      <c r="A12" s="350"/>
      <c r="B12" s="197"/>
      <c r="C12" s="373"/>
      <c r="D12" s="374"/>
      <c r="E12" s="373"/>
      <c r="F12" s="333"/>
      <c r="G12" s="345">
        <f t="shared" si="2"/>
        <v>0</v>
      </c>
      <c r="H12" s="334"/>
      <c r="I12" s="332"/>
      <c r="J12" s="331"/>
    </row>
    <row r="13" spans="1:10" ht="12.95" customHeight="1" x14ac:dyDescent="0.2">
      <c r="A13" s="346" t="s">
        <v>5</v>
      </c>
      <c r="B13" s="347"/>
      <c r="C13" s="348">
        <f>C7</f>
        <v>113670892.85640001</v>
      </c>
      <c r="D13" s="348">
        <f t="shared" ref="D13:F13" si="3">D7</f>
        <v>18729145.359999999</v>
      </c>
      <c r="E13" s="348">
        <f t="shared" si="3"/>
        <v>12515621.27</v>
      </c>
      <c r="F13" s="348">
        <f t="shared" si="3"/>
        <v>13058189.529999999</v>
      </c>
      <c r="G13" s="348">
        <f t="shared" si="2"/>
        <v>-542568.25999999978</v>
      </c>
      <c r="H13" s="348">
        <f t="shared" ref="H13" si="4">H7</f>
        <v>5524393.2600000007</v>
      </c>
      <c r="I13" s="332"/>
      <c r="J13" s="331"/>
    </row>
    <row r="14" spans="1:10" ht="12.95" customHeight="1" x14ac:dyDescent="0.2">
      <c r="A14" s="332"/>
      <c r="B14" s="332"/>
      <c r="C14" s="332"/>
      <c r="D14" s="332"/>
      <c r="E14" s="332"/>
      <c r="F14" s="332"/>
      <c r="G14" s="332"/>
      <c r="H14" s="332"/>
      <c r="I14" s="332"/>
      <c r="J14" s="331"/>
    </row>
    <row r="15" spans="1:10" ht="15" x14ac:dyDescent="0.2">
      <c r="A15" s="470" t="s">
        <v>367</v>
      </c>
      <c r="B15" s="470"/>
      <c r="C15" s="342">
        <f t="shared" ref="C15:H15" si="5">C16+C19</f>
        <v>702509314.03999996</v>
      </c>
      <c r="D15" s="342">
        <f t="shared" si="5"/>
        <v>30274071.409999996</v>
      </c>
      <c r="E15" s="342">
        <f t="shared" si="5"/>
        <v>442432413.86000001</v>
      </c>
      <c r="F15" s="342">
        <f t="shared" si="5"/>
        <v>423939852.10000002</v>
      </c>
      <c r="G15" s="342">
        <f t="shared" si="5"/>
        <v>18492561.760000009</v>
      </c>
      <c r="H15" s="342">
        <f t="shared" si="5"/>
        <v>30952470.209999997</v>
      </c>
      <c r="I15" s="332"/>
      <c r="J15" s="331"/>
    </row>
    <row r="16" spans="1:10" ht="12.95" customHeight="1" x14ac:dyDescent="0.2">
      <c r="A16" s="349" t="s">
        <v>363</v>
      </c>
      <c r="B16" s="343"/>
      <c r="C16" s="329">
        <f>SUM(C17:C18)</f>
        <v>694381444.79999995</v>
      </c>
      <c r="D16" s="329">
        <f t="shared" ref="D16:H16" si="6">SUM(D17:D18)</f>
        <v>26145100.489999998</v>
      </c>
      <c r="E16" s="329">
        <f t="shared" si="6"/>
        <v>435938998.34000003</v>
      </c>
      <c r="F16" s="329">
        <f t="shared" si="6"/>
        <v>417641239.05000001</v>
      </c>
      <c r="G16" s="329">
        <f t="shared" si="6"/>
        <v>18297759.29000001</v>
      </c>
      <c r="H16" s="329">
        <f t="shared" si="6"/>
        <v>30952470.209999997</v>
      </c>
      <c r="I16" s="332"/>
      <c r="J16" s="331"/>
    </row>
    <row r="17" spans="1:10" ht="12.75" outlineLevel="1" x14ac:dyDescent="0.2">
      <c r="A17" s="350" t="s">
        <v>365</v>
      </c>
      <c r="B17" s="197"/>
      <c r="C17" s="360">
        <v>694381444.79999995</v>
      </c>
      <c r="D17" s="374">
        <v>26145100.489999998</v>
      </c>
      <c r="E17" s="373">
        <v>415175068.05000001</v>
      </c>
      <c r="F17" s="333">
        <v>402025320.25</v>
      </c>
      <c r="G17" s="345">
        <f t="shared" ref="G17:G23" si="7">E17-F17</f>
        <v>13149747.800000012</v>
      </c>
      <c r="H17" s="334">
        <v>25551340.489999998</v>
      </c>
      <c r="I17" s="332"/>
      <c r="J17" s="331"/>
    </row>
    <row r="18" spans="1:10" ht="12.75" outlineLevel="1" x14ac:dyDescent="0.2">
      <c r="A18" s="350" t="s">
        <v>423</v>
      </c>
      <c r="B18" s="197" t="s">
        <v>424</v>
      </c>
      <c r="C18" s="360"/>
      <c r="D18" s="374"/>
      <c r="E18" s="373">
        <v>20763930.289999999</v>
      </c>
      <c r="F18" s="333">
        <v>15615918.800000001</v>
      </c>
      <c r="G18" s="345">
        <f t="shared" si="7"/>
        <v>5148011.4899999984</v>
      </c>
      <c r="H18" s="334">
        <v>5401129.7199999997</v>
      </c>
      <c r="I18" s="332"/>
      <c r="J18" s="331"/>
    </row>
    <row r="19" spans="1:10" ht="12.95" customHeight="1" x14ac:dyDescent="0.2">
      <c r="A19" s="349" t="s">
        <v>368</v>
      </c>
      <c r="B19" s="343"/>
      <c r="C19" s="329">
        <f>SUM(C20:C22)</f>
        <v>8127869.2400000002</v>
      </c>
      <c r="D19" s="329">
        <f t="shared" ref="D19:H19" si="8">SUM(D20:D22)</f>
        <v>4128970.92</v>
      </c>
      <c r="E19" s="329">
        <f t="shared" si="8"/>
        <v>6493415.5199999996</v>
      </c>
      <c r="F19" s="329">
        <f t="shared" si="8"/>
        <v>6298613.0499999998</v>
      </c>
      <c r="G19" s="329">
        <f t="shared" si="8"/>
        <v>194802.46999999974</v>
      </c>
      <c r="H19" s="329">
        <f t="shared" si="8"/>
        <v>0</v>
      </c>
      <c r="I19" s="332"/>
      <c r="J19" s="331"/>
    </row>
    <row r="20" spans="1:10" ht="12.75" outlineLevel="1" x14ac:dyDescent="0.2">
      <c r="A20" s="350" t="s">
        <v>369</v>
      </c>
      <c r="B20" s="197"/>
      <c r="C20" s="373">
        <f>8127869.24</f>
        <v>8127869.2400000002</v>
      </c>
      <c r="D20" s="374">
        <f>11656835.57-C20+600004.59</f>
        <v>4128970.92</v>
      </c>
      <c r="E20" s="373">
        <v>6493415.5199999996</v>
      </c>
      <c r="F20" s="333">
        <v>6298613.0499999998</v>
      </c>
      <c r="G20" s="345">
        <f t="shared" si="7"/>
        <v>194802.46999999974</v>
      </c>
      <c r="H20" s="334"/>
      <c r="I20" s="332"/>
      <c r="J20" s="331"/>
    </row>
    <row r="21" spans="1:10" ht="12.75" outlineLevel="1" x14ac:dyDescent="0.2">
      <c r="A21" s="350"/>
      <c r="B21" s="197"/>
      <c r="C21" s="373"/>
      <c r="D21" s="374"/>
      <c r="E21" s="373"/>
      <c r="F21" s="333"/>
      <c r="G21" s="345">
        <f t="shared" si="7"/>
        <v>0</v>
      </c>
      <c r="H21" s="334"/>
      <c r="I21" s="332"/>
      <c r="J21" s="331"/>
    </row>
    <row r="22" spans="1:10" ht="12.75" outlineLevel="1" x14ac:dyDescent="0.2">
      <c r="A22" s="350"/>
      <c r="B22" s="197"/>
      <c r="C22" s="373"/>
      <c r="D22" s="374"/>
      <c r="E22" s="373"/>
      <c r="F22" s="333"/>
      <c r="G22" s="345">
        <f t="shared" si="7"/>
        <v>0</v>
      </c>
      <c r="H22" s="334"/>
      <c r="I22" s="332"/>
      <c r="J22" s="331"/>
    </row>
    <row r="23" spans="1:10" ht="12.95" customHeight="1" x14ac:dyDescent="0.2">
      <c r="A23" s="346" t="s">
        <v>5</v>
      </c>
      <c r="B23" s="347"/>
      <c r="C23" s="348">
        <f>C15</f>
        <v>702509314.03999996</v>
      </c>
      <c r="D23" s="348">
        <f>D15</f>
        <v>30274071.409999996</v>
      </c>
      <c r="E23" s="348">
        <f>E15</f>
        <v>442432413.86000001</v>
      </c>
      <c r="F23" s="348">
        <f>F15</f>
        <v>423939852.10000002</v>
      </c>
      <c r="G23" s="348">
        <f t="shared" si="7"/>
        <v>18492561.75999999</v>
      </c>
      <c r="H23" s="348">
        <f>H15</f>
        <v>30952470.209999997</v>
      </c>
      <c r="I23" s="332"/>
      <c r="J23" s="331"/>
    </row>
    <row r="24" spans="1:10" x14ac:dyDescent="0.2">
      <c r="J24" s="331"/>
    </row>
    <row r="25" spans="1:10" ht="15" x14ac:dyDescent="0.2">
      <c r="A25" s="470" t="s">
        <v>370</v>
      </c>
      <c r="B25" s="470"/>
      <c r="C25" s="342">
        <f>C26</f>
        <v>51203561.621748812</v>
      </c>
      <c r="D25" s="342">
        <f t="shared" ref="D25:G25" si="9">D26</f>
        <v>1112.2524000000001</v>
      </c>
      <c r="E25" s="342">
        <f t="shared" si="9"/>
        <v>41099272.830000013</v>
      </c>
      <c r="F25" s="342">
        <f t="shared" si="9"/>
        <v>41345897.510000005</v>
      </c>
      <c r="G25" s="342">
        <f t="shared" si="9"/>
        <v>-246624.68000000028</v>
      </c>
      <c r="H25" s="342">
        <f>H26</f>
        <v>1709763.8</v>
      </c>
      <c r="I25" s="332"/>
      <c r="J25" s="331"/>
    </row>
    <row r="26" spans="1:10" ht="12.95" customHeight="1" x14ac:dyDescent="0.2">
      <c r="A26" s="113"/>
      <c r="B26" s="343"/>
      <c r="C26" s="329">
        <f>SUM(C27:C49)</f>
        <v>51203561.621748812</v>
      </c>
      <c r="D26" s="329">
        <f t="shared" ref="D26:H26" si="10">SUM(D27:D49)</f>
        <v>1112.2524000000001</v>
      </c>
      <c r="E26" s="329">
        <f t="shared" si="10"/>
        <v>41099272.830000013</v>
      </c>
      <c r="F26" s="329">
        <f t="shared" si="10"/>
        <v>41345897.510000005</v>
      </c>
      <c r="G26" s="329">
        <f t="shared" si="10"/>
        <v>-246624.68000000028</v>
      </c>
      <c r="H26" s="329">
        <f t="shared" si="10"/>
        <v>1709763.8</v>
      </c>
      <c r="I26" s="332"/>
      <c r="J26" s="331"/>
    </row>
    <row r="27" spans="1:10" ht="23.45" customHeight="1" outlineLevel="1" x14ac:dyDescent="0.2">
      <c r="A27" s="350" t="s">
        <v>371</v>
      </c>
      <c r="B27" s="197" t="s">
        <v>392</v>
      </c>
      <c r="C27" s="373">
        <f>17013778.16-90000</f>
        <v>16923778.16</v>
      </c>
      <c r="D27" s="374"/>
      <c r="E27" s="373">
        <v>16605957.560000001</v>
      </c>
      <c r="F27" s="333">
        <f>16576888.66+29068.89</f>
        <v>16605957.550000001</v>
      </c>
      <c r="G27" s="345">
        <f t="shared" ref="G27:G50" si="11">E27-F27</f>
        <v>9.9999997764825821E-3</v>
      </c>
      <c r="H27" s="334"/>
      <c r="I27" s="332"/>
      <c r="J27" s="331"/>
    </row>
    <row r="28" spans="1:10" ht="23.45" customHeight="1" outlineLevel="1" x14ac:dyDescent="0.2">
      <c r="A28" s="350" t="s">
        <v>372</v>
      </c>
      <c r="B28" s="197" t="s">
        <v>393</v>
      </c>
      <c r="C28" s="373">
        <v>265614.90000000002</v>
      </c>
      <c r="D28" s="374"/>
      <c r="E28" s="373">
        <v>211678.97</v>
      </c>
      <c r="F28" s="333">
        <v>211678.97</v>
      </c>
      <c r="G28" s="345">
        <f t="shared" si="11"/>
        <v>0</v>
      </c>
      <c r="H28" s="334"/>
      <c r="I28" s="332"/>
      <c r="J28" s="331"/>
    </row>
    <row r="29" spans="1:10" ht="23.45" customHeight="1" outlineLevel="1" x14ac:dyDescent="0.2">
      <c r="A29" s="350" t="s">
        <v>373</v>
      </c>
      <c r="B29" s="197" t="s">
        <v>394</v>
      </c>
      <c r="C29" s="373">
        <f>6397192.081+420656.6077+311390</f>
        <v>7129238.6886999998</v>
      </c>
      <c r="D29" s="374"/>
      <c r="E29" s="373">
        <v>3256900.59</v>
      </c>
      <c r="F29" s="333">
        <f>3409387.29-152486.7</f>
        <v>3256900.59</v>
      </c>
      <c r="G29" s="345">
        <f t="shared" si="11"/>
        <v>0</v>
      </c>
      <c r="H29" s="334">
        <v>218501.17</v>
      </c>
      <c r="I29" s="332"/>
      <c r="J29" s="331"/>
    </row>
    <row r="30" spans="1:10" ht="23.45" customHeight="1" outlineLevel="1" x14ac:dyDescent="0.2">
      <c r="A30" s="350" t="s">
        <v>407</v>
      </c>
      <c r="B30" s="197" t="s">
        <v>408</v>
      </c>
      <c r="C30" s="373">
        <v>259236.64</v>
      </c>
      <c r="D30" s="374"/>
      <c r="E30" s="373"/>
      <c r="F30" s="333"/>
      <c r="G30" s="345">
        <f t="shared" si="11"/>
        <v>0</v>
      </c>
      <c r="H30" s="334"/>
      <c r="I30" s="332"/>
      <c r="J30" s="331"/>
    </row>
    <row r="31" spans="1:10" ht="23.45" customHeight="1" outlineLevel="1" x14ac:dyDescent="0.2">
      <c r="A31" s="350" t="s">
        <v>374</v>
      </c>
      <c r="B31" s="197" t="s">
        <v>395</v>
      </c>
      <c r="C31" s="373">
        <v>2100000</v>
      </c>
      <c r="D31" s="374"/>
      <c r="E31" s="373">
        <v>2099963.2400000002</v>
      </c>
      <c r="F31" s="333">
        <v>2099963.2400000002</v>
      </c>
      <c r="G31" s="345">
        <f t="shared" si="11"/>
        <v>0</v>
      </c>
      <c r="H31" s="334"/>
      <c r="I31" s="332"/>
      <c r="J31" s="331"/>
    </row>
    <row r="32" spans="1:10" ht="23.45" customHeight="1" outlineLevel="1" x14ac:dyDescent="0.2">
      <c r="A32" s="350" t="s">
        <v>375</v>
      </c>
      <c r="B32" s="197" t="s">
        <v>396</v>
      </c>
      <c r="C32" s="373">
        <v>961530.55</v>
      </c>
      <c r="D32" s="374"/>
      <c r="E32" s="373"/>
      <c r="F32" s="333">
        <v>329967.82</v>
      </c>
      <c r="G32" s="345">
        <f t="shared" si="11"/>
        <v>-329967.82</v>
      </c>
      <c r="H32" s="334">
        <v>891722.9</v>
      </c>
      <c r="I32" s="332"/>
      <c r="J32" s="331"/>
    </row>
    <row r="33" spans="1:10" ht="23.45" customHeight="1" outlineLevel="1" x14ac:dyDescent="0.2">
      <c r="A33" s="350" t="s">
        <v>409</v>
      </c>
      <c r="B33" s="197" t="s">
        <v>410</v>
      </c>
      <c r="C33" s="373">
        <v>138362.18</v>
      </c>
      <c r="D33" s="374"/>
      <c r="E33" s="373"/>
      <c r="F33" s="333"/>
      <c r="G33" s="345">
        <f t="shared" si="11"/>
        <v>0</v>
      </c>
      <c r="H33" s="334"/>
      <c r="I33" s="332"/>
      <c r="J33" s="331"/>
    </row>
    <row r="34" spans="1:10" ht="23.45" customHeight="1" outlineLevel="1" x14ac:dyDescent="0.2">
      <c r="A34" s="350" t="s">
        <v>405</v>
      </c>
      <c r="B34" s="197" t="s">
        <v>406</v>
      </c>
      <c r="C34" s="373">
        <v>940410.64800000004</v>
      </c>
      <c r="D34" s="374"/>
      <c r="E34" s="373">
        <v>869299.69</v>
      </c>
      <c r="F34" s="333"/>
      <c r="G34" s="345">
        <f t="shared" si="11"/>
        <v>869299.69</v>
      </c>
      <c r="H34" s="334"/>
      <c r="I34" s="332"/>
      <c r="J34" s="331"/>
    </row>
    <row r="35" spans="1:10" ht="23.45" customHeight="1" outlineLevel="1" x14ac:dyDescent="0.2">
      <c r="A35" s="350" t="s">
        <v>376</v>
      </c>
      <c r="B35" s="197"/>
      <c r="C35" s="373">
        <v>1063961.9408807999</v>
      </c>
      <c r="D35" s="374"/>
      <c r="E35" s="373">
        <v>1063516.73</v>
      </c>
      <c r="F35" s="333">
        <v>1063516.73</v>
      </c>
      <c r="G35" s="345">
        <f t="shared" si="11"/>
        <v>0</v>
      </c>
      <c r="H35" s="334"/>
      <c r="I35" s="332"/>
      <c r="J35" s="331"/>
    </row>
    <row r="36" spans="1:10" ht="23.45" customHeight="1" outlineLevel="1" x14ac:dyDescent="0.2">
      <c r="A36" s="350" t="s">
        <v>377</v>
      </c>
      <c r="B36" s="197"/>
      <c r="C36" s="373">
        <v>4567152.1141680004</v>
      </c>
      <c r="D36" s="374"/>
      <c r="E36" s="373">
        <v>3985555.74</v>
      </c>
      <c r="F36" s="333">
        <v>3985555.74</v>
      </c>
      <c r="G36" s="345">
        <f t="shared" si="11"/>
        <v>0</v>
      </c>
      <c r="H36" s="334">
        <v>317778.7</v>
      </c>
      <c r="I36" s="332"/>
      <c r="J36" s="331"/>
    </row>
    <row r="37" spans="1:10" ht="23.45" customHeight="1" outlineLevel="1" x14ac:dyDescent="0.2">
      <c r="A37" s="350" t="s">
        <v>378</v>
      </c>
      <c r="B37" s="197"/>
      <c r="C37" s="373">
        <v>1094682.42</v>
      </c>
      <c r="D37" s="374"/>
      <c r="E37" s="373">
        <v>782407.19</v>
      </c>
      <c r="F37" s="333">
        <v>876089.76</v>
      </c>
      <c r="G37" s="345">
        <f t="shared" si="11"/>
        <v>-93682.570000000065</v>
      </c>
      <c r="H37" s="334"/>
      <c r="I37" s="332"/>
      <c r="J37" s="331"/>
    </row>
    <row r="38" spans="1:10" ht="23.45" customHeight="1" outlineLevel="1" x14ac:dyDescent="0.2">
      <c r="A38" s="350" t="s">
        <v>379</v>
      </c>
      <c r="B38" s="197"/>
      <c r="C38" s="373">
        <v>10672595.1</v>
      </c>
      <c r="D38" s="374"/>
      <c r="E38" s="373">
        <v>7991932.1900000004</v>
      </c>
      <c r="F38" s="333">
        <v>8796131.0700000003</v>
      </c>
      <c r="G38" s="345">
        <f t="shared" si="11"/>
        <v>-804198.87999999989</v>
      </c>
      <c r="H38" s="334"/>
      <c r="I38" s="332"/>
      <c r="J38" s="331"/>
    </row>
    <row r="39" spans="1:10" ht="23.45" customHeight="1" outlineLevel="1" x14ac:dyDescent="0.2">
      <c r="A39" s="350" t="s">
        <v>380</v>
      </c>
      <c r="B39" s="197"/>
      <c r="C39" s="373">
        <v>39500.15</v>
      </c>
      <c r="D39" s="374"/>
      <c r="E39" s="373">
        <v>39500.15</v>
      </c>
      <c r="F39" s="333">
        <v>39500.15</v>
      </c>
      <c r="G39" s="345">
        <f t="shared" si="11"/>
        <v>0</v>
      </c>
      <c r="H39" s="334"/>
      <c r="I39" s="332"/>
      <c r="J39" s="331"/>
    </row>
    <row r="40" spans="1:10" ht="23.45" customHeight="1" outlineLevel="1" x14ac:dyDescent="0.2">
      <c r="A40" s="350" t="s">
        <v>381</v>
      </c>
      <c r="B40" s="197" t="s">
        <v>397</v>
      </c>
      <c r="C40" s="373">
        <v>119696.93</v>
      </c>
      <c r="D40" s="374"/>
      <c r="E40" s="373">
        <v>119696.93</v>
      </c>
      <c r="F40" s="333">
        <v>119696.93</v>
      </c>
      <c r="G40" s="345">
        <f t="shared" si="11"/>
        <v>0</v>
      </c>
      <c r="H40" s="334"/>
      <c r="I40" s="332"/>
      <c r="J40" s="331"/>
    </row>
    <row r="41" spans="1:10" ht="23.45" customHeight="1" outlineLevel="1" x14ac:dyDescent="0.2">
      <c r="A41" s="350" t="s">
        <v>382</v>
      </c>
      <c r="B41" s="197" t="s">
        <v>392</v>
      </c>
      <c r="C41" s="373">
        <v>466146.52</v>
      </c>
      <c r="D41" s="374"/>
      <c r="E41" s="373">
        <v>466146.45</v>
      </c>
      <c r="F41" s="333">
        <v>466146.45</v>
      </c>
      <c r="G41" s="345">
        <f t="shared" si="11"/>
        <v>0</v>
      </c>
      <c r="H41" s="334"/>
      <c r="I41" s="332"/>
      <c r="J41" s="331"/>
    </row>
    <row r="42" spans="1:10" ht="23.45" customHeight="1" outlineLevel="1" x14ac:dyDescent="0.2">
      <c r="A42" s="350" t="s">
        <v>403</v>
      </c>
      <c r="B42" s="197" t="s">
        <v>404</v>
      </c>
      <c r="C42" s="373">
        <v>4699.5</v>
      </c>
      <c r="D42" s="374"/>
      <c r="E42" s="373"/>
      <c r="F42" s="333"/>
      <c r="G42" s="345">
        <f t="shared" si="11"/>
        <v>0</v>
      </c>
      <c r="H42" s="334"/>
      <c r="I42" s="332"/>
      <c r="J42" s="331"/>
    </row>
    <row r="43" spans="1:10" ht="23.45" customHeight="1" outlineLevel="1" x14ac:dyDescent="0.2">
      <c r="A43" s="350" t="s">
        <v>383</v>
      </c>
      <c r="B43" s="197" t="s">
        <v>398</v>
      </c>
      <c r="C43" s="373">
        <v>40666.74</v>
      </c>
      <c r="D43" s="374"/>
      <c r="E43" s="373">
        <v>38205.86</v>
      </c>
      <c r="F43" s="333">
        <v>38205.86</v>
      </c>
      <c r="G43" s="345">
        <f t="shared" si="11"/>
        <v>0</v>
      </c>
      <c r="H43" s="334"/>
      <c r="I43" s="332"/>
      <c r="J43" s="331"/>
    </row>
    <row r="44" spans="1:10" ht="23.45" customHeight="1" outlineLevel="1" x14ac:dyDescent="0.2">
      <c r="A44" s="350" t="s">
        <v>384</v>
      </c>
      <c r="B44" s="197" t="s">
        <v>397</v>
      </c>
      <c r="C44" s="373">
        <v>2440898.75</v>
      </c>
      <c r="D44" s="374"/>
      <c r="E44" s="373">
        <v>2439621.9900000002</v>
      </c>
      <c r="F44" s="333">
        <v>2439621.9900000002</v>
      </c>
      <c r="G44" s="345">
        <f t="shared" si="11"/>
        <v>0</v>
      </c>
      <c r="H44" s="334"/>
      <c r="I44" s="332"/>
      <c r="J44" s="331"/>
    </row>
    <row r="45" spans="1:10" ht="23.45" customHeight="1" outlineLevel="1" x14ac:dyDescent="0.2">
      <c r="A45" s="350" t="s">
        <v>391</v>
      </c>
      <c r="B45" s="197" t="s">
        <v>412</v>
      </c>
      <c r="C45" s="373">
        <v>454219.84</v>
      </c>
      <c r="D45" s="374"/>
      <c r="E45" s="373">
        <v>287046.89</v>
      </c>
      <c r="F45" s="333">
        <f>239205.74+47841.15</f>
        <v>287046.89</v>
      </c>
      <c r="G45" s="345">
        <f t="shared" si="11"/>
        <v>0</v>
      </c>
      <c r="H45" s="334"/>
      <c r="I45" s="332"/>
      <c r="J45" s="331"/>
    </row>
    <row r="46" spans="1:10" ht="23.45" customHeight="1" outlineLevel="1" x14ac:dyDescent="0.2">
      <c r="A46" s="350" t="s">
        <v>411</v>
      </c>
      <c r="B46" s="197" t="s">
        <v>399</v>
      </c>
      <c r="C46" s="374">
        <v>1254925.9099999999</v>
      </c>
      <c r="D46" s="374"/>
      <c r="E46" s="373">
        <v>577431.06999999995</v>
      </c>
      <c r="F46" s="333">
        <v>577431.06999999995</v>
      </c>
      <c r="G46" s="345">
        <f t="shared" si="11"/>
        <v>0</v>
      </c>
      <c r="H46" s="334">
        <v>281761.03000000003</v>
      </c>
      <c r="I46" s="332"/>
      <c r="J46" s="331"/>
    </row>
    <row r="47" spans="1:10" ht="23.45" customHeight="1" outlineLevel="1" x14ac:dyDescent="0.2">
      <c r="A47" s="350" t="s">
        <v>421</v>
      </c>
      <c r="B47" s="197" t="s">
        <v>400</v>
      </c>
      <c r="C47" s="345">
        <v>113757.24</v>
      </c>
      <c r="D47" s="345"/>
      <c r="E47" s="373">
        <v>111924.89</v>
      </c>
      <c r="F47" s="333"/>
      <c r="G47" s="345">
        <f t="shared" si="11"/>
        <v>111924.89</v>
      </c>
      <c r="H47" s="334"/>
      <c r="I47" s="332"/>
      <c r="J47" s="331"/>
    </row>
    <row r="48" spans="1:10" ht="23.45" customHeight="1" outlineLevel="1" x14ac:dyDescent="0.2">
      <c r="A48" s="350"/>
      <c r="B48" s="197" t="s">
        <v>401</v>
      </c>
      <c r="C48" s="373"/>
      <c r="D48" s="374">
        <v>1112.2524000000001</v>
      </c>
      <c r="E48" s="373"/>
      <c r="F48" s="333"/>
      <c r="G48" s="345">
        <f t="shared" si="11"/>
        <v>0</v>
      </c>
      <c r="H48" s="334"/>
      <c r="I48" s="332"/>
      <c r="J48" s="331"/>
    </row>
    <row r="49" spans="1:10" ht="23.45" customHeight="1" outlineLevel="1" x14ac:dyDescent="0.2">
      <c r="A49" s="350" t="s">
        <v>438</v>
      </c>
      <c r="B49" s="197" t="s">
        <v>402</v>
      </c>
      <c r="C49" s="374">
        <v>152486.70000000001</v>
      </c>
      <c r="D49" s="374"/>
      <c r="E49" s="373">
        <v>152486.70000000001</v>
      </c>
      <c r="F49" s="333">
        <f>152486.7</f>
        <v>152486.70000000001</v>
      </c>
      <c r="G49" s="345">
        <f t="shared" si="11"/>
        <v>0</v>
      </c>
      <c r="H49" s="334"/>
      <c r="I49" s="332"/>
      <c r="J49" s="331"/>
    </row>
    <row r="50" spans="1:10" ht="12.95" customHeight="1" x14ac:dyDescent="0.2">
      <c r="A50" s="346" t="s">
        <v>5</v>
      </c>
      <c r="B50" s="347"/>
      <c r="C50" s="348">
        <f>C25</f>
        <v>51203561.621748812</v>
      </c>
      <c r="D50" s="348">
        <f t="shared" ref="D50:F50" si="12">D25</f>
        <v>1112.2524000000001</v>
      </c>
      <c r="E50" s="348">
        <f t="shared" si="12"/>
        <v>41099272.830000013</v>
      </c>
      <c r="F50" s="348">
        <f t="shared" si="12"/>
        <v>41345897.510000005</v>
      </c>
      <c r="G50" s="348">
        <f t="shared" si="11"/>
        <v>-246624.67999999225</v>
      </c>
      <c r="H50" s="348">
        <f t="shared" ref="H50" si="13">H25</f>
        <v>1709763.8</v>
      </c>
      <c r="I50" s="332"/>
      <c r="J50" s="331"/>
    </row>
    <row r="51" spans="1:10" x14ac:dyDescent="0.2">
      <c r="J51" s="331"/>
    </row>
    <row r="52" spans="1:10" ht="15" x14ac:dyDescent="0.2">
      <c r="A52" s="470" t="s">
        <v>385</v>
      </c>
      <c r="B52" s="470"/>
      <c r="C52" s="342">
        <f>C53</f>
        <v>37821919.648251414</v>
      </c>
      <c r="D52" s="342">
        <f t="shared" ref="D52:G52" si="14">D53</f>
        <v>0</v>
      </c>
      <c r="E52" s="342">
        <f t="shared" si="14"/>
        <v>0</v>
      </c>
      <c r="F52" s="342">
        <f t="shared" si="14"/>
        <v>10000000</v>
      </c>
      <c r="G52" s="342">
        <f t="shared" si="14"/>
        <v>-10000000</v>
      </c>
      <c r="H52" s="342">
        <f>H53</f>
        <v>0</v>
      </c>
      <c r="I52" s="332"/>
      <c r="J52" s="331"/>
    </row>
    <row r="53" spans="1:10" ht="12.95" customHeight="1" x14ac:dyDescent="0.2">
      <c r="A53" s="113"/>
      <c r="B53" s="343"/>
      <c r="C53" s="329">
        <f t="shared" ref="C53:H53" si="15">SUM(C54:C56)</f>
        <v>37821919.648251414</v>
      </c>
      <c r="D53" s="329">
        <f t="shared" si="15"/>
        <v>0</v>
      </c>
      <c r="E53" s="329">
        <f t="shared" si="15"/>
        <v>0</v>
      </c>
      <c r="F53" s="329">
        <f t="shared" si="15"/>
        <v>10000000</v>
      </c>
      <c r="G53" s="329">
        <f t="shared" si="15"/>
        <v>-10000000</v>
      </c>
      <c r="H53" s="329">
        <f t="shared" si="15"/>
        <v>0</v>
      </c>
      <c r="I53" s="332"/>
      <c r="J53" s="331"/>
    </row>
    <row r="54" spans="1:10" ht="12.75" outlineLevel="1" x14ac:dyDescent="0.2">
      <c r="A54" s="350" t="s">
        <v>445</v>
      </c>
      <c r="B54" s="197"/>
      <c r="C54" s="373">
        <v>36586417.648251414</v>
      </c>
      <c r="D54" s="374"/>
      <c r="E54" s="373"/>
      <c r="F54" s="333">
        <v>10000000</v>
      </c>
      <c r="G54" s="345">
        <f t="shared" ref="G54:G57" si="16">E54-F54</f>
        <v>-10000000</v>
      </c>
      <c r="H54" s="334"/>
      <c r="I54" s="332"/>
      <c r="J54" s="331"/>
    </row>
    <row r="55" spans="1:10" ht="22.5" outlineLevel="1" x14ac:dyDescent="0.2">
      <c r="A55" s="350" t="s">
        <v>444</v>
      </c>
      <c r="B55" s="197" t="s">
        <v>440</v>
      </c>
      <c r="C55" s="373">
        <v>1235502</v>
      </c>
      <c r="D55" s="374"/>
      <c r="E55" s="373"/>
      <c r="F55" s="333"/>
      <c r="G55" s="345">
        <f t="shared" si="16"/>
        <v>0</v>
      </c>
      <c r="H55" s="334"/>
      <c r="I55" s="332"/>
      <c r="J55" s="331"/>
    </row>
    <row r="56" spans="1:10" ht="12.75" outlineLevel="1" x14ac:dyDescent="0.2">
      <c r="A56" s="350"/>
      <c r="B56" s="197"/>
      <c r="C56" s="373"/>
      <c r="D56" s="374"/>
      <c r="E56" s="373"/>
      <c r="F56" s="333"/>
      <c r="G56" s="345">
        <f t="shared" si="16"/>
        <v>0</v>
      </c>
      <c r="H56" s="334"/>
      <c r="I56" s="332"/>
      <c r="J56" s="331"/>
    </row>
    <row r="57" spans="1:10" ht="12.95" customHeight="1" x14ac:dyDescent="0.2">
      <c r="A57" s="346" t="s">
        <v>5</v>
      </c>
      <c r="B57" s="347"/>
      <c r="C57" s="348">
        <f>C52</f>
        <v>37821919.648251414</v>
      </c>
      <c r="D57" s="348">
        <f>D52</f>
        <v>0</v>
      </c>
      <c r="E57" s="348">
        <f>E52</f>
        <v>0</v>
      </c>
      <c r="F57" s="348">
        <f>F52</f>
        <v>10000000</v>
      </c>
      <c r="G57" s="348">
        <f t="shared" si="16"/>
        <v>-10000000</v>
      </c>
      <c r="H57" s="348">
        <f t="shared" ref="H57" si="17">H52</f>
        <v>0</v>
      </c>
      <c r="I57" s="332"/>
      <c r="J57" s="331"/>
    </row>
    <row r="59" spans="1:10" ht="15" x14ac:dyDescent="0.2">
      <c r="A59" s="470" t="s">
        <v>387</v>
      </c>
      <c r="B59" s="470"/>
      <c r="C59" s="342">
        <f>C60</f>
        <v>10475226.394208746</v>
      </c>
      <c r="D59" s="342">
        <f t="shared" ref="D59:G59" si="18">D60</f>
        <v>0</v>
      </c>
      <c r="E59" s="342">
        <f t="shared" si="18"/>
        <v>8112092.29</v>
      </c>
      <c r="F59" s="342">
        <f t="shared" si="18"/>
        <v>8296169.29</v>
      </c>
      <c r="G59" s="342">
        <f t="shared" si="18"/>
        <v>-184077</v>
      </c>
      <c r="H59" s="342">
        <f>H60</f>
        <v>184077</v>
      </c>
    </row>
    <row r="60" spans="1:10" x14ac:dyDescent="0.2">
      <c r="A60" s="113"/>
      <c r="B60" s="343"/>
      <c r="C60" s="329">
        <f t="shared" ref="C60:H60" si="19">SUM(C61:C63)</f>
        <v>10475226.394208746</v>
      </c>
      <c r="D60" s="329">
        <f t="shared" si="19"/>
        <v>0</v>
      </c>
      <c r="E60" s="329">
        <f t="shared" si="19"/>
        <v>8112092.29</v>
      </c>
      <c r="F60" s="329">
        <f t="shared" si="19"/>
        <v>8296169.29</v>
      </c>
      <c r="G60" s="329">
        <f t="shared" si="19"/>
        <v>-184077</v>
      </c>
      <c r="H60" s="329">
        <f t="shared" si="19"/>
        <v>184077</v>
      </c>
    </row>
    <row r="61" spans="1:10" ht="12.75" outlineLevel="1" x14ac:dyDescent="0.2">
      <c r="A61" s="350" t="s">
        <v>388</v>
      </c>
      <c r="B61" s="197"/>
      <c r="C61" s="373">
        <v>10475226.394208746</v>
      </c>
      <c r="D61" s="374"/>
      <c r="E61" s="373">
        <v>8112092.29</v>
      </c>
      <c r="F61" s="333">
        <v>8296169.29</v>
      </c>
      <c r="G61" s="345">
        <f t="shared" ref="G61:G64" si="20">E61-F61</f>
        <v>-184077</v>
      </c>
      <c r="H61" s="334">
        <v>184077</v>
      </c>
    </row>
    <row r="62" spans="1:10" ht="12.75" outlineLevel="1" x14ac:dyDescent="0.2">
      <c r="A62" s="350"/>
      <c r="B62" s="197"/>
      <c r="C62" s="373"/>
      <c r="D62" s="374"/>
      <c r="E62" s="373"/>
      <c r="F62" s="333"/>
      <c r="G62" s="345">
        <f t="shared" si="20"/>
        <v>0</v>
      </c>
      <c r="H62" s="334"/>
    </row>
    <row r="63" spans="1:10" ht="12.75" outlineLevel="1" x14ac:dyDescent="0.2">
      <c r="A63" s="350"/>
      <c r="B63" s="197"/>
      <c r="C63" s="373"/>
      <c r="D63" s="374"/>
      <c r="E63" s="373"/>
      <c r="F63" s="333"/>
      <c r="G63" s="345">
        <f t="shared" si="20"/>
        <v>0</v>
      </c>
      <c r="H63" s="334"/>
    </row>
    <row r="64" spans="1:10" ht="15" x14ac:dyDescent="0.2">
      <c r="A64" s="346" t="s">
        <v>5</v>
      </c>
      <c r="B64" s="347"/>
      <c r="C64" s="348">
        <f>C59</f>
        <v>10475226.394208746</v>
      </c>
      <c r="D64" s="348">
        <f>D59</f>
        <v>0</v>
      </c>
      <c r="E64" s="348">
        <f>E59</f>
        <v>8112092.29</v>
      </c>
      <c r="F64" s="348">
        <f>F59</f>
        <v>8296169.29</v>
      </c>
      <c r="G64" s="348">
        <f t="shared" si="20"/>
        <v>-184077</v>
      </c>
      <c r="H64" s="348">
        <f>H59</f>
        <v>184077</v>
      </c>
    </row>
    <row r="66" spans="1:10" s="1" customFormat="1" ht="15" x14ac:dyDescent="0.2">
      <c r="A66" s="470" t="s">
        <v>389</v>
      </c>
      <c r="B66" s="470"/>
      <c r="C66" s="342">
        <f>C67</f>
        <v>0</v>
      </c>
      <c r="D66" s="342">
        <f t="shared" ref="D66:G66" si="21">D67</f>
        <v>0</v>
      </c>
      <c r="E66" s="342">
        <f t="shared" si="21"/>
        <v>19908162.640000001</v>
      </c>
      <c r="F66" s="342">
        <f t="shared" si="21"/>
        <v>19875180.77</v>
      </c>
      <c r="G66" s="342">
        <f t="shared" si="21"/>
        <v>32981.870000001043</v>
      </c>
      <c r="H66" s="342">
        <f>H67</f>
        <v>0</v>
      </c>
      <c r="J66" s="330"/>
    </row>
    <row r="67" spans="1:10" s="1" customFormat="1" x14ac:dyDescent="0.2">
      <c r="A67" s="113"/>
      <c r="B67" s="343"/>
      <c r="C67" s="329">
        <f t="shared" ref="C67:H67" si="22">SUM(C68:C71)</f>
        <v>0</v>
      </c>
      <c r="D67" s="329">
        <f t="shared" si="22"/>
        <v>0</v>
      </c>
      <c r="E67" s="329">
        <f t="shared" si="22"/>
        <v>19908162.640000001</v>
      </c>
      <c r="F67" s="329">
        <f t="shared" si="22"/>
        <v>19875180.77</v>
      </c>
      <c r="G67" s="329">
        <f t="shared" si="22"/>
        <v>32981.870000001043</v>
      </c>
      <c r="H67" s="329">
        <f t="shared" si="22"/>
        <v>0</v>
      </c>
      <c r="J67" s="330"/>
    </row>
    <row r="68" spans="1:10" s="1" customFormat="1" ht="12.75" outlineLevel="1" x14ac:dyDescent="0.2">
      <c r="A68" s="350" t="s">
        <v>361</v>
      </c>
      <c r="B68" s="197"/>
      <c r="C68" s="373"/>
      <c r="D68" s="374"/>
      <c r="E68" s="373">
        <v>7048121.5700000003</v>
      </c>
      <c r="F68" s="333">
        <v>6963208.6600000001</v>
      </c>
      <c r="G68" s="345">
        <f t="shared" ref="G68:G72" si="23">E68-F68</f>
        <v>84912.910000000149</v>
      </c>
      <c r="H68" s="334"/>
      <c r="J68" s="330"/>
    </row>
    <row r="69" spans="1:10" s="1" customFormat="1" ht="12.75" outlineLevel="1" x14ac:dyDescent="0.2">
      <c r="A69" s="350" t="s">
        <v>390</v>
      </c>
      <c r="B69" s="197"/>
      <c r="C69" s="373"/>
      <c r="D69" s="374"/>
      <c r="E69" s="373">
        <v>11930041.07</v>
      </c>
      <c r="F69" s="333">
        <v>11981972.109999999</v>
      </c>
      <c r="G69" s="345">
        <f t="shared" si="23"/>
        <v>-51931.039999999106</v>
      </c>
      <c r="H69" s="334"/>
      <c r="J69" s="330"/>
    </row>
    <row r="70" spans="1:10" s="1" customFormat="1" ht="14.45" customHeight="1" outlineLevel="1" x14ac:dyDescent="0.2">
      <c r="A70" s="350" t="s">
        <v>439</v>
      </c>
      <c r="B70" s="197"/>
      <c r="C70" s="373"/>
      <c r="D70" s="374"/>
      <c r="E70" s="373">
        <v>930000</v>
      </c>
      <c r="F70" s="333">
        <v>930000</v>
      </c>
      <c r="G70" s="345">
        <f t="shared" si="23"/>
        <v>0</v>
      </c>
      <c r="H70" s="334"/>
      <c r="J70" s="330"/>
    </row>
    <row r="71" spans="1:10" s="1" customFormat="1" ht="12.75" outlineLevel="1" x14ac:dyDescent="0.2">
      <c r="A71" s="350"/>
      <c r="B71" s="197"/>
      <c r="C71" s="373"/>
      <c r="D71" s="374"/>
      <c r="E71" s="373"/>
      <c r="F71" s="333"/>
      <c r="G71" s="345">
        <f t="shared" si="23"/>
        <v>0</v>
      </c>
      <c r="H71" s="334"/>
      <c r="J71" s="330"/>
    </row>
    <row r="72" spans="1:10" s="1" customFormat="1" ht="15" x14ac:dyDescent="0.2">
      <c r="A72" s="346" t="s">
        <v>5</v>
      </c>
      <c r="B72" s="347"/>
      <c r="C72" s="348">
        <f>C66</f>
        <v>0</v>
      </c>
      <c r="D72" s="348">
        <f t="shared" ref="D72:F72" si="24">D66</f>
        <v>0</v>
      </c>
      <c r="E72" s="348">
        <f t="shared" si="24"/>
        <v>19908162.640000001</v>
      </c>
      <c r="F72" s="348">
        <f t="shared" si="24"/>
        <v>19875180.77</v>
      </c>
      <c r="G72" s="348">
        <f t="shared" si="23"/>
        <v>32981.870000001043</v>
      </c>
      <c r="H72" s="348">
        <f t="shared" ref="H72" si="25">H66</f>
        <v>0</v>
      </c>
      <c r="J72" s="330"/>
    </row>
    <row r="76" spans="1:10" x14ac:dyDescent="0.2">
      <c r="B76" s="378"/>
    </row>
  </sheetData>
  <mergeCells count="10">
    <mergeCell ref="A25:B25"/>
    <mergeCell ref="A52:B52"/>
    <mergeCell ref="A59:B59"/>
    <mergeCell ref="A66:B66"/>
    <mergeCell ref="B4:B5"/>
    <mergeCell ref="C4:C5"/>
    <mergeCell ref="D4:D5"/>
    <mergeCell ref="E4:G4"/>
    <mergeCell ref="A7:B7"/>
    <mergeCell ref="A15:B1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4E31D-BCE4-479A-AF22-9AAFB9AC9D12}">
  <sheetPr>
    <tabColor rgb="FF92D050"/>
    <pageSetUpPr fitToPage="1"/>
  </sheetPr>
  <dimension ref="A1:J77"/>
  <sheetViews>
    <sheetView topLeftCell="A4" zoomScale="85" zoomScaleNormal="85" workbookViewId="0">
      <pane xSplit="2" ySplit="2" topLeftCell="C6" activePane="bottomRight" state="frozen"/>
      <selection activeCell="H19" sqref="H19"/>
      <selection pane="topRight" activeCell="H19" sqref="H19"/>
      <selection pane="bottomLeft" activeCell="H19" sqref="H19"/>
      <selection pane="bottomRight" activeCell="H19" sqref="H19"/>
    </sheetView>
  </sheetViews>
  <sheetFormatPr defaultColWidth="10.1640625" defaultRowHeight="11.25" outlineLevelRow="1" x14ac:dyDescent="0.2"/>
  <cols>
    <col min="1" max="1" width="48.33203125" style="1" customWidth="1"/>
    <col min="2" max="2" width="54.33203125" style="1" customWidth="1"/>
    <col min="3" max="3" width="20.5" style="1" customWidth="1"/>
    <col min="4" max="4" width="19.5" style="1" customWidth="1"/>
    <col min="5" max="7" width="20.5" style="1" customWidth="1"/>
    <col min="8" max="8" width="22.33203125" style="330" customWidth="1"/>
    <col min="9" max="9" width="19.1640625" style="1" customWidth="1"/>
    <col min="10" max="10" width="24.83203125" style="330" bestFit="1" customWidth="1"/>
    <col min="11" max="11" width="21.33203125" style="330" customWidth="1"/>
    <col min="12" max="12" width="10.1640625" style="330"/>
    <col min="13" max="13" width="13.83203125" style="330" customWidth="1"/>
    <col min="14" max="16384" width="10.1640625" style="330"/>
  </cols>
  <sheetData>
    <row r="1" spans="1:8" s="1" customFormat="1" ht="9.9499999999999993" hidden="1" customHeight="1" x14ac:dyDescent="0.2"/>
    <row r="2" spans="1:8" s="1" customFormat="1" ht="9.9499999999999993" hidden="1" customHeight="1" x14ac:dyDescent="0.2"/>
    <row r="3" spans="1:8" ht="34.5" hidden="1" customHeight="1" x14ac:dyDescent="0.25">
      <c r="A3" s="5" t="s">
        <v>18</v>
      </c>
      <c r="H3" s="1"/>
    </row>
    <row r="4" spans="1:8" ht="32.450000000000003" customHeight="1" x14ac:dyDescent="0.2">
      <c r="A4" s="381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381" t="s">
        <v>8</v>
      </c>
    </row>
    <row r="5" spans="1:8" ht="36" x14ac:dyDescent="0.2">
      <c r="A5" s="381" t="s">
        <v>1</v>
      </c>
      <c r="B5" s="471"/>
      <c r="C5" s="471"/>
      <c r="D5" s="471"/>
      <c r="E5" s="340" t="s">
        <v>3</v>
      </c>
      <c r="F5" s="340" t="s">
        <v>4</v>
      </c>
      <c r="G5" s="341" t="s">
        <v>14</v>
      </c>
      <c r="H5" s="340" t="s">
        <v>352</v>
      </c>
    </row>
    <row r="6" spans="1:8" ht="12.95" customHeight="1" x14ac:dyDescent="0.2">
      <c r="H6" s="1"/>
    </row>
    <row r="7" spans="1:8" ht="15" x14ac:dyDescent="0.2">
      <c r="A7" s="470" t="s">
        <v>364</v>
      </c>
      <c r="B7" s="470"/>
      <c r="C7" s="384">
        <f>C8</f>
        <v>132400038.21640001</v>
      </c>
      <c r="D7" s="384">
        <f t="shared" ref="D7:G7" si="0">D8</f>
        <v>2831928.96</v>
      </c>
      <c r="E7" s="384">
        <f t="shared" si="0"/>
        <v>14124431.1</v>
      </c>
      <c r="F7" s="384">
        <f t="shared" si="0"/>
        <v>16055848.34</v>
      </c>
      <c r="G7" s="384">
        <f t="shared" si="0"/>
        <v>-1931417.2400000002</v>
      </c>
      <c r="H7" s="384">
        <f>H8</f>
        <v>6822160.2699999996</v>
      </c>
    </row>
    <row r="8" spans="1:8" ht="12.95" customHeight="1" x14ac:dyDescent="0.2">
      <c r="A8" s="113"/>
      <c r="B8" s="343"/>
      <c r="C8" s="385">
        <f t="shared" ref="C8:H8" si="1">SUM(C9:C13)</f>
        <v>132400038.21640001</v>
      </c>
      <c r="D8" s="385">
        <f t="shared" si="1"/>
        <v>2831928.96</v>
      </c>
      <c r="E8" s="385">
        <f t="shared" si="1"/>
        <v>14124431.1</v>
      </c>
      <c r="F8" s="385">
        <f t="shared" si="1"/>
        <v>16055848.34</v>
      </c>
      <c r="G8" s="385">
        <f t="shared" si="1"/>
        <v>-1931417.2400000002</v>
      </c>
      <c r="H8" s="385">
        <f t="shared" si="1"/>
        <v>6822160.2699999996</v>
      </c>
    </row>
    <row r="9" spans="1:8" ht="12.75" outlineLevel="1" x14ac:dyDescent="0.2">
      <c r="A9" s="386" t="s">
        <v>362</v>
      </c>
      <c r="B9" s="197"/>
      <c r="C9" s="380">
        <v>113670892.85640001</v>
      </c>
      <c r="D9" s="380"/>
      <c r="E9" s="380">
        <v>14124431.1</v>
      </c>
      <c r="F9" s="387">
        <v>16055848.34</v>
      </c>
      <c r="G9" s="388">
        <f t="shared" ref="G9:G14" si="2">E9-F9</f>
        <v>-1931417.2400000002</v>
      </c>
      <c r="H9" s="389">
        <v>6822160.2699999996</v>
      </c>
    </row>
    <row r="10" spans="1:8" ht="12.75" outlineLevel="1" x14ac:dyDescent="0.2">
      <c r="A10" s="386" t="s">
        <v>362</v>
      </c>
      <c r="B10" s="197" t="s">
        <v>441</v>
      </c>
      <c r="C10" s="380"/>
      <c r="D10" s="380"/>
      <c r="E10" s="380"/>
      <c r="F10" s="387"/>
      <c r="G10" s="388">
        <f t="shared" si="2"/>
        <v>0</v>
      </c>
      <c r="H10" s="389"/>
    </row>
    <row r="11" spans="1:8" ht="33.75" outlineLevel="1" x14ac:dyDescent="0.2">
      <c r="A11" s="386" t="s">
        <v>420</v>
      </c>
      <c r="B11" s="197"/>
      <c r="C11" s="380">
        <v>18729145.359999999</v>
      </c>
      <c r="D11" s="380"/>
      <c r="E11" s="380"/>
      <c r="F11" s="387"/>
      <c r="G11" s="388">
        <f t="shared" si="2"/>
        <v>0</v>
      </c>
      <c r="H11" s="389"/>
    </row>
    <row r="12" spans="1:8" ht="12.75" outlineLevel="1" x14ac:dyDescent="0.2">
      <c r="A12" s="386" t="s">
        <v>446</v>
      </c>
      <c r="B12" s="197"/>
      <c r="C12" s="380"/>
      <c r="D12" s="380">
        <v>2831928.96</v>
      </c>
      <c r="E12" s="380"/>
      <c r="F12" s="387"/>
      <c r="G12" s="388">
        <f t="shared" si="2"/>
        <v>0</v>
      </c>
      <c r="H12" s="389"/>
    </row>
    <row r="13" spans="1:8" ht="12.75" outlineLevel="1" x14ac:dyDescent="0.2">
      <c r="A13" s="386"/>
      <c r="B13" s="197"/>
      <c r="C13" s="380"/>
      <c r="D13" s="380"/>
      <c r="E13" s="380"/>
      <c r="F13" s="387"/>
      <c r="G13" s="388">
        <f t="shared" si="2"/>
        <v>0</v>
      </c>
      <c r="H13" s="389"/>
    </row>
    <row r="14" spans="1:8" ht="12.95" customHeight="1" x14ac:dyDescent="0.2">
      <c r="A14" s="346" t="s">
        <v>5</v>
      </c>
      <c r="B14" s="347"/>
      <c r="C14" s="348">
        <f>C7</f>
        <v>132400038.21640001</v>
      </c>
      <c r="D14" s="348">
        <f>D7</f>
        <v>2831928.96</v>
      </c>
      <c r="E14" s="348">
        <f>E7</f>
        <v>14124431.1</v>
      </c>
      <c r="F14" s="348">
        <f>F7</f>
        <v>16055848.34</v>
      </c>
      <c r="G14" s="348">
        <f t="shared" si="2"/>
        <v>-1931417.2400000002</v>
      </c>
      <c r="H14" s="348">
        <f>H7</f>
        <v>6822160.2699999996</v>
      </c>
    </row>
    <row r="15" spans="1:8" ht="12.95" customHeight="1" x14ac:dyDescent="0.2">
      <c r="H15" s="1"/>
    </row>
    <row r="16" spans="1:8" ht="15" x14ac:dyDescent="0.2">
      <c r="A16" s="470" t="s">
        <v>367</v>
      </c>
      <c r="B16" s="470"/>
      <c r="C16" s="384">
        <f t="shared" ref="C16:H16" si="3">C17+C20</f>
        <v>702509314.03999996</v>
      </c>
      <c r="D16" s="384">
        <f t="shared" si="3"/>
        <v>30274071.409999996</v>
      </c>
      <c r="E16" s="384">
        <f t="shared" si="3"/>
        <v>447610692.17000002</v>
      </c>
      <c r="F16" s="384">
        <f t="shared" si="3"/>
        <v>430649217.75</v>
      </c>
      <c r="G16" s="384">
        <f t="shared" si="3"/>
        <v>16961474.420000024</v>
      </c>
      <c r="H16" s="384">
        <f t="shared" si="3"/>
        <v>34421963.060000002</v>
      </c>
    </row>
    <row r="17" spans="1:10" ht="12.95" customHeight="1" x14ac:dyDescent="0.2">
      <c r="A17" s="349" t="s">
        <v>363</v>
      </c>
      <c r="B17" s="343"/>
      <c r="C17" s="385">
        <f>SUM(C18:C19)</f>
        <v>694381444.79999995</v>
      </c>
      <c r="D17" s="385">
        <f t="shared" ref="D17:H17" si="4">SUM(D18:D19)</f>
        <v>26145100.489999998</v>
      </c>
      <c r="E17" s="385">
        <f t="shared" si="4"/>
        <v>441117276.65000004</v>
      </c>
      <c r="F17" s="385">
        <f t="shared" si="4"/>
        <v>424350604.69999999</v>
      </c>
      <c r="G17" s="385">
        <f t="shared" si="4"/>
        <v>16766671.950000025</v>
      </c>
      <c r="H17" s="385">
        <f t="shared" si="4"/>
        <v>34421963.060000002</v>
      </c>
    </row>
    <row r="18" spans="1:10" ht="12.75" outlineLevel="1" x14ac:dyDescent="0.2">
      <c r="A18" s="386" t="s">
        <v>365</v>
      </c>
      <c r="B18" s="197"/>
      <c r="C18" s="388">
        <v>694381444.79999995</v>
      </c>
      <c r="D18" s="380">
        <v>26145100.489999998</v>
      </c>
      <c r="E18" s="380">
        <v>420353346.36000001</v>
      </c>
      <c r="F18" s="387">
        <v>406211095.19999999</v>
      </c>
      <c r="G18" s="388">
        <f t="shared" ref="G18:G24" si="5">E18-F18</f>
        <v>14142251.160000026</v>
      </c>
      <c r="H18" s="389">
        <v>27874748.91</v>
      </c>
    </row>
    <row r="19" spans="1:10" ht="12.75" outlineLevel="1" x14ac:dyDescent="0.2">
      <c r="A19" s="386" t="s">
        <v>423</v>
      </c>
      <c r="B19" s="197" t="s">
        <v>424</v>
      </c>
      <c r="C19" s="388"/>
      <c r="D19" s="380"/>
      <c r="E19" s="380">
        <v>20763930.289999999</v>
      </c>
      <c r="F19" s="387">
        <v>18139509.5</v>
      </c>
      <c r="G19" s="388">
        <f t="shared" si="5"/>
        <v>2624420.7899999991</v>
      </c>
      <c r="H19" s="389">
        <v>6547214.1500000004</v>
      </c>
      <c r="J19" s="390"/>
    </row>
    <row r="20" spans="1:10" ht="12.95" customHeight="1" x14ac:dyDescent="0.2">
      <c r="A20" s="349" t="s">
        <v>368</v>
      </c>
      <c r="B20" s="343"/>
      <c r="C20" s="385">
        <f>SUM(C21:C23)</f>
        <v>8127869.2400000002</v>
      </c>
      <c r="D20" s="385">
        <f t="shared" ref="D20:H20" si="6">SUM(D21:D23)</f>
        <v>4128970.92</v>
      </c>
      <c r="E20" s="385">
        <f t="shared" si="6"/>
        <v>6493415.5199999996</v>
      </c>
      <c r="F20" s="385">
        <f t="shared" si="6"/>
        <v>6298613.0499999998</v>
      </c>
      <c r="G20" s="385">
        <f t="shared" si="6"/>
        <v>194802.46999999974</v>
      </c>
      <c r="H20" s="385">
        <f t="shared" si="6"/>
        <v>0</v>
      </c>
    </row>
    <row r="21" spans="1:10" ht="12.75" outlineLevel="1" x14ac:dyDescent="0.2">
      <c r="A21" s="386" t="s">
        <v>369</v>
      </c>
      <c r="B21" s="197"/>
      <c r="C21" s="380">
        <f>8127869.24</f>
        <v>8127869.2400000002</v>
      </c>
      <c r="D21" s="380">
        <f>11656835.57-C21+600004.59</f>
        <v>4128970.92</v>
      </c>
      <c r="E21" s="380">
        <v>6493415.5199999996</v>
      </c>
      <c r="F21" s="387">
        <v>6298613.0499999998</v>
      </c>
      <c r="G21" s="388">
        <f t="shared" si="5"/>
        <v>194802.46999999974</v>
      </c>
      <c r="H21" s="389"/>
    </row>
    <row r="22" spans="1:10" ht="12.75" outlineLevel="1" x14ac:dyDescent="0.2">
      <c r="A22" s="386"/>
      <c r="B22" s="197"/>
      <c r="C22" s="380"/>
      <c r="D22" s="380"/>
      <c r="E22" s="380"/>
      <c r="F22" s="387"/>
      <c r="G22" s="388">
        <f t="shared" si="5"/>
        <v>0</v>
      </c>
      <c r="H22" s="389"/>
    </row>
    <row r="23" spans="1:10" ht="12.75" outlineLevel="1" x14ac:dyDescent="0.2">
      <c r="A23" s="386"/>
      <c r="B23" s="197"/>
      <c r="C23" s="380"/>
      <c r="D23" s="380"/>
      <c r="E23" s="380"/>
      <c r="F23" s="387"/>
      <c r="G23" s="388">
        <f t="shared" si="5"/>
        <v>0</v>
      </c>
      <c r="H23" s="389"/>
    </row>
    <row r="24" spans="1:10" ht="12.95" customHeight="1" x14ac:dyDescent="0.2">
      <c r="A24" s="346" t="s">
        <v>5</v>
      </c>
      <c r="B24" s="347"/>
      <c r="C24" s="348">
        <f>C16</f>
        <v>702509314.03999996</v>
      </c>
      <c r="D24" s="348">
        <f>D16</f>
        <v>30274071.409999996</v>
      </c>
      <c r="E24" s="348">
        <f>E16</f>
        <v>447610692.17000002</v>
      </c>
      <c r="F24" s="348">
        <f>F16</f>
        <v>430649217.75</v>
      </c>
      <c r="G24" s="348">
        <f t="shared" si="5"/>
        <v>16961474.420000017</v>
      </c>
      <c r="H24" s="348">
        <f>H16</f>
        <v>34421963.060000002</v>
      </c>
    </row>
    <row r="26" spans="1:10" ht="15" x14ac:dyDescent="0.2">
      <c r="A26" s="470" t="s">
        <v>370</v>
      </c>
      <c r="B26" s="470"/>
      <c r="C26" s="384">
        <f>C27</f>
        <v>51203561.621748812</v>
      </c>
      <c r="D26" s="384">
        <f t="shared" ref="D26:G26" si="7">D27</f>
        <v>1112.2524000000001</v>
      </c>
      <c r="E26" s="384">
        <f t="shared" si="7"/>
        <v>41689098.210000016</v>
      </c>
      <c r="F26" s="384">
        <f t="shared" si="7"/>
        <v>42327122.090000018</v>
      </c>
      <c r="G26" s="384">
        <f t="shared" si="7"/>
        <v>-638023.88000000035</v>
      </c>
      <c r="H26" s="384">
        <f>H27</f>
        <v>1702231.29</v>
      </c>
    </row>
    <row r="27" spans="1:10" ht="12.95" customHeight="1" x14ac:dyDescent="0.2">
      <c r="A27" s="113"/>
      <c r="B27" s="343"/>
      <c r="C27" s="385">
        <f>SUM(C28:C50)</f>
        <v>51203561.621748812</v>
      </c>
      <c r="D27" s="385">
        <f t="shared" ref="D27:H27" si="8">SUM(D28:D50)</f>
        <v>1112.2524000000001</v>
      </c>
      <c r="E27" s="385">
        <f t="shared" si="8"/>
        <v>41689098.210000016</v>
      </c>
      <c r="F27" s="385">
        <f t="shared" si="8"/>
        <v>42327122.090000018</v>
      </c>
      <c r="G27" s="385">
        <f t="shared" si="8"/>
        <v>-638023.88000000035</v>
      </c>
      <c r="H27" s="385">
        <f t="shared" si="8"/>
        <v>1702231.29</v>
      </c>
    </row>
    <row r="28" spans="1:10" ht="23.45" customHeight="1" outlineLevel="1" x14ac:dyDescent="0.2">
      <c r="A28" s="386" t="s">
        <v>371</v>
      </c>
      <c r="B28" s="197" t="s">
        <v>392</v>
      </c>
      <c r="C28" s="380">
        <f>17013778.16-90000</f>
        <v>16923778.16</v>
      </c>
      <c r="D28" s="380"/>
      <c r="E28" s="380">
        <v>16605957.560000001</v>
      </c>
      <c r="F28" s="387">
        <f>16576888.66+29068.89</f>
        <v>16605957.550000001</v>
      </c>
      <c r="G28" s="388">
        <f t="shared" ref="G28:G51" si="9">E28-F28</f>
        <v>9.9999997764825821E-3</v>
      </c>
      <c r="H28" s="389"/>
    </row>
    <row r="29" spans="1:10" ht="23.45" customHeight="1" outlineLevel="1" x14ac:dyDescent="0.2">
      <c r="A29" s="386" t="s">
        <v>372</v>
      </c>
      <c r="B29" s="197" t="s">
        <v>393</v>
      </c>
      <c r="C29" s="380">
        <v>265614.90000000002</v>
      </c>
      <c r="D29" s="380"/>
      <c r="E29" s="380">
        <v>211678.97</v>
      </c>
      <c r="F29" s="387">
        <v>211678.97</v>
      </c>
      <c r="G29" s="388">
        <f t="shared" si="9"/>
        <v>0</v>
      </c>
      <c r="H29" s="389"/>
    </row>
    <row r="30" spans="1:10" ht="23.45" customHeight="1" outlineLevel="1" x14ac:dyDescent="0.2">
      <c r="A30" s="386" t="s">
        <v>373</v>
      </c>
      <c r="B30" s="197" t="s">
        <v>394</v>
      </c>
      <c r="C30" s="380">
        <f>6397192.081+420656.6077+311390</f>
        <v>7129238.6886999998</v>
      </c>
      <c r="D30" s="380"/>
      <c r="E30" s="380">
        <f>3406527.67</f>
        <v>3406527.67</v>
      </c>
      <c r="F30" s="387">
        <v>3256900.59</v>
      </c>
      <c r="G30" s="388">
        <f t="shared" si="9"/>
        <v>149627.08000000007</v>
      </c>
      <c r="H30" s="389">
        <f>314997.84</f>
        <v>314997.84000000003</v>
      </c>
    </row>
    <row r="31" spans="1:10" ht="23.45" customHeight="1" outlineLevel="1" x14ac:dyDescent="0.2">
      <c r="A31" s="386" t="s">
        <v>407</v>
      </c>
      <c r="B31" s="197" t="s">
        <v>408</v>
      </c>
      <c r="C31" s="380">
        <v>259236.64</v>
      </c>
      <c r="D31" s="380"/>
      <c r="E31" s="380"/>
      <c r="F31" s="387"/>
      <c r="G31" s="388">
        <f t="shared" si="9"/>
        <v>0</v>
      </c>
      <c r="H31" s="389"/>
    </row>
    <row r="32" spans="1:10" ht="23.45" customHeight="1" outlineLevel="1" x14ac:dyDescent="0.2">
      <c r="A32" s="386" t="s">
        <v>374</v>
      </c>
      <c r="B32" s="197" t="s">
        <v>395</v>
      </c>
      <c r="C32" s="380">
        <v>2100000</v>
      </c>
      <c r="D32" s="380"/>
      <c r="E32" s="380">
        <v>2099963.2400000002</v>
      </c>
      <c r="F32" s="387">
        <v>2099963.2400000002</v>
      </c>
      <c r="G32" s="388">
        <f t="shared" si="9"/>
        <v>0</v>
      </c>
      <c r="H32" s="389"/>
    </row>
    <row r="33" spans="1:9" ht="23.45" customHeight="1" outlineLevel="1" x14ac:dyDescent="0.2">
      <c r="A33" s="386" t="s">
        <v>375</v>
      </c>
      <c r="B33" s="197" t="s">
        <v>396</v>
      </c>
      <c r="C33" s="380">
        <v>961530.55</v>
      </c>
      <c r="D33" s="380"/>
      <c r="E33" s="380"/>
      <c r="F33" s="387">
        <v>329967.82</v>
      </c>
      <c r="G33" s="388">
        <f t="shared" si="9"/>
        <v>-329967.82</v>
      </c>
      <c r="H33" s="389">
        <v>891722.9</v>
      </c>
    </row>
    <row r="34" spans="1:9" ht="23.45" customHeight="1" outlineLevel="1" x14ac:dyDescent="0.2">
      <c r="A34" s="386" t="s">
        <v>409</v>
      </c>
      <c r="B34" s="197" t="s">
        <v>410</v>
      </c>
      <c r="C34" s="380">
        <v>138362.18</v>
      </c>
      <c r="D34" s="380"/>
      <c r="E34" s="380"/>
      <c r="F34" s="387"/>
      <c r="G34" s="388">
        <f t="shared" si="9"/>
        <v>0</v>
      </c>
      <c r="H34" s="389"/>
    </row>
    <row r="35" spans="1:9" ht="23.45" customHeight="1" outlineLevel="1" x14ac:dyDescent="0.2">
      <c r="A35" s="386" t="s">
        <v>405</v>
      </c>
      <c r="B35" s="197" t="s">
        <v>406</v>
      </c>
      <c r="C35" s="380">
        <v>940410.64800000004</v>
      </c>
      <c r="D35" s="380"/>
      <c r="E35" s="380">
        <v>869299.69</v>
      </c>
      <c r="F35" s="380">
        <v>869299.69</v>
      </c>
      <c r="G35" s="388">
        <f t="shared" si="9"/>
        <v>0</v>
      </c>
      <c r="H35" s="389"/>
    </row>
    <row r="36" spans="1:9" ht="23.45" customHeight="1" outlineLevel="1" x14ac:dyDescent="0.2">
      <c r="A36" s="386" t="s">
        <v>376</v>
      </c>
      <c r="B36" s="197"/>
      <c r="C36" s="380">
        <v>1063961.9408807999</v>
      </c>
      <c r="D36" s="380"/>
      <c r="E36" s="380">
        <v>1063516.73</v>
      </c>
      <c r="F36" s="387">
        <v>1063516.73</v>
      </c>
      <c r="G36" s="388">
        <f t="shared" si="9"/>
        <v>0</v>
      </c>
      <c r="H36" s="389"/>
    </row>
    <row r="37" spans="1:9" ht="23.45" customHeight="1" outlineLevel="1" x14ac:dyDescent="0.2">
      <c r="A37" s="386" t="s">
        <v>377</v>
      </c>
      <c r="B37" s="197"/>
      <c r="C37" s="380">
        <v>4567152.1141680004</v>
      </c>
      <c r="D37" s="380"/>
      <c r="E37" s="391">
        <f>4199305.26-213749.52</f>
        <v>3985555.7399999998</v>
      </c>
      <c r="F37" s="387">
        <v>3985555.74</v>
      </c>
      <c r="G37" s="388">
        <f t="shared" si="9"/>
        <v>0</v>
      </c>
      <c r="H37" s="392">
        <v>213749.52</v>
      </c>
      <c r="I37" s="393" t="s">
        <v>449</v>
      </c>
    </row>
    <row r="38" spans="1:9" ht="23.45" customHeight="1" outlineLevel="1" x14ac:dyDescent="0.2">
      <c r="A38" s="386" t="s">
        <v>378</v>
      </c>
      <c r="B38" s="197"/>
      <c r="C38" s="380">
        <v>1094682.42</v>
      </c>
      <c r="D38" s="380"/>
      <c r="E38" s="380">
        <v>782407.19</v>
      </c>
      <c r="F38" s="387">
        <v>876089.76</v>
      </c>
      <c r="G38" s="388">
        <f t="shared" si="9"/>
        <v>-93682.570000000065</v>
      </c>
      <c r="H38" s="389"/>
    </row>
    <row r="39" spans="1:9" ht="23.45" customHeight="1" outlineLevel="1" x14ac:dyDescent="0.2">
      <c r="A39" s="386" t="s">
        <v>379</v>
      </c>
      <c r="B39" s="197"/>
      <c r="C39" s="380">
        <v>10672595.1</v>
      </c>
      <c r="D39" s="380"/>
      <c r="E39" s="380">
        <f>8432130.49</f>
        <v>8432130.4900000002</v>
      </c>
      <c r="F39" s="387">
        <v>8796131.0700000003</v>
      </c>
      <c r="G39" s="388">
        <f t="shared" si="9"/>
        <v>-364000.58000000007</v>
      </c>
      <c r="H39" s="389"/>
    </row>
    <row r="40" spans="1:9" ht="23.45" customHeight="1" outlineLevel="1" x14ac:dyDescent="0.2">
      <c r="A40" s="386" t="s">
        <v>380</v>
      </c>
      <c r="B40" s="197"/>
      <c r="C40" s="380">
        <v>39500.15</v>
      </c>
      <c r="D40" s="380"/>
      <c r="E40" s="380">
        <v>39500.15</v>
      </c>
      <c r="F40" s="387">
        <v>39500.15</v>
      </c>
      <c r="G40" s="388">
        <f t="shared" si="9"/>
        <v>0</v>
      </c>
      <c r="H40" s="389"/>
    </row>
    <row r="41" spans="1:9" ht="23.45" customHeight="1" outlineLevel="1" x14ac:dyDescent="0.2">
      <c r="A41" s="386" t="s">
        <v>381</v>
      </c>
      <c r="B41" s="197" t="s">
        <v>397</v>
      </c>
      <c r="C41" s="380">
        <v>119696.93</v>
      </c>
      <c r="D41" s="380"/>
      <c r="E41" s="380">
        <v>119696.93</v>
      </c>
      <c r="F41" s="387">
        <v>119696.93</v>
      </c>
      <c r="G41" s="388">
        <f t="shared" si="9"/>
        <v>0</v>
      </c>
      <c r="H41" s="389"/>
    </row>
    <row r="42" spans="1:9" ht="23.45" customHeight="1" outlineLevel="1" x14ac:dyDescent="0.2">
      <c r="A42" s="386" t="s">
        <v>382</v>
      </c>
      <c r="B42" s="197" t="s">
        <v>392</v>
      </c>
      <c r="C42" s="380">
        <v>466146.52</v>
      </c>
      <c r="D42" s="380"/>
      <c r="E42" s="380">
        <v>466146.45</v>
      </c>
      <c r="F42" s="387">
        <v>466146.45</v>
      </c>
      <c r="G42" s="388">
        <f t="shared" si="9"/>
        <v>0</v>
      </c>
      <c r="H42" s="389"/>
    </row>
    <row r="43" spans="1:9" ht="23.45" customHeight="1" outlineLevel="1" x14ac:dyDescent="0.2">
      <c r="A43" s="386" t="s">
        <v>403</v>
      </c>
      <c r="B43" s="197" t="s">
        <v>404</v>
      </c>
      <c r="C43" s="380">
        <v>4699.5</v>
      </c>
      <c r="D43" s="380"/>
      <c r="E43" s="380"/>
      <c r="F43" s="387"/>
      <c r="G43" s="388">
        <f t="shared" si="9"/>
        <v>0</v>
      </c>
      <c r="H43" s="389"/>
    </row>
    <row r="44" spans="1:9" ht="23.45" customHeight="1" outlineLevel="1" x14ac:dyDescent="0.2">
      <c r="A44" s="386" t="s">
        <v>383</v>
      </c>
      <c r="B44" s="197" t="s">
        <v>398</v>
      </c>
      <c r="C44" s="380">
        <v>40666.74</v>
      </c>
      <c r="D44" s="380"/>
      <c r="E44" s="380">
        <v>38205.86</v>
      </c>
      <c r="F44" s="387">
        <v>38205.86</v>
      </c>
      <c r="G44" s="388">
        <f t="shared" si="9"/>
        <v>0</v>
      </c>
      <c r="H44" s="389"/>
    </row>
    <row r="45" spans="1:9" ht="23.45" customHeight="1" outlineLevel="1" x14ac:dyDescent="0.2">
      <c r="A45" s="386" t="s">
        <v>384</v>
      </c>
      <c r="B45" s="197" t="s">
        <v>397</v>
      </c>
      <c r="C45" s="380">
        <v>2440898.75</v>
      </c>
      <c r="D45" s="380"/>
      <c r="E45" s="380">
        <v>2439621.9900000002</v>
      </c>
      <c r="F45" s="387">
        <v>2439621.9900000002</v>
      </c>
      <c r="G45" s="388">
        <f t="shared" si="9"/>
        <v>0</v>
      </c>
      <c r="H45" s="389"/>
    </row>
    <row r="46" spans="1:9" ht="23.45" customHeight="1" outlineLevel="1" x14ac:dyDescent="0.2">
      <c r="A46" s="386" t="s">
        <v>391</v>
      </c>
      <c r="B46" s="197" t="s">
        <v>412</v>
      </c>
      <c r="C46" s="380">
        <v>454219.84</v>
      </c>
      <c r="D46" s="380"/>
      <c r="E46" s="380">
        <v>287046.89</v>
      </c>
      <c r="F46" s="387">
        <f>239205.74+47841.15</f>
        <v>287046.89</v>
      </c>
      <c r="G46" s="388">
        <f t="shared" si="9"/>
        <v>0</v>
      </c>
      <c r="H46" s="389"/>
    </row>
    <row r="47" spans="1:9" ht="23.45" customHeight="1" outlineLevel="1" x14ac:dyDescent="0.2">
      <c r="A47" s="386" t="s">
        <v>411</v>
      </c>
      <c r="B47" s="197" t="s">
        <v>399</v>
      </c>
      <c r="C47" s="380">
        <v>1254925.9099999999</v>
      </c>
      <c r="D47" s="380"/>
      <c r="E47" s="380">
        <v>577431.06999999995</v>
      </c>
      <c r="F47" s="387">
        <v>577431.06999999995</v>
      </c>
      <c r="G47" s="388">
        <f t="shared" si="9"/>
        <v>0</v>
      </c>
      <c r="H47" s="389">
        <v>281761.03000000003</v>
      </c>
    </row>
    <row r="48" spans="1:9" ht="23.45" customHeight="1" outlineLevel="1" x14ac:dyDescent="0.2">
      <c r="A48" s="386" t="s">
        <v>421</v>
      </c>
      <c r="B48" s="197" t="s">
        <v>400</v>
      </c>
      <c r="C48" s="388">
        <v>113757.24</v>
      </c>
      <c r="D48" s="388"/>
      <c r="E48" s="380">
        <v>111924.89</v>
      </c>
      <c r="F48" s="387">
        <v>111924.89</v>
      </c>
      <c r="G48" s="388">
        <f t="shared" si="9"/>
        <v>0</v>
      </c>
      <c r="H48" s="389"/>
    </row>
    <row r="49" spans="1:8" ht="23.45" customHeight="1" outlineLevel="1" x14ac:dyDescent="0.2">
      <c r="A49" s="386"/>
      <c r="B49" s="197" t="s">
        <v>401</v>
      </c>
      <c r="C49" s="380"/>
      <c r="D49" s="380">
        <v>1112.2524000000001</v>
      </c>
      <c r="E49" s="380"/>
      <c r="F49" s="387"/>
      <c r="G49" s="388">
        <f t="shared" si="9"/>
        <v>0</v>
      </c>
      <c r="H49" s="389"/>
    </row>
    <row r="50" spans="1:8" ht="23.45" customHeight="1" outlineLevel="1" x14ac:dyDescent="0.2">
      <c r="A50" s="386" t="s">
        <v>438</v>
      </c>
      <c r="B50" s="197" t="s">
        <v>402</v>
      </c>
      <c r="C50" s="380">
        <v>152486.70000000001</v>
      </c>
      <c r="D50" s="380"/>
      <c r="E50" s="380">
        <v>152486.70000000001</v>
      </c>
      <c r="F50" s="387">
        <f>152486.7</f>
        <v>152486.70000000001</v>
      </c>
      <c r="G50" s="388">
        <f t="shared" si="9"/>
        <v>0</v>
      </c>
      <c r="H50" s="389"/>
    </row>
    <row r="51" spans="1:8" ht="12.95" customHeight="1" x14ac:dyDescent="0.2">
      <c r="A51" s="346" t="s">
        <v>5</v>
      </c>
      <c r="B51" s="347"/>
      <c r="C51" s="348">
        <f>C26</f>
        <v>51203561.621748812</v>
      </c>
      <c r="D51" s="348">
        <f t="shared" ref="D51:F51" si="10">D26</f>
        <v>1112.2524000000001</v>
      </c>
      <c r="E51" s="348">
        <f t="shared" si="10"/>
        <v>41689098.210000016</v>
      </c>
      <c r="F51" s="348">
        <f t="shared" si="10"/>
        <v>42327122.090000018</v>
      </c>
      <c r="G51" s="348">
        <f t="shared" si="9"/>
        <v>-638023.88000000268</v>
      </c>
      <c r="H51" s="348">
        <f t="shared" ref="H51" si="11">H26</f>
        <v>1702231.29</v>
      </c>
    </row>
    <row r="53" spans="1:8" ht="15" x14ac:dyDescent="0.2">
      <c r="A53" s="470" t="s">
        <v>385</v>
      </c>
      <c r="B53" s="470"/>
      <c r="C53" s="384">
        <f>C54</f>
        <v>37821919.648251414</v>
      </c>
      <c r="D53" s="384">
        <f t="shared" ref="D53:G53" si="12">D54</f>
        <v>0</v>
      </c>
      <c r="E53" s="384">
        <f t="shared" si="12"/>
        <v>0</v>
      </c>
      <c r="F53" s="384">
        <f t="shared" si="12"/>
        <v>10000000</v>
      </c>
      <c r="G53" s="384">
        <f t="shared" si="12"/>
        <v>-10000000</v>
      </c>
      <c r="H53" s="384">
        <f>H54</f>
        <v>0</v>
      </c>
    </row>
    <row r="54" spans="1:8" ht="12.95" customHeight="1" x14ac:dyDescent="0.2">
      <c r="A54" s="113"/>
      <c r="B54" s="343"/>
      <c r="C54" s="385">
        <f t="shared" ref="C54:H54" si="13">SUM(C55:C57)</f>
        <v>37821919.648251414</v>
      </c>
      <c r="D54" s="385">
        <f t="shared" si="13"/>
        <v>0</v>
      </c>
      <c r="E54" s="385">
        <f t="shared" si="13"/>
        <v>0</v>
      </c>
      <c r="F54" s="385">
        <f t="shared" si="13"/>
        <v>10000000</v>
      </c>
      <c r="G54" s="385">
        <f t="shared" si="13"/>
        <v>-10000000</v>
      </c>
      <c r="H54" s="385">
        <f t="shared" si="13"/>
        <v>0</v>
      </c>
    </row>
    <row r="55" spans="1:8" ht="12.75" outlineLevel="1" x14ac:dyDescent="0.2">
      <c r="A55" s="386" t="s">
        <v>445</v>
      </c>
      <c r="B55" s="197"/>
      <c r="C55" s="380">
        <v>36586417.648251414</v>
      </c>
      <c r="D55" s="380"/>
      <c r="E55" s="380"/>
      <c r="F55" s="387">
        <v>10000000</v>
      </c>
      <c r="G55" s="388">
        <f t="shared" ref="G55:G58" si="14">E55-F55</f>
        <v>-10000000</v>
      </c>
      <c r="H55" s="389"/>
    </row>
    <row r="56" spans="1:8" ht="22.5" outlineLevel="1" x14ac:dyDescent="0.2">
      <c r="A56" s="386" t="s">
        <v>444</v>
      </c>
      <c r="B56" s="197" t="s">
        <v>440</v>
      </c>
      <c r="C56" s="380">
        <v>1235502</v>
      </c>
      <c r="D56" s="380"/>
      <c r="E56" s="380"/>
      <c r="F56" s="387"/>
      <c r="G56" s="388">
        <f t="shared" si="14"/>
        <v>0</v>
      </c>
      <c r="H56" s="389"/>
    </row>
    <row r="57" spans="1:8" ht="12.75" outlineLevel="1" x14ac:dyDescent="0.2">
      <c r="A57" s="386"/>
      <c r="B57" s="197"/>
      <c r="C57" s="380"/>
      <c r="D57" s="380"/>
      <c r="E57" s="380"/>
      <c r="F57" s="387"/>
      <c r="G57" s="388">
        <f t="shared" si="14"/>
        <v>0</v>
      </c>
      <c r="H57" s="389"/>
    </row>
    <row r="58" spans="1:8" ht="12.95" customHeight="1" x14ac:dyDescent="0.2">
      <c r="A58" s="346" t="s">
        <v>5</v>
      </c>
      <c r="B58" s="347"/>
      <c r="C58" s="348">
        <f>C53</f>
        <v>37821919.648251414</v>
      </c>
      <c r="D58" s="348">
        <f>D53</f>
        <v>0</v>
      </c>
      <c r="E58" s="348">
        <f>E53</f>
        <v>0</v>
      </c>
      <c r="F58" s="348">
        <f>F53</f>
        <v>10000000</v>
      </c>
      <c r="G58" s="348">
        <f t="shared" si="14"/>
        <v>-10000000</v>
      </c>
      <c r="H58" s="348">
        <f t="shared" ref="H58" si="15">H53</f>
        <v>0</v>
      </c>
    </row>
    <row r="60" spans="1:8" ht="15" x14ac:dyDescent="0.2">
      <c r="A60" s="470" t="s">
        <v>387</v>
      </c>
      <c r="B60" s="470"/>
      <c r="C60" s="384">
        <f>C61</f>
        <v>10475226.394208746</v>
      </c>
      <c r="D60" s="384">
        <f t="shared" ref="D60:G60" si="16">D61</f>
        <v>0</v>
      </c>
      <c r="E60" s="384">
        <f t="shared" si="16"/>
        <v>8112092.29</v>
      </c>
      <c r="F60" s="384">
        <f t="shared" si="16"/>
        <v>8296169.29</v>
      </c>
      <c r="G60" s="384">
        <f t="shared" si="16"/>
        <v>-184077</v>
      </c>
      <c r="H60" s="384">
        <f>H61</f>
        <v>1487159</v>
      </c>
    </row>
    <row r="61" spans="1:8" x14ac:dyDescent="0.2">
      <c r="A61" s="113"/>
      <c r="B61" s="343"/>
      <c r="C61" s="385">
        <f t="shared" ref="C61:H61" si="17">SUM(C62:C64)</f>
        <v>10475226.394208746</v>
      </c>
      <c r="D61" s="385">
        <f t="shared" si="17"/>
        <v>0</v>
      </c>
      <c r="E61" s="385">
        <f t="shared" si="17"/>
        <v>8112092.29</v>
      </c>
      <c r="F61" s="385">
        <f t="shared" si="17"/>
        <v>8296169.29</v>
      </c>
      <c r="G61" s="385">
        <f t="shared" si="17"/>
        <v>-184077</v>
      </c>
      <c r="H61" s="385">
        <f t="shared" si="17"/>
        <v>1487159</v>
      </c>
    </row>
    <row r="62" spans="1:8" ht="12.75" outlineLevel="1" x14ac:dyDescent="0.2">
      <c r="A62" s="386" t="s">
        <v>388</v>
      </c>
      <c r="B62" s="197"/>
      <c r="C62" s="380">
        <v>10475226.394208746</v>
      </c>
      <c r="D62" s="380"/>
      <c r="E62" s="380">
        <v>8112092.29</v>
      </c>
      <c r="F62" s="387">
        <v>8296169.29</v>
      </c>
      <c r="G62" s="388">
        <f t="shared" ref="G62:G65" si="18">E62-F62</f>
        <v>-184077</v>
      </c>
      <c r="H62" s="389">
        <f>184077+1303082</f>
        <v>1487159</v>
      </c>
    </row>
    <row r="63" spans="1:8" ht="12.75" outlineLevel="1" x14ac:dyDescent="0.2">
      <c r="A63" s="386"/>
      <c r="B63" s="197"/>
      <c r="C63" s="380"/>
      <c r="D63" s="380"/>
      <c r="E63" s="380"/>
      <c r="F63" s="387"/>
      <c r="G63" s="388">
        <f t="shared" si="18"/>
        <v>0</v>
      </c>
      <c r="H63" s="389"/>
    </row>
    <row r="64" spans="1:8" ht="12.75" outlineLevel="1" x14ac:dyDescent="0.2">
      <c r="A64" s="386"/>
      <c r="B64" s="197"/>
      <c r="C64" s="380"/>
      <c r="D64" s="380"/>
      <c r="E64" s="380"/>
      <c r="F64" s="387"/>
      <c r="G64" s="388">
        <f t="shared" si="18"/>
        <v>0</v>
      </c>
      <c r="H64" s="389"/>
    </row>
    <row r="65" spans="1:10" ht="15" x14ac:dyDescent="0.2">
      <c r="A65" s="346" t="s">
        <v>5</v>
      </c>
      <c r="B65" s="347"/>
      <c r="C65" s="348">
        <f>C60</f>
        <v>10475226.394208746</v>
      </c>
      <c r="D65" s="348">
        <f>D60</f>
        <v>0</v>
      </c>
      <c r="E65" s="348">
        <f>E60</f>
        <v>8112092.29</v>
      </c>
      <c r="F65" s="348">
        <f>F60</f>
        <v>8296169.29</v>
      </c>
      <c r="G65" s="348">
        <f t="shared" si="18"/>
        <v>-184077</v>
      </c>
      <c r="H65" s="348">
        <f>H60</f>
        <v>1487159</v>
      </c>
    </row>
    <row r="67" spans="1:10" s="1" customFormat="1" ht="15" x14ac:dyDescent="0.2">
      <c r="A67" s="470" t="s">
        <v>389</v>
      </c>
      <c r="B67" s="470"/>
      <c r="C67" s="384">
        <f>C68</f>
        <v>0</v>
      </c>
      <c r="D67" s="384">
        <f t="shared" ref="D67:G67" si="19">D68</f>
        <v>0</v>
      </c>
      <c r="E67" s="384">
        <f t="shared" si="19"/>
        <v>19908162.640000001</v>
      </c>
      <c r="F67" s="384">
        <f t="shared" si="19"/>
        <v>19875180.77</v>
      </c>
      <c r="G67" s="384">
        <f t="shared" si="19"/>
        <v>32981.870000001043</v>
      </c>
      <c r="H67" s="384">
        <f>H68</f>
        <v>0</v>
      </c>
      <c r="J67" s="330"/>
    </row>
    <row r="68" spans="1:10" s="1" customFormat="1" x14ac:dyDescent="0.2">
      <c r="A68" s="113"/>
      <c r="B68" s="343"/>
      <c r="C68" s="385">
        <f t="shared" ref="C68:H68" si="20">SUM(C69:C72)</f>
        <v>0</v>
      </c>
      <c r="D68" s="385">
        <f t="shared" si="20"/>
        <v>0</v>
      </c>
      <c r="E68" s="385">
        <f t="shared" si="20"/>
        <v>19908162.640000001</v>
      </c>
      <c r="F68" s="385">
        <f t="shared" si="20"/>
        <v>19875180.77</v>
      </c>
      <c r="G68" s="385">
        <f t="shared" si="20"/>
        <v>32981.870000001043</v>
      </c>
      <c r="H68" s="385">
        <f t="shared" si="20"/>
        <v>0</v>
      </c>
      <c r="J68" s="330"/>
    </row>
    <row r="69" spans="1:10" s="1" customFormat="1" ht="12.75" outlineLevel="1" x14ac:dyDescent="0.2">
      <c r="A69" s="386" t="s">
        <v>361</v>
      </c>
      <c r="B69" s="197"/>
      <c r="C69" s="380"/>
      <c r="D69" s="380"/>
      <c r="E69" s="380">
        <v>7048121.5700000003</v>
      </c>
      <c r="F69" s="387">
        <v>6963208.6600000001</v>
      </c>
      <c r="G69" s="388">
        <f t="shared" ref="G69:G73" si="21">E69-F69</f>
        <v>84912.910000000149</v>
      </c>
      <c r="H69" s="389"/>
      <c r="J69" s="330"/>
    </row>
    <row r="70" spans="1:10" s="1" customFormat="1" ht="12.75" outlineLevel="1" x14ac:dyDescent="0.2">
      <c r="A70" s="386" t="s">
        <v>390</v>
      </c>
      <c r="B70" s="197"/>
      <c r="C70" s="380"/>
      <c r="D70" s="380"/>
      <c r="E70" s="380">
        <v>11930041.07</v>
      </c>
      <c r="F70" s="387">
        <v>11981972.109999999</v>
      </c>
      <c r="G70" s="388">
        <f t="shared" si="21"/>
        <v>-51931.039999999106</v>
      </c>
      <c r="H70" s="389"/>
      <c r="J70" s="330"/>
    </row>
    <row r="71" spans="1:10" s="1" customFormat="1" ht="14.45" customHeight="1" outlineLevel="1" x14ac:dyDescent="0.2">
      <c r="A71" s="386" t="s">
        <v>439</v>
      </c>
      <c r="B71" s="197"/>
      <c r="C71" s="380"/>
      <c r="D71" s="380"/>
      <c r="E71" s="380">
        <v>930000</v>
      </c>
      <c r="F71" s="387">
        <v>930000</v>
      </c>
      <c r="G71" s="388">
        <f t="shared" si="21"/>
        <v>0</v>
      </c>
      <c r="H71" s="389"/>
      <c r="J71" s="330"/>
    </row>
    <row r="72" spans="1:10" s="1" customFormat="1" ht="12.75" outlineLevel="1" x14ac:dyDescent="0.2">
      <c r="A72" s="386"/>
      <c r="B72" s="197"/>
      <c r="C72" s="380"/>
      <c r="D72" s="380"/>
      <c r="E72" s="380"/>
      <c r="F72" s="387"/>
      <c r="G72" s="388">
        <f t="shared" si="21"/>
        <v>0</v>
      </c>
      <c r="H72" s="389"/>
      <c r="J72" s="330"/>
    </row>
    <row r="73" spans="1:10" s="1" customFormat="1" ht="15" x14ac:dyDescent="0.2">
      <c r="A73" s="346" t="s">
        <v>5</v>
      </c>
      <c r="B73" s="347"/>
      <c r="C73" s="348">
        <f>C67</f>
        <v>0</v>
      </c>
      <c r="D73" s="348">
        <f t="shared" ref="D73:F73" si="22">D67</f>
        <v>0</v>
      </c>
      <c r="E73" s="348">
        <f t="shared" si="22"/>
        <v>19908162.640000001</v>
      </c>
      <c r="F73" s="348">
        <f t="shared" si="22"/>
        <v>19875180.77</v>
      </c>
      <c r="G73" s="348">
        <f t="shared" si="21"/>
        <v>32981.870000001043</v>
      </c>
      <c r="H73" s="348">
        <f t="shared" ref="H73" si="23">H67</f>
        <v>0</v>
      </c>
      <c r="J73" s="330"/>
    </row>
    <row r="77" spans="1:10" x14ac:dyDescent="0.2">
      <c r="B77" s="394"/>
    </row>
  </sheetData>
  <mergeCells count="10">
    <mergeCell ref="C4:C5"/>
    <mergeCell ref="D4:D5"/>
    <mergeCell ref="E4:G4"/>
    <mergeCell ref="A7:B7"/>
    <mergeCell ref="A16:B16"/>
    <mergeCell ref="A26:B26"/>
    <mergeCell ref="A53:B53"/>
    <mergeCell ref="A60:B60"/>
    <mergeCell ref="A67:B67"/>
    <mergeCell ref="B4:B5"/>
  </mergeCells>
  <pageMargins left="0.25" right="0.25" top="0.75" bottom="0.75" header="0.3" footer="0.3"/>
  <pageSetup paperSize="9" scale="42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1263-8053-4B11-A1C2-5E4248287903}">
  <dimension ref="A1:P147"/>
  <sheetViews>
    <sheetView tabSelected="1" topLeftCell="B4" zoomScaleNormal="100" workbookViewId="0">
      <pane ySplit="2" topLeftCell="A42" activePane="bottomLeft" state="frozen"/>
      <selection activeCell="A4" sqref="A4"/>
      <selection pane="bottomLeft" activeCell="K52" sqref="K52"/>
    </sheetView>
  </sheetViews>
  <sheetFormatPr defaultColWidth="10.1640625" defaultRowHeight="11.25" outlineLevelRow="1" x14ac:dyDescent="0.2"/>
  <cols>
    <col min="1" max="1" width="45" style="1" customWidth="1"/>
    <col min="2" max="2" width="48" style="1" customWidth="1"/>
    <col min="3" max="6" width="18.5" style="1" customWidth="1"/>
    <col min="7" max="7" width="20.33203125" style="1" customWidth="1"/>
    <col min="8" max="8" width="18.5" style="408" customWidth="1"/>
    <col min="9" max="11" width="18.5" style="1" customWidth="1"/>
    <col min="12" max="12" width="10.6640625" style="408" hidden="1" customWidth="1"/>
    <col min="13" max="13" width="13.83203125" style="408" hidden="1" customWidth="1"/>
    <col min="14" max="14" width="10.1640625" style="408"/>
    <col min="15" max="15" width="10.1640625" style="408" bestFit="1" customWidth="1"/>
    <col min="16" max="16" width="12.1640625" style="408" bestFit="1" customWidth="1"/>
    <col min="17" max="16384" width="10.1640625" style="408"/>
  </cols>
  <sheetData>
    <row r="1" spans="1:11" s="1" customFormat="1" ht="9.9499999999999993" hidden="1" customHeight="1" x14ac:dyDescent="0.2"/>
    <row r="2" spans="1:11" s="1" customFormat="1" ht="9.9499999999999993" hidden="1" customHeight="1" x14ac:dyDescent="0.2"/>
    <row r="3" spans="1:11" ht="34.5" hidden="1" customHeight="1" x14ac:dyDescent="0.25">
      <c r="A3" s="5"/>
      <c r="H3" s="1"/>
    </row>
    <row r="4" spans="1:11" ht="32.450000000000003" customHeight="1" x14ac:dyDescent="0.2">
      <c r="A4" s="429" t="s">
        <v>0</v>
      </c>
      <c r="B4" s="471" t="s">
        <v>13</v>
      </c>
      <c r="C4" s="471" t="s">
        <v>85</v>
      </c>
      <c r="D4" s="471" t="s">
        <v>6</v>
      </c>
      <c r="E4" s="471" t="s">
        <v>7</v>
      </c>
      <c r="F4" s="471"/>
      <c r="G4" s="471"/>
      <c r="H4" s="429" t="s">
        <v>8</v>
      </c>
      <c r="I4" s="473" t="s">
        <v>467</v>
      </c>
      <c r="J4" s="473" t="s">
        <v>468</v>
      </c>
      <c r="K4" s="473" t="s">
        <v>469</v>
      </c>
    </row>
    <row r="5" spans="1:11" ht="24" x14ac:dyDescent="0.2">
      <c r="A5" s="429" t="s">
        <v>1</v>
      </c>
      <c r="B5" s="471"/>
      <c r="C5" s="471"/>
      <c r="D5" s="471"/>
      <c r="E5" s="340" t="s">
        <v>3</v>
      </c>
      <c r="F5" s="340" t="s">
        <v>4</v>
      </c>
      <c r="G5" s="341" t="s">
        <v>463</v>
      </c>
      <c r="H5" s="340" t="s">
        <v>352</v>
      </c>
      <c r="I5" s="474"/>
      <c r="J5" s="474"/>
      <c r="K5" s="474"/>
    </row>
    <row r="6" spans="1:11" ht="12.95" customHeight="1" x14ac:dyDescent="0.2">
      <c r="A6" s="412"/>
      <c r="B6" s="412"/>
      <c r="C6" s="412"/>
      <c r="D6" s="412"/>
      <c r="E6" s="412"/>
      <c r="F6" s="412"/>
      <c r="G6" s="412"/>
      <c r="H6" s="412"/>
      <c r="I6" s="412"/>
      <c r="J6" s="412"/>
      <c r="K6" s="412"/>
    </row>
    <row r="7" spans="1:11" ht="15" x14ac:dyDescent="0.2">
      <c r="A7" s="470"/>
      <c r="B7" s="470"/>
      <c r="C7" s="342">
        <f>C8</f>
        <v>0</v>
      </c>
      <c r="D7" s="342">
        <f t="shared" ref="D7:I7" si="0">D8</f>
        <v>0</v>
      </c>
      <c r="E7" s="342">
        <f t="shared" si="0"/>
        <v>0</v>
      </c>
      <c r="F7" s="342">
        <f t="shared" si="0"/>
        <v>0</v>
      </c>
      <c r="G7" s="342">
        <f t="shared" si="0"/>
        <v>0</v>
      </c>
      <c r="H7" s="342">
        <f>H8</f>
        <v>0</v>
      </c>
      <c r="I7" s="342">
        <f t="shared" si="0"/>
        <v>0</v>
      </c>
      <c r="J7" s="342">
        <f>J8</f>
        <v>0</v>
      </c>
      <c r="K7" s="342">
        <f>K8</f>
        <v>0</v>
      </c>
    </row>
    <row r="8" spans="1:11" ht="12.75" customHeight="1" x14ac:dyDescent="0.2">
      <c r="A8" s="409"/>
      <c r="B8" s="414"/>
      <c r="C8" s="411">
        <f t="shared" ref="C8:K8" si="1">SUM(C9:C13)</f>
        <v>0</v>
      </c>
      <c r="D8" s="411">
        <f t="shared" si="1"/>
        <v>0</v>
      </c>
      <c r="E8" s="411">
        <f t="shared" si="1"/>
        <v>0</v>
      </c>
      <c r="F8" s="411">
        <f t="shared" si="1"/>
        <v>0</v>
      </c>
      <c r="G8" s="329">
        <f t="shared" si="1"/>
        <v>0</v>
      </c>
      <c r="H8" s="329">
        <f t="shared" si="1"/>
        <v>0</v>
      </c>
      <c r="I8" s="329">
        <f t="shared" si="1"/>
        <v>0</v>
      </c>
      <c r="J8" s="329">
        <f t="shared" si="1"/>
        <v>0</v>
      </c>
      <c r="K8" s="329">
        <f t="shared" si="1"/>
        <v>0</v>
      </c>
    </row>
    <row r="9" spans="1:11" hidden="1" outlineLevel="1" x14ac:dyDescent="0.2">
      <c r="A9" s="420"/>
      <c r="B9" s="420"/>
      <c r="C9" s="396"/>
      <c r="D9" s="427"/>
      <c r="E9" s="427"/>
      <c r="F9" s="397"/>
      <c r="G9" s="416">
        <f t="shared" ref="G9:G14" si="2">E9-F9</f>
        <v>0</v>
      </c>
      <c r="H9" s="398"/>
      <c r="I9" s="416"/>
      <c r="J9" s="416">
        <f>-1757371/6*0</f>
        <v>0</v>
      </c>
      <c r="K9" s="416">
        <f>G9+I9+J9+H9*0.8</f>
        <v>0</v>
      </c>
    </row>
    <row r="10" spans="1:11" ht="12.75" hidden="1" outlineLevel="1" x14ac:dyDescent="0.2">
      <c r="A10" s="415"/>
      <c r="B10" s="410"/>
      <c r="C10" s="427"/>
      <c r="D10" s="428"/>
      <c r="E10" s="427"/>
      <c r="F10" s="333"/>
      <c r="G10" s="345">
        <f t="shared" si="2"/>
        <v>0</v>
      </c>
      <c r="H10" s="413"/>
      <c r="I10" s="345"/>
      <c r="J10" s="345"/>
      <c r="K10" s="345"/>
    </row>
    <row r="11" spans="1:11" ht="12.75" hidden="1" outlineLevel="1" x14ac:dyDescent="0.2">
      <c r="A11" s="415"/>
      <c r="B11" s="410"/>
      <c r="C11" s="428"/>
      <c r="D11" s="428"/>
      <c r="E11" s="427"/>
      <c r="F11" s="333"/>
      <c r="G11" s="345">
        <f t="shared" si="2"/>
        <v>0</v>
      </c>
      <c r="H11" s="413"/>
      <c r="I11" s="345"/>
      <c r="J11" s="345"/>
      <c r="K11" s="345"/>
    </row>
    <row r="12" spans="1:11" ht="12.75" hidden="1" outlineLevel="1" x14ac:dyDescent="0.2">
      <c r="A12" s="415"/>
      <c r="B12" s="410"/>
      <c r="C12" s="428"/>
      <c r="D12" s="428"/>
      <c r="E12" s="427"/>
      <c r="F12" s="333"/>
      <c r="G12" s="345">
        <f t="shared" si="2"/>
        <v>0</v>
      </c>
      <c r="H12" s="413"/>
      <c r="I12" s="345"/>
      <c r="J12" s="345"/>
      <c r="K12" s="345"/>
    </row>
    <row r="13" spans="1:11" ht="12.75" hidden="1" outlineLevel="1" x14ac:dyDescent="0.2">
      <c r="A13" s="415"/>
      <c r="B13" s="410"/>
      <c r="C13" s="427"/>
      <c r="D13" s="428"/>
      <c r="E13" s="427"/>
      <c r="F13" s="333"/>
      <c r="G13" s="345">
        <f t="shared" si="2"/>
        <v>0</v>
      </c>
      <c r="H13" s="413"/>
      <c r="I13" s="345"/>
      <c r="J13" s="345"/>
      <c r="K13" s="345"/>
    </row>
    <row r="14" spans="1:11" ht="6.75" customHeight="1" collapsed="1" x14ac:dyDescent="0.2">
      <c r="A14" s="417" t="s">
        <v>5</v>
      </c>
      <c r="B14" s="418"/>
      <c r="C14" s="419">
        <f>C7</f>
        <v>0</v>
      </c>
      <c r="D14" s="419">
        <f>D7</f>
        <v>0</v>
      </c>
      <c r="E14" s="419">
        <f>E7</f>
        <v>0</v>
      </c>
      <c r="F14" s="419">
        <f>F7</f>
        <v>0</v>
      </c>
      <c r="G14" s="419">
        <f t="shared" si="2"/>
        <v>0</v>
      </c>
      <c r="H14" s="419">
        <f>H7</f>
        <v>0</v>
      </c>
      <c r="I14" s="419">
        <f t="shared" ref="I14:K14" si="3">I7</f>
        <v>0</v>
      </c>
      <c r="J14" s="419">
        <f t="shared" si="3"/>
        <v>0</v>
      </c>
      <c r="K14" s="419">
        <f t="shared" si="3"/>
        <v>0</v>
      </c>
    </row>
    <row r="15" spans="1:11" ht="12.75" hidden="1" customHeight="1" x14ac:dyDescent="0.2">
      <c r="A15" s="412"/>
      <c r="B15" s="412"/>
      <c r="C15" s="412"/>
      <c r="D15" s="412"/>
      <c r="E15" s="412"/>
      <c r="F15" s="412"/>
      <c r="G15" s="412"/>
      <c r="H15" s="412"/>
      <c r="I15" s="412"/>
      <c r="J15" s="412"/>
      <c r="K15" s="412"/>
    </row>
    <row r="16" spans="1:11" ht="15" x14ac:dyDescent="0.2">
      <c r="A16" s="470" t="s">
        <v>520</v>
      </c>
      <c r="B16" s="470"/>
      <c r="C16" s="342">
        <f>C17</f>
        <v>612720</v>
      </c>
      <c r="D16" s="342">
        <f t="shared" ref="D16:I16" si="4">D17</f>
        <v>0</v>
      </c>
      <c r="E16" s="342">
        <f t="shared" si="4"/>
        <v>740931.52</v>
      </c>
      <c r="F16" s="342">
        <f t="shared" si="4"/>
        <v>740931.52</v>
      </c>
      <c r="G16" s="342">
        <f t="shared" si="4"/>
        <v>0</v>
      </c>
      <c r="H16" s="342">
        <f>H17</f>
        <v>45000</v>
      </c>
      <c r="I16" s="342">
        <f t="shared" si="4"/>
        <v>0</v>
      </c>
      <c r="J16" s="342">
        <f>J17</f>
        <v>0</v>
      </c>
      <c r="K16" s="342">
        <f>K17</f>
        <v>45000</v>
      </c>
    </row>
    <row r="17" spans="1:14" ht="12.95" customHeight="1" x14ac:dyDescent="0.2">
      <c r="A17" s="409"/>
      <c r="B17" s="414"/>
      <c r="C17" s="411">
        <f t="shared" ref="C17:K17" si="5">SUM(C18:C22)</f>
        <v>612720</v>
      </c>
      <c r="D17" s="411">
        <f t="shared" si="5"/>
        <v>0</v>
      </c>
      <c r="E17" s="411">
        <f t="shared" si="5"/>
        <v>740931.52</v>
      </c>
      <c r="F17" s="411">
        <f t="shared" si="5"/>
        <v>740931.52</v>
      </c>
      <c r="G17" s="329">
        <f t="shared" si="5"/>
        <v>0</v>
      </c>
      <c r="H17" s="329">
        <f t="shared" si="5"/>
        <v>45000</v>
      </c>
      <c r="I17" s="329">
        <f t="shared" si="5"/>
        <v>0</v>
      </c>
      <c r="J17" s="329">
        <f t="shared" si="5"/>
        <v>0</v>
      </c>
      <c r="K17" s="329">
        <f t="shared" si="5"/>
        <v>45000</v>
      </c>
    </row>
    <row r="18" spans="1:14" outlineLevel="1" x14ac:dyDescent="0.2">
      <c r="A18" s="415" t="s">
        <v>517</v>
      </c>
      <c r="B18" s="420" t="s">
        <v>518</v>
      </c>
      <c r="C18" s="396">
        <f>17*33300</f>
        <v>566100</v>
      </c>
      <c r="D18" s="396"/>
      <c r="E18" s="427">
        <v>519480</v>
      </c>
      <c r="F18" s="423">
        <f>494247+25233</f>
        <v>519480</v>
      </c>
      <c r="G18" s="416">
        <f t="shared" ref="G18:G23" si="6">E18-F18</f>
        <v>0</v>
      </c>
      <c r="H18" s="333"/>
      <c r="I18" s="416"/>
      <c r="J18" s="416"/>
      <c r="K18" s="416">
        <f>G18+I18+J18+H18*0.8</f>
        <v>0</v>
      </c>
    </row>
    <row r="19" spans="1:14" ht="22.5" outlineLevel="1" x14ac:dyDescent="0.2">
      <c r="A19" s="415" t="s">
        <v>517</v>
      </c>
      <c r="B19" s="410" t="s">
        <v>519</v>
      </c>
      <c r="C19" s="427">
        <f>1.4*33300</f>
        <v>46620</v>
      </c>
      <c r="D19" s="427"/>
      <c r="E19" s="427">
        <v>56943</v>
      </c>
      <c r="F19" s="423">
        <v>56943</v>
      </c>
      <c r="G19" s="345">
        <f t="shared" si="6"/>
        <v>0</v>
      </c>
      <c r="H19" s="333"/>
      <c r="I19" s="416"/>
      <c r="J19" s="345"/>
      <c r="K19" s="416">
        <f t="shared" ref="K19:K20" si="7">G19+I19+J19+H19*0.8</f>
        <v>0</v>
      </c>
    </row>
    <row r="20" spans="1:14" ht="24" outlineLevel="1" x14ac:dyDescent="0.2">
      <c r="A20" s="415" t="s">
        <v>526</v>
      </c>
      <c r="B20" s="424" t="s">
        <v>525</v>
      </c>
      <c r="C20" s="425" t="s">
        <v>527</v>
      </c>
      <c r="D20" s="428"/>
      <c r="E20" s="427">
        <v>164508.51999999999</v>
      </c>
      <c r="F20" s="333">
        <v>164508.51999999999</v>
      </c>
      <c r="G20" s="345">
        <f t="shared" si="6"/>
        <v>0</v>
      </c>
      <c r="H20" s="398"/>
      <c r="I20" s="345"/>
      <c r="J20" s="345"/>
      <c r="K20" s="416">
        <f t="shared" si="7"/>
        <v>0</v>
      </c>
    </row>
    <row r="21" spans="1:14" ht="12.75" outlineLevel="1" x14ac:dyDescent="0.2">
      <c r="A21" s="415"/>
      <c r="B21" s="410" t="s">
        <v>543</v>
      </c>
      <c r="C21" s="428"/>
      <c r="D21" s="428"/>
      <c r="E21" s="427"/>
      <c r="F21" s="333"/>
      <c r="G21" s="345">
        <f t="shared" si="6"/>
        <v>0</v>
      </c>
      <c r="H21" s="413">
        <v>45000</v>
      </c>
      <c r="I21" s="345"/>
      <c r="J21" s="345"/>
      <c r="K21" s="416">
        <f>G21+I21+J21+H21</f>
        <v>45000</v>
      </c>
    </row>
    <row r="22" spans="1:14" ht="12.75" outlineLevel="1" x14ac:dyDescent="0.2">
      <c r="A22" s="415"/>
      <c r="B22" s="410"/>
      <c r="C22" s="427"/>
      <c r="D22" s="428"/>
      <c r="E22" s="427"/>
      <c r="F22" s="333"/>
      <c r="G22" s="345">
        <f t="shared" si="6"/>
        <v>0</v>
      </c>
      <c r="H22" s="413"/>
      <c r="I22" s="345"/>
      <c r="J22" s="345"/>
      <c r="K22" s="345"/>
    </row>
    <row r="23" spans="1:14" ht="12.95" customHeight="1" x14ac:dyDescent="0.2">
      <c r="A23" s="417" t="s">
        <v>5</v>
      </c>
      <c r="B23" s="418"/>
      <c r="C23" s="419">
        <f>C16</f>
        <v>612720</v>
      </c>
      <c r="D23" s="419">
        <f>D16</f>
        <v>0</v>
      </c>
      <c r="E23" s="419">
        <f>E16</f>
        <v>740931.52</v>
      </c>
      <c r="F23" s="419">
        <f>F16</f>
        <v>740931.52</v>
      </c>
      <c r="G23" s="419">
        <f t="shared" si="6"/>
        <v>0</v>
      </c>
      <c r="H23" s="419">
        <f>H16</f>
        <v>45000</v>
      </c>
      <c r="I23" s="419">
        <f t="shared" ref="I23:K23" si="8">I16</f>
        <v>0</v>
      </c>
      <c r="J23" s="419">
        <f t="shared" si="8"/>
        <v>0</v>
      </c>
      <c r="K23" s="419">
        <f t="shared" si="8"/>
        <v>45000</v>
      </c>
    </row>
    <row r="24" spans="1:14" ht="12.95" customHeight="1" x14ac:dyDescent="0.2">
      <c r="A24" s="412"/>
      <c r="B24" s="412"/>
      <c r="C24" s="412"/>
      <c r="D24" s="412"/>
      <c r="E24" s="412"/>
      <c r="F24" s="412"/>
      <c r="G24" s="412"/>
      <c r="H24" s="412"/>
      <c r="I24" s="412"/>
      <c r="J24" s="412"/>
      <c r="K24" s="412"/>
    </row>
    <row r="25" spans="1:14" ht="15" x14ac:dyDescent="0.2">
      <c r="A25" s="470" t="s">
        <v>367</v>
      </c>
      <c r="B25" s="470"/>
      <c r="C25" s="342">
        <f>C26</f>
        <v>10300518.6</v>
      </c>
      <c r="D25" s="342">
        <f t="shared" ref="D25:I25" si="9">D26</f>
        <v>0</v>
      </c>
      <c r="E25" s="342">
        <f t="shared" si="9"/>
        <v>8103012.5999999996</v>
      </c>
      <c r="F25" s="342">
        <f t="shared" si="9"/>
        <v>8238652.7199999997</v>
      </c>
      <c r="G25" s="342">
        <f t="shared" si="9"/>
        <v>-135640.11999999994</v>
      </c>
      <c r="H25" s="342">
        <f t="shared" si="9"/>
        <v>172231.50000000003</v>
      </c>
      <c r="I25" s="342">
        <f t="shared" si="9"/>
        <v>0</v>
      </c>
      <c r="J25" s="342">
        <f>J26</f>
        <v>0</v>
      </c>
      <c r="K25" s="342">
        <f>K26</f>
        <v>32005.120000000079</v>
      </c>
    </row>
    <row r="26" spans="1:14" ht="12.95" customHeight="1" x14ac:dyDescent="0.2">
      <c r="A26" s="349" t="s">
        <v>363</v>
      </c>
      <c r="B26" s="414"/>
      <c r="C26" s="329">
        <f t="shared" ref="C26:K26" si="10">SUM(C27:C47)</f>
        <v>10300518.6</v>
      </c>
      <c r="D26" s="329">
        <f t="shared" si="10"/>
        <v>0</v>
      </c>
      <c r="E26" s="329">
        <f t="shared" si="10"/>
        <v>8103012.5999999996</v>
      </c>
      <c r="F26" s="329">
        <f t="shared" si="10"/>
        <v>8238652.7199999997</v>
      </c>
      <c r="G26" s="329">
        <f t="shared" si="10"/>
        <v>-135640.11999999994</v>
      </c>
      <c r="H26" s="329">
        <f t="shared" si="10"/>
        <v>172231.50000000003</v>
      </c>
      <c r="I26" s="329">
        <f t="shared" si="10"/>
        <v>0</v>
      </c>
      <c r="J26" s="329">
        <f t="shared" si="10"/>
        <v>0</v>
      </c>
      <c r="K26" s="329">
        <f t="shared" si="10"/>
        <v>32005.120000000079</v>
      </c>
    </row>
    <row r="27" spans="1:14" ht="27.6" customHeight="1" outlineLevel="1" x14ac:dyDescent="0.2">
      <c r="A27" s="403" t="s">
        <v>453</v>
      </c>
      <c r="B27" s="420" t="s">
        <v>460</v>
      </c>
      <c r="C27" s="416">
        <v>2057237</v>
      </c>
      <c r="D27" s="416"/>
      <c r="E27" s="416">
        <f>62049.4+617171.1+744559.9+512187.2+1085.7</f>
        <v>1937053.2999999998</v>
      </c>
      <c r="F27" s="395">
        <f>617171.1+127380+180000+220000+62049.4+349180.21+380186.89+868.56+217.14</f>
        <v>1937053.3</v>
      </c>
      <c r="G27" s="416">
        <f t="shared" ref="G27:G40" si="11">E27-F27</f>
        <v>0</v>
      </c>
      <c r="H27" s="398"/>
      <c r="I27" s="416"/>
      <c r="J27" s="416"/>
      <c r="K27" s="416">
        <f>G27+I27+J27+H27*0.8</f>
        <v>0</v>
      </c>
    </row>
    <row r="28" spans="1:14" ht="64.900000000000006" customHeight="1" outlineLevel="1" x14ac:dyDescent="0.2">
      <c r="A28" s="403" t="s">
        <v>454</v>
      </c>
      <c r="B28" s="405" t="s">
        <v>470</v>
      </c>
      <c r="C28" s="416">
        <f>122059+118860+656026</f>
        <v>896945</v>
      </c>
      <c r="D28" s="416"/>
      <c r="E28" s="416">
        <f>100345+218456+100750+110544</f>
        <v>530095</v>
      </c>
      <c r="F28" s="395">
        <f>33558+26231.5+36617.7+196807.8+218456+18424</f>
        <v>530095</v>
      </c>
      <c r="G28" s="416">
        <f>E28-F28</f>
        <v>0</v>
      </c>
      <c r="H28" s="398"/>
      <c r="I28" s="416"/>
      <c r="J28" s="416"/>
      <c r="K28" s="416">
        <f t="shared" ref="K28:K31" si="12">G28+I28+J28+H28*0.8</f>
        <v>0</v>
      </c>
    </row>
    <row r="29" spans="1:14" ht="22.5" outlineLevel="1" x14ac:dyDescent="0.2">
      <c r="A29" s="403" t="s">
        <v>455</v>
      </c>
      <c r="B29" s="420" t="s">
        <v>459</v>
      </c>
      <c r="C29" s="416">
        <v>1328173</v>
      </c>
      <c r="D29" s="416"/>
      <c r="E29" s="416">
        <f>373415+488894+141470+75670</f>
        <v>1079449</v>
      </c>
      <c r="F29" s="416">
        <f>398451.9+166071+170000+127786.1+141470+75670</f>
        <v>1079449</v>
      </c>
      <c r="G29" s="416">
        <f>E29-F29</f>
        <v>0</v>
      </c>
      <c r="H29" s="416"/>
      <c r="I29" s="416"/>
      <c r="J29" s="416"/>
      <c r="K29" s="416">
        <f t="shared" si="12"/>
        <v>0</v>
      </c>
    </row>
    <row r="30" spans="1:14" outlineLevel="1" x14ac:dyDescent="0.2">
      <c r="A30" s="403" t="s">
        <v>456</v>
      </c>
      <c r="B30" s="420" t="s">
        <v>458</v>
      </c>
      <c r="C30" s="416">
        <v>139500</v>
      </c>
      <c r="D30" s="416"/>
      <c r="E30" s="416">
        <v>139500</v>
      </c>
      <c r="F30" s="416">
        <f>47549.51+21953.8+69996.69</f>
        <v>139500</v>
      </c>
      <c r="G30" s="416">
        <f>E30-F30</f>
        <v>0</v>
      </c>
      <c r="H30" s="416"/>
      <c r="I30" s="416"/>
      <c r="J30" s="416"/>
      <c r="K30" s="416">
        <f>G30+I30+J30+H30*0.8</f>
        <v>0</v>
      </c>
    </row>
    <row r="31" spans="1:14" ht="20.45" customHeight="1" outlineLevel="1" x14ac:dyDescent="0.2">
      <c r="A31" s="403" t="s">
        <v>457</v>
      </c>
      <c r="B31" s="420" t="s">
        <v>471</v>
      </c>
      <c r="C31" s="416">
        <f>990000+914500+108607.5</f>
        <v>2013107.5</v>
      </c>
      <c r="D31" s="416"/>
      <c r="E31" s="416">
        <f>(13320+137250+112500+20250+290250)+(220275+308700+192795+80640+5085)+(106200)+215100+20475+106125+4860</f>
        <v>1833825</v>
      </c>
      <c r="F31" s="416">
        <f>(990000*30%+20250+290250)+(914500*30%+13320+308700+220275)+(108607.5*30%)+30537.75+215100+20475+88788+22197</f>
        <v>1833825</v>
      </c>
      <c r="G31" s="416">
        <f>E31-F31</f>
        <v>0</v>
      </c>
      <c r="H31" s="416"/>
      <c r="I31" s="416"/>
      <c r="J31" s="416"/>
      <c r="K31" s="416">
        <f t="shared" si="12"/>
        <v>0</v>
      </c>
    </row>
    <row r="32" spans="1:14" ht="22.5" outlineLevel="1" x14ac:dyDescent="0.2">
      <c r="A32" s="403" t="s">
        <v>462</v>
      </c>
      <c r="B32" s="404" t="s">
        <v>461</v>
      </c>
      <c r="C32" s="416">
        <v>618030</v>
      </c>
      <c r="D32" s="416"/>
      <c r="E32" s="416">
        <f>345870+144450+30780+127170+197964+10692</f>
        <v>856926</v>
      </c>
      <c r="F32" s="416">
        <f>345870+144450+30780+127170+197964+10692</f>
        <v>856926</v>
      </c>
      <c r="G32" s="427">
        <f t="shared" si="11"/>
        <v>0</v>
      </c>
      <c r="H32" s="391">
        <v>14443.1</v>
      </c>
      <c r="I32" s="416"/>
      <c r="J32" s="416"/>
      <c r="K32" s="416">
        <f>G32+I32+J32+H32*0.8</f>
        <v>11554.480000000001</v>
      </c>
      <c r="L32" s="13">
        <f>G32</f>
        <v>0</v>
      </c>
      <c r="N32" s="13"/>
    </row>
    <row r="33" spans="1:16" ht="69" customHeight="1" outlineLevel="1" x14ac:dyDescent="0.2">
      <c r="A33" s="403" t="s">
        <v>464</v>
      </c>
      <c r="B33" s="404" t="s">
        <v>472</v>
      </c>
      <c r="C33" s="416">
        <f>414540+149859.5+260239</f>
        <v>824638.5</v>
      </c>
      <c r="D33" s="416"/>
      <c r="E33" s="416">
        <f>427700+147392+221088</f>
        <v>796180</v>
      </c>
      <c r="F33" s="416">
        <f>C33*30%+180308.45+147392+176870.4+44217.6</f>
        <v>796180</v>
      </c>
      <c r="G33" s="416">
        <f t="shared" si="11"/>
        <v>0</v>
      </c>
      <c r="H33" s="416"/>
      <c r="I33" s="416"/>
      <c r="J33" s="416"/>
      <c r="K33" s="416">
        <f>G33+I33+J33+H33*0.8</f>
        <v>0</v>
      </c>
      <c r="L33" s="13">
        <f>K33</f>
        <v>0</v>
      </c>
    </row>
    <row r="34" spans="1:16" ht="63.6" customHeight="1" outlineLevel="1" x14ac:dyDescent="0.2">
      <c r="A34" s="403" t="s">
        <v>466</v>
      </c>
      <c r="B34" s="420" t="s">
        <v>473</v>
      </c>
      <c r="C34" s="416">
        <f>1518664+408157.4</f>
        <v>1926821.4</v>
      </c>
      <c r="D34" s="345"/>
      <c r="E34" s="416">
        <f>381640+60766.3</f>
        <v>442406.3</v>
      </c>
      <c r="F34" s="333">
        <f>C34*30%</f>
        <v>578046.41999999993</v>
      </c>
      <c r="G34" s="345">
        <f t="shared" si="11"/>
        <v>-135640.11999999994</v>
      </c>
      <c r="H34" s="426">
        <f>210066.5-60766.3</f>
        <v>149300.20000000001</v>
      </c>
      <c r="I34" s="416"/>
      <c r="J34" s="416"/>
      <c r="K34" s="416">
        <f>G34+I34+J34+H34</f>
        <v>13660.080000000075</v>
      </c>
      <c r="N34" s="13"/>
    </row>
    <row r="35" spans="1:16" ht="13.15" customHeight="1" outlineLevel="1" x14ac:dyDescent="0.2">
      <c r="A35" s="422" t="s">
        <v>515</v>
      </c>
      <c r="B35" s="421" t="s">
        <v>509</v>
      </c>
      <c r="C35" s="345">
        <f>0.962*32900</f>
        <v>31649.8</v>
      </c>
      <c r="D35" s="345"/>
      <c r="E35" s="416"/>
      <c r="F35" s="333"/>
      <c r="G35" s="345">
        <f t="shared" si="11"/>
        <v>0</v>
      </c>
      <c r="H35" s="413"/>
      <c r="I35" s="345"/>
      <c r="J35" s="416">
        <f t="shared" ref="J35" si="13">-G35/6</f>
        <v>0</v>
      </c>
      <c r="K35" s="416">
        <f>G35+I35+J35+H35*0.8</f>
        <v>0</v>
      </c>
    </row>
    <row r="36" spans="1:16" ht="13.15" customHeight="1" outlineLevel="1" x14ac:dyDescent="0.2">
      <c r="A36" s="422" t="s">
        <v>515</v>
      </c>
      <c r="B36" s="421" t="s">
        <v>510</v>
      </c>
      <c r="C36" s="345">
        <f>3.631*32900</f>
        <v>119459.9</v>
      </c>
      <c r="D36" s="345"/>
      <c r="E36" s="416">
        <v>116137</v>
      </c>
      <c r="F36" s="333">
        <v>116137</v>
      </c>
      <c r="G36" s="345">
        <f t="shared" si="11"/>
        <v>0</v>
      </c>
      <c r="H36" s="413"/>
      <c r="I36" s="345"/>
      <c r="J36" s="416"/>
      <c r="K36" s="416">
        <f t="shared" ref="K36:K41" si="14">G36+I36+J36+H36*0.8</f>
        <v>0</v>
      </c>
    </row>
    <row r="37" spans="1:16" ht="13.15" customHeight="1" outlineLevel="1" x14ac:dyDescent="0.2">
      <c r="A37" s="422" t="s">
        <v>515</v>
      </c>
      <c r="B37" s="421" t="s">
        <v>511</v>
      </c>
      <c r="C37" s="345">
        <f>6.193*32900</f>
        <v>203749.69999999998</v>
      </c>
      <c r="D37" s="345"/>
      <c r="E37" s="416">
        <v>270767</v>
      </c>
      <c r="F37" s="333">
        <v>270767</v>
      </c>
      <c r="G37" s="345">
        <f t="shared" si="11"/>
        <v>0</v>
      </c>
      <c r="H37" s="413"/>
      <c r="I37" s="345"/>
      <c r="J37" s="416"/>
      <c r="K37" s="416">
        <f t="shared" si="14"/>
        <v>0</v>
      </c>
      <c r="L37" s="13">
        <f>K37</f>
        <v>0</v>
      </c>
    </row>
    <row r="38" spans="1:16" ht="13.15" customHeight="1" outlineLevel="1" x14ac:dyDescent="0.2">
      <c r="A38" s="422" t="s">
        <v>515</v>
      </c>
      <c r="B38" s="421" t="s">
        <v>512</v>
      </c>
      <c r="C38" s="345">
        <f>1.911*32900</f>
        <v>62871.9</v>
      </c>
      <c r="D38" s="345"/>
      <c r="E38" s="416">
        <v>59055.5</v>
      </c>
      <c r="F38" s="333">
        <f>9182.39+49873.11</f>
        <v>59055.5</v>
      </c>
      <c r="G38" s="345">
        <f t="shared" si="11"/>
        <v>0</v>
      </c>
      <c r="H38" s="413"/>
      <c r="I38" s="345"/>
      <c r="J38" s="416"/>
      <c r="K38" s="416">
        <f t="shared" si="14"/>
        <v>0</v>
      </c>
      <c r="L38" s="13">
        <f>K38</f>
        <v>0</v>
      </c>
    </row>
    <row r="39" spans="1:16" ht="13.15" customHeight="1" outlineLevel="1" x14ac:dyDescent="0.2">
      <c r="A39" s="422" t="s">
        <v>516</v>
      </c>
      <c r="B39" s="421" t="s">
        <v>513</v>
      </c>
      <c r="C39" s="345">
        <f>0.748*32900</f>
        <v>24609.200000000001</v>
      </c>
      <c r="D39" s="345"/>
      <c r="E39" s="416"/>
      <c r="F39" s="333"/>
      <c r="G39" s="345">
        <f t="shared" si="11"/>
        <v>0</v>
      </c>
      <c r="H39" s="413">
        <v>8488.2000000000007</v>
      </c>
      <c r="I39" s="345"/>
      <c r="J39" s="345"/>
      <c r="K39" s="416">
        <f t="shared" si="14"/>
        <v>6790.5600000000013</v>
      </c>
      <c r="N39" s="13"/>
    </row>
    <row r="40" spans="1:16" ht="13.15" customHeight="1" outlineLevel="1" x14ac:dyDescent="0.2">
      <c r="A40" s="422" t="s">
        <v>516</v>
      </c>
      <c r="B40" s="421" t="s">
        <v>514</v>
      </c>
      <c r="C40" s="345">
        <f>1.633*32900</f>
        <v>53725.7</v>
      </c>
      <c r="D40" s="345"/>
      <c r="E40" s="416">
        <v>41618.5</v>
      </c>
      <c r="F40" s="333">
        <f>23500.47+14494.42+3623.61</f>
        <v>41618.5</v>
      </c>
      <c r="G40" s="345">
        <f t="shared" si="11"/>
        <v>0</v>
      </c>
      <c r="H40" s="413"/>
      <c r="I40" s="345"/>
      <c r="J40" s="345"/>
      <c r="K40" s="416">
        <f t="shared" si="14"/>
        <v>0</v>
      </c>
    </row>
    <row r="41" spans="1:16" ht="13.15" customHeight="1" outlineLevel="1" x14ac:dyDescent="0.2">
      <c r="A41" s="403"/>
      <c r="B41" s="420"/>
      <c r="C41" s="416"/>
      <c r="D41" s="345"/>
      <c r="E41" s="416"/>
      <c r="F41" s="333"/>
      <c r="G41" s="345"/>
      <c r="H41" s="413"/>
      <c r="I41" s="345"/>
      <c r="J41" s="345"/>
      <c r="K41" s="416">
        <f t="shared" si="14"/>
        <v>0</v>
      </c>
    </row>
    <row r="42" spans="1:16" ht="13.15" customHeight="1" outlineLevel="1" x14ac:dyDescent="0.2">
      <c r="A42" s="403"/>
      <c r="B42" s="420"/>
      <c r="C42" s="416"/>
      <c r="D42" s="345"/>
      <c r="E42" s="416"/>
      <c r="F42" s="333"/>
      <c r="G42" s="345"/>
      <c r="H42" s="413"/>
      <c r="I42" s="345"/>
      <c r="J42" s="345"/>
      <c r="K42" s="345"/>
      <c r="P42" s="17"/>
    </row>
    <row r="43" spans="1:16" ht="13.15" customHeight="1" outlineLevel="1" x14ac:dyDescent="0.2">
      <c r="A43" s="403"/>
      <c r="B43" s="420"/>
      <c r="C43" s="416"/>
      <c r="D43" s="345"/>
      <c r="E43" s="416"/>
      <c r="F43" s="333"/>
      <c r="G43" s="345"/>
      <c r="H43" s="413"/>
      <c r="I43" s="345"/>
      <c r="J43" s="345"/>
      <c r="K43" s="345"/>
      <c r="P43" s="17"/>
    </row>
    <row r="44" spans="1:16" ht="13.15" customHeight="1" outlineLevel="1" x14ac:dyDescent="0.2">
      <c r="A44" s="403"/>
      <c r="B44" s="420"/>
      <c r="C44" s="416"/>
      <c r="D44" s="345"/>
      <c r="E44" s="416"/>
      <c r="F44" s="333"/>
      <c r="G44" s="345"/>
      <c r="H44" s="413"/>
      <c r="I44" s="345"/>
      <c r="J44" s="345"/>
      <c r="K44" s="345"/>
      <c r="P44" s="17"/>
    </row>
    <row r="45" spans="1:16" ht="13.15" customHeight="1" outlineLevel="1" x14ac:dyDescent="0.2">
      <c r="A45" s="403"/>
      <c r="B45" s="420"/>
      <c r="C45" s="416"/>
      <c r="D45" s="345"/>
      <c r="E45" s="416"/>
      <c r="F45" s="333"/>
      <c r="G45" s="345"/>
      <c r="H45" s="413"/>
      <c r="I45" s="345"/>
      <c r="J45" s="345"/>
      <c r="K45" s="345"/>
      <c r="P45" s="17"/>
    </row>
    <row r="46" spans="1:16" ht="13.15" customHeight="1" outlineLevel="1" x14ac:dyDescent="0.2">
      <c r="A46" s="403"/>
      <c r="B46" s="420"/>
      <c r="C46" s="416"/>
      <c r="D46" s="345"/>
      <c r="E46" s="416"/>
      <c r="F46" s="333"/>
      <c r="G46" s="345"/>
      <c r="H46" s="413"/>
      <c r="I46" s="345"/>
      <c r="J46" s="345"/>
      <c r="K46" s="345"/>
      <c r="P46" s="17"/>
    </row>
    <row r="47" spans="1:16" ht="12.75" outlineLevel="1" x14ac:dyDescent="0.2">
      <c r="A47" s="403"/>
      <c r="B47" s="404"/>
      <c r="C47" s="416"/>
      <c r="D47" s="345"/>
      <c r="E47" s="416"/>
      <c r="F47" s="333"/>
      <c r="G47" s="345"/>
      <c r="H47" s="413"/>
      <c r="I47" s="345"/>
      <c r="J47" s="345"/>
      <c r="K47" s="345"/>
      <c r="P47" s="17"/>
    </row>
    <row r="48" spans="1:16" ht="12.95" customHeight="1" outlineLevel="1" x14ac:dyDescent="0.2">
      <c r="A48" s="417" t="s">
        <v>5</v>
      </c>
      <c r="B48" s="418"/>
      <c r="C48" s="419">
        <f t="shared" ref="C48:K48" si="15">C25</f>
        <v>10300518.6</v>
      </c>
      <c r="D48" s="419">
        <f t="shared" si="15"/>
        <v>0</v>
      </c>
      <c r="E48" s="419">
        <f t="shared" si="15"/>
        <v>8103012.5999999996</v>
      </c>
      <c r="F48" s="419">
        <f t="shared" si="15"/>
        <v>8238652.7199999997</v>
      </c>
      <c r="G48" s="419">
        <f t="shared" si="15"/>
        <v>-135640.11999999994</v>
      </c>
      <c r="H48" s="419">
        <f t="shared" si="15"/>
        <v>172231.50000000003</v>
      </c>
      <c r="I48" s="419">
        <f t="shared" si="15"/>
        <v>0</v>
      </c>
      <c r="J48" s="419">
        <f t="shared" si="15"/>
        <v>0</v>
      </c>
      <c r="K48" s="419">
        <f t="shared" si="15"/>
        <v>32005.120000000079</v>
      </c>
      <c r="P48" s="17"/>
    </row>
    <row r="49" spans="1:16" ht="12.95" customHeight="1" x14ac:dyDescent="0.2">
      <c r="A49" s="470" t="s">
        <v>532</v>
      </c>
      <c r="B49" s="470"/>
      <c r="C49" s="342">
        <f t="shared" ref="C49:K49" si="16">C50</f>
        <v>7961800</v>
      </c>
      <c r="D49" s="342">
        <f t="shared" si="16"/>
        <v>0</v>
      </c>
      <c r="E49" s="342">
        <f t="shared" si="16"/>
        <v>4713575</v>
      </c>
      <c r="F49" s="342">
        <f t="shared" si="16"/>
        <v>4823281.25</v>
      </c>
      <c r="G49" s="342">
        <f t="shared" si="16"/>
        <v>-109706.25</v>
      </c>
      <c r="H49" s="342">
        <f t="shared" si="16"/>
        <v>1481816</v>
      </c>
      <c r="I49" s="342">
        <f t="shared" si="16"/>
        <v>0</v>
      </c>
      <c r="J49" s="342">
        <f t="shared" si="16"/>
        <v>-246969.33333333334</v>
      </c>
      <c r="K49" s="342">
        <f t="shared" si="16"/>
        <v>1390101.7666666666</v>
      </c>
      <c r="P49" s="17"/>
    </row>
    <row r="50" spans="1:16" ht="12.95" customHeight="1" x14ac:dyDescent="0.2">
      <c r="A50" s="409"/>
      <c r="B50" s="414"/>
      <c r="C50" s="329">
        <f t="shared" ref="C50:K50" si="17">SUM(C51)</f>
        <v>7961800</v>
      </c>
      <c r="D50" s="329">
        <f t="shared" si="17"/>
        <v>0</v>
      </c>
      <c r="E50" s="329">
        <f t="shared" si="17"/>
        <v>4713575</v>
      </c>
      <c r="F50" s="329">
        <f t="shared" si="17"/>
        <v>4823281.25</v>
      </c>
      <c r="G50" s="329">
        <f t="shared" si="17"/>
        <v>-109706.25</v>
      </c>
      <c r="H50" s="411">
        <f t="shared" si="17"/>
        <v>1481816</v>
      </c>
      <c r="I50" s="329">
        <f t="shared" si="17"/>
        <v>0</v>
      </c>
      <c r="J50" s="329">
        <f t="shared" si="17"/>
        <v>-246969.33333333334</v>
      </c>
      <c r="K50" s="329">
        <f t="shared" si="17"/>
        <v>1390101.7666666666</v>
      </c>
      <c r="P50" s="17"/>
    </row>
    <row r="51" spans="1:16" ht="12.95" customHeight="1" x14ac:dyDescent="0.2">
      <c r="A51" s="415" t="s">
        <v>531</v>
      </c>
      <c r="B51" s="410"/>
      <c r="C51" s="416">
        <v>7961800</v>
      </c>
      <c r="D51" s="345"/>
      <c r="E51" s="416">
        <f>1162678+682675+685307+622468+523439+444150+592858</f>
        <v>4713575</v>
      </c>
      <c r="F51" s="395">
        <f>1194270+420593.6+567682.7+1691882.5+444923.15+503929.3</f>
        <v>4823281.25</v>
      </c>
      <c r="G51" s="416">
        <f>E51-F51</f>
        <v>-109706.25</v>
      </c>
      <c r="H51" s="416">
        <f>554694+496461+430661</f>
        <v>1481816</v>
      </c>
      <c r="I51" s="345"/>
      <c r="J51" s="345">
        <f>-H51/6</f>
        <v>-246969.33333333334</v>
      </c>
      <c r="K51" s="430">
        <f>((E51)+H51)*0.85+J51-F51+1194270</f>
        <v>1390101.7666666666</v>
      </c>
      <c r="O51" s="408">
        <f>(444150)*0.85+H51*0.85+J51</f>
        <v>1390101.7666666666</v>
      </c>
      <c r="P51" s="17"/>
    </row>
    <row r="52" spans="1:16" x14ac:dyDescent="0.2">
      <c r="A52" s="415"/>
      <c r="B52" s="410"/>
      <c r="C52" s="416"/>
      <c r="D52" s="345"/>
      <c r="E52" s="416"/>
      <c r="F52" s="395"/>
      <c r="G52" s="416">
        <f t="shared" ref="G52" si="18">E52-F52</f>
        <v>0</v>
      </c>
      <c r="H52" s="416"/>
      <c r="I52" s="345"/>
      <c r="J52" s="345"/>
      <c r="K52" s="416">
        <f>G52+I52+J52+H52*0.8</f>
        <v>0</v>
      </c>
      <c r="O52" s="13"/>
      <c r="P52" s="17"/>
    </row>
    <row r="53" spans="1:16" ht="15" x14ac:dyDescent="0.2">
      <c r="A53" s="470" t="s">
        <v>536</v>
      </c>
      <c r="B53" s="470"/>
      <c r="C53" s="342">
        <f t="shared" ref="C53:K53" si="19">C54</f>
        <v>3032016</v>
      </c>
      <c r="D53" s="342">
        <f t="shared" si="19"/>
        <v>0</v>
      </c>
      <c r="E53" s="342">
        <f t="shared" si="19"/>
        <v>0</v>
      </c>
      <c r="F53" s="342">
        <f t="shared" si="19"/>
        <v>1516008</v>
      </c>
      <c r="G53" s="342">
        <f t="shared" si="19"/>
        <v>-1516008</v>
      </c>
      <c r="H53" s="342">
        <f t="shared" si="19"/>
        <v>0</v>
      </c>
      <c r="I53" s="342">
        <f t="shared" si="19"/>
        <v>0</v>
      </c>
      <c r="J53" s="342">
        <f t="shared" si="19"/>
        <v>0</v>
      </c>
      <c r="K53" s="342">
        <f t="shared" si="19"/>
        <v>0</v>
      </c>
      <c r="O53" s="13"/>
      <c r="P53" s="17"/>
    </row>
    <row r="54" spans="1:16" x14ac:dyDescent="0.2">
      <c r="A54" s="409"/>
      <c r="B54" s="414"/>
      <c r="C54" s="329">
        <f t="shared" ref="C54:K54" si="20">SUM(C55)</f>
        <v>3032016</v>
      </c>
      <c r="D54" s="329">
        <f t="shared" si="20"/>
        <v>0</v>
      </c>
      <c r="E54" s="329">
        <f t="shared" si="20"/>
        <v>0</v>
      </c>
      <c r="F54" s="329">
        <f t="shared" si="20"/>
        <v>1516008</v>
      </c>
      <c r="G54" s="329">
        <f t="shared" si="20"/>
        <v>-1516008</v>
      </c>
      <c r="H54" s="411">
        <f t="shared" si="20"/>
        <v>0</v>
      </c>
      <c r="I54" s="329">
        <f t="shared" si="20"/>
        <v>0</v>
      </c>
      <c r="J54" s="329">
        <f t="shared" si="20"/>
        <v>0</v>
      </c>
      <c r="K54" s="329">
        <f t="shared" si="20"/>
        <v>0</v>
      </c>
      <c r="O54" s="13"/>
      <c r="P54" s="17"/>
    </row>
    <row r="55" spans="1:16" x14ac:dyDescent="0.2">
      <c r="A55" s="435" t="s">
        <v>535</v>
      </c>
      <c r="B55" s="410"/>
      <c r="C55" s="416">
        <f>F55*2</f>
        <v>3032016</v>
      </c>
      <c r="D55" s="345"/>
      <c r="E55" s="416">
        <v>0</v>
      </c>
      <c r="F55" s="395">
        <v>1516008</v>
      </c>
      <c r="G55" s="416">
        <f>E55-F55</f>
        <v>-1516008</v>
      </c>
      <c r="H55" s="416">
        <v>0</v>
      </c>
      <c r="I55" s="345"/>
      <c r="J55" s="345">
        <f>-H55/6</f>
        <v>0</v>
      </c>
      <c r="K55" s="432">
        <f>((E55)+H55)*0.85+J55</f>
        <v>0</v>
      </c>
      <c r="O55" s="13"/>
      <c r="P55" s="17"/>
    </row>
    <row r="56" spans="1:16" x14ac:dyDescent="0.2">
      <c r="A56" s="415"/>
      <c r="B56" s="410"/>
      <c r="C56" s="416"/>
      <c r="D56" s="345"/>
      <c r="E56" s="416"/>
      <c r="F56" s="395"/>
      <c r="G56" s="416">
        <f t="shared" ref="G56" si="21">E56-F56</f>
        <v>0</v>
      </c>
      <c r="H56" s="416"/>
      <c r="I56" s="345"/>
      <c r="J56" s="345"/>
      <c r="K56" s="416">
        <f>G56+I56+J56+H56*0.8</f>
        <v>0</v>
      </c>
      <c r="O56" s="13"/>
      <c r="P56" s="17"/>
    </row>
    <row r="57" spans="1:16" ht="15" x14ac:dyDescent="0.2">
      <c r="A57" s="470" t="s">
        <v>528</v>
      </c>
      <c r="B57" s="470"/>
      <c r="C57" s="342">
        <f t="shared" ref="C57:K57" si="22">C58</f>
        <v>3817931.83</v>
      </c>
      <c r="D57" s="342">
        <f t="shared" si="22"/>
        <v>0</v>
      </c>
      <c r="E57" s="342">
        <f t="shared" si="22"/>
        <v>3355204.73</v>
      </c>
      <c r="F57" s="342">
        <f t="shared" si="22"/>
        <v>2963764.18</v>
      </c>
      <c r="G57" s="342">
        <f t="shared" si="22"/>
        <v>391440.54999999981</v>
      </c>
      <c r="H57" s="342">
        <f t="shared" si="22"/>
        <v>0</v>
      </c>
      <c r="I57" s="342">
        <f t="shared" si="22"/>
        <v>0</v>
      </c>
      <c r="J57" s="342">
        <f t="shared" si="22"/>
        <v>0</v>
      </c>
      <c r="K57" s="342">
        <f t="shared" si="22"/>
        <v>391440.54999999981</v>
      </c>
      <c r="P57" s="431"/>
    </row>
    <row r="58" spans="1:16" ht="12.95" customHeight="1" x14ac:dyDescent="0.2">
      <c r="A58" s="409"/>
      <c r="B58" s="414"/>
      <c r="C58" s="329">
        <f t="shared" ref="C58:K58" si="23">SUM(C59:C65)</f>
        <v>3817931.83</v>
      </c>
      <c r="D58" s="329">
        <f t="shared" si="23"/>
        <v>0</v>
      </c>
      <c r="E58" s="329">
        <f t="shared" si="23"/>
        <v>3355204.73</v>
      </c>
      <c r="F58" s="329">
        <f t="shared" si="23"/>
        <v>2963764.18</v>
      </c>
      <c r="G58" s="329">
        <f t="shared" si="23"/>
        <v>391440.54999999981</v>
      </c>
      <c r="H58" s="411">
        <f t="shared" si="23"/>
        <v>0</v>
      </c>
      <c r="I58" s="329">
        <f t="shared" si="23"/>
        <v>0</v>
      </c>
      <c r="J58" s="329">
        <f t="shared" si="23"/>
        <v>0</v>
      </c>
      <c r="K58" s="329">
        <f t="shared" si="23"/>
        <v>391440.54999999981</v>
      </c>
      <c r="P58" s="17"/>
    </row>
    <row r="59" spans="1:16" ht="14.45" customHeight="1" outlineLevel="1" x14ac:dyDescent="0.2">
      <c r="A59" s="415" t="s">
        <v>529</v>
      </c>
      <c r="B59" s="410"/>
      <c r="C59" s="416">
        <v>3355204.73</v>
      </c>
      <c r="D59" s="345"/>
      <c r="E59" s="416">
        <f>3355204.73</f>
        <v>3355204.73</v>
      </c>
      <c r="F59" s="395">
        <f>1006561.42+1957202.76</f>
        <v>2963764.18</v>
      </c>
      <c r="G59" s="416">
        <f>E59-F59</f>
        <v>391440.54999999981</v>
      </c>
      <c r="H59" s="416">
        <f>3355204.73*0</f>
        <v>0</v>
      </c>
      <c r="I59" s="345"/>
      <c r="J59" s="345"/>
      <c r="K59" s="433">
        <f>((E59)+H59)+J59-F59</f>
        <v>391440.54999999981</v>
      </c>
      <c r="O59" s="436" t="s">
        <v>537</v>
      </c>
      <c r="P59" s="17"/>
    </row>
    <row r="60" spans="1:16" ht="21" customHeight="1" outlineLevel="1" x14ac:dyDescent="0.2">
      <c r="A60" s="415" t="s">
        <v>530</v>
      </c>
      <c r="B60" s="410"/>
      <c r="C60" s="416">
        <v>462727.1</v>
      </c>
      <c r="D60" s="345"/>
      <c r="E60" s="416"/>
      <c r="F60" s="395"/>
      <c r="G60" s="416">
        <f t="shared" ref="G60:G66" si="24">E60-F60</f>
        <v>0</v>
      </c>
      <c r="H60" s="416"/>
      <c r="I60" s="345"/>
      <c r="J60" s="345"/>
      <c r="K60" s="416">
        <f>G60+I60+J60+H60*0.8</f>
        <v>0</v>
      </c>
      <c r="O60" s="437">
        <v>46216</v>
      </c>
      <c r="P60" s="17"/>
    </row>
    <row r="61" spans="1:16" ht="1.9" hidden="1" customHeight="1" outlineLevel="1" x14ac:dyDescent="0.2">
      <c r="A61" s="415"/>
      <c r="B61" s="410"/>
      <c r="C61" s="416"/>
      <c r="D61" s="345"/>
      <c r="E61" s="416"/>
      <c r="F61" s="395"/>
      <c r="G61" s="416">
        <f t="shared" si="24"/>
        <v>0</v>
      </c>
      <c r="H61" s="416"/>
      <c r="I61" s="345"/>
      <c r="J61" s="345"/>
      <c r="K61" s="416">
        <f>G61+I61+J61+H61*0.8</f>
        <v>0</v>
      </c>
      <c r="P61" s="17"/>
    </row>
    <row r="62" spans="1:16" ht="13.9" hidden="1" customHeight="1" outlineLevel="1" x14ac:dyDescent="0.2">
      <c r="A62" s="415"/>
      <c r="B62" s="410"/>
      <c r="C62" s="416"/>
      <c r="D62" s="345"/>
      <c r="E62" s="416"/>
      <c r="F62" s="395"/>
      <c r="G62" s="416">
        <f t="shared" si="24"/>
        <v>0</v>
      </c>
      <c r="H62" s="416"/>
      <c r="I62" s="345"/>
      <c r="J62" s="345"/>
      <c r="K62" s="416">
        <f>G62+I62+J62+H62*0.8</f>
        <v>0</v>
      </c>
      <c r="P62" s="17"/>
    </row>
    <row r="63" spans="1:16" ht="0.6" hidden="1" customHeight="1" outlineLevel="1" x14ac:dyDescent="0.2">
      <c r="A63" s="415"/>
      <c r="B63" s="410"/>
      <c r="C63" s="416"/>
      <c r="D63" s="345"/>
      <c r="E63" s="416"/>
      <c r="F63" s="395"/>
      <c r="G63" s="416">
        <f t="shared" si="24"/>
        <v>0</v>
      </c>
      <c r="H63" s="416"/>
      <c r="I63" s="345"/>
      <c r="J63" s="345"/>
      <c r="K63" s="416">
        <f>G63+I63+J63+H63*0.8</f>
        <v>0</v>
      </c>
      <c r="P63" s="17"/>
    </row>
    <row r="64" spans="1:16" ht="15" hidden="1" customHeight="1" outlineLevel="1" x14ac:dyDescent="0.2">
      <c r="A64" s="415"/>
      <c r="B64" s="410"/>
      <c r="C64" s="427"/>
      <c r="D64" s="428"/>
      <c r="E64" s="427"/>
      <c r="F64" s="427"/>
      <c r="G64" s="345">
        <f t="shared" si="24"/>
        <v>0</v>
      </c>
      <c r="H64" s="398"/>
      <c r="I64" s="345"/>
      <c r="J64" s="345"/>
      <c r="K64" s="416">
        <f t="shared" ref="K64:K65" si="25">G64+I64+J64+H64*0.8</f>
        <v>0</v>
      </c>
      <c r="P64" s="17"/>
    </row>
    <row r="65" spans="1:16" ht="7.15" hidden="1" customHeight="1" outlineLevel="1" x14ac:dyDescent="0.2">
      <c r="A65" s="415"/>
      <c r="B65" s="410"/>
      <c r="C65" s="427"/>
      <c r="D65" s="428"/>
      <c r="E65" s="427"/>
      <c r="F65" s="427"/>
      <c r="G65" s="345">
        <f t="shared" si="24"/>
        <v>0</v>
      </c>
      <c r="H65" s="398"/>
      <c r="I65" s="345"/>
      <c r="J65" s="345"/>
      <c r="K65" s="416">
        <f t="shared" si="25"/>
        <v>0</v>
      </c>
      <c r="P65" s="17"/>
    </row>
    <row r="66" spans="1:16" ht="12.95" customHeight="1" x14ac:dyDescent="0.2">
      <c r="A66" s="417" t="s">
        <v>5</v>
      </c>
      <c r="B66" s="418"/>
      <c r="C66" s="419">
        <f>C57</f>
        <v>3817931.83</v>
      </c>
      <c r="D66" s="419">
        <f>D57</f>
        <v>0</v>
      </c>
      <c r="E66" s="419">
        <f>E57</f>
        <v>3355204.73</v>
      </c>
      <c r="F66" s="419">
        <f>F57</f>
        <v>2963764.18</v>
      </c>
      <c r="G66" s="419">
        <f t="shared" si="24"/>
        <v>391440.54999999981</v>
      </c>
      <c r="H66" s="419">
        <f>H57</f>
        <v>0</v>
      </c>
      <c r="I66" s="419">
        <f>I57</f>
        <v>0</v>
      </c>
      <c r="J66" s="419">
        <f>J57</f>
        <v>0</v>
      </c>
      <c r="K66" s="419">
        <f>K57</f>
        <v>391440.54999999981</v>
      </c>
      <c r="P66" s="17"/>
    </row>
    <row r="67" spans="1:16" x14ac:dyDescent="0.2">
      <c r="P67" s="17"/>
    </row>
    <row r="68" spans="1:16" ht="15" x14ac:dyDescent="0.2">
      <c r="A68" s="470" t="s">
        <v>450</v>
      </c>
      <c r="B68" s="470"/>
      <c r="C68" s="342">
        <f>C69</f>
        <v>33485281.783999979</v>
      </c>
      <c r="D68" s="342">
        <f t="shared" ref="D68:I68" si="26">D69</f>
        <v>0</v>
      </c>
      <c r="E68" s="342">
        <f t="shared" si="26"/>
        <v>34930788.349999979</v>
      </c>
      <c r="F68" s="342">
        <f t="shared" si="26"/>
        <v>32330881.600000016</v>
      </c>
      <c r="G68" s="342">
        <f t="shared" si="26"/>
        <v>2599906.75</v>
      </c>
      <c r="H68" s="342">
        <f>H69</f>
        <v>0</v>
      </c>
      <c r="I68" s="342">
        <f t="shared" si="26"/>
        <v>-1154400.1800000002</v>
      </c>
      <c r="J68" s="342">
        <f>J69</f>
        <v>0</v>
      </c>
      <c r="K68" s="342">
        <f>K69</f>
        <v>0</v>
      </c>
      <c r="P68" s="17"/>
    </row>
    <row r="69" spans="1:16" ht="12.95" customHeight="1" x14ac:dyDescent="0.2">
      <c r="A69" s="409"/>
      <c r="B69" s="414"/>
      <c r="C69" s="329">
        <f t="shared" ref="C69:K69" si="27">SUM(C70:C105)</f>
        <v>33485281.783999979</v>
      </c>
      <c r="D69" s="329">
        <f t="shared" si="27"/>
        <v>0</v>
      </c>
      <c r="E69" s="329">
        <f t="shared" si="27"/>
        <v>34930788.349999979</v>
      </c>
      <c r="F69" s="329">
        <f t="shared" si="27"/>
        <v>32330881.600000016</v>
      </c>
      <c r="G69" s="329">
        <f t="shared" si="27"/>
        <v>2599906.75</v>
      </c>
      <c r="H69" s="329">
        <f t="shared" si="27"/>
        <v>0</v>
      </c>
      <c r="I69" s="329">
        <f t="shared" si="27"/>
        <v>-1154400.1800000002</v>
      </c>
      <c r="J69" s="329">
        <f t="shared" si="27"/>
        <v>0</v>
      </c>
      <c r="K69" s="329">
        <f t="shared" si="27"/>
        <v>0</v>
      </c>
      <c r="P69" s="17"/>
    </row>
    <row r="70" spans="1:16" ht="22.5" hidden="1" outlineLevel="1" x14ac:dyDescent="0.2">
      <c r="A70" s="415" t="s">
        <v>451</v>
      </c>
      <c r="B70" s="410" t="s">
        <v>481</v>
      </c>
      <c r="C70" s="427">
        <f>1734607.87+437781.31+332750.3</f>
        <v>2505139.48</v>
      </c>
      <c r="D70" s="428"/>
      <c r="E70" s="427">
        <f>437781.31+332750.3+1445506.56</f>
        <v>2216038.17</v>
      </c>
      <c r="F70" s="427">
        <f>1734607.87+437781.31+332750.3</f>
        <v>2505139.48</v>
      </c>
      <c r="G70" s="345">
        <f t="shared" ref="G70:G106" si="28">E70-F70</f>
        <v>-289101.31000000006</v>
      </c>
      <c r="H70" s="427"/>
      <c r="I70" s="345"/>
      <c r="J70" s="345"/>
      <c r="K70" s="416"/>
      <c r="P70" s="17"/>
    </row>
    <row r="71" spans="1:16" ht="22.5" hidden="1" outlineLevel="1" x14ac:dyDescent="0.2">
      <c r="A71" s="415" t="s">
        <v>451</v>
      </c>
      <c r="B71" s="415" t="s">
        <v>478</v>
      </c>
      <c r="C71" s="427">
        <v>962000.15</v>
      </c>
      <c r="D71" s="428"/>
      <c r="E71" s="427">
        <v>962000.15</v>
      </c>
      <c r="F71" s="427">
        <f>C71*30%+C71*20%+C71*40%+C71*10%</f>
        <v>962000.15</v>
      </c>
      <c r="G71" s="345">
        <f>E71-F71</f>
        <v>0</v>
      </c>
      <c r="H71" s="413"/>
      <c r="I71" s="345"/>
      <c r="J71" s="345"/>
      <c r="K71" s="416">
        <f t="shared" ref="K71:K102" si="29">G71+I71+J71+H71</f>
        <v>0</v>
      </c>
      <c r="P71" s="17"/>
    </row>
    <row r="72" spans="1:16" ht="22.5" hidden="1" outlineLevel="1" x14ac:dyDescent="0.2">
      <c r="A72" s="415" t="s">
        <v>451</v>
      </c>
      <c r="B72" s="415" t="s">
        <v>479</v>
      </c>
      <c r="C72" s="427">
        <v>962000.15</v>
      </c>
      <c r="D72" s="428"/>
      <c r="E72" s="427">
        <v>962000.15</v>
      </c>
      <c r="F72" s="427">
        <f>C72*30%+C72*20%+C72*40%+C72*10%</f>
        <v>962000.15</v>
      </c>
      <c r="G72" s="345">
        <f t="shared" si="28"/>
        <v>0</v>
      </c>
      <c r="H72" s="413"/>
      <c r="I72" s="345"/>
      <c r="J72" s="345"/>
      <c r="K72" s="416">
        <f t="shared" si="29"/>
        <v>0</v>
      </c>
      <c r="P72" s="17"/>
    </row>
    <row r="73" spans="1:16" ht="22.5" hidden="1" outlineLevel="1" x14ac:dyDescent="0.2">
      <c r="A73" s="415" t="s">
        <v>451</v>
      </c>
      <c r="B73" s="415" t="s">
        <v>480</v>
      </c>
      <c r="C73" s="427">
        <v>962000.15</v>
      </c>
      <c r="D73" s="428"/>
      <c r="E73" s="427">
        <v>962000.15</v>
      </c>
      <c r="F73" s="427">
        <f>C73*30%+C73*20%+C73*40%+C73*10%</f>
        <v>962000.15</v>
      </c>
      <c r="G73" s="345">
        <f t="shared" si="28"/>
        <v>0</v>
      </c>
      <c r="H73" s="413"/>
      <c r="I73" s="345"/>
      <c r="J73" s="345"/>
      <c r="K73" s="416">
        <f t="shared" si="29"/>
        <v>0</v>
      </c>
      <c r="P73" s="17"/>
    </row>
    <row r="74" spans="1:16" ht="22.5" hidden="1" outlineLevel="1" x14ac:dyDescent="0.2">
      <c r="A74" s="415" t="s">
        <v>451</v>
      </c>
      <c r="B74" s="415" t="s">
        <v>474</v>
      </c>
      <c r="C74" s="427">
        <v>962000.15</v>
      </c>
      <c r="D74" s="428"/>
      <c r="E74" s="427">
        <v>962000.15</v>
      </c>
      <c r="F74" s="427">
        <f t="shared" ref="F74:F77" si="30">C74*30%+C74*20%+C74*40%+C74*10%</f>
        <v>962000.15</v>
      </c>
      <c r="G74" s="345">
        <f t="shared" si="28"/>
        <v>0</v>
      </c>
      <c r="H74" s="413"/>
      <c r="I74" s="345"/>
      <c r="J74" s="345"/>
      <c r="K74" s="416">
        <f t="shared" si="29"/>
        <v>0</v>
      </c>
      <c r="P74" s="17"/>
    </row>
    <row r="75" spans="1:16" ht="22.5" hidden="1" outlineLevel="1" x14ac:dyDescent="0.2">
      <c r="A75" s="415" t="s">
        <v>451</v>
      </c>
      <c r="B75" s="415" t="s">
        <v>475</v>
      </c>
      <c r="C75" s="427">
        <v>962000.15</v>
      </c>
      <c r="D75" s="428"/>
      <c r="E75" s="427">
        <v>962000.15</v>
      </c>
      <c r="F75" s="427">
        <f t="shared" si="30"/>
        <v>962000.15</v>
      </c>
      <c r="G75" s="345">
        <f t="shared" si="28"/>
        <v>0</v>
      </c>
      <c r="H75" s="345">
        <f>C75*40%*0</f>
        <v>0</v>
      </c>
      <c r="I75" s="345"/>
      <c r="J75" s="345"/>
      <c r="K75" s="416">
        <f t="shared" si="29"/>
        <v>0</v>
      </c>
      <c r="P75" s="17"/>
    </row>
    <row r="76" spans="1:16" ht="22.5" hidden="1" outlineLevel="1" x14ac:dyDescent="0.2">
      <c r="A76" s="415" t="s">
        <v>451</v>
      </c>
      <c r="B76" s="415" t="s">
        <v>476</v>
      </c>
      <c r="C76" s="427">
        <v>962000.15</v>
      </c>
      <c r="D76" s="428"/>
      <c r="E76" s="427">
        <v>962000.15</v>
      </c>
      <c r="F76" s="427">
        <f t="shared" si="30"/>
        <v>962000.15</v>
      </c>
      <c r="G76" s="345">
        <f t="shared" si="28"/>
        <v>0</v>
      </c>
      <c r="H76" s="345">
        <f>C76*40%*0</f>
        <v>0</v>
      </c>
      <c r="I76" s="345"/>
      <c r="J76" s="345"/>
      <c r="K76" s="416">
        <f t="shared" si="29"/>
        <v>0</v>
      </c>
      <c r="P76" s="17"/>
    </row>
    <row r="77" spans="1:16" ht="22.5" hidden="1" outlineLevel="1" x14ac:dyDescent="0.2">
      <c r="A77" s="415" t="s">
        <v>451</v>
      </c>
      <c r="B77" s="415" t="s">
        <v>477</v>
      </c>
      <c r="C77" s="427">
        <v>962000.15</v>
      </c>
      <c r="D77" s="428"/>
      <c r="E77" s="427">
        <v>962000.15</v>
      </c>
      <c r="F77" s="427">
        <f t="shared" si="30"/>
        <v>962000.15</v>
      </c>
      <c r="G77" s="345">
        <f t="shared" si="28"/>
        <v>0</v>
      </c>
      <c r="H77" s="345">
        <f>C77*40%*0</f>
        <v>0</v>
      </c>
      <c r="I77" s="345"/>
      <c r="J77" s="345"/>
      <c r="K77" s="416">
        <f t="shared" si="29"/>
        <v>0</v>
      </c>
      <c r="P77" s="17"/>
    </row>
    <row r="78" spans="1:16" ht="22.5" hidden="1" outlineLevel="1" x14ac:dyDescent="0.2">
      <c r="A78" s="415" t="s">
        <v>451</v>
      </c>
      <c r="B78" s="415" t="s">
        <v>502</v>
      </c>
      <c r="C78" s="427">
        <v>962000.15</v>
      </c>
      <c r="D78" s="428"/>
      <c r="E78" s="427">
        <v>962000.15</v>
      </c>
      <c r="F78" s="427">
        <f>E78</f>
        <v>962000.15</v>
      </c>
      <c r="G78" s="345">
        <f t="shared" si="28"/>
        <v>0</v>
      </c>
      <c r="H78" s="345">
        <f t="shared" ref="H78:H90" si="31">C78*40%*0</f>
        <v>0</v>
      </c>
      <c r="I78" s="345"/>
      <c r="J78" s="345"/>
      <c r="K78" s="416">
        <f t="shared" si="29"/>
        <v>0</v>
      </c>
      <c r="P78" s="17"/>
    </row>
    <row r="79" spans="1:16" ht="22.5" hidden="1" outlineLevel="1" x14ac:dyDescent="0.2">
      <c r="A79" s="415" t="s">
        <v>451</v>
      </c>
      <c r="B79" s="415" t="s">
        <v>501</v>
      </c>
      <c r="C79" s="427">
        <v>962000.15</v>
      </c>
      <c r="D79" s="428"/>
      <c r="E79" s="427">
        <v>962000.15</v>
      </c>
      <c r="F79" s="427">
        <f t="shared" ref="F79:F90" si="32">E79</f>
        <v>962000.15</v>
      </c>
      <c r="G79" s="345">
        <f t="shared" si="28"/>
        <v>0</v>
      </c>
      <c r="H79" s="345">
        <f t="shared" si="31"/>
        <v>0</v>
      </c>
      <c r="I79" s="345"/>
      <c r="J79" s="345"/>
      <c r="K79" s="416">
        <f t="shared" si="29"/>
        <v>0</v>
      </c>
      <c r="P79" s="17"/>
    </row>
    <row r="80" spans="1:16" ht="22.5" hidden="1" outlineLevel="1" x14ac:dyDescent="0.2">
      <c r="A80" s="415" t="s">
        <v>451</v>
      </c>
      <c r="B80" s="415" t="s">
        <v>500</v>
      </c>
      <c r="C80" s="427">
        <v>962000.15</v>
      </c>
      <c r="D80" s="428"/>
      <c r="E80" s="427">
        <v>962000.15</v>
      </c>
      <c r="F80" s="427">
        <f t="shared" si="32"/>
        <v>962000.15</v>
      </c>
      <c r="G80" s="345">
        <f t="shared" si="28"/>
        <v>0</v>
      </c>
      <c r="H80" s="345">
        <f t="shared" si="31"/>
        <v>0</v>
      </c>
      <c r="I80" s="345"/>
      <c r="J80" s="345"/>
      <c r="K80" s="416">
        <f t="shared" si="29"/>
        <v>0</v>
      </c>
      <c r="P80" s="17"/>
    </row>
    <row r="81" spans="1:16" ht="22.5" hidden="1" outlineLevel="1" x14ac:dyDescent="0.2">
      <c r="A81" s="415" t="s">
        <v>451</v>
      </c>
      <c r="B81" s="415" t="s">
        <v>499</v>
      </c>
      <c r="C81" s="427">
        <v>962000.15</v>
      </c>
      <c r="D81" s="428"/>
      <c r="E81" s="427">
        <v>962000.15</v>
      </c>
      <c r="F81" s="427">
        <f t="shared" si="32"/>
        <v>962000.15</v>
      </c>
      <c r="G81" s="345">
        <f t="shared" si="28"/>
        <v>0</v>
      </c>
      <c r="H81" s="345">
        <f t="shared" si="31"/>
        <v>0</v>
      </c>
      <c r="I81" s="345"/>
      <c r="J81" s="345"/>
      <c r="K81" s="416">
        <f t="shared" si="29"/>
        <v>0</v>
      </c>
      <c r="P81" s="17"/>
    </row>
    <row r="82" spans="1:16" ht="22.5" hidden="1" outlineLevel="1" x14ac:dyDescent="0.2">
      <c r="A82" s="415" t="s">
        <v>451</v>
      </c>
      <c r="B82" s="415" t="s">
        <v>498</v>
      </c>
      <c r="C82" s="427">
        <v>962000.15</v>
      </c>
      <c r="D82" s="428"/>
      <c r="E82" s="427">
        <v>962000.15</v>
      </c>
      <c r="F82" s="427">
        <f t="shared" si="32"/>
        <v>962000.15</v>
      </c>
      <c r="G82" s="345">
        <f t="shared" si="28"/>
        <v>0</v>
      </c>
      <c r="H82" s="345">
        <f t="shared" si="31"/>
        <v>0</v>
      </c>
      <c r="I82" s="345"/>
      <c r="J82" s="345"/>
      <c r="K82" s="416">
        <f t="shared" si="29"/>
        <v>0</v>
      </c>
      <c r="P82" s="17"/>
    </row>
    <row r="83" spans="1:16" ht="22.5" hidden="1" outlineLevel="1" x14ac:dyDescent="0.2">
      <c r="A83" s="415" t="s">
        <v>451</v>
      </c>
      <c r="B83" s="415" t="s">
        <v>497</v>
      </c>
      <c r="C83" s="427">
        <v>962000.15</v>
      </c>
      <c r="D83" s="428"/>
      <c r="E83" s="427">
        <v>962000.15</v>
      </c>
      <c r="F83" s="427">
        <f t="shared" si="32"/>
        <v>962000.15</v>
      </c>
      <c r="G83" s="345">
        <f t="shared" si="28"/>
        <v>0</v>
      </c>
      <c r="H83" s="345">
        <f t="shared" si="31"/>
        <v>0</v>
      </c>
      <c r="I83" s="345"/>
      <c r="J83" s="345"/>
      <c r="K83" s="416">
        <f t="shared" si="29"/>
        <v>0</v>
      </c>
      <c r="P83" s="17"/>
    </row>
    <row r="84" spans="1:16" ht="22.5" hidden="1" outlineLevel="1" x14ac:dyDescent="0.2">
      <c r="A84" s="415" t="s">
        <v>451</v>
      </c>
      <c r="B84" s="415" t="s">
        <v>496</v>
      </c>
      <c r="C84" s="427">
        <v>962000.15</v>
      </c>
      <c r="D84" s="428"/>
      <c r="E84" s="427">
        <v>962000.15</v>
      </c>
      <c r="F84" s="427">
        <f t="shared" si="32"/>
        <v>962000.15</v>
      </c>
      <c r="G84" s="345">
        <f t="shared" si="28"/>
        <v>0</v>
      </c>
      <c r="H84" s="345">
        <f t="shared" si="31"/>
        <v>0</v>
      </c>
      <c r="I84" s="345"/>
      <c r="J84" s="345"/>
      <c r="K84" s="416">
        <f t="shared" si="29"/>
        <v>0</v>
      </c>
      <c r="P84" s="17"/>
    </row>
    <row r="85" spans="1:16" ht="22.5" hidden="1" outlineLevel="1" x14ac:dyDescent="0.2">
      <c r="A85" s="415" t="s">
        <v>451</v>
      </c>
      <c r="B85" s="415" t="s">
        <v>495</v>
      </c>
      <c r="C85" s="427">
        <v>962000.15</v>
      </c>
      <c r="D85" s="428"/>
      <c r="E85" s="427">
        <v>962000.15</v>
      </c>
      <c r="F85" s="427">
        <f t="shared" si="32"/>
        <v>962000.15</v>
      </c>
      <c r="G85" s="345">
        <f t="shared" si="28"/>
        <v>0</v>
      </c>
      <c r="H85" s="345">
        <f t="shared" si="31"/>
        <v>0</v>
      </c>
      <c r="I85" s="345"/>
      <c r="J85" s="345"/>
      <c r="K85" s="416">
        <f t="shared" si="29"/>
        <v>0</v>
      </c>
      <c r="P85" s="17"/>
    </row>
    <row r="86" spans="1:16" ht="22.5" hidden="1" outlineLevel="1" x14ac:dyDescent="0.2">
      <c r="A86" s="415" t="s">
        <v>451</v>
      </c>
      <c r="B86" s="415" t="s">
        <v>494</v>
      </c>
      <c r="C86" s="427">
        <v>962000.15</v>
      </c>
      <c r="D86" s="428"/>
      <c r="E86" s="427">
        <v>962000.15</v>
      </c>
      <c r="F86" s="427">
        <f t="shared" si="32"/>
        <v>962000.15</v>
      </c>
      <c r="G86" s="345">
        <f t="shared" si="28"/>
        <v>0</v>
      </c>
      <c r="H86" s="345">
        <f t="shared" si="31"/>
        <v>0</v>
      </c>
      <c r="I86" s="345"/>
      <c r="J86" s="345"/>
      <c r="K86" s="416">
        <f t="shared" si="29"/>
        <v>0</v>
      </c>
      <c r="P86" s="17"/>
    </row>
    <row r="87" spans="1:16" ht="22.5" hidden="1" outlineLevel="1" x14ac:dyDescent="0.2">
      <c r="A87" s="415" t="s">
        <v>451</v>
      </c>
      <c r="B87" s="415" t="s">
        <v>493</v>
      </c>
      <c r="C87" s="427">
        <v>962000.15</v>
      </c>
      <c r="D87" s="428"/>
      <c r="E87" s="427">
        <v>962000.15</v>
      </c>
      <c r="F87" s="427">
        <f t="shared" si="32"/>
        <v>962000.15</v>
      </c>
      <c r="G87" s="345">
        <f t="shared" si="28"/>
        <v>0</v>
      </c>
      <c r="H87" s="345">
        <f t="shared" si="31"/>
        <v>0</v>
      </c>
      <c r="I87" s="345"/>
      <c r="J87" s="345"/>
      <c r="K87" s="416">
        <f t="shared" si="29"/>
        <v>0</v>
      </c>
      <c r="P87" s="17"/>
    </row>
    <row r="88" spans="1:16" ht="22.5" hidden="1" outlineLevel="1" x14ac:dyDescent="0.2">
      <c r="A88" s="415" t="s">
        <v>451</v>
      </c>
      <c r="B88" s="415" t="s">
        <v>492</v>
      </c>
      <c r="C88" s="427">
        <v>962000.15</v>
      </c>
      <c r="D88" s="428"/>
      <c r="E88" s="427">
        <v>962000.15</v>
      </c>
      <c r="F88" s="427">
        <f t="shared" si="32"/>
        <v>962000.15</v>
      </c>
      <c r="G88" s="345">
        <f t="shared" si="28"/>
        <v>0</v>
      </c>
      <c r="H88" s="345">
        <f t="shared" si="31"/>
        <v>0</v>
      </c>
      <c r="I88" s="345"/>
      <c r="J88" s="345"/>
      <c r="K88" s="416">
        <f t="shared" si="29"/>
        <v>0</v>
      </c>
      <c r="P88" s="17"/>
    </row>
    <row r="89" spans="1:16" ht="22.5" hidden="1" outlineLevel="1" x14ac:dyDescent="0.2">
      <c r="A89" s="415" t="s">
        <v>451</v>
      </c>
      <c r="B89" s="415" t="s">
        <v>491</v>
      </c>
      <c r="C89" s="427">
        <v>962000.15</v>
      </c>
      <c r="D89" s="428"/>
      <c r="E89" s="427">
        <v>962000.15</v>
      </c>
      <c r="F89" s="427">
        <f t="shared" si="32"/>
        <v>962000.15</v>
      </c>
      <c r="G89" s="345">
        <f t="shared" si="28"/>
        <v>0</v>
      </c>
      <c r="H89" s="345">
        <f t="shared" si="31"/>
        <v>0</v>
      </c>
      <c r="I89" s="345"/>
      <c r="J89" s="345"/>
      <c r="K89" s="416">
        <f t="shared" si="29"/>
        <v>0</v>
      </c>
      <c r="P89" s="17"/>
    </row>
    <row r="90" spans="1:16" ht="22.5" hidden="1" outlineLevel="1" x14ac:dyDescent="0.2">
      <c r="A90" s="415" t="s">
        <v>451</v>
      </c>
      <c r="B90" s="415" t="s">
        <v>490</v>
      </c>
      <c r="C90" s="427">
        <v>962000.15</v>
      </c>
      <c r="D90" s="428"/>
      <c r="E90" s="427">
        <v>962000.15</v>
      </c>
      <c r="F90" s="427">
        <f t="shared" si="32"/>
        <v>962000.15</v>
      </c>
      <c r="G90" s="345">
        <f t="shared" si="28"/>
        <v>0</v>
      </c>
      <c r="H90" s="345">
        <f t="shared" si="31"/>
        <v>0</v>
      </c>
      <c r="I90" s="345"/>
      <c r="J90" s="345"/>
      <c r="K90" s="416">
        <f t="shared" si="29"/>
        <v>0</v>
      </c>
      <c r="P90" s="17"/>
    </row>
    <row r="91" spans="1:16" ht="22.5" hidden="1" outlineLevel="1" x14ac:dyDescent="0.2">
      <c r="A91" s="415" t="s">
        <v>451</v>
      </c>
      <c r="B91" s="415" t="s">
        <v>489</v>
      </c>
      <c r="C91" s="427">
        <v>962000.15</v>
      </c>
      <c r="D91" s="428"/>
      <c r="E91" s="427">
        <v>962000.15</v>
      </c>
      <c r="F91" s="427">
        <f>C91*30%+C91*20%+C91*40%</f>
        <v>865800.13500000001</v>
      </c>
      <c r="G91" s="345">
        <f t="shared" si="28"/>
        <v>96200.015000000014</v>
      </c>
      <c r="H91" s="416"/>
      <c r="I91" s="345">
        <f t="shared" ref="I91:I102" si="33">-C91*10%</f>
        <v>-96200.015000000014</v>
      </c>
      <c r="J91" s="345"/>
      <c r="K91" s="416">
        <f t="shared" si="29"/>
        <v>0</v>
      </c>
      <c r="P91" s="17"/>
    </row>
    <row r="92" spans="1:16" ht="22.5" hidden="1" outlineLevel="1" x14ac:dyDescent="0.2">
      <c r="A92" s="415" t="s">
        <v>451</v>
      </c>
      <c r="B92" s="415" t="s">
        <v>488</v>
      </c>
      <c r="C92" s="427">
        <v>962000.15</v>
      </c>
      <c r="D92" s="428"/>
      <c r="E92" s="427">
        <v>962000.15</v>
      </c>
      <c r="F92" s="427">
        <f t="shared" ref="F92:F102" si="34">C92*30%+C92*20%+C92*40%</f>
        <v>865800.13500000001</v>
      </c>
      <c r="G92" s="345">
        <f t="shared" si="28"/>
        <v>96200.015000000014</v>
      </c>
      <c r="H92" s="416"/>
      <c r="I92" s="345">
        <f t="shared" si="33"/>
        <v>-96200.015000000014</v>
      </c>
      <c r="J92" s="345"/>
      <c r="K92" s="416">
        <f t="shared" si="29"/>
        <v>0</v>
      </c>
      <c r="P92" s="17"/>
    </row>
    <row r="93" spans="1:16" ht="22.5" hidden="1" outlineLevel="1" x14ac:dyDescent="0.2">
      <c r="A93" s="415" t="s">
        <v>451</v>
      </c>
      <c r="B93" s="415" t="s">
        <v>487</v>
      </c>
      <c r="C93" s="427">
        <v>962000.15</v>
      </c>
      <c r="D93" s="428"/>
      <c r="E93" s="427">
        <v>962000.15</v>
      </c>
      <c r="F93" s="427">
        <f t="shared" si="34"/>
        <v>865800.13500000001</v>
      </c>
      <c r="G93" s="345">
        <f t="shared" si="28"/>
        <v>96200.015000000014</v>
      </c>
      <c r="H93" s="416"/>
      <c r="I93" s="345">
        <f t="shared" si="33"/>
        <v>-96200.015000000014</v>
      </c>
      <c r="J93" s="345"/>
      <c r="K93" s="416">
        <f t="shared" si="29"/>
        <v>0</v>
      </c>
      <c r="P93" s="17"/>
    </row>
    <row r="94" spans="1:16" ht="22.5" hidden="1" outlineLevel="1" x14ac:dyDescent="0.2">
      <c r="A94" s="415" t="s">
        <v>451</v>
      </c>
      <c r="B94" s="415" t="s">
        <v>486</v>
      </c>
      <c r="C94" s="427">
        <v>962000.15</v>
      </c>
      <c r="D94" s="428"/>
      <c r="E94" s="427">
        <v>962000.15</v>
      </c>
      <c r="F94" s="427">
        <f t="shared" si="34"/>
        <v>865800.13500000001</v>
      </c>
      <c r="G94" s="345">
        <f t="shared" si="28"/>
        <v>96200.015000000014</v>
      </c>
      <c r="H94" s="416"/>
      <c r="I94" s="345">
        <f t="shared" si="33"/>
        <v>-96200.015000000014</v>
      </c>
      <c r="J94" s="345"/>
      <c r="K94" s="416">
        <f t="shared" si="29"/>
        <v>0</v>
      </c>
      <c r="P94" s="17"/>
    </row>
    <row r="95" spans="1:16" ht="22.5" hidden="1" outlineLevel="1" x14ac:dyDescent="0.2">
      <c r="A95" s="415" t="s">
        <v>451</v>
      </c>
      <c r="B95" s="415" t="s">
        <v>485</v>
      </c>
      <c r="C95" s="427">
        <v>962000.15</v>
      </c>
      <c r="D95" s="428"/>
      <c r="E95" s="427">
        <v>962000.15</v>
      </c>
      <c r="F95" s="427">
        <f t="shared" si="34"/>
        <v>865800.13500000001</v>
      </c>
      <c r="G95" s="345">
        <f t="shared" si="28"/>
        <v>96200.015000000014</v>
      </c>
      <c r="H95" s="416"/>
      <c r="I95" s="345">
        <f t="shared" si="33"/>
        <v>-96200.015000000014</v>
      </c>
      <c r="J95" s="345"/>
      <c r="K95" s="416">
        <f t="shared" si="29"/>
        <v>0</v>
      </c>
      <c r="P95" s="17"/>
    </row>
    <row r="96" spans="1:16" ht="22.5" hidden="1" outlineLevel="1" x14ac:dyDescent="0.2">
      <c r="A96" s="415" t="s">
        <v>451</v>
      </c>
      <c r="B96" s="415" t="s">
        <v>484</v>
      </c>
      <c r="C96" s="427">
        <v>962000.15</v>
      </c>
      <c r="D96" s="428"/>
      <c r="E96" s="427">
        <v>962000.15</v>
      </c>
      <c r="F96" s="427">
        <f t="shared" si="34"/>
        <v>865800.13500000001</v>
      </c>
      <c r="G96" s="345">
        <f t="shared" si="28"/>
        <v>96200.015000000014</v>
      </c>
      <c r="H96" s="416"/>
      <c r="I96" s="345">
        <f t="shared" si="33"/>
        <v>-96200.015000000014</v>
      </c>
      <c r="J96" s="345"/>
      <c r="K96" s="416">
        <f t="shared" si="29"/>
        <v>0</v>
      </c>
      <c r="P96" s="17"/>
    </row>
    <row r="97" spans="1:16" ht="22.5" hidden="1" outlineLevel="1" x14ac:dyDescent="0.2">
      <c r="A97" s="415" t="s">
        <v>451</v>
      </c>
      <c r="B97" s="415" t="s">
        <v>482</v>
      </c>
      <c r="C97" s="427">
        <v>962000.15</v>
      </c>
      <c r="D97" s="428"/>
      <c r="E97" s="427">
        <v>962000.15</v>
      </c>
      <c r="F97" s="427">
        <f t="shared" si="34"/>
        <v>865800.13500000001</v>
      </c>
      <c r="G97" s="345">
        <f t="shared" si="28"/>
        <v>96200.015000000014</v>
      </c>
      <c r="H97" s="416"/>
      <c r="I97" s="345">
        <f t="shared" si="33"/>
        <v>-96200.015000000014</v>
      </c>
      <c r="J97" s="345"/>
      <c r="K97" s="416">
        <f t="shared" si="29"/>
        <v>0</v>
      </c>
      <c r="P97" s="17"/>
    </row>
    <row r="98" spans="1:16" ht="22.5" hidden="1" outlineLevel="1" x14ac:dyDescent="0.2">
      <c r="A98" s="415" t="s">
        <v>451</v>
      </c>
      <c r="B98" s="415" t="s">
        <v>483</v>
      </c>
      <c r="C98" s="427">
        <v>962000.15</v>
      </c>
      <c r="D98" s="428"/>
      <c r="E98" s="427">
        <v>962000.15</v>
      </c>
      <c r="F98" s="427">
        <f>C98*30%+C98*20%+C98*40%</f>
        <v>865800.13500000001</v>
      </c>
      <c r="G98" s="345">
        <f t="shared" si="28"/>
        <v>96200.015000000014</v>
      </c>
      <c r="H98" s="416"/>
      <c r="I98" s="345">
        <f t="shared" si="33"/>
        <v>-96200.015000000014</v>
      </c>
      <c r="J98" s="345"/>
      <c r="K98" s="416">
        <f t="shared" si="29"/>
        <v>0</v>
      </c>
      <c r="P98" s="17"/>
    </row>
    <row r="99" spans="1:16" ht="22.5" hidden="1" outlineLevel="1" x14ac:dyDescent="0.2">
      <c r="A99" s="415" t="s">
        <v>451</v>
      </c>
      <c r="B99" s="415" t="s">
        <v>503</v>
      </c>
      <c r="C99" s="427">
        <v>962000.15</v>
      </c>
      <c r="D99" s="428"/>
      <c r="E99" s="427">
        <v>962000.15</v>
      </c>
      <c r="F99" s="427">
        <f t="shared" si="34"/>
        <v>865800.13500000001</v>
      </c>
      <c r="G99" s="345">
        <f t="shared" si="28"/>
        <v>96200.015000000014</v>
      </c>
      <c r="H99" s="416"/>
      <c r="I99" s="345">
        <f t="shared" si="33"/>
        <v>-96200.015000000014</v>
      </c>
      <c r="J99" s="345"/>
      <c r="K99" s="416">
        <f t="shared" si="29"/>
        <v>0</v>
      </c>
      <c r="P99" s="17"/>
    </row>
    <row r="100" spans="1:16" ht="22.5" hidden="1" outlineLevel="1" x14ac:dyDescent="0.2">
      <c r="A100" s="415" t="s">
        <v>451</v>
      </c>
      <c r="B100" s="415" t="s">
        <v>504</v>
      </c>
      <c r="C100" s="427">
        <v>962000.15</v>
      </c>
      <c r="D100" s="428"/>
      <c r="E100" s="427">
        <v>962000.15</v>
      </c>
      <c r="F100" s="427">
        <f t="shared" si="34"/>
        <v>865800.13500000001</v>
      </c>
      <c r="G100" s="345">
        <f t="shared" si="28"/>
        <v>96200.015000000014</v>
      </c>
      <c r="H100" s="416"/>
      <c r="I100" s="345">
        <f t="shared" si="33"/>
        <v>-96200.015000000014</v>
      </c>
      <c r="J100" s="345"/>
      <c r="K100" s="416">
        <f t="shared" si="29"/>
        <v>0</v>
      </c>
      <c r="P100" s="17"/>
    </row>
    <row r="101" spans="1:16" ht="22.5" hidden="1" outlineLevel="1" x14ac:dyDescent="0.2">
      <c r="A101" s="415" t="s">
        <v>451</v>
      </c>
      <c r="B101" s="415" t="s">
        <v>505</v>
      </c>
      <c r="C101" s="427">
        <v>962000.15</v>
      </c>
      <c r="D101" s="428"/>
      <c r="E101" s="427">
        <v>962000.15</v>
      </c>
      <c r="F101" s="427">
        <f t="shared" si="34"/>
        <v>865800.13500000001</v>
      </c>
      <c r="G101" s="345">
        <f t="shared" si="28"/>
        <v>96200.015000000014</v>
      </c>
      <c r="H101" s="416"/>
      <c r="I101" s="345">
        <f t="shared" si="33"/>
        <v>-96200.015000000014</v>
      </c>
      <c r="J101" s="345"/>
      <c r="K101" s="416">
        <f t="shared" si="29"/>
        <v>0</v>
      </c>
      <c r="P101" s="17"/>
    </row>
    <row r="102" spans="1:16" ht="22.5" hidden="1" outlineLevel="1" x14ac:dyDescent="0.2">
      <c r="A102" s="415" t="s">
        <v>451</v>
      </c>
      <c r="B102" s="415" t="s">
        <v>506</v>
      </c>
      <c r="C102" s="427">
        <v>962000.15</v>
      </c>
      <c r="D102" s="428"/>
      <c r="E102" s="427">
        <v>962000.15</v>
      </c>
      <c r="F102" s="427">
        <f t="shared" si="34"/>
        <v>865800.13500000001</v>
      </c>
      <c r="G102" s="345">
        <f t="shared" si="28"/>
        <v>96200.015000000014</v>
      </c>
      <c r="H102" s="416"/>
      <c r="I102" s="345">
        <f t="shared" si="33"/>
        <v>-96200.015000000014</v>
      </c>
      <c r="J102" s="345"/>
      <c r="K102" s="416">
        <f t="shared" si="29"/>
        <v>0</v>
      </c>
      <c r="P102" s="17"/>
    </row>
    <row r="103" spans="1:16" ht="22.5" hidden="1" outlineLevel="1" x14ac:dyDescent="0.2">
      <c r="A103" s="415" t="s">
        <v>465</v>
      </c>
      <c r="B103" s="410" t="s">
        <v>507</v>
      </c>
      <c r="C103" s="427">
        <f>54482.64*3*1.2</f>
        <v>196137.50399999999</v>
      </c>
      <c r="D103" s="428"/>
      <c r="E103" s="427">
        <v>196137.5</v>
      </c>
      <c r="F103" s="427">
        <v>196137.5</v>
      </c>
      <c r="G103" s="345">
        <f t="shared" si="28"/>
        <v>0</v>
      </c>
      <c r="H103" s="413"/>
      <c r="I103" s="345"/>
      <c r="J103" s="345"/>
      <c r="K103" s="427"/>
      <c r="P103" s="17"/>
    </row>
    <row r="104" spans="1:16" ht="22.5" hidden="1" outlineLevel="1" x14ac:dyDescent="0.2">
      <c r="A104" s="415" t="s">
        <v>524</v>
      </c>
      <c r="B104" s="410"/>
      <c r="C104" s="427"/>
      <c r="D104" s="428"/>
      <c r="E104" s="427">
        <v>1734607.88</v>
      </c>
      <c r="F104" s="427"/>
      <c r="G104" s="345">
        <f t="shared" si="28"/>
        <v>1734607.88</v>
      </c>
      <c r="H104" s="413"/>
      <c r="I104" s="345"/>
      <c r="J104" s="345"/>
      <c r="K104" s="427"/>
      <c r="P104" s="17"/>
    </row>
    <row r="105" spans="1:16" ht="12.75" hidden="1" outlineLevel="1" x14ac:dyDescent="0.2">
      <c r="A105" s="415"/>
      <c r="B105" s="410"/>
      <c r="C105" s="427"/>
      <c r="D105" s="428"/>
      <c r="E105" s="427"/>
      <c r="F105" s="333"/>
      <c r="G105" s="345">
        <f t="shared" si="28"/>
        <v>0</v>
      </c>
      <c r="H105" s="413"/>
      <c r="I105" s="345"/>
      <c r="J105" s="345"/>
      <c r="K105" s="345"/>
      <c r="P105" s="17"/>
    </row>
    <row r="106" spans="1:16" ht="12.95" customHeight="1" collapsed="1" x14ac:dyDescent="0.2">
      <c r="A106" s="417" t="s">
        <v>5</v>
      </c>
      <c r="B106" s="418"/>
      <c r="C106" s="419">
        <f>C68</f>
        <v>33485281.783999979</v>
      </c>
      <c r="D106" s="419">
        <f>D68</f>
        <v>0</v>
      </c>
      <c r="E106" s="419">
        <f>E68</f>
        <v>34930788.349999979</v>
      </c>
      <c r="F106" s="419">
        <f>F68</f>
        <v>32330881.600000016</v>
      </c>
      <c r="G106" s="419">
        <f t="shared" si="28"/>
        <v>2599906.7499999627</v>
      </c>
      <c r="H106" s="419">
        <f>H68</f>
        <v>0</v>
      </c>
      <c r="I106" s="419">
        <f>I68</f>
        <v>-1154400.1800000002</v>
      </c>
      <c r="J106" s="419">
        <f>J68</f>
        <v>0</v>
      </c>
      <c r="K106" s="419">
        <f>K68</f>
        <v>0</v>
      </c>
      <c r="P106" s="17"/>
    </row>
    <row r="108" spans="1:16" ht="15" x14ac:dyDescent="0.2">
      <c r="A108" s="470" t="s">
        <v>522</v>
      </c>
      <c r="B108" s="470"/>
      <c r="C108" s="342">
        <f>C109</f>
        <v>8913680.7302999999</v>
      </c>
      <c r="D108" s="342">
        <f t="shared" ref="D108:I108" si="35">D109</f>
        <v>0</v>
      </c>
      <c r="E108" s="342">
        <f t="shared" si="35"/>
        <v>9514750.7100000009</v>
      </c>
      <c r="F108" s="342">
        <f t="shared" si="35"/>
        <v>8197402.0099999998</v>
      </c>
      <c r="G108" s="342">
        <f t="shared" si="35"/>
        <v>1317348.7000000011</v>
      </c>
      <c r="H108" s="342">
        <f>H109</f>
        <v>0</v>
      </c>
      <c r="I108" s="342">
        <f t="shared" si="35"/>
        <v>0</v>
      </c>
      <c r="J108" s="342">
        <f>J109</f>
        <v>0</v>
      </c>
      <c r="K108" s="342">
        <f>K109</f>
        <v>1317348.7000000011</v>
      </c>
    </row>
    <row r="109" spans="1:16" x14ac:dyDescent="0.2">
      <c r="A109" s="409"/>
      <c r="B109" s="414"/>
      <c r="C109" s="329">
        <f t="shared" ref="C109:K109" si="36">SUM(C110:C111)</f>
        <v>8913680.7302999999</v>
      </c>
      <c r="D109" s="329">
        <f t="shared" si="36"/>
        <v>0</v>
      </c>
      <c r="E109" s="329">
        <f t="shared" si="36"/>
        <v>9514750.7100000009</v>
      </c>
      <c r="F109" s="329">
        <f t="shared" si="36"/>
        <v>8197402.0099999998</v>
      </c>
      <c r="G109" s="329">
        <f t="shared" si="36"/>
        <v>1317348.7000000011</v>
      </c>
      <c r="H109" s="329">
        <f t="shared" si="36"/>
        <v>0</v>
      </c>
      <c r="I109" s="329">
        <f t="shared" si="36"/>
        <v>0</v>
      </c>
      <c r="J109" s="329">
        <f t="shared" si="36"/>
        <v>0</v>
      </c>
      <c r="K109" s="329">
        <f t="shared" si="36"/>
        <v>1317348.7000000011</v>
      </c>
    </row>
    <row r="110" spans="1:16" ht="12.75" outlineLevel="1" x14ac:dyDescent="0.2">
      <c r="A110" s="399" t="s">
        <v>521</v>
      </c>
      <c r="B110" s="399" t="s">
        <v>523</v>
      </c>
      <c r="C110" s="427">
        <f>206478.59*43.17</f>
        <v>8913680.7302999999</v>
      </c>
      <c r="D110" s="427"/>
      <c r="E110" s="427">
        <f>8197402.01+981507.29+335841.41</f>
        <v>9514750.7100000009</v>
      </c>
      <c r="F110" s="395">
        <v>8197402.0099999998</v>
      </c>
      <c r="G110" s="345">
        <f t="shared" ref="G110:G112" si="37">E110-F110</f>
        <v>1317348.7000000011</v>
      </c>
      <c r="H110" s="413"/>
      <c r="I110" s="345"/>
      <c r="J110" s="345"/>
      <c r="K110" s="345">
        <f>G110+J110+H110+I110</f>
        <v>1317348.7000000011</v>
      </c>
    </row>
    <row r="111" spans="1:16" ht="12.75" outlineLevel="1" x14ac:dyDescent="0.2">
      <c r="A111" s="415"/>
      <c r="B111" s="410"/>
      <c r="C111" s="427"/>
      <c r="D111" s="428"/>
      <c r="E111" s="427"/>
      <c r="F111" s="333"/>
      <c r="G111" s="345"/>
      <c r="H111" s="413"/>
      <c r="I111" s="345"/>
      <c r="J111" s="345"/>
      <c r="K111" s="345"/>
    </row>
    <row r="112" spans="1:16" ht="15" x14ac:dyDescent="0.2">
      <c r="A112" s="417" t="s">
        <v>5</v>
      </c>
      <c r="B112" s="418"/>
      <c r="C112" s="419">
        <f>C108</f>
        <v>8913680.7302999999</v>
      </c>
      <c r="D112" s="419">
        <f>D108</f>
        <v>0</v>
      </c>
      <c r="E112" s="419">
        <f>E108</f>
        <v>9514750.7100000009</v>
      </c>
      <c r="F112" s="419">
        <f>F108</f>
        <v>8197402.0099999998</v>
      </c>
      <c r="G112" s="419">
        <f t="shared" si="37"/>
        <v>1317348.7000000011</v>
      </c>
      <c r="H112" s="419">
        <f>H108</f>
        <v>0</v>
      </c>
      <c r="I112" s="419">
        <f>I108</f>
        <v>0</v>
      </c>
      <c r="J112" s="419">
        <f>J108</f>
        <v>0</v>
      </c>
      <c r="K112" s="419">
        <f>K108</f>
        <v>1317348.7000000011</v>
      </c>
    </row>
    <row r="114" spans="1:15" ht="15" customHeight="1" x14ac:dyDescent="0.2">
      <c r="A114" s="470" t="s">
        <v>538</v>
      </c>
      <c r="B114" s="470"/>
      <c r="C114" s="342">
        <f>C115</f>
        <v>0</v>
      </c>
      <c r="D114" s="342">
        <f t="shared" ref="D114:I114" si="38">D115</f>
        <v>0</v>
      </c>
      <c r="E114" s="342">
        <f t="shared" si="38"/>
        <v>0</v>
      </c>
      <c r="F114" s="342">
        <f t="shared" si="38"/>
        <v>3787670.3</v>
      </c>
      <c r="G114" s="342">
        <f t="shared" si="38"/>
        <v>-3787670.3</v>
      </c>
      <c r="H114" s="342">
        <f>H115</f>
        <v>0</v>
      </c>
      <c r="I114" s="342">
        <f t="shared" si="38"/>
        <v>0</v>
      </c>
      <c r="J114" s="342">
        <f>J115</f>
        <v>0</v>
      </c>
      <c r="K114" s="342">
        <f>K115</f>
        <v>0</v>
      </c>
    </row>
    <row r="115" spans="1:15" x14ac:dyDescent="0.2">
      <c r="A115" s="409"/>
      <c r="B115" s="414"/>
      <c r="C115" s="329">
        <f t="shared" ref="C115:K115" si="39">SUM(C116:C117)</f>
        <v>0</v>
      </c>
      <c r="D115" s="329">
        <f t="shared" si="39"/>
        <v>0</v>
      </c>
      <c r="E115" s="329">
        <f t="shared" si="39"/>
        <v>0</v>
      </c>
      <c r="F115" s="329">
        <f t="shared" si="39"/>
        <v>3787670.3</v>
      </c>
      <c r="G115" s="329">
        <f t="shared" si="39"/>
        <v>-3787670.3</v>
      </c>
      <c r="H115" s="329">
        <f t="shared" si="39"/>
        <v>0</v>
      </c>
      <c r="I115" s="329">
        <f t="shared" si="39"/>
        <v>0</v>
      </c>
      <c r="J115" s="329">
        <f t="shared" si="39"/>
        <v>0</v>
      </c>
      <c r="K115" s="329">
        <f t="shared" si="39"/>
        <v>0</v>
      </c>
    </row>
    <row r="116" spans="1:15" ht="12.75" outlineLevel="1" x14ac:dyDescent="0.2">
      <c r="A116" s="399"/>
      <c r="B116" s="399" t="s">
        <v>539</v>
      </c>
      <c r="C116" s="433">
        <v>0</v>
      </c>
      <c r="D116" s="433"/>
      <c r="E116" s="433">
        <v>0</v>
      </c>
      <c r="F116" s="395">
        <v>3787670.3</v>
      </c>
      <c r="G116" s="345">
        <f t="shared" ref="G116" si="40">E116-F116</f>
        <v>-3787670.3</v>
      </c>
      <c r="H116" s="413"/>
      <c r="I116" s="345"/>
      <c r="J116" s="345"/>
      <c r="K116" s="345">
        <v>0</v>
      </c>
    </row>
    <row r="117" spans="1:15" ht="12.75" outlineLevel="1" x14ac:dyDescent="0.2">
      <c r="A117" s="415"/>
      <c r="B117" s="410"/>
      <c r="C117" s="433"/>
      <c r="D117" s="434"/>
      <c r="E117" s="433"/>
      <c r="F117" s="333"/>
      <c r="G117" s="345"/>
      <c r="H117" s="413"/>
      <c r="I117" s="345"/>
      <c r="J117" s="345"/>
      <c r="K117" s="345"/>
    </row>
    <row r="118" spans="1:15" ht="15" x14ac:dyDescent="0.2">
      <c r="A118" s="417" t="s">
        <v>5</v>
      </c>
      <c r="B118" s="418"/>
      <c r="C118" s="419">
        <f>C114</f>
        <v>0</v>
      </c>
      <c r="D118" s="419">
        <f>D114</f>
        <v>0</v>
      </c>
      <c r="E118" s="419">
        <f>E114</f>
        <v>0</v>
      </c>
      <c r="F118" s="419">
        <f>F114</f>
        <v>3787670.3</v>
      </c>
      <c r="G118" s="419">
        <f t="shared" ref="G118" si="41">E118-F118</f>
        <v>-3787670.3</v>
      </c>
      <c r="H118" s="419">
        <f>H114</f>
        <v>0</v>
      </c>
      <c r="I118" s="419">
        <f>I114</f>
        <v>0</v>
      </c>
      <c r="J118" s="419">
        <f>J114</f>
        <v>0</v>
      </c>
      <c r="K118" s="419">
        <f>K114</f>
        <v>0</v>
      </c>
    </row>
    <row r="120" spans="1:15" s="1" customFormat="1" ht="15" x14ac:dyDescent="0.2">
      <c r="A120" s="470" t="s">
        <v>544</v>
      </c>
      <c r="B120" s="470"/>
      <c r="C120" s="342">
        <f>C121</f>
        <v>0</v>
      </c>
      <c r="D120" s="342">
        <f t="shared" ref="D120:I120" si="42">D121</f>
        <v>0</v>
      </c>
      <c r="E120" s="342">
        <f t="shared" si="42"/>
        <v>0</v>
      </c>
      <c r="F120" s="342">
        <f t="shared" si="42"/>
        <v>4770134.46</v>
      </c>
      <c r="G120" s="342">
        <f t="shared" si="42"/>
        <v>-4770134.46</v>
      </c>
      <c r="H120" s="342">
        <f>H121</f>
        <v>0</v>
      </c>
      <c r="I120" s="342">
        <f t="shared" si="42"/>
        <v>0</v>
      </c>
      <c r="J120" s="342">
        <f>J121</f>
        <v>0</v>
      </c>
      <c r="K120" s="342">
        <f>K121</f>
        <v>0</v>
      </c>
      <c r="O120" s="408"/>
    </row>
    <row r="121" spans="1:15" s="1" customFormat="1" x14ac:dyDescent="0.2">
      <c r="A121" s="409"/>
      <c r="B121" s="414"/>
      <c r="C121" s="329">
        <f t="shared" ref="C121:K121" si="43">SUM(C122:C124)</f>
        <v>0</v>
      </c>
      <c r="D121" s="329">
        <f t="shared" si="43"/>
        <v>0</v>
      </c>
      <c r="E121" s="329">
        <f t="shared" si="43"/>
        <v>0</v>
      </c>
      <c r="F121" s="329">
        <f t="shared" si="43"/>
        <v>4770134.46</v>
      </c>
      <c r="G121" s="329">
        <f t="shared" si="43"/>
        <v>-4770134.46</v>
      </c>
      <c r="H121" s="329">
        <f t="shared" si="43"/>
        <v>0</v>
      </c>
      <c r="I121" s="329">
        <f t="shared" si="43"/>
        <v>0</v>
      </c>
      <c r="J121" s="329">
        <f t="shared" si="43"/>
        <v>0</v>
      </c>
      <c r="K121" s="329">
        <f t="shared" si="43"/>
        <v>0</v>
      </c>
    </row>
    <row r="122" spans="1:15" s="1" customFormat="1" outlineLevel="1" x14ac:dyDescent="0.2">
      <c r="A122" s="420"/>
      <c r="B122" s="420" t="s">
        <v>544</v>
      </c>
      <c r="C122" s="406"/>
      <c r="D122" s="427"/>
      <c r="E122" s="427"/>
      <c r="F122" s="395">
        <f>4770134.46</f>
        <v>4770134.46</v>
      </c>
      <c r="G122" s="416">
        <f t="shared" ref="G122:G125" si="44">E122-F122</f>
        <v>-4770134.46</v>
      </c>
      <c r="H122" s="406"/>
      <c r="I122" s="416"/>
      <c r="J122" s="416"/>
      <c r="K122" s="416"/>
    </row>
    <row r="123" spans="1:15" s="1" customFormat="1" ht="14.45" customHeight="1" outlineLevel="1" x14ac:dyDescent="0.2">
      <c r="A123" s="415"/>
      <c r="B123" s="410"/>
      <c r="C123" s="427"/>
      <c r="D123" s="428"/>
      <c r="E123" s="427"/>
      <c r="F123" s="333"/>
      <c r="G123" s="345"/>
      <c r="H123" s="413"/>
      <c r="I123" s="345"/>
      <c r="J123" s="345"/>
      <c r="K123" s="345"/>
    </row>
    <row r="124" spans="1:15" s="1" customFormat="1" ht="12.75" outlineLevel="1" x14ac:dyDescent="0.2">
      <c r="A124" s="415"/>
      <c r="B124" s="410"/>
      <c r="C124" s="427"/>
      <c r="D124" s="428"/>
      <c r="E124" s="427"/>
      <c r="F124" s="333"/>
      <c r="G124" s="345"/>
      <c r="H124" s="413"/>
      <c r="I124" s="345"/>
      <c r="J124" s="345"/>
      <c r="K124" s="345"/>
    </row>
    <row r="125" spans="1:15" s="1" customFormat="1" ht="15" x14ac:dyDescent="0.2">
      <c r="A125" s="417" t="s">
        <v>5</v>
      </c>
      <c r="B125" s="418"/>
      <c r="C125" s="419">
        <f>C120</f>
        <v>0</v>
      </c>
      <c r="D125" s="419">
        <f>D120</f>
        <v>0</v>
      </c>
      <c r="E125" s="419">
        <f>E120</f>
        <v>0</v>
      </c>
      <c r="F125" s="419">
        <f>F120</f>
        <v>4770134.46</v>
      </c>
      <c r="G125" s="419">
        <f t="shared" si="44"/>
        <v>-4770134.46</v>
      </c>
      <c r="H125" s="419">
        <f>H120</f>
        <v>0</v>
      </c>
      <c r="I125" s="419">
        <f>I120</f>
        <v>0</v>
      </c>
      <c r="J125" s="419">
        <f>J120</f>
        <v>0</v>
      </c>
      <c r="K125" s="419">
        <f>K120</f>
        <v>0</v>
      </c>
    </row>
    <row r="126" spans="1:15" s="412" customFormat="1" ht="15" x14ac:dyDescent="0.2">
      <c r="A126" s="400"/>
      <c r="B126" s="401"/>
      <c r="C126" s="402"/>
      <c r="D126" s="402"/>
      <c r="E126" s="402"/>
      <c r="F126" s="402"/>
      <c r="G126" s="402"/>
      <c r="H126" s="402"/>
      <c r="I126" s="402"/>
      <c r="J126" s="402"/>
      <c r="K126" s="402"/>
      <c r="O126" s="1"/>
    </row>
    <row r="127" spans="1:15" s="1" customFormat="1" ht="15" x14ac:dyDescent="0.2">
      <c r="A127" s="470" t="s">
        <v>452</v>
      </c>
      <c r="B127" s="470"/>
      <c r="C127" s="342">
        <f>C128</f>
        <v>12178525.57</v>
      </c>
      <c r="D127" s="342">
        <f t="shared" ref="D127:I127" si="45">D128</f>
        <v>497000</v>
      </c>
      <c r="E127" s="342">
        <f t="shared" si="45"/>
        <v>0</v>
      </c>
      <c r="F127" s="342">
        <f t="shared" si="45"/>
        <v>12178525.57</v>
      </c>
      <c r="G127" s="342">
        <f t="shared" si="45"/>
        <v>-12178525.57</v>
      </c>
      <c r="H127" s="342">
        <f>H128</f>
        <v>0</v>
      </c>
      <c r="I127" s="342">
        <f t="shared" si="45"/>
        <v>0</v>
      </c>
      <c r="J127" s="342">
        <f>J128</f>
        <v>0</v>
      </c>
      <c r="K127" s="342">
        <f>K128</f>
        <v>0</v>
      </c>
      <c r="O127" s="412"/>
    </row>
    <row r="128" spans="1:15" s="1" customFormat="1" x14ac:dyDescent="0.2">
      <c r="A128" s="409"/>
      <c r="B128" s="414"/>
      <c r="C128" s="329">
        <f t="shared" ref="C128:K128" si="46">SUM(C129:C131)</f>
        <v>12178525.57</v>
      </c>
      <c r="D128" s="329">
        <f t="shared" si="46"/>
        <v>497000</v>
      </c>
      <c r="E128" s="329">
        <f t="shared" si="46"/>
        <v>0</v>
      </c>
      <c r="F128" s="329">
        <f t="shared" si="46"/>
        <v>12178525.57</v>
      </c>
      <c r="G128" s="329">
        <f t="shared" si="46"/>
        <v>-12178525.57</v>
      </c>
      <c r="H128" s="329">
        <f t="shared" si="46"/>
        <v>0</v>
      </c>
      <c r="I128" s="329">
        <f t="shared" si="46"/>
        <v>0</v>
      </c>
      <c r="J128" s="329">
        <f t="shared" si="46"/>
        <v>0</v>
      </c>
      <c r="K128" s="329">
        <f t="shared" si="46"/>
        <v>0</v>
      </c>
    </row>
    <row r="129" spans="1:15" s="1" customFormat="1" ht="22.5" outlineLevel="1" x14ac:dyDescent="0.2">
      <c r="A129" s="415" t="s">
        <v>508</v>
      </c>
      <c r="B129" s="410"/>
      <c r="C129" s="427">
        <f>11100000+700570.94+377954.63</f>
        <v>12178525.57</v>
      </c>
      <c r="D129" s="428">
        <v>497000</v>
      </c>
      <c r="E129" s="427"/>
      <c r="F129" s="427">
        <f>5900285.47+3000000+377954.63+2000000+900285.47</f>
        <v>12178525.57</v>
      </c>
      <c r="G129" s="345">
        <f t="shared" ref="G129:G132" si="47">E129-F129</f>
        <v>-12178525.57</v>
      </c>
      <c r="I129" s="345"/>
      <c r="J129" s="345"/>
      <c r="K129" s="427"/>
    </row>
    <row r="130" spans="1:15" s="1" customFormat="1" ht="12.75" outlineLevel="1" x14ac:dyDescent="0.2">
      <c r="A130" s="415"/>
      <c r="B130" s="410"/>
      <c r="C130" s="428"/>
      <c r="D130" s="428"/>
      <c r="E130" s="427"/>
      <c r="F130" s="413"/>
      <c r="G130" s="345"/>
      <c r="H130" s="413"/>
      <c r="I130" s="345"/>
      <c r="J130" s="345"/>
      <c r="K130" s="345"/>
    </row>
    <row r="131" spans="1:15" s="1" customFormat="1" ht="12.75" outlineLevel="1" x14ac:dyDescent="0.2">
      <c r="A131" s="415"/>
      <c r="B131" s="410"/>
      <c r="C131" s="427"/>
      <c r="D131" s="428"/>
      <c r="E131" s="427"/>
      <c r="F131" s="333"/>
      <c r="G131" s="345"/>
      <c r="H131" s="413"/>
      <c r="I131" s="345"/>
      <c r="J131" s="345"/>
      <c r="K131" s="345"/>
    </row>
    <row r="132" spans="1:15" s="1" customFormat="1" ht="15" x14ac:dyDescent="0.2">
      <c r="A132" s="417" t="s">
        <v>5</v>
      </c>
      <c r="B132" s="418"/>
      <c r="C132" s="419">
        <f>C127</f>
        <v>12178525.57</v>
      </c>
      <c r="D132" s="419">
        <f>D127</f>
        <v>497000</v>
      </c>
      <c r="E132" s="419">
        <f>E127</f>
        <v>0</v>
      </c>
      <c r="F132" s="419">
        <f>F127</f>
        <v>12178525.57</v>
      </c>
      <c r="G132" s="419">
        <f t="shared" si="47"/>
        <v>-12178525.57</v>
      </c>
      <c r="H132" s="419">
        <f>H127</f>
        <v>0</v>
      </c>
      <c r="I132" s="419">
        <f>I127</f>
        <v>0</v>
      </c>
      <c r="J132" s="419">
        <f>J127</f>
        <v>0</v>
      </c>
      <c r="K132" s="419">
        <f>K127</f>
        <v>0</v>
      </c>
    </row>
    <row r="133" spans="1:15" s="412" customFormat="1" ht="15" x14ac:dyDescent="0.2">
      <c r="A133" s="400"/>
      <c r="B133" s="401"/>
      <c r="C133" s="402"/>
      <c r="D133" s="402"/>
      <c r="E133" s="402"/>
      <c r="F133" s="402"/>
      <c r="G133" s="402"/>
      <c r="H133" s="402"/>
      <c r="I133" s="402"/>
      <c r="J133" s="402"/>
      <c r="K133" s="402"/>
      <c r="O133" s="1"/>
    </row>
    <row r="134" spans="1:15" s="1" customFormat="1" ht="15" x14ac:dyDescent="0.2">
      <c r="A134" s="470" t="s">
        <v>534</v>
      </c>
      <c r="B134" s="470"/>
      <c r="C134" s="342">
        <f>C135</f>
        <v>5192818.4000000004</v>
      </c>
      <c r="D134" s="342">
        <f t="shared" ref="D134:I134" si="48">D135</f>
        <v>0</v>
      </c>
      <c r="E134" s="342">
        <f t="shared" si="48"/>
        <v>5253656.99</v>
      </c>
      <c r="F134" s="342">
        <f t="shared" si="48"/>
        <v>5253656.99</v>
      </c>
      <c r="G134" s="342">
        <f t="shared" si="48"/>
        <v>0</v>
      </c>
      <c r="H134" s="342">
        <f>H135</f>
        <v>0</v>
      </c>
      <c r="I134" s="342">
        <f t="shared" si="48"/>
        <v>0</v>
      </c>
      <c r="J134" s="342">
        <f>J135</f>
        <v>0</v>
      </c>
      <c r="K134" s="342">
        <f>K135</f>
        <v>0</v>
      </c>
      <c r="O134" s="412"/>
    </row>
    <row r="135" spans="1:15" s="1" customFormat="1" x14ac:dyDescent="0.2">
      <c r="A135" s="409"/>
      <c r="B135" s="414"/>
      <c r="C135" s="329">
        <f t="shared" ref="C135:K135" si="49">SUM(C136:C138)</f>
        <v>5192818.4000000004</v>
      </c>
      <c r="D135" s="329">
        <f t="shared" si="49"/>
        <v>0</v>
      </c>
      <c r="E135" s="329">
        <f t="shared" si="49"/>
        <v>5253656.99</v>
      </c>
      <c r="F135" s="329">
        <f t="shared" si="49"/>
        <v>5253656.99</v>
      </c>
      <c r="G135" s="329">
        <f>SUM(G136:G138)</f>
        <v>0</v>
      </c>
      <c r="H135" s="329">
        <f t="shared" si="49"/>
        <v>0</v>
      </c>
      <c r="I135" s="329">
        <f t="shared" si="49"/>
        <v>0</v>
      </c>
      <c r="J135" s="329">
        <f t="shared" si="49"/>
        <v>0</v>
      </c>
      <c r="K135" s="329">
        <f t="shared" si="49"/>
        <v>0</v>
      </c>
    </row>
    <row r="136" spans="1:15" s="1" customFormat="1" outlineLevel="1" x14ac:dyDescent="0.2">
      <c r="A136" s="435" t="s">
        <v>534</v>
      </c>
      <c r="B136" s="410"/>
      <c r="C136" s="432">
        <f>118018.6*44</f>
        <v>5192818.4000000004</v>
      </c>
      <c r="D136" s="427"/>
      <c r="E136" s="427">
        <v>5253656.99</v>
      </c>
      <c r="F136" s="439">
        <v>5253656.99</v>
      </c>
      <c r="G136" s="345">
        <f>E136-F136</f>
        <v>0</v>
      </c>
      <c r="H136" s="398"/>
      <c r="I136" s="345"/>
      <c r="J136" s="345"/>
      <c r="K136" s="345"/>
    </row>
    <row r="137" spans="1:15" s="1" customFormat="1" outlineLevel="1" x14ac:dyDescent="0.2">
      <c r="A137" s="415"/>
      <c r="B137" s="410"/>
      <c r="C137" s="427"/>
      <c r="D137" s="427"/>
      <c r="E137" s="427"/>
      <c r="F137" s="333"/>
      <c r="H137" s="395"/>
      <c r="I137" s="345"/>
      <c r="J137" s="345"/>
      <c r="K137" s="416"/>
    </row>
    <row r="138" spans="1:15" s="1" customFormat="1" outlineLevel="1" x14ac:dyDescent="0.2">
      <c r="A138" s="435"/>
      <c r="B138" s="410"/>
      <c r="C138" s="427"/>
      <c r="D138" s="427"/>
      <c r="E138" s="427"/>
      <c r="F138" s="333"/>
      <c r="G138" s="345"/>
      <c r="H138" s="333"/>
      <c r="I138" s="345"/>
      <c r="J138" s="345"/>
      <c r="K138" s="416"/>
    </row>
    <row r="139" spans="1:15" s="1" customFormat="1" ht="15" x14ac:dyDescent="0.2">
      <c r="A139" s="417" t="s">
        <v>5</v>
      </c>
      <c r="B139" s="418"/>
      <c r="C139" s="419">
        <f>C134</f>
        <v>5192818.4000000004</v>
      </c>
      <c r="D139" s="419">
        <f t="shared" ref="D139:J139" si="50">D134</f>
        <v>0</v>
      </c>
      <c r="E139" s="419">
        <f t="shared" si="50"/>
        <v>5253656.99</v>
      </c>
      <c r="F139" s="419">
        <f t="shared" si="50"/>
        <v>5253656.99</v>
      </c>
      <c r="G139" s="419">
        <f t="shared" ref="G139" si="51">E139-F139</f>
        <v>0</v>
      </c>
      <c r="H139" s="419">
        <f t="shared" si="50"/>
        <v>0</v>
      </c>
      <c r="I139" s="419">
        <f t="shared" si="50"/>
        <v>0</v>
      </c>
      <c r="J139" s="419">
        <f t="shared" si="50"/>
        <v>0</v>
      </c>
      <c r="K139" s="419" t="s">
        <v>533</v>
      </c>
    </row>
    <row r="140" spans="1:15" hidden="1" x14ac:dyDescent="0.2">
      <c r="C140" s="2"/>
      <c r="D140" s="2"/>
      <c r="E140" s="407" t="e">
        <f>E7+E25+E57+E68+#REF!+E120+E127++E134+E16</f>
        <v>#REF!</v>
      </c>
      <c r="F140" s="407" t="e">
        <f>F7+F25+F57+F68+#REF!+F120+F127++F134+F16</f>
        <v>#REF!</v>
      </c>
      <c r="G140" s="407" t="e">
        <f>G7+G25+G57+G68+#REF!+G120+G127++G134+G16</f>
        <v>#REF!</v>
      </c>
      <c r="H140" s="407" t="e">
        <f>H7+H25+H57+H68+#REF!+H120+H127++H134+H16</f>
        <v>#REF!</v>
      </c>
      <c r="I140" s="407" t="e">
        <f>I7+I25+I57+I68+#REF!+I120+I127++I134+I16</f>
        <v>#REF!</v>
      </c>
      <c r="J140" s="407" t="e">
        <f>J7+J25+J57+J68+#REF!+J120+J127++J134+J16</f>
        <v>#REF!</v>
      </c>
      <c r="K140" s="407" t="e">
        <f>K7+K25+K57+K68+#REF!+K120+K127++K134+K16</f>
        <v>#REF!</v>
      </c>
      <c r="O140" s="1"/>
    </row>
    <row r="142" spans="1:15" ht="15" x14ac:dyDescent="0.2">
      <c r="A142" s="470" t="s">
        <v>540</v>
      </c>
      <c r="B142" s="470"/>
      <c r="C142" s="342">
        <f>C143</f>
        <v>19681200</v>
      </c>
      <c r="D142" s="342">
        <f t="shared" ref="D142:I142" si="52">D143</f>
        <v>0</v>
      </c>
      <c r="E142" s="342">
        <f t="shared" si="52"/>
        <v>0</v>
      </c>
      <c r="F142" s="342">
        <f t="shared" si="52"/>
        <v>0</v>
      </c>
      <c r="G142" s="342">
        <f t="shared" si="52"/>
        <v>0</v>
      </c>
      <c r="H142" s="342">
        <f>H143</f>
        <v>3758899.2000000002</v>
      </c>
      <c r="I142" s="342">
        <f t="shared" si="52"/>
        <v>0</v>
      </c>
      <c r="J142" s="342">
        <f>J143</f>
        <v>0</v>
      </c>
      <c r="K142" s="342">
        <f>K143</f>
        <v>0</v>
      </c>
    </row>
    <row r="143" spans="1:15" x14ac:dyDescent="0.2">
      <c r="A143" s="409"/>
      <c r="B143" s="414"/>
      <c r="C143" s="329">
        <f t="shared" ref="C143:K143" si="53">SUM(C144:C146)</f>
        <v>19681200</v>
      </c>
      <c r="D143" s="329">
        <f t="shared" si="53"/>
        <v>0</v>
      </c>
      <c r="E143" s="329">
        <f t="shared" si="53"/>
        <v>0</v>
      </c>
      <c r="F143" s="329">
        <f t="shared" si="53"/>
        <v>0</v>
      </c>
      <c r="G143" s="329">
        <f t="shared" si="53"/>
        <v>0</v>
      </c>
      <c r="H143" s="329">
        <f t="shared" si="53"/>
        <v>3758899.2000000002</v>
      </c>
      <c r="I143" s="329">
        <f t="shared" si="53"/>
        <v>0</v>
      </c>
      <c r="J143" s="329">
        <f t="shared" si="53"/>
        <v>0</v>
      </c>
      <c r="K143" s="329">
        <f t="shared" si="53"/>
        <v>0</v>
      </c>
    </row>
    <row r="144" spans="1:15" x14ac:dyDescent="0.2">
      <c r="A144" s="435" t="s">
        <v>541</v>
      </c>
      <c r="B144" s="435" t="s">
        <v>541</v>
      </c>
      <c r="C144" s="438">
        <f>1232000*6</f>
        <v>7392000</v>
      </c>
      <c r="D144" s="433"/>
      <c r="E144" s="433"/>
      <c r="F144" s="333"/>
      <c r="G144" s="345">
        <f t="shared" ref="G144" si="54">E144-F144</f>
        <v>0</v>
      </c>
      <c r="H144" s="398">
        <v>3758899.2000000002</v>
      </c>
      <c r="I144" s="345"/>
      <c r="J144" s="345"/>
      <c r="K144" s="345"/>
    </row>
    <row r="145" spans="1:11" x14ac:dyDescent="0.2">
      <c r="A145" s="415" t="s">
        <v>542</v>
      </c>
      <c r="B145" s="415" t="s">
        <v>542</v>
      </c>
      <c r="C145" s="438">
        <f>1755600*7</f>
        <v>12289200</v>
      </c>
      <c r="D145" s="433"/>
      <c r="E145" s="433"/>
      <c r="F145" s="333"/>
      <c r="G145" s="345"/>
      <c r="H145" s="395"/>
      <c r="I145" s="345"/>
      <c r="J145" s="345"/>
      <c r="K145" s="416"/>
    </row>
    <row r="146" spans="1:11" x14ac:dyDescent="0.2">
      <c r="A146" s="435"/>
      <c r="B146" s="410"/>
      <c r="C146" s="433"/>
      <c r="D146" s="433"/>
      <c r="E146" s="433"/>
      <c r="F146" s="333"/>
      <c r="G146" s="345"/>
      <c r="H146" s="333"/>
      <c r="I146" s="345"/>
      <c r="J146" s="345"/>
      <c r="K146" s="416"/>
    </row>
    <row r="147" spans="1:11" ht="15" x14ac:dyDescent="0.2">
      <c r="A147" s="417" t="s">
        <v>5</v>
      </c>
      <c r="B147" s="418"/>
      <c r="C147" s="419">
        <f>C142</f>
        <v>19681200</v>
      </c>
      <c r="D147" s="419">
        <f t="shared" ref="D147:F147" si="55">D142</f>
        <v>0</v>
      </c>
      <c r="E147" s="419">
        <f t="shared" si="55"/>
        <v>0</v>
      </c>
      <c r="F147" s="419">
        <f t="shared" si="55"/>
        <v>0</v>
      </c>
      <c r="G147" s="419">
        <f t="shared" ref="G147" si="56">E147-F147</f>
        <v>0</v>
      </c>
      <c r="H147" s="419">
        <f t="shared" ref="H147:J147" si="57">H142</f>
        <v>3758899.2000000002</v>
      </c>
      <c r="I147" s="419">
        <f t="shared" si="57"/>
        <v>0</v>
      </c>
      <c r="J147" s="419">
        <f t="shared" si="57"/>
        <v>0</v>
      </c>
      <c r="K147" s="419" t="s">
        <v>533</v>
      </c>
    </row>
  </sheetData>
  <mergeCells count="20">
    <mergeCell ref="E4:G4"/>
    <mergeCell ref="A53:B53"/>
    <mergeCell ref="K4:K5"/>
    <mergeCell ref="A7:B7"/>
    <mergeCell ref="A16:B16"/>
    <mergeCell ref="A25:B25"/>
    <mergeCell ref="A49:B49"/>
    <mergeCell ref="I4:I5"/>
    <mergeCell ref="J4:J5"/>
    <mergeCell ref="A142:B142"/>
    <mergeCell ref="A57:B57"/>
    <mergeCell ref="B4:B5"/>
    <mergeCell ref="C4:C5"/>
    <mergeCell ref="D4:D5"/>
    <mergeCell ref="A68:B68"/>
    <mergeCell ref="A108:B108"/>
    <mergeCell ref="A120:B120"/>
    <mergeCell ref="A127:B127"/>
    <mergeCell ref="A134:B134"/>
    <mergeCell ref="A114:B11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3717-E613-4E12-974D-52A0CF78C053}">
  <dimension ref="A1:E7"/>
  <sheetViews>
    <sheetView workbookViewId="0">
      <selection activeCell="E28" sqref="E28"/>
    </sheetView>
  </sheetViews>
  <sheetFormatPr defaultRowHeight="11.25" x14ac:dyDescent="0.2"/>
  <cols>
    <col min="1" max="1" width="11.6640625" bestFit="1" customWidth="1"/>
    <col min="2" max="2" width="18.1640625" bestFit="1" customWidth="1"/>
    <col min="3" max="3" width="11.33203125" bestFit="1" customWidth="1"/>
    <col min="4" max="4" width="15.5" bestFit="1" customWidth="1"/>
    <col min="5" max="5" width="12.6640625" bestFit="1" customWidth="1"/>
  </cols>
  <sheetData>
    <row r="1" spans="1:5" ht="12.75" x14ac:dyDescent="0.2">
      <c r="A1" s="376" t="s">
        <v>425</v>
      </c>
      <c r="B1" s="376" t="s">
        <v>426</v>
      </c>
      <c r="C1" s="376" t="s">
        <v>427</v>
      </c>
      <c r="D1" s="376" t="s">
        <v>428</v>
      </c>
      <c r="E1" s="376" t="s">
        <v>429</v>
      </c>
    </row>
    <row r="2" spans="1:5" x14ac:dyDescent="0.2">
      <c r="A2" s="377" t="s">
        <v>431</v>
      </c>
      <c r="B2" s="377" t="s">
        <v>432</v>
      </c>
      <c r="C2" s="377" t="s">
        <v>433</v>
      </c>
      <c r="D2" s="377" t="s">
        <v>430</v>
      </c>
      <c r="E2" s="379">
        <v>5017405.5599999996</v>
      </c>
    </row>
    <row r="3" spans="1:5" x14ac:dyDescent="0.2">
      <c r="A3" s="377" t="s">
        <v>431</v>
      </c>
      <c r="B3" s="377" t="s">
        <v>434</v>
      </c>
      <c r="C3" s="377" t="s">
        <v>435</v>
      </c>
      <c r="D3" s="377" t="s">
        <v>430</v>
      </c>
      <c r="E3" s="379">
        <v>3028308.84</v>
      </c>
    </row>
    <row r="4" spans="1:5" x14ac:dyDescent="0.2">
      <c r="A4" s="377" t="s">
        <v>431</v>
      </c>
      <c r="B4" s="377" t="s">
        <v>436</v>
      </c>
      <c r="C4" s="377" t="s">
        <v>437</v>
      </c>
      <c r="D4" s="377" t="s">
        <v>430</v>
      </c>
      <c r="E4" s="379">
        <v>12718215.890000001</v>
      </c>
    </row>
    <row r="5" spans="1:5" x14ac:dyDescent="0.2">
      <c r="A5" s="377" t="s">
        <v>431</v>
      </c>
      <c r="B5" s="382" t="s">
        <v>442</v>
      </c>
      <c r="C5" s="382" t="s">
        <v>443</v>
      </c>
      <c r="D5" s="382" t="s">
        <v>430</v>
      </c>
      <c r="E5" s="383">
        <v>4414668.18</v>
      </c>
    </row>
    <row r="6" spans="1:5" x14ac:dyDescent="0.2">
      <c r="A6" s="377" t="s">
        <v>431</v>
      </c>
      <c r="B6" s="382" t="s">
        <v>447</v>
      </c>
      <c r="C6" s="382" t="s">
        <v>448</v>
      </c>
      <c r="D6" s="382" t="s">
        <v>430</v>
      </c>
      <c r="E6" s="383">
        <v>2132545.9700000002</v>
      </c>
    </row>
    <row r="7" spans="1:5" x14ac:dyDescent="0.2">
      <c r="A7" s="330"/>
      <c r="B7" s="330"/>
      <c r="C7" s="330"/>
      <c r="D7" s="330"/>
      <c r="E7" s="17">
        <f>SUM(E2:E6)</f>
        <v>27311144.439999998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1</vt:i4>
      </vt:variant>
    </vt:vector>
  </HeadingPairs>
  <TitlesOfParts>
    <vt:vector size="12" baseType="lpstr">
      <vt:lpstr>2022</vt:lpstr>
      <vt:lpstr>2022 перевірка</vt:lpstr>
      <vt:lpstr>15.09.2025</vt:lpstr>
      <vt:lpstr>22.09.2025</vt:lpstr>
      <vt:lpstr>29.09.2025</vt:lpstr>
      <vt:lpstr>06.10.2025</vt:lpstr>
      <vt:lpstr>13.10.2025</vt:lpstr>
      <vt:lpstr>20.10.2025</vt:lpstr>
      <vt:lpstr>26.10.2025</vt:lpstr>
      <vt:lpstr>24,07,2026</vt:lpstr>
      <vt:lpstr>ТМЦ_Глобино</vt:lpstr>
      <vt:lpstr>'2022'!Область_печати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</dc:creator>
  <cp:lastModifiedBy>cfo</cp:lastModifiedBy>
  <cp:lastPrinted>2025-12-12T14:00:48Z</cp:lastPrinted>
  <dcterms:created xsi:type="dcterms:W3CDTF">2020-07-17T07:24:18Z</dcterms:created>
  <dcterms:modified xsi:type="dcterms:W3CDTF">2026-08-07T09:37:41Z</dcterms:modified>
</cp:coreProperties>
</file>
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11c9009c97e055/Документи/"/>
    </mc:Choice>
  </mc:AlternateContent>
  <xr:revisionPtr revIDLastSave="43" documentId="13_ncr:1_{E0A62521-76E0-45BD-967C-9BBF3642F0DB}" xr6:coauthVersionLast="47" xr6:coauthVersionMax="47" xr10:uidLastSave="{A2580C56-C0F8-43B1-BC0E-C73845CED3C6}"/>
  <bookViews>
    <workbookView xWindow="-108" yWindow="-108" windowWidth="23256" windowHeight="13896" activeTab="1" xr2:uid="{280BA5F3-E22D-4300-A25B-E4ABFC969655}"/>
  </bookViews>
  <sheets>
    <sheet name="Зразок" sheetId="7" r:id="rId1"/>
    <sheet name="ЗВіт 10.07" sheetId="6" r:id="rId2"/>
  </sheets>
  <externalReferences>
    <externalReference r:id="rId3"/>
  </externalReferences>
  <definedNames>
    <definedName name="spec_values">[1]BOQ_Шаблон!$A$6:$A$275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6" l="1"/>
  <c r="D28" i="6"/>
  <c r="C27" i="6" l="1"/>
  <c r="D27" i="6" s="1"/>
  <c r="C26" i="6"/>
  <c r="D26" i="6" s="1"/>
  <c r="C25" i="6"/>
  <c r="D25" i="6" s="1"/>
  <c r="C24" i="6"/>
  <c r="D24" i="6" s="1"/>
  <c r="C23" i="6"/>
  <c r="D23" i="6" s="1"/>
  <c r="C21" i="6"/>
  <c r="D21" i="6" s="1"/>
  <c r="C20" i="6"/>
  <c r="D20" i="6" s="1"/>
  <c r="C19" i="6"/>
  <c r="D19" i="6" s="1"/>
  <c r="C18" i="6"/>
  <c r="D18" i="6" s="1"/>
  <c r="C17" i="6"/>
  <c r="D17" i="6" s="1"/>
  <c r="C16" i="6"/>
  <c r="D16" i="6" s="1"/>
  <c r="C15" i="6"/>
  <c r="D15" i="6" s="1"/>
  <c r="C14" i="6"/>
  <c r="D14" i="6" s="1"/>
  <c r="C13" i="6"/>
  <c r="D13" i="6" s="1"/>
  <c r="C12" i="6"/>
  <c r="D12" i="6" s="1"/>
  <c r="C11" i="6"/>
  <c r="D11" i="6" s="1"/>
  <c r="C10" i="6"/>
  <c r="D10" i="6" s="1"/>
  <c r="C9" i="6"/>
  <c r="D9" i="6" s="1"/>
  <c r="C8" i="6"/>
  <c r="D8" i="6" s="1"/>
  <c r="C7" i="6"/>
  <c r="D7" i="6" s="1"/>
  <c r="C6" i="6"/>
  <c r="D6" i="6" s="1"/>
  <c r="C5" i="6"/>
  <c r="D5" i="6" s="1"/>
  <c r="C4" i="6"/>
  <c r="D4" i="6" s="1"/>
  <c r="C3" i="6"/>
  <c r="D3" i="6" s="1"/>
  <c r="D30" i="6" l="1"/>
  <c r="E29" i="7"/>
  <c r="F28" i="7"/>
  <c r="C27" i="7"/>
  <c r="F27" i="7" s="1"/>
  <c r="C26" i="7"/>
  <c r="F26" i="7" s="1"/>
  <c r="C25" i="7"/>
  <c r="F25" i="7" s="1"/>
  <c r="C24" i="7"/>
  <c r="F24" i="7" s="1"/>
  <c r="C23" i="7"/>
  <c r="F23" i="7" s="1"/>
  <c r="F22" i="7"/>
  <c r="C21" i="7"/>
  <c r="F21" i="7" s="1"/>
  <c r="C20" i="7"/>
  <c r="F20" i="7" s="1"/>
  <c r="C19" i="7"/>
  <c r="F19" i="7" s="1"/>
  <c r="C18" i="7"/>
  <c r="F18" i="7" s="1"/>
  <c r="C17" i="7"/>
  <c r="F17" i="7" s="1"/>
  <c r="C16" i="7"/>
  <c r="F16" i="7" s="1"/>
  <c r="C15" i="7"/>
  <c r="F15" i="7" s="1"/>
  <c r="C14" i="7"/>
  <c r="F14" i="7" s="1"/>
  <c r="C13" i="7"/>
  <c r="F13" i="7" s="1"/>
  <c r="C12" i="7"/>
  <c r="F12" i="7" s="1"/>
  <c r="C11" i="7"/>
  <c r="F11" i="7" s="1"/>
  <c r="C10" i="7"/>
  <c r="F10" i="7" s="1"/>
  <c r="C9" i="7"/>
  <c r="F9" i="7" s="1"/>
  <c r="C8" i="7"/>
  <c r="F8" i="7" s="1"/>
  <c r="F7" i="7"/>
  <c r="C7" i="7"/>
  <c r="F6" i="7"/>
  <c r="C6" i="7"/>
  <c r="F5" i="7"/>
  <c r="C5" i="7"/>
  <c r="C4" i="7"/>
  <c r="C3" i="7"/>
  <c r="C2" i="7"/>
  <c r="C29" i="7" l="1"/>
  <c r="F29" i="7"/>
  <c r="G28" i="6"/>
  <c r="F29" i="6"/>
  <c r="G29" i="6" l="1"/>
</calcChain>
</file>

<file path=xl/sharedStrings.xml><?xml version="1.0" encoding="utf-8"?>
<sst xmlns="http://schemas.openxmlformats.org/spreadsheetml/2006/main" count="137" uniqueCount="49">
  <si>
    <t>чол/год</t>
  </si>
  <si>
    <t>Нарізання деталей зігдно креслень</t>
  </si>
  <si>
    <t>Обробка матеріалу (дерево)</t>
  </si>
  <si>
    <t>Збирання деталей</t>
  </si>
  <si>
    <t>зварювання (дерево  зєдання)</t>
  </si>
  <si>
    <t>Грунтування металокаркасу</t>
  </si>
  <si>
    <t>Фарубування металокаркасу</t>
  </si>
  <si>
    <t>Приймання матеріалу</t>
  </si>
  <si>
    <t>Влаштування підшиви модуля</t>
  </si>
  <si>
    <t>Утеплення та гідроізоляція підлоги</t>
  </si>
  <si>
    <t>Монтаж брусу по каркасу</t>
  </si>
  <si>
    <t xml:space="preserve">Пароізоляційна мембрана; </t>
  </si>
  <si>
    <t xml:space="preserve">Укладання Настил підлоги </t>
  </si>
  <si>
    <t>Утеплення стеля та стіни</t>
  </si>
  <si>
    <t>Гідроізоляційна та пароізоляція стін та стелі</t>
  </si>
  <si>
    <t>Монтаж фінішного оздоблення</t>
  </si>
  <si>
    <t>монтаж обрешітки по  каркасу</t>
  </si>
  <si>
    <t xml:space="preserve">Гідроізоляційна плівка </t>
  </si>
  <si>
    <t>монтаж фасаду та покрівлі</t>
  </si>
  <si>
    <t xml:space="preserve">монтаж  вікон </t>
  </si>
  <si>
    <t>монтаж вхідних  дверей</t>
  </si>
  <si>
    <t>монтаж  мдф дверей</t>
  </si>
  <si>
    <t>монтаж  металопластикових  дврей</t>
  </si>
  <si>
    <t>монтаж  трубопроводів</t>
  </si>
  <si>
    <t>монтаж  каналізаційних  труб</t>
  </si>
  <si>
    <t>монтаж  сантехнічних  приборів</t>
  </si>
  <si>
    <t>підключення та перевірка сантехнічного  обладнання</t>
  </si>
  <si>
    <t xml:space="preserve">Статус </t>
  </si>
  <si>
    <t>Факт виконання</t>
  </si>
  <si>
    <t>аналіз годин  до закінчення, плановий</t>
  </si>
  <si>
    <t>Найменування робіт</t>
  </si>
  <si>
    <t>виконується</t>
  </si>
  <si>
    <t>Загальна кількість, год</t>
  </si>
  <si>
    <t>табель</t>
  </si>
  <si>
    <t xml:space="preserve"> </t>
  </si>
  <si>
    <t>Факт виконання робіт по проекту (8модулів)</t>
  </si>
  <si>
    <t>Коментарій</t>
  </si>
  <si>
    <t>Примітка</t>
  </si>
  <si>
    <t>Потрібно  вказати  по кожному типу робіт, факт виконання кілкьості модулів) якщо  якісь  роботи практично  виконано, в коментарях  потрібно  прописати 9 що  саме не дороблено  по  конкретному модулю</t>
  </si>
  <si>
    <t>в роботі</t>
  </si>
  <si>
    <t>8 модулів --100%</t>
  </si>
  <si>
    <t>4 модуля --100%;4 модуля 80%</t>
  </si>
  <si>
    <t>залишились  мілки роботи  по  стінам</t>
  </si>
  <si>
    <t>Факт виконання робіт по проекту  6 модулів</t>
  </si>
  <si>
    <t>6 МОДУЛІВ 100%</t>
  </si>
  <si>
    <t>Заг. кількість годин</t>
  </si>
  <si>
    <t>6 МОДУЛІВ 40%</t>
  </si>
  <si>
    <t xml:space="preserve"> 6 модулів - зібрана підлога і дах на 100%; Стіни - 0%</t>
  </si>
  <si>
    <t>Коментар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</si>
</sst>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charset val="204"/>
    </font>
    <font>
      <sz val="10"/>
      <name val="Arial"/>
      <family val="2"/>
      <charset val="204"/>
    </font>
    <font>
      <sz val="8"/>
      <name val="Arial"/>
      <family val="2"/>
    </font>
    <font>
      <sz val="10"/>
      <name val="Calibri Light"/>
      <family val="2"/>
      <charset val="204"/>
      <scheme val="major"/>
    </font>
    <font>
      <b/>
      <sz val="11"/>
      <name val="Calibri Light"/>
      <family val="2"/>
      <charset val="204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4" fillId="0" borderId="0"/>
    <xf numFmtId="43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3" fillId="0" borderId="0"/>
    <xf numFmtId="0" fontId="9" fillId="0" borderId="0"/>
    <xf numFmtId="0" fontId="1" fillId="0" borderId="0"/>
  </cellStyleXfs>
  <cellXfs count="28">
    <xf numFmtId="0" fontId="0" fillId="0" borderId="0" xfId="0"/>
    <xf numFmtId="4" fontId="5" fillId="0" borderId="2" xfId="1" applyNumberFormat="1" applyFont="1" applyBorder="1" applyAlignment="1">
      <alignment horizontal="center" vertical="center" wrapText="1"/>
    </xf>
    <xf numFmtId="4" fontId="6" fillId="3" borderId="2" xfId="1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11" fillId="0" borderId="2" xfId="9" applyNumberFormat="1" applyFont="1" applyBorder="1" applyAlignment="1">
      <alignment horizontal="center" vertical="center" wrapText="1"/>
    </xf>
    <xf numFmtId="0" fontId="11" fillId="0" borderId="2" xfId="9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10" fillId="2" borderId="2" xfId="9" applyFont="1" applyFill="1" applyBorder="1" applyAlignment="1">
      <alignment horizontal="left" vertical="center" wrapText="1"/>
    </xf>
    <xf numFmtId="4" fontId="5" fillId="3" borderId="2" xfId="1" applyNumberFormat="1" applyFont="1" applyFill="1" applyBorder="1" applyAlignment="1">
      <alignment horizontal="center" vertical="center" wrapText="1"/>
    </xf>
    <xf numFmtId="9" fontId="0" fillId="0" borderId="2" xfId="0" applyNumberFormat="1" applyBorder="1"/>
    <xf numFmtId="4" fontId="5" fillId="0" borderId="2" xfId="1" applyNumberFormat="1" applyFont="1" applyBorder="1" applyAlignment="1">
      <alignment horizontal="right" vertical="center" wrapText="1"/>
    </xf>
    <xf numFmtId="4" fontId="6" fillId="3" borderId="2" xfId="1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  <xf numFmtId="4" fontId="0" fillId="0" borderId="2" xfId="0" applyNumberFormat="1" applyBorder="1"/>
    <xf numFmtId="0" fontId="10" fillId="2" borderId="1" xfId="9" applyFont="1" applyFill="1" applyBorder="1" applyAlignment="1">
      <alignment horizontal="right" vertical="center" wrapText="1"/>
    </xf>
    <xf numFmtId="4" fontId="5" fillId="0" borderId="1" xfId="1" applyNumberFormat="1" applyFont="1" applyBorder="1" applyAlignment="1">
      <alignment horizontal="right" vertical="center" wrapText="1"/>
    </xf>
    <xf numFmtId="4" fontId="6" fillId="3" borderId="1" xfId="1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4" fontId="0" fillId="0" borderId="1" xfId="0" applyNumberFormat="1" applyBorder="1"/>
    <xf numFmtId="0" fontId="0" fillId="4" borderId="2" xfId="0" applyFill="1" applyBorder="1"/>
    <xf numFmtId="0" fontId="2" fillId="0" borderId="2" xfId="0" applyFont="1" applyBorder="1"/>
    <xf numFmtId="4" fontId="2" fillId="0" borderId="2" xfId="0" applyNumberFormat="1" applyFont="1" applyBorder="1"/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</cellXfs>
  <cellStyles count="10">
    <cellStyle name="Обычный" xfId="0" builtinId="0"/>
    <cellStyle name="Обычный 11 2" xfId="1" xr:uid="{1424C6A2-E270-446A-A8CE-252B24C30943}"/>
    <cellStyle name="Обычный 2" xfId="8" xr:uid="{39F897FE-B90D-4D4D-80E6-D835D5DE79B2}"/>
    <cellStyle name="Обычный 2 2" xfId="2" xr:uid="{0F4177A5-0264-4F43-95A6-92BEB2F55788}"/>
    <cellStyle name="Обычный 2 3" xfId="9" xr:uid="{B67E1512-502F-464B-AC67-7538F30F2EF1}"/>
    <cellStyle name="Обычный 2 4" xfId="7" xr:uid="{3944335D-CAC8-450F-9C52-71AECC0453E1}"/>
    <cellStyle name="Обычный 3" xfId="6" xr:uid="{AE2101D6-F48F-40BB-8EA0-68A2806A1B82}"/>
    <cellStyle name="Финансовый 10" xfId="3" xr:uid="{D93C4C81-6AE4-4419-A8CA-0CBBFF70537D}"/>
    <cellStyle name="Финансовый 2 2 2" xfId="4" xr:uid="{CB8BA4C7-2188-4192-9468-3D6DDB2EADEE}"/>
    <cellStyle name="Финансовый 2 7" xfId="5" xr:uid="{87639405-605F-4D26-A8C7-990697CE03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45FE-47CD-4AF4-9E73-8B57C5BA8CD4}">
  <dimension ref="A1:I29"/>
  <sheetViews>
    <sheetView zoomScale="80" zoomScaleNormal="80" workbookViewId="0">
      <selection activeCell="G14" sqref="G14"/>
    </sheetView>
  </sheetViews>
  <sheetFormatPr defaultRowHeight="14.4" x14ac:dyDescent="0.3"/>
  <cols>
    <col min="1" max="1" width="90.6640625" customWidth="1"/>
    <col min="2" max="3" width="0" hidden="1" customWidth="1"/>
    <col min="4" max="4" width="15.88671875" hidden="1" customWidth="1"/>
    <col min="5" max="5" width="10.33203125" hidden="1" customWidth="1"/>
    <col min="6" max="6" width="33.88671875" hidden="1" customWidth="1"/>
    <col min="7" max="7" width="41.5546875" bestFit="1" customWidth="1"/>
    <col min="8" max="8" width="34.88671875" bestFit="1" customWidth="1"/>
    <col min="9" max="9" width="30.88671875" customWidth="1"/>
  </cols>
  <sheetData>
    <row r="1" spans="1:9" ht="43.2" x14ac:dyDescent="0.3">
      <c r="A1" s="3" t="s">
        <v>30</v>
      </c>
      <c r="B1" s="7"/>
      <c r="C1" s="7"/>
      <c r="D1" s="4" t="s">
        <v>27</v>
      </c>
      <c r="E1" s="5" t="s">
        <v>28</v>
      </c>
      <c r="F1" s="6" t="s">
        <v>29</v>
      </c>
      <c r="G1" s="7" t="s">
        <v>35</v>
      </c>
      <c r="H1" s="7" t="s">
        <v>36</v>
      </c>
      <c r="I1" s="7" t="s">
        <v>37</v>
      </c>
    </row>
    <row r="2" spans="1:9" x14ac:dyDescent="0.3">
      <c r="A2" s="8" t="s">
        <v>7</v>
      </c>
      <c r="B2" s="1" t="s">
        <v>0</v>
      </c>
      <c r="C2" s="9">
        <f>480/8</f>
        <v>60</v>
      </c>
      <c r="D2" s="7" t="s">
        <v>31</v>
      </c>
      <c r="E2" s="7"/>
      <c r="F2" s="15">
        <v>25</v>
      </c>
      <c r="G2" s="21" t="s">
        <v>39</v>
      </c>
      <c r="H2" s="21"/>
      <c r="I2" s="26" t="s">
        <v>38</v>
      </c>
    </row>
    <row r="3" spans="1:9" x14ac:dyDescent="0.3">
      <c r="A3" s="8" t="s">
        <v>2</v>
      </c>
      <c r="B3" s="1" t="s">
        <v>0</v>
      </c>
      <c r="C3" s="9">
        <f t="shared" ref="C3:C9" si="0">480/8</f>
        <v>60</v>
      </c>
      <c r="D3" s="7"/>
      <c r="E3" s="7"/>
      <c r="F3" s="15">
        <v>60</v>
      </c>
      <c r="G3" s="21" t="s">
        <v>40</v>
      </c>
      <c r="H3" s="21"/>
      <c r="I3" s="26"/>
    </row>
    <row r="4" spans="1:9" x14ac:dyDescent="0.3">
      <c r="A4" s="8" t="s">
        <v>1</v>
      </c>
      <c r="B4" s="1" t="s">
        <v>0</v>
      </c>
      <c r="C4" s="9">
        <f t="shared" si="0"/>
        <v>60</v>
      </c>
      <c r="D4" s="10">
        <v>1</v>
      </c>
      <c r="E4" s="7"/>
      <c r="F4" s="15"/>
      <c r="G4" s="21" t="s">
        <v>40</v>
      </c>
      <c r="H4" s="21"/>
      <c r="I4" s="26"/>
    </row>
    <row r="5" spans="1:9" x14ac:dyDescent="0.3">
      <c r="A5" s="8" t="s">
        <v>3</v>
      </c>
      <c r="B5" s="1" t="s">
        <v>0</v>
      </c>
      <c r="C5" s="9">
        <f t="shared" si="0"/>
        <v>60</v>
      </c>
      <c r="D5" s="10">
        <v>0.5</v>
      </c>
      <c r="E5" s="7"/>
      <c r="F5" s="15">
        <f>30</f>
        <v>30</v>
      </c>
      <c r="G5" s="21" t="s">
        <v>41</v>
      </c>
      <c r="H5" s="21" t="s">
        <v>42</v>
      </c>
      <c r="I5" s="26"/>
    </row>
    <row r="6" spans="1:9" x14ac:dyDescent="0.3">
      <c r="A6" s="8" t="s">
        <v>4</v>
      </c>
      <c r="B6" s="1" t="s">
        <v>0</v>
      </c>
      <c r="C6" s="9">
        <f t="shared" si="0"/>
        <v>60</v>
      </c>
      <c r="D6" s="10">
        <v>0.5</v>
      </c>
      <c r="E6" s="7"/>
      <c r="F6" s="15">
        <f>30</f>
        <v>30</v>
      </c>
      <c r="G6" s="7"/>
      <c r="H6" s="7"/>
      <c r="I6" s="26"/>
    </row>
    <row r="7" spans="1:9" x14ac:dyDescent="0.3">
      <c r="A7" s="8" t="s">
        <v>8</v>
      </c>
      <c r="B7" s="1" t="s">
        <v>0</v>
      </c>
      <c r="C7" s="9">
        <f t="shared" si="0"/>
        <v>60</v>
      </c>
      <c r="D7" s="10">
        <v>0.5</v>
      </c>
      <c r="E7" s="7"/>
      <c r="F7" s="15">
        <f>30</f>
        <v>30</v>
      </c>
      <c r="G7" s="7"/>
      <c r="H7" s="7"/>
      <c r="I7" s="26"/>
    </row>
    <row r="8" spans="1:9" x14ac:dyDescent="0.3">
      <c r="A8" s="8" t="s">
        <v>5</v>
      </c>
      <c r="B8" s="1" t="s">
        <v>0</v>
      </c>
      <c r="C8" s="9">
        <f t="shared" si="0"/>
        <v>60</v>
      </c>
      <c r="D8" s="7"/>
      <c r="E8" s="7"/>
      <c r="F8" s="15">
        <f>C8</f>
        <v>60</v>
      </c>
      <c r="G8" s="7"/>
      <c r="H8" s="7"/>
      <c r="I8" s="26"/>
    </row>
    <row r="9" spans="1:9" x14ac:dyDescent="0.3">
      <c r="A9" s="8" t="s">
        <v>6</v>
      </c>
      <c r="B9" s="1" t="s">
        <v>0</v>
      </c>
      <c r="C9" s="9">
        <f t="shared" si="0"/>
        <v>60</v>
      </c>
      <c r="D9" s="7"/>
      <c r="E9" s="7"/>
      <c r="F9" s="15">
        <f t="shared" ref="F9:F28" si="1">C9</f>
        <v>60</v>
      </c>
      <c r="G9" s="7"/>
      <c r="H9" s="7"/>
      <c r="I9" s="26"/>
    </row>
    <row r="10" spans="1:9" x14ac:dyDescent="0.3">
      <c r="A10" s="8" t="s">
        <v>9</v>
      </c>
      <c r="B10" s="1" t="s">
        <v>0</v>
      </c>
      <c r="C10" s="2">
        <f>1080/7</f>
        <v>154.28571428571428</v>
      </c>
      <c r="D10" s="7"/>
      <c r="E10" s="7"/>
      <c r="F10" s="15">
        <f t="shared" si="1"/>
        <v>154.28571428571428</v>
      </c>
      <c r="G10" s="7"/>
      <c r="H10" s="7"/>
      <c r="I10" s="26"/>
    </row>
    <row r="11" spans="1:9" x14ac:dyDescent="0.3">
      <c r="A11" s="8" t="s">
        <v>10</v>
      </c>
      <c r="B11" s="1" t="s">
        <v>0</v>
      </c>
      <c r="C11" s="2">
        <f t="shared" ref="C11:C16" si="2">1080/7</f>
        <v>154.28571428571428</v>
      </c>
      <c r="D11" s="7"/>
      <c r="E11" s="7"/>
      <c r="F11" s="15">
        <f t="shared" si="1"/>
        <v>154.28571428571428</v>
      </c>
      <c r="G11" s="7"/>
      <c r="H11" s="7"/>
      <c r="I11" s="26"/>
    </row>
    <row r="12" spans="1:9" x14ac:dyDescent="0.3">
      <c r="A12" s="8" t="s">
        <v>11</v>
      </c>
      <c r="B12" s="1" t="s">
        <v>0</v>
      </c>
      <c r="C12" s="2">
        <f t="shared" si="2"/>
        <v>154.28571428571428</v>
      </c>
      <c r="D12" s="7"/>
      <c r="E12" s="7"/>
      <c r="F12" s="15">
        <f t="shared" si="1"/>
        <v>154.28571428571428</v>
      </c>
      <c r="G12" s="7"/>
      <c r="H12" s="7"/>
      <c r="I12" s="26"/>
    </row>
    <row r="13" spans="1:9" x14ac:dyDescent="0.3">
      <c r="A13" s="8" t="s">
        <v>12</v>
      </c>
      <c r="B13" s="1" t="s">
        <v>0</v>
      </c>
      <c r="C13" s="2">
        <f t="shared" si="2"/>
        <v>154.28571428571428</v>
      </c>
      <c r="D13" s="7"/>
      <c r="E13" s="7"/>
      <c r="F13" s="15">
        <f t="shared" si="1"/>
        <v>154.28571428571428</v>
      </c>
      <c r="G13" s="7"/>
      <c r="H13" s="7"/>
      <c r="I13" s="26"/>
    </row>
    <row r="14" spans="1:9" x14ac:dyDescent="0.3">
      <c r="A14" s="8" t="s">
        <v>14</v>
      </c>
      <c r="B14" s="1" t="s">
        <v>0</v>
      </c>
      <c r="C14" s="2">
        <f t="shared" si="2"/>
        <v>154.28571428571428</v>
      </c>
      <c r="D14" s="7"/>
      <c r="E14" s="7"/>
      <c r="F14" s="15">
        <f t="shared" si="1"/>
        <v>154.28571428571428</v>
      </c>
      <c r="G14" s="7"/>
      <c r="H14" s="7"/>
      <c r="I14" s="26"/>
    </row>
    <row r="15" spans="1:9" x14ac:dyDescent="0.3">
      <c r="A15" s="8" t="s">
        <v>13</v>
      </c>
      <c r="B15" s="1" t="s">
        <v>0</v>
      </c>
      <c r="C15" s="2">
        <f t="shared" si="2"/>
        <v>154.28571428571428</v>
      </c>
      <c r="D15" s="7" t="s">
        <v>34</v>
      </c>
      <c r="E15" s="7"/>
      <c r="F15" s="15">
        <f t="shared" si="1"/>
        <v>154.28571428571428</v>
      </c>
      <c r="G15" s="7"/>
      <c r="H15" s="7"/>
      <c r="I15" s="26"/>
    </row>
    <row r="16" spans="1:9" x14ac:dyDescent="0.3">
      <c r="A16" s="8" t="s">
        <v>15</v>
      </c>
      <c r="B16" s="1" t="s">
        <v>0</v>
      </c>
      <c r="C16" s="2">
        <f t="shared" si="2"/>
        <v>154.28571428571428</v>
      </c>
      <c r="D16" s="7"/>
      <c r="E16" s="7"/>
      <c r="F16" s="15">
        <f t="shared" si="1"/>
        <v>154.28571428571428</v>
      </c>
      <c r="G16" s="7"/>
      <c r="H16" s="7"/>
      <c r="I16" s="26"/>
    </row>
    <row r="17" spans="1:9" x14ac:dyDescent="0.3">
      <c r="A17" s="8" t="s">
        <v>16</v>
      </c>
      <c r="B17" s="1" t="s">
        <v>0</v>
      </c>
      <c r="C17" s="2">
        <f>3*8*1*8</f>
        <v>192</v>
      </c>
      <c r="D17" s="7"/>
      <c r="E17" s="7"/>
      <c r="F17" s="15">
        <f t="shared" si="1"/>
        <v>192</v>
      </c>
      <c r="G17" s="7"/>
      <c r="H17" s="7"/>
      <c r="I17" s="26"/>
    </row>
    <row r="18" spans="1:9" x14ac:dyDescent="0.3">
      <c r="A18" s="8" t="s">
        <v>17</v>
      </c>
      <c r="B18" s="1" t="s">
        <v>0</v>
      </c>
      <c r="C18" s="2">
        <f>3*8*0.5*8</f>
        <v>96</v>
      </c>
      <c r="D18" s="7"/>
      <c r="E18" s="7"/>
      <c r="F18" s="15">
        <f t="shared" si="1"/>
        <v>96</v>
      </c>
      <c r="G18" s="7"/>
      <c r="H18" s="7"/>
      <c r="I18" s="26"/>
    </row>
    <row r="19" spans="1:9" x14ac:dyDescent="0.3">
      <c r="A19" s="8" t="s">
        <v>18</v>
      </c>
      <c r="B19" s="1" t="s">
        <v>0</v>
      </c>
      <c r="C19" s="2">
        <f>3*8*2*8</f>
        <v>384</v>
      </c>
      <c r="D19" s="7"/>
      <c r="E19" s="7"/>
      <c r="F19" s="15">
        <f t="shared" si="1"/>
        <v>384</v>
      </c>
      <c r="G19" s="7"/>
      <c r="H19" s="7"/>
      <c r="I19" s="26"/>
    </row>
    <row r="20" spans="1:9" x14ac:dyDescent="0.3">
      <c r="A20" s="8" t="s">
        <v>19</v>
      </c>
      <c r="B20" s="1" t="s">
        <v>0</v>
      </c>
      <c r="C20" s="2">
        <f>3*8*4</f>
        <v>96</v>
      </c>
      <c r="D20" s="7"/>
      <c r="E20" s="7"/>
      <c r="F20" s="15">
        <f t="shared" si="1"/>
        <v>96</v>
      </c>
      <c r="G20" s="7"/>
      <c r="H20" s="7"/>
      <c r="I20" s="26"/>
    </row>
    <row r="21" spans="1:9" x14ac:dyDescent="0.3">
      <c r="A21" s="8" t="s">
        <v>20</v>
      </c>
      <c r="B21" s="1" t="s">
        <v>0</v>
      </c>
      <c r="C21" s="2">
        <f>2*8*1</f>
        <v>16</v>
      </c>
      <c r="D21" s="7"/>
      <c r="E21" s="7"/>
      <c r="F21" s="15">
        <f t="shared" si="1"/>
        <v>16</v>
      </c>
      <c r="G21" s="7"/>
      <c r="H21" s="7"/>
      <c r="I21" s="26"/>
    </row>
    <row r="22" spans="1:9" x14ac:dyDescent="0.3">
      <c r="A22" s="8" t="s">
        <v>21</v>
      </c>
      <c r="B22" s="1" t="s">
        <v>0</v>
      </c>
      <c r="C22" s="2">
        <v>0</v>
      </c>
      <c r="D22" s="7"/>
      <c r="E22" s="7"/>
      <c r="F22" s="15">
        <f t="shared" si="1"/>
        <v>0</v>
      </c>
      <c r="G22" s="7"/>
      <c r="H22" s="7"/>
      <c r="I22" s="26"/>
    </row>
    <row r="23" spans="1:9" x14ac:dyDescent="0.3">
      <c r="A23" s="8" t="s">
        <v>22</v>
      </c>
      <c r="B23" s="1" t="s">
        <v>0</v>
      </c>
      <c r="C23" s="2">
        <f>3*8*4</f>
        <v>96</v>
      </c>
      <c r="D23" s="7"/>
      <c r="E23" s="7"/>
      <c r="F23" s="15">
        <f t="shared" si="1"/>
        <v>96</v>
      </c>
      <c r="G23" s="7"/>
      <c r="H23" s="7"/>
      <c r="I23" s="26"/>
    </row>
    <row r="24" spans="1:9" x14ac:dyDescent="0.3">
      <c r="A24" s="8" t="s">
        <v>23</v>
      </c>
      <c r="B24" s="1" t="s">
        <v>0</v>
      </c>
      <c r="C24" s="2">
        <f>100/4</f>
        <v>25</v>
      </c>
      <c r="D24" s="7"/>
      <c r="E24" s="7"/>
      <c r="F24" s="15">
        <f t="shared" si="1"/>
        <v>25</v>
      </c>
      <c r="G24" s="7"/>
      <c r="H24" s="7"/>
      <c r="I24" s="26"/>
    </row>
    <row r="25" spans="1:9" x14ac:dyDescent="0.3">
      <c r="A25" s="8" t="s">
        <v>24</v>
      </c>
      <c r="B25" s="1" t="s">
        <v>0</v>
      </c>
      <c r="C25" s="2">
        <f t="shared" ref="C25:C27" si="3">100/4</f>
        <v>25</v>
      </c>
      <c r="D25" s="7"/>
      <c r="E25" s="7"/>
      <c r="F25" s="15">
        <f t="shared" si="1"/>
        <v>25</v>
      </c>
      <c r="G25" s="7"/>
      <c r="H25" s="7"/>
      <c r="I25" s="26"/>
    </row>
    <row r="26" spans="1:9" x14ac:dyDescent="0.3">
      <c r="A26" s="8" t="s">
        <v>25</v>
      </c>
      <c r="B26" s="11" t="s">
        <v>0</v>
      </c>
      <c r="C26" s="12">
        <f t="shared" si="3"/>
        <v>25</v>
      </c>
      <c r="D26" s="13"/>
      <c r="E26" s="13"/>
      <c r="F26" s="15">
        <f t="shared" si="1"/>
        <v>25</v>
      </c>
      <c r="G26" s="7"/>
      <c r="H26" s="7"/>
      <c r="I26" s="26"/>
    </row>
    <row r="27" spans="1:9" x14ac:dyDescent="0.3">
      <c r="A27" s="8" t="s">
        <v>26</v>
      </c>
      <c r="B27" s="11" t="s">
        <v>0</v>
      </c>
      <c r="C27" s="12">
        <f t="shared" si="3"/>
        <v>25</v>
      </c>
      <c r="D27" s="13"/>
      <c r="E27" s="13"/>
      <c r="F27" s="15">
        <f t="shared" si="1"/>
        <v>25</v>
      </c>
      <c r="G27" s="7"/>
      <c r="H27" s="7"/>
      <c r="I27" s="26"/>
    </row>
    <row r="28" spans="1:9" hidden="1" x14ac:dyDescent="0.3">
      <c r="A28" s="16" t="s">
        <v>33</v>
      </c>
      <c r="B28" s="17"/>
      <c r="C28" s="18"/>
      <c r="D28" s="19"/>
      <c r="E28" s="19">
        <v>155</v>
      </c>
      <c r="F28" s="20">
        <f t="shared" si="1"/>
        <v>0</v>
      </c>
    </row>
    <row r="29" spans="1:9" hidden="1" x14ac:dyDescent="0.3">
      <c r="A29" s="25" t="s">
        <v>32</v>
      </c>
      <c r="B29" s="25"/>
      <c r="C29" s="14">
        <f>SUM(C2:C27)</f>
        <v>2539.9999999999995</v>
      </c>
      <c r="D29" s="13"/>
      <c r="E29" s="13">
        <f>SUM(E2:E28)</f>
        <v>155</v>
      </c>
      <c r="F29" s="14">
        <f>SUM(F2:F28)</f>
        <v>2355</v>
      </c>
    </row>
  </sheetData>
  <mergeCells count="2">
    <mergeCell ref="I2:I27"/>
    <mergeCell ref="A29:B2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6072-0B0C-4AE5-B591-0B1AFB018A28}">
  <dimension ref="A1:J30"/>
  <sheetViews>
    <sheetView tabSelected="1" zoomScale="80" zoomScaleNormal="80" workbookViewId="0">
      <selection activeCell="A35" sqref="A35"/>
    </sheetView>
  </sheetViews>
  <sheetFormatPr defaultRowHeight="14.4" outlineLevelCol="1" x14ac:dyDescent="0.3"/>
  <cols>
    <col min="1" max="1" width="90.6640625" customWidth="1"/>
    <col min="2" max="4" width="8.88671875" hidden="1" customWidth="1" outlineLevel="1"/>
    <col min="5" max="5" width="15.88671875" hidden="1" customWidth="1" outlineLevel="1"/>
    <col min="6" max="6" width="10.33203125" hidden="1" customWidth="1" outlineLevel="1"/>
    <col min="7" max="7" width="26.33203125" hidden="1" customWidth="1" outlineLevel="1"/>
    <col min="8" max="8" width="42" customWidth="1" collapsed="1"/>
    <col min="9" max="9" width="38" customWidth="1"/>
    <col min="10" max="10" width="60.77734375" customWidth="1"/>
  </cols>
  <sheetData>
    <row r="1" spans="1:10" ht="43.2" x14ac:dyDescent="0.3">
      <c r="A1" s="3" t="s">
        <v>30</v>
      </c>
      <c r="B1" s="7"/>
      <c r="C1" s="7"/>
      <c r="D1" s="7"/>
      <c r="E1" s="4" t="s">
        <v>27</v>
      </c>
      <c r="F1" s="5" t="s">
        <v>28</v>
      </c>
      <c r="G1" s="6" t="s">
        <v>29</v>
      </c>
      <c r="H1" s="3" t="s">
        <v>43</v>
      </c>
      <c r="I1" s="7" t="s">
        <v>48</v>
      </c>
      <c r="J1" s="7" t="s">
        <v>37</v>
      </c>
    </row>
    <row r="2" spans="1:10" x14ac:dyDescent="0.3">
      <c r="A2" s="8" t="s">
        <v>7</v>
      </c>
      <c r="B2" s="1" t="s">
        <v>0</v>
      </c>
      <c r="C2" s="9"/>
      <c r="D2" s="9"/>
      <c r="E2" s="7"/>
      <c r="F2" s="7"/>
      <c r="G2" s="15"/>
      <c r="H2" s="3" t="s">
        <v>39</v>
      </c>
      <c r="I2" s="7"/>
      <c r="J2" s="26" t="s">
        <v>38</v>
      </c>
    </row>
    <row r="3" spans="1:10" x14ac:dyDescent="0.3">
      <c r="A3" s="8" t="s">
        <v>2</v>
      </c>
      <c r="B3" s="1" t="s">
        <v>0</v>
      </c>
      <c r="C3" s="2">
        <f>96/7</f>
        <v>13.714285714285714</v>
      </c>
      <c r="D3" s="2">
        <f>C3*6</f>
        <v>82.285714285714278</v>
      </c>
      <c r="E3" s="7"/>
      <c r="F3" s="7"/>
      <c r="G3" s="15"/>
      <c r="H3" s="24">
        <v>0</v>
      </c>
      <c r="I3" s="7"/>
      <c r="J3" s="26"/>
    </row>
    <row r="4" spans="1:10" x14ac:dyDescent="0.3">
      <c r="A4" s="8" t="s">
        <v>1</v>
      </c>
      <c r="B4" s="1" t="s">
        <v>0</v>
      </c>
      <c r="C4" s="2">
        <f t="shared" ref="C4:C9" si="0">96/7</f>
        <v>13.714285714285714</v>
      </c>
      <c r="D4" s="2">
        <f t="shared" ref="D4:D28" si="1">C4*6</f>
        <v>82.285714285714278</v>
      </c>
      <c r="E4" s="10"/>
      <c r="F4" s="7"/>
      <c r="G4" s="15"/>
      <c r="H4" s="3" t="s">
        <v>44</v>
      </c>
      <c r="I4" s="7"/>
      <c r="J4" s="26"/>
    </row>
    <row r="5" spans="1:10" ht="28.8" x14ac:dyDescent="0.3">
      <c r="A5" s="8" t="s">
        <v>3</v>
      </c>
      <c r="B5" s="1" t="s">
        <v>0</v>
      </c>
      <c r="C5" s="2">
        <f t="shared" si="0"/>
        <v>13.714285714285714</v>
      </c>
      <c r="D5" s="2">
        <f t="shared" si="1"/>
        <v>82.285714285714278</v>
      </c>
      <c r="E5" s="10"/>
      <c r="F5" s="7"/>
      <c r="G5" s="15"/>
      <c r="H5" s="3" t="s">
        <v>46</v>
      </c>
      <c r="I5" s="6" t="s">
        <v>47</v>
      </c>
      <c r="J5" s="26"/>
    </row>
    <row r="6" spans="1:10" x14ac:dyDescent="0.3">
      <c r="A6" s="8" t="s">
        <v>4</v>
      </c>
      <c r="B6" s="1" t="s">
        <v>0</v>
      </c>
      <c r="C6" s="2">
        <f t="shared" si="0"/>
        <v>13.714285714285714</v>
      </c>
      <c r="D6" s="2">
        <f t="shared" si="1"/>
        <v>82.285714285714278</v>
      </c>
      <c r="E6" s="10"/>
      <c r="F6" s="7"/>
      <c r="G6" s="15"/>
      <c r="H6" s="24">
        <v>0</v>
      </c>
      <c r="I6" s="7"/>
      <c r="J6" s="26"/>
    </row>
    <row r="7" spans="1:10" x14ac:dyDescent="0.3">
      <c r="A7" s="8" t="s">
        <v>8</v>
      </c>
      <c r="B7" s="1" t="s">
        <v>0</v>
      </c>
      <c r="C7" s="2">
        <f t="shared" si="0"/>
        <v>13.714285714285714</v>
      </c>
      <c r="D7" s="2">
        <f t="shared" si="1"/>
        <v>82.285714285714278</v>
      </c>
      <c r="E7" s="10"/>
      <c r="F7" s="7"/>
      <c r="G7" s="15"/>
      <c r="H7" s="24">
        <v>0</v>
      </c>
      <c r="I7" s="7"/>
      <c r="J7" s="26"/>
    </row>
    <row r="8" spans="1:10" x14ac:dyDescent="0.3">
      <c r="A8" s="8" t="s">
        <v>5</v>
      </c>
      <c r="B8" s="1" t="s">
        <v>0</v>
      </c>
      <c r="C8" s="2">
        <f t="shared" si="0"/>
        <v>13.714285714285714</v>
      </c>
      <c r="D8" s="2">
        <f t="shared" si="1"/>
        <v>82.285714285714278</v>
      </c>
      <c r="E8" s="7"/>
      <c r="F8" s="7"/>
      <c r="G8" s="15"/>
      <c r="H8" s="24">
        <v>0</v>
      </c>
      <c r="I8" s="7"/>
      <c r="J8" s="26"/>
    </row>
    <row r="9" spans="1:10" x14ac:dyDescent="0.3">
      <c r="A9" s="8" t="s">
        <v>6</v>
      </c>
      <c r="B9" s="1" t="s">
        <v>0</v>
      </c>
      <c r="C9" s="2">
        <f t="shared" si="0"/>
        <v>13.714285714285714</v>
      </c>
      <c r="D9" s="2">
        <f t="shared" si="1"/>
        <v>82.285714285714278</v>
      </c>
      <c r="E9" s="7"/>
      <c r="F9" s="7"/>
      <c r="G9" s="15"/>
      <c r="H9" s="24">
        <v>0</v>
      </c>
      <c r="I9" s="7"/>
      <c r="J9" s="26"/>
    </row>
    <row r="10" spans="1:10" x14ac:dyDescent="0.3">
      <c r="A10" s="8" t="s">
        <v>9</v>
      </c>
      <c r="B10" s="1" t="s">
        <v>0</v>
      </c>
      <c r="C10" s="2">
        <f>3*8</f>
        <v>24</v>
      </c>
      <c r="D10" s="2">
        <f t="shared" si="1"/>
        <v>144</v>
      </c>
      <c r="E10" s="7"/>
      <c r="F10" s="7"/>
      <c r="G10" s="15"/>
      <c r="H10" s="24">
        <v>0</v>
      </c>
      <c r="I10" s="7"/>
      <c r="J10" s="26"/>
    </row>
    <row r="11" spans="1:10" x14ac:dyDescent="0.3">
      <c r="A11" s="8" t="s">
        <v>10</v>
      </c>
      <c r="B11" s="1" t="s">
        <v>0</v>
      </c>
      <c r="C11" s="2">
        <f>3*8</f>
        <v>24</v>
      </c>
      <c r="D11" s="2">
        <f t="shared" si="1"/>
        <v>144</v>
      </c>
      <c r="E11" s="7"/>
      <c r="F11" s="7"/>
      <c r="G11" s="15"/>
      <c r="H11" s="24">
        <v>0</v>
      </c>
      <c r="I11" s="7"/>
      <c r="J11" s="26"/>
    </row>
    <row r="12" spans="1:10" x14ac:dyDescent="0.3">
      <c r="A12" s="8" t="s">
        <v>11</v>
      </c>
      <c r="B12" s="1" t="s">
        <v>0</v>
      </c>
      <c r="C12" s="2">
        <f t="shared" ref="C12:C13" si="2">3*8*1</f>
        <v>24</v>
      </c>
      <c r="D12" s="2">
        <f t="shared" si="1"/>
        <v>144</v>
      </c>
      <c r="E12" s="7"/>
      <c r="F12" s="7"/>
      <c r="G12" s="15"/>
      <c r="H12" s="24">
        <v>0</v>
      </c>
      <c r="I12" s="7"/>
      <c r="J12" s="26"/>
    </row>
    <row r="13" spans="1:10" x14ac:dyDescent="0.3">
      <c r="A13" s="8" t="s">
        <v>12</v>
      </c>
      <c r="B13" s="1" t="s">
        <v>0</v>
      </c>
      <c r="C13" s="2">
        <f t="shared" si="2"/>
        <v>24</v>
      </c>
      <c r="D13" s="2">
        <f t="shared" si="1"/>
        <v>144</v>
      </c>
      <c r="E13" s="7"/>
      <c r="F13" s="7"/>
      <c r="G13" s="15"/>
      <c r="H13" s="24">
        <v>0</v>
      </c>
      <c r="I13" s="7"/>
      <c r="J13" s="26"/>
    </row>
    <row r="14" spans="1:10" x14ac:dyDescent="0.3">
      <c r="A14" s="8" t="s">
        <v>14</v>
      </c>
      <c r="B14" s="1" t="s">
        <v>0</v>
      </c>
      <c r="C14" s="2">
        <f>3*8*1</f>
        <v>24</v>
      </c>
      <c r="D14" s="2">
        <f t="shared" si="1"/>
        <v>144</v>
      </c>
      <c r="E14" s="7"/>
      <c r="F14" s="7"/>
      <c r="G14" s="15"/>
      <c r="H14" s="24">
        <v>0</v>
      </c>
      <c r="I14" s="7"/>
      <c r="J14" s="26"/>
    </row>
    <row r="15" spans="1:10" x14ac:dyDescent="0.3">
      <c r="A15" s="8" t="s">
        <v>13</v>
      </c>
      <c r="B15" s="1" t="s">
        <v>0</v>
      </c>
      <c r="C15" s="2">
        <f>3*8*1</f>
        <v>24</v>
      </c>
      <c r="D15" s="2">
        <f t="shared" si="1"/>
        <v>144</v>
      </c>
      <c r="E15" s="7" t="s">
        <v>34</v>
      </c>
      <c r="F15" s="7"/>
      <c r="G15" s="15"/>
      <c r="H15" s="24">
        <v>0</v>
      </c>
      <c r="I15" s="7"/>
      <c r="J15" s="26"/>
    </row>
    <row r="16" spans="1:10" x14ac:dyDescent="0.3">
      <c r="A16" s="8" t="s">
        <v>15</v>
      </c>
      <c r="B16" s="1" t="s">
        <v>0</v>
      </c>
      <c r="C16" s="2">
        <f>3*8*2+12</f>
        <v>60</v>
      </c>
      <c r="D16" s="2">
        <f t="shared" si="1"/>
        <v>360</v>
      </c>
      <c r="E16" s="7"/>
      <c r="F16" s="7"/>
      <c r="G16" s="15"/>
      <c r="H16" s="24">
        <v>0</v>
      </c>
      <c r="I16" s="7"/>
      <c r="J16" s="26"/>
    </row>
    <row r="17" spans="1:10" x14ac:dyDescent="0.3">
      <c r="A17" s="8" t="s">
        <v>16</v>
      </c>
      <c r="B17" s="1" t="s">
        <v>0</v>
      </c>
      <c r="C17" s="2">
        <f>3*8*1</f>
        <v>24</v>
      </c>
      <c r="D17" s="2">
        <f t="shared" si="1"/>
        <v>144</v>
      </c>
      <c r="E17" s="7"/>
      <c r="F17" s="7"/>
      <c r="G17" s="15"/>
      <c r="H17" s="24">
        <v>0</v>
      </c>
      <c r="I17" s="7"/>
      <c r="J17" s="26"/>
    </row>
    <row r="18" spans="1:10" x14ac:dyDescent="0.3">
      <c r="A18" s="8" t="s">
        <v>17</v>
      </c>
      <c r="B18" s="1" t="s">
        <v>0</v>
      </c>
      <c r="C18" s="2">
        <f>3*8*0.5</f>
        <v>12</v>
      </c>
      <c r="D18" s="2">
        <f t="shared" si="1"/>
        <v>72</v>
      </c>
      <c r="E18" s="7"/>
      <c r="F18" s="7"/>
      <c r="G18" s="15"/>
      <c r="H18" s="24">
        <v>0</v>
      </c>
      <c r="I18" s="7"/>
      <c r="J18" s="26"/>
    </row>
    <row r="19" spans="1:10" x14ac:dyDescent="0.3">
      <c r="A19" s="8" t="s">
        <v>18</v>
      </c>
      <c r="B19" s="1" t="s">
        <v>0</v>
      </c>
      <c r="C19" s="2">
        <f>3*8*1.5</f>
        <v>36</v>
      </c>
      <c r="D19" s="2">
        <f t="shared" si="1"/>
        <v>216</v>
      </c>
      <c r="E19" s="7"/>
      <c r="F19" s="7"/>
      <c r="G19" s="15"/>
      <c r="H19" s="24">
        <v>0</v>
      </c>
      <c r="I19" s="7"/>
      <c r="J19" s="26"/>
    </row>
    <row r="20" spans="1:10" x14ac:dyDescent="0.3">
      <c r="A20" s="8" t="s">
        <v>19</v>
      </c>
      <c r="B20" s="1" t="s">
        <v>0</v>
      </c>
      <c r="C20" s="2">
        <f>1*8</f>
        <v>8</v>
      </c>
      <c r="D20" s="2">
        <f t="shared" si="1"/>
        <v>48</v>
      </c>
      <c r="E20" s="7"/>
      <c r="F20" s="7"/>
      <c r="G20" s="15"/>
      <c r="H20" s="24">
        <v>0</v>
      </c>
      <c r="I20" s="7"/>
      <c r="J20" s="26"/>
    </row>
    <row r="21" spans="1:10" x14ac:dyDescent="0.3">
      <c r="A21" s="8" t="s">
        <v>20</v>
      </c>
      <c r="B21" s="1" t="s">
        <v>0</v>
      </c>
      <c r="C21" s="2">
        <f>2*4/2</f>
        <v>4</v>
      </c>
      <c r="D21" s="2">
        <f t="shared" si="1"/>
        <v>24</v>
      </c>
      <c r="E21" s="7"/>
      <c r="F21" s="7"/>
      <c r="G21" s="15"/>
      <c r="H21" s="24">
        <v>0</v>
      </c>
      <c r="I21" s="7"/>
      <c r="J21" s="26"/>
    </row>
    <row r="22" spans="1:10" x14ac:dyDescent="0.3">
      <c r="A22" s="8" t="s">
        <v>21</v>
      </c>
      <c r="B22" s="1" t="s">
        <v>0</v>
      </c>
      <c r="C22" s="2">
        <v>0</v>
      </c>
      <c r="D22" s="2">
        <f t="shared" si="1"/>
        <v>0</v>
      </c>
      <c r="E22" s="7"/>
      <c r="F22" s="7"/>
      <c r="G22" s="15"/>
      <c r="H22" s="24">
        <v>0</v>
      </c>
      <c r="I22" s="7"/>
      <c r="J22" s="26"/>
    </row>
    <row r="23" spans="1:10" x14ac:dyDescent="0.3">
      <c r="A23" s="8" t="s">
        <v>22</v>
      </c>
      <c r="B23" s="1" t="s">
        <v>0</v>
      </c>
      <c r="C23" s="2">
        <f>2*8*1</f>
        <v>16</v>
      </c>
      <c r="D23" s="2">
        <f t="shared" si="1"/>
        <v>96</v>
      </c>
      <c r="E23" s="7"/>
      <c r="F23" s="7"/>
      <c r="G23" s="15"/>
      <c r="H23" s="24">
        <v>0</v>
      </c>
      <c r="I23" s="7"/>
      <c r="J23" s="26"/>
    </row>
    <row r="24" spans="1:10" x14ac:dyDescent="0.3">
      <c r="A24" s="8" t="s">
        <v>23</v>
      </c>
      <c r="B24" s="1" t="s">
        <v>0</v>
      </c>
      <c r="C24" s="2">
        <f>16/4</f>
        <v>4</v>
      </c>
      <c r="D24" s="2">
        <f t="shared" si="1"/>
        <v>24</v>
      </c>
      <c r="E24" s="7"/>
      <c r="F24" s="7"/>
      <c r="G24" s="15"/>
      <c r="H24" s="24">
        <v>0</v>
      </c>
      <c r="I24" s="7"/>
      <c r="J24" s="26"/>
    </row>
    <row r="25" spans="1:10" x14ac:dyDescent="0.3">
      <c r="A25" s="8" t="s">
        <v>24</v>
      </c>
      <c r="B25" s="1" t="s">
        <v>0</v>
      </c>
      <c r="C25" s="2">
        <f t="shared" ref="C25:C27" si="3">16/4</f>
        <v>4</v>
      </c>
      <c r="D25" s="2">
        <f t="shared" si="1"/>
        <v>24</v>
      </c>
      <c r="E25" s="7"/>
      <c r="F25" s="7"/>
      <c r="G25" s="15"/>
      <c r="H25" s="24">
        <v>0</v>
      </c>
      <c r="I25" s="7"/>
      <c r="J25" s="26"/>
    </row>
    <row r="26" spans="1:10" x14ac:dyDescent="0.3">
      <c r="A26" s="8" t="s">
        <v>25</v>
      </c>
      <c r="B26" s="11" t="s">
        <v>0</v>
      </c>
      <c r="C26" s="2">
        <f t="shared" si="3"/>
        <v>4</v>
      </c>
      <c r="D26" s="2">
        <f t="shared" si="1"/>
        <v>24</v>
      </c>
      <c r="E26" s="13"/>
      <c r="F26" s="13"/>
      <c r="G26" s="15"/>
      <c r="H26" s="24">
        <v>0</v>
      </c>
      <c r="I26" s="7"/>
      <c r="J26" s="26"/>
    </row>
    <row r="27" spans="1:10" x14ac:dyDescent="0.3">
      <c r="A27" s="8" t="s">
        <v>26</v>
      </c>
      <c r="B27" s="11" t="s">
        <v>0</v>
      </c>
      <c r="C27" s="2">
        <f t="shared" si="3"/>
        <v>4</v>
      </c>
      <c r="D27" s="2">
        <f t="shared" si="1"/>
        <v>24</v>
      </c>
      <c r="E27" s="13"/>
      <c r="F27" s="13"/>
      <c r="G27" s="15"/>
      <c r="H27" s="24">
        <v>0</v>
      </c>
      <c r="I27" s="7"/>
      <c r="J27" s="26"/>
    </row>
    <row r="28" spans="1:10" hidden="1" x14ac:dyDescent="0.3">
      <c r="A28" s="16" t="s">
        <v>33</v>
      </c>
      <c r="B28" s="17"/>
      <c r="C28" s="18"/>
      <c r="D28" s="2">
        <f t="shared" si="1"/>
        <v>0</v>
      </c>
      <c r="E28" s="19"/>
      <c r="F28" s="19">
        <v>155</v>
      </c>
      <c r="G28" s="20">
        <f t="shared" ref="G28" si="4">C28</f>
        <v>0</v>
      </c>
    </row>
    <row r="29" spans="1:10" hidden="1" x14ac:dyDescent="0.3">
      <c r="A29" s="25" t="s">
        <v>32</v>
      </c>
      <c r="B29" s="25"/>
      <c r="C29" s="14"/>
      <c r="D29" s="14"/>
      <c r="E29" s="13"/>
      <c r="F29" s="13">
        <f>SUM(F2:F28)</f>
        <v>155</v>
      </c>
      <c r="G29" s="14">
        <f>SUM(G2:G28)</f>
        <v>0</v>
      </c>
    </row>
    <row r="30" spans="1:10" x14ac:dyDescent="0.3">
      <c r="A30" s="27" t="s">
        <v>45</v>
      </c>
      <c r="B30" s="27"/>
      <c r="C30" s="22"/>
      <c r="D30" s="23">
        <f>SUM(D3:D29)</f>
        <v>2496</v>
      </c>
    </row>
  </sheetData>
  <mergeCells count="3">
    <mergeCell ref="A29:B29"/>
    <mergeCell ref="J2:J27"/>
    <mergeCell ref="A30:B3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Зразок</vt:lpstr>
      <vt:lpstr>ЗВіт 10.07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</dc:creator>
  <cp:lastModifiedBy>Матвій Бутенко</cp:lastModifiedBy>
  <dcterms:created xsi:type="dcterms:W3CDTF">2026-03-19T10:43:29Z</dcterms:created>
  <dcterms:modified xsi:type="dcterms:W3CDTF">2026-07-10T15:05:54Z</dcterms:modified>
</cp:coreProperties>
</file>